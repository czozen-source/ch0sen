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Flota" sheetId="2" state="visible" r:id="rId2"/>
    <sheet xmlns:r="http://schemas.openxmlformats.org/officeDocument/2006/relationships" name="Zgłoszenia" sheetId="3" state="visible" r:id="rId3"/>
    <sheet xmlns:r="http://schemas.openxmlformats.org/officeDocument/2006/relationships" name="Historia wózka" sheetId="4" state="visible" r:id="rId4"/>
    <sheet xmlns:r="http://schemas.openxmlformats.org/officeDocument/2006/relationships" name="1" sheetId="5" state="visible" r:id="rId5"/>
    <sheet xmlns:r="http://schemas.openxmlformats.org/officeDocument/2006/relationships" name="2" sheetId="6" state="visible" r:id="rId6"/>
    <sheet xmlns:r="http://schemas.openxmlformats.org/officeDocument/2006/relationships" name="3" sheetId="7" state="visible" r:id="rId7"/>
    <sheet xmlns:r="http://schemas.openxmlformats.org/officeDocument/2006/relationships" name="4" sheetId="8" state="visible" r:id="rId8"/>
    <sheet xmlns:r="http://schemas.openxmlformats.org/officeDocument/2006/relationships" name="5" sheetId="9" state="visible" r:id="rId9"/>
    <sheet xmlns:r="http://schemas.openxmlformats.org/officeDocument/2006/relationships" name="6" sheetId="10" state="visible" r:id="rId10"/>
    <sheet xmlns:r="http://schemas.openxmlformats.org/officeDocument/2006/relationships" name="7" sheetId="11" state="visible" r:id="rId11"/>
    <sheet xmlns:r="http://schemas.openxmlformats.org/officeDocument/2006/relationships" name="8" sheetId="12" state="visible" r:id="rId12"/>
    <sheet xmlns:r="http://schemas.openxmlformats.org/officeDocument/2006/relationships" name="9" sheetId="13" state="visible" r:id="rId13"/>
    <sheet xmlns:r="http://schemas.openxmlformats.org/officeDocument/2006/relationships" name="10" sheetId="14" state="visible" r:id="rId14"/>
    <sheet xmlns:r="http://schemas.openxmlformats.org/officeDocument/2006/relationships" name="11" sheetId="15" state="visible" r:id="rId15"/>
    <sheet xmlns:r="http://schemas.openxmlformats.org/officeDocument/2006/relationships" name="12" sheetId="16" state="visible" r:id="rId16"/>
    <sheet xmlns:r="http://schemas.openxmlformats.org/officeDocument/2006/relationships" name="13" sheetId="17" state="visible" r:id="rId17"/>
    <sheet xmlns:r="http://schemas.openxmlformats.org/officeDocument/2006/relationships" name="14" sheetId="18" state="visible" r:id="rId18"/>
    <sheet xmlns:r="http://schemas.openxmlformats.org/officeDocument/2006/relationships" name="15" sheetId="19" state="visible" r:id="rId19"/>
    <sheet xmlns:r="http://schemas.openxmlformats.org/officeDocument/2006/relationships" name="16" sheetId="20" state="visible" r:id="rId20"/>
    <sheet xmlns:r="http://schemas.openxmlformats.org/officeDocument/2006/relationships" name="17" sheetId="21" state="visible" r:id="rId21"/>
    <sheet xmlns:r="http://schemas.openxmlformats.org/officeDocument/2006/relationships" name="18" sheetId="22" state="visible" r:id="rId22"/>
    <sheet xmlns:r="http://schemas.openxmlformats.org/officeDocument/2006/relationships" name="19" sheetId="23" state="visible" r:id="rId23"/>
    <sheet xmlns:r="http://schemas.openxmlformats.org/officeDocument/2006/relationships" name="20" sheetId="24" state="visible" r:id="rId24"/>
    <sheet xmlns:r="http://schemas.openxmlformats.org/officeDocument/2006/relationships" name="21" sheetId="25" state="visible" r:id="rId25"/>
    <sheet xmlns:r="http://schemas.openxmlformats.org/officeDocument/2006/relationships" name="22" sheetId="26" state="visible" r:id="rId26"/>
    <sheet xmlns:r="http://schemas.openxmlformats.org/officeDocument/2006/relationships" name="23" sheetId="27" state="visible" r:id="rId27"/>
    <sheet xmlns:r="http://schemas.openxmlformats.org/officeDocument/2006/relationships" name="24" sheetId="28" state="visible" r:id="rId28"/>
    <sheet xmlns:r="http://schemas.openxmlformats.org/officeDocument/2006/relationships" name="25" sheetId="29" state="visible" r:id="rId29"/>
    <sheet xmlns:r="http://schemas.openxmlformats.org/officeDocument/2006/relationships" name="26" sheetId="30" state="visible" r:id="rId30"/>
    <sheet xmlns:r="http://schemas.openxmlformats.org/officeDocument/2006/relationships" name="27" sheetId="31" state="visible" r:id="rId31"/>
    <sheet xmlns:r="http://schemas.openxmlformats.org/officeDocument/2006/relationships" name="28" sheetId="32" state="visible" r:id="rId32"/>
    <sheet xmlns:r="http://schemas.openxmlformats.org/officeDocument/2006/relationships" name="29" sheetId="33" state="visible" r:id="rId33"/>
    <sheet xmlns:r="http://schemas.openxmlformats.org/officeDocument/2006/relationships" name="30" sheetId="34" state="visible" r:id="rId34"/>
    <sheet xmlns:r="http://schemas.openxmlformats.org/officeDocument/2006/relationships" name="31" sheetId="35" state="visible" r:id="rId35"/>
    <sheet xmlns:r="http://schemas.openxmlformats.org/officeDocument/2006/relationships" name="Pracownicy" sheetId="36" state="visible" r:id="rId36"/>
    <sheet xmlns:r="http://schemas.openxmlformats.org/officeDocument/2006/relationships" name="Wózki" sheetId="37" state="visible" r:id="rId37"/>
    <sheet xmlns:r="http://schemas.openxmlformats.org/officeDocument/2006/relationships" name="Ustawienia" sheetId="38" state="visible" r:id="rId38"/>
    <sheet xmlns:r="http://schemas.openxmlformats.org/officeDocument/2006/relationships" name="Dane rozpisek" sheetId="39" state="visible" r:id="rId39"/>
  </sheets>
  <definedNames>
    <definedName name="Rok">Ustawienia!$B$3</definedName>
    <definedName name="Miesiac">Ustawienia!$B$4</definedName>
    <definedName name="DniMiesiaca">Ustawienia!$B$5</definedName>
    <definedName name="ListaZmian">Ustawienia!$A$8:$A$10</definedName>
    <definedName name="ListaUderzen">OFFSET(Ustawienia!$D$4,0,0,MAX(1,COUNTA(Ustawienia!$D$4:$D$33)),1)</definedName>
    <definedName name="ListaCzesci">OFFSET(Ustawienia!$F$4,0,0,MAX(1,COUNTA(Ustawienia!$F$4:$F$33)),1)</definedName>
    <definedName name="ListaKiedy">OFFSET(Ustawienia!$H$4,0,0,MAX(1,COUNTA(Ustawienia!$H$4:$H$13)),1)</definedName>
    <definedName name="ListaStatusow">Ustawienia!$J$4:$J$8</definedName>
    <definedName name="TakNie">Ustawienia!$M$4:$M$5</definedName>
    <definedName name="ListaPracownikow">OFFSET(Pracownicy!$A$2,0,0,MAX(1,COUNTA(Pracownicy!$A$2:$A$2000)),1)</definedName>
    <definedName name="ListaWozkow">OFFSET('Wózki'!$A$2,0,0,MAX(1,COUNTA('Wózki'!$A$2:$A$500)),1)</definedName>
    <definedName name="_xlnm.Print_Area" localSheetId="1">OFFSET('Flota'!$A$1,0,0,'Flota'!$G$2,5)</definedName>
    <definedName name="_xlnm.Print_Area" localSheetId="2">OFFSET('Zgłoszenia'!$A$1,0,0,'Zgłoszenia'!$S$2,16)</definedName>
    <definedName name="_xlnm._FilterDatabase" localSheetId="2" hidden="1">'Zgłoszenia'!$A$4:$P$504</definedName>
    <definedName name="_xlnm.Print_Titles" localSheetId="2">'Zgłoszenia'!$4:$4</definedName>
    <definedName name="_xlnm.Print_Area" localSheetId="3">OFFSET('Historia wózka'!$A$1,0,0,'Historia wózka'!$L$4,10)</definedName>
    <definedName name="_xlnm.Print_Area" localSheetId="4">'1'!$A$1:$L$38</definedName>
    <definedName name="_xlnm.Print_Area" localSheetId="5">'2'!$A$1:$L$38</definedName>
    <definedName name="_xlnm.Print_Area" localSheetId="6">'3'!$A$1:$L$38</definedName>
    <definedName name="_xlnm.Print_Area" localSheetId="7">'4'!$A$1:$L$38</definedName>
    <definedName name="_xlnm.Print_Area" localSheetId="8">'5'!$A$1:$L$38</definedName>
    <definedName name="_xlnm.Print_Area" localSheetId="9">'6'!$A$1:$L$38</definedName>
    <definedName name="_xlnm.Print_Area" localSheetId="10">'7'!$A$1:$L$38</definedName>
    <definedName name="_xlnm.Print_Area" localSheetId="11">'8'!$A$1:$L$38</definedName>
    <definedName name="_xlnm.Print_Area" localSheetId="12">'9'!$A$1:$L$38</definedName>
    <definedName name="_xlnm.Print_Area" localSheetId="13">'10'!$A$1:$L$38</definedName>
    <definedName name="_xlnm.Print_Area" localSheetId="14">'11'!$A$1:$L$38</definedName>
    <definedName name="_xlnm.Print_Area" localSheetId="15">'12'!$A$1:$L$38</definedName>
    <definedName name="_xlnm.Print_Area" localSheetId="16">'13'!$A$1:$L$38</definedName>
    <definedName name="_xlnm.Print_Area" localSheetId="17">'14'!$A$1:$L$38</definedName>
    <definedName name="_xlnm.Print_Area" localSheetId="18">'15'!$A$1:$L$38</definedName>
    <definedName name="_xlnm.Print_Area" localSheetId="19">'16'!$A$1:$L$38</definedName>
    <definedName name="_xlnm.Print_Area" localSheetId="20">'17'!$A$1:$L$38</definedName>
    <definedName name="_xlnm.Print_Area" localSheetId="21">'18'!$A$1:$L$38</definedName>
    <definedName name="_xlnm.Print_Area" localSheetId="22">'19'!$A$1:$L$38</definedName>
    <definedName name="_xlnm.Print_Area" localSheetId="23">'20'!$A$1:$L$38</definedName>
    <definedName name="_xlnm.Print_Area" localSheetId="24">'21'!$A$1:$L$38</definedName>
    <definedName name="_xlnm.Print_Area" localSheetId="25">'22'!$A$1:$L$38</definedName>
    <definedName name="_xlnm.Print_Area" localSheetId="26">'23'!$A$1:$L$38</definedName>
    <definedName name="_xlnm.Print_Area" localSheetId="27">'24'!$A$1:$L$38</definedName>
    <definedName name="_xlnm.Print_Area" localSheetId="28">'25'!$A$1:$L$38</definedName>
    <definedName name="_xlnm.Print_Area" localSheetId="29">'26'!$A$1:$L$38</definedName>
    <definedName name="_xlnm.Print_Area" localSheetId="30">'27'!$A$1:$L$38</definedName>
    <definedName name="_xlnm.Print_Area" localSheetId="31">'28'!$A$1:$L$38</definedName>
    <definedName name="_xlnm.Print_Area" localSheetId="32">'29'!$A$1:$L$38</definedName>
    <definedName name="_xlnm.Print_Area" localSheetId="33">'30'!$A$1:$L$38</definedName>
    <definedName name="_xlnm.Print_Area" localSheetId="34">'31'!$A$1:$L$38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0">
    <font>
      <name val="Calibri"/>
      <family val="2"/>
      <color theme="1"/>
      <sz val="11"/>
      <scheme val="minor"/>
    </font>
    <font>
      <name val="Arial"/>
      <b val="1"/>
      <color rgb="001D2733"/>
      <sz val="16"/>
    </font>
    <font>
      <name val="Arial"/>
      <b val="1"/>
    </font>
    <font>
      <name val="Arial"/>
      <i val="1"/>
      <color rgb="005B6878"/>
      <sz val="9"/>
    </font>
    <font>
      <name val="Arial"/>
      <b val="1"/>
      <color rgb="00FFFFFF"/>
      <sz val="10"/>
    </font>
    <font>
      <name val="Arial"/>
      <b val="1"/>
      <color rgb="001D2733"/>
      <sz val="14"/>
    </font>
    <font>
      <name val="Arial"/>
      <b val="1"/>
      <sz val="12"/>
    </font>
    <font>
      <name val="Arial"/>
      <b val="1"/>
      <sz val="14"/>
    </font>
    <font>
      <name val="Arial"/>
      <sz val="10"/>
    </font>
    <font>
      <name val="Arial"/>
      <b val="1"/>
      <color rgb="00000000"/>
      <sz val="10"/>
    </font>
    <font>
      <name val="Arial"/>
      <b val="1"/>
      <sz val="9.5"/>
    </font>
    <font>
      <name val="Arial"/>
      <sz val="9.5"/>
    </font>
    <font>
      <name val="Arial"/>
      <sz val="9"/>
    </font>
    <font>
      <name val="Arial"/>
      <b val="1"/>
      <color rgb="00B26B00"/>
    </font>
    <font>
      <name val="Arial"/>
      <b val="1"/>
      <color rgb="001F8A4C"/>
      <sz val="20"/>
    </font>
    <font>
      <name val="Arial"/>
      <b val="1"/>
      <color rgb="001F8A4C"/>
      <sz val="9"/>
    </font>
    <font>
      <name val="Arial"/>
      <b val="1"/>
      <color rgb="00B26B00"/>
      <sz val="20"/>
    </font>
    <font>
      <name val="Arial"/>
      <b val="1"/>
      <color rgb="00B26B00"/>
      <sz val="9"/>
    </font>
    <font>
      <name val="Arial"/>
      <b val="1"/>
      <color rgb="001F62B8"/>
      <sz val="20"/>
    </font>
    <font>
      <name val="Arial"/>
      <b val="1"/>
      <color rgb="001F62B8"/>
      <sz val="9"/>
    </font>
    <font>
      <name val="Arial"/>
      <b val="1"/>
      <color rgb="00C0332B"/>
      <sz val="20"/>
    </font>
    <font>
      <name val="Arial"/>
      <b val="1"/>
      <color rgb="00C0332B"/>
      <sz val="9"/>
    </font>
    <font>
      <name val="Arial"/>
      <b val="1"/>
      <color rgb="00B26B00"/>
      <sz val="18"/>
    </font>
    <font>
      <name val="Arial"/>
      <b val="1"/>
      <color rgb="00C0332B"/>
      <sz val="18"/>
    </font>
    <font>
      <name val="Arial"/>
      <b val="1"/>
      <color rgb="001D2733"/>
      <sz val="18"/>
    </font>
    <font>
      <name val="Arial"/>
      <b val="1"/>
      <color rgb="001D2733"/>
      <sz val="9"/>
    </font>
    <font>
      <name val="Arial"/>
      <color rgb="005B6878"/>
    </font>
    <font>
      <name val="Arial"/>
      <b val="1"/>
      <color rgb="001D2733"/>
      <sz val="12"/>
    </font>
    <font>
      <name val="Arial"/>
    </font>
    <font>
      <name val="Arial"/>
      <color theme="1"/>
      <sz val="11"/>
    </font>
  </fonts>
  <fills count="11">
    <fill>
      <patternFill/>
    </fill>
    <fill>
      <patternFill patternType="gray125"/>
    </fill>
    <fill>
      <patternFill patternType="solid">
        <fgColor rgb="00FFFBE6"/>
        <bgColor rgb="00FFFBE6"/>
      </patternFill>
    </fill>
    <fill>
      <patternFill patternType="solid">
        <fgColor rgb="001D2733"/>
        <bgColor rgb="001D2733"/>
      </patternFill>
    </fill>
    <fill>
      <patternFill patternType="solid">
        <fgColor rgb="00FFFFFF"/>
        <bgColor rgb="00FFFFFF"/>
      </patternFill>
    </fill>
    <fill>
      <patternFill patternType="solid">
        <fgColor rgb="00E6E6E6"/>
        <bgColor rgb="00E6E6E6"/>
      </patternFill>
    </fill>
    <fill>
      <patternFill patternType="solid">
        <fgColor rgb="00E2F4EA"/>
        <bgColor rgb="00E2F4EA"/>
      </patternFill>
    </fill>
    <fill>
      <patternFill patternType="solid">
        <fgColor rgb="00FFF1D6"/>
        <bgColor rgb="00FFF1D6"/>
      </patternFill>
    </fill>
    <fill>
      <patternFill patternType="solid">
        <fgColor rgb="00E1ECFA"/>
        <bgColor rgb="00E1ECFA"/>
      </patternFill>
    </fill>
    <fill>
      <patternFill patternType="solid">
        <fgColor rgb="00FBE4E2"/>
        <bgColor rgb="00FBE4E2"/>
      </patternFill>
    </fill>
    <fill>
      <patternFill patternType="solid">
        <fgColor rgb="00F5F7F9"/>
        <bgColor rgb="00F5F7F9"/>
      </patternFill>
    </fill>
  </fills>
  <borders count="11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999999"/>
      </bottom>
    </border>
    <border>
      <bottom style="thin">
        <color rgb="00D5DBE2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bottom style="medium">
        <color rgb="00E8A2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4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7" fillId="0" borderId="10" pivotButton="0" quotePrefix="0" xfId="0"/>
    <xf numFmtId="0" fontId="29" fillId="0" borderId="10" pivotButton="0" quotePrefix="0" xfId="0"/>
    <xf numFmtId="0" fontId="2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9" fillId="2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14" fillId="6" borderId="0" applyAlignment="1" pivotButton="0" quotePrefix="0" xfId="0">
      <alignment horizontal="center"/>
    </xf>
    <xf numFmtId="0" fontId="16" fillId="7" borderId="0" applyAlignment="1" pivotButton="0" quotePrefix="0" xfId="0">
      <alignment horizontal="center"/>
    </xf>
    <xf numFmtId="0" fontId="18" fillId="8" borderId="0" applyAlignment="1" pivotButton="0" quotePrefix="0" xfId="0">
      <alignment horizontal="center"/>
    </xf>
    <xf numFmtId="0" fontId="20" fillId="9" borderId="0" applyAlignment="1" pivotButton="0" quotePrefix="0" xfId="0">
      <alignment horizontal="center"/>
    </xf>
    <xf numFmtId="0" fontId="15" fillId="6" borderId="0" applyAlignment="1" pivotButton="0" quotePrefix="0" xfId="0">
      <alignment horizontal="center"/>
    </xf>
    <xf numFmtId="0" fontId="17" fillId="7" borderId="0" applyAlignment="1" pivotButton="0" quotePrefix="0" xfId="0">
      <alignment horizontal="center"/>
    </xf>
    <xf numFmtId="0" fontId="19" fillId="8" borderId="0" applyAlignment="1" pivotButton="0" quotePrefix="0" xfId="0">
      <alignment horizontal="center"/>
    </xf>
    <xf numFmtId="0" fontId="21" fillId="9" borderId="0" applyAlignment="1" pivotButton="0" quotePrefix="0" xfId="0">
      <alignment horizontal="center"/>
    </xf>
    <xf numFmtId="0" fontId="4" fillId="3" borderId="2" applyAlignment="1" pivotButton="0" quotePrefix="0" xfId="0">
      <alignment vertical="center" wrapText="1"/>
    </xf>
    <xf numFmtId="0" fontId="6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13" fillId="0" borderId="0" pivotButton="0" quotePrefix="0" xfId="0"/>
    <xf numFmtId="0" fontId="8" fillId="0" borderId="4" applyAlignment="1" pivotButton="0" quotePrefix="0" xfId="0">
      <alignment vertical="top"/>
    </xf>
    <xf numFmtId="0" fontId="8" fillId="2" borderId="4" applyAlignment="1" pivotButton="0" quotePrefix="0" xfId="0">
      <alignment vertical="top"/>
    </xf>
    <xf numFmtId="164" fontId="8" fillId="2" borderId="4" applyAlignment="1" pivotButton="0" quotePrefix="0" xfId="0">
      <alignment vertical="top"/>
    </xf>
    <xf numFmtId="0" fontId="8" fillId="2" borderId="4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29" fillId="2" borderId="1" applyAlignment="1" pivotButton="0" quotePrefix="0" xfId="0">
      <alignment horizontal="left"/>
    </xf>
    <xf numFmtId="0" fontId="29" fillId="0" borderId="7" pivotButton="0" quotePrefix="0" xfId="0"/>
    <xf numFmtId="164" fontId="29" fillId="2" borderId="1" applyAlignment="1" pivotButton="0" quotePrefix="0" xfId="0">
      <alignment horizontal="left"/>
    </xf>
    <xf numFmtId="0" fontId="22" fillId="7" borderId="8" applyAlignment="1" pivotButton="0" quotePrefix="0" xfId="0">
      <alignment horizontal="center"/>
    </xf>
    <xf numFmtId="0" fontId="29" fillId="7" borderId="8" pivotButton="0" quotePrefix="0" xfId="0"/>
    <xf numFmtId="0" fontId="23" fillId="9" borderId="8" applyAlignment="1" pivotButton="0" quotePrefix="0" xfId="0">
      <alignment horizontal="center"/>
    </xf>
    <xf numFmtId="0" fontId="29" fillId="9" borderId="8" pivotButton="0" quotePrefix="0" xfId="0"/>
    <xf numFmtId="0" fontId="24" fillId="10" borderId="8" applyAlignment="1" pivotButton="0" quotePrefix="0" xfId="0">
      <alignment horizontal="center"/>
    </xf>
    <xf numFmtId="0" fontId="29" fillId="10" borderId="8" pivotButton="0" quotePrefix="0" xfId="0"/>
    <xf numFmtId="0" fontId="17" fillId="7" borderId="9" applyAlignment="1" pivotButton="0" quotePrefix="0" xfId="0">
      <alignment horizontal="center"/>
    </xf>
    <xf numFmtId="0" fontId="29" fillId="7" borderId="9" pivotButton="0" quotePrefix="0" xfId="0"/>
    <xf numFmtId="0" fontId="21" fillId="9" borderId="9" applyAlignment="1" pivotButton="0" quotePrefix="0" xfId="0">
      <alignment horizontal="center"/>
    </xf>
    <xf numFmtId="0" fontId="29" fillId="9" borderId="9" pivotButton="0" quotePrefix="0" xfId="0"/>
    <xf numFmtId="0" fontId="25" fillId="10" borderId="9" applyAlignment="1" pivotButton="0" quotePrefix="0" xfId="0">
      <alignment horizontal="center"/>
    </xf>
    <xf numFmtId="0" fontId="29" fillId="10" borderId="9" pivotButton="0" quotePrefix="0" xfId="0"/>
    <xf numFmtId="0" fontId="9" fillId="5" borderId="2" applyAlignment="1" pivotButton="0" quotePrefix="0" xfId="0">
      <alignment vertical="center" wrapText="1"/>
    </xf>
    <xf numFmtId="164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0" fontId="7" fillId="0" borderId="2" pivotButton="0" quotePrefix="0" xfId="0"/>
    <xf numFmtId="0" fontId="29" fillId="0" borderId="2" pivotButton="0" quotePrefix="0" xfId="0"/>
    <xf numFmtId="0" fontId="8" fillId="0" borderId="2" pivotButton="0" quotePrefix="0" xfId="0"/>
    <xf numFmtId="0" fontId="9" fillId="4" borderId="2" applyAlignment="1" pivotButton="0" quotePrefix="0" xfId="0">
      <alignment vertical="center" wrapText="1"/>
    </xf>
    <xf numFmtId="0" fontId="10" fillId="5" borderId="2" pivotButton="0" quotePrefix="0" xfId="0"/>
    <xf numFmtId="0" fontId="29" fillId="5" borderId="2" pivotButton="0" quotePrefix="0" xfId="0"/>
    <xf numFmtId="0" fontId="8" fillId="0" borderId="3" applyAlignment="1" pivotButton="0" quotePrefix="0" xfId="0">
      <alignment horizontal="center"/>
    </xf>
    <xf numFmtId="0" fontId="8" fillId="2" borderId="3" pivotButton="0" quotePrefix="0" xfId="0"/>
    <xf numFmtId="0" fontId="8" fillId="2" borderId="3" applyAlignment="1" pivotButton="0" quotePrefix="0" xfId="0">
      <alignment horizontal="center"/>
    </xf>
    <xf numFmtId="0" fontId="11" fillId="0" borderId="0" pivotButton="0" quotePrefix="0" xfId="0"/>
    <xf numFmtId="164" fontId="12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17">
    <dxf>
      <border>
        <bottom style="thin">
          <color rgb="00D5DBE2"/>
        </bottom>
      </border>
    </dxf>
    <dxf>
      <font>
        <b val="1"/>
        <color rgb="001F8A4C"/>
      </font>
      <fill>
        <patternFill patternType="solid">
          <fgColor rgb="00E2F4EA"/>
          <bgColor rgb="00E2F4EA"/>
        </patternFill>
      </fill>
    </dxf>
    <dxf>
      <font>
        <b val="1"/>
        <color rgb="00B26B00"/>
      </font>
      <fill>
        <patternFill patternType="solid">
          <fgColor rgb="00FFF1D6"/>
          <bgColor rgb="00FFF1D6"/>
        </patternFill>
      </fill>
    </dxf>
    <dxf>
      <font>
        <b val="1"/>
        <color rgb="001F62B8"/>
      </font>
      <fill>
        <patternFill patternType="solid">
          <fgColor rgb="00E1ECFA"/>
          <bgColor rgb="00E1ECFA"/>
        </patternFill>
      </fill>
    </dxf>
    <dxf>
      <font>
        <b val="1"/>
        <color rgb="00C0332B"/>
      </font>
      <fill>
        <patternFill patternType="solid">
          <fgColor rgb="00FBE4E2"/>
          <bgColor rgb="00FBE4E2"/>
        </patternFill>
      </fill>
    </dxf>
    <dxf>
      <font>
        <color rgb="00888888"/>
      </font>
    </dxf>
    <dxf>
      <font>
        <b val="1"/>
        <color rgb="005B6878"/>
      </font>
      <fill>
        <patternFill patternType="solid">
          <fgColor rgb="00EEEEEE"/>
          <bgColor rgb="00EEEEEE"/>
        </patternFill>
      </fill>
    </dxf>
    <dxf>
      <font>
        <b val="1"/>
        <color rgb="00000000"/>
        <sz val="12"/>
      </font>
    </dxf>
    <dxf>
      <border>
        <left style="thin">
          <color rgb="00000000"/>
        </left>
        <right style="thin">
          <color rgb="00000000"/>
        </right>
        <top style="thin">
          <color rgb="00000000"/>
        </top>
        <bottom style="thin">
          <color rgb="00000000"/>
        </bottom>
      </border>
    </dxf>
    <dxf>
      <font>
        <i val="1"/>
        <color rgb="005B6878"/>
      </font>
    </dxf>
    <dxf>
      <font>
        <b val="1"/>
      </font>
      <fill>
        <patternFill patternType="solid">
          <fgColor rgb="00E6E6E6"/>
          <bgColor rgb="00E6E6E6"/>
        </patternFill>
      </fill>
      <border>
        <left style="thin">
          <color rgb="00000000"/>
        </left>
        <right style="thin">
          <color rgb="00000000"/>
        </right>
        <top style="thin">
          <color rgb="00000000"/>
        </top>
        <bottom style="thin">
          <color rgb="00000000"/>
        </bottom>
      </border>
    </dxf>
    <dxf>
      <font>
        <b val="1"/>
        <color rgb="00C0332B"/>
      </font>
      <border>
        <left style="thin">
          <color rgb="00000000"/>
        </left>
        <right style="thin">
          <color rgb="00000000"/>
        </right>
        <top style="thin">
          <color rgb="00000000"/>
        </top>
        <bottom style="thin">
          <color rgb="00000000"/>
        </bottom>
      </border>
    </dxf>
    <dxf>
      <font>
        <b val="1"/>
        <color rgb="00B26B00"/>
      </font>
      <fill>
        <patternFill patternType="solid">
          <fgColor rgb="00FFF1D6"/>
          <bgColor rgb="00FFF1D6"/>
        </patternFill>
      </fill>
      <border>
        <left style="thin">
          <color rgb="00000000"/>
        </left>
        <right style="thin">
          <color rgb="00000000"/>
        </right>
        <top style="thin">
          <color rgb="00000000"/>
        </top>
        <bottom style="thin">
          <color rgb="00000000"/>
        </bottom>
      </border>
    </dxf>
    <dxf>
      <font>
        <b val="1"/>
        <color rgb="001F62B8"/>
      </font>
      <fill>
        <patternFill patternType="solid">
          <fgColor rgb="00E1ECFA"/>
          <bgColor rgb="00E1ECFA"/>
        </patternFill>
      </fill>
      <border>
        <left style="thin">
          <color rgb="00000000"/>
        </left>
        <right style="thin">
          <color rgb="00000000"/>
        </right>
        <top style="thin">
          <color rgb="00000000"/>
        </top>
        <bottom style="thin">
          <color rgb="00000000"/>
        </bottom>
      </border>
    </dxf>
    <dxf>
      <font>
        <b val="1"/>
        <color rgb="001F8A4C"/>
      </font>
      <fill>
        <patternFill patternType="solid">
          <fgColor rgb="00E2F4EA"/>
          <bgColor rgb="00E2F4EA"/>
        </patternFill>
      </fill>
      <border>
        <left style="thin">
          <color rgb="00000000"/>
        </left>
        <right style="thin">
          <color rgb="00000000"/>
        </right>
        <top style="thin">
          <color rgb="00000000"/>
        </top>
        <bottom style="thin">
          <color rgb="00000000"/>
        </bottom>
      </border>
    </dxf>
    <dxf>
      <font>
        <b val="1"/>
        <color rgb="005B6878"/>
      </font>
      <fill>
        <patternFill patternType="solid">
          <fgColor rgb="00EEEEEE"/>
          <bgColor rgb="00EEEEEE"/>
        </patternFill>
      </fill>
      <border>
        <left style="thin">
          <color rgb="00000000"/>
        </left>
        <right style="thin">
          <color rgb="00000000"/>
        </right>
        <top style="thin">
          <color rgb="00000000"/>
        </top>
        <bottom style="thin">
          <color rgb="00000000"/>
        </bottom>
      </border>
    </dxf>
    <dxf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A200"/>
    <outlinePr summaryBelow="1" summaryRight="1"/>
    <pageSetUpPr fitToPage="1"/>
  </sheetPr>
  <dimension ref="A1:B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REJESTR USZKODZEŃ WÓZKÓW — wersja Excel</t>
        </is>
      </c>
      <c r="B1" s="2" t="n"/>
    </row>
    <row r="2">
      <c r="A2" s="3" t="inlineStr">
        <is>
          <t>Ten sam układ co aplikacja: Flota, Zgłoszenia, Rozpiska (arkusze 1–31), Historia wózka.</t>
        </is>
      </c>
      <c r="B2" s="2" t="n"/>
    </row>
    <row r="3">
      <c r="A3" s="2" t="n"/>
      <c r="B3" s="2" t="n"/>
    </row>
    <row r="4">
      <c r="A4" s="2" t="n"/>
      <c r="B4" s="2" t="n"/>
    </row>
    <row r="5">
      <c r="A5" s="4" t="inlineStr">
        <is>
          <t>Na start</t>
        </is>
      </c>
      <c r="B5" s="5" t="n"/>
    </row>
    <row r="6">
      <c r="A6" s="6" t="inlineStr">
        <is>
          <t>1.</t>
        </is>
      </c>
      <c r="B6" s="7" t="inlineStr">
        <is>
          <t>Ustawienia: wpisz rok i miesiąc. Arkusze 1–31 pokażą daty i dni tygodnia tego miesiąca (w krótszych miesiącach arkusze 29–31 będą puste).</t>
        </is>
      </c>
    </row>
    <row r="7">
      <c r="A7" s="6" t="inlineStr">
        <is>
          <t>2.</t>
        </is>
      </c>
      <c r="B7" s="7" t="inlineStr">
        <is>
          <t>Pracownicy i Wózki: zastąp przykładowe wpisy własną listą (można wkleić kolumny z Excela). Z tych list biorą się rozwijane listy.</t>
        </is>
      </c>
    </row>
    <row r="8">
      <c r="A8" s="6" t="inlineStr">
        <is>
          <t>3.</t>
        </is>
      </c>
      <c r="B8" s="7" t="inlineStr">
        <is>
          <t>Ustawienia: rodzaje uderzeń, części, nazwy zmian i stanowisk — jak w aplikacji.</t>
        </is>
      </c>
    </row>
    <row r="9">
      <c r="A9" s="2" t="n"/>
      <c r="B9" s="2" t="n"/>
    </row>
    <row r="10">
      <c r="A10" s="4" t="inlineStr">
        <is>
          <t>Na co dzień</t>
        </is>
      </c>
      <c r="B10" s="5" t="n"/>
    </row>
    <row r="11">
      <c r="A11" s="6" t="inlineStr">
        <is>
          <t>Arkusze 1–31</t>
        </is>
      </c>
      <c r="B11" s="7" t="inlineStr">
        <is>
          <t>Rozpiska na dany dzień: zmiana I, II i III obok siebie. Wpisz osobę, wózek i uwagi. Czerwone pole wózka = wózek wpisany dwa razy na tej zmianie albo wyłączony z pracy (otwarte zgłoszenie). Żółte nazwisko = osoba wpisana dwa razy.</t>
        </is>
      </c>
    </row>
    <row r="12">
      <c r="A12" s="6" t="inlineStr">
        <is>
          <t>Zgłoszenia</t>
        </is>
      </c>
      <c r="B12" s="7" t="inlineStr">
        <is>
          <t>Jeden wiersz = jedno zgłoszenie. Status zmieniasz z listy. „Wyłączony z pracy” = TAK blokuje wózek na Flocie i w rozpisce. Kolumna „Wg rozpiski” sama pokazuje, kto miał ten wózek tego dnia.</t>
        </is>
      </c>
    </row>
    <row r="13">
      <c r="A13" s="6" t="inlineStr">
        <is>
          <t>Flota</t>
        </is>
      </c>
      <c r="B13" s="7" t="inlineStr">
        <is>
          <t>Stan każdego wózka liczony ze zgłoszeń: Sprawny / Usterka zgłoszona / W naprawie / Wyłączony z pracy.</t>
        </is>
      </c>
    </row>
    <row r="14">
      <c r="A14" s="6" t="inlineStr">
        <is>
          <t>Historia wózka</t>
        </is>
      </c>
      <c r="B14" s="7" t="inlineStr">
        <is>
          <t>Wybierz wózek i okres: najpierw usterki i uszkodzenia, niżej kto jeździł (z rozpisek). Wydruk obejmuje tylko wypełnione wiersze.</t>
        </is>
      </c>
    </row>
    <row r="15">
      <c r="A15" s="6" t="inlineStr">
        <is>
          <t>Drukowanie</t>
        </is>
      </c>
      <c r="B15" s="7" t="inlineStr">
        <is>
          <t>Arkusz dnia: każda zmiana drukuje się na osobnej stronie A4. Plik nie ma nagłówków ani stopek z adresem.</t>
        </is>
      </c>
    </row>
    <row r="16">
      <c r="A16" s="2" t="n"/>
      <c r="B16" s="2" t="n"/>
    </row>
    <row r="17">
      <c r="A17" s="4" t="inlineStr">
        <is>
          <t>Kolory</t>
        </is>
      </c>
      <c r="B17" s="5" t="n"/>
    </row>
    <row r="18">
      <c r="A18" s="6" t="inlineStr">
        <is>
          <t>Żółte pola</t>
        </is>
      </c>
      <c r="B18" s="7" t="inlineStr">
        <is>
          <t>wypełniasz Ty. Białe pola liczą się same z formuł — nie nadpisuj ich.</t>
        </is>
      </c>
    </row>
    <row r="19">
      <c r="A19" s="6" t="inlineStr">
        <is>
          <t>Dane rozpisek</t>
        </is>
      </c>
      <c r="B19" s="7" t="inlineStr">
        <is>
          <t>arkusz pomocniczy na końcu: zbiera wpisy ze wszystkich dni. Nie wpisuj tam nic.</t>
        </is>
      </c>
    </row>
    <row r="20">
      <c r="A20" s="6" t="inlineStr">
        <is>
          <t>Nowy miesiąc</t>
        </is>
      </c>
      <c r="B20" s="7" t="inlineStr">
        <is>
          <t>Zapisz plik jako kopię (np. Rozpiska 11.2026.xlsx), w kopii zmień miesiąc w Ustawieniach i wyczyść arkusze 1–31.</t>
        </is>
      </c>
    </row>
    <row r="21">
      <c r="A21" s="6" t="inlineStr">
        <is>
          <t>Przykład</t>
        </is>
      </c>
      <c r="B21" s="7" t="inlineStr">
        <is>
          <t>W pliku jest jedno przykładowe zgłoszenie (wózek 105) i jeden wpis w rozpisce dnia 1 — usuń je przed użyciem.</t>
        </is>
      </c>
    </row>
    <row r="22">
      <c r="A22" s="2" t="n"/>
      <c r="B22" s="2" t="n"/>
    </row>
    <row r="23">
      <c r="A23" s="8" t="inlineStr">
        <is>
          <t>Żółte pole</t>
        </is>
      </c>
      <c r="B23" s="2" t="inlineStr">
        <is>
          <t>– do wypełnienia</t>
        </is>
      </c>
    </row>
  </sheetData>
  <pageMargins left="0.4" right="0.4" top="0.4" bottom="0.4" header="0" footer="0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1F8A4C"/>
    <outlinePr summaryBelow="1" summaryRight="1"/>
    <pageSetUpPr fitToPage="1"/>
  </sheetPr>
  <dimension ref="A1:G2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6" customWidth="1" min="4" max="4"/>
    <col width="60" customWidth="1" min="5" max="5"/>
    <col width="3" customWidth="1" min="6" max="6"/>
    <col hidden="1" width="6" customWidth="1" min="7" max="7"/>
  </cols>
  <sheetData>
    <row r="1">
      <c r="A1" s="9" t="inlineStr">
        <is>
          <t>STAN WÓZKÓW</t>
        </is>
      </c>
      <c r="B1" s="2" t="n"/>
      <c r="C1" s="2" t="n"/>
      <c r="D1" s="2" t="n"/>
      <c r="E1" s="2" t="n"/>
      <c r="F1" s="2" t="n"/>
      <c r="G1" s="2" t="n"/>
    </row>
    <row r="2">
      <c r="A2" s="10" t="inlineStr">
        <is>
          <t>Liczone na żywo ze zgłoszeń. Lista wózków: arkusz Wózki.</t>
        </is>
      </c>
      <c r="B2" s="2" t="n"/>
      <c r="C2" s="2" t="n"/>
      <c r="D2" s="2" t="n"/>
      <c r="E2" s="2" t="n"/>
      <c r="F2" s="2" t="n"/>
      <c r="G2" s="2">
        <f>7+MAX(1,COUNTA('Wózki'!$A$2:$A$500))</f>
        <v/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1">
        <f>COUNTIF($C$8:$C$207,"Sprawny")</f>
        <v/>
      </c>
      <c r="B4" s="12">
        <f>COUNTIF($C$8:$C$207,"Usterka zgłoszona")</f>
        <v/>
      </c>
      <c r="C4" s="13">
        <f>COUNTIF($C$8:$C$207,"W naprawie")</f>
        <v/>
      </c>
      <c r="D4" s="14">
        <f>COUNTIF($C$8:$C$207,"Wyłączony z pracy")</f>
        <v/>
      </c>
      <c r="E4" s="2" t="n"/>
      <c r="F4" s="2" t="n"/>
      <c r="G4" s="2" t="n"/>
    </row>
    <row r="5">
      <c r="A5" s="15" t="inlineStr">
        <is>
          <t>Sprawne</t>
        </is>
      </c>
      <c r="B5" s="16" t="inlineStr">
        <is>
          <t>Usterka zgłoszona</t>
        </is>
      </c>
      <c r="C5" s="17" t="inlineStr">
        <is>
          <t>W naprawie</t>
        </is>
      </c>
      <c r="D5" s="18" t="inlineStr">
        <is>
          <t>Wyłączone z pracy</t>
        </is>
      </c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19" t="inlineStr">
        <is>
          <t>Nr wózka</t>
        </is>
      </c>
      <c r="B7" s="19" t="inlineStr">
        <is>
          <t>Typ</t>
        </is>
      </c>
      <c r="C7" s="19" t="inlineStr">
        <is>
          <t>Stan</t>
        </is>
      </c>
      <c r="D7" s="19" t="inlineStr">
        <is>
          <t>Otwarte usterki</t>
        </is>
      </c>
      <c r="E7" s="19" t="inlineStr">
        <is>
          <t>Ostatnia otwarta usterka</t>
        </is>
      </c>
      <c r="F7" s="2" t="n"/>
      <c r="G7" s="2" t="n"/>
    </row>
    <row r="8">
      <c r="A8" s="20">
        <f>IF('Wózki'!A2="","",'Wózki'!A2)</f>
        <v/>
      </c>
      <c r="B8" s="21">
        <f>IF(A8="","",'Wózki'!B2&amp;"")</f>
        <v/>
      </c>
      <c r="C8" s="21">
        <f>IF(A8="","",IF(COUNTIFS('Zgłoszenia'!$B$5:$B$504,A8,'Zgłoszenia'!$O$5:$O$504,"TAK",'Zgłoszenia'!$L$5:$L$504,"TAK")&gt;0,"Wyłączony z pracy",IF(COUNTIFS('Zgłoszenia'!$B$5:$B$504,A8,'Zgłoszenia'!$M$5:$M$504,Ustawienia!$J$5)+COUNTIFS('Zgłoszenia'!$B$5:$B$504,A8,'Zgłoszenia'!$M$5:$M$504,Ustawienia!$J$6)&gt;0,"W naprawie",IF(D8&gt;0,"Usterka zgłoszona","Sprawny"))))</f>
        <v/>
      </c>
      <c r="D8" s="22">
        <f>IF(A8="","",COUNTIFS('Zgłoszenia'!$B$5:$B$504,A8,'Zgłoszenia'!$O$5:$O$504,"TAK"))</f>
        <v/>
      </c>
      <c r="E8" s="21">
        <f>IF(A8="","",IF(D8=0,"Brak otwartych usterek",IF(INDEX('Zgłoszenia'!$D$5:$D$504,G8)="","",RIGHT("0"&amp;DAY(INDEX('Zgłoszenia'!$D$5:$D$504,G8)),2)&amp;"."&amp;RIGHT("0"&amp;MONTH(INDEX('Zgłoszenia'!$D$5:$D$504,G8)),2)&amp;"."&amp;YEAR(INDEX('Zgłoszenia'!$D$5:$D$504,G8)))&amp;" · "&amp;INDEX('Zgłoszenia'!$H$5:$H$504,G8)&amp;" — "&amp;IF(INDEX('Zgłoszenia'!$M$5:$M$504,G8)="","Zgłoszona",INDEX('Zgłoszenia'!$M$5:$M$504,G8))))</f>
        <v/>
      </c>
      <c r="F8" s="2" t="n"/>
      <c r="G8" s="2">
        <f>IF(OR(A8="",D8=0),"",MATCH(SUMPRODUCT(MAX(('Zgłoszenia'!$B$5:$B$504=A8)*'Zgłoszenia'!$R$5:$R$504)),'Zgłoszenia'!$R$5:$R$504,0))</f>
        <v/>
      </c>
    </row>
    <row r="9">
      <c r="A9" s="20">
        <f>IF('Wózki'!A3="","",'Wózki'!A3)</f>
        <v/>
      </c>
      <c r="B9" s="21">
        <f>IF(A9="","",'Wózki'!B3&amp;"")</f>
        <v/>
      </c>
      <c r="C9" s="21">
        <f>IF(A9="","",IF(COUNTIFS('Zgłoszenia'!$B$5:$B$504,A9,'Zgłoszenia'!$O$5:$O$504,"TAK",'Zgłoszenia'!$L$5:$L$504,"TAK")&gt;0,"Wyłączony z pracy",IF(COUNTIFS('Zgłoszenia'!$B$5:$B$504,A9,'Zgłoszenia'!$M$5:$M$504,Ustawienia!$J$5)+COUNTIFS('Zgłoszenia'!$B$5:$B$504,A9,'Zgłoszenia'!$M$5:$M$504,Ustawienia!$J$6)&gt;0,"W naprawie",IF(D9&gt;0,"Usterka zgłoszona","Sprawny"))))</f>
        <v/>
      </c>
      <c r="D9" s="22">
        <f>IF(A9="","",COUNTIFS('Zgłoszenia'!$B$5:$B$504,A9,'Zgłoszenia'!$O$5:$O$504,"TAK"))</f>
        <v/>
      </c>
      <c r="E9" s="21">
        <f>IF(A9="","",IF(D9=0,"Brak otwartych usterek",IF(INDEX('Zgłoszenia'!$D$5:$D$504,G9)="","",RIGHT("0"&amp;DAY(INDEX('Zgłoszenia'!$D$5:$D$504,G9)),2)&amp;"."&amp;RIGHT("0"&amp;MONTH(INDEX('Zgłoszenia'!$D$5:$D$504,G9)),2)&amp;"."&amp;YEAR(INDEX('Zgłoszenia'!$D$5:$D$504,G9)))&amp;" · "&amp;INDEX('Zgłoszenia'!$H$5:$H$504,G9)&amp;" — "&amp;IF(INDEX('Zgłoszenia'!$M$5:$M$504,G9)="","Zgłoszona",INDEX('Zgłoszenia'!$M$5:$M$504,G9))))</f>
        <v/>
      </c>
      <c r="F9" s="2" t="n"/>
      <c r="G9" s="2">
        <f>IF(OR(A9="",D9=0),"",MATCH(SUMPRODUCT(MAX(('Zgłoszenia'!$B$5:$B$504=A9)*'Zgłoszenia'!$R$5:$R$504)),'Zgłoszenia'!$R$5:$R$504,0))</f>
        <v/>
      </c>
    </row>
    <row r="10">
      <c r="A10" s="20">
        <f>IF('Wózki'!A4="","",'Wózki'!A4)</f>
        <v/>
      </c>
      <c r="B10" s="21">
        <f>IF(A10="","",'Wózki'!B4&amp;"")</f>
        <v/>
      </c>
      <c r="C10" s="21">
        <f>IF(A10="","",IF(COUNTIFS('Zgłoszenia'!$B$5:$B$504,A10,'Zgłoszenia'!$O$5:$O$504,"TAK",'Zgłoszenia'!$L$5:$L$504,"TAK")&gt;0,"Wyłączony z pracy",IF(COUNTIFS('Zgłoszenia'!$B$5:$B$504,A10,'Zgłoszenia'!$M$5:$M$504,Ustawienia!$J$5)+COUNTIFS('Zgłoszenia'!$B$5:$B$504,A10,'Zgłoszenia'!$M$5:$M$504,Ustawienia!$J$6)&gt;0,"W naprawie",IF(D10&gt;0,"Usterka zgłoszona","Sprawny"))))</f>
        <v/>
      </c>
      <c r="D10" s="22">
        <f>IF(A10="","",COUNTIFS('Zgłoszenia'!$B$5:$B$504,A10,'Zgłoszenia'!$O$5:$O$504,"TAK"))</f>
        <v/>
      </c>
      <c r="E10" s="21">
        <f>IF(A10="","",IF(D10=0,"Brak otwartych usterek",IF(INDEX('Zgłoszenia'!$D$5:$D$504,G10)="","",RIGHT("0"&amp;DAY(INDEX('Zgłoszenia'!$D$5:$D$504,G10)),2)&amp;"."&amp;RIGHT("0"&amp;MONTH(INDEX('Zgłoszenia'!$D$5:$D$504,G10)),2)&amp;"."&amp;YEAR(INDEX('Zgłoszenia'!$D$5:$D$504,G10)))&amp;" · "&amp;INDEX('Zgłoszenia'!$H$5:$H$504,G10)&amp;" — "&amp;IF(INDEX('Zgłoszenia'!$M$5:$M$504,G10)="","Zgłoszona",INDEX('Zgłoszenia'!$M$5:$M$504,G10))))</f>
        <v/>
      </c>
      <c r="F10" s="2" t="n"/>
      <c r="G10" s="2">
        <f>IF(OR(A10="",D10=0),"",MATCH(SUMPRODUCT(MAX(('Zgłoszenia'!$B$5:$B$504=A10)*'Zgłoszenia'!$R$5:$R$504)),'Zgłoszenia'!$R$5:$R$504,0))</f>
        <v/>
      </c>
    </row>
    <row r="11">
      <c r="A11" s="20">
        <f>IF('Wózki'!A5="","",'Wózki'!A5)</f>
        <v/>
      </c>
      <c r="B11" s="21">
        <f>IF(A11="","",'Wózki'!B5&amp;"")</f>
        <v/>
      </c>
      <c r="C11" s="21">
        <f>IF(A11="","",IF(COUNTIFS('Zgłoszenia'!$B$5:$B$504,A11,'Zgłoszenia'!$O$5:$O$504,"TAK",'Zgłoszenia'!$L$5:$L$504,"TAK")&gt;0,"Wyłączony z pracy",IF(COUNTIFS('Zgłoszenia'!$B$5:$B$504,A11,'Zgłoszenia'!$M$5:$M$504,Ustawienia!$J$5)+COUNTIFS('Zgłoszenia'!$B$5:$B$504,A11,'Zgłoszenia'!$M$5:$M$504,Ustawienia!$J$6)&gt;0,"W naprawie",IF(D11&gt;0,"Usterka zgłoszona","Sprawny"))))</f>
        <v/>
      </c>
      <c r="D11" s="22">
        <f>IF(A11="","",COUNTIFS('Zgłoszenia'!$B$5:$B$504,A11,'Zgłoszenia'!$O$5:$O$504,"TAK"))</f>
        <v/>
      </c>
      <c r="E11" s="21">
        <f>IF(A11="","",IF(D11=0,"Brak otwartych usterek",IF(INDEX('Zgłoszenia'!$D$5:$D$504,G11)="","",RIGHT("0"&amp;DAY(INDEX('Zgłoszenia'!$D$5:$D$504,G11)),2)&amp;"."&amp;RIGHT("0"&amp;MONTH(INDEX('Zgłoszenia'!$D$5:$D$504,G11)),2)&amp;"."&amp;YEAR(INDEX('Zgłoszenia'!$D$5:$D$504,G11)))&amp;" · "&amp;INDEX('Zgłoszenia'!$H$5:$H$504,G11)&amp;" — "&amp;IF(INDEX('Zgłoszenia'!$M$5:$M$504,G11)="","Zgłoszona",INDEX('Zgłoszenia'!$M$5:$M$504,G11))))</f>
        <v/>
      </c>
      <c r="F11" s="2" t="n"/>
      <c r="G11" s="2">
        <f>IF(OR(A11="",D11=0),"",MATCH(SUMPRODUCT(MAX(('Zgłoszenia'!$B$5:$B$504=A11)*'Zgłoszenia'!$R$5:$R$504)),'Zgłoszenia'!$R$5:$R$504,0))</f>
        <v/>
      </c>
    </row>
    <row r="12">
      <c r="A12" s="20">
        <f>IF('Wózki'!A6="","",'Wózki'!A6)</f>
        <v/>
      </c>
      <c r="B12" s="21">
        <f>IF(A12="","",'Wózki'!B6&amp;"")</f>
        <v/>
      </c>
      <c r="C12" s="21">
        <f>IF(A12="","",IF(COUNTIFS('Zgłoszenia'!$B$5:$B$504,A12,'Zgłoszenia'!$O$5:$O$504,"TAK",'Zgłoszenia'!$L$5:$L$504,"TAK")&gt;0,"Wyłączony z pracy",IF(COUNTIFS('Zgłoszenia'!$B$5:$B$504,A12,'Zgłoszenia'!$M$5:$M$504,Ustawienia!$J$5)+COUNTIFS('Zgłoszenia'!$B$5:$B$504,A12,'Zgłoszenia'!$M$5:$M$504,Ustawienia!$J$6)&gt;0,"W naprawie",IF(D12&gt;0,"Usterka zgłoszona","Sprawny"))))</f>
        <v/>
      </c>
      <c r="D12" s="22">
        <f>IF(A12="","",COUNTIFS('Zgłoszenia'!$B$5:$B$504,A12,'Zgłoszenia'!$O$5:$O$504,"TAK"))</f>
        <v/>
      </c>
      <c r="E12" s="21">
        <f>IF(A12="","",IF(D12=0,"Brak otwartych usterek",IF(INDEX('Zgłoszenia'!$D$5:$D$504,G12)="","",RIGHT("0"&amp;DAY(INDEX('Zgłoszenia'!$D$5:$D$504,G12)),2)&amp;"."&amp;RIGHT("0"&amp;MONTH(INDEX('Zgłoszenia'!$D$5:$D$504,G12)),2)&amp;"."&amp;YEAR(INDEX('Zgłoszenia'!$D$5:$D$504,G12)))&amp;" · "&amp;INDEX('Zgłoszenia'!$H$5:$H$504,G12)&amp;" — "&amp;IF(INDEX('Zgłoszenia'!$M$5:$M$504,G12)="","Zgłoszona",INDEX('Zgłoszenia'!$M$5:$M$504,G12))))</f>
        <v/>
      </c>
      <c r="F12" s="2" t="n"/>
      <c r="G12" s="2">
        <f>IF(OR(A12="",D12=0),"",MATCH(SUMPRODUCT(MAX(('Zgłoszenia'!$B$5:$B$504=A12)*'Zgłoszenia'!$R$5:$R$504)),'Zgłoszenia'!$R$5:$R$504,0))</f>
        <v/>
      </c>
    </row>
    <row r="13">
      <c r="A13" s="20">
        <f>IF('Wózki'!A7="","",'Wózki'!A7)</f>
        <v/>
      </c>
      <c r="B13" s="21">
        <f>IF(A13="","",'Wózki'!B7&amp;"")</f>
        <v/>
      </c>
      <c r="C13" s="21">
        <f>IF(A13="","",IF(COUNTIFS('Zgłoszenia'!$B$5:$B$504,A13,'Zgłoszenia'!$O$5:$O$504,"TAK",'Zgłoszenia'!$L$5:$L$504,"TAK")&gt;0,"Wyłączony z pracy",IF(COUNTIFS('Zgłoszenia'!$B$5:$B$504,A13,'Zgłoszenia'!$M$5:$M$504,Ustawienia!$J$5)+COUNTIFS('Zgłoszenia'!$B$5:$B$504,A13,'Zgłoszenia'!$M$5:$M$504,Ustawienia!$J$6)&gt;0,"W naprawie",IF(D13&gt;0,"Usterka zgłoszona","Sprawny"))))</f>
        <v/>
      </c>
      <c r="D13" s="22">
        <f>IF(A13="","",COUNTIFS('Zgłoszenia'!$B$5:$B$504,A13,'Zgłoszenia'!$O$5:$O$504,"TAK"))</f>
        <v/>
      </c>
      <c r="E13" s="21">
        <f>IF(A13="","",IF(D13=0,"Brak otwartych usterek",IF(INDEX('Zgłoszenia'!$D$5:$D$504,G13)="","",RIGHT("0"&amp;DAY(INDEX('Zgłoszenia'!$D$5:$D$504,G13)),2)&amp;"."&amp;RIGHT("0"&amp;MONTH(INDEX('Zgłoszenia'!$D$5:$D$504,G13)),2)&amp;"."&amp;YEAR(INDEX('Zgłoszenia'!$D$5:$D$504,G13)))&amp;" · "&amp;INDEX('Zgłoszenia'!$H$5:$H$504,G13)&amp;" — "&amp;IF(INDEX('Zgłoszenia'!$M$5:$M$504,G13)="","Zgłoszona",INDEX('Zgłoszenia'!$M$5:$M$504,G13))))</f>
        <v/>
      </c>
      <c r="F13" s="2" t="n"/>
      <c r="G13" s="2">
        <f>IF(OR(A13="",D13=0),"",MATCH(SUMPRODUCT(MAX(('Zgłoszenia'!$B$5:$B$504=A13)*'Zgłoszenia'!$R$5:$R$504)),'Zgłoszenia'!$R$5:$R$504,0))</f>
        <v/>
      </c>
    </row>
    <row r="14">
      <c r="A14" s="20">
        <f>IF('Wózki'!A8="","",'Wózki'!A8)</f>
        <v/>
      </c>
      <c r="B14" s="21">
        <f>IF(A14="","",'Wózki'!B8&amp;"")</f>
        <v/>
      </c>
      <c r="C14" s="21">
        <f>IF(A14="","",IF(COUNTIFS('Zgłoszenia'!$B$5:$B$504,A14,'Zgłoszenia'!$O$5:$O$504,"TAK",'Zgłoszenia'!$L$5:$L$504,"TAK")&gt;0,"Wyłączony z pracy",IF(COUNTIFS('Zgłoszenia'!$B$5:$B$504,A14,'Zgłoszenia'!$M$5:$M$504,Ustawienia!$J$5)+COUNTIFS('Zgłoszenia'!$B$5:$B$504,A14,'Zgłoszenia'!$M$5:$M$504,Ustawienia!$J$6)&gt;0,"W naprawie",IF(D14&gt;0,"Usterka zgłoszona","Sprawny"))))</f>
        <v/>
      </c>
      <c r="D14" s="22">
        <f>IF(A14="","",COUNTIFS('Zgłoszenia'!$B$5:$B$504,A14,'Zgłoszenia'!$O$5:$O$504,"TAK"))</f>
        <v/>
      </c>
      <c r="E14" s="21">
        <f>IF(A14="","",IF(D14=0,"Brak otwartych usterek",IF(INDEX('Zgłoszenia'!$D$5:$D$504,G14)="","",RIGHT("0"&amp;DAY(INDEX('Zgłoszenia'!$D$5:$D$504,G14)),2)&amp;"."&amp;RIGHT("0"&amp;MONTH(INDEX('Zgłoszenia'!$D$5:$D$504,G14)),2)&amp;"."&amp;YEAR(INDEX('Zgłoszenia'!$D$5:$D$504,G14)))&amp;" · "&amp;INDEX('Zgłoszenia'!$H$5:$H$504,G14)&amp;" — "&amp;IF(INDEX('Zgłoszenia'!$M$5:$M$504,G14)="","Zgłoszona",INDEX('Zgłoszenia'!$M$5:$M$504,G14))))</f>
        <v/>
      </c>
      <c r="F14" s="2" t="n"/>
      <c r="G14" s="2">
        <f>IF(OR(A14="",D14=0),"",MATCH(SUMPRODUCT(MAX(('Zgłoszenia'!$B$5:$B$504=A14)*'Zgłoszenia'!$R$5:$R$504)),'Zgłoszenia'!$R$5:$R$504,0))</f>
        <v/>
      </c>
    </row>
    <row r="15">
      <c r="A15" s="20">
        <f>IF('Wózki'!A9="","",'Wózki'!A9)</f>
        <v/>
      </c>
      <c r="B15" s="21">
        <f>IF(A15="","",'Wózki'!B9&amp;"")</f>
        <v/>
      </c>
      <c r="C15" s="21">
        <f>IF(A15="","",IF(COUNTIFS('Zgłoszenia'!$B$5:$B$504,A15,'Zgłoszenia'!$O$5:$O$504,"TAK",'Zgłoszenia'!$L$5:$L$504,"TAK")&gt;0,"Wyłączony z pracy",IF(COUNTIFS('Zgłoszenia'!$B$5:$B$504,A15,'Zgłoszenia'!$M$5:$M$504,Ustawienia!$J$5)+COUNTIFS('Zgłoszenia'!$B$5:$B$504,A15,'Zgłoszenia'!$M$5:$M$504,Ustawienia!$J$6)&gt;0,"W naprawie",IF(D15&gt;0,"Usterka zgłoszona","Sprawny"))))</f>
        <v/>
      </c>
      <c r="D15" s="22">
        <f>IF(A15="","",COUNTIFS('Zgłoszenia'!$B$5:$B$504,A15,'Zgłoszenia'!$O$5:$O$504,"TAK"))</f>
        <v/>
      </c>
      <c r="E15" s="21">
        <f>IF(A15="","",IF(D15=0,"Brak otwartych usterek",IF(INDEX('Zgłoszenia'!$D$5:$D$504,G15)="","",RIGHT("0"&amp;DAY(INDEX('Zgłoszenia'!$D$5:$D$504,G15)),2)&amp;"."&amp;RIGHT("0"&amp;MONTH(INDEX('Zgłoszenia'!$D$5:$D$504,G15)),2)&amp;"."&amp;YEAR(INDEX('Zgłoszenia'!$D$5:$D$504,G15)))&amp;" · "&amp;INDEX('Zgłoszenia'!$H$5:$H$504,G15)&amp;" — "&amp;IF(INDEX('Zgłoszenia'!$M$5:$M$504,G15)="","Zgłoszona",INDEX('Zgłoszenia'!$M$5:$M$504,G15))))</f>
        <v/>
      </c>
      <c r="F15" s="2" t="n"/>
      <c r="G15" s="2">
        <f>IF(OR(A15="",D15=0),"",MATCH(SUMPRODUCT(MAX(('Zgłoszenia'!$B$5:$B$504=A15)*'Zgłoszenia'!$R$5:$R$504)),'Zgłoszenia'!$R$5:$R$504,0))</f>
        <v/>
      </c>
    </row>
    <row r="16">
      <c r="A16" s="20">
        <f>IF('Wózki'!A10="","",'Wózki'!A10)</f>
        <v/>
      </c>
      <c r="B16" s="21">
        <f>IF(A16="","",'Wózki'!B10&amp;"")</f>
        <v/>
      </c>
      <c r="C16" s="21">
        <f>IF(A16="","",IF(COUNTIFS('Zgłoszenia'!$B$5:$B$504,A16,'Zgłoszenia'!$O$5:$O$504,"TAK",'Zgłoszenia'!$L$5:$L$504,"TAK")&gt;0,"Wyłączony z pracy",IF(COUNTIFS('Zgłoszenia'!$B$5:$B$504,A16,'Zgłoszenia'!$M$5:$M$504,Ustawienia!$J$5)+COUNTIFS('Zgłoszenia'!$B$5:$B$504,A16,'Zgłoszenia'!$M$5:$M$504,Ustawienia!$J$6)&gt;0,"W naprawie",IF(D16&gt;0,"Usterka zgłoszona","Sprawny"))))</f>
        <v/>
      </c>
      <c r="D16" s="22">
        <f>IF(A16="","",COUNTIFS('Zgłoszenia'!$B$5:$B$504,A16,'Zgłoszenia'!$O$5:$O$504,"TAK"))</f>
        <v/>
      </c>
      <c r="E16" s="21">
        <f>IF(A16="","",IF(D16=0,"Brak otwartych usterek",IF(INDEX('Zgłoszenia'!$D$5:$D$504,G16)="","",RIGHT("0"&amp;DAY(INDEX('Zgłoszenia'!$D$5:$D$504,G16)),2)&amp;"."&amp;RIGHT("0"&amp;MONTH(INDEX('Zgłoszenia'!$D$5:$D$504,G16)),2)&amp;"."&amp;YEAR(INDEX('Zgłoszenia'!$D$5:$D$504,G16)))&amp;" · "&amp;INDEX('Zgłoszenia'!$H$5:$H$504,G16)&amp;" — "&amp;IF(INDEX('Zgłoszenia'!$M$5:$M$504,G16)="","Zgłoszona",INDEX('Zgłoszenia'!$M$5:$M$504,G16))))</f>
        <v/>
      </c>
      <c r="F16" s="2" t="n"/>
      <c r="G16" s="2">
        <f>IF(OR(A16="",D16=0),"",MATCH(SUMPRODUCT(MAX(('Zgłoszenia'!$B$5:$B$504=A16)*'Zgłoszenia'!$R$5:$R$504)),'Zgłoszenia'!$R$5:$R$504,0))</f>
        <v/>
      </c>
    </row>
    <row r="17">
      <c r="A17" s="20">
        <f>IF('Wózki'!A11="","",'Wózki'!A11)</f>
        <v/>
      </c>
      <c r="B17" s="21">
        <f>IF(A17="","",'Wózki'!B11&amp;"")</f>
        <v/>
      </c>
      <c r="C17" s="21">
        <f>IF(A17="","",IF(COUNTIFS('Zgłoszenia'!$B$5:$B$504,A17,'Zgłoszenia'!$O$5:$O$504,"TAK",'Zgłoszenia'!$L$5:$L$504,"TAK")&gt;0,"Wyłączony z pracy",IF(COUNTIFS('Zgłoszenia'!$B$5:$B$504,A17,'Zgłoszenia'!$M$5:$M$504,Ustawienia!$J$5)+COUNTIFS('Zgłoszenia'!$B$5:$B$504,A17,'Zgłoszenia'!$M$5:$M$504,Ustawienia!$J$6)&gt;0,"W naprawie",IF(D17&gt;0,"Usterka zgłoszona","Sprawny"))))</f>
        <v/>
      </c>
      <c r="D17" s="22">
        <f>IF(A17="","",COUNTIFS('Zgłoszenia'!$B$5:$B$504,A17,'Zgłoszenia'!$O$5:$O$504,"TAK"))</f>
        <v/>
      </c>
      <c r="E17" s="21">
        <f>IF(A17="","",IF(D17=0,"Brak otwartych usterek",IF(INDEX('Zgłoszenia'!$D$5:$D$504,G17)="","",RIGHT("0"&amp;DAY(INDEX('Zgłoszenia'!$D$5:$D$504,G17)),2)&amp;"."&amp;RIGHT("0"&amp;MONTH(INDEX('Zgłoszenia'!$D$5:$D$504,G17)),2)&amp;"."&amp;YEAR(INDEX('Zgłoszenia'!$D$5:$D$504,G17)))&amp;" · "&amp;INDEX('Zgłoszenia'!$H$5:$H$504,G17)&amp;" — "&amp;IF(INDEX('Zgłoszenia'!$M$5:$M$504,G17)="","Zgłoszona",INDEX('Zgłoszenia'!$M$5:$M$504,G17))))</f>
        <v/>
      </c>
      <c r="F17" s="2" t="n"/>
      <c r="G17" s="2">
        <f>IF(OR(A17="",D17=0),"",MATCH(SUMPRODUCT(MAX(('Zgłoszenia'!$B$5:$B$504=A17)*'Zgłoszenia'!$R$5:$R$504)),'Zgłoszenia'!$R$5:$R$504,0))</f>
        <v/>
      </c>
    </row>
    <row r="18">
      <c r="A18" s="20">
        <f>IF('Wózki'!A12="","",'Wózki'!A12)</f>
        <v/>
      </c>
      <c r="B18" s="21">
        <f>IF(A18="","",'Wózki'!B12&amp;"")</f>
        <v/>
      </c>
      <c r="C18" s="21">
        <f>IF(A18="","",IF(COUNTIFS('Zgłoszenia'!$B$5:$B$504,A18,'Zgłoszenia'!$O$5:$O$504,"TAK",'Zgłoszenia'!$L$5:$L$504,"TAK")&gt;0,"Wyłączony z pracy",IF(COUNTIFS('Zgłoszenia'!$B$5:$B$504,A18,'Zgłoszenia'!$M$5:$M$504,Ustawienia!$J$5)+COUNTIFS('Zgłoszenia'!$B$5:$B$504,A18,'Zgłoszenia'!$M$5:$M$504,Ustawienia!$J$6)&gt;0,"W naprawie",IF(D18&gt;0,"Usterka zgłoszona","Sprawny"))))</f>
        <v/>
      </c>
      <c r="D18" s="22">
        <f>IF(A18="","",COUNTIFS('Zgłoszenia'!$B$5:$B$504,A18,'Zgłoszenia'!$O$5:$O$504,"TAK"))</f>
        <v/>
      </c>
      <c r="E18" s="21">
        <f>IF(A18="","",IF(D18=0,"Brak otwartych usterek",IF(INDEX('Zgłoszenia'!$D$5:$D$504,G18)="","",RIGHT("0"&amp;DAY(INDEX('Zgłoszenia'!$D$5:$D$504,G18)),2)&amp;"."&amp;RIGHT("0"&amp;MONTH(INDEX('Zgłoszenia'!$D$5:$D$504,G18)),2)&amp;"."&amp;YEAR(INDEX('Zgłoszenia'!$D$5:$D$504,G18)))&amp;" · "&amp;INDEX('Zgłoszenia'!$H$5:$H$504,G18)&amp;" — "&amp;IF(INDEX('Zgłoszenia'!$M$5:$M$504,G18)="","Zgłoszona",INDEX('Zgłoszenia'!$M$5:$M$504,G18))))</f>
        <v/>
      </c>
      <c r="F18" s="2" t="n"/>
      <c r="G18" s="2">
        <f>IF(OR(A18="",D18=0),"",MATCH(SUMPRODUCT(MAX(('Zgłoszenia'!$B$5:$B$504=A18)*'Zgłoszenia'!$R$5:$R$504)),'Zgłoszenia'!$R$5:$R$504,0))</f>
        <v/>
      </c>
    </row>
    <row r="19">
      <c r="A19" s="20">
        <f>IF('Wózki'!A13="","",'Wózki'!A13)</f>
        <v/>
      </c>
      <c r="B19" s="21">
        <f>IF(A19="","",'Wózki'!B13&amp;"")</f>
        <v/>
      </c>
      <c r="C19" s="21">
        <f>IF(A19="","",IF(COUNTIFS('Zgłoszenia'!$B$5:$B$504,A19,'Zgłoszenia'!$O$5:$O$504,"TAK",'Zgłoszenia'!$L$5:$L$504,"TAK")&gt;0,"Wyłączony z pracy",IF(COUNTIFS('Zgłoszenia'!$B$5:$B$504,A19,'Zgłoszenia'!$M$5:$M$504,Ustawienia!$J$5)+COUNTIFS('Zgłoszenia'!$B$5:$B$504,A19,'Zgłoszenia'!$M$5:$M$504,Ustawienia!$J$6)&gt;0,"W naprawie",IF(D19&gt;0,"Usterka zgłoszona","Sprawny"))))</f>
        <v/>
      </c>
      <c r="D19" s="22">
        <f>IF(A19="","",COUNTIFS('Zgłoszenia'!$B$5:$B$504,A19,'Zgłoszenia'!$O$5:$O$504,"TAK"))</f>
        <v/>
      </c>
      <c r="E19" s="21">
        <f>IF(A19="","",IF(D19=0,"Brak otwartych usterek",IF(INDEX('Zgłoszenia'!$D$5:$D$504,G19)="","",RIGHT("0"&amp;DAY(INDEX('Zgłoszenia'!$D$5:$D$504,G19)),2)&amp;"."&amp;RIGHT("0"&amp;MONTH(INDEX('Zgłoszenia'!$D$5:$D$504,G19)),2)&amp;"."&amp;YEAR(INDEX('Zgłoszenia'!$D$5:$D$504,G19)))&amp;" · "&amp;INDEX('Zgłoszenia'!$H$5:$H$504,G19)&amp;" — "&amp;IF(INDEX('Zgłoszenia'!$M$5:$M$504,G19)="","Zgłoszona",INDEX('Zgłoszenia'!$M$5:$M$504,G19))))</f>
        <v/>
      </c>
      <c r="F19" s="2" t="n"/>
      <c r="G19" s="2">
        <f>IF(OR(A19="",D19=0),"",MATCH(SUMPRODUCT(MAX(('Zgłoszenia'!$B$5:$B$504=A19)*'Zgłoszenia'!$R$5:$R$504)),'Zgłoszenia'!$R$5:$R$504,0))</f>
        <v/>
      </c>
    </row>
    <row r="20">
      <c r="A20" s="20">
        <f>IF('Wózki'!A14="","",'Wózki'!A14)</f>
        <v/>
      </c>
      <c r="B20" s="21">
        <f>IF(A20="","",'Wózki'!B14&amp;"")</f>
        <v/>
      </c>
      <c r="C20" s="21">
        <f>IF(A20="","",IF(COUNTIFS('Zgłoszenia'!$B$5:$B$504,A20,'Zgłoszenia'!$O$5:$O$504,"TAK",'Zgłoszenia'!$L$5:$L$504,"TAK")&gt;0,"Wyłączony z pracy",IF(COUNTIFS('Zgłoszenia'!$B$5:$B$504,A20,'Zgłoszenia'!$M$5:$M$504,Ustawienia!$J$5)+COUNTIFS('Zgłoszenia'!$B$5:$B$504,A20,'Zgłoszenia'!$M$5:$M$504,Ustawienia!$J$6)&gt;0,"W naprawie",IF(D20&gt;0,"Usterka zgłoszona","Sprawny"))))</f>
        <v/>
      </c>
      <c r="D20" s="22">
        <f>IF(A20="","",COUNTIFS('Zgłoszenia'!$B$5:$B$504,A20,'Zgłoszenia'!$O$5:$O$504,"TAK"))</f>
        <v/>
      </c>
      <c r="E20" s="21">
        <f>IF(A20="","",IF(D20=0,"Brak otwartych usterek",IF(INDEX('Zgłoszenia'!$D$5:$D$504,G20)="","",RIGHT("0"&amp;DAY(INDEX('Zgłoszenia'!$D$5:$D$504,G20)),2)&amp;"."&amp;RIGHT("0"&amp;MONTH(INDEX('Zgłoszenia'!$D$5:$D$504,G20)),2)&amp;"."&amp;YEAR(INDEX('Zgłoszenia'!$D$5:$D$504,G20)))&amp;" · "&amp;INDEX('Zgłoszenia'!$H$5:$H$504,G20)&amp;" — "&amp;IF(INDEX('Zgłoszenia'!$M$5:$M$504,G20)="","Zgłoszona",INDEX('Zgłoszenia'!$M$5:$M$504,G20))))</f>
        <v/>
      </c>
      <c r="F20" s="2" t="n"/>
      <c r="G20" s="2">
        <f>IF(OR(A20="",D20=0),"",MATCH(SUMPRODUCT(MAX(('Zgłoszenia'!$B$5:$B$504=A20)*'Zgłoszenia'!$R$5:$R$504)),'Zgłoszenia'!$R$5:$R$504,0))</f>
        <v/>
      </c>
    </row>
    <row r="21">
      <c r="A21" s="20">
        <f>IF('Wózki'!A15="","",'Wózki'!A15)</f>
        <v/>
      </c>
      <c r="B21" s="21">
        <f>IF(A21="","",'Wózki'!B15&amp;"")</f>
        <v/>
      </c>
      <c r="C21" s="21">
        <f>IF(A21="","",IF(COUNTIFS('Zgłoszenia'!$B$5:$B$504,A21,'Zgłoszenia'!$O$5:$O$504,"TAK",'Zgłoszenia'!$L$5:$L$504,"TAK")&gt;0,"Wyłączony z pracy",IF(COUNTIFS('Zgłoszenia'!$B$5:$B$504,A21,'Zgłoszenia'!$M$5:$M$504,Ustawienia!$J$5)+COUNTIFS('Zgłoszenia'!$B$5:$B$504,A21,'Zgłoszenia'!$M$5:$M$504,Ustawienia!$J$6)&gt;0,"W naprawie",IF(D21&gt;0,"Usterka zgłoszona","Sprawny"))))</f>
        <v/>
      </c>
      <c r="D21" s="22">
        <f>IF(A21="","",COUNTIFS('Zgłoszenia'!$B$5:$B$504,A21,'Zgłoszenia'!$O$5:$O$504,"TAK"))</f>
        <v/>
      </c>
      <c r="E21" s="21">
        <f>IF(A21="","",IF(D21=0,"Brak otwartych usterek",IF(INDEX('Zgłoszenia'!$D$5:$D$504,G21)="","",RIGHT("0"&amp;DAY(INDEX('Zgłoszenia'!$D$5:$D$504,G21)),2)&amp;"."&amp;RIGHT("0"&amp;MONTH(INDEX('Zgłoszenia'!$D$5:$D$504,G21)),2)&amp;"."&amp;YEAR(INDEX('Zgłoszenia'!$D$5:$D$504,G21)))&amp;" · "&amp;INDEX('Zgłoszenia'!$H$5:$H$504,G21)&amp;" — "&amp;IF(INDEX('Zgłoszenia'!$M$5:$M$504,G21)="","Zgłoszona",INDEX('Zgłoszenia'!$M$5:$M$504,G21))))</f>
        <v/>
      </c>
      <c r="F21" s="2" t="n"/>
      <c r="G21" s="2">
        <f>IF(OR(A21="",D21=0),"",MATCH(SUMPRODUCT(MAX(('Zgłoszenia'!$B$5:$B$504=A21)*'Zgłoszenia'!$R$5:$R$504)),'Zgłoszenia'!$R$5:$R$504,0))</f>
        <v/>
      </c>
    </row>
    <row r="22">
      <c r="A22" s="20">
        <f>IF('Wózki'!A16="","",'Wózki'!A16)</f>
        <v/>
      </c>
      <c r="B22" s="21">
        <f>IF(A22="","",'Wózki'!B16&amp;"")</f>
        <v/>
      </c>
      <c r="C22" s="21">
        <f>IF(A22="","",IF(COUNTIFS('Zgłoszenia'!$B$5:$B$504,A22,'Zgłoszenia'!$O$5:$O$504,"TAK",'Zgłoszenia'!$L$5:$L$504,"TAK")&gt;0,"Wyłączony z pracy",IF(COUNTIFS('Zgłoszenia'!$B$5:$B$504,A22,'Zgłoszenia'!$M$5:$M$504,Ustawienia!$J$5)+COUNTIFS('Zgłoszenia'!$B$5:$B$504,A22,'Zgłoszenia'!$M$5:$M$504,Ustawienia!$J$6)&gt;0,"W naprawie",IF(D22&gt;0,"Usterka zgłoszona","Sprawny"))))</f>
        <v/>
      </c>
      <c r="D22" s="22">
        <f>IF(A22="","",COUNTIFS('Zgłoszenia'!$B$5:$B$504,A22,'Zgłoszenia'!$O$5:$O$504,"TAK"))</f>
        <v/>
      </c>
      <c r="E22" s="21">
        <f>IF(A22="","",IF(D22=0,"Brak otwartych usterek",IF(INDEX('Zgłoszenia'!$D$5:$D$504,G22)="","",RIGHT("0"&amp;DAY(INDEX('Zgłoszenia'!$D$5:$D$504,G22)),2)&amp;"."&amp;RIGHT("0"&amp;MONTH(INDEX('Zgłoszenia'!$D$5:$D$504,G22)),2)&amp;"."&amp;YEAR(INDEX('Zgłoszenia'!$D$5:$D$504,G22)))&amp;" · "&amp;INDEX('Zgłoszenia'!$H$5:$H$504,G22)&amp;" — "&amp;IF(INDEX('Zgłoszenia'!$M$5:$M$504,G22)="","Zgłoszona",INDEX('Zgłoszenia'!$M$5:$M$504,G22))))</f>
        <v/>
      </c>
      <c r="F22" s="2" t="n"/>
      <c r="G22" s="2">
        <f>IF(OR(A22="",D22=0),"",MATCH(SUMPRODUCT(MAX(('Zgłoszenia'!$B$5:$B$504=A22)*'Zgłoszenia'!$R$5:$R$504)),'Zgłoszenia'!$R$5:$R$504,0))</f>
        <v/>
      </c>
    </row>
    <row r="23">
      <c r="A23" s="20">
        <f>IF('Wózki'!A17="","",'Wózki'!A17)</f>
        <v/>
      </c>
      <c r="B23" s="21">
        <f>IF(A23="","",'Wózki'!B17&amp;"")</f>
        <v/>
      </c>
      <c r="C23" s="21">
        <f>IF(A23="","",IF(COUNTIFS('Zgłoszenia'!$B$5:$B$504,A23,'Zgłoszenia'!$O$5:$O$504,"TAK",'Zgłoszenia'!$L$5:$L$504,"TAK")&gt;0,"Wyłączony z pracy",IF(COUNTIFS('Zgłoszenia'!$B$5:$B$504,A23,'Zgłoszenia'!$M$5:$M$504,Ustawienia!$J$5)+COUNTIFS('Zgłoszenia'!$B$5:$B$504,A23,'Zgłoszenia'!$M$5:$M$504,Ustawienia!$J$6)&gt;0,"W naprawie",IF(D23&gt;0,"Usterka zgłoszona","Sprawny"))))</f>
        <v/>
      </c>
      <c r="D23" s="22">
        <f>IF(A23="","",COUNTIFS('Zgłoszenia'!$B$5:$B$504,A23,'Zgłoszenia'!$O$5:$O$504,"TAK"))</f>
        <v/>
      </c>
      <c r="E23" s="21">
        <f>IF(A23="","",IF(D23=0,"Brak otwartych usterek",IF(INDEX('Zgłoszenia'!$D$5:$D$504,G23)="","",RIGHT("0"&amp;DAY(INDEX('Zgłoszenia'!$D$5:$D$504,G23)),2)&amp;"."&amp;RIGHT("0"&amp;MONTH(INDEX('Zgłoszenia'!$D$5:$D$504,G23)),2)&amp;"."&amp;YEAR(INDEX('Zgłoszenia'!$D$5:$D$504,G23)))&amp;" · "&amp;INDEX('Zgłoszenia'!$H$5:$H$504,G23)&amp;" — "&amp;IF(INDEX('Zgłoszenia'!$M$5:$M$504,G23)="","Zgłoszona",INDEX('Zgłoszenia'!$M$5:$M$504,G23))))</f>
        <v/>
      </c>
      <c r="F23" s="2" t="n"/>
      <c r="G23" s="2">
        <f>IF(OR(A23="",D23=0),"",MATCH(SUMPRODUCT(MAX(('Zgłoszenia'!$B$5:$B$504=A23)*'Zgłoszenia'!$R$5:$R$504)),'Zgłoszenia'!$R$5:$R$504,0))</f>
        <v/>
      </c>
    </row>
    <row r="24">
      <c r="A24" s="20">
        <f>IF('Wózki'!A18="","",'Wózki'!A18)</f>
        <v/>
      </c>
      <c r="B24" s="21">
        <f>IF(A24="","",'Wózki'!B18&amp;"")</f>
        <v/>
      </c>
      <c r="C24" s="21">
        <f>IF(A24="","",IF(COUNTIFS('Zgłoszenia'!$B$5:$B$504,A24,'Zgłoszenia'!$O$5:$O$504,"TAK",'Zgłoszenia'!$L$5:$L$504,"TAK")&gt;0,"Wyłączony z pracy",IF(COUNTIFS('Zgłoszenia'!$B$5:$B$504,A24,'Zgłoszenia'!$M$5:$M$504,Ustawienia!$J$5)+COUNTIFS('Zgłoszenia'!$B$5:$B$504,A24,'Zgłoszenia'!$M$5:$M$504,Ustawienia!$J$6)&gt;0,"W naprawie",IF(D24&gt;0,"Usterka zgłoszona","Sprawny"))))</f>
        <v/>
      </c>
      <c r="D24" s="22">
        <f>IF(A24="","",COUNTIFS('Zgłoszenia'!$B$5:$B$504,A24,'Zgłoszenia'!$O$5:$O$504,"TAK"))</f>
        <v/>
      </c>
      <c r="E24" s="21">
        <f>IF(A24="","",IF(D24=0,"Brak otwartych usterek",IF(INDEX('Zgłoszenia'!$D$5:$D$504,G24)="","",RIGHT("0"&amp;DAY(INDEX('Zgłoszenia'!$D$5:$D$504,G24)),2)&amp;"."&amp;RIGHT("0"&amp;MONTH(INDEX('Zgłoszenia'!$D$5:$D$504,G24)),2)&amp;"."&amp;YEAR(INDEX('Zgłoszenia'!$D$5:$D$504,G24)))&amp;" · "&amp;INDEX('Zgłoszenia'!$H$5:$H$504,G24)&amp;" — "&amp;IF(INDEX('Zgłoszenia'!$M$5:$M$504,G24)="","Zgłoszona",INDEX('Zgłoszenia'!$M$5:$M$504,G24))))</f>
        <v/>
      </c>
      <c r="F24" s="2" t="n"/>
      <c r="G24" s="2">
        <f>IF(OR(A24="",D24=0),"",MATCH(SUMPRODUCT(MAX(('Zgłoszenia'!$B$5:$B$504=A24)*'Zgłoszenia'!$R$5:$R$504)),'Zgłoszenia'!$R$5:$R$504,0))</f>
        <v/>
      </c>
    </row>
    <row r="25">
      <c r="A25" s="20">
        <f>IF('Wózki'!A19="","",'Wózki'!A19)</f>
        <v/>
      </c>
      <c r="B25" s="21">
        <f>IF(A25="","",'Wózki'!B19&amp;"")</f>
        <v/>
      </c>
      <c r="C25" s="21">
        <f>IF(A25="","",IF(COUNTIFS('Zgłoszenia'!$B$5:$B$504,A25,'Zgłoszenia'!$O$5:$O$504,"TAK",'Zgłoszenia'!$L$5:$L$504,"TAK")&gt;0,"Wyłączony z pracy",IF(COUNTIFS('Zgłoszenia'!$B$5:$B$504,A25,'Zgłoszenia'!$M$5:$M$504,Ustawienia!$J$5)+COUNTIFS('Zgłoszenia'!$B$5:$B$504,A25,'Zgłoszenia'!$M$5:$M$504,Ustawienia!$J$6)&gt;0,"W naprawie",IF(D25&gt;0,"Usterka zgłoszona","Sprawny"))))</f>
        <v/>
      </c>
      <c r="D25" s="22">
        <f>IF(A25="","",COUNTIFS('Zgłoszenia'!$B$5:$B$504,A25,'Zgłoszenia'!$O$5:$O$504,"TAK"))</f>
        <v/>
      </c>
      <c r="E25" s="21">
        <f>IF(A25="","",IF(D25=0,"Brak otwartych usterek",IF(INDEX('Zgłoszenia'!$D$5:$D$504,G25)="","",RIGHT("0"&amp;DAY(INDEX('Zgłoszenia'!$D$5:$D$504,G25)),2)&amp;"."&amp;RIGHT("0"&amp;MONTH(INDEX('Zgłoszenia'!$D$5:$D$504,G25)),2)&amp;"."&amp;YEAR(INDEX('Zgłoszenia'!$D$5:$D$504,G25)))&amp;" · "&amp;INDEX('Zgłoszenia'!$H$5:$H$504,G25)&amp;" — "&amp;IF(INDEX('Zgłoszenia'!$M$5:$M$504,G25)="","Zgłoszona",INDEX('Zgłoszenia'!$M$5:$M$504,G25))))</f>
        <v/>
      </c>
      <c r="F25" s="2" t="n"/>
      <c r="G25" s="2">
        <f>IF(OR(A25="",D25=0),"",MATCH(SUMPRODUCT(MAX(('Zgłoszenia'!$B$5:$B$504=A25)*'Zgłoszenia'!$R$5:$R$504)),'Zgłoszenia'!$R$5:$R$504,0))</f>
        <v/>
      </c>
    </row>
    <row r="26">
      <c r="A26" s="20">
        <f>IF('Wózki'!A20="","",'Wózki'!A20)</f>
        <v/>
      </c>
      <c r="B26" s="21">
        <f>IF(A26="","",'Wózki'!B20&amp;"")</f>
        <v/>
      </c>
      <c r="C26" s="21">
        <f>IF(A26="","",IF(COUNTIFS('Zgłoszenia'!$B$5:$B$504,A26,'Zgłoszenia'!$O$5:$O$504,"TAK",'Zgłoszenia'!$L$5:$L$504,"TAK")&gt;0,"Wyłączony z pracy",IF(COUNTIFS('Zgłoszenia'!$B$5:$B$504,A26,'Zgłoszenia'!$M$5:$M$504,Ustawienia!$J$5)+COUNTIFS('Zgłoszenia'!$B$5:$B$504,A26,'Zgłoszenia'!$M$5:$M$504,Ustawienia!$J$6)&gt;0,"W naprawie",IF(D26&gt;0,"Usterka zgłoszona","Sprawny"))))</f>
        <v/>
      </c>
      <c r="D26" s="22">
        <f>IF(A26="","",COUNTIFS('Zgłoszenia'!$B$5:$B$504,A26,'Zgłoszenia'!$O$5:$O$504,"TAK"))</f>
        <v/>
      </c>
      <c r="E26" s="21">
        <f>IF(A26="","",IF(D26=0,"Brak otwartych usterek",IF(INDEX('Zgłoszenia'!$D$5:$D$504,G26)="","",RIGHT("0"&amp;DAY(INDEX('Zgłoszenia'!$D$5:$D$504,G26)),2)&amp;"."&amp;RIGHT("0"&amp;MONTH(INDEX('Zgłoszenia'!$D$5:$D$504,G26)),2)&amp;"."&amp;YEAR(INDEX('Zgłoszenia'!$D$5:$D$504,G26)))&amp;" · "&amp;INDEX('Zgłoszenia'!$H$5:$H$504,G26)&amp;" — "&amp;IF(INDEX('Zgłoszenia'!$M$5:$M$504,G26)="","Zgłoszona",INDEX('Zgłoszenia'!$M$5:$M$504,G26))))</f>
        <v/>
      </c>
      <c r="F26" s="2" t="n"/>
      <c r="G26" s="2">
        <f>IF(OR(A26="",D26=0),"",MATCH(SUMPRODUCT(MAX(('Zgłoszenia'!$B$5:$B$504=A26)*'Zgłoszenia'!$R$5:$R$504)),'Zgłoszenia'!$R$5:$R$504,0))</f>
        <v/>
      </c>
    </row>
    <row r="27">
      <c r="A27" s="20">
        <f>IF('Wózki'!A21="","",'Wózki'!A21)</f>
        <v/>
      </c>
      <c r="B27" s="21">
        <f>IF(A27="","",'Wózki'!B21&amp;"")</f>
        <v/>
      </c>
      <c r="C27" s="21">
        <f>IF(A27="","",IF(COUNTIFS('Zgłoszenia'!$B$5:$B$504,A27,'Zgłoszenia'!$O$5:$O$504,"TAK",'Zgłoszenia'!$L$5:$L$504,"TAK")&gt;0,"Wyłączony z pracy",IF(COUNTIFS('Zgłoszenia'!$B$5:$B$504,A27,'Zgłoszenia'!$M$5:$M$504,Ustawienia!$J$5)+COUNTIFS('Zgłoszenia'!$B$5:$B$504,A27,'Zgłoszenia'!$M$5:$M$504,Ustawienia!$J$6)&gt;0,"W naprawie",IF(D27&gt;0,"Usterka zgłoszona","Sprawny"))))</f>
        <v/>
      </c>
      <c r="D27" s="22">
        <f>IF(A27="","",COUNTIFS('Zgłoszenia'!$B$5:$B$504,A27,'Zgłoszenia'!$O$5:$O$504,"TAK"))</f>
        <v/>
      </c>
      <c r="E27" s="21">
        <f>IF(A27="","",IF(D27=0,"Brak otwartych usterek",IF(INDEX('Zgłoszenia'!$D$5:$D$504,G27)="","",RIGHT("0"&amp;DAY(INDEX('Zgłoszenia'!$D$5:$D$504,G27)),2)&amp;"."&amp;RIGHT("0"&amp;MONTH(INDEX('Zgłoszenia'!$D$5:$D$504,G27)),2)&amp;"."&amp;YEAR(INDEX('Zgłoszenia'!$D$5:$D$504,G27)))&amp;" · "&amp;INDEX('Zgłoszenia'!$H$5:$H$504,G27)&amp;" — "&amp;IF(INDEX('Zgłoszenia'!$M$5:$M$504,G27)="","Zgłoszona",INDEX('Zgłoszenia'!$M$5:$M$504,G27))))</f>
        <v/>
      </c>
      <c r="F27" s="2" t="n"/>
      <c r="G27" s="2">
        <f>IF(OR(A27="",D27=0),"",MATCH(SUMPRODUCT(MAX(('Zgłoszenia'!$B$5:$B$504=A27)*'Zgłoszenia'!$R$5:$R$504)),'Zgłoszenia'!$R$5:$R$504,0))</f>
        <v/>
      </c>
    </row>
    <row r="28">
      <c r="A28" s="20">
        <f>IF('Wózki'!A22="","",'Wózki'!A22)</f>
        <v/>
      </c>
      <c r="B28" s="21">
        <f>IF(A28="","",'Wózki'!B22&amp;"")</f>
        <v/>
      </c>
      <c r="C28" s="21">
        <f>IF(A28="","",IF(COUNTIFS('Zgłoszenia'!$B$5:$B$504,A28,'Zgłoszenia'!$O$5:$O$504,"TAK",'Zgłoszenia'!$L$5:$L$504,"TAK")&gt;0,"Wyłączony z pracy",IF(COUNTIFS('Zgłoszenia'!$B$5:$B$504,A28,'Zgłoszenia'!$M$5:$M$504,Ustawienia!$J$5)+COUNTIFS('Zgłoszenia'!$B$5:$B$504,A28,'Zgłoszenia'!$M$5:$M$504,Ustawienia!$J$6)&gt;0,"W naprawie",IF(D28&gt;0,"Usterka zgłoszona","Sprawny"))))</f>
        <v/>
      </c>
      <c r="D28" s="22">
        <f>IF(A28="","",COUNTIFS('Zgłoszenia'!$B$5:$B$504,A28,'Zgłoszenia'!$O$5:$O$504,"TAK"))</f>
        <v/>
      </c>
      <c r="E28" s="21">
        <f>IF(A28="","",IF(D28=0,"Brak otwartych usterek",IF(INDEX('Zgłoszenia'!$D$5:$D$504,G28)="","",RIGHT("0"&amp;DAY(INDEX('Zgłoszenia'!$D$5:$D$504,G28)),2)&amp;"."&amp;RIGHT("0"&amp;MONTH(INDEX('Zgłoszenia'!$D$5:$D$504,G28)),2)&amp;"."&amp;YEAR(INDEX('Zgłoszenia'!$D$5:$D$504,G28)))&amp;" · "&amp;INDEX('Zgłoszenia'!$H$5:$H$504,G28)&amp;" — "&amp;IF(INDEX('Zgłoszenia'!$M$5:$M$504,G28)="","Zgłoszona",INDEX('Zgłoszenia'!$M$5:$M$504,G28))))</f>
        <v/>
      </c>
      <c r="F28" s="2" t="n"/>
      <c r="G28" s="2">
        <f>IF(OR(A28="",D28=0),"",MATCH(SUMPRODUCT(MAX(('Zgłoszenia'!$B$5:$B$504=A28)*'Zgłoszenia'!$R$5:$R$504)),'Zgłoszenia'!$R$5:$R$504,0))</f>
        <v/>
      </c>
    </row>
    <row r="29">
      <c r="A29" s="20">
        <f>IF('Wózki'!A23="","",'Wózki'!A23)</f>
        <v/>
      </c>
      <c r="B29" s="21">
        <f>IF(A29="","",'Wózki'!B23&amp;"")</f>
        <v/>
      </c>
      <c r="C29" s="21">
        <f>IF(A29="","",IF(COUNTIFS('Zgłoszenia'!$B$5:$B$504,A29,'Zgłoszenia'!$O$5:$O$504,"TAK",'Zgłoszenia'!$L$5:$L$504,"TAK")&gt;0,"Wyłączony z pracy",IF(COUNTIFS('Zgłoszenia'!$B$5:$B$504,A29,'Zgłoszenia'!$M$5:$M$504,Ustawienia!$J$5)+COUNTIFS('Zgłoszenia'!$B$5:$B$504,A29,'Zgłoszenia'!$M$5:$M$504,Ustawienia!$J$6)&gt;0,"W naprawie",IF(D29&gt;0,"Usterka zgłoszona","Sprawny"))))</f>
        <v/>
      </c>
      <c r="D29" s="22">
        <f>IF(A29="","",COUNTIFS('Zgłoszenia'!$B$5:$B$504,A29,'Zgłoszenia'!$O$5:$O$504,"TAK"))</f>
        <v/>
      </c>
      <c r="E29" s="21">
        <f>IF(A29="","",IF(D29=0,"Brak otwartych usterek",IF(INDEX('Zgłoszenia'!$D$5:$D$504,G29)="","",RIGHT("0"&amp;DAY(INDEX('Zgłoszenia'!$D$5:$D$504,G29)),2)&amp;"."&amp;RIGHT("0"&amp;MONTH(INDEX('Zgłoszenia'!$D$5:$D$504,G29)),2)&amp;"."&amp;YEAR(INDEX('Zgłoszenia'!$D$5:$D$504,G29)))&amp;" · "&amp;INDEX('Zgłoszenia'!$H$5:$H$504,G29)&amp;" — "&amp;IF(INDEX('Zgłoszenia'!$M$5:$M$504,G29)="","Zgłoszona",INDEX('Zgłoszenia'!$M$5:$M$504,G29))))</f>
        <v/>
      </c>
      <c r="F29" s="2" t="n"/>
      <c r="G29" s="2">
        <f>IF(OR(A29="",D29=0),"",MATCH(SUMPRODUCT(MAX(('Zgłoszenia'!$B$5:$B$504=A29)*'Zgłoszenia'!$R$5:$R$504)),'Zgłoszenia'!$R$5:$R$504,0))</f>
        <v/>
      </c>
    </row>
    <row r="30">
      <c r="A30" s="20">
        <f>IF('Wózki'!A24="","",'Wózki'!A24)</f>
        <v/>
      </c>
      <c r="B30" s="21">
        <f>IF(A30="","",'Wózki'!B24&amp;"")</f>
        <v/>
      </c>
      <c r="C30" s="21">
        <f>IF(A30="","",IF(COUNTIFS('Zgłoszenia'!$B$5:$B$504,A30,'Zgłoszenia'!$O$5:$O$504,"TAK",'Zgłoszenia'!$L$5:$L$504,"TAK")&gt;0,"Wyłączony z pracy",IF(COUNTIFS('Zgłoszenia'!$B$5:$B$504,A30,'Zgłoszenia'!$M$5:$M$504,Ustawienia!$J$5)+COUNTIFS('Zgłoszenia'!$B$5:$B$504,A30,'Zgłoszenia'!$M$5:$M$504,Ustawienia!$J$6)&gt;0,"W naprawie",IF(D30&gt;0,"Usterka zgłoszona","Sprawny"))))</f>
        <v/>
      </c>
      <c r="D30" s="22">
        <f>IF(A30="","",COUNTIFS('Zgłoszenia'!$B$5:$B$504,A30,'Zgłoszenia'!$O$5:$O$504,"TAK"))</f>
        <v/>
      </c>
      <c r="E30" s="21">
        <f>IF(A30="","",IF(D30=0,"Brak otwartych usterek",IF(INDEX('Zgłoszenia'!$D$5:$D$504,G30)="","",RIGHT("0"&amp;DAY(INDEX('Zgłoszenia'!$D$5:$D$504,G30)),2)&amp;"."&amp;RIGHT("0"&amp;MONTH(INDEX('Zgłoszenia'!$D$5:$D$504,G30)),2)&amp;"."&amp;YEAR(INDEX('Zgłoszenia'!$D$5:$D$504,G30)))&amp;" · "&amp;INDEX('Zgłoszenia'!$H$5:$H$504,G30)&amp;" — "&amp;IF(INDEX('Zgłoszenia'!$M$5:$M$504,G30)="","Zgłoszona",INDEX('Zgłoszenia'!$M$5:$M$504,G30))))</f>
        <v/>
      </c>
      <c r="F30" s="2" t="n"/>
      <c r="G30" s="2">
        <f>IF(OR(A30="",D30=0),"",MATCH(SUMPRODUCT(MAX(('Zgłoszenia'!$B$5:$B$504=A30)*'Zgłoszenia'!$R$5:$R$504)),'Zgłoszenia'!$R$5:$R$504,0))</f>
        <v/>
      </c>
    </row>
    <row r="31">
      <c r="A31" s="20">
        <f>IF('Wózki'!A25="","",'Wózki'!A25)</f>
        <v/>
      </c>
      <c r="B31" s="21">
        <f>IF(A31="","",'Wózki'!B25&amp;"")</f>
        <v/>
      </c>
      <c r="C31" s="21">
        <f>IF(A31="","",IF(COUNTIFS('Zgłoszenia'!$B$5:$B$504,A31,'Zgłoszenia'!$O$5:$O$504,"TAK",'Zgłoszenia'!$L$5:$L$504,"TAK")&gt;0,"Wyłączony z pracy",IF(COUNTIFS('Zgłoszenia'!$B$5:$B$504,A31,'Zgłoszenia'!$M$5:$M$504,Ustawienia!$J$5)+COUNTIFS('Zgłoszenia'!$B$5:$B$504,A31,'Zgłoszenia'!$M$5:$M$504,Ustawienia!$J$6)&gt;0,"W naprawie",IF(D31&gt;0,"Usterka zgłoszona","Sprawny"))))</f>
        <v/>
      </c>
      <c r="D31" s="22">
        <f>IF(A31="","",COUNTIFS('Zgłoszenia'!$B$5:$B$504,A31,'Zgłoszenia'!$O$5:$O$504,"TAK"))</f>
        <v/>
      </c>
      <c r="E31" s="21">
        <f>IF(A31="","",IF(D31=0,"Brak otwartych usterek",IF(INDEX('Zgłoszenia'!$D$5:$D$504,G31)="","",RIGHT("0"&amp;DAY(INDEX('Zgłoszenia'!$D$5:$D$504,G31)),2)&amp;"."&amp;RIGHT("0"&amp;MONTH(INDEX('Zgłoszenia'!$D$5:$D$504,G31)),2)&amp;"."&amp;YEAR(INDEX('Zgłoszenia'!$D$5:$D$504,G31)))&amp;" · "&amp;INDEX('Zgłoszenia'!$H$5:$H$504,G31)&amp;" — "&amp;IF(INDEX('Zgłoszenia'!$M$5:$M$504,G31)="","Zgłoszona",INDEX('Zgłoszenia'!$M$5:$M$504,G31))))</f>
        <v/>
      </c>
      <c r="F31" s="2" t="n"/>
      <c r="G31" s="2">
        <f>IF(OR(A31="",D31=0),"",MATCH(SUMPRODUCT(MAX(('Zgłoszenia'!$B$5:$B$504=A31)*'Zgłoszenia'!$R$5:$R$504)),'Zgłoszenia'!$R$5:$R$504,0))</f>
        <v/>
      </c>
    </row>
    <row r="32">
      <c r="A32" s="20">
        <f>IF('Wózki'!A26="","",'Wózki'!A26)</f>
        <v/>
      </c>
      <c r="B32" s="21">
        <f>IF(A32="","",'Wózki'!B26&amp;"")</f>
        <v/>
      </c>
      <c r="C32" s="21">
        <f>IF(A32="","",IF(COUNTIFS('Zgłoszenia'!$B$5:$B$504,A32,'Zgłoszenia'!$O$5:$O$504,"TAK",'Zgłoszenia'!$L$5:$L$504,"TAK")&gt;0,"Wyłączony z pracy",IF(COUNTIFS('Zgłoszenia'!$B$5:$B$504,A32,'Zgłoszenia'!$M$5:$M$504,Ustawienia!$J$5)+COUNTIFS('Zgłoszenia'!$B$5:$B$504,A32,'Zgłoszenia'!$M$5:$M$504,Ustawienia!$J$6)&gt;0,"W naprawie",IF(D32&gt;0,"Usterka zgłoszona","Sprawny"))))</f>
        <v/>
      </c>
      <c r="D32" s="22">
        <f>IF(A32="","",COUNTIFS('Zgłoszenia'!$B$5:$B$504,A32,'Zgłoszenia'!$O$5:$O$504,"TAK"))</f>
        <v/>
      </c>
      <c r="E32" s="21">
        <f>IF(A32="","",IF(D32=0,"Brak otwartych usterek",IF(INDEX('Zgłoszenia'!$D$5:$D$504,G32)="","",RIGHT("0"&amp;DAY(INDEX('Zgłoszenia'!$D$5:$D$504,G32)),2)&amp;"."&amp;RIGHT("0"&amp;MONTH(INDEX('Zgłoszenia'!$D$5:$D$504,G32)),2)&amp;"."&amp;YEAR(INDEX('Zgłoszenia'!$D$5:$D$504,G32)))&amp;" · "&amp;INDEX('Zgłoszenia'!$H$5:$H$504,G32)&amp;" — "&amp;IF(INDEX('Zgłoszenia'!$M$5:$M$504,G32)="","Zgłoszona",INDEX('Zgłoszenia'!$M$5:$M$504,G32))))</f>
        <v/>
      </c>
      <c r="F32" s="2" t="n"/>
      <c r="G32" s="2">
        <f>IF(OR(A32="",D32=0),"",MATCH(SUMPRODUCT(MAX(('Zgłoszenia'!$B$5:$B$504=A32)*'Zgłoszenia'!$R$5:$R$504)),'Zgłoszenia'!$R$5:$R$504,0))</f>
        <v/>
      </c>
    </row>
    <row r="33">
      <c r="A33" s="20">
        <f>IF('Wózki'!A27="","",'Wózki'!A27)</f>
        <v/>
      </c>
      <c r="B33" s="21">
        <f>IF(A33="","",'Wózki'!B27&amp;"")</f>
        <v/>
      </c>
      <c r="C33" s="21">
        <f>IF(A33="","",IF(COUNTIFS('Zgłoszenia'!$B$5:$B$504,A33,'Zgłoszenia'!$O$5:$O$504,"TAK",'Zgłoszenia'!$L$5:$L$504,"TAK")&gt;0,"Wyłączony z pracy",IF(COUNTIFS('Zgłoszenia'!$B$5:$B$504,A33,'Zgłoszenia'!$M$5:$M$504,Ustawienia!$J$5)+COUNTIFS('Zgłoszenia'!$B$5:$B$504,A33,'Zgłoszenia'!$M$5:$M$504,Ustawienia!$J$6)&gt;0,"W naprawie",IF(D33&gt;0,"Usterka zgłoszona","Sprawny"))))</f>
        <v/>
      </c>
      <c r="D33" s="22">
        <f>IF(A33="","",COUNTIFS('Zgłoszenia'!$B$5:$B$504,A33,'Zgłoszenia'!$O$5:$O$504,"TAK"))</f>
        <v/>
      </c>
      <c r="E33" s="21">
        <f>IF(A33="","",IF(D33=0,"Brak otwartych usterek",IF(INDEX('Zgłoszenia'!$D$5:$D$504,G33)="","",RIGHT("0"&amp;DAY(INDEX('Zgłoszenia'!$D$5:$D$504,G33)),2)&amp;"."&amp;RIGHT("0"&amp;MONTH(INDEX('Zgłoszenia'!$D$5:$D$504,G33)),2)&amp;"."&amp;YEAR(INDEX('Zgłoszenia'!$D$5:$D$504,G33)))&amp;" · "&amp;INDEX('Zgłoszenia'!$H$5:$H$504,G33)&amp;" — "&amp;IF(INDEX('Zgłoszenia'!$M$5:$M$504,G33)="","Zgłoszona",INDEX('Zgłoszenia'!$M$5:$M$504,G33))))</f>
        <v/>
      </c>
      <c r="F33" s="2" t="n"/>
      <c r="G33" s="2">
        <f>IF(OR(A33="",D33=0),"",MATCH(SUMPRODUCT(MAX(('Zgłoszenia'!$B$5:$B$504=A33)*'Zgłoszenia'!$R$5:$R$504)),'Zgłoszenia'!$R$5:$R$504,0))</f>
        <v/>
      </c>
    </row>
    <row r="34">
      <c r="A34" s="20">
        <f>IF('Wózki'!A28="","",'Wózki'!A28)</f>
        <v/>
      </c>
      <c r="B34" s="21">
        <f>IF(A34="","",'Wózki'!B28&amp;"")</f>
        <v/>
      </c>
      <c r="C34" s="21">
        <f>IF(A34="","",IF(COUNTIFS('Zgłoszenia'!$B$5:$B$504,A34,'Zgłoszenia'!$O$5:$O$504,"TAK",'Zgłoszenia'!$L$5:$L$504,"TAK")&gt;0,"Wyłączony z pracy",IF(COUNTIFS('Zgłoszenia'!$B$5:$B$504,A34,'Zgłoszenia'!$M$5:$M$504,Ustawienia!$J$5)+COUNTIFS('Zgłoszenia'!$B$5:$B$504,A34,'Zgłoszenia'!$M$5:$M$504,Ustawienia!$J$6)&gt;0,"W naprawie",IF(D34&gt;0,"Usterka zgłoszona","Sprawny"))))</f>
        <v/>
      </c>
      <c r="D34" s="22">
        <f>IF(A34="","",COUNTIFS('Zgłoszenia'!$B$5:$B$504,A34,'Zgłoszenia'!$O$5:$O$504,"TAK"))</f>
        <v/>
      </c>
      <c r="E34" s="21">
        <f>IF(A34="","",IF(D34=0,"Brak otwartych usterek",IF(INDEX('Zgłoszenia'!$D$5:$D$504,G34)="","",RIGHT("0"&amp;DAY(INDEX('Zgłoszenia'!$D$5:$D$504,G34)),2)&amp;"."&amp;RIGHT("0"&amp;MONTH(INDEX('Zgłoszenia'!$D$5:$D$504,G34)),2)&amp;"."&amp;YEAR(INDEX('Zgłoszenia'!$D$5:$D$504,G34)))&amp;" · "&amp;INDEX('Zgłoszenia'!$H$5:$H$504,G34)&amp;" — "&amp;IF(INDEX('Zgłoszenia'!$M$5:$M$504,G34)="","Zgłoszona",INDEX('Zgłoszenia'!$M$5:$M$504,G34))))</f>
        <v/>
      </c>
      <c r="F34" s="2" t="n"/>
      <c r="G34" s="2">
        <f>IF(OR(A34="",D34=0),"",MATCH(SUMPRODUCT(MAX(('Zgłoszenia'!$B$5:$B$504=A34)*'Zgłoszenia'!$R$5:$R$504)),'Zgłoszenia'!$R$5:$R$504,0))</f>
        <v/>
      </c>
    </row>
    <row r="35">
      <c r="A35" s="20">
        <f>IF('Wózki'!A29="","",'Wózki'!A29)</f>
        <v/>
      </c>
      <c r="B35" s="21">
        <f>IF(A35="","",'Wózki'!B29&amp;"")</f>
        <v/>
      </c>
      <c r="C35" s="21">
        <f>IF(A35="","",IF(COUNTIFS('Zgłoszenia'!$B$5:$B$504,A35,'Zgłoszenia'!$O$5:$O$504,"TAK",'Zgłoszenia'!$L$5:$L$504,"TAK")&gt;0,"Wyłączony z pracy",IF(COUNTIFS('Zgłoszenia'!$B$5:$B$504,A35,'Zgłoszenia'!$M$5:$M$504,Ustawienia!$J$5)+COUNTIFS('Zgłoszenia'!$B$5:$B$504,A35,'Zgłoszenia'!$M$5:$M$504,Ustawienia!$J$6)&gt;0,"W naprawie",IF(D35&gt;0,"Usterka zgłoszona","Sprawny"))))</f>
        <v/>
      </c>
      <c r="D35" s="22">
        <f>IF(A35="","",COUNTIFS('Zgłoszenia'!$B$5:$B$504,A35,'Zgłoszenia'!$O$5:$O$504,"TAK"))</f>
        <v/>
      </c>
      <c r="E35" s="21">
        <f>IF(A35="","",IF(D35=0,"Brak otwartych usterek",IF(INDEX('Zgłoszenia'!$D$5:$D$504,G35)="","",RIGHT("0"&amp;DAY(INDEX('Zgłoszenia'!$D$5:$D$504,G35)),2)&amp;"."&amp;RIGHT("0"&amp;MONTH(INDEX('Zgłoszenia'!$D$5:$D$504,G35)),2)&amp;"."&amp;YEAR(INDEX('Zgłoszenia'!$D$5:$D$504,G35)))&amp;" · "&amp;INDEX('Zgłoszenia'!$H$5:$H$504,G35)&amp;" — "&amp;IF(INDEX('Zgłoszenia'!$M$5:$M$504,G35)="","Zgłoszona",INDEX('Zgłoszenia'!$M$5:$M$504,G35))))</f>
        <v/>
      </c>
      <c r="F35" s="2" t="n"/>
      <c r="G35" s="2">
        <f>IF(OR(A35="",D35=0),"",MATCH(SUMPRODUCT(MAX(('Zgłoszenia'!$B$5:$B$504=A35)*'Zgłoszenia'!$R$5:$R$504)),'Zgłoszenia'!$R$5:$R$504,0))</f>
        <v/>
      </c>
    </row>
    <row r="36">
      <c r="A36" s="20">
        <f>IF('Wózki'!A30="","",'Wózki'!A30)</f>
        <v/>
      </c>
      <c r="B36" s="21">
        <f>IF(A36="","",'Wózki'!B30&amp;"")</f>
        <v/>
      </c>
      <c r="C36" s="21">
        <f>IF(A36="","",IF(COUNTIFS('Zgłoszenia'!$B$5:$B$504,A36,'Zgłoszenia'!$O$5:$O$504,"TAK",'Zgłoszenia'!$L$5:$L$504,"TAK")&gt;0,"Wyłączony z pracy",IF(COUNTIFS('Zgłoszenia'!$B$5:$B$504,A36,'Zgłoszenia'!$M$5:$M$504,Ustawienia!$J$5)+COUNTIFS('Zgłoszenia'!$B$5:$B$504,A36,'Zgłoszenia'!$M$5:$M$504,Ustawienia!$J$6)&gt;0,"W naprawie",IF(D36&gt;0,"Usterka zgłoszona","Sprawny"))))</f>
        <v/>
      </c>
      <c r="D36" s="22">
        <f>IF(A36="","",COUNTIFS('Zgłoszenia'!$B$5:$B$504,A36,'Zgłoszenia'!$O$5:$O$504,"TAK"))</f>
        <v/>
      </c>
      <c r="E36" s="21">
        <f>IF(A36="","",IF(D36=0,"Brak otwartych usterek",IF(INDEX('Zgłoszenia'!$D$5:$D$504,G36)="","",RIGHT("0"&amp;DAY(INDEX('Zgłoszenia'!$D$5:$D$504,G36)),2)&amp;"."&amp;RIGHT("0"&amp;MONTH(INDEX('Zgłoszenia'!$D$5:$D$504,G36)),2)&amp;"."&amp;YEAR(INDEX('Zgłoszenia'!$D$5:$D$504,G36)))&amp;" · "&amp;INDEX('Zgłoszenia'!$H$5:$H$504,G36)&amp;" — "&amp;IF(INDEX('Zgłoszenia'!$M$5:$M$504,G36)="","Zgłoszona",INDEX('Zgłoszenia'!$M$5:$M$504,G36))))</f>
        <v/>
      </c>
      <c r="F36" s="2" t="n"/>
      <c r="G36" s="2">
        <f>IF(OR(A36="",D36=0),"",MATCH(SUMPRODUCT(MAX(('Zgłoszenia'!$B$5:$B$504=A36)*'Zgłoszenia'!$R$5:$R$504)),'Zgłoszenia'!$R$5:$R$504,0))</f>
        <v/>
      </c>
    </row>
    <row r="37">
      <c r="A37" s="20">
        <f>IF('Wózki'!A31="","",'Wózki'!A31)</f>
        <v/>
      </c>
      <c r="B37" s="21">
        <f>IF(A37="","",'Wózki'!B31&amp;"")</f>
        <v/>
      </c>
      <c r="C37" s="21">
        <f>IF(A37="","",IF(COUNTIFS('Zgłoszenia'!$B$5:$B$504,A37,'Zgłoszenia'!$O$5:$O$504,"TAK",'Zgłoszenia'!$L$5:$L$504,"TAK")&gt;0,"Wyłączony z pracy",IF(COUNTIFS('Zgłoszenia'!$B$5:$B$504,A37,'Zgłoszenia'!$M$5:$M$504,Ustawienia!$J$5)+COUNTIFS('Zgłoszenia'!$B$5:$B$504,A37,'Zgłoszenia'!$M$5:$M$504,Ustawienia!$J$6)&gt;0,"W naprawie",IF(D37&gt;0,"Usterka zgłoszona","Sprawny"))))</f>
        <v/>
      </c>
      <c r="D37" s="22">
        <f>IF(A37="","",COUNTIFS('Zgłoszenia'!$B$5:$B$504,A37,'Zgłoszenia'!$O$5:$O$504,"TAK"))</f>
        <v/>
      </c>
      <c r="E37" s="21">
        <f>IF(A37="","",IF(D37=0,"Brak otwartych usterek",IF(INDEX('Zgłoszenia'!$D$5:$D$504,G37)="","",RIGHT("0"&amp;DAY(INDEX('Zgłoszenia'!$D$5:$D$504,G37)),2)&amp;"."&amp;RIGHT("0"&amp;MONTH(INDEX('Zgłoszenia'!$D$5:$D$504,G37)),2)&amp;"."&amp;YEAR(INDEX('Zgłoszenia'!$D$5:$D$504,G37)))&amp;" · "&amp;INDEX('Zgłoszenia'!$H$5:$H$504,G37)&amp;" — "&amp;IF(INDEX('Zgłoszenia'!$M$5:$M$504,G37)="","Zgłoszona",INDEX('Zgłoszenia'!$M$5:$M$504,G37))))</f>
        <v/>
      </c>
      <c r="F37" s="2" t="n"/>
      <c r="G37" s="2">
        <f>IF(OR(A37="",D37=0),"",MATCH(SUMPRODUCT(MAX(('Zgłoszenia'!$B$5:$B$504=A37)*'Zgłoszenia'!$R$5:$R$504)),'Zgłoszenia'!$R$5:$R$504,0))</f>
        <v/>
      </c>
    </row>
    <row r="38">
      <c r="A38" s="20">
        <f>IF('Wózki'!A32="","",'Wózki'!A32)</f>
        <v/>
      </c>
      <c r="B38" s="21">
        <f>IF(A38="","",'Wózki'!B32&amp;"")</f>
        <v/>
      </c>
      <c r="C38" s="21">
        <f>IF(A38="","",IF(COUNTIFS('Zgłoszenia'!$B$5:$B$504,A38,'Zgłoszenia'!$O$5:$O$504,"TAK",'Zgłoszenia'!$L$5:$L$504,"TAK")&gt;0,"Wyłączony z pracy",IF(COUNTIFS('Zgłoszenia'!$B$5:$B$504,A38,'Zgłoszenia'!$M$5:$M$504,Ustawienia!$J$5)+COUNTIFS('Zgłoszenia'!$B$5:$B$504,A38,'Zgłoszenia'!$M$5:$M$504,Ustawienia!$J$6)&gt;0,"W naprawie",IF(D38&gt;0,"Usterka zgłoszona","Sprawny"))))</f>
        <v/>
      </c>
      <c r="D38" s="22">
        <f>IF(A38="","",COUNTIFS('Zgłoszenia'!$B$5:$B$504,A38,'Zgłoszenia'!$O$5:$O$504,"TAK"))</f>
        <v/>
      </c>
      <c r="E38" s="21">
        <f>IF(A38="","",IF(D38=0,"Brak otwartych usterek",IF(INDEX('Zgłoszenia'!$D$5:$D$504,G38)="","",RIGHT("0"&amp;DAY(INDEX('Zgłoszenia'!$D$5:$D$504,G38)),2)&amp;"."&amp;RIGHT("0"&amp;MONTH(INDEX('Zgłoszenia'!$D$5:$D$504,G38)),2)&amp;"."&amp;YEAR(INDEX('Zgłoszenia'!$D$5:$D$504,G38)))&amp;" · "&amp;INDEX('Zgłoszenia'!$H$5:$H$504,G38)&amp;" — "&amp;IF(INDEX('Zgłoszenia'!$M$5:$M$504,G38)="","Zgłoszona",INDEX('Zgłoszenia'!$M$5:$M$504,G38))))</f>
        <v/>
      </c>
      <c r="F38" s="2" t="n"/>
      <c r="G38" s="2">
        <f>IF(OR(A38="",D38=0),"",MATCH(SUMPRODUCT(MAX(('Zgłoszenia'!$B$5:$B$504=A38)*'Zgłoszenia'!$R$5:$R$504)),'Zgłoszenia'!$R$5:$R$504,0))</f>
        <v/>
      </c>
    </row>
    <row r="39">
      <c r="A39" s="20">
        <f>IF('Wózki'!A33="","",'Wózki'!A33)</f>
        <v/>
      </c>
      <c r="B39" s="21">
        <f>IF(A39="","",'Wózki'!B33&amp;"")</f>
        <v/>
      </c>
      <c r="C39" s="21">
        <f>IF(A39="","",IF(COUNTIFS('Zgłoszenia'!$B$5:$B$504,A39,'Zgłoszenia'!$O$5:$O$504,"TAK",'Zgłoszenia'!$L$5:$L$504,"TAK")&gt;0,"Wyłączony z pracy",IF(COUNTIFS('Zgłoszenia'!$B$5:$B$504,A39,'Zgłoszenia'!$M$5:$M$504,Ustawienia!$J$5)+COUNTIFS('Zgłoszenia'!$B$5:$B$504,A39,'Zgłoszenia'!$M$5:$M$504,Ustawienia!$J$6)&gt;0,"W naprawie",IF(D39&gt;0,"Usterka zgłoszona","Sprawny"))))</f>
        <v/>
      </c>
      <c r="D39" s="22">
        <f>IF(A39="","",COUNTIFS('Zgłoszenia'!$B$5:$B$504,A39,'Zgłoszenia'!$O$5:$O$504,"TAK"))</f>
        <v/>
      </c>
      <c r="E39" s="21">
        <f>IF(A39="","",IF(D39=0,"Brak otwartych usterek",IF(INDEX('Zgłoszenia'!$D$5:$D$504,G39)="","",RIGHT("0"&amp;DAY(INDEX('Zgłoszenia'!$D$5:$D$504,G39)),2)&amp;"."&amp;RIGHT("0"&amp;MONTH(INDEX('Zgłoszenia'!$D$5:$D$504,G39)),2)&amp;"."&amp;YEAR(INDEX('Zgłoszenia'!$D$5:$D$504,G39)))&amp;" · "&amp;INDEX('Zgłoszenia'!$H$5:$H$504,G39)&amp;" — "&amp;IF(INDEX('Zgłoszenia'!$M$5:$M$504,G39)="","Zgłoszona",INDEX('Zgłoszenia'!$M$5:$M$504,G39))))</f>
        <v/>
      </c>
      <c r="F39" s="2" t="n"/>
      <c r="G39" s="2">
        <f>IF(OR(A39="",D39=0),"",MATCH(SUMPRODUCT(MAX(('Zgłoszenia'!$B$5:$B$504=A39)*'Zgłoszenia'!$R$5:$R$504)),'Zgłoszenia'!$R$5:$R$504,0))</f>
        <v/>
      </c>
    </row>
    <row r="40">
      <c r="A40" s="20">
        <f>IF('Wózki'!A34="","",'Wózki'!A34)</f>
        <v/>
      </c>
      <c r="B40" s="21">
        <f>IF(A40="","",'Wózki'!B34&amp;"")</f>
        <v/>
      </c>
      <c r="C40" s="21">
        <f>IF(A40="","",IF(COUNTIFS('Zgłoszenia'!$B$5:$B$504,A40,'Zgłoszenia'!$O$5:$O$504,"TAK",'Zgłoszenia'!$L$5:$L$504,"TAK")&gt;0,"Wyłączony z pracy",IF(COUNTIFS('Zgłoszenia'!$B$5:$B$504,A40,'Zgłoszenia'!$M$5:$M$504,Ustawienia!$J$5)+COUNTIFS('Zgłoszenia'!$B$5:$B$504,A40,'Zgłoszenia'!$M$5:$M$504,Ustawienia!$J$6)&gt;0,"W naprawie",IF(D40&gt;0,"Usterka zgłoszona","Sprawny"))))</f>
        <v/>
      </c>
      <c r="D40" s="22">
        <f>IF(A40="","",COUNTIFS('Zgłoszenia'!$B$5:$B$504,A40,'Zgłoszenia'!$O$5:$O$504,"TAK"))</f>
        <v/>
      </c>
      <c r="E40" s="21">
        <f>IF(A40="","",IF(D40=0,"Brak otwartych usterek",IF(INDEX('Zgłoszenia'!$D$5:$D$504,G40)="","",RIGHT("0"&amp;DAY(INDEX('Zgłoszenia'!$D$5:$D$504,G40)),2)&amp;"."&amp;RIGHT("0"&amp;MONTH(INDEX('Zgłoszenia'!$D$5:$D$504,G40)),2)&amp;"."&amp;YEAR(INDEX('Zgłoszenia'!$D$5:$D$504,G40)))&amp;" · "&amp;INDEX('Zgłoszenia'!$H$5:$H$504,G40)&amp;" — "&amp;IF(INDEX('Zgłoszenia'!$M$5:$M$504,G40)="","Zgłoszona",INDEX('Zgłoszenia'!$M$5:$M$504,G40))))</f>
        <v/>
      </c>
      <c r="F40" s="2" t="n"/>
      <c r="G40" s="2">
        <f>IF(OR(A40="",D40=0),"",MATCH(SUMPRODUCT(MAX(('Zgłoszenia'!$B$5:$B$504=A40)*'Zgłoszenia'!$R$5:$R$504)),'Zgłoszenia'!$R$5:$R$504,0))</f>
        <v/>
      </c>
    </row>
    <row r="41">
      <c r="A41" s="20">
        <f>IF('Wózki'!A35="","",'Wózki'!A35)</f>
        <v/>
      </c>
      <c r="B41" s="21">
        <f>IF(A41="","",'Wózki'!B35&amp;"")</f>
        <v/>
      </c>
      <c r="C41" s="21">
        <f>IF(A41="","",IF(COUNTIFS('Zgłoszenia'!$B$5:$B$504,A41,'Zgłoszenia'!$O$5:$O$504,"TAK",'Zgłoszenia'!$L$5:$L$504,"TAK")&gt;0,"Wyłączony z pracy",IF(COUNTIFS('Zgłoszenia'!$B$5:$B$504,A41,'Zgłoszenia'!$M$5:$M$504,Ustawienia!$J$5)+COUNTIFS('Zgłoszenia'!$B$5:$B$504,A41,'Zgłoszenia'!$M$5:$M$504,Ustawienia!$J$6)&gt;0,"W naprawie",IF(D41&gt;0,"Usterka zgłoszona","Sprawny"))))</f>
        <v/>
      </c>
      <c r="D41" s="22">
        <f>IF(A41="","",COUNTIFS('Zgłoszenia'!$B$5:$B$504,A41,'Zgłoszenia'!$O$5:$O$504,"TAK"))</f>
        <v/>
      </c>
      <c r="E41" s="21">
        <f>IF(A41="","",IF(D41=0,"Brak otwartych usterek",IF(INDEX('Zgłoszenia'!$D$5:$D$504,G41)="","",RIGHT("0"&amp;DAY(INDEX('Zgłoszenia'!$D$5:$D$504,G41)),2)&amp;"."&amp;RIGHT("0"&amp;MONTH(INDEX('Zgłoszenia'!$D$5:$D$504,G41)),2)&amp;"."&amp;YEAR(INDEX('Zgłoszenia'!$D$5:$D$504,G41)))&amp;" · "&amp;INDEX('Zgłoszenia'!$H$5:$H$504,G41)&amp;" — "&amp;IF(INDEX('Zgłoszenia'!$M$5:$M$504,G41)="","Zgłoszona",INDEX('Zgłoszenia'!$M$5:$M$504,G41))))</f>
        <v/>
      </c>
      <c r="F41" s="2" t="n"/>
      <c r="G41" s="2">
        <f>IF(OR(A41="",D41=0),"",MATCH(SUMPRODUCT(MAX(('Zgłoszenia'!$B$5:$B$504=A41)*'Zgłoszenia'!$R$5:$R$504)),'Zgłoszenia'!$R$5:$R$504,0))</f>
        <v/>
      </c>
    </row>
    <row r="42">
      <c r="A42" s="20">
        <f>IF('Wózki'!A36="","",'Wózki'!A36)</f>
        <v/>
      </c>
      <c r="B42" s="21">
        <f>IF(A42="","",'Wózki'!B36&amp;"")</f>
        <v/>
      </c>
      <c r="C42" s="21">
        <f>IF(A42="","",IF(COUNTIFS('Zgłoszenia'!$B$5:$B$504,A42,'Zgłoszenia'!$O$5:$O$504,"TAK",'Zgłoszenia'!$L$5:$L$504,"TAK")&gt;0,"Wyłączony z pracy",IF(COUNTIFS('Zgłoszenia'!$B$5:$B$504,A42,'Zgłoszenia'!$M$5:$M$504,Ustawienia!$J$5)+COUNTIFS('Zgłoszenia'!$B$5:$B$504,A42,'Zgłoszenia'!$M$5:$M$504,Ustawienia!$J$6)&gt;0,"W naprawie",IF(D42&gt;0,"Usterka zgłoszona","Sprawny"))))</f>
        <v/>
      </c>
      <c r="D42" s="22">
        <f>IF(A42="","",COUNTIFS('Zgłoszenia'!$B$5:$B$504,A42,'Zgłoszenia'!$O$5:$O$504,"TAK"))</f>
        <v/>
      </c>
      <c r="E42" s="21">
        <f>IF(A42="","",IF(D42=0,"Brak otwartych usterek",IF(INDEX('Zgłoszenia'!$D$5:$D$504,G42)="","",RIGHT("0"&amp;DAY(INDEX('Zgłoszenia'!$D$5:$D$504,G42)),2)&amp;"."&amp;RIGHT("0"&amp;MONTH(INDEX('Zgłoszenia'!$D$5:$D$504,G42)),2)&amp;"."&amp;YEAR(INDEX('Zgłoszenia'!$D$5:$D$504,G42)))&amp;" · "&amp;INDEX('Zgłoszenia'!$H$5:$H$504,G42)&amp;" — "&amp;IF(INDEX('Zgłoszenia'!$M$5:$M$504,G42)="","Zgłoszona",INDEX('Zgłoszenia'!$M$5:$M$504,G42))))</f>
        <v/>
      </c>
      <c r="F42" s="2" t="n"/>
      <c r="G42" s="2">
        <f>IF(OR(A42="",D42=0),"",MATCH(SUMPRODUCT(MAX(('Zgłoszenia'!$B$5:$B$504=A42)*'Zgłoszenia'!$R$5:$R$504)),'Zgłoszenia'!$R$5:$R$504,0))</f>
        <v/>
      </c>
    </row>
    <row r="43">
      <c r="A43" s="20">
        <f>IF('Wózki'!A37="","",'Wózki'!A37)</f>
        <v/>
      </c>
      <c r="B43" s="21">
        <f>IF(A43="","",'Wózki'!B37&amp;"")</f>
        <v/>
      </c>
      <c r="C43" s="21">
        <f>IF(A43="","",IF(COUNTIFS('Zgłoszenia'!$B$5:$B$504,A43,'Zgłoszenia'!$O$5:$O$504,"TAK",'Zgłoszenia'!$L$5:$L$504,"TAK")&gt;0,"Wyłączony z pracy",IF(COUNTIFS('Zgłoszenia'!$B$5:$B$504,A43,'Zgłoszenia'!$M$5:$M$504,Ustawienia!$J$5)+COUNTIFS('Zgłoszenia'!$B$5:$B$504,A43,'Zgłoszenia'!$M$5:$M$504,Ustawienia!$J$6)&gt;0,"W naprawie",IF(D43&gt;0,"Usterka zgłoszona","Sprawny"))))</f>
        <v/>
      </c>
      <c r="D43" s="22">
        <f>IF(A43="","",COUNTIFS('Zgłoszenia'!$B$5:$B$504,A43,'Zgłoszenia'!$O$5:$O$504,"TAK"))</f>
        <v/>
      </c>
      <c r="E43" s="21">
        <f>IF(A43="","",IF(D43=0,"Brak otwartych usterek",IF(INDEX('Zgłoszenia'!$D$5:$D$504,G43)="","",RIGHT("0"&amp;DAY(INDEX('Zgłoszenia'!$D$5:$D$504,G43)),2)&amp;"."&amp;RIGHT("0"&amp;MONTH(INDEX('Zgłoszenia'!$D$5:$D$504,G43)),2)&amp;"."&amp;YEAR(INDEX('Zgłoszenia'!$D$5:$D$504,G43)))&amp;" · "&amp;INDEX('Zgłoszenia'!$H$5:$H$504,G43)&amp;" — "&amp;IF(INDEX('Zgłoszenia'!$M$5:$M$504,G43)="","Zgłoszona",INDEX('Zgłoszenia'!$M$5:$M$504,G43))))</f>
        <v/>
      </c>
      <c r="F43" s="2" t="n"/>
      <c r="G43" s="2">
        <f>IF(OR(A43="",D43=0),"",MATCH(SUMPRODUCT(MAX(('Zgłoszenia'!$B$5:$B$504=A43)*'Zgłoszenia'!$R$5:$R$504)),'Zgłoszenia'!$R$5:$R$504,0))</f>
        <v/>
      </c>
    </row>
    <row r="44">
      <c r="A44" s="20">
        <f>IF('Wózki'!A38="","",'Wózki'!A38)</f>
        <v/>
      </c>
      <c r="B44" s="21">
        <f>IF(A44="","",'Wózki'!B38&amp;"")</f>
        <v/>
      </c>
      <c r="C44" s="21">
        <f>IF(A44="","",IF(COUNTIFS('Zgłoszenia'!$B$5:$B$504,A44,'Zgłoszenia'!$O$5:$O$504,"TAK",'Zgłoszenia'!$L$5:$L$504,"TAK")&gt;0,"Wyłączony z pracy",IF(COUNTIFS('Zgłoszenia'!$B$5:$B$504,A44,'Zgłoszenia'!$M$5:$M$504,Ustawienia!$J$5)+COUNTIFS('Zgłoszenia'!$B$5:$B$504,A44,'Zgłoszenia'!$M$5:$M$504,Ustawienia!$J$6)&gt;0,"W naprawie",IF(D44&gt;0,"Usterka zgłoszona","Sprawny"))))</f>
        <v/>
      </c>
      <c r="D44" s="22">
        <f>IF(A44="","",COUNTIFS('Zgłoszenia'!$B$5:$B$504,A44,'Zgłoszenia'!$O$5:$O$504,"TAK"))</f>
        <v/>
      </c>
      <c r="E44" s="21">
        <f>IF(A44="","",IF(D44=0,"Brak otwartych usterek",IF(INDEX('Zgłoszenia'!$D$5:$D$504,G44)="","",RIGHT("0"&amp;DAY(INDEX('Zgłoszenia'!$D$5:$D$504,G44)),2)&amp;"."&amp;RIGHT("0"&amp;MONTH(INDEX('Zgłoszenia'!$D$5:$D$504,G44)),2)&amp;"."&amp;YEAR(INDEX('Zgłoszenia'!$D$5:$D$504,G44)))&amp;" · "&amp;INDEX('Zgłoszenia'!$H$5:$H$504,G44)&amp;" — "&amp;IF(INDEX('Zgłoszenia'!$M$5:$M$504,G44)="","Zgłoszona",INDEX('Zgłoszenia'!$M$5:$M$504,G44))))</f>
        <v/>
      </c>
      <c r="F44" s="2" t="n"/>
      <c r="G44" s="2">
        <f>IF(OR(A44="",D44=0),"",MATCH(SUMPRODUCT(MAX(('Zgłoszenia'!$B$5:$B$504=A44)*'Zgłoszenia'!$R$5:$R$504)),'Zgłoszenia'!$R$5:$R$504,0))</f>
        <v/>
      </c>
    </row>
    <row r="45">
      <c r="A45" s="20">
        <f>IF('Wózki'!A39="","",'Wózki'!A39)</f>
        <v/>
      </c>
      <c r="B45" s="21">
        <f>IF(A45="","",'Wózki'!B39&amp;"")</f>
        <v/>
      </c>
      <c r="C45" s="21">
        <f>IF(A45="","",IF(COUNTIFS('Zgłoszenia'!$B$5:$B$504,A45,'Zgłoszenia'!$O$5:$O$504,"TAK",'Zgłoszenia'!$L$5:$L$504,"TAK")&gt;0,"Wyłączony z pracy",IF(COUNTIFS('Zgłoszenia'!$B$5:$B$504,A45,'Zgłoszenia'!$M$5:$M$504,Ustawienia!$J$5)+COUNTIFS('Zgłoszenia'!$B$5:$B$504,A45,'Zgłoszenia'!$M$5:$M$504,Ustawienia!$J$6)&gt;0,"W naprawie",IF(D45&gt;0,"Usterka zgłoszona","Sprawny"))))</f>
        <v/>
      </c>
      <c r="D45" s="22">
        <f>IF(A45="","",COUNTIFS('Zgłoszenia'!$B$5:$B$504,A45,'Zgłoszenia'!$O$5:$O$504,"TAK"))</f>
        <v/>
      </c>
      <c r="E45" s="21">
        <f>IF(A45="","",IF(D45=0,"Brak otwartych usterek",IF(INDEX('Zgłoszenia'!$D$5:$D$504,G45)="","",RIGHT("0"&amp;DAY(INDEX('Zgłoszenia'!$D$5:$D$504,G45)),2)&amp;"."&amp;RIGHT("0"&amp;MONTH(INDEX('Zgłoszenia'!$D$5:$D$504,G45)),2)&amp;"."&amp;YEAR(INDEX('Zgłoszenia'!$D$5:$D$504,G45)))&amp;" · "&amp;INDEX('Zgłoszenia'!$H$5:$H$504,G45)&amp;" — "&amp;IF(INDEX('Zgłoszenia'!$M$5:$M$504,G45)="","Zgłoszona",INDEX('Zgłoszenia'!$M$5:$M$504,G45))))</f>
        <v/>
      </c>
      <c r="F45" s="2" t="n"/>
      <c r="G45" s="2">
        <f>IF(OR(A45="",D45=0),"",MATCH(SUMPRODUCT(MAX(('Zgłoszenia'!$B$5:$B$504=A45)*'Zgłoszenia'!$R$5:$R$504)),'Zgłoszenia'!$R$5:$R$504,0))</f>
        <v/>
      </c>
    </row>
    <row r="46">
      <c r="A46" s="20">
        <f>IF('Wózki'!A40="","",'Wózki'!A40)</f>
        <v/>
      </c>
      <c r="B46" s="21">
        <f>IF(A46="","",'Wózki'!B40&amp;"")</f>
        <v/>
      </c>
      <c r="C46" s="21">
        <f>IF(A46="","",IF(COUNTIFS('Zgłoszenia'!$B$5:$B$504,A46,'Zgłoszenia'!$O$5:$O$504,"TAK",'Zgłoszenia'!$L$5:$L$504,"TAK")&gt;0,"Wyłączony z pracy",IF(COUNTIFS('Zgłoszenia'!$B$5:$B$504,A46,'Zgłoszenia'!$M$5:$M$504,Ustawienia!$J$5)+COUNTIFS('Zgłoszenia'!$B$5:$B$504,A46,'Zgłoszenia'!$M$5:$M$504,Ustawienia!$J$6)&gt;0,"W naprawie",IF(D46&gt;0,"Usterka zgłoszona","Sprawny"))))</f>
        <v/>
      </c>
      <c r="D46" s="22">
        <f>IF(A46="","",COUNTIFS('Zgłoszenia'!$B$5:$B$504,A46,'Zgłoszenia'!$O$5:$O$504,"TAK"))</f>
        <v/>
      </c>
      <c r="E46" s="21">
        <f>IF(A46="","",IF(D46=0,"Brak otwartych usterek",IF(INDEX('Zgłoszenia'!$D$5:$D$504,G46)="","",RIGHT("0"&amp;DAY(INDEX('Zgłoszenia'!$D$5:$D$504,G46)),2)&amp;"."&amp;RIGHT("0"&amp;MONTH(INDEX('Zgłoszenia'!$D$5:$D$504,G46)),2)&amp;"."&amp;YEAR(INDEX('Zgłoszenia'!$D$5:$D$504,G46)))&amp;" · "&amp;INDEX('Zgłoszenia'!$H$5:$H$504,G46)&amp;" — "&amp;IF(INDEX('Zgłoszenia'!$M$5:$M$504,G46)="","Zgłoszona",INDEX('Zgłoszenia'!$M$5:$M$504,G46))))</f>
        <v/>
      </c>
      <c r="F46" s="2" t="n"/>
      <c r="G46" s="2">
        <f>IF(OR(A46="",D46=0),"",MATCH(SUMPRODUCT(MAX(('Zgłoszenia'!$B$5:$B$504=A46)*'Zgłoszenia'!$R$5:$R$504)),'Zgłoszenia'!$R$5:$R$504,0))</f>
        <v/>
      </c>
    </row>
    <row r="47">
      <c r="A47" s="20">
        <f>IF('Wózki'!A41="","",'Wózki'!A41)</f>
        <v/>
      </c>
      <c r="B47" s="21">
        <f>IF(A47="","",'Wózki'!B41&amp;"")</f>
        <v/>
      </c>
      <c r="C47" s="21">
        <f>IF(A47="","",IF(COUNTIFS('Zgłoszenia'!$B$5:$B$504,A47,'Zgłoszenia'!$O$5:$O$504,"TAK",'Zgłoszenia'!$L$5:$L$504,"TAK")&gt;0,"Wyłączony z pracy",IF(COUNTIFS('Zgłoszenia'!$B$5:$B$504,A47,'Zgłoszenia'!$M$5:$M$504,Ustawienia!$J$5)+COUNTIFS('Zgłoszenia'!$B$5:$B$504,A47,'Zgłoszenia'!$M$5:$M$504,Ustawienia!$J$6)&gt;0,"W naprawie",IF(D47&gt;0,"Usterka zgłoszona","Sprawny"))))</f>
        <v/>
      </c>
      <c r="D47" s="22">
        <f>IF(A47="","",COUNTIFS('Zgłoszenia'!$B$5:$B$504,A47,'Zgłoszenia'!$O$5:$O$504,"TAK"))</f>
        <v/>
      </c>
      <c r="E47" s="21">
        <f>IF(A47="","",IF(D47=0,"Brak otwartych usterek",IF(INDEX('Zgłoszenia'!$D$5:$D$504,G47)="","",RIGHT("0"&amp;DAY(INDEX('Zgłoszenia'!$D$5:$D$504,G47)),2)&amp;"."&amp;RIGHT("0"&amp;MONTH(INDEX('Zgłoszenia'!$D$5:$D$504,G47)),2)&amp;"."&amp;YEAR(INDEX('Zgłoszenia'!$D$5:$D$504,G47)))&amp;" · "&amp;INDEX('Zgłoszenia'!$H$5:$H$504,G47)&amp;" — "&amp;IF(INDEX('Zgłoszenia'!$M$5:$M$504,G47)="","Zgłoszona",INDEX('Zgłoszenia'!$M$5:$M$504,G47))))</f>
        <v/>
      </c>
      <c r="F47" s="2" t="n"/>
      <c r="G47" s="2">
        <f>IF(OR(A47="",D47=0),"",MATCH(SUMPRODUCT(MAX(('Zgłoszenia'!$B$5:$B$504=A47)*'Zgłoszenia'!$R$5:$R$504)),'Zgłoszenia'!$R$5:$R$504,0))</f>
        <v/>
      </c>
    </row>
    <row r="48">
      <c r="A48" s="20">
        <f>IF('Wózki'!A42="","",'Wózki'!A42)</f>
        <v/>
      </c>
      <c r="B48" s="21">
        <f>IF(A48="","",'Wózki'!B42&amp;"")</f>
        <v/>
      </c>
      <c r="C48" s="21">
        <f>IF(A48="","",IF(COUNTIFS('Zgłoszenia'!$B$5:$B$504,A48,'Zgłoszenia'!$O$5:$O$504,"TAK",'Zgłoszenia'!$L$5:$L$504,"TAK")&gt;0,"Wyłączony z pracy",IF(COUNTIFS('Zgłoszenia'!$B$5:$B$504,A48,'Zgłoszenia'!$M$5:$M$504,Ustawienia!$J$5)+COUNTIFS('Zgłoszenia'!$B$5:$B$504,A48,'Zgłoszenia'!$M$5:$M$504,Ustawienia!$J$6)&gt;0,"W naprawie",IF(D48&gt;0,"Usterka zgłoszona","Sprawny"))))</f>
        <v/>
      </c>
      <c r="D48" s="22">
        <f>IF(A48="","",COUNTIFS('Zgłoszenia'!$B$5:$B$504,A48,'Zgłoszenia'!$O$5:$O$504,"TAK"))</f>
        <v/>
      </c>
      <c r="E48" s="21">
        <f>IF(A48="","",IF(D48=0,"Brak otwartych usterek",IF(INDEX('Zgłoszenia'!$D$5:$D$504,G48)="","",RIGHT("0"&amp;DAY(INDEX('Zgłoszenia'!$D$5:$D$504,G48)),2)&amp;"."&amp;RIGHT("0"&amp;MONTH(INDEX('Zgłoszenia'!$D$5:$D$504,G48)),2)&amp;"."&amp;YEAR(INDEX('Zgłoszenia'!$D$5:$D$504,G48)))&amp;" · "&amp;INDEX('Zgłoszenia'!$H$5:$H$504,G48)&amp;" — "&amp;IF(INDEX('Zgłoszenia'!$M$5:$M$504,G48)="","Zgłoszona",INDEX('Zgłoszenia'!$M$5:$M$504,G48))))</f>
        <v/>
      </c>
      <c r="F48" s="2" t="n"/>
      <c r="G48" s="2">
        <f>IF(OR(A48="",D48=0),"",MATCH(SUMPRODUCT(MAX(('Zgłoszenia'!$B$5:$B$504=A48)*'Zgłoszenia'!$R$5:$R$504)),'Zgłoszenia'!$R$5:$R$504,0))</f>
        <v/>
      </c>
    </row>
    <row r="49">
      <c r="A49" s="20">
        <f>IF('Wózki'!A43="","",'Wózki'!A43)</f>
        <v/>
      </c>
      <c r="B49" s="21">
        <f>IF(A49="","",'Wózki'!B43&amp;"")</f>
        <v/>
      </c>
      <c r="C49" s="21">
        <f>IF(A49="","",IF(COUNTIFS('Zgłoszenia'!$B$5:$B$504,A49,'Zgłoszenia'!$O$5:$O$504,"TAK",'Zgłoszenia'!$L$5:$L$504,"TAK")&gt;0,"Wyłączony z pracy",IF(COUNTIFS('Zgłoszenia'!$B$5:$B$504,A49,'Zgłoszenia'!$M$5:$M$504,Ustawienia!$J$5)+COUNTIFS('Zgłoszenia'!$B$5:$B$504,A49,'Zgłoszenia'!$M$5:$M$504,Ustawienia!$J$6)&gt;0,"W naprawie",IF(D49&gt;0,"Usterka zgłoszona","Sprawny"))))</f>
        <v/>
      </c>
      <c r="D49" s="22">
        <f>IF(A49="","",COUNTIFS('Zgłoszenia'!$B$5:$B$504,A49,'Zgłoszenia'!$O$5:$O$504,"TAK"))</f>
        <v/>
      </c>
      <c r="E49" s="21">
        <f>IF(A49="","",IF(D49=0,"Brak otwartych usterek",IF(INDEX('Zgłoszenia'!$D$5:$D$504,G49)="","",RIGHT("0"&amp;DAY(INDEX('Zgłoszenia'!$D$5:$D$504,G49)),2)&amp;"."&amp;RIGHT("0"&amp;MONTH(INDEX('Zgłoszenia'!$D$5:$D$504,G49)),2)&amp;"."&amp;YEAR(INDEX('Zgłoszenia'!$D$5:$D$504,G49)))&amp;" · "&amp;INDEX('Zgłoszenia'!$H$5:$H$504,G49)&amp;" — "&amp;IF(INDEX('Zgłoszenia'!$M$5:$M$504,G49)="","Zgłoszona",INDEX('Zgłoszenia'!$M$5:$M$504,G49))))</f>
        <v/>
      </c>
      <c r="F49" s="2" t="n"/>
      <c r="G49" s="2">
        <f>IF(OR(A49="",D49=0),"",MATCH(SUMPRODUCT(MAX(('Zgłoszenia'!$B$5:$B$504=A49)*'Zgłoszenia'!$R$5:$R$504)),'Zgłoszenia'!$R$5:$R$504,0))</f>
        <v/>
      </c>
    </row>
    <row r="50">
      <c r="A50" s="20">
        <f>IF('Wózki'!A44="","",'Wózki'!A44)</f>
        <v/>
      </c>
      <c r="B50" s="21">
        <f>IF(A50="","",'Wózki'!B44&amp;"")</f>
        <v/>
      </c>
      <c r="C50" s="21">
        <f>IF(A50="","",IF(COUNTIFS('Zgłoszenia'!$B$5:$B$504,A50,'Zgłoszenia'!$O$5:$O$504,"TAK",'Zgłoszenia'!$L$5:$L$504,"TAK")&gt;0,"Wyłączony z pracy",IF(COUNTIFS('Zgłoszenia'!$B$5:$B$504,A50,'Zgłoszenia'!$M$5:$M$504,Ustawienia!$J$5)+COUNTIFS('Zgłoszenia'!$B$5:$B$504,A50,'Zgłoszenia'!$M$5:$M$504,Ustawienia!$J$6)&gt;0,"W naprawie",IF(D50&gt;0,"Usterka zgłoszona","Sprawny"))))</f>
        <v/>
      </c>
      <c r="D50" s="22">
        <f>IF(A50="","",COUNTIFS('Zgłoszenia'!$B$5:$B$504,A50,'Zgłoszenia'!$O$5:$O$504,"TAK"))</f>
        <v/>
      </c>
      <c r="E50" s="21">
        <f>IF(A50="","",IF(D50=0,"Brak otwartych usterek",IF(INDEX('Zgłoszenia'!$D$5:$D$504,G50)="","",RIGHT("0"&amp;DAY(INDEX('Zgłoszenia'!$D$5:$D$504,G50)),2)&amp;"."&amp;RIGHT("0"&amp;MONTH(INDEX('Zgłoszenia'!$D$5:$D$504,G50)),2)&amp;"."&amp;YEAR(INDEX('Zgłoszenia'!$D$5:$D$504,G50)))&amp;" · "&amp;INDEX('Zgłoszenia'!$H$5:$H$504,G50)&amp;" — "&amp;IF(INDEX('Zgłoszenia'!$M$5:$M$504,G50)="","Zgłoszona",INDEX('Zgłoszenia'!$M$5:$M$504,G50))))</f>
        <v/>
      </c>
      <c r="F50" s="2" t="n"/>
      <c r="G50" s="2">
        <f>IF(OR(A50="",D50=0),"",MATCH(SUMPRODUCT(MAX(('Zgłoszenia'!$B$5:$B$504=A50)*'Zgłoszenia'!$R$5:$R$504)),'Zgłoszenia'!$R$5:$R$504,0))</f>
        <v/>
      </c>
    </row>
    <row r="51">
      <c r="A51" s="20">
        <f>IF('Wózki'!A45="","",'Wózki'!A45)</f>
        <v/>
      </c>
      <c r="B51" s="21">
        <f>IF(A51="","",'Wózki'!B45&amp;"")</f>
        <v/>
      </c>
      <c r="C51" s="21">
        <f>IF(A51="","",IF(COUNTIFS('Zgłoszenia'!$B$5:$B$504,A51,'Zgłoszenia'!$O$5:$O$504,"TAK",'Zgłoszenia'!$L$5:$L$504,"TAK")&gt;0,"Wyłączony z pracy",IF(COUNTIFS('Zgłoszenia'!$B$5:$B$504,A51,'Zgłoszenia'!$M$5:$M$504,Ustawienia!$J$5)+COUNTIFS('Zgłoszenia'!$B$5:$B$504,A51,'Zgłoszenia'!$M$5:$M$504,Ustawienia!$J$6)&gt;0,"W naprawie",IF(D51&gt;0,"Usterka zgłoszona","Sprawny"))))</f>
        <v/>
      </c>
      <c r="D51" s="22">
        <f>IF(A51="","",COUNTIFS('Zgłoszenia'!$B$5:$B$504,A51,'Zgłoszenia'!$O$5:$O$504,"TAK"))</f>
        <v/>
      </c>
      <c r="E51" s="21">
        <f>IF(A51="","",IF(D51=0,"Brak otwartych usterek",IF(INDEX('Zgłoszenia'!$D$5:$D$504,G51)="","",RIGHT("0"&amp;DAY(INDEX('Zgłoszenia'!$D$5:$D$504,G51)),2)&amp;"."&amp;RIGHT("0"&amp;MONTH(INDEX('Zgłoszenia'!$D$5:$D$504,G51)),2)&amp;"."&amp;YEAR(INDEX('Zgłoszenia'!$D$5:$D$504,G51)))&amp;" · "&amp;INDEX('Zgłoszenia'!$H$5:$H$504,G51)&amp;" — "&amp;IF(INDEX('Zgłoszenia'!$M$5:$M$504,G51)="","Zgłoszona",INDEX('Zgłoszenia'!$M$5:$M$504,G51))))</f>
        <v/>
      </c>
      <c r="F51" s="2" t="n"/>
      <c r="G51" s="2">
        <f>IF(OR(A51="",D51=0),"",MATCH(SUMPRODUCT(MAX(('Zgłoszenia'!$B$5:$B$504=A51)*'Zgłoszenia'!$R$5:$R$504)),'Zgłoszenia'!$R$5:$R$504,0))</f>
        <v/>
      </c>
    </row>
    <row r="52">
      <c r="A52" s="20">
        <f>IF('Wózki'!A46="","",'Wózki'!A46)</f>
        <v/>
      </c>
      <c r="B52" s="21">
        <f>IF(A52="","",'Wózki'!B46&amp;"")</f>
        <v/>
      </c>
      <c r="C52" s="21">
        <f>IF(A52="","",IF(COUNTIFS('Zgłoszenia'!$B$5:$B$504,A52,'Zgłoszenia'!$O$5:$O$504,"TAK",'Zgłoszenia'!$L$5:$L$504,"TAK")&gt;0,"Wyłączony z pracy",IF(COUNTIFS('Zgłoszenia'!$B$5:$B$504,A52,'Zgłoszenia'!$M$5:$M$504,Ustawienia!$J$5)+COUNTIFS('Zgłoszenia'!$B$5:$B$504,A52,'Zgłoszenia'!$M$5:$M$504,Ustawienia!$J$6)&gt;0,"W naprawie",IF(D52&gt;0,"Usterka zgłoszona","Sprawny"))))</f>
        <v/>
      </c>
      <c r="D52" s="22">
        <f>IF(A52="","",COUNTIFS('Zgłoszenia'!$B$5:$B$504,A52,'Zgłoszenia'!$O$5:$O$504,"TAK"))</f>
        <v/>
      </c>
      <c r="E52" s="21">
        <f>IF(A52="","",IF(D52=0,"Brak otwartych usterek",IF(INDEX('Zgłoszenia'!$D$5:$D$504,G52)="","",RIGHT("0"&amp;DAY(INDEX('Zgłoszenia'!$D$5:$D$504,G52)),2)&amp;"."&amp;RIGHT("0"&amp;MONTH(INDEX('Zgłoszenia'!$D$5:$D$504,G52)),2)&amp;"."&amp;YEAR(INDEX('Zgłoszenia'!$D$5:$D$504,G52)))&amp;" · "&amp;INDEX('Zgłoszenia'!$H$5:$H$504,G52)&amp;" — "&amp;IF(INDEX('Zgłoszenia'!$M$5:$M$504,G52)="","Zgłoszona",INDEX('Zgłoszenia'!$M$5:$M$504,G52))))</f>
        <v/>
      </c>
      <c r="F52" s="2" t="n"/>
      <c r="G52" s="2">
        <f>IF(OR(A52="",D52=0),"",MATCH(SUMPRODUCT(MAX(('Zgłoszenia'!$B$5:$B$504=A52)*'Zgłoszenia'!$R$5:$R$504)),'Zgłoszenia'!$R$5:$R$504,0))</f>
        <v/>
      </c>
    </row>
    <row r="53">
      <c r="A53" s="20">
        <f>IF('Wózki'!A47="","",'Wózki'!A47)</f>
        <v/>
      </c>
      <c r="B53" s="21">
        <f>IF(A53="","",'Wózki'!B47&amp;"")</f>
        <v/>
      </c>
      <c r="C53" s="21">
        <f>IF(A53="","",IF(COUNTIFS('Zgłoszenia'!$B$5:$B$504,A53,'Zgłoszenia'!$O$5:$O$504,"TAK",'Zgłoszenia'!$L$5:$L$504,"TAK")&gt;0,"Wyłączony z pracy",IF(COUNTIFS('Zgłoszenia'!$B$5:$B$504,A53,'Zgłoszenia'!$M$5:$M$504,Ustawienia!$J$5)+COUNTIFS('Zgłoszenia'!$B$5:$B$504,A53,'Zgłoszenia'!$M$5:$M$504,Ustawienia!$J$6)&gt;0,"W naprawie",IF(D53&gt;0,"Usterka zgłoszona","Sprawny"))))</f>
        <v/>
      </c>
      <c r="D53" s="22">
        <f>IF(A53="","",COUNTIFS('Zgłoszenia'!$B$5:$B$504,A53,'Zgłoszenia'!$O$5:$O$504,"TAK"))</f>
        <v/>
      </c>
      <c r="E53" s="21">
        <f>IF(A53="","",IF(D53=0,"Brak otwartych usterek",IF(INDEX('Zgłoszenia'!$D$5:$D$504,G53)="","",RIGHT("0"&amp;DAY(INDEX('Zgłoszenia'!$D$5:$D$504,G53)),2)&amp;"."&amp;RIGHT("0"&amp;MONTH(INDEX('Zgłoszenia'!$D$5:$D$504,G53)),2)&amp;"."&amp;YEAR(INDEX('Zgłoszenia'!$D$5:$D$504,G53)))&amp;" · "&amp;INDEX('Zgłoszenia'!$H$5:$H$504,G53)&amp;" — "&amp;IF(INDEX('Zgłoszenia'!$M$5:$M$504,G53)="","Zgłoszona",INDEX('Zgłoszenia'!$M$5:$M$504,G53))))</f>
        <v/>
      </c>
      <c r="F53" s="2" t="n"/>
      <c r="G53" s="2">
        <f>IF(OR(A53="",D53=0),"",MATCH(SUMPRODUCT(MAX(('Zgłoszenia'!$B$5:$B$504=A53)*'Zgłoszenia'!$R$5:$R$504)),'Zgłoszenia'!$R$5:$R$504,0))</f>
        <v/>
      </c>
    </row>
    <row r="54">
      <c r="A54" s="20">
        <f>IF('Wózki'!A48="","",'Wózki'!A48)</f>
        <v/>
      </c>
      <c r="B54" s="21">
        <f>IF(A54="","",'Wózki'!B48&amp;"")</f>
        <v/>
      </c>
      <c r="C54" s="21">
        <f>IF(A54="","",IF(COUNTIFS('Zgłoszenia'!$B$5:$B$504,A54,'Zgłoszenia'!$O$5:$O$504,"TAK",'Zgłoszenia'!$L$5:$L$504,"TAK")&gt;0,"Wyłączony z pracy",IF(COUNTIFS('Zgłoszenia'!$B$5:$B$504,A54,'Zgłoszenia'!$M$5:$M$504,Ustawienia!$J$5)+COUNTIFS('Zgłoszenia'!$B$5:$B$504,A54,'Zgłoszenia'!$M$5:$M$504,Ustawienia!$J$6)&gt;0,"W naprawie",IF(D54&gt;0,"Usterka zgłoszona","Sprawny"))))</f>
        <v/>
      </c>
      <c r="D54" s="22">
        <f>IF(A54="","",COUNTIFS('Zgłoszenia'!$B$5:$B$504,A54,'Zgłoszenia'!$O$5:$O$504,"TAK"))</f>
        <v/>
      </c>
      <c r="E54" s="21">
        <f>IF(A54="","",IF(D54=0,"Brak otwartych usterek",IF(INDEX('Zgłoszenia'!$D$5:$D$504,G54)="","",RIGHT("0"&amp;DAY(INDEX('Zgłoszenia'!$D$5:$D$504,G54)),2)&amp;"."&amp;RIGHT("0"&amp;MONTH(INDEX('Zgłoszenia'!$D$5:$D$504,G54)),2)&amp;"."&amp;YEAR(INDEX('Zgłoszenia'!$D$5:$D$504,G54)))&amp;" · "&amp;INDEX('Zgłoszenia'!$H$5:$H$504,G54)&amp;" — "&amp;IF(INDEX('Zgłoszenia'!$M$5:$M$504,G54)="","Zgłoszona",INDEX('Zgłoszenia'!$M$5:$M$504,G54))))</f>
        <v/>
      </c>
      <c r="F54" s="2" t="n"/>
      <c r="G54" s="2">
        <f>IF(OR(A54="",D54=0),"",MATCH(SUMPRODUCT(MAX(('Zgłoszenia'!$B$5:$B$504=A54)*'Zgłoszenia'!$R$5:$R$504)),'Zgłoszenia'!$R$5:$R$504,0))</f>
        <v/>
      </c>
    </row>
    <row r="55">
      <c r="A55" s="20">
        <f>IF('Wózki'!A49="","",'Wózki'!A49)</f>
        <v/>
      </c>
      <c r="B55" s="21">
        <f>IF(A55="","",'Wózki'!B49&amp;"")</f>
        <v/>
      </c>
      <c r="C55" s="21">
        <f>IF(A55="","",IF(COUNTIFS('Zgłoszenia'!$B$5:$B$504,A55,'Zgłoszenia'!$O$5:$O$504,"TAK",'Zgłoszenia'!$L$5:$L$504,"TAK")&gt;0,"Wyłączony z pracy",IF(COUNTIFS('Zgłoszenia'!$B$5:$B$504,A55,'Zgłoszenia'!$M$5:$M$504,Ustawienia!$J$5)+COUNTIFS('Zgłoszenia'!$B$5:$B$504,A55,'Zgłoszenia'!$M$5:$M$504,Ustawienia!$J$6)&gt;0,"W naprawie",IF(D55&gt;0,"Usterka zgłoszona","Sprawny"))))</f>
        <v/>
      </c>
      <c r="D55" s="22">
        <f>IF(A55="","",COUNTIFS('Zgłoszenia'!$B$5:$B$504,A55,'Zgłoszenia'!$O$5:$O$504,"TAK"))</f>
        <v/>
      </c>
      <c r="E55" s="21">
        <f>IF(A55="","",IF(D55=0,"Brak otwartych usterek",IF(INDEX('Zgłoszenia'!$D$5:$D$504,G55)="","",RIGHT("0"&amp;DAY(INDEX('Zgłoszenia'!$D$5:$D$504,G55)),2)&amp;"."&amp;RIGHT("0"&amp;MONTH(INDEX('Zgłoszenia'!$D$5:$D$504,G55)),2)&amp;"."&amp;YEAR(INDEX('Zgłoszenia'!$D$5:$D$504,G55)))&amp;" · "&amp;INDEX('Zgłoszenia'!$H$5:$H$504,G55)&amp;" — "&amp;IF(INDEX('Zgłoszenia'!$M$5:$M$504,G55)="","Zgłoszona",INDEX('Zgłoszenia'!$M$5:$M$504,G55))))</f>
        <v/>
      </c>
      <c r="F55" s="2" t="n"/>
      <c r="G55" s="2">
        <f>IF(OR(A55="",D55=0),"",MATCH(SUMPRODUCT(MAX(('Zgłoszenia'!$B$5:$B$504=A55)*'Zgłoszenia'!$R$5:$R$504)),'Zgłoszenia'!$R$5:$R$504,0))</f>
        <v/>
      </c>
    </row>
    <row r="56">
      <c r="A56" s="20">
        <f>IF('Wózki'!A50="","",'Wózki'!A50)</f>
        <v/>
      </c>
      <c r="B56" s="21">
        <f>IF(A56="","",'Wózki'!B50&amp;"")</f>
        <v/>
      </c>
      <c r="C56" s="21">
        <f>IF(A56="","",IF(COUNTIFS('Zgłoszenia'!$B$5:$B$504,A56,'Zgłoszenia'!$O$5:$O$504,"TAK",'Zgłoszenia'!$L$5:$L$504,"TAK")&gt;0,"Wyłączony z pracy",IF(COUNTIFS('Zgłoszenia'!$B$5:$B$504,A56,'Zgłoszenia'!$M$5:$M$504,Ustawienia!$J$5)+COUNTIFS('Zgłoszenia'!$B$5:$B$504,A56,'Zgłoszenia'!$M$5:$M$504,Ustawienia!$J$6)&gt;0,"W naprawie",IF(D56&gt;0,"Usterka zgłoszona","Sprawny"))))</f>
        <v/>
      </c>
      <c r="D56" s="22">
        <f>IF(A56="","",COUNTIFS('Zgłoszenia'!$B$5:$B$504,A56,'Zgłoszenia'!$O$5:$O$504,"TAK"))</f>
        <v/>
      </c>
      <c r="E56" s="21">
        <f>IF(A56="","",IF(D56=0,"Brak otwartych usterek",IF(INDEX('Zgłoszenia'!$D$5:$D$504,G56)="","",RIGHT("0"&amp;DAY(INDEX('Zgłoszenia'!$D$5:$D$504,G56)),2)&amp;"."&amp;RIGHT("0"&amp;MONTH(INDEX('Zgłoszenia'!$D$5:$D$504,G56)),2)&amp;"."&amp;YEAR(INDEX('Zgłoszenia'!$D$5:$D$504,G56)))&amp;" · "&amp;INDEX('Zgłoszenia'!$H$5:$H$504,G56)&amp;" — "&amp;IF(INDEX('Zgłoszenia'!$M$5:$M$504,G56)="","Zgłoszona",INDEX('Zgłoszenia'!$M$5:$M$504,G56))))</f>
        <v/>
      </c>
      <c r="F56" s="2" t="n"/>
      <c r="G56" s="2">
        <f>IF(OR(A56="",D56=0),"",MATCH(SUMPRODUCT(MAX(('Zgłoszenia'!$B$5:$B$504=A56)*'Zgłoszenia'!$R$5:$R$504)),'Zgłoszenia'!$R$5:$R$504,0))</f>
        <v/>
      </c>
    </row>
    <row r="57">
      <c r="A57" s="20">
        <f>IF('Wózki'!A51="","",'Wózki'!A51)</f>
        <v/>
      </c>
      <c r="B57" s="21">
        <f>IF(A57="","",'Wózki'!B51&amp;"")</f>
        <v/>
      </c>
      <c r="C57" s="21">
        <f>IF(A57="","",IF(COUNTIFS('Zgłoszenia'!$B$5:$B$504,A57,'Zgłoszenia'!$O$5:$O$504,"TAK",'Zgłoszenia'!$L$5:$L$504,"TAK")&gt;0,"Wyłączony z pracy",IF(COUNTIFS('Zgłoszenia'!$B$5:$B$504,A57,'Zgłoszenia'!$M$5:$M$504,Ustawienia!$J$5)+COUNTIFS('Zgłoszenia'!$B$5:$B$504,A57,'Zgłoszenia'!$M$5:$M$504,Ustawienia!$J$6)&gt;0,"W naprawie",IF(D57&gt;0,"Usterka zgłoszona","Sprawny"))))</f>
        <v/>
      </c>
      <c r="D57" s="22">
        <f>IF(A57="","",COUNTIFS('Zgłoszenia'!$B$5:$B$504,A57,'Zgłoszenia'!$O$5:$O$504,"TAK"))</f>
        <v/>
      </c>
      <c r="E57" s="21">
        <f>IF(A57="","",IF(D57=0,"Brak otwartych usterek",IF(INDEX('Zgłoszenia'!$D$5:$D$504,G57)="","",RIGHT("0"&amp;DAY(INDEX('Zgłoszenia'!$D$5:$D$504,G57)),2)&amp;"."&amp;RIGHT("0"&amp;MONTH(INDEX('Zgłoszenia'!$D$5:$D$504,G57)),2)&amp;"."&amp;YEAR(INDEX('Zgłoszenia'!$D$5:$D$504,G57)))&amp;" · "&amp;INDEX('Zgłoszenia'!$H$5:$H$504,G57)&amp;" — "&amp;IF(INDEX('Zgłoszenia'!$M$5:$M$504,G57)="","Zgłoszona",INDEX('Zgłoszenia'!$M$5:$M$504,G57))))</f>
        <v/>
      </c>
      <c r="F57" s="2" t="n"/>
      <c r="G57" s="2">
        <f>IF(OR(A57="",D57=0),"",MATCH(SUMPRODUCT(MAX(('Zgłoszenia'!$B$5:$B$504=A57)*'Zgłoszenia'!$R$5:$R$504)),'Zgłoszenia'!$R$5:$R$504,0))</f>
        <v/>
      </c>
    </row>
    <row r="58">
      <c r="A58" s="20">
        <f>IF('Wózki'!A52="","",'Wózki'!A52)</f>
        <v/>
      </c>
      <c r="B58" s="21">
        <f>IF(A58="","",'Wózki'!B52&amp;"")</f>
        <v/>
      </c>
      <c r="C58" s="21">
        <f>IF(A58="","",IF(COUNTIFS('Zgłoszenia'!$B$5:$B$504,A58,'Zgłoszenia'!$O$5:$O$504,"TAK",'Zgłoszenia'!$L$5:$L$504,"TAK")&gt;0,"Wyłączony z pracy",IF(COUNTIFS('Zgłoszenia'!$B$5:$B$504,A58,'Zgłoszenia'!$M$5:$M$504,Ustawienia!$J$5)+COUNTIFS('Zgłoszenia'!$B$5:$B$504,A58,'Zgłoszenia'!$M$5:$M$504,Ustawienia!$J$6)&gt;0,"W naprawie",IF(D58&gt;0,"Usterka zgłoszona","Sprawny"))))</f>
        <v/>
      </c>
      <c r="D58" s="22">
        <f>IF(A58="","",COUNTIFS('Zgłoszenia'!$B$5:$B$504,A58,'Zgłoszenia'!$O$5:$O$504,"TAK"))</f>
        <v/>
      </c>
      <c r="E58" s="21">
        <f>IF(A58="","",IF(D58=0,"Brak otwartych usterek",IF(INDEX('Zgłoszenia'!$D$5:$D$504,G58)="","",RIGHT("0"&amp;DAY(INDEX('Zgłoszenia'!$D$5:$D$504,G58)),2)&amp;"."&amp;RIGHT("0"&amp;MONTH(INDEX('Zgłoszenia'!$D$5:$D$504,G58)),2)&amp;"."&amp;YEAR(INDEX('Zgłoszenia'!$D$5:$D$504,G58)))&amp;" · "&amp;INDEX('Zgłoszenia'!$H$5:$H$504,G58)&amp;" — "&amp;IF(INDEX('Zgłoszenia'!$M$5:$M$504,G58)="","Zgłoszona",INDEX('Zgłoszenia'!$M$5:$M$504,G58))))</f>
        <v/>
      </c>
      <c r="F58" s="2" t="n"/>
      <c r="G58" s="2">
        <f>IF(OR(A58="",D58=0),"",MATCH(SUMPRODUCT(MAX(('Zgłoszenia'!$B$5:$B$504=A58)*'Zgłoszenia'!$R$5:$R$504)),'Zgłoszenia'!$R$5:$R$504,0))</f>
        <v/>
      </c>
    </row>
    <row r="59">
      <c r="A59" s="20">
        <f>IF('Wózki'!A53="","",'Wózki'!A53)</f>
        <v/>
      </c>
      <c r="B59" s="21">
        <f>IF(A59="","",'Wózki'!B53&amp;"")</f>
        <v/>
      </c>
      <c r="C59" s="21">
        <f>IF(A59="","",IF(COUNTIFS('Zgłoszenia'!$B$5:$B$504,A59,'Zgłoszenia'!$O$5:$O$504,"TAK",'Zgłoszenia'!$L$5:$L$504,"TAK")&gt;0,"Wyłączony z pracy",IF(COUNTIFS('Zgłoszenia'!$B$5:$B$504,A59,'Zgłoszenia'!$M$5:$M$504,Ustawienia!$J$5)+COUNTIFS('Zgłoszenia'!$B$5:$B$504,A59,'Zgłoszenia'!$M$5:$M$504,Ustawienia!$J$6)&gt;0,"W naprawie",IF(D59&gt;0,"Usterka zgłoszona","Sprawny"))))</f>
        <v/>
      </c>
      <c r="D59" s="22">
        <f>IF(A59="","",COUNTIFS('Zgłoszenia'!$B$5:$B$504,A59,'Zgłoszenia'!$O$5:$O$504,"TAK"))</f>
        <v/>
      </c>
      <c r="E59" s="21">
        <f>IF(A59="","",IF(D59=0,"Brak otwartych usterek",IF(INDEX('Zgłoszenia'!$D$5:$D$504,G59)="","",RIGHT("0"&amp;DAY(INDEX('Zgłoszenia'!$D$5:$D$504,G59)),2)&amp;"."&amp;RIGHT("0"&amp;MONTH(INDEX('Zgłoszenia'!$D$5:$D$504,G59)),2)&amp;"."&amp;YEAR(INDEX('Zgłoszenia'!$D$5:$D$504,G59)))&amp;" · "&amp;INDEX('Zgłoszenia'!$H$5:$H$504,G59)&amp;" — "&amp;IF(INDEX('Zgłoszenia'!$M$5:$M$504,G59)="","Zgłoszona",INDEX('Zgłoszenia'!$M$5:$M$504,G59))))</f>
        <v/>
      </c>
      <c r="F59" s="2" t="n"/>
      <c r="G59" s="2">
        <f>IF(OR(A59="",D59=0),"",MATCH(SUMPRODUCT(MAX(('Zgłoszenia'!$B$5:$B$504=A59)*'Zgłoszenia'!$R$5:$R$504)),'Zgłoszenia'!$R$5:$R$504,0))</f>
        <v/>
      </c>
    </row>
    <row r="60">
      <c r="A60" s="20">
        <f>IF('Wózki'!A54="","",'Wózki'!A54)</f>
        <v/>
      </c>
      <c r="B60" s="21">
        <f>IF(A60="","",'Wózki'!B54&amp;"")</f>
        <v/>
      </c>
      <c r="C60" s="21">
        <f>IF(A60="","",IF(COUNTIFS('Zgłoszenia'!$B$5:$B$504,A60,'Zgłoszenia'!$O$5:$O$504,"TAK",'Zgłoszenia'!$L$5:$L$504,"TAK")&gt;0,"Wyłączony z pracy",IF(COUNTIFS('Zgłoszenia'!$B$5:$B$504,A60,'Zgłoszenia'!$M$5:$M$504,Ustawienia!$J$5)+COUNTIFS('Zgłoszenia'!$B$5:$B$504,A60,'Zgłoszenia'!$M$5:$M$504,Ustawienia!$J$6)&gt;0,"W naprawie",IF(D60&gt;0,"Usterka zgłoszona","Sprawny"))))</f>
        <v/>
      </c>
      <c r="D60" s="22">
        <f>IF(A60="","",COUNTIFS('Zgłoszenia'!$B$5:$B$504,A60,'Zgłoszenia'!$O$5:$O$504,"TAK"))</f>
        <v/>
      </c>
      <c r="E60" s="21">
        <f>IF(A60="","",IF(D60=0,"Brak otwartych usterek",IF(INDEX('Zgłoszenia'!$D$5:$D$504,G60)="","",RIGHT("0"&amp;DAY(INDEX('Zgłoszenia'!$D$5:$D$504,G60)),2)&amp;"."&amp;RIGHT("0"&amp;MONTH(INDEX('Zgłoszenia'!$D$5:$D$504,G60)),2)&amp;"."&amp;YEAR(INDEX('Zgłoszenia'!$D$5:$D$504,G60)))&amp;" · "&amp;INDEX('Zgłoszenia'!$H$5:$H$504,G60)&amp;" — "&amp;IF(INDEX('Zgłoszenia'!$M$5:$M$504,G60)="","Zgłoszona",INDEX('Zgłoszenia'!$M$5:$M$504,G60))))</f>
        <v/>
      </c>
      <c r="F60" s="2" t="n"/>
      <c r="G60" s="2">
        <f>IF(OR(A60="",D60=0),"",MATCH(SUMPRODUCT(MAX(('Zgłoszenia'!$B$5:$B$504=A60)*'Zgłoszenia'!$R$5:$R$504)),'Zgłoszenia'!$R$5:$R$504,0))</f>
        <v/>
      </c>
    </row>
    <row r="61">
      <c r="A61" s="20">
        <f>IF('Wózki'!A55="","",'Wózki'!A55)</f>
        <v/>
      </c>
      <c r="B61" s="21">
        <f>IF(A61="","",'Wózki'!B55&amp;"")</f>
        <v/>
      </c>
      <c r="C61" s="21">
        <f>IF(A61="","",IF(COUNTIFS('Zgłoszenia'!$B$5:$B$504,A61,'Zgłoszenia'!$O$5:$O$504,"TAK",'Zgłoszenia'!$L$5:$L$504,"TAK")&gt;0,"Wyłączony z pracy",IF(COUNTIFS('Zgłoszenia'!$B$5:$B$504,A61,'Zgłoszenia'!$M$5:$M$504,Ustawienia!$J$5)+COUNTIFS('Zgłoszenia'!$B$5:$B$504,A61,'Zgłoszenia'!$M$5:$M$504,Ustawienia!$J$6)&gt;0,"W naprawie",IF(D61&gt;0,"Usterka zgłoszona","Sprawny"))))</f>
        <v/>
      </c>
      <c r="D61" s="22">
        <f>IF(A61="","",COUNTIFS('Zgłoszenia'!$B$5:$B$504,A61,'Zgłoszenia'!$O$5:$O$504,"TAK"))</f>
        <v/>
      </c>
      <c r="E61" s="21">
        <f>IF(A61="","",IF(D61=0,"Brak otwartych usterek",IF(INDEX('Zgłoszenia'!$D$5:$D$504,G61)="","",RIGHT("0"&amp;DAY(INDEX('Zgłoszenia'!$D$5:$D$504,G61)),2)&amp;"."&amp;RIGHT("0"&amp;MONTH(INDEX('Zgłoszenia'!$D$5:$D$504,G61)),2)&amp;"."&amp;YEAR(INDEX('Zgłoszenia'!$D$5:$D$504,G61)))&amp;" · "&amp;INDEX('Zgłoszenia'!$H$5:$H$504,G61)&amp;" — "&amp;IF(INDEX('Zgłoszenia'!$M$5:$M$504,G61)="","Zgłoszona",INDEX('Zgłoszenia'!$M$5:$M$504,G61))))</f>
        <v/>
      </c>
      <c r="F61" s="2" t="n"/>
      <c r="G61" s="2">
        <f>IF(OR(A61="",D61=0),"",MATCH(SUMPRODUCT(MAX(('Zgłoszenia'!$B$5:$B$504=A61)*'Zgłoszenia'!$R$5:$R$504)),'Zgłoszenia'!$R$5:$R$504,0))</f>
        <v/>
      </c>
    </row>
    <row r="62">
      <c r="A62" s="20">
        <f>IF('Wózki'!A56="","",'Wózki'!A56)</f>
        <v/>
      </c>
      <c r="B62" s="21">
        <f>IF(A62="","",'Wózki'!B56&amp;"")</f>
        <v/>
      </c>
      <c r="C62" s="21">
        <f>IF(A62="","",IF(COUNTIFS('Zgłoszenia'!$B$5:$B$504,A62,'Zgłoszenia'!$O$5:$O$504,"TAK",'Zgłoszenia'!$L$5:$L$504,"TAK")&gt;0,"Wyłączony z pracy",IF(COUNTIFS('Zgłoszenia'!$B$5:$B$504,A62,'Zgłoszenia'!$M$5:$M$504,Ustawienia!$J$5)+COUNTIFS('Zgłoszenia'!$B$5:$B$504,A62,'Zgłoszenia'!$M$5:$M$504,Ustawienia!$J$6)&gt;0,"W naprawie",IF(D62&gt;0,"Usterka zgłoszona","Sprawny"))))</f>
        <v/>
      </c>
      <c r="D62" s="22">
        <f>IF(A62="","",COUNTIFS('Zgłoszenia'!$B$5:$B$504,A62,'Zgłoszenia'!$O$5:$O$504,"TAK"))</f>
        <v/>
      </c>
      <c r="E62" s="21">
        <f>IF(A62="","",IF(D62=0,"Brak otwartych usterek",IF(INDEX('Zgłoszenia'!$D$5:$D$504,G62)="","",RIGHT("0"&amp;DAY(INDEX('Zgłoszenia'!$D$5:$D$504,G62)),2)&amp;"."&amp;RIGHT("0"&amp;MONTH(INDEX('Zgłoszenia'!$D$5:$D$504,G62)),2)&amp;"."&amp;YEAR(INDEX('Zgłoszenia'!$D$5:$D$504,G62)))&amp;" · "&amp;INDEX('Zgłoszenia'!$H$5:$H$504,G62)&amp;" — "&amp;IF(INDEX('Zgłoszenia'!$M$5:$M$504,G62)="","Zgłoszona",INDEX('Zgłoszenia'!$M$5:$M$504,G62))))</f>
        <v/>
      </c>
      <c r="F62" s="2" t="n"/>
      <c r="G62" s="2">
        <f>IF(OR(A62="",D62=0),"",MATCH(SUMPRODUCT(MAX(('Zgłoszenia'!$B$5:$B$504=A62)*'Zgłoszenia'!$R$5:$R$504)),'Zgłoszenia'!$R$5:$R$504,0))</f>
        <v/>
      </c>
    </row>
    <row r="63">
      <c r="A63" s="20">
        <f>IF('Wózki'!A57="","",'Wózki'!A57)</f>
        <v/>
      </c>
      <c r="B63" s="21">
        <f>IF(A63="","",'Wózki'!B57&amp;"")</f>
        <v/>
      </c>
      <c r="C63" s="21">
        <f>IF(A63="","",IF(COUNTIFS('Zgłoszenia'!$B$5:$B$504,A63,'Zgłoszenia'!$O$5:$O$504,"TAK",'Zgłoszenia'!$L$5:$L$504,"TAK")&gt;0,"Wyłączony z pracy",IF(COUNTIFS('Zgłoszenia'!$B$5:$B$504,A63,'Zgłoszenia'!$M$5:$M$504,Ustawienia!$J$5)+COUNTIFS('Zgłoszenia'!$B$5:$B$504,A63,'Zgłoszenia'!$M$5:$M$504,Ustawienia!$J$6)&gt;0,"W naprawie",IF(D63&gt;0,"Usterka zgłoszona","Sprawny"))))</f>
        <v/>
      </c>
      <c r="D63" s="22">
        <f>IF(A63="","",COUNTIFS('Zgłoszenia'!$B$5:$B$504,A63,'Zgłoszenia'!$O$5:$O$504,"TAK"))</f>
        <v/>
      </c>
      <c r="E63" s="21">
        <f>IF(A63="","",IF(D63=0,"Brak otwartych usterek",IF(INDEX('Zgłoszenia'!$D$5:$D$504,G63)="","",RIGHT("0"&amp;DAY(INDEX('Zgłoszenia'!$D$5:$D$504,G63)),2)&amp;"."&amp;RIGHT("0"&amp;MONTH(INDEX('Zgłoszenia'!$D$5:$D$504,G63)),2)&amp;"."&amp;YEAR(INDEX('Zgłoszenia'!$D$5:$D$504,G63)))&amp;" · "&amp;INDEX('Zgłoszenia'!$H$5:$H$504,G63)&amp;" — "&amp;IF(INDEX('Zgłoszenia'!$M$5:$M$504,G63)="","Zgłoszona",INDEX('Zgłoszenia'!$M$5:$M$504,G63))))</f>
        <v/>
      </c>
      <c r="F63" s="2" t="n"/>
      <c r="G63" s="2">
        <f>IF(OR(A63="",D63=0),"",MATCH(SUMPRODUCT(MAX(('Zgłoszenia'!$B$5:$B$504=A63)*'Zgłoszenia'!$R$5:$R$504)),'Zgłoszenia'!$R$5:$R$504,0))</f>
        <v/>
      </c>
    </row>
    <row r="64">
      <c r="A64" s="20">
        <f>IF('Wózki'!A58="","",'Wózki'!A58)</f>
        <v/>
      </c>
      <c r="B64" s="21">
        <f>IF(A64="","",'Wózki'!B58&amp;"")</f>
        <v/>
      </c>
      <c r="C64" s="21">
        <f>IF(A64="","",IF(COUNTIFS('Zgłoszenia'!$B$5:$B$504,A64,'Zgłoszenia'!$O$5:$O$504,"TAK",'Zgłoszenia'!$L$5:$L$504,"TAK")&gt;0,"Wyłączony z pracy",IF(COUNTIFS('Zgłoszenia'!$B$5:$B$504,A64,'Zgłoszenia'!$M$5:$M$504,Ustawienia!$J$5)+COUNTIFS('Zgłoszenia'!$B$5:$B$504,A64,'Zgłoszenia'!$M$5:$M$504,Ustawienia!$J$6)&gt;0,"W naprawie",IF(D64&gt;0,"Usterka zgłoszona","Sprawny"))))</f>
        <v/>
      </c>
      <c r="D64" s="22">
        <f>IF(A64="","",COUNTIFS('Zgłoszenia'!$B$5:$B$504,A64,'Zgłoszenia'!$O$5:$O$504,"TAK"))</f>
        <v/>
      </c>
      <c r="E64" s="21">
        <f>IF(A64="","",IF(D64=0,"Brak otwartych usterek",IF(INDEX('Zgłoszenia'!$D$5:$D$504,G64)="","",RIGHT("0"&amp;DAY(INDEX('Zgłoszenia'!$D$5:$D$504,G64)),2)&amp;"."&amp;RIGHT("0"&amp;MONTH(INDEX('Zgłoszenia'!$D$5:$D$504,G64)),2)&amp;"."&amp;YEAR(INDEX('Zgłoszenia'!$D$5:$D$504,G64)))&amp;" · "&amp;INDEX('Zgłoszenia'!$H$5:$H$504,G64)&amp;" — "&amp;IF(INDEX('Zgłoszenia'!$M$5:$M$504,G64)="","Zgłoszona",INDEX('Zgłoszenia'!$M$5:$M$504,G64))))</f>
        <v/>
      </c>
      <c r="F64" s="2" t="n"/>
      <c r="G64" s="2">
        <f>IF(OR(A64="",D64=0),"",MATCH(SUMPRODUCT(MAX(('Zgłoszenia'!$B$5:$B$504=A64)*'Zgłoszenia'!$R$5:$R$504)),'Zgłoszenia'!$R$5:$R$504,0))</f>
        <v/>
      </c>
    </row>
    <row r="65">
      <c r="A65" s="20">
        <f>IF('Wózki'!A59="","",'Wózki'!A59)</f>
        <v/>
      </c>
      <c r="B65" s="21">
        <f>IF(A65="","",'Wózki'!B59&amp;"")</f>
        <v/>
      </c>
      <c r="C65" s="21">
        <f>IF(A65="","",IF(COUNTIFS('Zgłoszenia'!$B$5:$B$504,A65,'Zgłoszenia'!$O$5:$O$504,"TAK",'Zgłoszenia'!$L$5:$L$504,"TAK")&gt;0,"Wyłączony z pracy",IF(COUNTIFS('Zgłoszenia'!$B$5:$B$504,A65,'Zgłoszenia'!$M$5:$M$504,Ustawienia!$J$5)+COUNTIFS('Zgłoszenia'!$B$5:$B$504,A65,'Zgłoszenia'!$M$5:$M$504,Ustawienia!$J$6)&gt;0,"W naprawie",IF(D65&gt;0,"Usterka zgłoszona","Sprawny"))))</f>
        <v/>
      </c>
      <c r="D65" s="22">
        <f>IF(A65="","",COUNTIFS('Zgłoszenia'!$B$5:$B$504,A65,'Zgłoszenia'!$O$5:$O$504,"TAK"))</f>
        <v/>
      </c>
      <c r="E65" s="21">
        <f>IF(A65="","",IF(D65=0,"Brak otwartych usterek",IF(INDEX('Zgłoszenia'!$D$5:$D$504,G65)="","",RIGHT("0"&amp;DAY(INDEX('Zgłoszenia'!$D$5:$D$504,G65)),2)&amp;"."&amp;RIGHT("0"&amp;MONTH(INDEX('Zgłoszenia'!$D$5:$D$504,G65)),2)&amp;"."&amp;YEAR(INDEX('Zgłoszenia'!$D$5:$D$504,G65)))&amp;" · "&amp;INDEX('Zgłoszenia'!$H$5:$H$504,G65)&amp;" — "&amp;IF(INDEX('Zgłoszenia'!$M$5:$M$504,G65)="","Zgłoszona",INDEX('Zgłoszenia'!$M$5:$M$504,G65))))</f>
        <v/>
      </c>
      <c r="F65" s="2" t="n"/>
      <c r="G65" s="2">
        <f>IF(OR(A65="",D65=0),"",MATCH(SUMPRODUCT(MAX(('Zgłoszenia'!$B$5:$B$504=A65)*'Zgłoszenia'!$R$5:$R$504)),'Zgłoszenia'!$R$5:$R$504,0))</f>
        <v/>
      </c>
    </row>
    <row r="66">
      <c r="A66" s="20">
        <f>IF('Wózki'!A60="","",'Wózki'!A60)</f>
        <v/>
      </c>
      <c r="B66" s="21">
        <f>IF(A66="","",'Wózki'!B60&amp;"")</f>
        <v/>
      </c>
      <c r="C66" s="21">
        <f>IF(A66="","",IF(COUNTIFS('Zgłoszenia'!$B$5:$B$504,A66,'Zgłoszenia'!$O$5:$O$504,"TAK",'Zgłoszenia'!$L$5:$L$504,"TAK")&gt;0,"Wyłączony z pracy",IF(COUNTIFS('Zgłoszenia'!$B$5:$B$504,A66,'Zgłoszenia'!$M$5:$M$504,Ustawienia!$J$5)+COUNTIFS('Zgłoszenia'!$B$5:$B$504,A66,'Zgłoszenia'!$M$5:$M$504,Ustawienia!$J$6)&gt;0,"W naprawie",IF(D66&gt;0,"Usterka zgłoszona","Sprawny"))))</f>
        <v/>
      </c>
      <c r="D66" s="22">
        <f>IF(A66="","",COUNTIFS('Zgłoszenia'!$B$5:$B$504,A66,'Zgłoszenia'!$O$5:$O$504,"TAK"))</f>
        <v/>
      </c>
      <c r="E66" s="21">
        <f>IF(A66="","",IF(D66=0,"Brak otwartych usterek",IF(INDEX('Zgłoszenia'!$D$5:$D$504,G66)="","",RIGHT("0"&amp;DAY(INDEX('Zgłoszenia'!$D$5:$D$504,G66)),2)&amp;"."&amp;RIGHT("0"&amp;MONTH(INDEX('Zgłoszenia'!$D$5:$D$504,G66)),2)&amp;"."&amp;YEAR(INDEX('Zgłoszenia'!$D$5:$D$504,G66)))&amp;" · "&amp;INDEX('Zgłoszenia'!$H$5:$H$504,G66)&amp;" — "&amp;IF(INDEX('Zgłoszenia'!$M$5:$M$504,G66)="","Zgłoszona",INDEX('Zgłoszenia'!$M$5:$M$504,G66))))</f>
        <v/>
      </c>
      <c r="F66" s="2" t="n"/>
      <c r="G66" s="2">
        <f>IF(OR(A66="",D66=0),"",MATCH(SUMPRODUCT(MAX(('Zgłoszenia'!$B$5:$B$504=A66)*'Zgłoszenia'!$R$5:$R$504)),'Zgłoszenia'!$R$5:$R$504,0))</f>
        <v/>
      </c>
    </row>
    <row r="67">
      <c r="A67" s="20">
        <f>IF('Wózki'!A61="","",'Wózki'!A61)</f>
        <v/>
      </c>
      <c r="B67" s="21">
        <f>IF(A67="","",'Wózki'!B61&amp;"")</f>
        <v/>
      </c>
      <c r="C67" s="21">
        <f>IF(A67="","",IF(COUNTIFS('Zgłoszenia'!$B$5:$B$504,A67,'Zgłoszenia'!$O$5:$O$504,"TAK",'Zgłoszenia'!$L$5:$L$504,"TAK")&gt;0,"Wyłączony z pracy",IF(COUNTIFS('Zgłoszenia'!$B$5:$B$504,A67,'Zgłoszenia'!$M$5:$M$504,Ustawienia!$J$5)+COUNTIFS('Zgłoszenia'!$B$5:$B$504,A67,'Zgłoszenia'!$M$5:$M$504,Ustawienia!$J$6)&gt;0,"W naprawie",IF(D67&gt;0,"Usterka zgłoszona","Sprawny"))))</f>
        <v/>
      </c>
      <c r="D67" s="22">
        <f>IF(A67="","",COUNTIFS('Zgłoszenia'!$B$5:$B$504,A67,'Zgłoszenia'!$O$5:$O$504,"TAK"))</f>
        <v/>
      </c>
      <c r="E67" s="21">
        <f>IF(A67="","",IF(D67=0,"Brak otwartych usterek",IF(INDEX('Zgłoszenia'!$D$5:$D$504,G67)="","",RIGHT("0"&amp;DAY(INDEX('Zgłoszenia'!$D$5:$D$504,G67)),2)&amp;"."&amp;RIGHT("0"&amp;MONTH(INDEX('Zgłoszenia'!$D$5:$D$504,G67)),2)&amp;"."&amp;YEAR(INDEX('Zgłoszenia'!$D$5:$D$504,G67)))&amp;" · "&amp;INDEX('Zgłoszenia'!$H$5:$H$504,G67)&amp;" — "&amp;IF(INDEX('Zgłoszenia'!$M$5:$M$504,G67)="","Zgłoszona",INDEX('Zgłoszenia'!$M$5:$M$504,G67))))</f>
        <v/>
      </c>
      <c r="F67" s="2" t="n"/>
      <c r="G67" s="2">
        <f>IF(OR(A67="",D67=0),"",MATCH(SUMPRODUCT(MAX(('Zgłoszenia'!$B$5:$B$504=A67)*'Zgłoszenia'!$R$5:$R$504)),'Zgłoszenia'!$R$5:$R$504,0))</f>
        <v/>
      </c>
    </row>
    <row r="68">
      <c r="A68" s="20">
        <f>IF('Wózki'!A62="","",'Wózki'!A62)</f>
        <v/>
      </c>
      <c r="B68" s="21">
        <f>IF(A68="","",'Wózki'!B62&amp;"")</f>
        <v/>
      </c>
      <c r="C68" s="21">
        <f>IF(A68="","",IF(COUNTIFS('Zgłoszenia'!$B$5:$B$504,A68,'Zgłoszenia'!$O$5:$O$504,"TAK",'Zgłoszenia'!$L$5:$L$504,"TAK")&gt;0,"Wyłączony z pracy",IF(COUNTIFS('Zgłoszenia'!$B$5:$B$504,A68,'Zgłoszenia'!$M$5:$M$504,Ustawienia!$J$5)+COUNTIFS('Zgłoszenia'!$B$5:$B$504,A68,'Zgłoszenia'!$M$5:$M$504,Ustawienia!$J$6)&gt;0,"W naprawie",IF(D68&gt;0,"Usterka zgłoszona","Sprawny"))))</f>
        <v/>
      </c>
      <c r="D68" s="22">
        <f>IF(A68="","",COUNTIFS('Zgłoszenia'!$B$5:$B$504,A68,'Zgłoszenia'!$O$5:$O$504,"TAK"))</f>
        <v/>
      </c>
      <c r="E68" s="21">
        <f>IF(A68="","",IF(D68=0,"Brak otwartych usterek",IF(INDEX('Zgłoszenia'!$D$5:$D$504,G68)="","",RIGHT("0"&amp;DAY(INDEX('Zgłoszenia'!$D$5:$D$504,G68)),2)&amp;"."&amp;RIGHT("0"&amp;MONTH(INDEX('Zgłoszenia'!$D$5:$D$504,G68)),2)&amp;"."&amp;YEAR(INDEX('Zgłoszenia'!$D$5:$D$504,G68)))&amp;" · "&amp;INDEX('Zgłoszenia'!$H$5:$H$504,G68)&amp;" — "&amp;IF(INDEX('Zgłoszenia'!$M$5:$M$504,G68)="","Zgłoszona",INDEX('Zgłoszenia'!$M$5:$M$504,G68))))</f>
        <v/>
      </c>
      <c r="F68" s="2" t="n"/>
      <c r="G68" s="2">
        <f>IF(OR(A68="",D68=0),"",MATCH(SUMPRODUCT(MAX(('Zgłoszenia'!$B$5:$B$504=A68)*'Zgłoszenia'!$R$5:$R$504)),'Zgłoszenia'!$R$5:$R$504,0))</f>
        <v/>
      </c>
    </row>
    <row r="69">
      <c r="A69" s="20">
        <f>IF('Wózki'!A63="","",'Wózki'!A63)</f>
        <v/>
      </c>
      <c r="B69" s="21">
        <f>IF(A69="","",'Wózki'!B63&amp;"")</f>
        <v/>
      </c>
      <c r="C69" s="21">
        <f>IF(A69="","",IF(COUNTIFS('Zgłoszenia'!$B$5:$B$504,A69,'Zgłoszenia'!$O$5:$O$504,"TAK",'Zgłoszenia'!$L$5:$L$504,"TAK")&gt;0,"Wyłączony z pracy",IF(COUNTIFS('Zgłoszenia'!$B$5:$B$504,A69,'Zgłoszenia'!$M$5:$M$504,Ustawienia!$J$5)+COUNTIFS('Zgłoszenia'!$B$5:$B$504,A69,'Zgłoszenia'!$M$5:$M$504,Ustawienia!$J$6)&gt;0,"W naprawie",IF(D69&gt;0,"Usterka zgłoszona","Sprawny"))))</f>
        <v/>
      </c>
      <c r="D69" s="22">
        <f>IF(A69="","",COUNTIFS('Zgłoszenia'!$B$5:$B$504,A69,'Zgłoszenia'!$O$5:$O$504,"TAK"))</f>
        <v/>
      </c>
      <c r="E69" s="21">
        <f>IF(A69="","",IF(D69=0,"Brak otwartych usterek",IF(INDEX('Zgłoszenia'!$D$5:$D$504,G69)="","",RIGHT("0"&amp;DAY(INDEX('Zgłoszenia'!$D$5:$D$504,G69)),2)&amp;"."&amp;RIGHT("0"&amp;MONTH(INDEX('Zgłoszenia'!$D$5:$D$504,G69)),2)&amp;"."&amp;YEAR(INDEX('Zgłoszenia'!$D$5:$D$504,G69)))&amp;" · "&amp;INDEX('Zgłoszenia'!$H$5:$H$504,G69)&amp;" — "&amp;IF(INDEX('Zgłoszenia'!$M$5:$M$504,G69)="","Zgłoszona",INDEX('Zgłoszenia'!$M$5:$M$504,G69))))</f>
        <v/>
      </c>
      <c r="F69" s="2" t="n"/>
      <c r="G69" s="2">
        <f>IF(OR(A69="",D69=0),"",MATCH(SUMPRODUCT(MAX(('Zgłoszenia'!$B$5:$B$504=A69)*'Zgłoszenia'!$R$5:$R$504)),'Zgłoszenia'!$R$5:$R$504,0))</f>
        <v/>
      </c>
    </row>
    <row r="70">
      <c r="A70" s="20">
        <f>IF('Wózki'!A64="","",'Wózki'!A64)</f>
        <v/>
      </c>
      <c r="B70" s="21">
        <f>IF(A70="","",'Wózki'!B64&amp;"")</f>
        <v/>
      </c>
      <c r="C70" s="21">
        <f>IF(A70="","",IF(COUNTIFS('Zgłoszenia'!$B$5:$B$504,A70,'Zgłoszenia'!$O$5:$O$504,"TAK",'Zgłoszenia'!$L$5:$L$504,"TAK")&gt;0,"Wyłączony z pracy",IF(COUNTIFS('Zgłoszenia'!$B$5:$B$504,A70,'Zgłoszenia'!$M$5:$M$504,Ustawienia!$J$5)+COUNTIFS('Zgłoszenia'!$B$5:$B$504,A70,'Zgłoszenia'!$M$5:$M$504,Ustawienia!$J$6)&gt;0,"W naprawie",IF(D70&gt;0,"Usterka zgłoszona","Sprawny"))))</f>
        <v/>
      </c>
      <c r="D70" s="22">
        <f>IF(A70="","",COUNTIFS('Zgłoszenia'!$B$5:$B$504,A70,'Zgłoszenia'!$O$5:$O$504,"TAK"))</f>
        <v/>
      </c>
      <c r="E70" s="21">
        <f>IF(A70="","",IF(D70=0,"Brak otwartych usterek",IF(INDEX('Zgłoszenia'!$D$5:$D$504,G70)="","",RIGHT("0"&amp;DAY(INDEX('Zgłoszenia'!$D$5:$D$504,G70)),2)&amp;"."&amp;RIGHT("0"&amp;MONTH(INDEX('Zgłoszenia'!$D$5:$D$504,G70)),2)&amp;"."&amp;YEAR(INDEX('Zgłoszenia'!$D$5:$D$504,G70)))&amp;" · "&amp;INDEX('Zgłoszenia'!$H$5:$H$504,G70)&amp;" — "&amp;IF(INDEX('Zgłoszenia'!$M$5:$M$504,G70)="","Zgłoszona",INDEX('Zgłoszenia'!$M$5:$M$504,G70))))</f>
        <v/>
      </c>
      <c r="F70" s="2" t="n"/>
      <c r="G70" s="2">
        <f>IF(OR(A70="",D70=0),"",MATCH(SUMPRODUCT(MAX(('Zgłoszenia'!$B$5:$B$504=A70)*'Zgłoszenia'!$R$5:$R$504)),'Zgłoszenia'!$R$5:$R$504,0))</f>
        <v/>
      </c>
    </row>
    <row r="71">
      <c r="A71" s="20">
        <f>IF('Wózki'!A65="","",'Wózki'!A65)</f>
        <v/>
      </c>
      <c r="B71" s="21">
        <f>IF(A71="","",'Wózki'!B65&amp;"")</f>
        <v/>
      </c>
      <c r="C71" s="21">
        <f>IF(A71="","",IF(COUNTIFS('Zgłoszenia'!$B$5:$B$504,A71,'Zgłoszenia'!$O$5:$O$504,"TAK",'Zgłoszenia'!$L$5:$L$504,"TAK")&gt;0,"Wyłączony z pracy",IF(COUNTIFS('Zgłoszenia'!$B$5:$B$504,A71,'Zgłoszenia'!$M$5:$M$504,Ustawienia!$J$5)+COUNTIFS('Zgłoszenia'!$B$5:$B$504,A71,'Zgłoszenia'!$M$5:$M$504,Ustawienia!$J$6)&gt;0,"W naprawie",IF(D71&gt;0,"Usterka zgłoszona","Sprawny"))))</f>
        <v/>
      </c>
      <c r="D71" s="22">
        <f>IF(A71="","",COUNTIFS('Zgłoszenia'!$B$5:$B$504,A71,'Zgłoszenia'!$O$5:$O$504,"TAK"))</f>
        <v/>
      </c>
      <c r="E71" s="21">
        <f>IF(A71="","",IF(D71=0,"Brak otwartych usterek",IF(INDEX('Zgłoszenia'!$D$5:$D$504,G71)="","",RIGHT("0"&amp;DAY(INDEX('Zgłoszenia'!$D$5:$D$504,G71)),2)&amp;"."&amp;RIGHT("0"&amp;MONTH(INDEX('Zgłoszenia'!$D$5:$D$504,G71)),2)&amp;"."&amp;YEAR(INDEX('Zgłoszenia'!$D$5:$D$504,G71)))&amp;" · "&amp;INDEX('Zgłoszenia'!$H$5:$H$504,G71)&amp;" — "&amp;IF(INDEX('Zgłoszenia'!$M$5:$M$504,G71)="","Zgłoszona",INDEX('Zgłoszenia'!$M$5:$M$504,G71))))</f>
        <v/>
      </c>
      <c r="F71" s="2" t="n"/>
      <c r="G71" s="2">
        <f>IF(OR(A71="",D71=0),"",MATCH(SUMPRODUCT(MAX(('Zgłoszenia'!$B$5:$B$504=A71)*'Zgłoszenia'!$R$5:$R$504)),'Zgłoszenia'!$R$5:$R$504,0))</f>
        <v/>
      </c>
    </row>
    <row r="72">
      <c r="A72" s="20">
        <f>IF('Wózki'!A66="","",'Wózki'!A66)</f>
        <v/>
      </c>
      <c r="B72" s="21">
        <f>IF(A72="","",'Wózki'!B66&amp;"")</f>
        <v/>
      </c>
      <c r="C72" s="21">
        <f>IF(A72="","",IF(COUNTIFS('Zgłoszenia'!$B$5:$B$504,A72,'Zgłoszenia'!$O$5:$O$504,"TAK",'Zgłoszenia'!$L$5:$L$504,"TAK")&gt;0,"Wyłączony z pracy",IF(COUNTIFS('Zgłoszenia'!$B$5:$B$504,A72,'Zgłoszenia'!$M$5:$M$504,Ustawienia!$J$5)+COUNTIFS('Zgłoszenia'!$B$5:$B$504,A72,'Zgłoszenia'!$M$5:$M$504,Ustawienia!$J$6)&gt;0,"W naprawie",IF(D72&gt;0,"Usterka zgłoszona","Sprawny"))))</f>
        <v/>
      </c>
      <c r="D72" s="22">
        <f>IF(A72="","",COUNTIFS('Zgłoszenia'!$B$5:$B$504,A72,'Zgłoszenia'!$O$5:$O$504,"TAK"))</f>
        <v/>
      </c>
      <c r="E72" s="21">
        <f>IF(A72="","",IF(D72=0,"Brak otwartych usterek",IF(INDEX('Zgłoszenia'!$D$5:$D$504,G72)="","",RIGHT("0"&amp;DAY(INDEX('Zgłoszenia'!$D$5:$D$504,G72)),2)&amp;"."&amp;RIGHT("0"&amp;MONTH(INDEX('Zgłoszenia'!$D$5:$D$504,G72)),2)&amp;"."&amp;YEAR(INDEX('Zgłoszenia'!$D$5:$D$504,G72)))&amp;" · "&amp;INDEX('Zgłoszenia'!$H$5:$H$504,G72)&amp;" — "&amp;IF(INDEX('Zgłoszenia'!$M$5:$M$504,G72)="","Zgłoszona",INDEX('Zgłoszenia'!$M$5:$M$504,G72))))</f>
        <v/>
      </c>
      <c r="F72" s="2" t="n"/>
      <c r="G72" s="2">
        <f>IF(OR(A72="",D72=0),"",MATCH(SUMPRODUCT(MAX(('Zgłoszenia'!$B$5:$B$504=A72)*'Zgłoszenia'!$R$5:$R$504)),'Zgłoszenia'!$R$5:$R$504,0))</f>
        <v/>
      </c>
    </row>
    <row r="73">
      <c r="A73" s="20">
        <f>IF('Wózki'!A67="","",'Wózki'!A67)</f>
        <v/>
      </c>
      <c r="B73" s="21">
        <f>IF(A73="","",'Wózki'!B67&amp;"")</f>
        <v/>
      </c>
      <c r="C73" s="21">
        <f>IF(A73="","",IF(COUNTIFS('Zgłoszenia'!$B$5:$B$504,A73,'Zgłoszenia'!$O$5:$O$504,"TAK",'Zgłoszenia'!$L$5:$L$504,"TAK")&gt;0,"Wyłączony z pracy",IF(COUNTIFS('Zgłoszenia'!$B$5:$B$504,A73,'Zgłoszenia'!$M$5:$M$504,Ustawienia!$J$5)+COUNTIFS('Zgłoszenia'!$B$5:$B$504,A73,'Zgłoszenia'!$M$5:$M$504,Ustawienia!$J$6)&gt;0,"W naprawie",IF(D73&gt;0,"Usterka zgłoszona","Sprawny"))))</f>
        <v/>
      </c>
      <c r="D73" s="22">
        <f>IF(A73="","",COUNTIFS('Zgłoszenia'!$B$5:$B$504,A73,'Zgłoszenia'!$O$5:$O$504,"TAK"))</f>
        <v/>
      </c>
      <c r="E73" s="21">
        <f>IF(A73="","",IF(D73=0,"Brak otwartych usterek",IF(INDEX('Zgłoszenia'!$D$5:$D$504,G73)="","",RIGHT("0"&amp;DAY(INDEX('Zgłoszenia'!$D$5:$D$504,G73)),2)&amp;"."&amp;RIGHT("0"&amp;MONTH(INDEX('Zgłoszenia'!$D$5:$D$504,G73)),2)&amp;"."&amp;YEAR(INDEX('Zgłoszenia'!$D$5:$D$504,G73)))&amp;" · "&amp;INDEX('Zgłoszenia'!$H$5:$H$504,G73)&amp;" — "&amp;IF(INDEX('Zgłoszenia'!$M$5:$M$504,G73)="","Zgłoszona",INDEX('Zgłoszenia'!$M$5:$M$504,G73))))</f>
        <v/>
      </c>
      <c r="F73" s="2" t="n"/>
      <c r="G73" s="2">
        <f>IF(OR(A73="",D73=0),"",MATCH(SUMPRODUCT(MAX(('Zgłoszenia'!$B$5:$B$504=A73)*'Zgłoszenia'!$R$5:$R$504)),'Zgłoszenia'!$R$5:$R$504,0))</f>
        <v/>
      </c>
    </row>
    <row r="74">
      <c r="A74" s="20">
        <f>IF('Wózki'!A68="","",'Wózki'!A68)</f>
        <v/>
      </c>
      <c r="B74" s="21">
        <f>IF(A74="","",'Wózki'!B68&amp;"")</f>
        <v/>
      </c>
      <c r="C74" s="21">
        <f>IF(A74="","",IF(COUNTIFS('Zgłoszenia'!$B$5:$B$504,A74,'Zgłoszenia'!$O$5:$O$504,"TAK",'Zgłoszenia'!$L$5:$L$504,"TAK")&gt;0,"Wyłączony z pracy",IF(COUNTIFS('Zgłoszenia'!$B$5:$B$504,A74,'Zgłoszenia'!$M$5:$M$504,Ustawienia!$J$5)+COUNTIFS('Zgłoszenia'!$B$5:$B$504,A74,'Zgłoszenia'!$M$5:$M$504,Ustawienia!$J$6)&gt;0,"W naprawie",IF(D74&gt;0,"Usterka zgłoszona","Sprawny"))))</f>
        <v/>
      </c>
      <c r="D74" s="22">
        <f>IF(A74="","",COUNTIFS('Zgłoszenia'!$B$5:$B$504,A74,'Zgłoszenia'!$O$5:$O$504,"TAK"))</f>
        <v/>
      </c>
      <c r="E74" s="21">
        <f>IF(A74="","",IF(D74=0,"Brak otwartych usterek",IF(INDEX('Zgłoszenia'!$D$5:$D$504,G74)="","",RIGHT("0"&amp;DAY(INDEX('Zgłoszenia'!$D$5:$D$504,G74)),2)&amp;"."&amp;RIGHT("0"&amp;MONTH(INDEX('Zgłoszenia'!$D$5:$D$504,G74)),2)&amp;"."&amp;YEAR(INDEX('Zgłoszenia'!$D$5:$D$504,G74)))&amp;" · "&amp;INDEX('Zgłoszenia'!$H$5:$H$504,G74)&amp;" — "&amp;IF(INDEX('Zgłoszenia'!$M$5:$M$504,G74)="","Zgłoszona",INDEX('Zgłoszenia'!$M$5:$M$504,G74))))</f>
        <v/>
      </c>
      <c r="F74" s="2" t="n"/>
      <c r="G74" s="2">
        <f>IF(OR(A74="",D74=0),"",MATCH(SUMPRODUCT(MAX(('Zgłoszenia'!$B$5:$B$504=A74)*'Zgłoszenia'!$R$5:$R$504)),'Zgłoszenia'!$R$5:$R$504,0))</f>
        <v/>
      </c>
    </row>
    <row r="75">
      <c r="A75" s="20">
        <f>IF('Wózki'!A69="","",'Wózki'!A69)</f>
        <v/>
      </c>
      <c r="B75" s="21">
        <f>IF(A75="","",'Wózki'!B69&amp;"")</f>
        <v/>
      </c>
      <c r="C75" s="21">
        <f>IF(A75="","",IF(COUNTIFS('Zgłoszenia'!$B$5:$B$504,A75,'Zgłoszenia'!$O$5:$O$504,"TAK",'Zgłoszenia'!$L$5:$L$504,"TAK")&gt;0,"Wyłączony z pracy",IF(COUNTIFS('Zgłoszenia'!$B$5:$B$504,A75,'Zgłoszenia'!$M$5:$M$504,Ustawienia!$J$5)+COUNTIFS('Zgłoszenia'!$B$5:$B$504,A75,'Zgłoszenia'!$M$5:$M$504,Ustawienia!$J$6)&gt;0,"W naprawie",IF(D75&gt;0,"Usterka zgłoszona","Sprawny"))))</f>
        <v/>
      </c>
      <c r="D75" s="22">
        <f>IF(A75="","",COUNTIFS('Zgłoszenia'!$B$5:$B$504,A75,'Zgłoszenia'!$O$5:$O$504,"TAK"))</f>
        <v/>
      </c>
      <c r="E75" s="21">
        <f>IF(A75="","",IF(D75=0,"Brak otwartych usterek",IF(INDEX('Zgłoszenia'!$D$5:$D$504,G75)="","",RIGHT("0"&amp;DAY(INDEX('Zgłoszenia'!$D$5:$D$504,G75)),2)&amp;"."&amp;RIGHT("0"&amp;MONTH(INDEX('Zgłoszenia'!$D$5:$D$504,G75)),2)&amp;"."&amp;YEAR(INDEX('Zgłoszenia'!$D$5:$D$504,G75)))&amp;" · "&amp;INDEX('Zgłoszenia'!$H$5:$H$504,G75)&amp;" — "&amp;IF(INDEX('Zgłoszenia'!$M$5:$M$504,G75)="","Zgłoszona",INDEX('Zgłoszenia'!$M$5:$M$504,G75))))</f>
        <v/>
      </c>
      <c r="F75" s="2" t="n"/>
      <c r="G75" s="2">
        <f>IF(OR(A75="",D75=0),"",MATCH(SUMPRODUCT(MAX(('Zgłoszenia'!$B$5:$B$504=A75)*'Zgłoszenia'!$R$5:$R$504)),'Zgłoszenia'!$R$5:$R$504,0))</f>
        <v/>
      </c>
    </row>
    <row r="76">
      <c r="A76" s="20">
        <f>IF('Wózki'!A70="","",'Wózki'!A70)</f>
        <v/>
      </c>
      <c r="B76" s="21">
        <f>IF(A76="","",'Wózki'!B70&amp;"")</f>
        <v/>
      </c>
      <c r="C76" s="21">
        <f>IF(A76="","",IF(COUNTIFS('Zgłoszenia'!$B$5:$B$504,A76,'Zgłoszenia'!$O$5:$O$504,"TAK",'Zgłoszenia'!$L$5:$L$504,"TAK")&gt;0,"Wyłączony z pracy",IF(COUNTIFS('Zgłoszenia'!$B$5:$B$504,A76,'Zgłoszenia'!$M$5:$M$504,Ustawienia!$J$5)+COUNTIFS('Zgłoszenia'!$B$5:$B$504,A76,'Zgłoszenia'!$M$5:$M$504,Ustawienia!$J$6)&gt;0,"W naprawie",IF(D76&gt;0,"Usterka zgłoszona","Sprawny"))))</f>
        <v/>
      </c>
      <c r="D76" s="22">
        <f>IF(A76="","",COUNTIFS('Zgłoszenia'!$B$5:$B$504,A76,'Zgłoszenia'!$O$5:$O$504,"TAK"))</f>
        <v/>
      </c>
      <c r="E76" s="21">
        <f>IF(A76="","",IF(D76=0,"Brak otwartych usterek",IF(INDEX('Zgłoszenia'!$D$5:$D$504,G76)="","",RIGHT("0"&amp;DAY(INDEX('Zgłoszenia'!$D$5:$D$504,G76)),2)&amp;"."&amp;RIGHT("0"&amp;MONTH(INDEX('Zgłoszenia'!$D$5:$D$504,G76)),2)&amp;"."&amp;YEAR(INDEX('Zgłoszenia'!$D$5:$D$504,G76)))&amp;" · "&amp;INDEX('Zgłoszenia'!$H$5:$H$504,G76)&amp;" — "&amp;IF(INDEX('Zgłoszenia'!$M$5:$M$504,G76)="","Zgłoszona",INDEX('Zgłoszenia'!$M$5:$M$504,G76))))</f>
        <v/>
      </c>
      <c r="F76" s="2" t="n"/>
      <c r="G76" s="2">
        <f>IF(OR(A76="",D76=0),"",MATCH(SUMPRODUCT(MAX(('Zgłoszenia'!$B$5:$B$504=A76)*'Zgłoszenia'!$R$5:$R$504)),'Zgłoszenia'!$R$5:$R$504,0))</f>
        <v/>
      </c>
    </row>
    <row r="77">
      <c r="A77" s="20">
        <f>IF('Wózki'!A71="","",'Wózki'!A71)</f>
        <v/>
      </c>
      <c r="B77" s="21">
        <f>IF(A77="","",'Wózki'!B71&amp;"")</f>
        <v/>
      </c>
      <c r="C77" s="21">
        <f>IF(A77="","",IF(COUNTIFS('Zgłoszenia'!$B$5:$B$504,A77,'Zgłoszenia'!$O$5:$O$504,"TAK",'Zgłoszenia'!$L$5:$L$504,"TAK")&gt;0,"Wyłączony z pracy",IF(COUNTIFS('Zgłoszenia'!$B$5:$B$504,A77,'Zgłoszenia'!$M$5:$M$504,Ustawienia!$J$5)+COUNTIFS('Zgłoszenia'!$B$5:$B$504,A77,'Zgłoszenia'!$M$5:$M$504,Ustawienia!$J$6)&gt;0,"W naprawie",IF(D77&gt;0,"Usterka zgłoszona","Sprawny"))))</f>
        <v/>
      </c>
      <c r="D77" s="22">
        <f>IF(A77="","",COUNTIFS('Zgłoszenia'!$B$5:$B$504,A77,'Zgłoszenia'!$O$5:$O$504,"TAK"))</f>
        <v/>
      </c>
      <c r="E77" s="21">
        <f>IF(A77="","",IF(D77=0,"Brak otwartych usterek",IF(INDEX('Zgłoszenia'!$D$5:$D$504,G77)="","",RIGHT("0"&amp;DAY(INDEX('Zgłoszenia'!$D$5:$D$504,G77)),2)&amp;"."&amp;RIGHT("0"&amp;MONTH(INDEX('Zgłoszenia'!$D$5:$D$504,G77)),2)&amp;"."&amp;YEAR(INDEX('Zgłoszenia'!$D$5:$D$504,G77)))&amp;" · "&amp;INDEX('Zgłoszenia'!$H$5:$H$504,G77)&amp;" — "&amp;IF(INDEX('Zgłoszenia'!$M$5:$M$504,G77)="","Zgłoszona",INDEX('Zgłoszenia'!$M$5:$M$504,G77))))</f>
        <v/>
      </c>
      <c r="F77" s="2" t="n"/>
      <c r="G77" s="2">
        <f>IF(OR(A77="",D77=0),"",MATCH(SUMPRODUCT(MAX(('Zgłoszenia'!$B$5:$B$504=A77)*'Zgłoszenia'!$R$5:$R$504)),'Zgłoszenia'!$R$5:$R$504,0))</f>
        <v/>
      </c>
    </row>
    <row r="78">
      <c r="A78" s="20">
        <f>IF('Wózki'!A72="","",'Wózki'!A72)</f>
        <v/>
      </c>
      <c r="B78" s="21">
        <f>IF(A78="","",'Wózki'!B72&amp;"")</f>
        <v/>
      </c>
      <c r="C78" s="21">
        <f>IF(A78="","",IF(COUNTIFS('Zgłoszenia'!$B$5:$B$504,A78,'Zgłoszenia'!$O$5:$O$504,"TAK",'Zgłoszenia'!$L$5:$L$504,"TAK")&gt;0,"Wyłączony z pracy",IF(COUNTIFS('Zgłoszenia'!$B$5:$B$504,A78,'Zgłoszenia'!$M$5:$M$504,Ustawienia!$J$5)+COUNTIFS('Zgłoszenia'!$B$5:$B$504,A78,'Zgłoszenia'!$M$5:$M$504,Ustawienia!$J$6)&gt;0,"W naprawie",IF(D78&gt;0,"Usterka zgłoszona","Sprawny"))))</f>
        <v/>
      </c>
      <c r="D78" s="22">
        <f>IF(A78="","",COUNTIFS('Zgłoszenia'!$B$5:$B$504,A78,'Zgłoszenia'!$O$5:$O$504,"TAK"))</f>
        <v/>
      </c>
      <c r="E78" s="21">
        <f>IF(A78="","",IF(D78=0,"Brak otwartych usterek",IF(INDEX('Zgłoszenia'!$D$5:$D$504,G78)="","",RIGHT("0"&amp;DAY(INDEX('Zgłoszenia'!$D$5:$D$504,G78)),2)&amp;"."&amp;RIGHT("0"&amp;MONTH(INDEX('Zgłoszenia'!$D$5:$D$504,G78)),2)&amp;"."&amp;YEAR(INDEX('Zgłoszenia'!$D$5:$D$504,G78)))&amp;" · "&amp;INDEX('Zgłoszenia'!$H$5:$H$504,G78)&amp;" — "&amp;IF(INDEX('Zgłoszenia'!$M$5:$M$504,G78)="","Zgłoszona",INDEX('Zgłoszenia'!$M$5:$M$504,G78))))</f>
        <v/>
      </c>
      <c r="F78" s="2" t="n"/>
      <c r="G78" s="2">
        <f>IF(OR(A78="",D78=0),"",MATCH(SUMPRODUCT(MAX(('Zgłoszenia'!$B$5:$B$504=A78)*'Zgłoszenia'!$R$5:$R$504)),'Zgłoszenia'!$R$5:$R$504,0))</f>
        <v/>
      </c>
    </row>
    <row r="79">
      <c r="A79" s="20">
        <f>IF('Wózki'!A73="","",'Wózki'!A73)</f>
        <v/>
      </c>
      <c r="B79" s="21">
        <f>IF(A79="","",'Wózki'!B73&amp;"")</f>
        <v/>
      </c>
      <c r="C79" s="21">
        <f>IF(A79="","",IF(COUNTIFS('Zgłoszenia'!$B$5:$B$504,A79,'Zgłoszenia'!$O$5:$O$504,"TAK",'Zgłoszenia'!$L$5:$L$504,"TAK")&gt;0,"Wyłączony z pracy",IF(COUNTIFS('Zgłoszenia'!$B$5:$B$504,A79,'Zgłoszenia'!$M$5:$M$504,Ustawienia!$J$5)+COUNTIFS('Zgłoszenia'!$B$5:$B$504,A79,'Zgłoszenia'!$M$5:$M$504,Ustawienia!$J$6)&gt;0,"W naprawie",IF(D79&gt;0,"Usterka zgłoszona","Sprawny"))))</f>
        <v/>
      </c>
      <c r="D79" s="22">
        <f>IF(A79="","",COUNTIFS('Zgłoszenia'!$B$5:$B$504,A79,'Zgłoszenia'!$O$5:$O$504,"TAK"))</f>
        <v/>
      </c>
      <c r="E79" s="21">
        <f>IF(A79="","",IF(D79=0,"Brak otwartych usterek",IF(INDEX('Zgłoszenia'!$D$5:$D$504,G79)="","",RIGHT("0"&amp;DAY(INDEX('Zgłoszenia'!$D$5:$D$504,G79)),2)&amp;"."&amp;RIGHT("0"&amp;MONTH(INDEX('Zgłoszenia'!$D$5:$D$504,G79)),2)&amp;"."&amp;YEAR(INDEX('Zgłoszenia'!$D$5:$D$504,G79)))&amp;" · "&amp;INDEX('Zgłoszenia'!$H$5:$H$504,G79)&amp;" — "&amp;IF(INDEX('Zgłoszenia'!$M$5:$M$504,G79)="","Zgłoszona",INDEX('Zgłoszenia'!$M$5:$M$504,G79))))</f>
        <v/>
      </c>
      <c r="F79" s="2" t="n"/>
      <c r="G79" s="2">
        <f>IF(OR(A79="",D79=0),"",MATCH(SUMPRODUCT(MAX(('Zgłoszenia'!$B$5:$B$504=A79)*'Zgłoszenia'!$R$5:$R$504)),'Zgłoszenia'!$R$5:$R$504,0))</f>
        <v/>
      </c>
    </row>
    <row r="80">
      <c r="A80" s="20">
        <f>IF('Wózki'!A74="","",'Wózki'!A74)</f>
        <v/>
      </c>
      <c r="B80" s="21">
        <f>IF(A80="","",'Wózki'!B74&amp;"")</f>
        <v/>
      </c>
      <c r="C80" s="21">
        <f>IF(A80="","",IF(COUNTIFS('Zgłoszenia'!$B$5:$B$504,A80,'Zgłoszenia'!$O$5:$O$504,"TAK",'Zgłoszenia'!$L$5:$L$504,"TAK")&gt;0,"Wyłączony z pracy",IF(COUNTIFS('Zgłoszenia'!$B$5:$B$504,A80,'Zgłoszenia'!$M$5:$M$504,Ustawienia!$J$5)+COUNTIFS('Zgłoszenia'!$B$5:$B$504,A80,'Zgłoszenia'!$M$5:$M$504,Ustawienia!$J$6)&gt;0,"W naprawie",IF(D80&gt;0,"Usterka zgłoszona","Sprawny"))))</f>
        <v/>
      </c>
      <c r="D80" s="22">
        <f>IF(A80="","",COUNTIFS('Zgłoszenia'!$B$5:$B$504,A80,'Zgłoszenia'!$O$5:$O$504,"TAK"))</f>
        <v/>
      </c>
      <c r="E80" s="21">
        <f>IF(A80="","",IF(D80=0,"Brak otwartych usterek",IF(INDEX('Zgłoszenia'!$D$5:$D$504,G80)="","",RIGHT("0"&amp;DAY(INDEX('Zgłoszenia'!$D$5:$D$504,G80)),2)&amp;"."&amp;RIGHT("0"&amp;MONTH(INDEX('Zgłoszenia'!$D$5:$D$504,G80)),2)&amp;"."&amp;YEAR(INDEX('Zgłoszenia'!$D$5:$D$504,G80)))&amp;" · "&amp;INDEX('Zgłoszenia'!$H$5:$H$504,G80)&amp;" — "&amp;IF(INDEX('Zgłoszenia'!$M$5:$M$504,G80)="","Zgłoszona",INDEX('Zgłoszenia'!$M$5:$M$504,G80))))</f>
        <v/>
      </c>
      <c r="F80" s="2" t="n"/>
      <c r="G80" s="2">
        <f>IF(OR(A80="",D80=0),"",MATCH(SUMPRODUCT(MAX(('Zgłoszenia'!$B$5:$B$504=A80)*'Zgłoszenia'!$R$5:$R$504)),'Zgłoszenia'!$R$5:$R$504,0))</f>
        <v/>
      </c>
    </row>
    <row r="81">
      <c r="A81" s="20">
        <f>IF('Wózki'!A75="","",'Wózki'!A75)</f>
        <v/>
      </c>
      <c r="B81" s="21">
        <f>IF(A81="","",'Wózki'!B75&amp;"")</f>
        <v/>
      </c>
      <c r="C81" s="21">
        <f>IF(A81="","",IF(COUNTIFS('Zgłoszenia'!$B$5:$B$504,A81,'Zgłoszenia'!$O$5:$O$504,"TAK",'Zgłoszenia'!$L$5:$L$504,"TAK")&gt;0,"Wyłączony z pracy",IF(COUNTIFS('Zgłoszenia'!$B$5:$B$504,A81,'Zgłoszenia'!$M$5:$M$504,Ustawienia!$J$5)+COUNTIFS('Zgłoszenia'!$B$5:$B$504,A81,'Zgłoszenia'!$M$5:$M$504,Ustawienia!$J$6)&gt;0,"W naprawie",IF(D81&gt;0,"Usterka zgłoszona","Sprawny"))))</f>
        <v/>
      </c>
      <c r="D81" s="22">
        <f>IF(A81="","",COUNTIFS('Zgłoszenia'!$B$5:$B$504,A81,'Zgłoszenia'!$O$5:$O$504,"TAK"))</f>
        <v/>
      </c>
      <c r="E81" s="21">
        <f>IF(A81="","",IF(D81=0,"Brak otwartych usterek",IF(INDEX('Zgłoszenia'!$D$5:$D$504,G81)="","",RIGHT("0"&amp;DAY(INDEX('Zgłoszenia'!$D$5:$D$504,G81)),2)&amp;"."&amp;RIGHT("0"&amp;MONTH(INDEX('Zgłoszenia'!$D$5:$D$504,G81)),2)&amp;"."&amp;YEAR(INDEX('Zgłoszenia'!$D$5:$D$504,G81)))&amp;" · "&amp;INDEX('Zgłoszenia'!$H$5:$H$504,G81)&amp;" — "&amp;IF(INDEX('Zgłoszenia'!$M$5:$M$504,G81)="","Zgłoszona",INDEX('Zgłoszenia'!$M$5:$M$504,G81))))</f>
        <v/>
      </c>
      <c r="F81" s="2" t="n"/>
      <c r="G81" s="2">
        <f>IF(OR(A81="",D81=0),"",MATCH(SUMPRODUCT(MAX(('Zgłoszenia'!$B$5:$B$504=A81)*'Zgłoszenia'!$R$5:$R$504)),'Zgłoszenia'!$R$5:$R$504,0))</f>
        <v/>
      </c>
    </row>
    <row r="82">
      <c r="A82" s="20">
        <f>IF('Wózki'!A76="","",'Wózki'!A76)</f>
        <v/>
      </c>
      <c r="B82" s="21">
        <f>IF(A82="","",'Wózki'!B76&amp;"")</f>
        <v/>
      </c>
      <c r="C82" s="21">
        <f>IF(A82="","",IF(COUNTIFS('Zgłoszenia'!$B$5:$B$504,A82,'Zgłoszenia'!$O$5:$O$504,"TAK",'Zgłoszenia'!$L$5:$L$504,"TAK")&gt;0,"Wyłączony z pracy",IF(COUNTIFS('Zgłoszenia'!$B$5:$B$504,A82,'Zgłoszenia'!$M$5:$M$504,Ustawienia!$J$5)+COUNTIFS('Zgłoszenia'!$B$5:$B$504,A82,'Zgłoszenia'!$M$5:$M$504,Ustawienia!$J$6)&gt;0,"W naprawie",IF(D82&gt;0,"Usterka zgłoszona","Sprawny"))))</f>
        <v/>
      </c>
      <c r="D82" s="22">
        <f>IF(A82="","",COUNTIFS('Zgłoszenia'!$B$5:$B$504,A82,'Zgłoszenia'!$O$5:$O$504,"TAK"))</f>
        <v/>
      </c>
      <c r="E82" s="21">
        <f>IF(A82="","",IF(D82=0,"Brak otwartych usterek",IF(INDEX('Zgłoszenia'!$D$5:$D$504,G82)="","",RIGHT("0"&amp;DAY(INDEX('Zgłoszenia'!$D$5:$D$504,G82)),2)&amp;"."&amp;RIGHT("0"&amp;MONTH(INDEX('Zgłoszenia'!$D$5:$D$504,G82)),2)&amp;"."&amp;YEAR(INDEX('Zgłoszenia'!$D$5:$D$504,G82)))&amp;" · "&amp;INDEX('Zgłoszenia'!$H$5:$H$504,G82)&amp;" — "&amp;IF(INDEX('Zgłoszenia'!$M$5:$M$504,G82)="","Zgłoszona",INDEX('Zgłoszenia'!$M$5:$M$504,G82))))</f>
        <v/>
      </c>
      <c r="F82" s="2" t="n"/>
      <c r="G82" s="2">
        <f>IF(OR(A82="",D82=0),"",MATCH(SUMPRODUCT(MAX(('Zgłoszenia'!$B$5:$B$504=A82)*'Zgłoszenia'!$R$5:$R$504)),'Zgłoszenia'!$R$5:$R$504,0))</f>
        <v/>
      </c>
    </row>
    <row r="83">
      <c r="A83" s="20">
        <f>IF('Wózki'!A77="","",'Wózki'!A77)</f>
        <v/>
      </c>
      <c r="B83" s="21">
        <f>IF(A83="","",'Wózki'!B77&amp;"")</f>
        <v/>
      </c>
      <c r="C83" s="21">
        <f>IF(A83="","",IF(COUNTIFS('Zgłoszenia'!$B$5:$B$504,A83,'Zgłoszenia'!$O$5:$O$504,"TAK",'Zgłoszenia'!$L$5:$L$504,"TAK")&gt;0,"Wyłączony z pracy",IF(COUNTIFS('Zgłoszenia'!$B$5:$B$504,A83,'Zgłoszenia'!$M$5:$M$504,Ustawienia!$J$5)+COUNTIFS('Zgłoszenia'!$B$5:$B$504,A83,'Zgłoszenia'!$M$5:$M$504,Ustawienia!$J$6)&gt;0,"W naprawie",IF(D83&gt;0,"Usterka zgłoszona","Sprawny"))))</f>
        <v/>
      </c>
      <c r="D83" s="22">
        <f>IF(A83="","",COUNTIFS('Zgłoszenia'!$B$5:$B$504,A83,'Zgłoszenia'!$O$5:$O$504,"TAK"))</f>
        <v/>
      </c>
      <c r="E83" s="21">
        <f>IF(A83="","",IF(D83=0,"Brak otwartych usterek",IF(INDEX('Zgłoszenia'!$D$5:$D$504,G83)="","",RIGHT("0"&amp;DAY(INDEX('Zgłoszenia'!$D$5:$D$504,G83)),2)&amp;"."&amp;RIGHT("0"&amp;MONTH(INDEX('Zgłoszenia'!$D$5:$D$504,G83)),2)&amp;"."&amp;YEAR(INDEX('Zgłoszenia'!$D$5:$D$504,G83)))&amp;" · "&amp;INDEX('Zgłoszenia'!$H$5:$H$504,G83)&amp;" — "&amp;IF(INDEX('Zgłoszenia'!$M$5:$M$504,G83)="","Zgłoszona",INDEX('Zgłoszenia'!$M$5:$M$504,G83))))</f>
        <v/>
      </c>
      <c r="F83" s="2" t="n"/>
      <c r="G83" s="2">
        <f>IF(OR(A83="",D83=0),"",MATCH(SUMPRODUCT(MAX(('Zgłoszenia'!$B$5:$B$504=A83)*'Zgłoszenia'!$R$5:$R$504)),'Zgłoszenia'!$R$5:$R$504,0))</f>
        <v/>
      </c>
    </row>
    <row r="84">
      <c r="A84" s="20">
        <f>IF('Wózki'!A78="","",'Wózki'!A78)</f>
        <v/>
      </c>
      <c r="B84" s="21">
        <f>IF(A84="","",'Wózki'!B78&amp;"")</f>
        <v/>
      </c>
      <c r="C84" s="21">
        <f>IF(A84="","",IF(COUNTIFS('Zgłoszenia'!$B$5:$B$504,A84,'Zgłoszenia'!$O$5:$O$504,"TAK",'Zgłoszenia'!$L$5:$L$504,"TAK")&gt;0,"Wyłączony z pracy",IF(COUNTIFS('Zgłoszenia'!$B$5:$B$504,A84,'Zgłoszenia'!$M$5:$M$504,Ustawienia!$J$5)+COUNTIFS('Zgłoszenia'!$B$5:$B$504,A84,'Zgłoszenia'!$M$5:$M$504,Ustawienia!$J$6)&gt;0,"W naprawie",IF(D84&gt;0,"Usterka zgłoszona","Sprawny"))))</f>
        <v/>
      </c>
      <c r="D84" s="22">
        <f>IF(A84="","",COUNTIFS('Zgłoszenia'!$B$5:$B$504,A84,'Zgłoszenia'!$O$5:$O$504,"TAK"))</f>
        <v/>
      </c>
      <c r="E84" s="21">
        <f>IF(A84="","",IF(D84=0,"Brak otwartych usterek",IF(INDEX('Zgłoszenia'!$D$5:$D$504,G84)="","",RIGHT("0"&amp;DAY(INDEX('Zgłoszenia'!$D$5:$D$504,G84)),2)&amp;"."&amp;RIGHT("0"&amp;MONTH(INDEX('Zgłoszenia'!$D$5:$D$504,G84)),2)&amp;"."&amp;YEAR(INDEX('Zgłoszenia'!$D$5:$D$504,G84)))&amp;" · "&amp;INDEX('Zgłoszenia'!$H$5:$H$504,G84)&amp;" — "&amp;IF(INDEX('Zgłoszenia'!$M$5:$M$504,G84)="","Zgłoszona",INDEX('Zgłoszenia'!$M$5:$M$504,G84))))</f>
        <v/>
      </c>
      <c r="F84" s="2" t="n"/>
      <c r="G84" s="2">
        <f>IF(OR(A84="",D84=0),"",MATCH(SUMPRODUCT(MAX(('Zgłoszenia'!$B$5:$B$504=A84)*'Zgłoszenia'!$R$5:$R$504)),'Zgłoszenia'!$R$5:$R$504,0))</f>
        <v/>
      </c>
    </row>
    <row r="85">
      <c r="A85" s="20">
        <f>IF('Wózki'!A79="","",'Wózki'!A79)</f>
        <v/>
      </c>
      <c r="B85" s="21">
        <f>IF(A85="","",'Wózki'!B79&amp;"")</f>
        <v/>
      </c>
      <c r="C85" s="21">
        <f>IF(A85="","",IF(COUNTIFS('Zgłoszenia'!$B$5:$B$504,A85,'Zgłoszenia'!$O$5:$O$504,"TAK",'Zgłoszenia'!$L$5:$L$504,"TAK")&gt;0,"Wyłączony z pracy",IF(COUNTIFS('Zgłoszenia'!$B$5:$B$504,A85,'Zgłoszenia'!$M$5:$M$504,Ustawienia!$J$5)+COUNTIFS('Zgłoszenia'!$B$5:$B$504,A85,'Zgłoszenia'!$M$5:$M$504,Ustawienia!$J$6)&gt;0,"W naprawie",IF(D85&gt;0,"Usterka zgłoszona","Sprawny"))))</f>
        <v/>
      </c>
      <c r="D85" s="22">
        <f>IF(A85="","",COUNTIFS('Zgłoszenia'!$B$5:$B$504,A85,'Zgłoszenia'!$O$5:$O$504,"TAK"))</f>
        <v/>
      </c>
      <c r="E85" s="21">
        <f>IF(A85="","",IF(D85=0,"Brak otwartych usterek",IF(INDEX('Zgłoszenia'!$D$5:$D$504,G85)="","",RIGHT("0"&amp;DAY(INDEX('Zgłoszenia'!$D$5:$D$504,G85)),2)&amp;"."&amp;RIGHT("0"&amp;MONTH(INDEX('Zgłoszenia'!$D$5:$D$504,G85)),2)&amp;"."&amp;YEAR(INDEX('Zgłoszenia'!$D$5:$D$504,G85)))&amp;" · "&amp;INDEX('Zgłoszenia'!$H$5:$H$504,G85)&amp;" — "&amp;IF(INDEX('Zgłoszenia'!$M$5:$M$504,G85)="","Zgłoszona",INDEX('Zgłoszenia'!$M$5:$M$504,G85))))</f>
        <v/>
      </c>
      <c r="F85" s="2" t="n"/>
      <c r="G85" s="2">
        <f>IF(OR(A85="",D85=0),"",MATCH(SUMPRODUCT(MAX(('Zgłoszenia'!$B$5:$B$504=A85)*'Zgłoszenia'!$R$5:$R$504)),'Zgłoszenia'!$R$5:$R$504,0))</f>
        <v/>
      </c>
    </row>
    <row r="86">
      <c r="A86" s="20">
        <f>IF('Wózki'!A80="","",'Wózki'!A80)</f>
        <v/>
      </c>
      <c r="B86" s="21">
        <f>IF(A86="","",'Wózki'!B80&amp;"")</f>
        <v/>
      </c>
      <c r="C86" s="21">
        <f>IF(A86="","",IF(COUNTIFS('Zgłoszenia'!$B$5:$B$504,A86,'Zgłoszenia'!$O$5:$O$504,"TAK",'Zgłoszenia'!$L$5:$L$504,"TAK")&gt;0,"Wyłączony z pracy",IF(COUNTIFS('Zgłoszenia'!$B$5:$B$504,A86,'Zgłoszenia'!$M$5:$M$504,Ustawienia!$J$5)+COUNTIFS('Zgłoszenia'!$B$5:$B$504,A86,'Zgłoszenia'!$M$5:$M$504,Ustawienia!$J$6)&gt;0,"W naprawie",IF(D86&gt;0,"Usterka zgłoszona","Sprawny"))))</f>
        <v/>
      </c>
      <c r="D86" s="22">
        <f>IF(A86="","",COUNTIFS('Zgłoszenia'!$B$5:$B$504,A86,'Zgłoszenia'!$O$5:$O$504,"TAK"))</f>
        <v/>
      </c>
      <c r="E86" s="21">
        <f>IF(A86="","",IF(D86=0,"Brak otwartych usterek",IF(INDEX('Zgłoszenia'!$D$5:$D$504,G86)="","",RIGHT("0"&amp;DAY(INDEX('Zgłoszenia'!$D$5:$D$504,G86)),2)&amp;"."&amp;RIGHT("0"&amp;MONTH(INDEX('Zgłoszenia'!$D$5:$D$504,G86)),2)&amp;"."&amp;YEAR(INDEX('Zgłoszenia'!$D$5:$D$504,G86)))&amp;" · "&amp;INDEX('Zgłoszenia'!$H$5:$H$504,G86)&amp;" — "&amp;IF(INDEX('Zgłoszenia'!$M$5:$M$504,G86)="","Zgłoszona",INDEX('Zgłoszenia'!$M$5:$M$504,G86))))</f>
        <v/>
      </c>
      <c r="F86" s="2" t="n"/>
      <c r="G86" s="2">
        <f>IF(OR(A86="",D86=0),"",MATCH(SUMPRODUCT(MAX(('Zgłoszenia'!$B$5:$B$504=A86)*'Zgłoszenia'!$R$5:$R$504)),'Zgłoszenia'!$R$5:$R$504,0))</f>
        <v/>
      </c>
    </row>
    <row r="87">
      <c r="A87" s="20">
        <f>IF('Wózki'!A81="","",'Wózki'!A81)</f>
        <v/>
      </c>
      <c r="B87" s="21">
        <f>IF(A87="","",'Wózki'!B81&amp;"")</f>
        <v/>
      </c>
      <c r="C87" s="21">
        <f>IF(A87="","",IF(COUNTIFS('Zgłoszenia'!$B$5:$B$504,A87,'Zgłoszenia'!$O$5:$O$504,"TAK",'Zgłoszenia'!$L$5:$L$504,"TAK")&gt;0,"Wyłączony z pracy",IF(COUNTIFS('Zgłoszenia'!$B$5:$B$504,A87,'Zgłoszenia'!$M$5:$M$504,Ustawienia!$J$5)+COUNTIFS('Zgłoszenia'!$B$5:$B$504,A87,'Zgłoszenia'!$M$5:$M$504,Ustawienia!$J$6)&gt;0,"W naprawie",IF(D87&gt;0,"Usterka zgłoszona","Sprawny"))))</f>
        <v/>
      </c>
      <c r="D87" s="22">
        <f>IF(A87="","",COUNTIFS('Zgłoszenia'!$B$5:$B$504,A87,'Zgłoszenia'!$O$5:$O$504,"TAK"))</f>
        <v/>
      </c>
      <c r="E87" s="21">
        <f>IF(A87="","",IF(D87=0,"Brak otwartych usterek",IF(INDEX('Zgłoszenia'!$D$5:$D$504,G87)="","",RIGHT("0"&amp;DAY(INDEX('Zgłoszenia'!$D$5:$D$504,G87)),2)&amp;"."&amp;RIGHT("0"&amp;MONTH(INDEX('Zgłoszenia'!$D$5:$D$504,G87)),2)&amp;"."&amp;YEAR(INDEX('Zgłoszenia'!$D$5:$D$504,G87)))&amp;" · "&amp;INDEX('Zgłoszenia'!$H$5:$H$504,G87)&amp;" — "&amp;IF(INDEX('Zgłoszenia'!$M$5:$M$504,G87)="","Zgłoszona",INDEX('Zgłoszenia'!$M$5:$M$504,G87))))</f>
        <v/>
      </c>
      <c r="F87" s="2" t="n"/>
      <c r="G87" s="2">
        <f>IF(OR(A87="",D87=0),"",MATCH(SUMPRODUCT(MAX(('Zgłoszenia'!$B$5:$B$504=A87)*'Zgłoszenia'!$R$5:$R$504)),'Zgłoszenia'!$R$5:$R$504,0))</f>
        <v/>
      </c>
    </row>
    <row r="88">
      <c r="A88" s="20">
        <f>IF('Wózki'!A82="","",'Wózki'!A82)</f>
        <v/>
      </c>
      <c r="B88" s="21">
        <f>IF(A88="","",'Wózki'!B82&amp;"")</f>
        <v/>
      </c>
      <c r="C88" s="21">
        <f>IF(A88="","",IF(COUNTIFS('Zgłoszenia'!$B$5:$B$504,A88,'Zgłoszenia'!$O$5:$O$504,"TAK",'Zgłoszenia'!$L$5:$L$504,"TAK")&gt;0,"Wyłączony z pracy",IF(COUNTIFS('Zgłoszenia'!$B$5:$B$504,A88,'Zgłoszenia'!$M$5:$M$504,Ustawienia!$J$5)+COUNTIFS('Zgłoszenia'!$B$5:$B$504,A88,'Zgłoszenia'!$M$5:$M$504,Ustawienia!$J$6)&gt;0,"W naprawie",IF(D88&gt;0,"Usterka zgłoszona","Sprawny"))))</f>
        <v/>
      </c>
      <c r="D88" s="22">
        <f>IF(A88="","",COUNTIFS('Zgłoszenia'!$B$5:$B$504,A88,'Zgłoszenia'!$O$5:$O$504,"TAK"))</f>
        <v/>
      </c>
      <c r="E88" s="21">
        <f>IF(A88="","",IF(D88=0,"Brak otwartych usterek",IF(INDEX('Zgłoszenia'!$D$5:$D$504,G88)="","",RIGHT("0"&amp;DAY(INDEX('Zgłoszenia'!$D$5:$D$504,G88)),2)&amp;"."&amp;RIGHT("0"&amp;MONTH(INDEX('Zgłoszenia'!$D$5:$D$504,G88)),2)&amp;"."&amp;YEAR(INDEX('Zgłoszenia'!$D$5:$D$504,G88)))&amp;" · "&amp;INDEX('Zgłoszenia'!$H$5:$H$504,G88)&amp;" — "&amp;IF(INDEX('Zgłoszenia'!$M$5:$M$504,G88)="","Zgłoszona",INDEX('Zgłoszenia'!$M$5:$M$504,G88))))</f>
        <v/>
      </c>
      <c r="F88" s="2" t="n"/>
      <c r="G88" s="2">
        <f>IF(OR(A88="",D88=0),"",MATCH(SUMPRODUCT(MAX(('Zgłoszenia'!$B$5:$B$504=A88)*'Zgłoszenia'!$R$5:$R$504)),'Zgłoszenia'!$R$5:$R$504,0))</f>
        <v/>
      </c>
    </row>
    <row r="89">
      <c r="A89" s="20">
        <f>IF('Wózki'!A83="","",'Wózki'!A83)</f>
        <v/>
      </c>
      <c r="B89" s="21">
        <f>IF(A89="","",'Wózki'!B83&amp;"")</f>
        <v/>
      </c>
      <c r="C89" s="21">
        <f>IF(A89="","",IF(COUNTIFS('Zgłoszenia'!$B$5:$B$504,A89,'Zgłoszenia'!$O$5:$O$504,"TAK",'Zgłoszenia'!$L$5:$L$504,"TAK")&gt;0,"Wyłączony z pracy",IF(COUNTIFS('Zgłoszenia'!$B$5:$B$504,A89,'Zgłoszenia'!$M$5:$M$504,Ustawienia!$J$5)+COUNTIFS('Zgłoszenia'!$B$5:$B$504,A89,'Zgłoszenia'!$M$5:$M$504,Ustawienia!$J$6)&gt;0,"W naprawie",IF(D89&gt;0,"Usterka zgłoszona","Sprawny"))))</f>
        <v/>
      </c>
      <c r="D89" s="22">
        <f>IF(A89="","",COUNTIFS('Zgłoszenia'!$B$5:$B$504,A89,'Zgłoszenia'!$O$5:$O$504,"TAK"))</f>
        <v/>
      </c>
      <c r="E89" s="21">
        <f>IF(A89="","",IF(D89=0,"Brak otwartych usterek",IF(INDEX('Zgłoszenia'!$D$5:$D$504,G89)="","",RIGHT("0"&amp;DAY(INDEX('Zgłoszenia'!$D$5:$D$504,G89)),2)&amp;"."&amp;RIGHT("0"&amp;MONTH(INDEX('Zgłoszenia'!$D$5:$D$504,G89)),2)&amp;"."&amp;YEAR(INDEX('Zgłoszenia'!$D$5:$D$504,G89)))&amp;" · "&amp;INDEX('Zgłoszenia'!$H$5:$H$504,G89)&amp;" — "&amp;IF(INDEX('Zgłoszenia'!$M$5:$M$504,G89)="","Zgłoszona",INDEX('Zgłoszenia'!$M$5:$M$504,G89))))</f>
        <v/>
      </c>
      <c r="F89" s="2" t="n"/>
      <c r="G89" s="2">
        <f>IF(OR(A89="",D89=0),"",MATCH(SUMPRODUCT(MAX(('Zgłoszenia'!$B$5:$B$504=A89)*'Zgłoszenia'!$R$5:$R$504)),'Zgłoszenia'!$R$5:$R$504,0))</f>
        <v/>
      </c>
    </row>
    <row r="90">
      <c r="A90" s="20">
        <f>IF('Wózki'!A84="","",'Wózki'!A84)</f>
        <v/>
      </c>
      <c r="B90" s="21">
        <f>IF(A90="","",'Wózki'!B84&amp;"")</f>
        <v/>
      </c>
      <c r="C90" s="21">
        <f>IF(A90="","",IF(COUNTIFS('Zgłoszenia'!$B$5:$B$504,A90,'Zgłoszenia'!$O$5:$O$504,"TAK",'Zgłoszenia'!$L$5:$L$504,"TAK")&gt;0,"Wyłączony z pracy",IF(COUNTIFS('Zgłoszenia'!$B$5:$B$504,A90,'Zgłoszenia'!$M$5:$M$504,Ustawienia!$J$5)+COUNTIFS('Zgłoszenia'!$B$5:$B$504,A90,'Zgłoszenia'!$M$5:$M$504,Ustawienia!$J$6)&gt;0,"W naprawie",IF(D90&gt;0,"Usterka zgłoszona","Sprawny"))))</f>
        <v/>
      </c>
      <c r="D90" s="22">
        <f>IF(A90="","",COUNTIFS('Zgłoszenia'!$B$5:$B$504,A90,'Zgłoszenia'!$O$5:$O$504,"TAK"))</f>
        <v/>
      </c>
      <c r="E90" s="21">
        <f>IF(A90="","",IF(D90=0,"Brak otwartych usterek",IF(INDEX('Zgłoszenia'!$D$5:$D$504,G90)="","",RIGHT("0"&amp;DAY(INDEX('Zgłoszenia'!$D$5:$D$504,G90)),2)&amp;"."&amp;RIGHT("0"&amp;MONTH(INDEX('Zgłoszenia'!$D$5:$D$504,G90)),2)&amp;"."&amp;YEAR(INDEX('Zgłoszenia'!$D$5:$D$504,G90)))&amp;" · "&amp;INDEX('Zgłoszenia'!$H$5:$H$504,G90)&amp;" — "&amp;IF(INDEX('Zgłoszenia'!$M$5:$M$504,G90)="","Zgłoszona",INDEX('Zgłoszenia'!$M$5:$M$504,G90))))</f>
        <v/>
      </c>
      <c r="F90" s="2" t="n"/>
      <c r="G90" s="2">
        <f>IF(OR(A90="",D90=0),"",MATCH(SUMPRODUCT(MAX(('Zgłoszenia'!$B$5:$B$504=A90)*'Zgłoszenia'!$R$5:$R$504)),'Zgłoszenia'!$R$5:$R$504,0))</f>
        <v/>
      </c>
    </row>
    <row r="91">
      <c r="A91" s="20">
        <f>IF('Wózki'!A85="","",'Wózki'!A85)</f>
        <v/>
      </c>
      <c r="B91" s="21">
        <f>IF(A91="","",'Wózki'!B85&amp;"")</f>
        <v/>
      </c>
      <c r="C91" s="21">
        <f>IF(A91="","",IF(COUNTIFS('Zgłoszenia'!$B$5:$B$504,A91,'Zgłoszenia'!$O$5:$O$504,"TAK",'Zgłoszenia'!$L$5:$L$504,"TAK")&gt;0,"Wyłączony z pracy",IF(COUNTIFS('Zgłoszenia'!$B$5:$B$504,A91,'Zgłoszenia'!$M$5:$M$504,Ustawienia!$J$5)+COUNTIFS('Zgłoszenia'!$B$5:$B$504,A91,'Zgłoszenia'!$M$5:$M$504,Ustawienia!$J$6)&gt;0,"W naprawie",IF(D91&gt;0,"Usterka zgłoszona","Sprawny"))))</f>
        <v/>
      </c>
      <c r="D91" s="22">
        <f>IF(A91="","",COUNTIFS('Zgłoszenia'!$B$5:$B$504,A91,'Zgłoszenia'!$O$5:$O$504,"TAK"))</f>
        <v/>
      </c>
      <c r="E91" s="21">
        <f>IF(A91="","",IF(D91=0,"Brak otwartych usterek",IF(INDEX('Zgłoszenia'!$D$5:$D$504,G91)="","",RIGHT("0"&amp;DAY(INDEX('Zgłoszenia'!$D$5:$D$504,G91)),2)&amp;"."&amp;RIGHT("0"&amp;MONTH(INDEX('Zgłoszenia'!$D$5:$D$504,G91)),2)&amp;"."&amp;YEAR(INDEX('Zgłoszenia'!$D$5:$D$504,G91)))&amp;" · "&amp;INDEX('Zgłoszenia'!$H$5:$H$504,G91)&amp;" — "&amp;IF(INDEX('Zgłoszenia'!$M$5:$M$504,G91)="","Zgłoszona",INDEX('Zgłoszenia'!$M$5:$M$504,G91))))</f>
        <v/>
      </c>
      <c r="F91" s="2" t="n"/>
      <c r="G91" s="2">
        <f>IF(OR(A91="",D91=0),"",MATCH(SUMPRODUCT(MAX(('Zgłoszenia'!$B$5:$B$504=A91)*'Zgłoszenia'!$R$5:$R$504)),'Zgłoszenia'!$R$5:$R$504,0))</f>
        <v/>
      </c>
    </row>
    <row r="92">
      <c r="A92" s="20">
        <f>IF('Wózki'!A86="","",'Wózki'!A86)</f>
        <v/>
      </c>
      <c r="B92" s="21">
        <f>IF(A92="","",'Wózki'!B86&amp;"")</f>
        <v/>
      </c>
      <c r="C92" s="21">
        <f>IF(A92="","",IF(COUNTIFS('Zgłoszenia'!$B$5:$B$504,A92,'Zgłoszenia'!$O$5:$O$504,"TAK",'Zgłoszenia'!$L$5:$L$504,"TAK")&gt;0,"Wyłączony z pracy",IF(COUNTIFS('Zgłoszenia'!$B$5:$B$504,A92,'Zgłoszenia'!$M$5:$M$504,Ustawienia!$J$5)+COUNTIFS('Zgłoszenia'!$B$5:$B$504,A92,'Zgłoszenia'!$M$5:$M$504,Ustawienia!$J$6)&gt;0,"W naprawie",IF(D92&gt;0,"Usterka zgłoszona","Sprawny"))))</f>
        <v/>
      </c>
      <c r="D92" s="22">
        <f>IF(A92="","",COUNTIFS('Zgłoszenia'!$B$5:$B$504,A92,'Zgłoszenia'!$O$5:$O$504,"TAK"))</f>
        <v/>
      </c>
      <c r="E92" s="21">
        <f>IF(A92="","",IF(D92=0,"Brak otwartych usterek",IF(INDEX('Zgłoszenia'!$D$5:$D$504,G92)="","",RIGHT("0"&amp;DAY(INDEX('Zgłoszenia'!$D$5:$D$504,G92)),2)&amp;"."&amp;RIGHT("0"&amp;MONTH(INDEX('Zgłoszenia'!$D$5:$D$504,G92)),2)&amp;"."&amp;YEAR(INDEX('Zgłoszenia'!$D$5:$D$504,G92)))&amp;" · "&amp;INDEX('Zgłoszenia'!$H$5:$H$504,G92)&amp;" — "&amp;IF(INDEX('Zgłoszenia'!$M$5:$M$504,G92)="","Zgłoszona",INDEX('Zgłoszenia'!$M$5:$M$504,G92))))</f>
        <v/>
      </c>
      <c r="F92" s="2" t="n"/>
      <c r="G92" s="2">
        <f>IF(OR(A92="",D92=0),"",MATCH(SUMPRODUCT(MAX(('Zgłoszenia'!$B$5:$B$504=A92)*'Zgłoszenia'!$R$5:$R$504)),'Zgłoszenia'!$R$5:$R$504,0))</f>
        <v/>
      </c>
    </row>
    <row r="93">
      <c r="A93" s="20">
        <f>IF('Wózki'!A87="","",'Wózki'!A87)</f>
        <v/>
      </c>
      <c r="B93" s="21">
        <f>IF(A93="","",'Wózki'!B87&amp;"")</f>
        <v/>
      </c>
      <c r="C93" s="21">
        <f>IF(A93="","",IF(COUNTIFS('Zgłoszenia'!$B$5:$B$504,A93,'Zgłoszenia'!$O$5:$O$504,"TAK",'Zgłoszenia'!$L$5:$L$504,"TAK")&gt;0,"Wyłączony z pracy",IF(COUNTIFS('Zgłoszenia'!$B$5:$B$504,A93,'Zgłoszenia'!$M$5:$M$504,Ustawienia!$J$5)+COUNTIFS('Zgłoszenia'!$B$5:$B$504,A93,'Zgłoszenia'!$M$5:$M$504,Ustawienia!$J$6)&gt;0,"W naprawie",IF(D93&gt;0,"Usterka zgłoszona","Sprawny"))))</f>
        <v/>
      </c>
      <c r="D93" s="22">
        <f>IF(A93="","",COUNTIFS('Zgłoszenia'!$B$5:$B$504,A93,'Zgłoszenia'!$O$5:$O$504,"TAK"))</f>
        <v/>
      </c>
      <c r="E93" s="21">
        <f>IF(A93="","",IF(D93=0,"Brak otwartych usterek",IF(INDEX('Zgłoszenia'!$D$5:$D$504,G93)="","",RIGHT("0"&amp;DAY(INDEX('Zgłoszenia'!$D$5:$D$504,G93)),2)&amp;"."&amp;RIGHT("0"&amp;MONTH(INDEX('Zgłoszenia'!$D$5:$D$504,G93)),2)&amp;"."&amp;YEAR(INDEX('Zgłoszenia'!$D$5:$D$504,G93)))&amp;" · "&amp;INDEX('Zgłoszenia'!$H$5:$H$504,G93)&amp;" — "&amp;IF(INDEX('Zgłoszenia'!$M$5:$M$504,G93)="","Zgłoszona",INDEX('Zgłoszenia'!$M$5:$M$504,G93))))</f>
        <v/>
      </c>
      <c r="F93" s="2" t="n"/>
      <c r="G93" s="2">
        <f>IF(OR(A93="",D93=0),"",MATCH(SUMPRODUCT(MAX(('Zgłoszenia'!$B$5:$B$504=A93)*'Zgłoszenia'!$R$5:$R$504)),'Zgłoszenia'!$R$5:$R$504,0))</f>
        <v/>
      </c>
    </row>
    <row r="94">
      <c r="A94" s="20">
        <f>IF('Wózki'!A88="","",'Wózki'!A88)</f>
        <v/>
      </c>
      <c r="B94" s="21">
        <f>IF(A94="","",'Wózki'!B88&amp;"")</f>
        <v/>
      </c>
      <c r="C94" s="21">
        <f>IF(A94="","",IF(COUNTIFS('Zgłoszenia'!$B$5:$B$504,A94,'Zgłoszenia'!$O$5:$O$504,"TAK",'Zgłoszenia'!$L$5:$L$504,"TAK")&gt;0,"Wyłączony z pracy",IF(COUNTIFS('Zgłoszenia'!$B$5:$B$504,A94,'Zgłoszenia'!$M$5:$M$504,Ustawienia!$J$5)+COUNTIFS('Zgłoszenia'!$B$5:$B$504,A94,'Zgłoszenia'!$M$5:$M$504,Ustawienia!$J$6)&gt;0,"W naprawie",IF(D94&gt;0,"Usterka zgłoszona","Sprawny"))))</f>
        <v/>
      </c>
      <c r="D94" s="22">
        <f>IF(A94="","",COUNTIFS('Zgłoszenia'!$B$5:$B$504,A94,'Zgłoszenia'!$O$5:$O$504,"TAK"))</f>
        <v/>
      </c>
      <c r="E94" s="21">
        <f>IF(A94="","",IF(D94=0,"Brak otwartych usterek",IF(INDEX('Zgłoszenia'!$D$5:$D$504,G94)="","",RIGHT("0"&amp;DAY(INDEX('Zgłoszenia'!$D$5:$D$504,G94)),2)&amp;"."&amp;RIGHT("0"&amp;MONTH(INDEX('Zgłoszenia'!$D$5:$D$504,G94)),2)&amp;"."&amp;YEAR(INDEX('Zgłoszenia'!$D$5:$D$504,G94)))&amp;" · "&amp;INDEX('Zgłoszenia'!$H$5:$H$504,G94)&amp;" — "&amp;IF(INDEX('Zgłoszenia'!$M$5:$M$504,G94)="","Zgłoszona",INDEX('Zgłoszenia'!$M$5:$M$504,G94))))</f>
        <v/>
      </c>
      <c r="F94" s="2" t="n"/>
      <c r="G94" s="2">
        <f>IF(OR(A94="",D94=0),"",MATCH(SUMPRODUCT(MAX(('Zgłoszenia'!$B$5:$B$504=A94)*'Zgłoszenia'!$R$5:$R$504)),'Zgłoszenia'!$R$5:$R$504,0))</f>
        <v/>
      </c>
    </row>
    <row r="95">
      <c r="A95" s="20">
        <f>IF('Wózki'!A89="","",'Wózki'!A89)</f>
        <v/>
      </c>
      <c r="B95" s="21">
        <f>IF(A95="","",'Wózki'!B89&amp;"")</f>
        <v/>
      </c>
      <c r="C95" s="21">
        <f>IF(A95="","",IF(COUNTIFS('Zgłoszenia'!$B$5:$B$504,A95,'Zgłoszenia'!$O$5:$O$504,"TAK",'Zgłoszenia'!$L$5:$L$504,"TAK")&gt;0,"Wyłączony z pracy",IF(COUNTIFS('Zgłoszenia'!$B$5:$B$504,A95,'Zgłoszenia'!$M$5:$M$504,Ustawienia!$J$5)+COUNTIFS('Zgłoszenia'!$B$5:$B$504,A95,'Zgłoszenia'!$M$5:$M$504,Ustawienia!$J$6)&gt;0,"W naprawie",IF(D95&gt;0,"Usterka zgłoszona","Sprawny"))))</f>
        <v/>
      </c>
      <c r="D95" s="22">
        <f>IF(A95="","",COUNTIFS('Zgłoszenia'!$B$5:$B$504,A95,'Zgłoszenia'!$O$5:$O$504,"TAK"))</f>
        <v/>
      </c>
      <c r="E95" s="21">
        <f>IF(A95="","",IF(D95=0,"Brak otwartych usterek",IF(INDEX('Zgłoszenia'!$D$5:$D$504,G95)="","",RIGHT("0"&amp;DAY(INDEX('Zgłoszenia'!$D$5:$D$504,G95)),2)&amp;"."&amp;RIGHT("0"&amp;MONTH(INDEX('Zgłoszenia'!$D$5:$D$504,G95)),2)&amp;"."&amp;YEAR(INDEX('Zgłoszenia'!$D$5:$D$504,G95)))&amp;" · "&amp;INDEX('Zgłoszenia'!$H$5:$H$504,G95)&amp;" — "&amp;IF(INDEX('Zgłoszenia'!$M$5:$M$504,G95)="","Zgłoszona",INDEX('Zgłoszenia'!$M$5:$M$504,G95))))</f>
        <v/>
      </c>
      <c r="F95" s="2" t="n"/>
      <c r="G95" s="2">
        <f>IF(OR(A95="",D95=0),"",MATCH(SUMPRODUCT(MAX(('Zgłoszenia'!$B$5:$B$504=A95)*'Zgłoszenia'!$R$5:$R$504)),'Zgłoszenia'!$R$5:$R$504,0))</f>
        <v/>
      </c>
    </row>
    <row r="96">
      <c r="A96" s="20">
        <f>IF('Wózki'!A90="","",'Wózki'!A90)</f>
        <v/>
      </c>
      <c r="B96" s="21">
        <f>IF(A96="","",'Wózki'!B90&amp;"")</f>
        <v/>
      </c>
      <c r="C96" s="21">
        <f>IF(A96="","",IF(COUNTIFS('Zgłoszenia'!$B$5:$B$504,A96,'Zgłoszenia'!$O$5:$O$504,"TAK",'Zgłoszenia'!$L$5:$L$504,"TAK")&gt;0,"Wyłączony z pracy",IF(COUNTIFS('Zgłoszenia'!$B$5:$B$504,A96,'Zgłoszenia'!$M$5:$M$504,Ustawienia!$J$5)+COUNTIFS('Zgłoszenia'!$B$5:$B$504,A96,'Zgłoszenia'!$M$5:$M$504,Ustawienia!$J$6)&gt;0,"W naprawie",IF(D96&gt;0,"Usterka zgłoszona","Sprawny"))))</f>
        <v/>
      </c>
      <c r="D96" s="22">
        <f>IF(A96="","",COUNTIFS('Zgłoszenia'!$B$5:$B$504,A96,'Zgłoszenia'!$O$5:$O$504,"TAK"))</f>
        <v/>
      </c>
      <c r="E96" s="21">
        <f>IF(A96="","",IF(D96=0,"Brak otwartych usterek",IF(INDEX('Zgłoszenia'!$D$5:$D$504,G96)="","",RIGHT("0"&amp;DAY(INDEX('Zgłoszenia'!$D$5:$D$504,G96)),2)&amp;"."&amp;RIGHT("0"&amp;MONTH(INDEX('Zgłoszenia'!$D$5:$D$504,G96)),2)&amp;"."&amp;YEAR(INDEX('Zgłoszenia'!$D$5:$D$504,G96)))&amp;" · "&amp;INDEX('Zgłoszenia'!$H$5:$H$504,G96)&amp;" — "&amp;IF(INDEX('Zgłoszenia'!$M$5:$M$504,G96)="","Zgłoszona",INDEX('Zgłoszenia'!$M$5:$M$504,G96))))</f>
        <v/>
      </c>
      <c r="F96" s="2" t="n"/>
      <c r="G96" s="2">
        <f>IF(OR(A96="",D96=0),"",MATCH(SUMPRODUCT(MAX(('Zgłoszenia'!$B$5:$B$504=A96)*'Zgłoszenia'!$R$5:$R$504)),'Zgłoszenia'!$R$5:$R$504,0))</f>
        <v/>
      </c>
    </row>
    <row r="97">
      <c r="A97" s="20">
        <f>IF('Wózki'!A91="","",'Wózki'!A91)</f>
        <v/>
      </c>
      <c r="B97" s="21">
        <f>IF(A97="","",'Wózki'!B91&amp;"")</f>
        <v/>
      </c>
      <c r="C97" s="21">
        <f>IF(A97="","",IF(COUNTIFS('Zgłoszenia'!$B$5:$B$504,A97,'Zgłoszenia'!$O$5:$O$504,"TAK",'Zgłoszenia'!$L$5:$L$504,"TAK")&gt;0,"Wyłączony z pracy",IF(COUNTIFS('Zgłoszenia'!$B$5:$B$504,A97,'Zgłoszenia'!$M$5:$M$504,Ustawienia!$J$5)+COUNTIFS('Zgłoszenia'!$B$5:$B$504,A97,'Zgłoszenia'!$M$5:$M$504,Ustawienia!$J$6)&gt;0,"W naprawie",IF(D97&gt;0,"Usterka zgłoszona","Sprawny"))))</f>
        <v/>
      </c>
      <c r="D97" s="22">
        <f>IF(A97="","",COUNTIFS('Zgłoszenia'!$B$5:$B$504,A97,'Zgłoszenia'!$O$5:$O$504,"TAK"))</f>
        <v/>
      </c>
      <c r="E97" s="21">
        <f>IF(A97="","",IF(D97=0,"Brak otwartych usterek",IF(INDEX('Zgłoszenia'!$D$5:$D$504,G97)="","",RIGHT("0"&amp;DAY(INDEX('Zgłoszenia'!$D$5:$D$504,G97)),2)&amp;"."&amp;RIGHT("0"&amp;MONTH(INDEX('Zgłoszenia'!$D$5:$D$504,G97)),2)&amp;"."&amp;YEAR(INDEX('Zgłoszenia'!$D$5:$D$504,G97)))&amp;" · "&amp;INDEX('Zgłoszenia'!$H$5:$H$504,G97)&amp;" — "&amp;IF(INDEX('Zgłoszenia'!$M$5:$M$504,G97)="","Zgłoszona",INDEX('Zgłoszenia'!$M$5:$M$504,G97))))</f>
        <v/>
      </c>
      <c r="F97" s="2" t="n"/>
      <c r="G97" s="2">
        <f>IF(OR(A97="",D97=0),"",MATCH(SUMPRODUCT(MAX(('Zgłoszenia'!$B$5:$B$504=A97)*'Zgłoszenia'!$R$5:$R$504)),'Zgłoszenia'!$R$5:$R$504,0))</f>
        <v/>
      </c>
    </row>
    <row r="98">
      <c r="A98" s="20">
        <f>IF('Wózki'!A92="","",'Wózki'!A92)</f>
        <v/>
      </c>
      <c r="B98" s="21">
        <f>IF(A98="","",'Wózki'!B92&amp;"")</f>
        <v/>
      </c>
      <c r="C98" s="21">
        <f>IF(A98="","",IF(COUNTIFS('Zgłoszenia'!$B$5:$B$504,A98,'Zgłoszenia'!$O$5:$O$504,"TAK",'Zgłoszenia'!$L$5:$L$504,"TAK")&gt;0,"Wyłączony z pracy",IF(COUNTIFS('Zgłoszenia'!$B$5:$B$504,A98,'Zgłoszenia'!$M$5:$M$504,Ustawienia!$J$5)+COUNTIFS('Zgłoszenia'!$B$5:$B$504,A98,'Zgłoszenia'!$M$5:$M$504,Ustawienia!$J$6)&gt;0,"W naprawie",IF(D98&gt;0,"Usterka zgłoszona","Sprawny"))))</f>
        <v/>
      </c>
      <c r="D98" s="22">
        <f>IF(A98="","",COUNTIFS('Zgłoszenia'!$B$5:$B$504,A98,'Zgłoszenia'!$O$5:$O$504,"TAK"))</f>
        <v/>
      </c>
      <c r="E98" s="21">
        <f>IF(A98="","",IF(D98=0,"Brak otwartych usterek",IF(INDEX('Zgłoszenia'!$D$5:$D$504,G98)="","",RIGHT("0"&amp;DAY(INDEX('Zgłoszenia'!$D$5:$D$504,G98)),2)&amp;"."&amp;RIGHT("0"&amp;MONTH(INDEX('Zgłoszenia'!$D$5:$D$504,G98)),2)&amp;"."&amp;YEAR(INDEX('Zgłoszenia'!$D$5:$D$504,G98)))&amp;" · "&amp;INDEX('Zgłoszenia'!$H$5:$H$504,G98)&amp;" — "&amp;IF(INDEX('Zgłoszenia'!$M$5:$M$504,G98)="","Zgłoszona",INDEX('Zgłoszenia'!$M$5:$M$504,G98))))</f>
        <v/>
      </c>
      <c r="F98" s="2" t="n"/>
      <c r="G98" s="2">
        <f>IF(OR(A98="",D98=0),"",MATCH(SUMPRODUCT(MAX(('Zgłoszenia'!$B$5:$B$504=A98)*'Zgłoszenia'!$R$5:$R$504)),'Zgłoszenia'!$R$5:$R$504,0))</f>
        <v/>
      </c>
    </row>
    <row r="99">
      <c r="A99" s="20">
        <f>IF('Wózki'!A93="","",'Wózki'!A93)</f>
        <v/>
      </c>
      <c r="B99" s="21">
        <f>IF(A99="","",'Wózki'!B93&amp;"")</f>
        <v/>
      </c>
      <c r="C99" s="21">
        <f>IF(A99="","",IF(COUNTIFS('Zgłoszenia'!$B$5:$B$504,A99,'Zgłoszenia'!$O$5:$O$504,"TAK",'Zgłoszenia'!$L$5:$L$504,"TAK")&gt;0,"Wyłączony z pracy",IF(COUNTIFS('Zgłoszenia'!$B$5:$B$504,A99,'Zgłoszenia'!$M$5:$M$504,Ustawienia!$J$5)+COUNTIFS('Zgłoszenia'!$B$5:$B$504,A99,'Zgłoszenia'!$M$5:$M$504,Ustawienia!$J$6)&gt;0,"W naprawie",IF(D99&gt;0,"Usterka zgłoszona","Sprawny"))))</f>
        <v/>
      </c>
      <c r="D99" s="22">
        <f>IF(A99="","",COUNTIFS('Zgłoszenia'!$B$5:$B$504,A99,'Zgłoszenia'!$O$5:$O$504,"TAK"))</f>
        <v/>
      </c>
      <c r="E99" s="21">
        <f>IF(A99="","",IF(D99=0,"Brak otwartych usterek",IF(INDEX('Zgłoszenia'!$D$5:$D$504,G99)="","",RIGHT("0"&amp;DAY(INDEX('Zgłoszenia'!$D$5:$D$504,G99)),2)&amp;"."&amp;RIGHT("0"&amp;MONTH(INDEX('Zgłoszenia'!$D$5:$D$504,G99)),2)&amp;"."&amp;YEAR(INDEX('Zgłoszenia'!$D$5:$D$504,G99)))&amp;" · "&amp;INDEX('Zgłoszenia'!$H$5:$H$504,G99)&amp;" — "&amp;IF(INDEX('Zgłoszenia'!$M$5:$M$504,G99)="","Zgłoszona",INDEX('Zgłoszenia'!$M$5:$M$504,G99))))</f>
        <v/>
      </c>
      <c r="F99" s="2" t="n"/>
      <c r="G99" s="2">
        <f>IF(OR(A99="",D99=0),"",MATCH(SUMPRODUCT(MAX(('Zgłoszenia'!$B$5:$B$504=A99)*'Zgłoszenia'!$R$5:$R$504)),'Zgłoszenia'!$R$5:$R$504,0))</f>
        <v/>
      </c>
    </row>
    <row r="100">
      <c r="A100" s="20">
        <f>IF('Wózki'!A94="","",'Wózki'!A94)</f>
        <v/>
      </c>
      <c r="B100" s="21">
        <f>IF(A100="","",'Wózki'!B94&amp;"")</f>
        <v/>
      </c>
      <c r="C100" s="21">
        <f>IF(A100="","",IF(COUNTIFS('Zgłoszenia'!$B$5:$B$504,A100,'Zgłoszenia'!$O$5:$O$504,"TAK",'Zgłoszenia'!$L$5:$L$504,"TAK")&gt;0,"Wyłączony z pracy",IF(COUNTIFS('Zgłoszenia'!$B$5:$B$504,A100,'Zgłoszenia'!$M$5:$M$504,Ustawienia!$J$5)+COUNTIFS('Zgłoszenia'!$B$5:$B$504,A100,'Zgłoszenia'!$M$5:$M$504,Ustawienia!$J$6)&gt;0,"W naprawie",IF(D100&gt;0,"Usterka zgłoszona","Sprawny"))))</f>
        <v/>
      </c>
      <c r="D100" s="22">
        <f>IF(A100="","",COUNTIFS('Zgłoszenia'!$B$5:$B$504,A100,'Zgłoszenia'!$O$5:$O$504,"TAK"))</f>
        <v/>
      </c>
      <c r="E100" s="21">
        <f>IF(A100="","",IF(D100=0,"Brak otwartych usterek",IF(INDEX('Zgłoszenia'!$D$5:$D$504,G100)="","",RIGHT("0"&amp;DAY(INDEX('Zgłoszenia'!$D$5:$D$504,G100)),2)&amp;"."&amp;RIGHT("0"&amp;MONTH(INDEX('Zgłoszenia'!$D$5:$D$504,G100)),2)&amp;"."&amp;YEAR(INDEX('Zgłoszenia'!$D$5:$D$504,G100)))&amp;" · "&amp;INDEX('Zgłoszenia'!$H$5:$H$504,G100)&amp;" — "&amp;IF(INDEX('Zgłoszenia'!$M$5:$M$504,G100)="","Zgłoszona",INDEX('Zgłoszenia'!$M$5:$M$504,G100))))</f>
        <v/>
      </c>
      <c r="F100" s="2" t="n"/>
      <c r="G100" s="2">
        <f>IF(OR(A100="",D100=0),"",MATCH(SUMPRODUCT(MAX(('Zgłoszenia'!$B$5:$B$504=A100)*'Zgłoszenia'!$R$5:$R$504)),'Zgłoszenia'!$R$5:$R$504,0))</f>
        <v/>
      </c>
    </row>
    <row r="101">
      <c r="A101" s="20">
        <f>IF('Wózki'!A95="","",'Wózki'!A95)</f>
        <v/>
      </c>
      <c r="B101" s="21">
        <f>IF(A101="","",'Wózki'!B95&amp;"")</f>
        <v/>
      </c>
      <c r="C101" s="21">
        <f>IF(A101="","",IF(COUNTIFS('Zgłoszenia'!$B$5:$B$504,A101,'Zgłoszenia'!$O$5:$O$504,"TAK",'Zgłoszenia'!$L$5:$L$504,"TAK")&gt;0,"Wyłączony z pracy",IF(COUNTIFS('Zgłoszenia'!$B$5:$B$504,A101,'Zgłoszenia'!$M$5:$M$504,Ustawienia!$J$5)+COUNTIFS('Zgłoszenia'!$B$5:$B$504,A101,'Zgłoszenia'!$M$5:$M$504,Ustawienia!$J$6)&gt;0,"W naprawie",IF(D101&gt;0,"Usterka zgłoszona","Sprawny"))))</f>
        <v/>
      </c>
      <c r="D101" s="22">
        <f>IF(A101="","",COUNTIFS('Zgłoszenia'!$B$5:$B$504,A101,'Zgłoszenia'!$O$5:$O$504,"TAK"))</f>
        <v/>
      </c>
      <c r="E101" s="21">
        <f>IF(A101="","",IF(D101=0,"Brak otwartych usterek",IF(INDEX('Zgłoszenia'!$D$5:$D$504,G101)="","",RIGHT("0"&amp;DAY(INDEX('Zgłoszenia'!$D$5:$D$504,G101)),2)&amp;"."&amp;RIGHT("0"&amp;MONTH(INDEX('Zgłoszenia'!$D$5:$D$504,G101)),2)&amp;"."&amp;YEAR(INDEX('Zgłoszenia'!$D$5:$D$504,G101)))&amp;" · "&amp;INDEX('Zgłoszenia'!$H$5:$H$504,G101)&amp;" — "&amp;IF(INDEX('Zgłoszenia'!$M$5:$M$504,G101)="","Zgłoszona",INDEX('Zgłoszenia'!$M$5:$M$504,G101))))</f>
        <v/>
      </c>
      <c r="F101" s="2" t="n"/>
      <c r="G101" s="2">
        <f>IF(OR(A101="",D101=0),"",MATCH(SUMPRODUCT(MAX(('Zgłoszenia'!$B$5:$B$504=A101)*'Zgłoszenia'!$R$5:$R$504)),'Zgłoszenia'!$R$5:$R$504,0))</f>
        <v/>
      </c>
    </row>
    <row r="102">
      <c r="A102" s="20">
        <f>IF('Wózki'!A96="","",'Wózki'!A96)</f>
        <v/>
      </c>
      <c r="B102" s="21">
        <f>IF(A102="","",'Wózki'!B96&amp;"")</f>
        <v/>
      </c>
      <c r="C102" s="21">
        <f>IF(A102="","",IF(COUNTIFS('Zgłoszenia'!$B$5:$B$504,A102,'Zgłoszenia'!$O$5:$O$504,"TAK",'Zgłoszenia'!$L$5:$L$504,"TAK")&gt;0,"Wyłączony z pracy",IF(COUNTIFS('Zgłoszenia'!$B$5:$B$504,A102,'Zgłoszenia'!$M$5:$M$504,Ustawienia!$J$5)+COUNTIFS('Zgłoszenia'!$B$5:$B$504,A102,'Zgłoszenia'!$M$5:$M$504,Ustawienia!$J$6)&gt;0,"W naprawie",IF(D102&gt;0,"Usterka zgłoszona","Sprawny"))))</f>
        <v/>
      </c>
      <c r="D102" s="22">
        <f>IF(A102="","",COUNTIFS('Zgłoszenia'!$B$5:$B$504,A102,'Zgłoszenia'!$O$5:$O$504,"TAK"))</f>
        <v/>
      </c>
      <c r="E102" s="21">
        <f>IF(A102="","",IF(D102=0,"Brak otwartych usterek",IF(INDEX('Zgłoszenia'!$D$5:$D$504,G102)="","",RIGHT("0"&amp;DAY(INDEX('Zgłoszenia'!$D$5:$D$504,G102)),2)&amp;"."&amp;RIGHT("0"&amp;MONTH(INDEX('Zgłoszenia'!$D$5:$D$504,G102)),2)&amp;"."&amp;YEAR(INDEX('Zgłoszenia'!$D$5:$D$504,G102)))&amp;" · "&amp;INDEX('Zgłoszenia'!$H$5:$H$504,G102)&amp;" — "&amp;IF(INDEX('Zgłoszenia'!$M$5:$M$504,G102)="","Zgłoszona",INDEX('Zgłoszenia'!$M$5:$M$504,G102))))</f>
        <v/>
      </c>
      <c r="F102" s="2" t="n"/>
      <c r="G102" s="2">
        <f>IF(OR(A102="",D102=0),"",MATCH(SUMPRODUCT(MAX(('Zgłoszenia'!$B$5:$B$504=A102)*'Zgłoszenia'!$R$5:$R$504)),'Zgłoszenia'!$R$5:$R$504,0))</f>
        <v/>
      </c>
    </row>
    <row r="103">
      <c r="A103" s="20">
        <f>IF('Wózki'!A97="","",'Wózki'!A97)</f>
        <v/>
      </c>
      <c r="B103" s="21">
        <f>IF(A103="","",'Wózki'!B97&amp;"")</f>
        <v/>
      </c>
      <c r="C103" s="21">
        <f>IF(A103="","",IF(COUNTIFS('Zgłoszenia'!$B$5:$B$504,A103,'Zgłoszenia'!$O$5:$O$504,"TAK",'Zgłoszenia'!$L$5:$L$504,"TAK")&gt;0,"Wyłączony z pracy",IF(COUNTIFS('Zgłoszenia'!$B$5:$B$504,A103,'Zgłoszenia'!$M$5:$M$504,Ustawienia!$J$5)+COUNTIFS('Zgłoszenia'!$B$5:$B$504,A103,'Zgłoszenia'!$M$5:$M$504,Ustawienia!$J$6)&gt;0,"W naprawie",IF(D103&gt;0,"Usterka zgłoszona","Sprawny"))))</f>
        <v/>
      </c>
      <c r="D103" s="22">
        <f>IF(A103="","",COUNTIFS('Zgłoszenia'!$B$5:$B$504,A103,'Zgłoszenia'!$O$5:$O$504,"TAK"))</f>
        <v/>
      </c>
      <c r="E103" s="21">
        <f>IF(A103="","",IF(D103=0,"Brak otwartych usterek",IF(INDEX('Zgłoszenia'!$D$5:$D$504,G103)="","",RIGHT("0"&amp;DAY(INDEX('Zgłoszenia'!$D$5:$D$504,G103)),2)&amp;"."&amp;RIGHT("0"&amp;MONTH(INDEX('Zgłoszenia'!$D$5:$D$504,G103)),2)&amp;"."&amp;YEAR(INDEX('Zgłoszenia'!$D$5:$D$504,G103)))&amp;" · "&amp;INDEX('Zgłoszenia'!$H$5:$H$504,G103)&amp;" — "&amp;IF(INDEX('Zgłoszenia'!$M$5:$M$504,G103)="","Zgłoszona",INDEX('Zgłoszenia'!$M$5:$M$504,G103))))</f>
        <v/>
      </c>
      <c r="F103" s="2" t="n"/>
      <c r="G103" s="2">
        <f>IF(OR(A103="",D103=0),"",MATCH(SUMPRODUCT(MAX(('Zgłoszenia'!$B$5:$B$504=A103)*'Zgłoszenia'!$R$5:$R$504)),'Zgłoszenia'!$R$5:$R$504,0))</f>
        <v/>
      </c>
    </row>
    <row r="104">
      <c r="A104" s="20">
        <f>IF('Wózki'!A98="","",'Wózki'!A98)</f>
        <v/>
      </c>
      <c r="B104" s="21">
        <f>IF(A104="","",'Wózki'!B98&amp;"")</f>
        <v/>
      </c>
      <c r="C104" s="21">
        <f>IF(A104="","",IF(COUNTIFS('Zgłoszenia'!$B$5:$B$504,A104,'Zgłoszenia'!$O$5:$O$504,"TAK",'Zgłoszenia'!$L$5:$L$504,"TAK")&gt;0,"Wyłączony z pracy",IF(COUNTIFS('Zgłoszenia'!$B$5:$B$504,A104,'Zgłoszenia'!$M$5:$M$504,Ustawienia!$J$5)+COUNTIFS('Zgłoszenia'!$B$5:$B$504,A104,'Zgłoszenia'!$M$5:$M$504,Ustawienia!$J$6)&gt;0,"W naprawie",IF(D104&gt;0,"Usterka zgłoszona","Sprawny"))))</f>
        <v/>
      </c>
      <c r="D104" s="22">
        <f>IF(A104="","",COUNTIFS('Zgłoszenia'!$B$5:$B$504,A104,'Zgłoszenia'!$O$5:$O$504,"TAK"))</f>
        <v/>
      </c>
      <c r="E104" s="21">
        <f>IF(A104="","",IF(D104=0,"Brak otwartych usterek",IF(INDEX('Zgłoszenia'!$D$5:$D$504,G104)="","",RIGHT("0"&amp;DAY(INDEX('Zgłoszenia'!$D$5:$D$504,G104)),2)&amp;"."&amp;RIGHT("0"&amp;MONTH(INDEX('Zgłoszenia'!$D$5:$D$504,G104)),2)&amp;"."&amp;YEAR(INDEX('Zgłoszenia'!$D$5:$D$504,G104)))&amp;" · "&amp;INDEX('Zgłoszenia'!$H$5:$H$504,G104)&amp;" — "&amp;IF(INDEX('Zgłoszenia'!$M$5:$M$504,G104)="","Zgłoszona",INDEX('Zgłoszenia'!$M$5:$M$504,G104))))</f>
        <v/>
      </c>
      <c r="F104" s="2" t="n"/>
      <c r="G104" s="2">
        <f>IF(OR(A104="",D104=0),"",MATCH(SUMPRODUCT(MAX(('Zgłoszenia'!$B$5:$B$504=A104)*'Zgłoszenia'!$R$5:$R$504)),'Zgłoszenia'!$R$5:$R$504,0))</f>
        <v/>
      </c>
    </row>
    <row r="105">
      <c r="A105" s="20">
        <f>IF('Wózki'!A99="","",'Wózki'!A99)</f>
        <v/>
      </c>
      <c r="B105" s="21">
        <f>IF(A105="","",'Wózki'!B99&amp;"")</f>
        <v/>
      </c>
      <c r="C105" s="21">
        <f>IF(A105="","",IF(COUNTIFS('Zgłoszenia'!$B$5:$B$504,A105,'Zgłoszenia'!$O$5:$O$504,"TAK",'Zgłoszenia'!$L$5:$L$504,"TAK")&gt;0,"Wyłączony z pracy",IF(COUNTIFS('Zgłoszenia'!$B$5:$B$504,A105,'Zgłoszenia'!$M$5:$M$504,Ustawienia!$J$5)+COUNTIFS('Zgłoszenia'!$B$5:$B$504,A105,'Zgłoszenia'!$M$5:$M$504,Ustawienia!$J$6)&gt;0,"W naprawie",IF(D105&gt;0,"Usterka zgłoszona","Sprawny"))))</f>
        <v/>
      </c>
      <c r="D105" s="22">
        <f>IF(A105="","",COUNTIFS('Zgłoszenia'!$B$5:$B$504,A105,'Zgłoszenia'!$O$5:$O$504,"TAK"))</f>
        <v/>
      </c>
      <c r="E105" s="21">
        <f>IF(A105="","",IF(D105=0,"Brak otwartych usterek",IF(INDEX('Zgłoszenia'!$D$5:$D$504,G105)="","",RIGHT("0"&amp;DAY(INDEX('Zgłoszenia'!$D$5:$D$504,G105)),2)&amp;"."&amp;RIGHT("0"&amp;MONTH(INDEX('Zgłoszenia'!$D$5:$D$504,G105)),2)&amp;"."&amp;YEAR(INDEX('Zgłoszenia'!$D$5:$D$504,G105)))&amp;" · "&amp;INDEX('Zgłoszenia'!$H$5:$H$504,G105)&amp;" — "&amp;IF(INDEX('Zgłoszenia'!$M$5:$M$504,G105)="","Zgłoszona",INDEX('Zgłoszenia'!$M$5:$M$504,G105))))</f>
        <v/>
      </c>
      <c r="F105" s="2" t="n"/>
      <c r="G105" s="2">
        <f>IF(OR(A105="",D105=0),"",MATCH(SUMPRODUCT(MAX(('Zgłoszenia'!$B$5:$B$504=A105)*'Zgłoszenia'!$R$5:$R$504)),'Zgłoszenia'!$R$5:$R$504,0))</f>
        <v/>
      </c>
    </row>
    <row r="106">
      <c r="A106" s="20">
        <f>IF('Wózki'!A100="","",'Wózki'!A100)</f>
        <v/>
      </c>
      <c r="B106" s="21">
        <f>IF(A106="","",'Wózki'!B100&amp;"")</f>
        <v/>
      </c>
      <c r="C106" s="21">
        <f>IF(A106="","",IF(COUNTIFS('Zgłoszenia'!$B$5:$B$504,A106,'Zgłoszenia'!$O$5:$O$504,"TAK",'Zgłoszenia'!$L$5:$L$504,"TAK")&gt;0,"Wyłączony z pracy",IF(COUNTIFS('Zgłoszenia'!$B$5:$B$504,A106,'Zgłoszenia'!$M$5:$M$504,Ustawienia!$J$5)+COUNTIFS('Zgłoszenia'!$B$5:$B$504,A106,'Zgłoszenia'!$M$5:$M$504,Ustawienia!$J$6)&gt;0,"W naprawie",IF(D106&gt;0,"Usterka zgłoszona","Sprawny"))))</f>
        <v/>
      </c>
      <c r="D106" s="22">
        <f>IF(A106="","",COUNTIFS('Zgłoszenia'!$B$5:$B$504,A106,'Zgłoszenia'!$O$5:$O$504,"TAK"))</f>
        <v/>
      </c>
      <c r="E106" s="21">
        <f>IF(A106="","",IF(D106=0,"Brak otwartych usterek",IF(INDEX('Zgłoszenia'!$D$5:$D$504,G106)="","",RIGHT("0"&amp;DAY(INDEX('Zgłoszenia'!$D$5:$D$504,G106)),2)&amp;"."&amp;RIGHT("0"&amp;MONTH(INDEX('Zgłoszenia'!$D$5:$D$504,G106)),2)&amp;"."&amp;YEAR(INDEX('Zgłoszenia'!$D$5:$D$504,G106)))&amp;" · "&amp;INDEX('Zgłoszenia'!$H$5:$H$504,G106)&amp;" — "&amp;IF(INDEX('Zgłoszenia'!$M$5:$M$504,G106)="","Zgłoszona",INDEX('Zgłoszenia'!$M$5:$M$504,G106))))</f>
        <v/>
      </c>
      <c r="F106" s="2" t="n"/>
      <c r="G106" s="2">
        <f>IF(OR(A106="",D106=0),"",MATCH(SUMPRODUCT(MAX(('Zgłoszenia'!$B$5:$B$504=A106)*'Zgłoszenia'!$R$5:$R$504)),'Zgłoszenia'!$R$5:$R$504,0))</f>
        <v/>
      </c>
    </row>
    <row r="107">
      <c r="A107" s="20">
        <f>IF('Wózki'!A101="","",'Wózki'!A101)</f>
        <v/>
      </c>
      <c r="B107" s="21">
        <f>IF(A107="","",'Wózki'!B101&amp;"")</f>
        <v/>
      </c>
      <c r="C107" s="21">
        <f>IF(A107="","",IF(COUNTIFS('Zgłoszenia'!$B$5:$B$504,A107,'Zgłoszenia'!$O$5:$O$504,"TAK",'Zgłoszenia'!$L$5:$L$504,"TAK")&gt;0,"Wyłączony z pracy",IF(COUNTIFS('Zgłoszenia'!$B$5:$B$504,A107,'Zgłoszenia'!$M$5:$M$504,Ustawienia!$J$5)+COUNTIFS('Zgłoszenia'!$B$5:$B$504,A107,'Zgłoszenia'!$M$5:$M$504,Ustawienia!$J$6)&gt;0,"W naprawie",IF(D107&gt;0,"Usterka zgłoszona","Sprawny"))))</f>
        <v/>
      </c>
      <c r="D107" s="22">
        <f>IF(A107="","",COUNTIFS('Zgłoszenia'!$B$5:$B$504,A107,'Zgłoszenia'!$O$5:$O$504,"TAK"))</f>
        <v/>
      </c>
      <c r="E107" s="21">
        <f>IF(A107="","",IF(D107=0,"Brak otwartych usterek",IF(INDEX('Zgłoszenia'!$D$5:$D$504,G107)="","",RIGHT("0"&amp;DAY(INDEX('Zgłoszenia'!$D$5:$D$504,G107)),2)&amp;"."&amp;RIGHT("0"&amp;MONTH(INDEX('Zgłoszenia'!$D$5:$D$504,G107)),2)&amp;"."&amp;YEAR(INDEX('Zgłoszenia'!$D$5:$D$504,G107)))&amp;" · "&amp;INDEX('Zgłoszenia'!$H$5:$H$504,G107)&amp;" — "&amp;IF(INDEX('Zgłoszenia'!$M$5:$M$504,G107)="","Zgłoszona",INDEX('Zgłoszenia'!$M$5:$M$504,G107))))</f>
        <v/>
      </c>
      <c r="F107" s="2" t="n"/>
      <c r="G107" s="2">
        <f>IF(OR(A107="",D107=0),"",MATCH(SUMPRODUCT(MAX(('Zgłoszenia'!$B$5:$B$504=A107)*'Zgłoszenia'!$R$5:$R$504)),'Zgłoszenia'!$R$5:$R$504,0))</f>
        <v/>
      </c>
    </row>
    <row r="108">
      <c r="A108" s="20">
        <f>IF('Wózki'!A102="","",'Wózki'!A102)</f>
        <v/>
      </c>
      <c r="B108" s="21">
        <f>IF(A108="","",'Wózki'!B102&amp;"")</f>
        <v/>
      </c>
      <c r="C108" s="21">
        <f>IF(A108="","",IF(COUNTIFS('Zgłoszenia'!$B$5:$B$504,A108,'Zgłoszenia'!$O$5:$O$504,"TAK",'Zgłoszenia'!$L$5:$L$504,"TAK")&gt;0,"Wyłączony z pracy",IF(COUNTIFS('Zgłoszenia'!$B$5:$B$504,A108,'Zgłoszenia'!$M$5:$M$504,Ustawienia!$J$5)+COUNTIFS('Zgłoszenia'!$B$5:$B$504,A108,'Zgłoszenia'!$M$5:$M$504,Ustawienia!$J$6)&gt;0,"W naprawie",IF(D108&gt;0,"Usterka zgłoszona","Sprawny"))))</f>
        <v/>
      </c>
      <c r="D108" s="22">
        <f>IF(A108="","",COUNTIFS('Zgłoszenia'!$B$5:$B$504,A108,'Zgłoszenia'!$O$5:$O$504,"TAK"))</f>
        <v/>
      </c>
      <c r="E108" s="21">
        <f>IF(A108="","",IF(D108=0,"Brak otwartych usterek",IF(INDEX('Zgłoszenia'!$D$5:$D$504,G108)="","",RIGHT("0"&amp;DAY(INDEX('Zgłoszenia'!$D$5:$D$504,G108)),2)&amp;"."&amp;RIGHT("0"&amp;MONTH(INDEX('Zgłoszenia'!$D$5:$D$504,G108)),2)&amp;"."&amp;YEAR(INDEX('Zgłoszenia'!$D$5:$D$504,G108)))&amp;" · "&amp;INDEX('Zgłoszenia'!$H$5:$H$504,G108)&amp;" — "&amp;IF(INDEX('Zgłoszenia'!$M$5:$M$504,G108)="","Zgłoszona",INDEX('Zgłoszenia'!$M$5:$M$504,G108))))</f>
        <v/>
      </c>
      <c r="F108" s="2" t="n"/>
      <c r="G108" s="2">
        <f>IF(OR(A108="",D108=0),"",MATCH(SUMPRODUCT(MAX(('Zgłoszenia'!$B$5:$B$504=A108)*'Zgłoszenia'!$R$5:$R$504)),'Zgłoszenia'!$R$5:$R$504,0))</f>
        <v/>
      </c>
    </row>
    <row r="109">
      <c r="A109" s="20">
        <f>IF('Wózki'!A103="","",'Wózki'!A103)</f>
        <v/>
      </c>
      <c r="B109" s="21">
        <f>IF(A109="","",'Wózki'!B103&amp;"")</f>
        <v/>
      </c>
      <c r="C109" s="21">
        <f>IF(A109="","",IF(COUNTIFS('Zgłoszenia'!$B$5:$B$504,A109,'Zgłoszenia'!$O$5:$O$504,"TAK",'Zgłoszenia'!$L$5:$L$504,"TAK")&gt;0,"Wyłączony z pracy",IF(COUNTIFS('Zgłoszenia'!$B$5:$B$504,A109,'Zgłoszenia'!$M$5:$M$504,Ustawienia!$J$5)+COUNTIFS('Zgłoszenia'!$B$5:$B$504,A109,'Zgłoszenia'!$M$5:$M$504,Ustawienia!$J$6)&gt;0,"W naprawie",IF(D109&gt;0,"Usterka zgłoszona","Sprawny"))))</f>
        <v/>
      </c>
      <c r="D109" s="22">
        <f>IF(A109="","",COUNTIFS('Zgłoszenia'!$B$5:$B$504,A109,'Zgłoszenia'!$O$5:$O$504,"TAK"))</f>
        <v/>
      </c>
      <c r="E109" s="21">
        <f>IF(A109="","",IF(D109=0,"Brak otwartych usterek",IF(INDEX('Zgłoszenia'!$D$5:$D$504,G109)="","",RIGHT("0"&amp;DAY(INDEX('Zgłoszenia'!$D$5:$D$504,G109)),2)&amp;"."&amp;RIGHT("0"&amp;MONTH(INDEX('Zgłoszenia'!$D$5:$D$504,G109)),2)&amp;"."&amp;YEAR(INDEX('Zgłoszenia'!$D$5:$D$504,G109)))&amp;" · "&amp;INDEX('Zgłoszenia'!$H$5:$H$504,G109)&amp;" — "&amp;IF(INDEX('Zgłoszenia'!$M$5:$M$504,G109)="","Zgłoszona",INDEX('Zgłoszenia'!$M$5:$M$504,G109))))</f>
        <v/>
      </c>
      <c r="F109" s="2" t="n"/>
      <c r="G109" s="2">
        <f>IF(OR(A109="",D109=0),"",MATCH(SUMPRODUCT(MAX(('Zgłoszenia'!$B$5:$B$504=A109)*'Zgłoszenia'!$R$5:$R$504)),'Zgłoszenia'!$R$5:$R$504,0))</f>
        <v/>
      </c>
    </row>
    <row r="110">
      <c r="A110" s="20">
        <f>IF('Wózki'!A104="","",'Wózki'!A104)</f>
        <v/>
      </c>
      <c r="B110" s="21">
        <f>IF(A110="","",'Wózki'!B104&amp;"")</f>
        <v/>
      </c>
      <c r="C110" s="21">
        <f>IF(A110="","",IF(COUNTIFS('Zgłoszenia'!$B$5:$B$504,A110,'Zgłoszenia'!$O$5:$O$504,"TAK",'Zgłoszenia'!$L$5:$L$504,"TAK")&gt;0,"Wyłączony z pracy",IF(COUNTIFS('Zgłoszenia'!$B$5:$B$504,A110,'Zgłoszenia'!$M$5:$M$504,Ustawienia!$J$5)+COUNTIFS('Zgłoszenia'!$B$5:$B$504,A110,'Zgłoszenia'!$M$5:$M$504,Ustawienia!$J$6)&gt;0,"W naprawie",IF(D110&gt;0,"Usterka zgłoszona","Sprawny"))))</f>
        <v/>
      </c>
      <c r="D110" s="22">
        <f>IF(A110="","",COUNTIFS('Zgłoszenia'!$B$5:$B$504,A110,'Zgłoszenia'!$O$5:$O$504,"TAK"))</f>
        <v/>
      </c>
      <c r="E110" s="21">
        <f>IF(A110="","",IF(D110=0,"Brak otwartych usterek",IF(INDEX('Zgłoszenia'!$D$5:$D$504,G110)="","",RIGHT("0"&amp;DAY(INDEX('Zgłoszenia'!$D$5:$D$504,G110)),2)&amp;"."&amp;RIGHT("0"&amp;MONTH(INDEX('Zgłoszenia'!$D$5:$D$504,G110)),2)&amp;"."&amp;YEAR(INDEX('Zgłoszenia'!$D$5:$D$504,G110)))&amp;" · "&amp;INDEX('Zgłoszenia'!$H$5:$H$504,G110)&amp;" — "&amp;IF(INDEX('Zgłoszenia'!$M$5:$M$504,G110)="","Zgłoszona",INDEX('Zgłoszenia'!$M$5:$M$504,G110))))</f>
        <v/>
      </c>
      <c r="F110" s="2" t="n"/>
      <c r="G110" s="2">
        <f>IF(OR(A110="",D110=0),"",MATCH(SUMPRODUCT(MAX(('Zgłoszenia'!$B$5:$B$504=A110)*'Zgłoszenia'!$R$5:$R$504)),'Zgłoszenia'!$R$5:$R$504,0))</f>
        <v/>
      </c>
    </row>
    <row r="111">
      <c r="A111" s="20">
        <f>IF('Wózki'!A105="","",'Wózki'!A105)</f>
        <v/>
      </c>
      <c r="B111" s="21">
        <f>IF(A111="","",'Wózki'!B105&amp;"")</f>
        <v/>
      </c>
      <c r="C111" s="21">
        <f>IF(A111="","",IF(COUNTIFS('Zgłoszenia'!$B$5:$B$504,A111,'Zgłoszenia'!$O$5:$O$504,"TAK",'Zgłoszenia'!$L$5:$L$504,"TAK")&gt;0,"Wyłączony z pracy",IF(COUNTIFS('Zgłoszenia'!$B$5:$B$504,A111,'Zgłoszenia'!$M$5:$M$504,Ustawienia!$J$5)+COUNTIFS('Zgłoszenia'!$B$5:$B$504,A111,'Zgłoszenia'!$M$5:$M$504,Ustawienia!$J$6)&gt;0,"W naprawie",IF(D111&gt;0,"Usterka zgłoszona","Sprawny"))))</f>
        <v/>
      </c>
      <c r="D111" s="22">
        <f>IF(A111="","",COUNTIFS('Zgłoszenia'!$B$5:$B$504,A111,'Zgłoszenia'!$O$5:$O$504,"TAK"))</f>
        <v/>
      </c>
      <c r="E111" s="21">
        <f>IF(A111="","",IF(D111=0,"Brak otwartych usterek",IF(INDEX('Zgłoszenia'!$D$5:$D$504,G111)="","",RIGHT("0"&amp;DAY(INDEX('Zgłoszenia'!$D$5:$D$504,G111)),2)&amp;"."&amp;RIGHT("0"&amp;MONTH(INDEX('Zgłoszenia'!$D$5:$D$504,G111)),2)&amp;"."&amp;YEAR(INDEX('Zgłoszenia'!$D$5:$D$504,G111)))&amp;" · "&amp;INDEX('Zgłoszenia'!$H$5:$H$504,G111)&amp;" — "&amp;IF(INDEX('Zgłoszenia'!$M$5:$M$504,G111)="","Zgłoszona",INDEX('Zgłoszenia'!$M$5:$M$504,G111))))</f>
        <v/>
      </c>
      <c r="F111" s="2" t="n"/>
      <c r="G111" s="2">
        <f>IF(OR(A111="",D111=0),"",MATCH(SUMPRODUCT(MAX(('Zgłoszenia'!$B$5:$B$504=A111)*'Zgłoszenia'!$R$5:$R$504)),'Zgłoszenia'!$R$5:$R$504,0))</f>
        <v/>
      </c>
    </row>
    <row r="112">
      <c r="A112" s="20">
        <f>IF('Wózki'!A106="","",'Wózki'!A106)</f>
        <v/>
      </c>
      <c r="B112" s="21">
        <f>IF(A112="","",'Wózki'!B106&amp;"")</f>
        <v/>
      </c>
      <c r="C112" s="21">
        <f>IF(A112="","",IF(COUNTIFS('Zgłoszenia'!$B$5:$B$504,A112,'Zgłoszenia'!$O$5:$O$504,"TAK",'Zgłoszenia'!$L$5:$L$504,"TAK")&gt;0,"Wyłączony z pracy",IF(COUNTIFS('Zgłoszenia'!$B$5:$B$504,A112,'Zgłoszenia'!$M$5:$M$504,Ustawienia!$J$5)+COUNTIFS('Zgłoszenia'!$B$5:$B$504,A112,'Zgłoszenia'!$M$5:$M$504,Ustawienia!$J$6)&gt;0,"W naprawie",IF(D112&gt;0,"Usterka zgłoszona","Sprawny"))))</f>
        <v/>
      </c>
      <c r="D112" s="22">
        <f>IF(A112="","",COUNTIFS('Zgłoszenia'!$B$5:$B$504,A112,'Zgłoszenia'!$O$5:$O$504,"TAK"))</f>
        <v/>
      </c>
      <c r="E112" s="21">
        <f>IF(A112="","",IF(D112=0,"Brak otwartych usterek",IF(INDEX('Zgłoszenia'!$D$5:$D$504,G112)="","",RIGHT("0"&amp;DAY(INDEX('Zgłoszenia'!$D$5:$D$504,G112)),2)&amp;"."&amp;RIGHT("0"&amp;MONTH(INDEX('Zgłoszenia'!$D$5:$D$504,G112)),2)&amp;"."&amp;YEAR(INDEX('Zgłoszenia'!$D$5:$D$504,G112)))&amp;" · "&amp;INDEX('Zgłoszenia'!$H$5:$H$504,G112)&amp;" — "&amp;IF(INDEX('Zgłoszenia'!$M$5:$M$504,G112)="","Zgłoszona",INDEX('Zgłoszenia'!$M$5:$M$504,G112))))</f>
        <v/>
      </c>
      <c r="F112" s="2" t="n"/>
      <c r="G112" s="2">
        <f>IF(OR(A112="",D112=0),"",MATCH(SUMPRODUCT(MAX(('Zgłoszenia'!$B$5:$B$504=A112)*'Zgłoszenia'!$R$5:$R$504)),'Zgłoszenia'!$R$5:$R$504,0))</f>
        <v/>
      </c>
    </row>
    <row r="113">
      <c r="A113" s="20">
        <f>IF('Wózki'!A107="","",'Wózki'!A107)</f>
        <v/>
      </c>
      <c r="B113" s="21">
        <f>IF(A113="","",'Wózki'!B107&amp;"")</f>
        <v/>
      </c>
      <c r="C113" s="21">
        <f>IF(A113="","",IF(COUNTIFS('Zgłoszenia'!$B$5:$B$504,A113,'Zgłoszenia'!$O$5:$O$504,"TAK",'Zgłoszenia'!$L$5:$L$504,"TAK")&gt;0,"Wyłączony z pracy",IF(COUNTIFS('Zgłoszenia'!$B$5:$B$504,A113,'Zgłoszenia'!$M$5:$M$504,Ustawienia!$J$5)+COUNTIFS('Zgłoszenia'!$B$5:$B$504,A113,'Zgłoszenia'!$M$5:$M$504,Ustawienia!$J$6)&gt;0,"W naprawie",IF(D113&gt;0,"Usterka zgłoszona","Sprawny"))))</f>
        <v/>
      </c>
      <c r="D113" s="22">
        <f>IF(A113="","",COUNTIFS('Zgłoszenia'!$B$5:$B$504,A113,'Zgłoszenia'!$O$5:$O$504,"TAK"))</f>
        <v/>
      </c>
      <c r="E113" s="21">
        <f>IF(A113="","",IF(D113=0,"Brak otwartych usterek",IF(INDEX('Zgłoszenia'!$D$5:$D$504,G113)="","",RIGHT("0"&amp;DAY(INDEX('Zgłoszenia'!$D$5:$D$504,G113)),2)&amp;"."&amp;RIGHT("0"&amp;MONTH(INDEX('Zgłoszenia'!$D$5:$D$504,G113)),2)&amp;"."&amp;YEAR(INDEX('Zgłoszenia'!$D$5:$D$504,G113)))&amp;" · "&amp;INDEX('Zgłoszenia'!$H$5:$H$504,G113)&amp;" — "&amp;IF(INDEX('Zgłoszenia'!$M$5:$M$504,G113)="","Zgłoszona",INDEX('Zgłoszenia'!$M$5:$M$504,G113))))</f>
        <v/>
      </c>
      <c r="F113" s="2" t="n"/>
      <c r="G113" s="2">
        <f>IF(OR(A113="",D113=0),"",MATCH(SUMPRODUCT(MAX(('Zgłoszenia'!$B$5:$B$504=A113)*'Zgłoszenia'!$R$5:$R$504)),'Zgłoszenia'!$R$5:$R$504,0))</f>
        <v/>
      </c>
    </row>
    <row r="114">
      <c r="A114" s="20">
        <f>IF('Wózki'!A108="","",'Wózki'!A108)</f>
        <v/>
      </c>
      <c r="B114" s="21">
        <f>IF(A114="","",'Wózki'!B108&amp;"")</f>
        <v/>
      </c>
      <c r="C114" s="21">
        <f>IF(A114="","",IF(COUNTIFS('Zgłoszenia'!$B$5:$B$504,A114,'Zgłoszenia'!$O$5:$O$504,"TAK",'Zgłoszenia'!$L$5:$L$504,"TAK")&gt;0,"Wyłączony z pracy",IF(COUNTIFS('Zgłoszenia'!$B$5:$B$504,A114,'Zgłoszenia'!$M$5:$M$504,Ustawienia!$J$5)+COUNTIFS('Zgłoszenia'!$B$5:$B$504,A114,'Zgłoszenia'!$M$5:$M$504,Ustawienia!$J$6)&gt;0,"W naprawie",IF(D114&gt;0,"Usterka zgłoszona","Sprawny"))))</f>
        <v/>
      </c>
      <c r="D114" s="22">
        <f>IF(A114="","",COUNTIFS('Zgłoszenia'!$B$5:$B$504,A114,'Zgłoszenia'!$O$5:$O$504,"TAK"))</f>
        <v/>
      </c>
      <c r="E114" s="21">
        <f>IF(A114="","",IF(D114=0,"Brak otwartych usterek",IF(INDEX('Zgłoszenia'!$D$5:$D$504,G114)="","",RIGHT("0"&amp;DAY(INDEX('Zgłoszenia'!$D$5:$D$504,G114)),2)&amp;"."&amp;RIGHT("0"&amp;MONTH(INDEX('Zgłoszenia'!$D$5:$D$504,G114)),2)&amp;"."&amp;YEAR(INDEX('Zgłoszenia'!$D$5:$D$504,G114)))&amp;" · "&amp;INDEX('Zgłoszenia'!$H$5:$H$504,G114)&amp;" — "&amp;IF(INDEX('Zgłoszenia'!$M$5:$M$504,G114)="","Zgłoszona",INDEX('Zgłoszenia'!$M$5:$M$504,G114))))</f>
        <v/>
      </c>
      <c r="F114" s="2" t="n"/>
      <c r="G114" s="2">
        <f>IF(OR(A114="",D114=0),"",MATCH(SUMPRODUCT(MAX(('Zgłoszenia'!$B$5:$B$504=A114)*'Zgłoszenia'!$R$5:$R$504)),'Zgłoszenia'!$R$5:$R$504,0))</f>
        <v/>
      </c>
    </row>
    <row r="115">
      <c r="A115" s="20">
        <f>IF('Wózki'!A109="","",'Wózki'!A109)</f>
        <v/>
      </c>
      <c r="B115" s="21">
        <f>IF(A115="","",'Wózki'!B109&amp;"")</f>
        <v/>
      </c>
      <c r="C115" s="21">
        <f>IF(A115="","",IF(COUNTIFS('Zgłoszenia'!$B$5:$B$504,A115,'Zgłoszenia'!$O$5:$O$504,"TAK",'Zgłoszenia'!$L$5:$L$504,"TAK")&gt;0,"Wyłączony z pracy",IF(COUNTIFS('Zgłoszenia'!$B$5:$B$504,A115,'Zgłoszenia'!$M$5:$M$504,Ustawienia!$J$5)+COUNTIFS('Zgłoszenia'!$B$5:$B$504,A115,'Zgłoszenia'!$M$5:$M$504,Ustawienia!$J$6)&gt;0,"W naprawie",IF(D115&gt;0,"Usterka zgłoszona","Sprawny"))))</f>
        <v/>
      </c>
      <c r="D115" s="22">
        <f>IF(A115="","",COUNTIFS('Zgłoszenia'!$B$5:$B$504,A115,'Zgłoszenia'!$O$5:$O$504,"TAK"))</f>
        <v/>
      </c>
      <c r="E115" s="21">
        <f>IF(A115="","",IF(D115=0,"Brak otwartych usterek",IF(INDEX('Zgłoszenia'!$D$5:$D$504,G115)="","",RIGHT("0"&amp;DAY(INDEX('Zgłoszenia'!$D$5:$D$504,G115)),2)&amp;"."&amp;RIGHT("0"&amp;MONTH(INDEX('Zgłoszenia'!$D$5:$D$504,G115)),2)&amp;"."&amp;YEAR(INDEX('Zgłoszenia'!$D$5:$D$504,G115)))&amp;" · "&amp;INDEX('Zgłoszenia'!$H$5:$H$504,G115)&amp;" — "&amp;IF(INDEX('Zgłoszenia'!$M$5:$M$504,G115)="","Zgłoszona",INDEX('Zgłoszenia'!$M$5:$M$504,G115))))</f>
        <v/>
      </c>
      <c r="F115" s="2" t="n"/>
      <c r="G115" s="2">
        <f>IF(OR(A115="",D115=0),"",MATCH(SUMPRODUCT(MAX(('Zgłoszenia'!$B$5:$B$504=A115)*'Zgłoszenia'!$R$5:$R$504)),'Zgłoszenia'!$R$5:$R$504,0))</f>
        <v/>
      </c>
    </row>
    <row r="116">
      <c r="A116" s="20">
        <f>IF('Wózki'!A110="","",'Wózki'!A110)</f>
        <v/>
      </c>
      <c r="B116" s="21">
        <f>IF(A116="","",'Wózki'!B110&amp;"")</f>
        <v/>
      </c>
      <c r="C116" s="21">
        <f>IF(A116="","",IF(COUNTIFS('Zgłoszenia'!$B$5:$B$504,A116,'Zgłoszenia'!$O$5:$O$504,"TAK",'Zgłoszenia'!$L$5:$L$504,"TAK")&gt;0,"Wyłączony z pracy",IF(COUNTIFS('Zgłoszenia'!$B$5:$B$504,A116,'Zgłoszenia'!$M$5:$M$504,Ustawienia!$J$5)+COUNTIFS('Zgłoszenia'!$B$5:$B$504,A116,'Zgłoszenia'!$M$5:$M$504,Ustawienia!$J$6)&gt;0,"W naprawie",IF(D116&gt;0,"Usterka zgłoszona","Sprawny"))))</f>
        <v/>
      </c>
      <c r="D116" s="22">
        <f>IF(A116="","",COUNTIFS('Zgłoszenia'!$B$5:$B$504,A116,'Zgłoszenia'!$O$5:$O$504,"TAK"))</f>
        <v/>
      </c>
      <c r="E116" s="21">
        <f>IF(A116="","",IF(D116=0,"Brak otwartych usterek",IF(INDEX('Zgłoszenia'!$D$5:$D$504,G116)="","",RIGHT("0"&amp;DAY(INDEX('Zgłoszenia'!$D$5:$D$504,G116)),2)&amp;"."&amp;RIGHT("0"&amp;MONTH(INDEX('Zgłoszenia'!$D$5:$D$504,G116)),2)&amp;"."&amp;YEAR(INDEX('Zgłoszenia'!$D$5:$D$504,G116)))&amp;" · "&amp;INDEX('Zgłoszenia'!$H$5:$H$504,G116)&amp;" — "&amp;IF(INDEX('Zgłoszenia'!$M$5:$M$504,G116)="","Zgłoszona",INDEX('Zgłoszenia'!$M$5:$M$504,G116))))</f>
        <v/>
      </c>
      <c r="F116" s="2" t="n"/>
      <c r="G116" s="2">
        <f>IF(OR(A116="",D116=0),"",MATCH(SUMPRODUCT(MAX(('Zgłoszenia'!$B$5:$B$504=A116)*'Zgłoszenia'!$R$5:$R$504)),'Zgłoszenia'!$R$5:$R$504,0))</f>
        <v/>
      </c>
    </row>
    <row r="117">
      <c r="A117" s="20">
        <f>IF('Wózki'!A111="","",'Wózki'!A111)</f>
        <v/>
      </c>
      <c r="B117" s="21">
        <f>IF(A117="","",'Wózki'!B111&amp;"")</f>
        <v/>
      </c>
      <c r="C117" s="21">
        <f>IF(A117="","",IF(COUNTIFS('Zgłoszenia'!$B$5:$B$504,A117,'Zgłoszenia'!$O$5:$O$504,"TAK",'Zgłoszenia'!$L$5:$L$504,"TAK")&gt;0,"Wyłączony z pracy",IF(COUNTIFS('Zgłoszenia'!$B$5:$B$504,A117,'Zgłoszenia'!$M$5:$M$504,Ustawienia!$J$5)+COUNTIFS('Zgłoszenia'!$B$5:$B$504,A117,'Zgłoszenia'!$M$5:$M$504,Ustawienia!$J$6)&gt;0,"W naprawie",IF(D117&gt;0,"Usterka zgłoszona","Sprawny"))))</f>
        <v/>
      </c>
      <c r="D117" s="22">
        <f>IF(A117="","",COUNTIFS('Zgłoszenia'!$B$5:$B$504,A117,'Zgłoszenia'!$O$5:$O$504,"TAK"))</f>
        <v/>
      </c>
      <c r="E117" s="21">
        <f>IF(A117="","",IF(D117=0,"Brak otwartych usterek",IF(INDEX('Zgłoszenia'!$D$5:$D$504,G117)="","",RIGHT("0"&amp;DAY(INDEX('Zgłoszenia'!$D$5:$D$504,G117)),2)&amp;"."&amp;RIGHT("0"&amp;MONTH(INDEX('Zgłoszenia'!$D$5:$D$504,G117)),2)&amp;"."&amp;YEAR(INDEX('Zgłoszenia'!$D$5:$D$504,G117)))&amp;" · "&amp;INDEX('Zgłoszenia'!$H$5:$H$504,G117)&amp;" — "&amp;IF(INDEX('Zgłoszenia'!$M$5:$M$504,G117)="","Zgłoszona",INDEX('Zgłoszenia'!$M$5:$M$504,G117))))</f>
        <v/>
      </c>
      <c r="F117" s="2" t="n"/>
      <c r="G117" s="2">
        <f>IF(OR(A117="",D117=0),"",MATCH(SUMPRODUCT(MAX(('Zgłoszenia'!$B$5:$B$504=A117)*'Zgłoszenia'!$R$5:$R$504)),'Zgłoszenia'!$R$5:$R$504,0))</f>
        <v/>
      </c>
    </row>
    <row r="118">
      <c r="A118" s="20">
        <f>IF('Wózki'!A112="","",'Wózki'!A112)</f>
        <v/>
      </c>
      <c r="B118" s="21">
        <f>IF(A118="","",'Wózki'!B112&amp;"")</f>
        <v/>
      </c>
      <c r="C118" s="21">
        <f>IF(A118="","",IF(COUNTIFS('Zgłoszenia'!$B$5:$B$504,A118,'Zgłoszenia'!$O$5:$O$504,"TAK",'Zgłoszenia'!$L$5:$L$504,"TAK")&gt;0,"Wyłączony z pracy",IF(COUNTIFS('Zgłoszenia'!$B$5:$B$504,A118,'Zgłoszenia'!$M$5:$M$504,Ustawienia!$J$5)+COUNTIFS('Zgłoszenia'!$B$5:$B$504,A118,'Zgłoszenia'!$M$5:$M$504,Ustawienia!$J$6)&gt;0,"W naprawie",IF(D118&gt;0,"Usterka zgłoszona","Sprawny"))))</f>
        <v/>
      </c>
      <c r="D118" s="22">
        <f>IF(A118="","",COUNTIFS('Zgłoszenia'!$B$5:$B$504,A118,'Zgłoszenia'!$O$5:$O$504,"TAK"))</f>
        <v/>
      </c>
      <c r="E118" s="21">
        <f>IF(A118="","",IF(D118=0,"Brak otwartych usterek",IF(INDEX('Zgłoszenia'!$D$5:$D$504,G118)="","",RIGHT("0"&amp;DAY(INDEX('Zgłoszenia'!$D$5:$D$504,G118)),2)&amp;"."&amp;RIGHT("0"&amp;MONTH(INDEX('Zgłoszenia'!$D$5:$D$504,G118)),2)&amp;"."&amp;YEAR(INDEX('Zgłoszenia'!$D$5:$D$504,G118)))&amp;" · "&amp;INDEX('Zgłoszenia'!$H$5:$H$504,G118)&amp;" — "&amp;IF(INDEX('Zgłoszenia'!$M$5:$M$504,G118)="","Zgłoszona",INDEX('Zgłoszenia'!$M$5:$M$504,G118))))</f>
        <v/>
      </c>
      <c r="F118" s="2" t="n"/>
      <c r="G118" s="2">
        <f>IF(OR(A118="",D118=0),"",MATCH(SUMPRODUCT(MAX(('Zgłoszenia'!$B$5:$B$504=A118)*'Zgłoszenia'!$R$5:$R$504)),'Zgłoszenia'!$R$5:$R$504,0))</f>
        <v/>
      </c>
    </row>
    <row r="119">
      <c r="A119" s="20">
        <f>IF('Wózki'!A113="","",'Wózki'!A113)</f>
        <v/>
      </c>
      <c r="B119" s="21">
        <f>IF(A119="","",'Wózki'!B113&amp;"")</f>
        <v/>
      </c>
      <c r="C119" s="21">
        <f>IF(A119="","",IF(COUNTIFS('Zgłoszenia'!$B$5:$B$504,A119,'Zgłoszenia'!$O$5:$O$504,"TAK",'Zgłoszenia'!$L$5:$L$504,"TAK")&gt;0,"Wyłączony z pracy",IF(COUNTIFS('Zgłoszenia'!$B$5:$B$504,A119,'Zgłoszenia'!$M$5:$M$504,Ustawienia!$J$5)+COUNTIFS('Zgłoszenia'!$B$5:$B$504,A119,'Zgłoszenia'!$M$5:$M$504,Ustawienia!$J$6)&gt;0,"W naprawie",IF(D119&gt;0,"Usterka zgłoszona","Sprawny"))))</f>
        <v/>
      </c>
      <c r="D119" s="22">
        <f>IF(A119="","",COUNTIFS('Zgłoszenia'!$B$5:$B$504,A119,'Zgłoszenia'!$O$5:$O$504,"TAK"))</f>
        <v/>
      </c>
      <c r="E119" s="21">
        <f>IF(A119="","",IF(D119=0,"Brak otwartych usterek",IF(INDEX('Zgłoszenia'!$D$5:$D$504,G119)="","",RIGHT("0"&amp;DAY(INDEX('Zgłoszenia'!$D$5:$D$504,G119)),2)&amp;"."&amp;RIGHT("0"&amp;MONTH(INDEX('Zgłoszenia'!$D$5:$D$504,G119)),2)&amp;"."&amp;YEAR(INDEX('Zgłoszenia'!$D$5:$D$504,G119)))&amp;" · "&amp;INDEX('Zgłoszenia'!$H$5:$H$504,G119)&amp;" — "&amp;IF(INDEX('Zgłoszenia'!$M$5:$M$504,G119)="","Zgłoszona",INDEX('Zgłoszenia'!$M$5:$M$504,G119))))</f>
        <v/>
      </c>
      <c r="F119" s="2" t="n"/>
      <c r="G119" s="2">
        <f>IF(OR(A119="",D119=0),"",MATCH(SUMPRODUCT(MAX(('Zgłoszenia'!$B$5:$B$504=A119)*'Zgłoszenia'!$R$5:$R$504)),'Zgłoszenia'!$R$5:$R$504,0))</f>
        <v/>
      </c>
    </row>
    <row r="120">
      <c r="A120" s="20">
        <f>IF('Wózki'!A114="","",'Wózki'!A114)</f>
        <v/>
      </c>
      <c r="B120" s="21">
        <f>IF(A120="","",'Wózki'!B114&amp;"")</f>
        <v/>
      </c>
      <c r="C120" s="21">
        <f>IF(A120="","",IF(COUNTIFS('Zgłoszenia'!$B$5:$B$504,A120,'Zgłoszenia'!$O$5:$O$504,"TAK",'Zgłoszenia'!$L$5:$L$504,"TAK")&gt;0,"Wyłączony z pracy",IF(COUNTIFS('Zgłoszenia'!$B$5:$B$504,A120,'Zgłoszenia'!$M$5:$M$504,Ustawienia!$J$5)+COUNTIFS('Zgłoszenia'!$B$5:$B$504,A120,'Zgłoszenia'!$M$5:$M$504,Ustawienia!$J$6)&gt;0,"W naprawie",IF(D120&gt;0,"Usterka zgłoszona","Sprawny"))))</f>
        <v/>
      </c>
      <c r="D120" s="22">
        <f>IF(A120="","",COUNTIFS('Zgłoszenia'!$B$5:$B$504,A120,'Zgłoszenia'!$O$5:$O$504,"TAK"))</f>
        <v/>
      </c>
      <c r="E120" s="21">
        <f>IF(A120="","",IF(D120=0,"Brak otwartych usterek",IF(INDEX('Zgłoszenia'!$D$5:$D$504,G120)="","",RIGHT("0"&amp;DAY(INDEX('Zgłoszenia'!$D$5:$D$504,G120)),2)&amp;"."&amp;RIGHT("0"&amp;MONTH(INDEX('Zgłoszenia'!$D$5:$D$504,G120)),2)&amp;"."&amp;YEAR(INDEX('Zgłoszenia'!$D$5:$D$504,G120)))&amp;" · "&amp;INDEX('Zgłoszenia'!$H$5:$H$504,G120)&amp;" — "&amp;IF(INDEX('Zgłoszenia'!$M$5:$M$504,G120)="","Zgłoszona",INDEX('Zgłoszenia'!$M$5:$M$504,G120))))</f>
        <v/>
      </c>
      <c r="F120" s="2" t="n"/>
      <c r="G120" s="2">
        <f>IF(OR(A120="",D120=0),"",MATCH(SUMPRODUCT(MAX(('Zgłoszenia'!$B$5:$B$504=A120)*'Zgłoszenia'!$R$5:$R$504)),'Zgłoszenia'!$R$5:$R$504,0))</f>
        <v/>
      </c>
    </row>
    <row r="121">
      <c r="A121" s="20">
        <f>IF('Wózki'!A115="","",'Wózki'!A115)</f>
        <v/>
      </c>
      <c r="B121" s="21">
        <f>IF(A121="","",'Wózki'!B115&amp;"")</f>
        <v/>
      </c>
      <c r="C121" s="21">
        <f>IF(A121="","",IF(COUNTIFS('Zgłoszenia'!$B$5:$B$504,A121,'Zgłoszenia'!$O$5:$O$504,"TAK",'Zgłoszenia'!$L$5:$L$504,"TAK")&gt;0,"Wyłączony z pracy",IF(COUNTIFS('Zgłoszenia'!$B$5:$B$504,A121,'Zgłoszenia'!$M$5:$M$504,Ustawienia!$J$5)+COUNTIFS('Zgłoszenia'!$B$5:$B$504,A121,'Zgłoszenia'!$M$5:$M$504,Ustawienia!$J$6)&gt;0,"W naprawie",IF(D121&gt;0,"Usterka zgłoszona","Sprawny"))))</f>
        <v/>
      </c>
      <c r="D121" s="22">
        <f>IF(A121="","",COUNTIFS('Zgłoszenia'!$B$5:$B$504,A121,'Zgłoszenia'!$O$5:$O$504,"TAK"))</f>
        <v/>
      </c>
      <c r="E121" s="21">
        <f>IF(A121="","",IF(D121=0,"Brak otwartych usterek",IF(INDEX('Zgłoszenia'!$D$5:$D$504,G121)="","",RIGHT("0"&amp;DAY(INDEX('Zgłoszenia'!$D$5:$D$504,G121)),2)&amp;"."&amp;RIGHT("0"&amp;MONTH(INDEX('Zgłoszenia'!$D$5:$D$504,G121)),2)&amp;"."&amp;YEAR(INDEX('Zgłoszenia'!$D$5:$D$504,G121)))&amp;" · "&amp;INDEX('Zgłoszenia'!$H$5:$H$504,G121)&amp;" — "&amp;IF(INDEX('Zgłoszenia'!$M$5:$M$504,G121)="","Zgłoszona",INDEX('Zgłoszenia'!$M$5:$M$504,G121))))</f>
        <v/>
      </c>
      <c r="F121" s="2" t="n"/>
      <c r="G121" s="2">
        <f>IF(OR(A121="",D121=0),"",MATCH(SUMPRODUCT(MAX(('Zgłoszenia'!$B$5:$B$504=A121)*'Zgłoszenia'!$R$5:$R$504)),'Zgłoszenia'!$R$5:$R$504,0))</f>
        <v/>
      </c>
    </row>
    <row r="122">
      <c r="A122" s="20">
        <f>IF('Wózki'!A116="","",'Wózki'!A116)</f>
        <v/>
      </c>
      <c r="B122" s="21">
        <f>IF(A122="","",'Wózki'!B116&amp;"")</f>
        <v/>
      </c>
      <c r="C122" s="21">
        <f>IF(A122="","",IF(COUNTIFS('Zgłoszenia'!$B$5:$B$504,A122,'Zgłoszenia'!$O$5:$O$504,"TAK",'Zgłoszenia'!$L$5:$L$504,"TAK")&gt;0,"Wyłączony z pracy",IF(COUNTIFS('Zgłoszenia'!$B$5:$B$504,A122,'Zgłoszenia'!$M$5:$M$504,Ustawienia!$J$5)+COUNTIFS('Zgłoszenia'!$B$5:$B$504,A122,'Zgłoszenia'!$M$5:$M$504,Ustawienia!$J$6)&gt;0,"W naprawie",IF(D122&gt;0,"Usterka zgłoszona","Sprawny"))))</f>
        <v/>
      </c>
      <c r="D122" s="22">
        <f>IF(A122="","",COUNTIFS('Zgłoszenia'!$B$5:$B$504,A122,'Zgłoszenia'!$O$5:$O$504,"TAK"))</f>
        <v/>
      </c>
      <c r="E122" s="21">
        <f>IF(A122="","",IF(D122=0,"Brak otwartych usterek",IF(INDEX('Zgłoszenia'!$D$5:$D$504,G122)="","",RIGHT("0"&amp;DAY(INDEX('Zgłoszenia'!$D$5:$D$504,G122)),2)&amp;"."&amp;RIGHT("0"&amp;MONTH(INDEX('Zgłoszenia'!$D$5:$D$504,G122)),2)&amp;"."&amp;YEAR(INDEX('Zgłoszenia'!$D$5:$D$504,G122)))&amp;" · "&amp;INDEX('Zgłoszenia'!$H$5:$H$504,G122)&amp;" — "&amp;IF(INDEX('Zgłoszenia'!$M$5:$M$504,G122)="","Zgłoszona",INDEX('Zgłoszenia'!$M$5:$M$504,G122))))</f>
        <v/>
      </c>
      <c r="F122" s="2" t="n"/>
      <c r="G122" s="2">
        <f>IF(OR(A122="",D122=0),"",MATCH(SUMPRODUCT(MAX(('Zgłoszenia'!$B$5:$B$504=A122)*'Zgłoszenia'!$R$5:$R$504)),'Zgłoszenia'!$R$5:$R$504,0))</f>
        <v/>
      </c>
    </row>
    <row r="123">
      <c r="A123" s="20">
        <f>IF('Wózki'!A117="","",'Wózki'!A117)</f>
        <v/>
      </c>
      <c r="B123" s="21">
        <f>IF(A123="","",'Wózki'!B117&amp;"")</f>
        <v/>
      </c>
      <c r="C123" s="21">
        <f>IF(A123="","",IF(COUNTIFS('Zgłoszenia'!$B$5:$B$504,A123,'Zgłoszenia'!$O$5:$O$504,"TAK",'Zgłoszenia'!$L$5:$L$504,"TAK")&gt;0,"Wyłączony z pracy",IF(COUNTIFS('Zgłoszenia'!$B$5:$B$504,A123,'Zgłoszenia'!$M$5:$M$504,Ustawienia!$J$5)+COUNTIFS('Zgłoszenia'!$B$5:$B$504,A123,'Zgłoszenia'!$M$5:$M$504,Ustawienia!$J$6)&gt;0,"W naprawie",IF(D123&gt;0,"Usterka zgłoszona","Sprawny"))))</f>
        <v/>
      </c>
      <c r="D123" s="22">
        <f>IF(A123="","",COUNTIFS('Zgłoszenia'!$B$5:$B$504,A123,'Zgłoszenia'!$O$5:$O$504,"TAK"))</f>
        <v/>
      </c>
      <c r="E123" s="21">
        <f>IF(A123="","",IF(D123=0,"Brak otwartych usterek",IF(INDEX('Zgłoszenia'!$D$5:$D$504,G123)="","",RIGHT("0"&amp;DAY(INDEX('Zgłoszenia'!$D$5:$D$504,G123)),2)&amp;"."&amp;RIGHT("0"&amp;MONTH(INDEX('Zgłoszenia'!$D$5:$D$504,G123)),2)&amp;"."&amp;YEAR(INDEX('Zgłoszenia'!$D$5:$D$504,G123)))&amp;" · "&amp;INDEX('Zgłoszenia'!$H$5:$H$504,G123)&amp;" — "&amp;IF(INDEX('Zgłoszenia'!$M$5:$M$504,G123)="","Zgłoszona",INDEX('Zgłoszenia'!$M$5:$M$504,G123))))</f>
        <v/>
      </c>
      <c r="F123" s="2" t="n"/>
      <c r="G123" s="2">
        <f>IF(OR(A123="",D123=0),"",MATCH(SUMPRODUCT(MAX(('Zgłoszenia'!$B$5:$B$504=A123)*'Zgłoszenia'!$R$5:$R$504)),'Zgłoszenia'!$R$5:$R$504,0))</f>
        <v/>
      </c>
    </row>
    <row r="124">
      <c r="A124" s="20">
        <f>IF('Wózki'!A118="","",'Wózki'!A118)</f>
        <v/>
      </c>
      <c r="B124" s="21">
        <f>IF(A124="","",'Wózki'!B118&amp;"")</f>
        <v/>
      </c>
      <c r="C124" s="21">
        <f>IF(A124="","",IF(COUNTIFS('Zgłoszenia'!$B$5:$B$504,A124,'Zgłoszenia'!$O$5:$O$504,"TAK",'Zgłoszenia'!$L$5:$L$504,"TAK")&gt;0,"Wyłączony z pracy",IF(COUNTIFS('Zgłoszenia'!$B$5:$B$504,A124,'Zgłoszenia'!$M$5:$M$504,Ustawienia!$J$5)+COUNTIFS('Zgłoszenia'!$B$5:$B$504,A124,'Zgłoszenia'!$M$5:$M$504,Ustawienia!$J$6)&gt;0,"W naprawie",IF(D124&gt;0,"Usterka zgłoszona","Sprawny"))))</f>
        <v/>
      </c>
      <c r="D124" s="22">
        <f>IF(A124="","",COUNTIFS('Zgłoszenia'!$B$5:$B$504,A124,'Zgłoszenia'!$O$5:$O$504,"TAK"))</f>
        <v/>
      </c>
      <c r="E124" s="21">
        <f>IF(A124="","",IF(D124=0,"Brak otwartych usterek",IF(INDEX('Zgłoszenia'!$D$5:$D$504,G124)="","",RIGHT("0"&amp;DAY(INDEX('Zgłoszenia'!$D$5:$D$504,G124)),2)&amp;"."&amp;RIGHT("0"&amp;MONTH(INDEX('Zgłoszenia'!$D$5:$D$504,G124)),2)&amp;"."&amp;YEAR(INDEX('Zgłoszenia'!$D$5:$D$504,G124)))&amp;" · "&amp;INDEX('Zgłoszenia'!$H$5:$H$504,G124)&amp;" — "&amp;IF(INDEX('Zgłoszenia'!$M$5:$M$504,G124)="","Zgłoszona",INDEX('Zgłoszenia'!$M$5:$M$504,G124))))</f>
        <v/>
      </c>
      <c r="F124" s="2" t="n"/>
      <c r="G124" s="2">
        <f>IF(OR(A124="",D124=0),"",MATCH(SUMPRODUCT(MAX(('Zgłoszenia'!$B$5:$B$504=A124)*'Zgłoszenia'!$R$5:$R$504)),'Zgłoszenia'!$R$5:$R$504,0))</f>
        <v/>
      </c>
    </row>
    <row r="125">
      <c r="A125" s="20">
        <f>IF('Wózki'!A119="","",'Wózki'!A119)</f>
        <v/>
      </c>
      <c r="B125" s="21">
        <f>IF(A125="","",'Wózki'!B119&amp;"")</f>
        <v/>
      </c>
      <c r="C125" s="21">
        <f>IF(A125="","",IF(COUNTIFS('Zgłoszenia'!$B$5:$B$504,A125,'Zgłoszenia'!$O$5:$O$504,"TAK",'Zgłoszenia'!$L$5:$L$504,"TAK")&gt;0,"Wyłączony z pracy",IF(COUNTIFS('Zgłoszenia'!$B$5:$B$504,A125,'Zgłoszenia'!$M$5:$M$504,Ustawienia!$J$5)+COUNTIFS('Zgłoszenia'!$B$5:$B$504,A125,'Zgłoszenia'!$M$5:$M$504,Ustawienia!$J$6)&gt;0,"W naprawie",IF(D125&gt;0,"Usterka zgłoszona","Sprawny"))))</f>
        <v/>
      </c>
      <c r="D125" s="22">
        <f>IF(A125="","",COUNTIFS('Zgłoszenia'!$B$5:$B$504,A125,'Zgłoszenia'!$O$5:$O$504,"TAK"))</f>
        <v/>
      </c>
      <c r="E125" s="21">
        <f>IF(A125="","",IF(D125=0,"Brak otwartych usterek",IF(INDEX('Zgłoszenia'!$D$5:$D$504,G125)="","",RIGHT("0"&amp;DAY(INDEX('Zgłoszenia'!$D$5:$D$504,G125)),2)&amp;"."&amp;RIGHT("0"&amp;MONTH(INDEX('Zgłoszenia'!$D$5:$D$504,G125)),2)&amp;"."&amp;YEAR(INDEX('Zgłoszenia'!$D$5:$D$504,G125)))&amp;" · "&amp;INDEX('Zgłoszenia'!$H$5:$H$504,G125)&amp;" — "&amp;IF(INDEX('Zgłoszenia'!$M$5:$M$504,G125)="","Zgłoszona",INDEX('Zgłoszenia'!$M$5:$M$504,G125))))</f>
        <v/>
      </c>
      <c r="F125" s="2" t="n"/>
      <c r="G125" s="2">
        <f>IF(OR(A125="",D125=0),"",MATCH(SUMPRODUCT(MAX(('Zgłoszenia'!$B$5:$B$504=A125)*'Zgłoszenia'!$R$5:$R$504)),'Zgłoszenia'!$R$5:$R$504,0))</f>
        <v/>
      </c>
    </row>
    <row r="126">
      <c r="A126" s="20">
        <f>IF('Wózki'!A120="","",'Wózki'!A120)</f>
        <v/>
      </c>
      <c r="B126" s="21">
        <f>IF(A126="","",'Wózki'!B120&amp;"")</f>
        <v/>
      </c>
      <c r="C126" s="21">
        <f>IF(A126="","",IF(COUNTIFS('Zgłoszenia'!$B$5:$B$504,A126,'Zgłoszenia'!$O$5:$O$504,"TAK",'Zgłoszenia'!$L$5:$L$504,"TAK")&gt;0,"Wyłączony z pracy",IF(COUNTIFS('Zgłoszenia'!$B$5:$B$504,A126,'Zgłoszenia'!$M$5:$M$504,Ustawienia!$J$5)+COUNTIFS('Zgłoszenia'!$B$5:$B$504,A126,'Zgłoszenia'!$M$5:$M$504,Ustawienia!$J$6)&gt;0,"W naprawie",IF(D126&gt;0,"Usterka zgłoszona","Sprawny"))))</f>
        <v/>
      </c>
      <c r="D126" s="22">
        <f>IF(A126="","",COUNTIFS('Zgłoszenia'!$B$5:$B$504,A126,'Zgłoszenia'!$O$5:$O$504,"TAK"))</f>
        <v/>
      </c>
      <c r="E126" s="21">
        <f>IF(A126="","",IF(D126=0,"Brak otwartych usterek",IF(INDEX('Zgłoszenia'!$D$5:$D$504,G126)="","",RIGHT("0"&amp;DAY(INDEX('Zgłoszenia'!$D$5:$D$504,G126)),2)&amp;"."&amp;RIGHT("0"&amp;MONTH(INDEX('Zgłoszenia'!$D$5:$D$504,G126)),2)&amp;"."&amp;YEAR(INDEX('Zgłoszenia'!$D$5:$D$504,G126)))&amp;" · "&amp;INDEX('Zgłoszenia'!$H$5:$H$504,G126)&amp;" — "&amp;IF(INDEX('Zgłoszenia'!$M$5:$M$504,G126)="","Zgłoszona",INDEX('Zgłoszenia'!$M$5:$M$504,G126))))</f>
        <v/>
      </c>
      <c r="F126" s="2" t="n"/>
      <c r="G126" s="2">
        <f>IF(OR(A126="",D126=0),"",MATCH(SUMPRODUCT(MAX(('Zgłoszenia'!$B$5:$B$504=A126)*'Zgłoszenia'!$R$5:$R$504)),'Zgłoszenia'!$R$5:$R$504,0))</f>
        <v/>
      </c>
    </row>
    <row r="127">
      <c r="A127" s="20">
        <f>IF('Wózki'!A121="","",'Wózki'!A121)</f>
        <v/>
      </c>
      <c r="B127" s="21">
        <f>IF(A127="","",'Wózki'!B121&amp;"")</f>
        <v/>
      </c>
      <c r="C127" s="21">
        <f>IF(A127="","",IF(COUNTIFS('Zgłoszenia'!$B$5:$B$504,A127,'Zgłoszenia'!$O$5:$O$504,"TAK",'Zgłoszenia'!$L$5:$L$504,"TAK")&gt;0,"Wyłączony z pracy",IF(COUNTIFS('Zgłoszenia'!$B$5:$B$504,A127,'Zgłoszenia'!$M$5:$M$504,Ustawienia!$J$5)+COUNTIFS('Zgłoszenia'!$B$5:$B$504,A127,'Zgłoszenia'!$M$5:$M$504,Ustawienia!$J$6)&gt;0,"W naprawie",IF(D127&gt;0,"Usterka zgłoszona","Sprawny"))))</f>
        <v/>
      </c>
      <c r="D127" s="22">
        <f>IF(A127="","",COUNTIFS('Zgłoszenia'!$B$5:$B$504,A127,'Zgłoszenia'!$O$5:$O$504,"TAK"))</f>
        <v/>
      </c>
      <c r="E127" s="21">
        <f>IF(A127="","",IF(D127=0,"Brak otwartych usterek",IF(INDEX('Zgłoszenia'!$D$5:$D$504,G127)="","",RIGHT("0"&amp;DAY(INDEX('Zgłoszenia'!$D$5:$D$504,G127)),2)&amp;"."&amp;RIGHT("0"&amp;MONTH(INDEX('Zgłoszenia'!$D$5:$D$504,G127)),2)&amp;"."&amp;YEAR(INDEX('Zgłoszenia'!$D$5:$D$504,G127)))&amp;" · "&amp;INDEX('Zgłoszenia'!$H$5:$H$504,G127)&amp;" — "&amp;IF(INDEX('Zgłoszenia'!$M$5:$M$504,G127)="","Zgłoszona",INDEX('Zgłoszenia'!$M$5:$M$504,G127))))</f>
        <v/>
      </c>
      <c r="F127" s="2" t="n"/>
      <c r="G127" s="2">
        <f>IF(OR(A127="",D127=0),"",MATCH(SUMPRODUCT(MAX(('Zgłoszenia'!$B$5:$B$504=A127)*'Zgłoszenia'!$R$5:$R$504)),'Zgłoszenia'!$R$5:$R$504,0))</f>
        <v/>
      </c>
    </row>
    <row r="128">
      <c r="A128" s="20">
        <f>IF('Wózki'!A122="","",'Wózki'!A122)</f>
        <v/>
      </c>
      <c r="B128" s="21">
        <f>IF(A128="","",'Wózki'!B122&amp;"")</f>
        <v/>
      </c>
      <c r="C128" s="21">
        <f>IF(A128="","",IF(COUNTIFS('Zgłoszenia'!$B$5:$B$504,A128,'Zgłoszenia'!$O$5:$O$504,"TAK",'Zgłoszenia'!$L$5:$L$504,"TAK")&gt;0,"Wyłączony z pracy",IF(COUNTIFS('Zgłoszenia'!$B$5:$B$504,A128,'Zgłoszenia'!$M$5:$M$504,Ustawienia!$J$5)+COUNTIFS('Zgłoszenia'!$B$5:$B$504,A128,'Zgłoszenia'!$M$5:$M$504,Ustawienia!$J$6)&gt;0,"W naprawie",IF(D128&gt;0,"Usterka zgłoszona","Sprawny"))))</f>
        <v/>
      </c>
      <c r="D128" s="22">
        <f>IF(A128="","",COUNTIFS('Zgłoszenia'!$B$5:$B$504,A128,'Zgłoszenia'!$O$5:$O$504,"TAK"))</f>
        <v/>
      </c>
      <c r="E128" s="21">
        <f>IF(A128="","",IF(D128=0,"Brak otwartych usterek",IF(INDEX('Zgłoszenia'!$D$5:$D$504,G128)="","",RIGHT("0"&amp;DAY(INDEX('Zgłoszenia'!$D$5:$D$504,G128)),2)&amp;"."&amp;RIGHT("0"&amp;MONTH(INDEX('Zgłoszenia'!$D$5:$D$504,G128)),2)&amp;"."&amp;YEAR(INDEX('Zgłoszenia'!$D$5:$D$504,G128)))&amp;" · "&amp;INDEX('Zgłoszenia'!$H$5:$H$504,G128)&amp;" — "&amp;IF(INDEX('Zgłoszenia'!$M$5:$M$504,G128)="","Zgłoszona",INDEX('Zgłoszenia'!$M$5:$M$504,G128))))</f>
        <v/>
      </c>
      <c r="F128" s="2" t="n"/>
      <c r="G128" s="2">
        <f>IF(OR(A128="",D128=0),"",MATCH(SUMPRODUCT(MAX(('Zgłoszenia'!$B$5:$B$504=A128)*'Zgłoszenia'!$R$5:$R$504)),'Zgłoszenia'!$R$5:$R$504,0))</f>
        <v/>
      </c>
    </row>
    <row r="129">
      <c r="A129" s="20">
        <f>IF('Wózki'!A123="","",'Wózki'!A123)</f>
        <v/>
      </c>
      <c r="B129" s="21">
        <f>IF(A129="","",'Wózki'!B123&amp;"")</f>
        <v/>
      </c>
      <c r="C129" s="21">
        <f>IF(A129="","",IF(COUNTIFS('Zgłoszenia'!$B$5:$B$504,A129,'Zgłoszenia'!$O$5:$O$504,"TAK",'Zgłoszenia'!$L$5:$L$504,"TAK")&gt;0,"Wyłączony z pracy",IF(COUNTIFS('Zgłoszenia'!$B$5:$B$504,A129,'Zgłoszenia'!$M$5:$M$504,Ustawienia!$J$5)+COUNTIFS('Zgłoszenia'!$B$5:$B$504,A129,'Zgłoszenia'!$M$5:$M$504,Ustawienia!$J$6)&gt;0,"W naprawie",IF(D129&gt;0,"Usterka zgłoszona","Sprawny"))))</f>
        <v/>
      </c>
      <c r="D129" s="22">
        <f>IF(A129="","",COUNTIFS('Zgłoszenia'!$B$5:$B$504,A129,'Zgłoszenia'!$O$5:$O$504,"TAK"))</f>
        <v/>
      </c>
      <c r="E129" s="21">
        <f>IF(A129="","",IF(D129=0,"Brak otwartych usterek",IF(INDEX('Zgłoszenia'!$D$5:$D$504,G129)="","",RIGHT("0"&amp;DAY(INDEX('Zgłoszenia'!$D$5:$D$504,G129)),2)&amp;"."&amp;RIGHT("0"&amp;MONTH(INDEX('Zgłoszenia'!$D$5:$D$504,G129)),2)&amp;"."&amp;YEAR(INDEX('Zgłoszenia'!$D$5:$D$504,G129)))&amp;" · "&amp;INDEX('Zgłoszenia'!$H$5:$H$504,G129)&amp;" — "&amp;IF(INDEX('Zgłoszenia'!$M$5:$M$504,G129)="","Zgłoszona",INDEX('Zgłoszenia'!$M$5:$M$504,G129))))</f>
        <v/>
      </c>
      <c r="F129" s="2" t="n"/>
      <c r="G129" s="2">
        <f>IF(OR(A129="",D129=0),"",MATCH(SUMPRODUCT(MAX(('Zgłoszenia'!$B$5:$B$504=A129)*'Zgłoszenia'!$R$5:$R$504)),'Zgłoszenia'!$R$5:$R$504,0))</f>
        <v/>
      </c>
    </row>
    <row r="130">
      <c r="A130" s="20">
        <f>IF('Wózki'!A124="","",'Wózki'!A124)</f>
        <v/>
      </c>
      <c r="B130" s="21">
        <f>IF(A130="","",'Wózki'!B124&amp;"")</f>
        <v/>
      </c>
      <c r="C130" s="21">
        <f>IF(A130="","",IF(COUNTIFS('Zgłoszenia'!$B$5:$B$504,A130,'Zgłoszenia'!$O$5:$O$504,"TAK",'Zgłoszenia'!$L$5:$L$504,"TAK")&gt;0,"Wyłączony z pracy",IF(COUNTIFS('Zgłoszenia'!$B$5:$B$504,A130,'Zgłoszenia'!$M$5:$M$504,Ustawienia!$J$5)+COUNTIFS('Zgłoszenia'!$B$5:$B$504,A130,'Zgłoszenia'!$M$5:$M$504,Ustawienia!$J$6)&gt;0,"W naprawie",IF(D130&gt;0,"Usterka zgłoszona","Sprawny"))))</f>
        <v/>
      </c>
      <c r="D130" s="22">
        <f>IF(A130="","",COUNTIFS('Zgłoszenia'!$B$5:$B$504,A130,'Zgłoszenia'!$O$5:$O$504,"TAK"))</f>
        <v/>
      </c>
      <c r="E130" s="21">
        <f>IF(A130="","",IF(D130=0,"Brak otwartych usterek",IF(INDEX('Zgłoszenia'!$D$5:$D$504,G130)="","",RIGHT("0"&amp;DAY(INDEX('Zgłoszenia'!$D$5:$D$504,G130)),2)&amp;"."&amp;RIGHT("0"&amp;MONTH(INDEX('Zgłoszenia'!$D$5:$D$504,G130)),2)&amp;"."&amp;YEAR(INDEX('Zgłoszenia'!$D$5:$D$504,G130)))&amp;" · "&amp;INDEX('Zgłoszenia'!$H$5:$H$504,G130)&amp;" — "&amp;IF(INDEX('Zgłoszenia'!$M$5:$M$504,G130)="","Zgłoszona",INDEX('Zgłoszenia'!$M$5:$M$504,G130))))</f>
        <v/>
      </c>
      <c r="F130" s="2" t="n"/>
      <c r="G130" s="2">
        <f>IF(OR(A130="",D130=0),"",MATCH(SUMPRODUCT(MAX(('Zgłoszenia'!$B$5:$B$504=A130)*'Zgłoszenia'!$R$5:$R$504)),'Zgłoszenia'!$R$5:$R$504,0))</f>
        <v/>
      </c>
    </row>
    <row r="131">
      <c r="A131" s="20">
        <f>IF('Wózki'!A125="","",'Wózki'!A125)</f>
        <v/>
      </c>
      <c r="B131" s="21">
        <f>IF(A131="","",'Wózki'!B125&amp;"")</f>
        <v/>
      </c>
      <c r="C131" s="21">
        <f>IF(A131="","",IF(COUNTIFS('Zgłoszenia'!$B$5:$B$504,A131,'Zgłoszenia'!$O$5:$O$504,"TAK",'Zgłoszenia'!$L$5:$L$504,"TAK")&gt;0,"Wyłączony z pracy",IF(COUNTIFS('Zgłoszenia'!$B$5:$B$504,A131,'Zgłoszenia'!$M$5:$M$504,Ustawienia!$J$5)+COUNTIFS('Zgłoszenia'!$B$5:$B$504,A131,'Zgłoszenia'!$M$5:$M$504,Ustawienia!$J$6)&gt;0,"W naprawie",IF(D131&gt;0,"Usterka zgłoszona","Sprawny"))))</f>
        <v/>
      </c>
      <c r="D131" s="22">
        <f>IF(A131="","",COUNTIFS('Zgłoszenia'!$B$5:$B$504,A131,'Zgłoszenia'!$O$5:$O$504,"TAK"))</f>
        <v/>
      </c>
      <c r="E131" s="21">
        <f>IF(A131="","",IF(D131=0,"Brak otwartych usterek",IF(INDEX('Zgłoszenia'!$D$5:$D$504,G131)="","",RIGHT("0"&amp;DAY(INDEX('Zgłoszenia'!$D$5:$D$504,G131)),2)&amp;"."&amp;RIGHT("0"&amp;MONTH(INDEX('Zgłoszenia'!$D$5:$D$504,G131)),2)&amp;"."&amp;YEAR(INDEX('Zgłoszenia'!$D$5:$D$504,G131)))&amp;" · "&amp;INDEX('Zgłoszenia'!$H$5:$H$504,G131)&amp;" — "&amp;IF(INDEX('Zgłoszenia'!$M$5:$M$504,G131)="","Zgłoszona",INDEX('Zgłoszenia'!$M$5:$M$504,G131))))</f>
        <v/>
      </c>
      <c r="F131" s="2" t="n"/>
      <c r="G131" s="2">
        <f>IF(OR(A131="",D131=0),"",MATCH(SUMPRODUCT(MAX(('Zgłoszenia'!$B$5:$B$504=A131)*'Zgłoszenia'!$R$5:$R$504)),'Zgłoszenia'!$R$5:$R$504,0))</f>
        <v/>
      </c>
    </row>
    <row r="132">
      <c r="A132" s="20">
        <f>IF('Wózki'!A126="","",'Wózki'!A126)</f>
        <v/>
      </c>
      <c r="B132" s="21">
        <f>IF(A132="","",'Wózki'!B126&amp;"")</f>
        <v/>
      </c>
      <c r="C132" s="21">
        <f>IF(A132="","",IF(COUNTIFS('Zgłoszenia'!$B$5:$B$504,A132,'Zgłoszenia'!$O$5:$O$504,"TAK",'Zgłoszenia'!$L$5:$L$504,"TAK")&gt;0,"Wyłączony z pracy",IF(COUNTIFS('Zgłoszenia'!$B$5:$B$504,A132,'Zgłoszenia'!$M$5:$M$504,Ustawienia!$J$5)+COUNTIFS('Zgłoszenia'!$B$5:$B$504,A132,'Zgłoszenia'!$M$5:$M$504,Ustawienia!$J$6)&gt;0,"W naprawie",IF(D132&gt;0,"Usterka zgłoszona","Sprawny"))))</f>
        <v/>
      </c>
      <c r="D132" s="22">
        <f>IF(A132="","",COUNTIFS('Zgłoszenia'!$B$5:$B$504,A132,'Zgłoszenia'!$O$5:$O$504,"TAK"))</f>
        <v/>
      </c>
      <c r="E132" s="21">
        <f>IF(A132="","",IF(D132=0,"Brak otwartych usterek",IF(INDEX('Zgłoszenia'!$D$5:$D$504,G132)="","",RIGHT("0"&amp;DAY(INDEX('Zgłoszenia'!$D$5:$D$504,G132)),2)&amp;"."&amp;RIGHT("0"&amp;MONTH(INDEX('Zgłoszenia'!$D$5:$D$504,G132)),2)&amp;"."&amp;YEAR(INDEX('Zgłoszenia'!$D$5:$D$504,G132)))&amp;" · "&amp;INDEX('Zgłoszenia'!$H$5:$H$504,G132)&amp;" — "&amp;IF(INDEX('Zgłoszenia'!$M$5:$M$504,G132)="","Zgłoszona",INDEX('Zgłoszenia'!$M$5:$M$504,G132))))</f>
        <v/>
      </c>
      <c r="F132" s="2" t="n"/>
      <c r="G132" s="2">
        <f>IF(OR(A132="",D132=0),"",MATCH(SUMPRODUCT(MAX(('Zgłoszenia'!$B$5:$B$504=A132)*'Zgłoszenia'!$R$5:$R$504)),'Zgłoszenia'!$R$5:$R$504,0))</f>
        <v/>
      </c>
    </row>
    <row r="133">
      <c r="A133" s="20">
        <f>IF('Wózki'!A127="","",'Wózki'!A127)</f>
        <v/>
      </c>
      <c r="B133" s="21">
        <f>IF(A133="","",'Wózki'!B127&amp;"")</f>
        <v/>
      </c>
      <c r="C133" s="21">
        <f>IF(A133="","",IF(COUNTIFS('Zgłoszenia'!$B$5:$B$504,A133,'Zgłoszenia'!$O$5:$O$504,"TAK",'Zgłoszenia'!$L$5:$L$504,"TAK")&gt;0,"Wyłączony z pracy",IF(COUNTIFS('Zgłoszenia'!$B$5:$B$504,A133,'Zgłoszenia'!$M$5:$M$504,Ustawienia!$J$5)+COUNTIFS('Zgłoszenia'!$B$5:$B$504,A133,'Zgłoszenia'!$M$5:$M$504,Ustawienia!$J$6)&gt;0,"W naprawie",IF(D133&gt;0,"Usterka zgłoszona","Sprawny"))))</f>
        <v/>
      </c>
      <c r="D133" s="22">
        <f>IF(A133="","",COUNTIFS('Zgłoszenia'!$B$5:$B$504,A133,'Zgłoszenia'!$O$5:$O$504,"TAK"))</f>
        <v/>
      </c>
      <c r="E133" s="21">
        <f>IF(A133="","",IF(D133=0,"Brak otwartych usterek",IF(INDEX('Zgłoszenia'!$D$5:$D$504,G133)="","",RIGHT("0"&amp;DAY(INDEX('Zgłoszenia'!$D$5:$D$504,G133)),2)&amp;"."&amp;RIGHT("0"&amp;MONTH(INDEX('Zgłoszenia'!$D$5:$D$504,G133)),2)&amp;"."&amp;YEAR(INDEX('Zgłoszenia'!$D$5:$D$504,G133)))&amp;" · "&amp;INDEX('Zgłoszenia'!$H$5:$H$504,G133)&amp;" — "&amp;IF(INDEX('Zgłoszenia'!$M$5:$M$504,G133)="","Zgłoszona",INDEX('Zgłoszenia'!$M$5:$M$504,G133))))</f>
        <v/>
      </c>
      <c r="F133" s="2" t="n"/>
      <c r="G133" s="2">
        <f>IF(OR(A133="",D133=0),"",MATCH(SUMPRODUCT(MAX(('Zgłoszenia'!$B$5:$B$504=A133)*'Zgłoszenia'!$R$5:$R$504)),'Zgłoszenia'!$R$5:$R$504,0))</f>
        <v/>
      </c>
    </row>
    <row r="134">
      <c r="A134" s="20">
        <f>IF('Wózki'!A128="","",'Wózki'!A128)</f>
        <v/>
      </c>
      <c r="B134" s="21">
        <f>IF(A134="","",'Wózki'!B128&amp;"")</f>
        <v/>
      </c>
      <c r="C134" s="21">
        <f>IF(A134="","",IF(COUNTIFS('Zgłoszenia'!$B$5:$B$504,A134,'Zgłoszenia'!$O$5:$O$504,"TAK",'Zgłoszenia'!$L$5:$L$504,"TAK")&gt;0,"Wyłączony z pracy",IF(COUNTIFS('Zgłoszenia'!$B$5:$B$504,A134,'Zgłoszenia'!$M$5:$M$504,Ustawienia!$J$5)+COUNTIFS('Zgłoszenia'!$B$5:$B$504,A134,'Zgłoszenia'!$M$5:$M$504,Ustawienia!$J$6)&gt;0,"W naprawie",IF(D134&gt;0,"Usterka zgłoszona","Sprawny"))))</f>
        <v/>
      </c>
      <c r="D134" s="22">
        <f>IF(A134="","",COUNTIFS('Zgłoszenia'!$B$5:$B$504,A134,'Zgłoszenia'!$O$5:$O$504,"TAK"))</f>
        <v/>
      </c>
      <c r="E134" s="21">
        <f>IF(A134="","",IF(D134=0,"Brak otwartych usterek",IF(INDEX('Zgłoszenia'!$D$5:$D$504,G134)="","",RIGHT("0"&amp;DAY(INDEX('Zgłoszenia'!$D$5:$D$504,G134)),2)&amp;"."&amp;RIGHT("0"&amp;MONTH(INDEX('Zgłoszenia'!$D$5:$D$504,G134)),2)&amp;"."&amp;YEAR(INDEX('Zgłoszenia'!$D$5:$D$504,G134)))&amp;" · "&amp;INDEX('Zgłoszenia'!$H$5:$H$504,G134)&amp;" — "&amp;IF(INDEX('Zgłoszenia'!$M$5:$M$504,G134)="","Zgłoszona",INDEX('Zgłoszenia'!$M$5:$M$504,G134))))</f>
        <v/>
      </c>
      <c r="F134" s="2" t="n"/>
      <c r="G134" s="2">
        <f>IF(OR(A134="",D134=0),"",MATCH(SUMPRODUCT(MAX(('Zgłoszenia'!$B$5:$B$504=A134)*'Zgłoszenia'!$R$5:$R$504)),'Zgłoszenia'!$R$5:$R$504,0))</f>
        <v/>
      </c>
    </row>
    <row r="135">
      <c r="A135" s="20">
        <f>IF('Wózki'!A129="","",'Wózki'!A129)</f>
        <v/>
      </c>
      <c r="B135" s="21">
        <f>IF(A135="","",'Wózki'!B129&amp;"")</f>
        <v/>
      </c>
      <c r="C135" s="21">
        <f>IF(A135="","",IF(COUNTIFS('Zgłoszenia'!$B$5:$B$504,A135,'Zgłoszenia'!$O$5:$O$504,"TAK",'Zgłoszenia'!$L$5:$L$504,"TAK")&gt;0,"Wyłączony z pracy",IF(COUNTIFS('Zgłoszenia'!$B$5:$B$504,A135,'Zgłoszenia'!$M$5:$M$504,Ustawienia!$J$5)+COUNTIFS('Zgłoszenia'!$B$5:$B$504,A135,'Zgłoszenia'!$M$5:$M$504,Ustawienia!$J$6)&gt;0,"W naprawie",IF(D135&gt;0,"Usterka zgłoszona","Sprawny"))))</f>
        <v/>
      </c>
      <c r="D135" s="22">
        <f>IF(A135="","",COUNTIFS('Zgłoszenia'!$B$5:$B$504,A135,'Zgłoszenia'!$O$5:$O$504,"TAK"))</f>
        <v/>
      </c>
      <c r="E135" s="21">
        <f>IF(A135="","",IF(D135=0,"Brak otwartych usterek",IF(INDEX('Zgłoszenia'!$D$5:$D$504,G135)="","",RIGHT("0"&amp;DAY(INDEX('Zgłoszenia'!$D$5:$D$504,G135)),2)&amp;"."&amp;RIGHT("0"&amp;MONTH(INDEX('Zgłoszenia'!$D$5:$D$504,G135)),2)&amp;"."&amp;YEAR(INDEX('Zgłoszenia'!$D$5:$D$504,G135)))&amp;" · "&amp;INDEX('Zgłoszenia'!$H$5:$H$504,G135)&amp;" — "&amp;IF(INDEX('Zgłoszenia'!$M$5:$M$504,G135)="","Zgłoszona",INDEX('Zgłoszenia'!$M$5:$M$504,G135))))</f>
        <v/>
      </c>
      <c r="F135" s="2" t="n"/>
      <c r="G135" s="2">
        <f>IF(OR(A135="",D135=0),"",MATCH(SUMPRODUCT(MAX(('Zgłoszenia'!$B$5:$B$504=A135)*'Zgłoszenia'!$R$5:$R$504)),'Zgłoszenia'!$R$5:$R$504,0))</f>
        <v/>
      </c>
    </row>
    <row r="136">
      <c r="A136" s="20">
        <f>IF('Wózki'!A130="","",'Wózki'!A130)</f>
        <v/>
      </c>
      <c r="B136" s="21">
        <f>IF(A136="","",'Wózki'!B130&amp;"")</f>
        <v/>
      </c>
      <c r="C136" s="21">
        <f>IF(A136="","",IF(COUNTIFS('Zgłoszenia'!$B$5:$B$504,A136,'Zgłoszenia'!$O$5:$O$504,"TAK",'Zgłoszenia'!$L$5:$L$504,"TAK")&gt;0,"Wyłączony z pracy",IF(COUNTIFS('Zgłoszenia'!$B$5:$B$504,A136,'Zgłoszenia'!$M$5:$M$504,Ustawienia!$J$5)+COUNTIFS('Zgłoszenia'!$B$5:$B$504,A136,'Zgłoszenia'!$M$5:$M$504,Ustawienia!$J$6)&gt;0,"W naprawie",IF(D136&gt;0,"Usterka zgłoszona","Sprawny"))))</f>
        <v/>
      </c>
      <c r="D136" s="22">
        <f>IF(A136="","",COUNTIFS('Zgłoszenia'!$B$5:$B$504,A136,'Zgłoszenia'!$O$5:$O$504,"TAK"))</f>
        <v/>
      </c>
      <c r="E136" s="21">
        <f>IF(A136="","",IF(D136=0,"Brak otwartych usterek",IF(INDEX('Zgłoszenia'!$D$5:$D$504,G136)="","",RIGHT("0"&amp;DAY(INDEX('Zgłoszenia'!$D$5:$D$504,G136)),2)&amp;"."&amp;RIGHT("0"&amp;MONTH(INDEX('Zgłoszenia'!$D$5:$D$504,G136)),2)&amp;"."&amp;YEAR(INDEX('Zgłoszenia'!$D$5:$D$504,G136)))&amp;" · "&amp;INDEX('Zgłoszenia'!$H$5:$H$504,G136)&amp;" — "&amp;IF(INDEX('Zgłoszenia'!$M$5:$M$504,G136)="","Zgłoszona",INDEX('Zgłoszenia'!$M$5:$M$504,G136))))</f>
        <v/>
      </c>
      <c r="F136" s="2" t="n"/>
      <c r="G136" s="2">
        <f>IF(OR(A136="",D136=0),"",MATCH(SUMPRODUCT(MAX(('Zgłoszenia'!$B$5:$B$504=A136)*'Zgłoszenia'!$R$5:$R$504)),'Zgłoszenia'!$R$5:$R$504,0))</f>
        <v/>
      </c>
    </row>
    <row r="137">
      <c r="A137" s="20">
        <f>IF('Wózki'!A131="","",'Wózki'!A131)</f>
        <v/>
      </c>
      <c r="B137" s="21">
        <f>IF(A137="","",'Wózki'!B131&amp;"")</f>
        <v/>
      </c>
      <c r="C137" s="21">
        <f>IF(A137="","",IF(COUNTIFS('Zgłoszenia'!$B$5:$B$504,A137,'Zgłoszenia'!$O$5:$O$504,"TAK",'Zgłoszenia'!$L$5:$L$504,"TAK")&gt;0,"Wyłączony z pracy",IF(COUNTIFS('Zgłoszenia'!$B$5:$B$504,A137,'Zgłoszenia'!$M$5:$M$504,Ustawienia!$J$5)+COUNTIFS('Zgłoszenia'!$B$5:$B$504,A137,'Zgłoszenia'!$M$5:$M$504,Ustawienia!$J$6)&gt;0,"W naprawie",IF(D137&gt;0,"Usterka zgłoszona","Sprawny"))))</f>
        <v/>
      </c>
      <c r="D137" s="22">
        <f>IF(A137="","",COUNTIFS('Zgłoszenia'!$B$5:$B$504,A137,'Zgłoszenia'!$O$5:$O$504,"TAK"))</f>
        <v/>
      </c>
      <c r="E137" s="21">
        <f>IF(A137="","",IF(D137=0,"Brak otwartych usterek",IF(INDEX('Zgłoszenia'!$D$5:$D$504,G137)="","",RIGHT("0"&amp;DAY(INDEX('Zgłoszenia'!$D$5:$D$504,G137)),2)&amp;"."&amp;RIGHT("0"&amp;MONTH(INDEX('Zgłoszenia'!$D$5:$D$504,G137)),2)&amp;"."&amp;YEAR(INDEX('Zgłoszenia'!$D$5:$D$504,G137)))&amp;" · "&amp;INDEX('Zgłoszenia'!$H$5:$H$504,G137)&amp;" — "&amp;IF(INDEX('Zgłoszenia'!$M$5:$M$504,G137)="","Zgłoszona",INDEX('Zgłoszenia'!$M$5:$M$504,G137))))</f>
        <v/>
      </c>
      <c r="F137" s="2" t="n"/>
      <c r="G137" s="2">
        <f>IF(OR(A137="",D137=0),"",MATCH(SUMPRODUCT(MAX(('Zgłoszenia'!$B$5:$B$504=A137)*'Zgłoszenia'!$R$5:$R$504)),'Zgłoszenia'!$R$5:$R$504,0))</f>
        <v/>
      </c>
    </row>
    <row r="138">
      <c r="A138" s="20">
        <f>IF('Wózki'!A132="","",'Wózki'!A132)</f>
        <v/>
      </c>
      <c r="B138" s="21">
        <f>IF(A138="","",'Wózki'!B132&amp;"")</f>
        <v/>
      </c>
      <c r="C138" s="21">
        <f>IF(A138="","",IF(COUNTIFS('Zgłoszenia'!$B$5:$B$504,A138,'Zgłoszenia'!$O$5:$O$504,"TAK",'Zgłoszenia'!$L$5:$L$504,"TAK")&gt;0,"Wyłączony z pracy",IF(COUNTIFS('Zgłoszenia'!$B$5:$B$504,A138,'Zgłoszenia'!$M$5:$M$504,Ustawienia!$J$5)+COUNTIFS('Zgłoszenia'!$B$5:$B$504,A138,'Zgłoszenia'!$M$5:$M$504,Ustawienia!$J$6)&gt;0,"W naprawie",IF(D138&gt;0,"Usterka zgłoszona","Sprawny"))))</f>
        <v/>
      </c>
      <c r="D138" s="22">
        <f>IF(A138="","",COUNTIFS('Zgłoszenia'!$B$5:$B$504,A138,'Zgłoszenia'!$O$5:$O$504,"TAK"))</f>
        <v/>
      </c>
      <c r="E138" s="21">
        <f>IF(A138="","",IF(D138=0,"Brak otwartych usterek",IF(INDEX('Zgłoszenia'!$D$5:$D$504,G138)="","",RIGHT("0"&amp;DAY(INDEX('Zgłoszenia'!$D$5:$D$504,G138)),2)&amp;"."&amp;RIGHT("0"&amp;MONTH(INDEX('Zgłoszenia'!$D$5:$D$504,G138)),2)&amp;"."&amp;YEAR(INDEX('Zgłoszenia'!$D$5:$D$504,G138)))&amp;" · "&amp;INDEX('Zgłoszenia'!$H$5:$H$504,G138)&amp;" — "&amp;IF(INDEX('Zgłoszenia'!$M$5:$M$504,G138)="","Zgłoszona",INDEX('Zgłoszenia'!$M$5:$M$504,G138))))</f>
        <v/>
      </c>
      <c r="F138" s="2" t="n"/>
      <c r="G138" s="2">
        <f>IF(OR(A138="",D138=0),"",MATCH(SUMPRODUCT(MAX(('Zgłoszenia'!$B$5:$B$504=A138)*'Zgłoszenia'!$R$5:$R$504)),'Zgłoszenia'!$R$5:$R$504,0))</f>
        <v/>
      </c>
    </row>
    <row r="139">
      <c r="A139" s="20">
        <f>IF('Wózki'!A133="","",'Wózki'!A133)</f>
        <v/>
      </c>
      <c r="B139" s="21">
        <f>IF(A139="","",'Wózki'!B133&amp;"")</f>
        <v/>
      </c>
      <c r="C139" s="21">
        <f>IF(A139="","",IF(COUNTIFS('Zgłoszenia'!$B$5:$B$504,A139,'Zgłoszenia'!$O$5:$O$504,"TAK",'Zgłoszenia'!$L$5:$L$504,"TAK")&gt;0,"Wyłączony z pracy",IF(COUNTIFS('Zgłoszenia'!$B$5:$B$504,A139,'Zgłoszenia'!$M$5:$M$504,Ustawienia!$J$5)+COUNTIFS('Zgłoszenia'!$B$5:$B$504,A139,'Zgłoszenia'!$M$5:$M$504,Ustawienia!$J$6)&gt;0,"W naprawie",IF(D139&gt;0,"Usterka zgłoszona","Sprawny"))))</f>
        <v/>
      </c>
      <c r="D139" s="22">
        <f>IF(A139="","",COUNTIFS('Zgłoszenia'!$B$5:$B$504,A139,'Zgłoszenia'!$O$5:$O$504,"TAK"))</f>
        <v/>
      </c>
      <c r="E139" s="21">
        <f>IF(A139="","",IF(D139=0,"Brak otwartych usterek",IF(INDEX('Zgłoszenia'!$D$5:$D$504,G139)="","",RIGHT("0"&amp;DAY(INDEX('Zgłoszenia'!$D$5:$D$504,G139)),2)&amp;"."&amp;RIGHT("0"&amp;MONTH(INDEX('Zgłoszenia'!$D$5:$D$504,G139)),2)&amp;"."&amp;YEAR(INDEX('Zgłoszenia'!$D$5:$D$504,G139)))&amp;" · "&amp;INDEX('Zgłoszenia'!$H$5:$H$504,G139)&amp;" — "&amp;IF(INDEX('Zgłoszenia'!$M$5:$M$504,G139)="","Zgłoszona",INDEX('Zgłoszenia'!$M$5:$M$504,G139))))</f>
        <v/>
      </c>
      <c r="F139" s="2" t="n"/>
      <c r="G139" s="2">
        <f>IF(OR(A139="",D139=0),"",MATCH(SUMPRODUCT(MAX(('Zgłoszenia'!$B$5:$B$504=A139)*'Zgłoszenia'!$R$5:$R$504)),'Zgłoszenia'!$R$5:$R$504,0))</f>
        <v/>
      </c>
    </row>
    <row r="140">
      <c r="A140" s="20">
        <f>IF('Wózki'!A134="","",'Wózki'!A134)</f>
        <v/>
      </c>
      <c r="B140" s="21">
        <f>IF(A140="","",'Wózki'!B134&amp;"")</f>
        <v/>
      </c>
      <c r="C140" s="21">
        <f>IF(A140="","",IF(COUNTIFS('Zgłoszenia'!$B$5:$B$504,A140,'Zgłoszenia'!$O$5:$O$504,"TAK",'Zgłoszenia'!$L$5:$L$504,"TAK")&gt;0,"Wyłączony z pracy",IF(COUNTIFS('Zgłoszenia'!$B$5:$B$504,A140,'Zgłoszenia'!$M$5:$M$504,Ustawienia!$J$5)+COUNTIFS('Zgłoszenia'!$B$5:$B$504,A140,'Zgłoszenia'!$M$5:$M$504,Ustawienia!$J$6)&gt;0,"W naprawie",IF(D140&gt;0,"Usterka zgłoszona","Sprawny"))))</f>
        <v/>
      </c>
      <c r="D140" s="22">
        <f>IF(A140="","",COUNTIFS('Zgłoszenia'!$B$5:$B$504,A140,'Zgłoszenia'!$O$5:$O$504,"TAK"))</f>
        <v/>
      </c>
      <c r="E140" s="21">
        <f>IF(A140="","",IF(D140=0,"Brak otwartych usterek",IF(INDEX('Zgłoszenia'!$D$5:$D$504,G140)="","",RIGHT("0"&amp;DAY(INDEX('Zgłoszenia'!$D$5:$D$504,G140)),2)&amp;"."&amp;RIGHT("0"&amp;MONTH(INDEX('Zgłoszenia'!$D$5:$D$504,G140)),2)&amp;"."&amp;YEAR(INDEX('Zgłoszenia'!$D$5:$D$504,G140)))&amp;" · "&amp;INDEX('Zgłoszenia'!$H$5:$H$504,G140)&amp;" — "&amp;IF(INDEX('Zgłoszenia'!$M$5:$M$504,G140)="","Zgłoszona",INDEX('Zgłoszenia'!$M$5:$M$504,G140))))</f>
        <v/>
      </c>
      <c r="F140" s="2" t="n"/>
      <c r="G140" s="2">
        <f>IF(OR(A140="",D140=0),"",MATCH(SUMPRODUCT(MAX(('Zgłoszenia'!$B$5:$B$504=A140)*'Zgłoszenia'!$R$5:$R$504)),'Zgłoszenia'!$R$5:$R$504,0))</f>
        <v/>
      </c>
    </row>
    <row r="141">
      <c r="A141" s="20">
        <f>IF('Wózki'!A135="","",'Wózki'!A135)</f>
        <v/>
      </c>
      <c r="B141" s="21">
        <f>IF(A141="","",'Wózki'!B135&amp;"")</f>
        <v/>
      </c>
      <c r="C141" s="21">
        <f>IF(A141="","",IF(COUNTIFS('Zgłoszenia'!$B$5:$B$504,A141,'Zgłoszenia'!$O$5:$O$504,"TAK",'Zgłoszenia'!$L$5:$L$504,"TAK")&gt;0,"Wyłączony z pracy",IF(COUNTIFS('Zgłoszenia'!$B$5:$B$504,A141,'Zgłoszenia'!$M$5:$M$504,Ustawienia!$J$5)+COUNTIFS('Zgłoszenia'!$B$5:$B$504,A141,'Zgłoszenia'!$M$5:$M$504,Ustawienia!$J$6)&gt;0,"W naprawie",IF(D141&gt;0,"Usterka zgłoszona","Sprawny"))))</f>
        <v/>
      </c>
      <c r="D141" s="22">
        <f>IF(A141="","",COUNTIFS('Zgłoszenia'!$B$5:$B$504,A141,'Zgłoszenia'!$O$5:$O$504,"TAK"))</f>
        <v/>
      </c>
      <c r="E141" s="21">
        <f>IF(A141="","",IF(D141=0,"Brak otwartych usterek",IF(INDEX('Zgłoszenia'!$D$5:$D$504,G141)="","",RIGHT("0"&amp;DAY(INDEX('Zgłoszenia'!$D$5:$D$504,G141)),2)&amp;"."&amp;RIGHT("0"&amp;MONTH(INDEX('Zgłoszenia'!$D$5:$D$504,G141)),2)&amp;"."&amp;YEAR(INDEX('Zgłoszenia'!$D$5:$D$504,G141)))&amp;" · "&amp;INDEX('Zgłoszenia'!$H$5:$H$504,G141)&amp;" — "&amp;IF(INDEX('Zgłoszenia'!$M$5:$M$504,G141)="","Zgłoszona",INDEX('Zgłoszenia'!$M$5:$M$504,G141))))</f>
        <v/>
      </c>
      <c r="F141" s="2" t="n"/>
      <c r="G141" s="2">
        <f>IF(OR(A141="",D141=0),"",MATCH(SUMPRODUCT(MAX(('Zgłoszenia'!$B$5:$B$504=A141)*'Zgłoszenia'!$R$5:$R$504)),'Zgłoszenia'!$R$5:$R$504,0))</f>
        <v/>
      </c>
    </row>
    <row r="142">
      <c r="A142" s="20">
        <f>IF('Wózki'!A136="","",'Wózki'!A136)</f>
        <v/>
      </c>
      <c r="B142" s="21">
        <f>IF(A142="","",'Wózki'!B136&amp;"")</f>
        <v/>
      </c>
      <c r="C142" s="21">
        <f>IF(A142="","",IF(COUNTIFS('Zgłoszenia'!$B$5:$B$504,A142,'Zgłoszenia'!$O$5:$O$504,"TAK",'Zgłoszenia'!$L$5:$L$504,"TAK")&gt;0,"Wyłączony z pracy",IF(COUNTIFS('Zgłoszenia'!$B$5:$B$504,A142,'Zgłoszenia'!$M$5:$M$504,Ustawienia!$J$5)+COUNTIFS('Zgłoszenia'!$B$5:$B$504,A142,'Zgłoszenia'!$M$5:$M$504,Ustawienia!$J$6)&gt;0,"W naprawie",IF(D142&gt;0,"Usterka zgłoszona","Sprawny"))))</f>
        <v/>
      </c>
      <c r="D142" s="22">
        <f>IF(A142="","",COUNTIFS('Zgłoszenia'!$B$5:$B$504,A142,'Zgłoszenia'!$O$5:$O$504,"TAK"))</f>
        <v/>
      </c>
      <c r="E142" s="21">
        <f>IF(A142="","",IF(D142=0,"Brak otwartych usterek",IF(INDEX('Zgłoszenia'!$D$5:$D$504,G142)="","",RIGHT("0"&amp;DAY(INDEX('Zgłoszenia'!$D$5:$D$504,G142)),2)&amp;"."&amp;RIGHT("0"&amp;MONTH(INDEX('Zgłoszenia'!$D$5:$D$504,G142)),2)&amp;"."&amp;YEAR(INDEX('Zgłoszenia'!$D$5:$D$504,G142)))&amp;" · "&amp;INDEX('Zgłoszenia'!$H$5:$H$504,G142)&amp;" — "&amp;IF(INDEX('Zgłoszenia'!$M$5:$M$504,G142)="","Zgłoszona",INDEX('Zgłoszenia'!$M$5:$M$504,G142))))</f>
        <v/>
      </c>
      <c r="F142" s="2" t="n"/>
      <c r="G142" s="2">
        <f>IF(OR(A142="",D142=0),"",MATCH(SUMPRODUCT(MAX(('Zgłoszenia'!$B$5:$B$504=A142)*'Zgłoszenia'!$R$5:$R$504)),'Zgłoszenia'!$R$5:$R$504,0))</f>
        <v/>
      </c>
    </row>
    <row r="143">
      <c r="A143" s="20">
        <f>IF('Wózki'!A137="","",'Wózki'!A137)</f>
        <v/>
      </c>
      <c r="B143" s="21">
        <f>IF(A143="","",'Wózki'!B137&amp;"")</f>
        <v/>
      </c>
      <c r="C143" s="21">
        <f>IF(A143="","",IF(COUNTIFS('Zgłoszenia'!$B$5:$B$504,A143,'Zgłoszenia'!$O$5:$O$504,"TAK",'Zgłoszenia'!$L$5:$L$504,"TAK")&gt;0,"Wyłączony z pracy",IF(COUNTIFS('Zgłoszenia'!$B$5:$B$504,A143,'Zgłoszenia'!$M$5:$M$504,Ustawienia!$J$5)+COUNTIFS('Zgłoszenia'!$B$5:$B$504,A143,'Zgłoszenia'!$M$5:$M$504,Ustawienia!$J$6)&gt;0,"W naprawie",IF(D143&gt;0,"Usterka zgłoszona","Sprawny"))))</f>
        <v/>
      </c>
      <c r="D143" s="22">
        <f>IF(A143="","",COUNTIFS('Zgłoszenia'!$B$5:$B$504,A143,'Zgłoszenia'!$O$5:$O$504,"TAK"))</f>
        <v/>
      </c>
      <c r="E143" s="21">
        <f>IF(A143="","",IF(D143=0,"Brak otwartych usterek",IF(INDEX('Zgłoszenia'!$D$5:$D$504,G143)="","",RIGHT("0"&amp;DAY(INDEX('Zgłoszenia'!$D$5:$D$504,G143)),2)&amp;"."&amp;RIGHT("0"&amp;MONTH(INDEX('Zgłoszenia'!$D$5:$D$504,G143)),2)&amp;"."&amp;YEAR(INDEX('Zgłoszenia'!$D$5:$D$504,G143)))&amp;" · "&amp;INDEX('Zgłoszenia'!$H$5:$H$504,G143)&amp;" — "&amp;IF(INDEX('Zgłoszenia'!$M$5:$M$504,G143)="","Zgłoszona",INDEX('Zgłoszenia'!$M$5:$M$504,G143))))</f>
        <v/>
      </c>
      <c r="F143" s="2" t="n"/>
      <c r="G143" s="2">
        <f>IF(OR(A143="",D143=0),"",MATCH(SUMPRODUCT(MAX(('Zgłoszenia'!$B$5:$B$504=A143)*'Zgłoszenia'!$R$5:$R$504)),'Zgłoszenia'!$R$5:$R$504,0))</f>
        <v/>
      </c>
    </row>
    <row r="144">
      <c r="A144" s="20">
        <f>IF('Wózki'!A138="","",'Wózki'!A138)</f>
        <v/>
      </c>
      <c r="B144" s="21">
        <f>IF(A144="","",'Wózki'!B138&amp;"")</f>
        <v/>
      </c>
      <c r="C144" s="21">
        <f>IF(A144="","",IF(COUNTIFS('Zgłoszenia'!$B$5:$B$504,A144,'Zgłoszenia'!$O$5:$O$504,"TAK",'Zgłoszenia'!$L$5:$L$504,"TAK")&gt;0,"Wyłączony z pracy",IF(COUNTIFS('Zgłoszenia'!$B$5:$B$504,A144,'Zgłoszenia'!$M$5:$M$504,Ustawienia!$J$5)+COUNTIFS('Zgłoszenia'!$B$5:$B$504,A144,'Zgłoszenia'!$M$5:$M$504,Ustawienia!$J$6)&gt;0,"W naprawie",IF(D144&gt;0,"Usterka zgłoszona","Sprawny"))))</f>
        <v/>
      </c>
      <c r="D144" s="22">
        <f>IF(A144="","",COUNTIFS('Zgłoszenia'!$B$5:$B$504,A144,'Zgłoszenia'!$O$5:$O$504,"TAK"))</f>
        <v/>
      </c>
      <c r="E144" s="21">
        <f>IF(A144="","",IF(D144=0,"Brak otwartych usterek",IF(INDEX('Zgłoszenia'!$D$5:$D$504,G144)="","",RIGHT("0"&amp;DAY(INDEX('Zgłoszenia'!$D$5:$D$504,G144)),2)&amp;"."&amp;RIGHT("0"&amp;MONTH(INDEX('Zgłoszenia'!$D$5:$D$504,G144)),2)&amp;"."&amp;YEAR(INDEX('Zgłoszenia'!$D$5:$D$504,G144)))&amp;" · "&amp;INDEX('Zgłoszenia'!$H$5:$H$504,G144)&amp;" — "&amp;IF(INDEX('Zgłoszenia'!$M$5:$M$504,G144)="","Zgłoszona",INDEX('Zgłoszenia'!$M$5:$M$504,G144))))</f>
        <v/>
      </c>
      <c r="F144" s="2" t="n"/>
      <c r="G144" s="2">
        <f>IF(OR(A144="",D144=0),"",MATCH(SUMPRODUCT(MAX(('Zgłoszenia'!$B$5:$B$504=A144)*'Zgłoszenia'!$R$5:$R$504)),'Zgłoszenia'!$R$5:$R$504,0))</f>
        <v/>
      </c>
    </row>
    <row r="145">
      <c r="A145" s="20">
        <f>IF('Wózki'!A139="","",'Wózki'!A139)</f>
        <v/>
      </c>
      <c r="B145" s="21">
        <f>IF(A145="","",'Wózki'!B139&amp;"")</f>
        <v/>
      </c>
      <c r="C145" s="21">
        <f>IF(A145="","",IF(COUNTIFS('Zgłoszenia'!$B$5:$B$504,A145,'Zgłoszenia'!$O$5:$O$504,"TAK",'Zgłoszenia'!$L$5:$L$504,"TAK")&gt;0,"Wyłączony z pracy",IF(COUNTIFS('Zgłoszenia'!$B$5:$B$504,A145,'Zgłoszenia'!$M$5:$M$504,Ustawienia!$J$5)+COUNTIFS('Zgłoszenia'!$B$5:$B$504,A145,'Zgłoszenia'!$M$5:$M$504,Ustawienia!$J$6)&gt;0,"W naprawie",IF(D145&gt;0,"Usterka zgłoszona","Sprawny"))))</f>
        <v/>
      </c>
      <c r="D145" s="22">
        <f>IF(A145="","",COUNTIFS('Zgłoszenia'!$B$5:$B$504,A145,'Zgłoszenia'!$O$5:$O$504,"TAK"))</f>
        <v/>
      </c>
      <c r="E145" s="21">
        <f>IF(A145="","",IF(D145=0,"Brak otwartych usterek",IF(INDEX('Zgłoszenia'!$D$5:$D$504,G145)="","",RIGHT("0"&amp;DAY(INDEX('Zgłoszenia'!$D$5:$D$504,G145)),2)&amp;"."&amp;RIGHT("0"&amp;MONTH(INDEX('Zgłoszenia'!$D$5:$D$504,G145)),2)&amp;"."&amp;YEAR(INDEX('Zgłoszenia'!$D$5:$D$504,G145)))&amp;" · "&amp;INDEX('Zgłoszenia'!$H$5:$H$504,G145)&amp;" — "&amp;IF(INDEX('Zgłoszenia'!$M$5:$M$504,G145)="","Zgłoszona",INDEX('Zgłoszenia'!$M$5:$M$504,G145))))</f>
        <v/>
      </c>
      <c r="F145" s="2" t="n"/>
      <c r="G145" s="2">
        <f>IF(OR(A145="",D145=0),"",MATCH(SUMPRODUCT(MAX(('Zgłoszenia'!$B$5:$B$504=A145)*'Zgłoszenia'!$R$5:$R$504)),'Zgłoszenia'!$R$5:$R$504,0))</f>
        <v/>
      </c>
    </row>
    <row r="146">
      <c r="A146" s="20">
        <f>IF('Wózki'!A140="","",'Wózki'!A140)</f>
        <v/>
      </c>
      <c r="B146" s="21">
        <f>IF(A146="","",'Wózki'!B140&amp;"")</f>
        <v/>
      </c>
      <c r="C146" s="21">
        <f>IF(A146="","",IF(COUNTIFS('Zgłoszenia'!$B$5:$B$504,A146,'Zgłoszenia'!$O$5:$O$504,"TAK",'Zgłoszenia'!$L$5:$L$504,"TAK")&gt;0,"Wyłączony z pracy",IF(COUNTIFS('Zgłoszenia'!$B$5:$B$504,A146,'Zgłoszenia'!$M$5:$M$504,Ustawienia!$J$5)+COUNTIFS('Zgłoszenia'!$B$5:$B$504,A146,'Zgłoszenia'!$M$5:$M$504,Ustawienia!$J$6)&gt;0,"W naprawie",IF(D146&gt;0,"Usterka zgłoszona","Sprawny"))))</f>
        <v/>
      </c>
      <c r="D146" s="22">
        <f>IF(A146="","",COUNTIFS('Zgłoszenia'!$B$5:$B$504,A146,'Zgłoszenia'!$O$5:$O$504,"TAK"))</f>
        <v/>
      </c>
      <c r="E146" s="21">
        <f>IF(A146="","",IF(D146=0,"Brak otwartych usterek",IF(INDEX('Zgłoszenia'!$D$5:$D$504,G146)="","",RIGHT("0"&amp;DAY(INDEX('Zgłoszenia'!$D$5:$D$504,G146)),2)&amp;"."&amp;RIGHT("0"&amp;MONTH(INDEX('Zgłoszenia'!$D$5:$D$504,G146)),2)&amp;"."&amp;YEAR(INDEX('Zgłoszenia'!$D$5:$D$504,G146)))&amp;" · "&amp;INDEX('Zgłoszenia'!$H$5:$H$504,G146)&amp;" — "&amp;IF(INDEX('Zgłoszenia'!$M$5:$M$504,G146)="","Zgłoszona",INDEX('Zgłoszenia'!$M$5:$M$504,G146))))</f>
        <v/>
      </c>
      <c r="F146" s="2" t="n"/>
      <c r="G146" s="2">
        <f>IF(OR(A146="",D146=0),"",MATCH(SUMPRODUCT(MAX(('Zgłoszenia'!$B$5:$B$504=A146)*'Zgłoszenia'!$R$5:$R$504)),'Zgłoszenia'!$R$5:$R$504,0))</f>
        <v/>
      </c>
    </row>
    <row r="147">
      <c r="A147" s="20">
        <f>IF('Wózki'!A141="","",'Wózki'!A141)</f>
        <v/>
      </c>
      <c r="B147" s="21">
        <f>IF(A147="","",'Wózki'!B141&amp;"")</f>
        <v/>
      </c>
      <c r="C147" s="21">
        <f>IF(A147="","",IF(COUNTIFS('Zgłoszenia'!$B$5:$B$504,A147,'Zgłoszenia'!$O$5:$O$504,"TAK",'Zgłoszenia'!$L$5:$L$504,"TAK")&gt;0,"Wyłączony z pracy",IF(COUNTIFS('Zgłoszenia'!$B$5:$B$504,A147,'Zgłoszenia'!$M$5:$M$504,Ustawienia!$J$5)+COUNTIFS('Zgłoszenia'!$B$5:$B$504,A147,'Zgłoszenia'!$M$5:$M$504,Ustawienia!$J$6)&gt;0,"W naprawie",IF(D147&gt;0,"Usterka zgłoszona","Sprawny"))))</f>
        <v/>
      </c>
      <c r="D147" s="22">
        <f>IF(A147="","",COUNTIFS('Zgłoszenia'!$B$5:$B$504,A147,'Zgłoszenia'!$O$5:$O$504,"TAK"))</f>
        <v/>
      </c>
      <c r="E147" s="21">
        <f>IF(A147="","",IF(D147=0,"Brak otwartych usterek",IF(INDEX('Zgłoszenia'!$D$5:$D$504,G147)="","",RIGHT("0"&amp;DAY(INDEX('Zgłoszenia'!$D$5:$D$504,G147)),2)&amp;"."&amp;RIGHT("0"&amp;MONTH(INDEX('Zgłoszenia'!$D$5:$D$504,G147)),2)&amp;"."&amp;YEAR(INDEX('Zgłoszenia'!$D$5:$D$504,G147)))&amp;" · "&amp;INDEX('Zgłoszenia'!$H$5:$H$504,G147)&amp;" — "&amp;IF(INDEX('Zgłoszenia'!$M$5:$M$504,G147)="","Zgłoszona",INDEX('Zgłoszenia'!$M$5:$M$504,G147))))</f>
        <v/>
      </c>
      <c r="F147" s="2" t="n"/>
      <c r="G147" s="2">
        <f>IF(OR(A147="",D147=0),"",MATCH(SUMPRODUCT(MAX(('Zgłoszenia'!$B$5:$B$504=A147)*'Zgłoszenia'!$R$5:$R$504)),'Zgłoszenia'!$R$5:$R$504,0))</f>
        <v/>
      </c>
    </row>
    <row r="148">
      <c r="A148" s="20">
        <f>IF('Wózki'!A142="","",'Wózki'!A142)</f>
        <v/>
      </c>
      <c r="B148" s="21">
        <f>IF(A148="","",'Wózki'!B142&amp;"")</f>
        <v/>
      </c>
      <c r="C148" s="21">
        <f>IF(A148="","",IF(COUNTIFS('Zgłoszenia'!$B$5:$B$504,A148,'Zgłoszenia'!$O$5:$O$504,"TAK",'Zgłoszenia'!$L$5:$L$504,"TAK")&gt;0,"Wyłączony z pracy",IF(COUNTIFS('Zgłoszenia'!$B$5:$B$504,A148,'Zgłoszenia'!$M$5:$M$504,Ustawienia!$J$5)+COUNTIFS('Zgłoszenia'!$B$5:$B$504,A148,'Zgłoszenia'!$M$5:$M$504,Ustawienia!$J$6)&gt;0,"W naprawie",IF(D148&gt;0,"Usterka zgłoszona","Sprawny"))))</f>
        <v/>
      </c>
      <c r="D148" s="22">
        <f>IF(A148="","",COUNTIFS('Zgłoszenia'!$B$5:$B$504,A148,'Zgłoszenia'!$O$5:$O$504,"TAK"))</f>
        <v/>
      </c>
      <c r="E148" s="21">
        <f>IF(A148="","",IF(D148=0,"Brak otwartych usterek",IF(INDEX('Zgłoszenia'!$D$5:$D$504,G148)="","",RIGHT("0"&amp;DAY(INDEX('Zgłoszenia'!$D$5:$D$504,G148)),2)&amp;"."&amp;RIGHT("0"&amp;MONTH(INDEX('Zgłoszenia'!$D$5:$D$504,G148)),2)&amp;"."&amp;YEAR(INDEX('Zgłoszenia'!$D$5:$D$504,G148)))&amp;" · "&amp;INDEX('Zgłoszenia'!$H$5:$H$504,G148)&amp;" — "&amp;IF(INDEX('Zgłoszenia'!$M$5:$M$504,G148)="","Zgłoszona",INDEX('Zgłoszenia'!$M$5:$M$504,G148))))</f>
        <v/>
      </c>
      <c r="F148" s="2" t="n"/>
      <c r="G148" s="2">
        <f>IF(OR(A148="",D148=0),"",MATCH(SUMPRODUCT(MAX(('Zgłoszenia'!$B$5:$B$504=A148)*'Zgłoszenia'!$R$5:$R$504)),'Zgłoszenia'!$R$5:$R$504,0))</f>
        <v/>
      </c>
    </row>
    <row r="149">
      <c r="A149" s="20">
        <f>IF('Wózki'!A143="","",'Wózki'!A143)</f>
        <v/>
      </c>
      <c r="B149" s="21">
        <f>IF(A149="","",'Wózki'!B143&amp;"")</f>
        <v/>
      </c>
      <c r="C149" s="21">
        <f>IF(A149="","",IF(COUNTIFS('Zgłoszenia'!$B$5:$B$504,A149,'Zgłoszenia'!$O$5:$O$504,"TAK",'Zgłoszenia'!$L$5:$L$504,"TAK")&gt;0,"Wyłączony z pracy",IF(COUNTIFS('Zgłoszenia'!$B$5:$B$504,A149,'Zgłoszenia'!$M$5:$M$504,Ustawienia!$J$5)+COUNTIFS('Zgłoszenia'!$B$5:$B$504,A149,'Zgłoszenia'!$M$5:$M$504,Ustawienia!$J$6)&gt;0,"W naprawie",IF(D149&gt;0,"Usterka zgłoszona","Sprawny"))))</f>
        <v/>
      </c>
      <c r="D149" s="22">
        <f>IF(A149="","",COUNTIFS('Zgłoszenia'!$B$5:$B$504,A149,'Zgłoszenia'!$O$5:$O$504,"TAK"))</f>
        <v/>
      </c>
      <c r="E149" s="21">
        <f>IF(A149="","",IF(D149=0,"Brak otwartych usterek",IF(INDEX('Zgłoszenia'!$D$5:$D$504,G149)="","",RIGHT("0"&amp;DAY(INDEX('Zgłoszenia'!$D$5:$D$504,G149)),2)&amp;"."&amp;RIGHT("0"&amp;MONTH(INDEX('Zgłoszenia'!$D$5:$D$504,G149)),2)&amp;"."&amp;YEAR(INDEX('Zgłoszenia'!$D$5:$D$504,G149)))&amp;" · "&amp;INDEX('Zgłoszenia'!$H$5:$H$504,G149)&amp;" — "&amp;IF(INDEX('Zgłoszenia'!$M$5:$M$504,G149)="","Zgłoszona",INDEX('Zgłoszenia'!$M$5:$M$504,G149))))</f>
        <v/>
      </c>
      <c r="F149" s="2" t="n"/>
      <c r="G149" s="2">
        <f>IF(OR(A149="",D149=0),"",MATCH(SUMPRODUCT(MAX(('Zgłoszenia'!$B$5:$B$504=A149)*'Zgłoszenia'!$R$5:$R$504)),'Zgłoszenia'!$R$5:$R$504,0))</f>
        <v/>
      </c>
    </row>
    <row r="150">
      <c r="A150" s="20">
        <f>IF('Wózki'!A144="","",'Wózki'!A144)</f>
        <v/>
      </c>
      <c r="B150" s="21">
        <f>IF(A150="","",'Wózki'!B144&amp;"")</f>
        <v/>
      </c>
      <c r="C150" s="21">
        <f>IF(A150="","",IF(COUNTIFS('Zgłoszenia'!$B$5:$B$504,A150,'Zgłoszenia'!$O$5:$O$504,"TAK",'Zgłoszenia'!$L$5:$L$504,"TAK")&gt;0,"Wyłączony z pracy",IF(COUNTIFS('Zgłoszenia'!$B$5:$B$504,A150,'Zgłoszenia'!$M$5:$M$504,Ustawienia!$J$5)+COUNTIFS('Zgłoszenia'!$B$5:$B$504,A150,'Zgłoszenia'!$M$5:$M$504,Ustawienia!$J$6)&gt;0,"W naprawie",IF(D150&gt;0,"Usterka zgłoszona","Sprawny"))))</f>
        <v/>
      </c>
      <c r="D150" s="22">
        <f>IF(A150="","",COUNTIFS('Zgłoszenia'!$B$5:$B$504,A150,'Zgłoszenia'!$O$5:$O$504,"TAK"))</f>
        <v/>
      </c>
      <c r="E150" s="21">
        <f>IF(A150="","",IF(D150=0,"Brak otwartych usterek",IF(INDEX('Zgłoszenia'!$D$5:$D$504,G150)="","",RIGHT("0"&amp;DAY(INDEX('Zgłoszenia'!$D$5:$D$504,G150)),2)&amp;"."&amp;RIGHT("0"&amp;MONTH(INDEX('Zgłoszenia'!$D$5:$D$504,G150)),2)&amp;"."&amp;YEAR(INDEX('Zgłoszenia'!$D$5:$D$504,G150)))&amp;" · "&amp;INDEX('Zgłoszenia'!$H$5:$H$504,G150)&amp;" — "&amp;IF(INDEX('Zgłoszenia'!$M$5:$M$504,G150)="","Zgłoszona",INDEX('Zgłoszenia'!$M$5:$M$504,G150))))</f>
        <v/>
      </c>
      <c r="F150" s="2" t="n"/>
      <c r="G150" s="2">
        <f>IF(OR(A150="",D150=0),"",MATCH(SUMPRODUCT(MAX(('Zgłoszenia'!$B$5:$B$504=A150)*'Zgłoszenia'!$R$5:$R$504)),'Zgłoszenia'!$R$5:$R$504,0))</f>
        <v/>
      </c>
    </row>
    <row r="151">
      <c r="A151" s="20">
        <f>IF('Wózki'!A145="","",'Wózki'!A145)</f>
        <v/>
      </c>
      <c r="B151" s="21">
        <f>IF(A151="","",'Wózki'!B145&amp;"")</f>
        <v/>
      </c>
      <c r="C151" s="21">
        <f>IF(A151="","",IF(COUNTIFS('Zgłoszenia'!$B$5:$B$504,A151,'Zgłoszenia'!$O$5:$O$504,"TAK",'Zgłoszenia'!$L$5:$L$504,"TAK")&gt;0,"Wyłączony z pracy",IF(COUNTIFS('Zgłoszenia'!$B$5:$B$504,A151,'Zgłoszenia'!$M$5:$M$504,Ustawienia!$J$5)+COUNTIFS('Zgłoszenia'!$B$5:$B$504,A151,'Zgłoszenia'!$M$5:$M$504,Ustawienia!$J$6)&gt;0,"W naprawie",IF(D151&gt;0,"Usterka zgłoszona","Sprawny"))))</f>
        <v/>
      </c>
      <c r="D151" s="22">
        <f>IF(A151="","",COUNTIFS('Zgłoszenia'!$B$5:$B$504,A151,'Zgłoszenia'!$O$5:$O$504,"TAK"))</f>
        <v/>
      </c>
      <c r="E151" s="21">
        <f>IF(A151="","",IF(D151=0,"Brak otwartych usterek",IF(INDEX('Zgłoszenia'!$D$5:$D$504,G151)="","",RIGHT("0"&amp;DAY(INDEX('Zgłoszenia'!$D$5:$D$504,G151)),2)&amp;"."&amp;RIGHT("0"&amp;MONTH(INDEX('Zgłoszenia'!$D$5:$D$504,G151)),2)&amp;"."&amp;YEAR(INDEX('Zgłoszenia'!$D$5:$D$504,G151)))&amp;" · "&amp;INDEX('Zgłoszenia'!$H$5:$H$504,G151)&amp;" — "&amp;IF(INDEX('Zgłoszenia'!$M$5:$M$504,G151)="","Zgłoszona",INDEX('Zgłoszenia'!$M$5:$M$504,G151))))</f>
        <v/>
      </c>
      <c r="F151" s="2" t="n"/>
      <c r="G151" s="2">
        <f>IF(OR(A151="",D151=0),"",MATCH(SUMPRODUCT(MAX(('Zgłoszenia'!$B$5:$B$504=A151)*'Zgłoszenia'!$R$5:$R$504)),'Zgłoszenia'!$R$5:$R$504,0))</f>
        <v/>
      </c>
    </row>
    <row r="152">
      <c r="A152" s="20">
        <f>IF('Wózki'!A146="","",'Wózki'!A146)</f>
        <v/>
      </c>
      <c r="B152" s="21">
        <f>IF(A152="","",'Wózki'!B146&amp;"")</f>
        <v/>
      </c>
      <c r="C152" s="21">
        <f>IF(A152="","",IF(COUNTIFS('Zgłoszenia'!$B$5:$B$504,A152,'Zgłoszenia'!$O$5:$O$504,"TAK",'Zgłoszenia'!$L$5:$L$504,"TAK")&gt;0,"Wyłączony z pracy",IF(COUNTIFS('Zgłoszenia'!$B$5:$B$504,A152,'Zgłoszenia'!$M$5:$M$504,Ustawienia!$J$5)+COUNTIFS('Zgłoszenia'!$B$5:$B$504,A152,'Zgłoszenia'!$M$5:$M$504,Ustawienia!$J$6)&gt;0,"W naprawie",IF(D152&gt;0,"Usterka zgłoszona","Sprawny"))))</f>
        <v/>
      </c>
      <c r="D152" s="22">
        <f>IF(A152="","",COUNTIFS('Zgłoszenia'!$B$5:$B$504,A152,'Zgłoszenia'!$O$5:$O$504,"TAK"))</f>
        <v/>
      </c>
      <c r="E152" s="21">
        <f>IF(A152="","",IF(D152=0,"Brak otwartych usterek",IF(INDEX('Zgłoszenia'!$D$5:$D$504,G152)="","",RIGHT("0"&amp;DAY(INDEX('Zgłoszenia'!$D$5:$D$504,G152)),2)&amp;"."&amp;RIGHT("0"&amp;MONTH(INDEX('Zgłoszenia'!$D$5:$D$504,G152)),2)&amp;"."&amp;YEAR(INDEX('Zgłoszenia'!$D$5:$D$504,G152)))&amp;" · "&amp;INDEX('Zgłoszenia'!$H$5:$H$504,G152)&amp;" — "&amp;IF(INDEX('Zgłoszenia'!$M$5:$M$504,G152)="","Zgłoszona",INDEX('Zgłoszenia'!$M$5:$M$504,G152))))</f>
        <v/>
      </c>
      <c r="F152" s="2" t="n"/>
      <c r="G152" s="2">
        <f>IF(OR(A152="",D152=0),"",MATCH(SUMPRODUCT(MAX(('Zgłoszenia'!$B$5:$B$504=A152)*'Zgłoszenia'!$R$5:$R$504)),'Zgłoszenia'!$R$5:$R$504,0))</f>
        <v/>
      </c>
    </row>
    <row r="153">
      <c r="A153" s="20">
        <f>IF('Wózki'!A147="","",'Wózki'!A147)</f>
        <v/>
      </c>
      <c r="B153" s="21">
        <f>IF(A153="","",'Wózki'!B147&amp;"")</f>
        <v/>
      </c>
      <c r="C153" s="21">
        <f>IF(A153="","",IF(COUNTIFS('Zgłoszenia'!$B$5:$B$504,A153,'Zgłoszenia'!$O$5:$O$504,"TAK",'Zgłoszenia'!$L$5:$L$504,"TAK")&gt;0,"Wyłączony z pracy",IF(COUNTIFS('Zgłoszenia'!$B$5:$B$504,A153,'Zgłoszenia'!$M$5:$M$504,Ustawienia!$J$5)+COUNTIFS('Zgłoszenia'!$B$5:$B$504,A153,'Zgłoszenia'!$M$5:$M$504,Ustawienia!$J$6)&gt;0,"W naprawie",IF(D153&gt;0,"Usterka zgłoszona","Sprawny"))))</f>
        <v/>
      </c>
      <c r="D153" s="22">
        <f>IF(A153="","",COUNTIFS('Zgłoszenia'!$B$5:$B$504,A153,'Zgłoszenia'!$O$5:$O$504,"TAK"))</f>
        <v/>
      </c>
      <c r="E153" s="21">
        <f>IF(A153="","",IF(D153=0,"Brak otwartych usterek",IF(INDEX('Zgłoszenia'!$D$5:$D$504,G153)="","",RIGHT("0"&amp;DAY(INDEX('Zgłoszenia'!$D$5:$D$504,G153)),2)&amp;"."&amp;RIGHT("0"&amp;MONTH(INDEX('Zgłoszenia'!$D$5:$D$504,G153)),2)&amp;"."&amp;YEAR(INDEX('Zgłoszenia'!$D$5:$D$504,G153)))&amp;" · "&amp;INDEX('Zgłoszenia'!$H$5:$H$504,G153)&amp;" — "&amp;IF(INDEX('Zgłoszenia'!$M$5:$M$504,G153)="","Zgłoszona",INDEX('Zgłoszenia'!$M$5:$M$504,G153))))</f>
        <v/>
      </c>
      <c r="F153" s="2" t="n"/>
      <c r="G153" s="2">
        <f>IF(OR(A153="",D153=0),"",MATCH(SUMPRODUCT(MAX(('Zgłoszenia'!$B$5:$B$504=A153)*'Zgłoszenia'!$R$5:$R$504)),'Zgłoszenia'!$R$5:$R$504,0))</f>
        <v/>
      </c>
    </row>
    <row r="154">
      <c r="A154" s="20">
        <f>IF('Wózki'!A148="","",'Wózki'!A148)</f>
        <v/>
      </c>
      <c r="B154" s="21">
        <f>IF(A154="","",'Wózki'!B148&amp;"")</f>
        <v/>
      </c>
      <c r="C154" s="21">
        <f>IF(A154="","",IF(COUNTIFS('Zgłoszenia'!$B$5:$B$504,A154,'Zgłoszenia'!$O$5:$O$504,"TAK",'Zgłoszenia'!$L$5:$L$504,"TAK")&gt;0,"Wyłączony z pracy",IF(COUNTIFS('Zgłoszenia'!$B$5:$B$504,A154,'Zgłoszenia'!$M$5:$M$504,Ustawienia!$J$5)+COUNTIFS('Zgłoszenia'!$B$5:$B$504,A154,'Zgłoszenia'!$M$5:$M$504,Ustawienia!$J$6)&gt;0,"W naprawie",IF(D154&gt;0,"Usterka zgłoszona","Sprawny"))))</f>
        <v/>
      </c>
      <c r="D154" s="22">
        <f>IF(A154="","",COUNTIFS('Zgłoszenia'!$B$5:$B$504,A154,'Zgłoszenia'!$O$5:$O$504,"TAK"))</f>
        <v/>
      </c>
      <c r="E154" s="21">
        <f>IF(A154="","",IF(D154=0,"Brak otwartych usterek",IF(INDEX('Zgłoszenia'!$D$5:$D$504,G154)="","",RIGHT("0"&amp;DAY(INDEX('Zgłoszenia'!$D$5:$D$504,G154)),2)&amp;"."&amp;RIGHT("0"&amp;MONTH(INDEX('Zgłoszenia'!$D$5:$D$504,G154)),2)&amp;"."&amp;YEAR(INDEX('Zgłoszenia'!$D$5:$D$504,G154)))&amp;" · "&amp;INDEX('Zgłoszenia'!$H$5:$H$504,G154)&amp;" — "&amp;IF(INDEX('Zgłoszenia'!$M$5:$M$504,G154)="","Zgłoszona",INDEX('Zgłoszenia'!$M$5:$M$504,G154))))</f>
        <v/>
      </c>
      <c r="F154" s="2" t="n"/>
      <c r="G154" s="2">
        <f>IF(OR(A154="",D154=0),"",MATCH(SUMPRODUCT(MAX(('Zgłoszenia'!$B$5:$B$504=A154)*'Zgłoszenia'!$R$5:$R$504)),'Zgłoszenia'!$R$5:$R$504,0))</f>
        <v/>
      </c>
    </row>
    <row r="155">
      <c r="A155" s="20">
        <f>IF('Wózki'!A149="","",'Wózki'!A149)</f>
        <v/>
      </c>
      <c r="B155" s="21">
        <f>IF(A155="","",'Wózki'!B149&amp;"")</f>
        <v/>
      </c>
      <c r="C155" s="21">
        <f>IF(A155="","",IF(COUNTIFS('Zgłoszenia'!$B$5:$B$504,A155,'Zgłoszenia'!$O$5:$O$504,"TAK",'Zgłoszenia'!$L$5:$L$504,"TAK")&gt;0,"Wyłączony z pracy",IF(COUNTIFS('Zgłoszenia'!$B$5:$B$504,A155,'Zgłoszenia'!$M$5:$M$504,Ustawienia!$J$5)+COUNTIFS('Zgłoszenia'!$B$5:$B$504,A155,'Zgłoszenia'!$M$5:$M$504,Ustawienia!$J$6)&gt;0,"W naprawie",IF(D155&gt;0,"Usterka zgłoszona","Sprawny"))))</f>
        <v/>
      </c>
      <c r="D155" s="22">
        <f>IF(A155="","",COUNTIFS('Zgłoszenia'!$B$5:$B$504,A155,'Zgłoszenia'!$O$5:$O$504,"TAK"))</f>
        <v/>
      </c>
      <c r="E155" s="21">
        <f>IF(A155="","",IF(D155=0,"Brak otwartych usterek",IF(INDEX('Zgłoszenia'!$D$5:$D$504,G155)="","",RIGHT("0"&amp;DAY(INDEX('Zgłoszenia'!$D$5:$D$504,G155)),2)&amp;"."&amp;RIGHT("0"&amp;MONTH(INDEX('Zgłoszenia'!$D$5:$D$504,G155)),2)&amp;"."&amp;YEAR(INDEX('Zgłoszenia'!$D$5:$D$504,G155)))&amp;" · "&amp;INDEX('Zgłoszenia'!$H$5:$H$504,G155)&amp;" — "&amp;IF(INDEX('Zgłoszenia'!$M$5:$M$504,G155)="","Zgłoszona",INDEX('Zgłoszenia'!$M$5:$M$504,G155))))</f>
        <v/>
      </c>
      <c r="F155" s="2" t="n"/>
      <c r="G155" s="2">
        <f>IF(OR(A155="",D155=0),"",MATCH(SUMPRODUCT(MAX(('Zgłoszenia'!$B$5:$B$504=A155)*'Zgłoszenia'!$R$5:$R$504)),'Zgłoszenia'!$R$5:$R$504,0))</f>
        <v/>
      </c>
    </row>
    <row r="156">
      <c r="A156" s="20">
        <f>IF('Wózki'!A150="","",'Wózki'!A150)</f>
        <v/>
      </c>
      <c r="B156" s="21">
        <f>IF(A156="","",'Wózki'!B150&amp;"")</f>
        <v/>
      </c>
      <c r="C156" s="21">
        <f>IF(A156="","",IF(COUNTIFS('Zgłoszenia'!$B$5:$B$504,A156,'Zgłoszenia'!$O$5:$O$504,"TAK",'Zgłoszenia'!$L$5:$L$504,"TAK")&gt;0,"Wyłączony z pracy",IF(COUNTIFS('Zgłoszenia'!$B$5:$B$504,A156,'Zgłoszenia'!$M$5:$M$504,Ustawienia!$J$5)+COUNTIFS('Zgłoszenia'!$B$5:$B$504,A156,'Zgłoszenia'!$M$5:$M$504,Ustawienia!$J$6)&gt;0,"W naprawie",IF(D156&gt;0,"Usterka zgłoszona","Sprawny"))))</f>
        <v/>
      </c>
      <c r="D156" s="22">
        <f>IF(A156="","",COUNTIFS('Zgłoszenia'!$B$5:$B$504,A156,'Zgłoszenia'!$O$5:$O$504,"TAK"))</f>
        <v/>
      </c>
      <c r="E156" s="21">
        <f>IF(A156="","",IF(D156=0,"Brak otwartych usterek",IF(INDEX('Zgłoszenia'!$D$5:$D$504,G156)="","",RIGHT("0"&amp;DAY(INDEX('Zgłoszenia'!$D$5:$D$504,G156)),2)&amp;"."&amp;RIGHT("0"&amp;MONTH(INDEX('Zgłoszenia'!$D$5:$D$504,G156)),2)&amp;"."&amp;YEAR(INDEX('Zgłoszenia'!$D$5:$D$504,G156)))&amp;" · "&amp;INDEX('Zgłoszenia'!$H$5:$H$504,G156)&amp;" — "&amp;IF(INDEX('Zgłoszenia'!$M$5:$M$504,G156)="","Zgłoszona",INDEX('Zgłoszenia'!$M$5:$M$504,G156))))</f>
        <v/>
      </c>
      <c r="F156" s="2" t="n"/>
      <c r="G156" s="2">
        <f>IF(OR(A156="",D156=0),"",MATCH(SUMPRODUCT(MAX(('Zgłoszenia'!$B$5:$B$504=A156)*'Zgłoszenia'!$R$5:$R$504)),'Zgłoszenia'!$R$5:$R$504,0))</f>
        <v/>
      </c>
    </row>
    <row r="157">
      <c r="A157" s="20">
        <f>IF('Wózki'!A151="","",'Wózki'!A151)</f>
        <v/>
      </c>
      <c r="B157" s="21">
        <f>IF(A157="","",'Wózki'!B151&amp;"")</f>
        <v/>
      </c>
      <c r="C157" s="21">
        <f>IF(A157="","",IF(COUNTIFS('Zgłoszenia'!$B$5:$B$504,A157,'Zgłoszenia'!$O$5:$O$504,"TAK",'Zgłoszenia'!$L$5:$L$504,"TAK")&gt;0,"Wyłączony z pracy",IF(COUNTIFS('Zgłoszenia'!$B$5:$B$504,A157,'Zgłoszenia'!$M$5:$M$504,Ustawienia!$J$5)+COUNTIFS('Zgłoszenia'!$B$5:$B$504,A157,'Zgłoszenia'!$M$5:$M$504,Ustawienia!$J$6)&gt;0,"W naprawie",IF(D157&gt;0,"Usterka zgłoszona","Sprawny"))))</f>
        <v/>
      </c>
      <c r="D157" s="22">
        <f>IF(A157="","",COUNTIFS('Zgłoszenia'!$B$5:$B$504,A157,'Zgłoszenia'!$O$5:$O$504,"TAK"))</f>
        <v/>
      </c>
      <c r="E157" s="21">
        <f>IF(A157="","",IF(D157=0,"Brak otwartych usterek",IF(INDEX('Zgłoszenia'!$D$5:$D$504,G157)="","",RIGHT("0"&amp;DAY(INDEX('Zgłoszenia'!$D$5:$D$504,G157)),2)&amp;"."&amp;RIGHT("0"&amp;MONTH(INDEX('Zgłoszenia'!$D$5:$D$504,G157)),2)&amp;"."&amp;YEAR(INDEX('Zgłoszenia'!$D$5:$D$504,G157)))&amp;" · "&amp;INDEX('Zgłoszenia'!$H$5:$H$504,G157)&amp;" — "&amp;IF(INDEX('Zgłoszenia'!$M$5:$M$504,G157)="","Zgłoszona",INDEX('Zgłoszenia'!$M$5:$M$504,G157))))</f>
        <v/>
      </c>
      <c r="F157" s="2" t="n"/>
      <c r="G157" s="2">
        <f>IF(OR(A157="",D157=0),"",MATCH(SUMPRODUCT(MAX(('Zgłoszenia'!$B$5:$B$504=A157)*'Zgłoszenia'!$R$5:$R$504)),'Zgłoszenia'!$R$5:$R$504,0))</f>
        <v/>
      </c>
    </row>
    <row r="158">
      <c r="A158" s="20">
        <f>IF('Wózki'!A152="","",'Wózki'!A152)</f>
        <v/>
      </c>
      <c r="B158" s="21">
        <f>IF(A158="","",'Wózki'!B152&amp;"")</f>
        <v/>
      </c>
      <c r="C158" s="21">
        <f>IF(A158="","",IF(COUNTIFS('Zgłoszenia'!$B$5:$B$504,A158,'Zgłoszenia'!$O$5:$O$504,"TAK",'Zgłoszenia'!$L$5:$L$504,"TAK")&gt;0,"Wyłączony z pracy",IF(COUNTIFS('Zgłoszenia'!$B$5:$B$504,A158,'Zgłoszenia'!$M$5:$M$504,Ustawienia!$J$5)+COUNTIFS('Zgłoszenia'!$B$5:$B$504,A158,'Zgłoszenia'!$M$5:$M$504,Ustawienia!$J$6)&gt;0,"W naprawie",IF(D158&gt;0,"Usterka zgłoszona","Sprawny"))))</f>
        <v/>
      </c>
      <c r="D158" s="22">
        <f>IF(A158="","",COUNTIFS('Zgłoszenia'!$B$5:$B$504,A158,'Zgłoszenia'!$O$5:$O$504,"TAK"))</f>
        <v/>
      </c>
      <c r="E158" s="21">
        <f>IF(A158="","",IF(D158=0,"Brak otwartych usterek",IF(INDEX('Zgłoszenia'!$D$5:$D$504,G158)="","",RIGHT("0"&amp;DAY(INDEX('Zgłoszenia'!$D$5:$D$504,G158)),2)&amp;"."&amp;RIGHT("0"&amp;MONTH(INDEX('Zgłoszenia'!$D$5:$D$504,G158)),2)&amp;"."&amp;YEAR(INDEX('Zgłoszenia'!$D$5:$D$504,G158)))&amp;" · "&amp;INDEX('Zgłoszenia'!$H$5:$H$504,G158)&amp;" — "&amp;IF(INDEX('Zgłoszenia'!$M$5:$M$504,G158)="","Zgłoszona",INDEX('Zgłoszenia'!$M$5:$M$504,G158))))</f>
        <v/>
      </c>
      <c r="F158" s="2" t="n"/>
      <c r="G158" s="2">
        <f>IF(OR(A158="",D158=0),"",MATCH(SUMPRODUCT(MAX(('Zgłoszenia'!$B$5:$B$504=A158)*'Zgłoszenia'!$R$5:$R$504)),'Zgłoszenia'!$R$5:$R$504,0))</f>
        <v/>
      </c>
    </row>
    <row r="159">
      <c r="A159" s="20">
        <f>IF('Wózki'!A153="","",'Wózki'!A153)</f>
        <v/>
      </c>
      <c r="B159" s="21">
        <f>IF(A159="","",'Wózki'!B153&amp;"")</f>
        <v/>
      </c>
      <c r="C159" s="21">
        <f>IF(A159="","",IF(COUNTIFS('Zgłoszenia'!$B$5:$B$504,A159,'Zgłoszenia'!$O$5:$O$504,"TAK",'Zgłoszenia'!$L$5:$L$504,"TAK")&gt;0,"Wyłączony z pracy",IF(COUNTIFS('Zgłoszenia'!$B$5:$B$504,A159,'Zgłoszenia'!$M$5:$M$504,Ustawienia!$J$5)+COUNTIFS('Zgłoszenia'!$B$5:$B$504,A159,'Zgłoszenia'!$M$5:$M$504,Ustawienia!$J$6)&gt;0,"W naprawie",IF(D159&gt;0,"Usterka zgłoszona","Sprawny"))))</f>
        <v/>
      </c>
      <c r="D159" s="22">
        <f>IF(A159="","",COUNTIFS('Zgłoszenia'!$B$5:$B$504,A159,'Zgłoszenia'!$O$5:$O$504,"TAK"))</f>
        <v/>
      </c>
      <c r="E159" s="21">
        <f>IF(A159="","",IF(D159=0,"Brak otwartych usterek",IF(INDEX('Zgłoszenia'!$D$5:$D$504,G159)="","",RIGHT("0"&amp;DAY(INDEX('Zgłoszenia'!$D$5:$D$504,G159)),2)&amp;"."&amp;RIGHT("0"&amp;MONTH(INDEX('Zgłoszenia'!$D$5:$D$504,G159)),2)&amp;"."&amp;YEAR(INDEX('Zgłoszenia'!$D$5:$D$504,G159)))&amp;" · "&amp;INDEX('Zgłoszenia'!$H$5:$H$504,G159)&amp;" — "&amp;IF(INDEX('Zgłoszenia'!$M$5:$M$504,G159)="","Zgłoszona",INDEX('Zgłoszenia'!$M$5:$M$504,G159))))</f>
        <v/>
      </c>
      <c r="F159" s="2" t="n"/>
      <c r="G159" s="2">
        <f>IF(OR(A159="",D159=0),"",MATCH(SUMPRODUCT(MAX(('Zgłoszenia'!$B$5:$B$504=A159)*'Zgłoszenia'!$R$5:$R$504)),'Zgłoszenia'!$R$5:$R$504,0))</f>
        <v/>
      </c>
    </row>
    <row r="160">
      <c r="A160" s="20">
        <f>IF('Wózki'!A154="","",'Wózki'!A154)</f>
        <v/>
      </c>
      <c r="B160" s="21">
        <f>IF(A160="","",'Wózki'!B154&amp;"")</f>
        <v/>
      </c>
      <c r="C160" s="21">
        <f>IF(A160="","",IF(COUNTIFS('Zgłoszenia'!$B$5:$B$504,A160,'Zgłoszenia'!$O$5:$O$504,"TAK",'Zgłoszenia'!$L$5:$L$504,"TAK")&gt;0,"Wyłączony z pracy",IF(COUNTIFS('Zgłoszenia'!$B$5:$B$504,A160,'Zgłoszenia'!$M$5:$M$504,Ustawienia!$J$5)+COUNTIFS('Zgłoszenia'!$B$5:$B$504,A160,'Zgłoszenia'!$M$5:$M$504,Ustawienia!$J$6)&gt;0,"W naprawie",IF(D160&gt;0,"Usterka zgłoszona","Sprawny"))))</f>
        <v/>
      </c>
      <c r="D160" s="22">
        <f>IF(A160="","",COUNTIFS('Zgłoszenia'!$B$5:$B$504,A160,'Zgłoszenia'!$O$5:$O$504,"TAK"))</f>
        <v/>
      </c>
      <c r="E160" s="21">
        <f>IF(A160="","",IF(D160=0,"Brak otwartych usterek",IF(INDEX('Zgłoszenia'!$D$5:$D$504,G160)="","",RIGHT("0"&amp;DAY(INDEX('Zgłoszenia'!$D$5:$D$504,G160)),2)&amp;"."&amp;RIGHT("0"&amp;MONTH(INDEX('Zgłoszenia'!$D$5:$D$504,G160)),2)&amp;"."&amp;YEAR(INDEX('Zgłoszenia'!$D$5:$D$504,G160)))&amp;" · "&amp;INDEX('Zgłoszenia'!$H$5:$H$504,G160)&amp;" — "&amp;IF(INDEX('Zgłoszenia'!$M$5:$M$504,G160)="","Zgłoszona",INDEX('Zgłoszenia'!$M$5:$M$504,G160))))</f>
        <v/>
      </c>
      <c r="F160" s="2" t="n"/>
      <c r="G160" s="2">
        <f>IF(OR(A160="",D160=0),"",MATCH(SUMPRODUCT(MAX(('Zgłoszenia'!$B$5:$B$504=A160)*'Zgłoszenia'!$R$5:$R$504)),'Zgłoszenia'!$R$5:$R$504,0))</f>
        <v/>
      </c>
    </row>
    <row r="161">
      <c r="A161" s="20">
        <f>IF('Wózki'!A155="","",'Wózki'!A155)</f>
        <v/>
      </c>
      <c r="B161" s="21">
        <f>IF(A161="","",'Wózki'!B155&amp;"")</f>
        <v/>
      </c>
      <c r="C161" s="21">
        <f>IF(A161="","",IF(COUNTIFS('Zgłoszenia'!$B$5:$B$504,A161,'Zgłoszenia'!$O$5:$O$504,"TAK",'Zgłoszenia'!$L$5:$L$504,"TAK")&gt;0,"Wyłączony z pracy",IF(COUNTIFS('Zgłoszenia'!$B$5:$B$504,A161,'Zgłoszenia'!$M$5:$M$504,Ustawienia!$J$5)+COUNTIFS('Zgłoszenia'!$B$5:$B$504,A161,'Zgłoszenia'!$M$5:$M$504,Ustawienia!$J$6)&gt;0,"W naprawie",IF(D161&gt;0,"Usterka zgłoszona","Sprawny"))))</f>
        <v/>
      </c>
      <c r="D161" s="22">
        <f>IF(A161="","",COUNTIFS('Zgłoszenia'!$B$5:$B$504,A161,'Zgłoszenia'!$O$5:$O$504,"TAK"))</f>
        <v/>
      </c>
      <c r="E161" s="21">
        <f>IF(A161="","",IF(D161=0,"Brak otwartych usterek",IF(INDEX('Zgłoszenia'!$D$5:$D$504,G161)="","",RIGHT("0"&amp;DAY(INDEX('Zgłoszenia'!$D$5:$D$504,G161)),2)&amp;"."&amp;RIGHT("0"&amp;MONTH(INDEX('Zgłoszenia'!$D$5:$D$504,G161)),2)&amp;"."&amp;YEAR(INDEX('Zgłoszenia'!$D$5:$D$504,G161)))&amp;" · "&amp;INDEX('Zgłoszenia'!$H$5:$H$504,G161)&amp;" — "&amp;IF(INDEX('Zgłoszenia'!$M$5:$M$504,G161)="","Zgłoszona",INDEX('Zgłoszenia'!$M$5:$M$504,G161))))</f>
        <v/>
      </c>
      <c r="F161" s="2" t="n"/>
      <c r="G161" s="2">
        <f>IF(OR(A161="",D161=0),"",MATCH(SUMPRODUCT(MAX(('Zgłoszenia'!$B$5:$B$504=A161)*'Zgłoszenia'!$R$5:$R$504)),'Zgłoszenia'!$R$5:$R$504,0))</f>
        <v/>
      </c>
    </row>
    <row r="162">
      <c r="A162" s="20">
        <f>IF('Wózki'!A156="","",'Wózki'!A156)</f>
        <v/>
      </c>
      <c r="B162" s="21">
        <f>IF(A162="","",'Wózki'!B156&amp;"")</f>
        <v/>
      </c>
      <c r="C162" s="21">
        <f>IF(A162="","",IF(COUNTIFS('Zgłoszenia'!$B$5:$B$504,A162,'Zgłoszenia'!$O$5:$O$504,"TAK",'Zgłoszenia'!$L$5:$L$504,"TAK")&gt;0,"Wyłączony z pracy",IF(COUNTIFS('Zgłoszenia'!$B$5:$B$504,A162,'Zgłoszenia'!$M$5:$M$504,Ustawienia!$J$5)+COUNTIFS('Zgłoszenia'!$B$5:$B$504,A162,'Zgłoszenia'!$M$5:$M$504,Ustawienia!$J$6)&gt;0,"W naprawie",IF(D162&gt;0,"Usterka zgłoszona","Sprawny"))))</f>
        <v/>
      </c>
      <c r="D162" s="22">
        <f>IF(A162="","",COUNTIFS('Zgłoszenia'!$B$5:$B$504,A162,'Zgłoszenia'!$O$5:$O$504,"TAK"))</f>
        <v/>
      </c>
      <c r="E162" s="21">
        <f>IF(A162="","",IF(D162=0,"Brak otwartych usterek",IF(INDEX('Zgłoszenia'!$D$5:$D$504,G162)="","",RIGHT("0"&amp;DAY(INDEX('Zgłoszenia'!$D$5:$D$504,G162)),2)&amp;"."&amp;RIGHT("0"&amp;MONTH(INDEX('Zgłoszenia'!$D$5:$D$504,G162)),2)&amp;"."&amp;YEAR(INDEX('Zgłoszenia'!$D$5:$D$504,G162)))&amp;" · "&amp;INDEX('Zgłoszenia'!$H$5:$H$504,G162)&amp;" — "&amp;IF(INDEX('Zgłoszenia'!$M$5:$M$504,G162)="","Zgłoszona",INDEX('Zgłoszenia'!$M$5:$M$504,G162))))</f>
        <v/>
      </c>
      <c r="F162" s="2" t="n"/>
      <c r="G162" s="2">
        <f>IF(OR(A162="",D162=0),"",MATCH(SUMPRODUCT(MAX(('Zgłoszenia'!$B$5:$B$504=A162)*'Zgłoszenia'!$R$5:$R$504)),'Zgłoszenia'!$R$5:$R$504,0))</f>
        <v/>
      </c>
    </row>
    <row r="163">
      <c r="A163" s="20">
        <f>IF('Wózki'!A157="","",'Wózki'!A157)</f>
        <v/>
      </c>
      <c r="B163" s="21">
        <f>IF(A163="","",'Wózki'!B157&amp;"")</f>
        <v/>
      </c>
      <c r="C163" s="21">
        <f>IF(A163="","",IF(COUNTIFS('Zgłoszenia'!$B$5:$B$504,A163,'Zgłoszenia'!$O$5:$O$504,"TAK",'Zgłoszenia'!$L$5:$L$504,"TAK")&gt;0,"Wyłączony z pracy",IF(COUNTIFS('Zgłoszenia'!$B$5:$B$504,A163,'Zgłoszenia'!$M$5:$M$504,Ustawienia!$J$5)+COUNTIFS('Zgłoszenia'!$B$5:$B$504,A163,'Zgłoszenia'!$M$5:$M$504,Ustawienia!$J$6)&gt;0,"W naprawie",IF(D163&gt;0,"Usterka zgłoszona","Sprawny"))))</f>
        <v/>
      </c>
      <c r="D163" s="22">
        <f>IF(A163="","",COUNTIFS('Zgłoszenia'!$B$5:$B$504,A163,'Zgłoszenia'!$O$5:$O$504,"TAK"))</f>
        <v/>
      </c>
      <c r="E163" s="21">
        <f>IF(A163="","",IF(D163=0,"Brak otwartych usterek",IF(INDEX('Zgłoszenia'!$D$5:$D$504,G163)="","",RIGHT("0"&amp;DAY(INDEX('Zgłoszenia'!$D$5:$D$504,G163)),2)&amp;"."&amp;RIGHT("0"&amp;MONTH(INDEX('Zgłoszenia'!$D$5:$D$504,G163)),2)&amp;"."&amp;YEAR(INDEX('Zgłoszenia'!$D$5:$D$504,G163)))&amp;" · "&amp;INDEX('Zgłoszenia'!$H$5:$H$504,G163)&amp;" — "&amp;IF(INDEX('Zgłoszenia'!$M$5:$M$504,G163)="","Zgłoszona",INDEX('Zgłoszenia'!$M$5:$M$504,G163))))</f>
        <v/>
      </c>
      <c r="F163" s="2" t="n"/>
      <c r="G163" s="2">
        <f>IF(OR(A163="",D163=0),"",MATCH(SUMPRODUCT(MAX(('Zgłoszenia'!$B$5:$B$504=A163)*'Zgłoszenia'!$R$5:$R$504)),'Zgłoszenia'!$R$5:$R$504,0))</f>
        <v/>
      </c>
    </row>
    <row r="164">
      <c r="A164" s="20">
        <f>IF('Wózki'!A158="","",'Wózki'!A158)</f>
        <v/>
      </c>
      <c r="B164" s="21">
        <f>IF(A164="","",'Wózki'!B158&amp;"")</f>
        <v/>
      </c>
      <c r="C164" s="21">
        <f>IF(A164="","",IF(COUNTIFS('Zgłoszenia'!$B$5:$B$504,A164,'Zgłoszenia'!$O$5:$O$504,"TAK",'Zgłoszenia'!$L$5:$L$504,"TAK")&gt;0,"Wyłączony z pracy",IF(COUNTIFS('Zgłoszenia'!$B$5:$B$504,A164,'Zgłoszenia'!$M$5:$M$504,Ustawienia!$J$5)+COUNTIFS('Zgłoszenia'!$B$5:$B$504,A164,'Zgłoszenia'!$M$5:$M$504,Ustawienia!$J$6)&gt;0,"W naprawie",IF(D164&gt;0,"Usterka zgłoszona","Sprawny"))))</f>
        <v/>
      </c>
      <c r="D164" s="22">
        <f>IF(A164="","",COUNTIFS('Zgłoszenia'!$B$5:$B$504,A164,'Zgłoszenia'!$O$5:$O$504,"TAK"))</f>
        <v/>
      </c>
      <c r="E164" s="21">
        <f>IF(A164="","",IF(D164=0,"Brak otwartych usterek",IF(INDEX('Zgłoszenia'!$D$5:$D$504,G164)="","",RIGHT("0"&amp;DAY(INDEX('Zgłoszenia'!$D$5:$D$504,G164)),2)&amp;"."&amp;RIGHT("0"&amp;MONTH(INDEX('Zgłoszenia'!$D$5:$D$504,G164)),2)&amp;"."&amp;YEAR(INDEX('Zgłoszenia'!$D$5:$D$504,G164)))&amp;" · "&amp;INDEX('Zgłoszenia'!$H$5:$H$504,G164)&amp;" — "&amp;IF(INDEX('Zgłoszenia'!$M$5:$M$504,G164)="","Zgłoszona",INDEX('Zgłoszenia'!$M$5:$M$504,G164))))</f>
        <v/>
      </c>
      <c r="F164" s="2" t="n"/>
      <c r="G164" s="2">
        <f>IF(OR(A164="",D164=0),"",MATCH(SUMPRODUCT(MAX(('Zgłoszenia'!$B$5:$B$504=A164)*'Zgłoszenia'!$R$5:$R$504)),'Zgłoszenia'!$R$5:$R$504,0))</f>
        <v/>
      </c>
    </row>
    <row r="165">
      <c r="A165" s="20">
        <f>IF('Wózki'!A159="","",'Wózki'!A159)</f>
        <v/>
      </c>
      <c r="B165" s="21">
        <f>IF(A165="","",'Wózki'!B159&amp;"")</f>
        <v/>
      </c>
      <c r="C165" s="21">
        <f>IF(A165="","",IF(COUNTIFS('Zgłoszenia'!$B$5:$B$504,A165,'Zgłoszenia'!$O$5:$O$504,"TAK",'Zgłoszenia'!$L$5:$L$504,"TAK")&gt;0,"Wyłączony z pracy",IF(COUNTIFS('Zgłoszenia'!$B$5:$B$504,A165,'Zgłoszenia'!$M$5:$M$504,Ustawienia!$J$5)+COUNTIFS('Zgłoszenia'!$B$5:$B$504,A165,'Zgłoszenia'!$M$5:$M$504,Ustawienia!$J$6)&gt;0,"W naprawie",IF(D165&gt;0,"Usterka zgłoszona","Sprawny"))))</f>
        <v/>
      </c>
      <c r="D165" s="22">
        <f>IF(A165="","",COUNTIFS('Zgłoszenia'!$B$5:$B$504,A165,'Zgłoszenia'!$O$5:$O$504,"TAK"))</f>
        <v/>
      </c>
      <c r="E165" s="21">
        <f>IF(A165="","",IF(D165=0,"Brak otwartych usterek",IF(INDEX('Zgłoszenia'!$D$5:$D$504,G165)="","",RIGHT("0"&amp;DAY(INDEX('Zgłoszenia'!$D$5:$D$504,G165)),2)&amp;"."&amp;RIGHT("0"&amp;MONTH(INDEX('Zgłoszenia'!$D$5:$D$504,G165)),2)&amp;"."&amp;YEAR(INDEX('Zgłoszenia'!$D$5:$D$504,G165)))&amp;" · "&amp;INDEX('Zgłoszenia'!$H$5:$H$504,G165)&amp;" — "&amp;IF(INDEX('Zgłoszenia'!$M$5:$M$504,G165)="","Zgłoszona",INDEX('Zgłoszenia'!$M$5:$M$504,G165))))</f>
        <v/>
      </c>
      <c r="F165" s="2" t="n"/>
      <c r="G165" s="2">
        <f>IF(OR(A165="",D165=0),"",MATCH(SUMPRODUCT(MAX(('Zgłoszenia'!$B$5:$B$504=A165)*'Zgłoszenia'!$R$5:$R$504)),'Zgłoszenia'!$R$5:$R$504,0))</f>
        <v/>
      </c>
    </row>
    <row r="166">
      <c r="A166" s="20">
        <f>IF('Wózki'!A160="","",'Wózki'!A160)</f>
        <v/>
      </c>
      <c r="B166" s="21">
        <f>IF(A166="","",'Wózki'!B160&amp;"")</f>
        <v/>
      </c>
      <c r="C166" s="21">
        <f>IF(A166="","",IF(COUNTIFS('Zgłoszenia'!$B$5:$B$504,A166,'Zgłoszenia'!$O$5:$O$504,"TAK",'Zgłoszenia'!$L$5:$L$504,"TAK")&gt;0,"Wyłączony z pracy",IF(COUNTIFS('Zgłoszenia'!$B$5:$B$504,A166,'Zgłoszenia'!$M$5:$M$504,Ustawienia!$J$5)+COUNTIFS('Zgłoszenia'!$B$5:$B$504,A166,'Zgłoszenia'!$M$5:$M$504,Ustawienia!$J$6)&gt;0,"W naprawie",IF(D166&gt;0,"Usterka zgłoszona","Sprawny"))))</f>
        <v/>
      </c>
      <c r="D166" s="22">
        <f>IF(A166="","",COUNTIFS('Zgłoszenia'!$B$5:$B$504,A166,'Zgłoszenia'!$O$5:$O$504,"TAK"))</f>
        <v/>
      </c>
      <c r="E166" s="21">
        <f>IF(A166="","",IF(D166=0,"Brak otwartych usterek",IF(INDEX('Zgłoszenia'!$D$5:$D$504,G166)="","",RIGHT("0"&amp;DAY(INDEX('Zgłoszenia'!$D$5:$D$504,G166)),2)&amp;"."&amp;RIGHT("0"&amp;MONTH(INDEX('Zgłoszenia'!$D$5:$D$504,G166)),2)&amp;"."&amp;YEAR(INDEX('Zgłoszenia'!$D$5:$D$504,G166)))&amp;" · "&amp;INDEX('Zgłoszenia'!$H$5:$H$504,G166)&amp;" — "&amp;IF(INDEX('Zgłoszenia'!$M$5:$M$504,G166)="","Zgłoszona",INDEX('Zgłoszenia'!$M$5:$M$504,G166))))</f>
        <v/>
      </c>
      <c r="F166" s="2" t="n"/>
      <c r="G166" s="2">
        <f>IF(OR(A166="",D166=0),"",MATCH(SUMPRODUCT(MAX(('Zgłoszenia'!$B$5:$B$504=A166)*'Zgłoszenia'!$R$5:$R$504)),'Zgłoszenia'!$R$5:$R$504,0))</f>
        <v/>
      </c>
    </row>
    <row r="167">
      <c r="A167" s="20">
        <f>IF('Wózki'!A161="","",'Wózki'!A161)</f>
        <v/>
      </c>
      <c r="B167" s="21">
        <f>IF(A167="","",'Wózki'!B161&amp;"")</f>
        <v/>
      </c>
      <c r="C167" s="21">
        <f>IF(A167="","",IF(COUNTIFS('Zgłoszenia'!$B$5:$B$504,A167,'Zgłoszenia'!$O$5:$O$504,"TAK",'Zgłoszenia'!$L$5:$L$504,"TAK")&gt;0,"Wyłączony z pracy",IF(COUNTIFS('Zgłoszenia'!$B$5:$B$504,A167,'Zgłoszenia'!$M$5:$M$504,Ustawienia!$J$5)+COUNTIFS('Zgłoszenia'!$B$5:$B$504,A167,'Zgłoszenia'!$M$5:$M$504,Ustawienia!$J$6)&gt;0,"W naprawie",IF(D167&gt;0,"Usterka zgłoszona","Sprawny"))))</f>
        <v/>
      </c>
      <c r="D167" s="22">
        <f>IF(A167="","",COUNTIFS('Zgłoszenia'!$B$5:$B$504,A167,'Zgłoszenia'!$O$5:$O$504,"TAK"))</f>
        <v/>
      </c>
      <c r="E167" s="21">
        <f>IF(A167="","",IF(D167=0,"Brak otwartych usterek",IF(INDEX('Zgłoszenia'!$D$5:$D$504,G167)="","",RIGHT("0"&amp;DAY(INDEX('Zgłoszenia'!$D$5:$D$504,G167)),2)&amp;"."&amp;RIGHT("0"&amp;MONTH(INDEX('Zgłoszenia'!$D$5:$D$504,G167)),2)&amp;"."&amp;YEAR(INDEX('Zgłoszenia'!$D$5:$D$504,G167)))&amp;" · "&amp;INDEX('Zgłoszenia'!$H$5:$H$504,G167)&amp;" — "&amp;IF(INDEX('Zgłoszenia'!$M$5:$M$504,G167)="","Zgłoszona",INDEX('Zgłoszenia'!$M$5:$M$504,G167))))</f>
        <v/>
      </c>
      <c r="F167" s="2" t="n"/>
      <c r="G167" s="2">
        <f>IF(OR(A167="",D167=0),"",MATCH(SUMPRODUCT(MAX(('Zgłoszenia'!$B$5:$B$504=A167)*'Zgłoszenia'!$R$5:$R$504)),'Zgłoszenia'!$R$5:$R$504,0))</f>
        <v/>
      </c>
    </row>
    <row r="168">
      <c r="A168" s="20">
        <f>IF('Wózki'!A162="","",'Wózki'!A162)</f>
        <v/>
      </c>
      <c r="B168" s="21">
        <f>IF(A168="","",'Wózki'!B162&amp;"")</f>
        <v/>
      </c>
      <c r="C168" s="21">
        <f>IF(A168="","",IF(COUNTIFS('Zgłoszenia'!$B$5:$B$504,A168,'Zgłoszenia'!$O$5:$O$504,"TAK",'Zgłoszenia'!$L$5:$L$504,"TAK")&gt;0,"Wyłączony z pracy",IF(COUNTIFS('Zgłoszenia'!$B$5:$B$504,A168,'Zgłoszenia'!$M$5:$M$504,Ustawienia!$J$5)+COUNTIFS('Zgłoszenia'!$B$5:$B$504,A168,'Zgłoszenia'!$M$5:$M$504,Ustawienia!$J$6)&gt;0,"W naprawie",IF(D168&gt;0,"Usterka zgłoszona","Sprawny"))))</f>
        <v/>
      </c>
      <c r="D168" s="22">
        <f>IF(A168="","",COUNTIFS('Zgłoszenia'!$B$5:$B$504,A168,'Zgłoszenia'!$O$5:$O$504,"TAK"))</f>
        <v/>
      </c>
      <c r="E168" s="21">
        <f>IF(A168="","",IF(D168=0,"Brak otwartych usterek",IF(INDEX('Zgłoszenia'!$D$5:$D$504,G168)="","",RIGHT("0"&amp;DAY(INDEX('Zgłoszenia'!$D$5:$D$504,G168)),2)&amp;"."&amp;RIGHT("0"&amp;MONTH(INDEX('Zgłoszenia'!$D$5:$D$504,G168)),2)&amp;"."&amp;YEAR(INDEX('Zgłoszenia'!$D$5:$D$504,G168)))&amp;" · "&amp;INDEX('Zgłoszenia'!$H$5:$H$504,G168)&amp;" — "&amp;IF(INDEX('Zgłoszenia'!$M$5:$M$504,G168)="","Zgłoszona",INDEX('Zgłoszenia'!$M$5:$M$504,G168))))</f>
        <v/>
      </c>
      <c r="F168" s="2" t="n"/>
      <c r="G168" s="2">
        <f>IF(OR(A168="",D168=0),"",MATCH(SUMPRODUCT(MAX(('Zgłoszenia'!$B$5:$B$504=A168)*'Zgłoszenia'!$R$5:$R$504)),'Zgłoszenia'!$R$5:$R$504,0))</f>
        <v/>
      </c>
    </row>
    <row r="169">
      <c r="A169" s="20">
        <f>IF('Wózki'!A163="","",'Wózki'!A163)</f>
        <v/>
      </c>
      <c r="B169" s="21">
        <f>IF(A169="","",'Wózki'!B163&amp;"")</f>
        <v/>
      </c>
      <c r="C169" s="21">
        <f>IF(A169="","",IF(COUNTIFS('Zgłoszenia'!$B$5:$B$504,A169,'Zgłoszenia'!$O$5:$O$504,"TAK",'Zgłoszenia'!$L$5:$L$504,"TAK")&gt;0,"Wyłączony z pracy",IF(COUNTIFS('Zgłoszenia'!$B$5:$B$504,A169,'Zgłoszenia'!$M$5:$M$504,Ustawienia!$J$5)+COUNTIFS('Zgłoszenia'!$B$5:$B$504,A169,'Zgłoszenia'!$M$5:$M$504,Ustawienia!$J$6)&gt;0,"W naprawie",IF(D169&gt;0,"Usterka zgłoszona","Sprawny"))))</f>
        <v/>
      </c>
      <c r="D169" s="22">
        <f>IF(A169="","",COUNTIFS('Zgłoszenia'!$B$5:$B$504,A169,'Zgłoszenia'!$O$5:$O$504,"TAK"))</f>
        <v/>
      </c>
      <c r="E169" s="21">
        <f>IF(A169="","",IF(D169=0,"Brak otwartych usterek",IF(INDEX('Zgłoszenia'!$D$5:$D$504,G169)="","",RIGHT("0"&amp;DAY(INDEX('Zgłoszenia'!$D$5:$D$504,G169)),2)&amp;"."&amp;RIGHT("0"&amp;MONTH(INDEX('Zgłoszenia'!$D$5:$D$504,G169)),2)&amp;"."&amp;YEAR(INDEX('Zgłoszenia'!$D$5:$D$504,G169)))&amp;" · "&amp;INDEX('Zgłoszenia'!$H$5:$H$504,G169)&amp;" — "&amp;IF(INDEX('Zgłoszenia'!$M$5:$M$504,G169)="","Zgłoszona",INDEX('Zgłoszenia'!$M$5:$M$504,G169))))</f>
        <v/>
      </c>
      <c r="F169" s="2" t="n"/>
      <c r="G169" s="2">
        <f>IF(OR(A169="",D169=0),"",MATCH(SUMPRODUCT(MAX(('Zgłoszenia'!$B$5:$B$504=A169)*'Zgłoszenia'!$R$5:$R$504)),'Zgłoszenia'!$R$5:$R$504,0))</f>
        <v/>
      </c>
    </row>
    <row r="170">
      <c r="A170" s="20">
        <f>IF('Wózki'!A164="","",'Wózki'!A164)</f>
        <v/>
      </c>
      <c r="B170" s="21">
        <f>IF(A170="","",'Wózki'!B164&amp;"")</f>
        <v/>
      </c>
      <c r="C170" s="21">
        <f>IF(A170="","",IF(COUNTIFS('Zgłoszenia'!$B$5:$B$504,A170,'Zgłoszenia'!$O$5:$O$504,"TAK",'Zgłoszenia'!$L$5:$L$504,"TAK")&gt;0,"Wyłączony z pracy",IF(COUNTIFS('Zgłoszenia'!$B$5:$B$504,A170,'Zgłoszenia'!$M$5:$M$504,Ustawienia!$J$5)+COUNTIFS('Zgłoszenia'!$B$5:$B$504,A170,'Zgłoszenia'!$M$5:$M$504,Ustawienia!$J$6)&gt;0,"W naprawie",IF(D170&gt;0,"Usterka zgłoszona","Sprawny"))))</f>
        <v/>
      </c>
      <c r="D170" s="22">
        <f>IF(A170="","",COUNTIFS('Zgłoszenia'!$B$5:$B$504,A170,'Zgłoszenia'!$O$5:$O$504,"TAK"))</f>
        <v/>
      </c>
      <c r="E170" s="21">
        <f>IF(A170="","",IF(D170=0,"Brak otwartych usterek",IF(INDEX('Zgłoszenia'!$D$5:$D$504,G170)="","",RIGHT("0"&amp;DAY(INDEX('Zgłoszenia'!$D$5:$D$504,G170)),2)&amp;"."&amp;RIGHT("0"&amp;MONTH(INDEX('Zgłoszenia'!$D$5:$D$504,G170)),2)&amp;"."&amp;YEAR(INDEX('Zgłoszenia'!$D$5:$D$504,G170)))&amp;" · "&amp;INDEX('Zgłoszenia'!$H$5:$H$504,G170)&amp;" — "&amp;IF(INDEX('Zgłoszenia'!$M$5:$M$504,G170)="","Zgłoszona",INDEX('Zgłoszenia'!$M$5:$M$504,G170))))</f>
        <v/>
      </c>
      <c r="F170" s="2" t="n"/>
      <c r="G170" s="2">
        <f>IF(OR(A170="",D170=0),"",MATCH(SUMPRODUCT(MAX(('Zgłoszenia'!$B$5:$B$504=A170)*'Zgłoszenia'!$R$5:$R$504)),'Zgłoszenia'!$R$5:$R$504,0))</f>
        <v/>
      </c>
    </row>
    <row r="171">
      <c r="A171" s="20">
        <f>IF('Wózki'!A165="","",'Wózki'!A165)</f>
        <v/>
      </c>
      <c r="B171" s="21">
        <f>IF(A171="","",'Wózki'!B165&amp;"")</f>
        <v/>
      </c>
      <c r="C171" s="21">
        <f>IF(A171="","",IF(COUNTIFS('Zgłoszenia'!$B$5:$B$504,A171,'Zgłoszenia'!$O$5:$O$504,"TAK",'Zgłoszenia'!$L$5:$L$504,"TAK")&gt;0,"Wyłączony z pracy",IF(COUNTIFS('Zgłoszenia'!$B$5:$B$504,A171,'Zgłoszenia'!$M$5:$M$504,Ustawienia!$J$5)+COUNTIFS('Zgłoszenia'!$B$5:$B$504,A171,'Zgłoszenia'!$M$5:$M$504,Ustawienia!$J$6)&gt;0,"W naprawie",IF(D171&gt;0,"Usterka zgłoszona","Sprawny"))))</f>
        <v/>
      </c>
      <c r="D171" s="22">
        <f>IF(A171="","",COUNTIFS('Zgłoszenia'!$B$5:$B$504,A171,'Zgłoszenia'!$O$5:$O$504,"TAK"))</f>
        <v/>
      </c>
      <c r="E171" s="21">
        <f>IF(A171="","",IF(D171=0,"Brak otwartych usterek",IF(INDEX('Zgłoszenia'!$D$5:$D$504,G171)="","",RIGHT("0"&amp;DAY(INDEX('Zgłoszenia'!$D$5:$D$504,G171)),2)&amp;"."&amp;RIGHT("0"&amp;MONTH(INDEX('Zgłoszenia'!$D$5:$D$504,G171)),2)&amp;"."&amp;YEAR(INDEX('Zgłoszenia'!$D$5:$D$504,G171)))&amp;" · "&amp;INDEX('Zgłoszenia'!$H$5:$H$504,G171)&amp;" — "&amp;IF(INDEX('Zgłoszenia'!$M$5:$M$504,G171)="","Zgłoszona",INDEX('Zgłoszenia'!$M$5:$M$504,G171))))</f>
        <v/>
      </c>
      <c r="F171" s="2" t="n"/>
      <c r="G171" s="2">
        <f>IF(OR(A171="",D171=0),"",MATCH(SUMPRODUCT(MAX(('Zgłoszenia'!$B$5:$B$504=A171)*'Zgłoszenia'!$R$5:$R$504)),'Zgłoszenia'!$R$5:$R$504,0))</f>
        <v/>
      </c>
    </row>
    <row r="172">
      <c r="A172" s="20">
        <f>IF('Wózki'!A166="","",'Wózki'!A166)</f>
        <v/>
      </c>
      <c r="B172" s="21">
        <f>IF(A172="","",'Wózki'!B166&amp;"")</f>
        <v/>
      </c>
      <c r="C172" s="21">
        <f>IF(A172="","",IF(COUNTIFS('Zgłoszenia'!$B$5:$B$504,A172,'Zgłoszenia'!$O$5:$O$504,"TAK",'Zgłoszenia'!$L$5:$L$504,"TAK")&gt;0,"Wyłączony z pracy",IF(COUNTIFS('Zgłoszenia'!$B$5:$B$504,A172,'Zgłoszenia'!$M$5:$M$504,Ustawienia!$J$5)+COUNTIFS('Zgłoszenia'!$B$5:$B$504,A172,'Zgłoszenia'!$M$5:$M$504,Ustawienia!$J$6)&gt;0,"W naprawie",IF(D172&gt;0,"Usterka zgłoszona","Sprawny"))))</f>
        <v/>
      </c>
      <c r="D172" s="22">
        <f>IF(A172="","",COUNTIFS('Zgłoszenia'!$B$5:$B$504,A172,'Zgłoszenia'!$O$5:$O$504,"TAK"))</f>
        <v/>
      </c>
      <c r="E172" s="21">
        <f>IF(A172="","",IF(D172=0,"Brak otwartych usterek",IF(INDEX('Zgłoszenia'!$D$5:$D$504,G172)="","",RIGHT("0"&amp;DAY(INDEX('Zgłoszenia'!$D$5:$D$504,G172)),2)&amp;"."&amp;RIGHT("0"&amp;MONTH(INDEX('Zgłoszenia'!$D$5:$D$504,G172)),2)&amp;"."&amp;YEAR(INDEX('Zgłoszenia'!$D$5:$D$504,G172)))&amp;" · "&amp;INDEX('Zgłoszenia'!$H$5:$H$504,G172)&amp;" — "&amp;IF(INDEX('Zgłoszenia'!$M$5:$M$504,G172)="","Zgłoszona",INDEX('Zgłoszenia'!$M$5:$M$504,G172))))</f>
        <v/>
      </c>
      <c r="F172" s="2" t="n"/>
      <c r="G172" s="2">
        <f>IF(OR(A172="",D172=0),"",MATCH(SUMPRODUCT(MAX(('Zgłoszenia'!$B$5:$B$504=A172)*'Zgłoszenia'!$R$5:$R$504)),'Zgłoszenia'!$R$5:$R$504,0))</f>
        <v/>
      </c>
    </row>
    <row r="173">
      <c r="A173" s="20">
        <f>IF('Wózki'!A167="","",'Wózki'!A167)</f>
        <v/>
      </c>
      <c r="B173" s="21">
        <f>IF(A173="","",'Wózki'!B167&amp;"")</f>
        <v/>
      </c>
      <c r="C173" s="21">
        <f>IF(A173="","",IF(COUNTIFS('Zgłoszenia'!$B$5:$B$504,A173,'Zgłoszenia'!$O$5:$O$504,"TAK",'Zgłoszenia'!$L$5:$L$504,"TAK")&gt;0,"Wyłączony z pracy",IF(COUNTIFS('Zgłoszenia'!$B$5:$B$504,A173,'Zgłoszenia'!$M$5:$M$504,Ustawienia!$J$5)+COUNTIFS('Zgłoszenia'!$B$5:$B$504,A173,'Zgłoszenia'!$M$5:$M$504,Ustawienia!$J$6)&gt;0,"W naprawie",IF(D173&gt;0,"Usterka zgłoszona","Sprawny"))))</f>
        <v/>
      </c>
      <c r="D173" s="22">
        <f>IF(A173="","",COUNTIFS('Zgłoszenia'!$B$5:$B$504,A173,'Zgłoszenia'!$O$5:$O$504,"TAK"))</f>
        <v/>
      </c>
      <c r="E173" s="21">
        <f>IF(A173="","",IF(D173=0,"Brak otwartych usterek",IF(INDEX('Zgłoszenia'!$D$5:$D$504,G173)="","",RIGHT("0"&amp;DAY(INDEX('Zgłoszenia'!$D$5:$D$504,G173)),2)&amp;"."&amp;RIGHT("0"&amp;MONTH(INDEX('Zgłoszenia'!$D$5:$D$504,G173)),2)&amp;"."&amp;YEAR(INDEX('Zgłoszenia'!$D$5:$D$504,G173)))&amp;" · "&amp;INDEX('Zgłoszenia'!$H$5:$H$504,G173)&amp;" — "&amp;IF(INDEX('Zgłoszenia'!$M$5:$M$504,G173)="","Zgłoszona",INDEX('Zgłoszenia'!$M$5:$M$504,G173))))</f>
        <v/>
      </c>
      <c r="F173" s="2" t="n"/>
      <c r="G173" s="2">
        <f>IF(OR(A173="",D173=0),"",MATCH(SUMPRODUCT(MAX(('Zgłoszenia'!$B$5:$B$504=A173)*'Zgłoszenia'!$R$5:$R$504)),'Zgłoszenia'!$R$5:$R$504,0))</f>
        <v/>
      </c>
    </row>
    <row r="174">
      <c r="A174" s="20">
        <f>IF('Wózki'!A168="","",'Wózki'!A168)</f>
        <v/>
      </c>
      <c r="B174" s="21">
        <f>IF(A174="","",'Wózki'!B168&amp;"")</f>
        <v/>
      </c>
      <c r="C174" s="21">
        <f>IF(A174="","",IF(COUNTIFS('Zgłoszenia'!$B$5:$B$504,A174,'Zgłoszenia'!$O$5:$O$504,"TAK",'Zgłoszenia'!$L$5:$L$504,"TAK")&gt;0,"Wyłączony z pracy",IF(COUNTIFS('Zgłoszenia'!$B$5:$B$504,A174,'Zgłoszenia'!$M$5:$M$504,Ustawienia!$J$5)+COUNTIFS('Zgłoszenia'!$B$5:$B$504,A174,'Zgłoszenia'!$M$5:$M$504,Ustawienia!$J$6)&gt;0,"W naprawie",IF(D174&gt;0,"Usterka zgłoszona","Sprawny"))))</f>
        <v/>
      </c>
      <c r="D174" s="22">
        <f>IF(A174="","",COUNTIFS('Zgłoszenia'!$B$5:$B$504,A174,'Zgłoszenia'!$O$5:$O$504,"TAK"))</f>
        <v/>
      </c>
      <c r="E174" s="21">
        <f>IF(A174="","",IF(D174=0,"Brak otwartych usterek",IF(INDEX('Zgłoszenia'!$D$5:$D$504,G174)="","",RIGHT("0"&amp;DAY(INDEX('Zgłoszenia'!$D$5:$D$504,G174)),2)&amp;"."&amp;RIGHT("0"&amp;MONTH(INDEX('Zgłoszenia'!$D$5:$D$504,G174)),2)&amp;"."&amp;YEAR(INDEX('Zgłoszenia'!$D$5:$D$504,G174)))&amp;" · "&amp;INDEX('Zgłoszenia'!$H$5:$H$504,G174)&amp;" — "&amp;IF(INDEX('Zgłoszenia'!$M$5:$M$504,G174)="","Zgłoszona",INDEX('Zgłoszenia'!$M$5:$M$504,G174))))</f>
        <v/>
      </c>
      <c r="F174" s="2" t="n"/>
      <c r="G174" s="2">
        <f>IF(OR(A174="",D174=0),"",MATCH(SUMPRODUCT(MAX(('Zgłoszenia'!$B$5:$B$504=A174)*'Zgłoszenia'!$R$5:$R$504)),'Zgłoszenia'!$R$5:$R$504,0))</f>
        <v/>
      </c>
    </row>
    <row r="175">
      <c r="A175" s="20">
        <f>IF('Wózki'!A169="","",'Wózki'!A169)</f>
        <v/>
      </c>
      <c r="B175" s="21">
        <f>IF(A175="","",'Wózki'!B169&amp;"")</f>
        <v/>
      </c>
      <c r="C175" s="21">
        <f>IF(A175="","",IF(COUNTIFS('Zgłoszenia'!$B$5:$B$504,A175,'Zgłoszenia'!$O$5:$O$504,"TAK",'Zgłoszenia'!$L$5:$L$504,"TAK")&gt;0,"Wyłączony z pracy",IF(COUNTIFS('Zgłoszenia'!$B$5:$B$504,A175,'Zgłoszenia'!$M$5:$M$504,Ustawienia!$J$5)+COUNTIFS('Zgłoszenia'!$B$5:$B$504,A175,'Zgłoszenia'!$M$5:$M$504,Ustawienia!$J$6)&gt;0,"W naprawie",IF(D175&gt;0,"Usterka zgłoszona","Sprawny"))))</f>
        <v/>
      </c>
      <c r="D175" s="22">
        <f>IF(A175="","",COUNTIFS('Zgłoszenia'!$B$5:$B$504,A175,'Zgłoszenia'!$O$5:$O$504,"TAK"))</f>
        <v/>
      </c>
      <c r="E175" s="21">
        <f>IF(A175="","",IF(D175=0,"Brak otwartych usterek",IF(INDEX('Zgłoszenia'!$D$5:$D$504,G175)="","",RIGHT("0"&amp;DAY(INDEX('Zgłoszenia'!$D$5:$D$504,G175)),2)&amp;"."&amp;RIGHT("0"&amp;MONTH(INDEX('Zgłoszenia'!$D$5:$D$504,G175)),2)&amp;"."&amp;YEAR(INDEX('Zgłoszenia'!$D$5:$D$504,G175)))&amp;" · "&amp;INDEX('Zgłoszenia'!$H$5:$H$504,G175)&amp;" — "&amp;IF(INDEX('Zgłoszenia'!$M$5:$M$504,G175)="","Zgłoszona",INDEX('Zgłoszenia'!$M$5:$M$504,G175))))</f>
        <v/>
      </c>
      <c r="F175" s="2" t="n"/>
      <c r="G175" s="2">
        <f>IF(OR(A175="",D175=0),"",MATCH(SUMPRODUCT(MAX(('Zgłoszenia'!$B$5:$B$504=A175)*'Zgłoszenia'!$R$5:$R$504)),'Zgłoszenia'!$R$5:$R$504,0))</f>
        <v/>
      </c>
    </row>
    <row r="176">
      <c r="A176" s="20">
        <f>IF('Wózki'!A170="","",'Wózki'!A170)</f>
        <v/>
      </c>
      <c r="B176" s="21">
        <f>IF(A176="","",'Wózki'!B170&amp;"")</f>
        <v/>
      </c>
      <c r="C176" s="21">
        <f>IF(A176="","",IF(COUNTIFS('Zgłoszenia'!$B$5:$B$504,A176,'Zgłoszenia'!$O$5:$O$504,"TAK",'Zgłoszenia'!$L$5:$L$504,"TAK")&gt;0,"Wyłączony z pracy",IF(COUNTIFS('Zgłoszenia'!$B$5:$B$504,A176,'Zgłoszenia'!$M$5:$M$504,Ustawienia!$J$5)+COUNTIFS('Zgłoszenia'!$B$5:$B$504,A176,'Zgłoszenia'!$M$5:$M$504,Ustawienia!$J$6)&gt;0,"W naprawie",IF(D176&gt;0,"Usterka zgłoszona","Sprawny"))))</f>
        <v/>
      </c>
      <c r="D176" s="22">
        <f>IF(A176="","",COUNTIFS('Zgłoszenia'!$B$5:$B$504,A176,'Zgłoszenia'!$O$5:$O$504,"TAK"))</f>
        <v/>
      </c>
      <c r="E176" s="21">
        <f>IF(A176="","",IF(D176=0,"Brak otwartych usterek",IF(INDEX('Zgłoszenia'!$D$5:$D$504,G176)="","",RIGHT("0"&amp;DAY(INDEX('Zgłoszenia'!$D$5:$D$504,G176)),2)&amp;"."&amp;RIGHT("0"&amp;MONTH(INDEX('Zgłoszenia'!$D$5:$D$504,G176)),2)&amp;"."&amp;YEAR(INDEX('Zgłoszenia'!$D$5:$D$504,G176)))&amp;" · "&amp;INDEX('Zgłoszenia'!$H$5:$H$504,G176)&amp;" — "&amp;IF(INDEX('Zgłoszenia'!$M$5:$M$504,G176)="","Zgłoszona",INDEX('Zgłoszenia'!$M$5:$M$504,G176))))</f>
        <v/>
      </c>
      <c r="F176" s="2" t="n"/>
      <c r="G176" s="2">
        <f>IF(OR(A176="",D176=0),"",MATCH(SUMPRODUCT(MAX(('Zgłoszenia'!$B$5:$B$504=A176)*'Zgłoszenia'!$R$5:$R$504)),'Zgłoszenia'!$R$5:$R$504,0))</f>
        <v/>
      </c>
    </row>
    <row r="177">
      <c r="A177" s="20">
        <f>IF('Wózki'!A171="","",'Wózki'!A171)</f>
        <v/>
      </c>
      <c r="B177" s="21">
        <f>IF(A177="","",'Wózki'!B171&amp;"")</f>
        <v/>
      </c>
      <c r="C177" s="21">
        <f>IF(A177="","",IF(COUNTIFS('Zgłoszenia'!$B$5:$B$504,A177,'Zgłoszenia'!$O$5:$O$504,"TAK",'Zgłoszenia'!$L$5:$L$504,"TAK")&gt;0,"Wyłączony z pracy",IF(COUNTIFS('Zgłoszenia'!$B$5:$B$504,A177,'Zgłoszenia'!$M$5:$M$504,Ustawienia!$J$5)+COUNTIFS('Zgłoszenia'!$B$5:$B$504,A177,'Zgłoszenia'!$M$5:$M$504,Ustawienia!$J$6)&gt;0,"W naprawie",IF(D177&gt;0,"Usterka zgłoszona","Sprawny"))))</f>
        <v/>
      </c>
      <c r="D177" s="22">
        <f>IF(A177="","",COUNTIFS('Zgłoszenia'!$B$5:$B$504,A177,'Zgłoszenia'!$O$5:$O$504,"TAK"))</f>
        <v/>
      </c>
      <c r="E177" s="21">
        <f>IF(A177="","",IF(D177=0,"Brak otwartych usterek",IF(INDEX('Zgłoszenia'!$D$5:$D$504,G177)="","",RIGHT("0"&amp;DAY(INDEX('Zgłoszenia'!$D$5:$D$504,G177)),2)&amp;"."&amp;RIGHT("0"&amp;MONTH(INDEX('Zgłoszenia'!$D$5:$D$504,G177)),2)&amp;"."&amp;YEAR(INDEX('Zgłoszenia'!$D$5:$D$504,G177)))&amp;" · "&amp;INDEX('Zgłoszenia'!$H$5:$H$504,G177)&amp;" — "&amp;IF(INDEX('Zgłoszenia'!$M$5:$M$504,G177)="","Zgłoszona",INDEX('Zgłoszenia'!$M$5:$M$504,G177))))</f>
        <v/>
      </c>
      <c r="F177" s="2" t="n"/>
      <c r="G177" s="2">
        <f>IF(OR(A177="",D177=0),"",MATCH(SUMPRODUCT(MAX(('Zgłoszenia'!$B$5:$B$504=A177)*'Zgłoszenia'!$R$5:$R$504)),'Zgłoszenia'!$R$5:$R$504,0))</f>
        <v/>
      </c>
    </row>
    <row r="178">
      <c r="A178" s="20">
        <f>IF('Wózki'!A172="","",'Wózki'!A172)</f>
        <v/>
      </c>
      <c r="B178" s="21">
        <f>IF(A178="","",'Wózki'!B172&amp;"")</f>
        <v/>
      </c>
      <c r="C178" s="21">
        <f>IF(A178="","",IF(COUNTIFS('Zgłoszenia'!$B$5:$B$504,A178,'Zgłoszenia'!$O$5:$O$504,"TAK",'Zgłoszenia'!$L$5:$L$504,"TAK")&gt;0,"Wyłączony z pracy",IF(COUNTIFS('Zgłoszenia'!$B$5:$B$504,A178,'Zgłoszenia'!$M$5:$M$504,Ustawienia!$J$5)+COUNTIFS('Zgłoszenia'!$B$5:$B$504,A178,'Zgłoszenia'!$M$5:$M$504,Ustawienia!$J$6)&gt;0,"W naprawie",IF(D178&gt;0,"Usterka zgłoszona","Sprawny"))))</f>
        <v/>
      </c>
      <c r="D178" s="22">
        <f>IF(A178="","",COUNTIFS('Zgłoszenia'!$B$5:$B$504,A178,'Zgłoszenia'!$O$5:$O$504,"TAK"))</f>
        <v/>
      </c>
      <c r="E178" s="21">
        <f>IF(A178="","",IF(D178=0,"Brak otwartych usterek",IF(INDEX('Zgłoszenia'!$D$5:$D$504,G178)="","",RIGHT("0"&amp;DAY(INDEX('Zgłoszenia'!$D$5:$D$504,G178)),2)&amp;"."&amp;RIGHT("0"&amp;MONTH(INDEX('Zgłoszenia'!$D$5:$D$504,G178)),2)&amp;"."&amp;YEAR(INDEX('Zgłoszenia'!$D$5:$D$504,G178)))&amp;" · "&amp;INDEX('Zgłoszenia'!$H$5:$H$504,G178)&amp;" — "&amp;IF(INDEX('Zgłoszenia'!$M$5:$M$504,G178)="","Zgłoszona",INDEX('Zgłoszenia'!$M$5:$M$504,G178))))</f>
        <v/>
      </c>
      <c r="F178" s="2" t="n"/>
      <c r="G178" s="2">
        <f>IF(OR(A178="",D178=0),"",MATCH(SUMPRODUCT(MAX(('Zgłoszenia'!$B$5:$B$504=A178)*'Zgłoszenia'!$R$5:$R$504)),'Zgłoszenia'!$R$5:$R$504,0))</f>
        <v/>
      </c>
    </row>
    <row r="179">
      <c r="A179" s="20">
        <f>IF('Wózki'!A173="","",'Wózki'!A173)</f>
        <v/>
      </c>
      <c r="B179" s="21">
        <f>IF(A179="","",'Wózki'!B173&amp;"")</f>
        <v/>
      </c>
      <c r="C179" s="21">
        <f>IF(A179="","",IF(COUNTIFS('Zgłoszenia'!$B$5:$B$504,A179,'Zgłoszenia'!$O$5:$O$504,"TAK",'Zgłoszenia'!$L$5:$L$504,"TAK")&gt;0,"Wyłączony z pracy",IF(COUNTIFS('Zgłoszenia'!$B$5:$B$504,A179,'Zgłoszenia'!$M$5:$M$504,Ustawienia!$J$5)+COUNTIFS('Zgłoszenia'!$B$5:$B$504,A179,'Zgłoszenia'!$M$5:$M$504,Ustawienia!$J$6)&gt;0,"W naprawie",IF(D179&gt;0,"Usterka zgłoszona","Sprawny"))))</f>
        <v/>
      </c>
      <c r="D179" s="22">
        <f>IF(A179="","",COUNTIFS('Zgłoszenia'!$B$5:$B$504,A179,'Zgłoszenia'!$O$5:$O$504,"TAK"))</f>
        <v/>
      </c>
      <c r="E179" s="21">
        <f>IF(A179="","",IF(D179=0,"Brak otwartych usterek",IF(INDEX('Zgłoszenia'!$D$5:$D$504,G179)="","",RIGHT("0"&amp;DAY(INDEX('Zgłoszenia'!$D$5:$D$504,G179)),2)&amp;"."&amp;RIGHT("0"&amp;MONTH(INDEX('Zgłoszenia'!$D$5:$D$504,G179)),2)&amp;"."&amp;YEAR(INDEX('Zgłoszenia'!$D$5:$D$504,G179)))&amp;" · "&amp;INDEX('Zgłoszenia'!$H$5:$H$504,G179)&amp;" — "&amp;IF(INDEX('Zgłoszenia'!$M$5:$M$504,G179)="","Zgłoszona",INDEX('Zgłoszenia'!$M$5:$M$504,G179))))</f>
        <v/>
      </c>
      <c r="F179" s="2" t="n"/>
      <c r="G179" s="2">
        <f>IF(OR(A179="",D179=0),"",MATCH(SUMPRODUCT(MAX(('Zgłoszenia'!$B$5:$B$504=A179)*'Zgłoszenia'!$R$5:$R$504)),'Zgłoszenia'!$R$5:$R$504,0))</f>
        <v/>
      </c>
    </row>
    <row r="180">
      <c r="A180" s="20">
        <f>IF('Wózki'!A174="","",'Wózki'!A174)</f>
        <v/>
      </c>
      <c r="B180" s="21">
        <f>IF(A180="","",'Wózki'!B174&amp;"")</f>
        <v/>
      </c>
      <c r="C180" s="21">
        <f>IF(A180="","",IF(COUNTIFS('Zgłoszenia'!$B$5:$B$504,A180,'Zgłoszenia'!$O$5:$O$504,"TAK",'Zgłoszenia'!$L$5:$L$504,"TAK")&gt;0,"Wyłączony z pracy",IF(COUNTIFS('Zgłoszenia'!$B$5:$B$504,A180,'Zgłoszenia'!$M$5:$M$504,Ustawienia!$J$5)+COUNTIFS('Zgłoszenia'!$B$5:$B$504,A180,'Zgłoszenia'!$M$5:$M$504,Ustawienia!$J$6)&gt;0,"W naprawie",IF(D180&gt;0,"Usterka zgłoszona","Sprawny"))))</f>
        <v/>
      </c>
      <c r="D180" s="22">
        <f>IF(A180="","",COUNTIFS('Zgłoszenia'!$B$5:$B$504,A180,'Zgłoszenia'!$O$5:$O$504,"TAK"))</f>
        <v/>
      </c>
      <c r="E180" s="21">
        <f>IF(A180="","",IF(D180=0,"Brak otwartych usterek",IF(INDEX('Zgłoszenia'!$D$5:$D$504,G180)="","",RIGHT("0"&amp;DAY(INDEX('Zgłoszenia'!$D$5:$D$504,G180)),2)&amp;"."&amp;RIGHT("0"&amp;MONTH(INDEX('Zgłoszenia'!$D$5:$D$504,G180)),2)&amp;"."&amp;YEAR(INDEX('Zgłoszenia'!$D$5:$D$504,G180)))&amp;" · "&amp;INDEX('Zgłoszenia'!$H$5:$H$504,G180)&amp;" — "&amp;IF(INDEX('Zgłoszenia'!$M$5:$M$504,G180)="","Zgłoszona",INDEX('Zgłoszenia'!$M$5:$M$504,G180))))</f>
        <v/>
      </c>
      <c r="F180" s="2" t="n"/>
      <c r="G180" s="2">
        <f>IF(OR(A180="",D180=0),"",MATCH(SUMPRODUCT(MAX(('Zgłoszenia'!$B$5:$B$504=A180)*'Zgłoszenia'!$R$5:$R$504)),'Zgłoszenia'!$R$5:$R$504,0))</f>
        <v/>
      </c>
    </row>
    <row r="181">
      <c r="A181" s="20">
        <f>IF('Wózki'!A175="","",'Wózki'!A175)</f>
        <v/>
      </c>
      <c r="B181" s="21">
        <f>IF(A181="","",'Wózki'!B175&amp;"")</f>
        <v/>
      </c>
      <c r="C181" s="21">
        <f>IF(A181="","",IF(COUNTIFS('Zgłoszenia'!$B$5:$B$504,A181,'Zgłoszenia'!$O$5:$O$504,"TAK",'Zgłoszenia'!$L$5:$L$504,"TAK")&gt;0,"Wyłączony z pracy",IF(COUNTIFS('Zgłoszenia'!$B$5:$B$504,A181,'Zgłoszenia'!$M$5:$M$504,Ustawienia!$J$5)+COUNTIFS('Zgłoszenia'!$B$5:$B$504,A181,'Zgłoszenia'!$M$5:$M$504,Ustawienia!$J$6)&gt;0,"W naprawie",IF(D181&gt;0,"Usterka zgłoszona","Sprawny"))))</f>
        <v/>
      </c>
      <c r="D181" s="22">
        <f>IF(A181="","",COUNTIFS('Zgłoszenia'!$B$5:$B$504,A181,'Zgłoszenia'!$O$5:$O$504,"TAK"))</f>
        <v/>
      </c>
      <c r="E181" s="21">
        <f>IF(A181="","",IF(D181=0,"Brak otwartych usterek",IF(INDEX('Zgłoszenia'!$D$5:$D$504,G181)="","",RIGHT("0"&amp;DAY(INDEX('Zgłoszenia'!$D$5:$D$504,G181)),2)&amp;"."&amp;RIGHT("0"&amp;MONTH(INDEX('Zgłoszenia'!$D$5:$D$504,G181)),2)&amp;"."&amp;YEAR(INDEX('Zgłoszenia'!$D$5:$D$504,G181)))&amp;" · "&amp;INDEX('Zgłoszenia'!$H$5:$H$504,G181)&amp;" — "&amp;IF(INDEX('Zgłoszenia'!$M$5:$M$504,G181)="","Zgłoszona",INDEX('Zgłoszenia'!$M$5:$M$504,G181))))</f>
        <v/>
      </c>
      <c r="F181" s="2" t="n"/>
      <c r="G181" s="2">
        <f>IF(OR(A181="",D181=0),"",MATCH(SUMPRODUCT(MAX(('Zgłoszenia'!$B$5:$B$504=A181)*'Zgłoszenia'!$R$5:$R$504)),'Zgłoszenia'!$R$5:$R$504,0))</f>
        <v/>
      </c>
    </row>
    <row r="182">
      <c r="A182" s="20">
        <f>IF('Wózki'!A176="","",'Wózki'!A176)</f>
        <v/>
      </c>
      <c r="B182" s="21">
        <f>IF(A182="","",'Wózki'!B176&amp;"")</f>
        <v/>
      </c>
      <c r="C182" s="21">
        <f>IF(A182="","",IF(COUNTIFS('Zgłoszenia'!$B$5:$B$504,A182,'Zgłoszenia'!$O$5:$O$504,"TAK",'Zgłoszenia'!$L$5:$L$504,"TAK")&gt;0,"Wyłączony z pracy",IF(COUNTIFS('Zgłoszenia'!$B$5:$B$504,A182,'Zgłoszenia'!$M$5:$M$504,Ustawienia!$J$5)+COUNTIFS('Zgłoszenia'!$B$5:$B$504,A182,'Zgłoszenia'!$M$5:$M$504,Ustawienia!$J$6)&gt;0,"W naprawie",IF(D182&gt;0,"Usterka zgłoszona","Sprawny"))))</f>
        <v/>
      </c>
      <c r="D182" s="22">
        <f>IF(A182="","",COUNTIFS('Zgłoszenia'!$B$5:$B$504,A182,'Zgłoszenia'!$O$5:$O$504,"TAK"))</f>
        <v/>
      </c>
      <c r="E182" s="21">
        <f>IF(A182="","",IF(D182=0,"Brak otwartych usterek",IF(INDEX('Zgłoszenia'!$D$5:$D$504,G182)="","",RIGHT("0"&amp;DAY(INDEX('Zgłoszenia'!$D$5:$D$504,G182)),2)&amp;"."&amp;RIGHT("0"&amp;MONTH(INDEX('Zgłoszenia'!$D$5:$D$504,G182)),2)&amp;"."&amp;YEAR(INDEX('Zgłoszenia'!$D$5:$D$504,G182)))&amp;" · "&amp;INDEX('Zgłoszenia'!$H$5:$H$504,G182)&amp;" — "&amp;IF(INDEX('Zgłoszenia'!$M$5:$M$504,G182)="","Zgłoszona",INDEX('Zgłoszenia'!$M$5:$M$504,G182))))</f>
        <v/>
      </c>
      <c r="F182" s="2" t="n"/>
      <c r="G182" s="2">
        <f>IF(OR(A182="",D182=0),"",MATCH(SUMPRODUCT(MAX(('Zgłoszenia'!$B$5:$B$504=A182)*'Zgłoszenia'!$R$5:$R$504)),'Zgłoszenia'!$R$5:$R$504,0))</f>
        <v/>
      </c>
    </row>
    <row r="183">
      <c r="A183" s="20">
        <f>IF('Wózki'!A177="","",'Wózki'!A177)</f>
        <v/>
      </c>
      <c r="B183" s="21">
        <f>IF(A183="","",'Wózki'!B177&amp;"")</f>
        <v/>
      </c>
      <c r="C183" s="21">
        <f>IF(A183="","",IF(COUNTIFS('Zgłoszenia'!$B$5:$B$504,A183,'Zgłoszenia'!$O$5:$O$504,"TAK",'Zgłoszenia'!$L$5:$L$504,"TAK")&gt;0,"Wyłączony z pracy",IF(COUNTIFS('Zgłoszenia'!$B$5:$B$504,A183,'Zgłoszenia'!$M$5:$M$504,Ustawienia!$J$5)+COUNTIFS('Zgłoszenia'!$B$5:$B$504,A183,'Zgłoszenia'!$M$5:$M$504,Ustawienia!$J$6)&gt;0,"W naprawie",IF(D183&gt;0,"Usterka zgłoszona","Sprawny"))))</f>
        <v/>
      </c>
      <c r="D183" s="22">
        <f>IF(A183="","",COUNTIFS('Zgłoszenia'!$B$5:$B$504,A183,'Zgłoszenia'!$O$5:$O$504,"TAK"))</f>
        <v/>
      </c>
      <c r="E183" s="21">
        <f>IF(A183="","",IF(D183=0,"Brak otwartych usterek",IF(INDEX('Zgłoszenia'!$D$5:$D$504,G183)="","",RIGHT("0"&amp;DAY(INDEX('Zgłoszenia'!$D$5:$D$504,G183)),2)&amp;"."&amp;RIGHT("0"&amp;MONTH(INDEX('Zgłoszenia'!$D$5:$D$504,G183)),2)&amp;"."&amp;YEAR(INDEX('Zgłoszenia'!$D$5:$D$504,G183)))&amp;" · "&amp;INDEX('Zgłoszenia'!$H$5:$H$504,G183)&amp;" — "&amp;IF(INDEX('Zgłoszenia'!$M$5:$M$504,G183)="","Zgłoszona",INDEX('Zgłoszenia'!$M$5:$M$504,G183))))</f>
        <v/>
      </c>
      <c r="F183" s="2" t="n"/>
      <c r="G183" s="2">
        <f>IF(OR(A183="",D183=0),"",MATCH(SUMPRODUCT(MAX(('Zgłoszenia'!$B$5:$B$504=A183)*'Zgłoszenia'!$R$5:$R$504)),'Zgłoszenia'!$R$5:$R$504,0))</f>
        <v/>
      </c>
    </row>
    <row r="184">
      <c r="A184" s="20">
        <f>IF('Wózki'!A178="","",'Wózki'!A178)</f>
        <v/>
      </c>
      <c r="B184" s="21">
        <f>IF(A184="","",'Wózki'!B178&amp;"")</f>
        <v/>
      </c>
      <c r="C184" s="21">
        <f>IF(A184="","",IF(COUNTIFS('Zgłoszenia'!$B$5:$B$504,A184,'Zgłoszenia'!$O$5:$O$504,"TAK",'Zgłoszenia'!$L$5:$L$504,"TAK")&gt;0,"Wyłączony z pracy",IF(COUNTIFS('Zgłoszenia'!$B$5:$B$504,A184,'Zgłoszenia'!$M$5:$M$504,Ustawienia!$J$5)+COUNTIFS('Zgłoszenia'!$B$5:$B$504,A184,'Zgłoszenia'!$M$5:$M$504,Ustawienia!$J$6)&gt;0,"W naprawie",IF(D184&gt;0,"Usterka zgłoszona","Sprawny"))))</f>
        <v/>
      </c>
      <c r="D184" s="22">
        <f>IF(A184="","",COUNTIFS('Zgłoszenia'!$B$5:$B$504,A184,'Zgłoszenia'!$O$5:$O$504,"TAK"))</f>
        <v/>
      </c>
      <c r="E184" s="21">
        <f>IF(A184="","",IF(D184=0,"Brak otwartych usterek",IF(INDEX('Zgłoszenia'!$D$5:$D$504,G184)="","",RIGHT("0"&amp;DAY(INDEX('Zgłoszenia'!$D$5:$D$504,G184)),2)&amp;"."&amp;RIGHT("0"&amp;MONTH(INDEX('Zgłoszenia'!$D$5:$D$504,G184)),2)&amp;"."&amp;YEAR(INDEX('Zgłoszenia'!$D$5:$D$504,G184)))&amp;" · "&amp;INDEX('Zgłoszenia'!$H$5:$H$504,G184)&amp;" — "&amp;IF(INDEX('Zgłoszenia'!$M$5:$M$504,G184)="","Zgłoszona",INDEX('Zgłoszenia'!$M$5:$M$504,G184))))</f>
        <v/>
      </c>
      <c r="F184" s="2" t="n"/>
      <c r="G184" s="2">
        <f>IF(OR(A184="",D184=0),"",MATCH(SUMPRODUCT(MAX(('Zgłoszenia'!$B$5:$B$504=A184)*'Zgłoszenia'!$R$5:$R$504)),'Zgłoszenia'!$R$5:$R$504,0))</f>
        <v/>
      </c>
    </row>
    <row r="185">
      <c r="A185" s="20">
        <f>IF('Wózki'!A179="","",'Wózki'!A179)</f>
        <v/>
      </c>
      <c r="B185" s="21">
        <f>IF(A185="","",'Wózki'!B179&amp;"")</f>
        <v/>
      </c>
      <c r="C185" s="21">
        <f>IF(A185="","",IF(COUNTIFS('Zgłoszenia'!$B$5:$B$504,A185,'Zgłoszenia'!$O$5:$O$504,"TAK",'Zgłoszenia'!$L$5:$L$504,"TAK")&gt;0,"Wyłączony z pracy",IF(COUNTIFS('Zgłoszenia'!$B$5:$B$504,A185,'Zgłoszenia'!$M$5:$M$504,Ustawienia!$J$5)+COUNTIFS('Zgłoszenia'!$B$5:$B$504,A185,'Zgłoszenia'!$M$5:$M$504,Ustawienia!$J$6)&gt;0,"W naprawie",IF(D185&gt;0,"Usterka zgłoszona","Sprawny"))))</f>
        <v/>
      </c>
      <c r="D185" s="22">
        <f>IF(A185="","",COUNTIFS('Zgłoszenia'!$B$5:$B$504,A185,'Zgłoszenia'!$O$5:$O$504,"TAK"))</f>
        <v/>
      </c>
      <c r="E185" s="21">
        <f>IF(A185="","",IF(D185=0,"Brak otwartych usterek",IF(INDEX('Zgłoszenia'!$D$5:$D$504,G185)="","",RIGHT("0"&amp;DAY(INDEX('Zgłoszenia'!$D$5:$D$504,G185)),2)&amp;"."&amp;RIGHT("0"&amp;MONTH(INDEX('Zgłoszenia'!$D$5:$D$504,G185)),2)&amp;"."&amp;YEAR(INDEX('Zgłoszenia'!$D$5:$D$504,G185)))&amp;" · "&amp;INDEX('Zgłoszenia'!$H$5:$H$504,G185)&amp;" — "&amp;IF(INDEX('Zgłoszenia'!$M$5:$M$504,G185)="","Zgłoszona",INDEX('Zgłoszenia'!$M$5:$M$504,G185))))</f>
        <v/>
      </c>
      <c r="F185" s="2" t="n"/>
      <c r="G185" s="2">
        <f>IF(OR(A185="",D185=0),"",MATCH(SUMPRODUCT(MAX(('Zgłoszenia'!$B$5:$B$504=A185)*'Zgłoszenia'!$R$5:$R$504)),'Zgłoszenia'!$R$5:$R$504,0))</f>
        <v/>
      </c>
    </row>
    <row r="186">
      <c r="A186" s="20">
        <f>IF('Wózki'!A180="","",'Wózki'!A180)</f>
        <v/>
      </c>
      <c r="B186" s="21">
        <f>IF(A186="","",'Wózki'!B180&amp;"")</f>
        <v/>
      </c>
      <c r="C186" s="21">
        <f>IF(A186="","",IF(COUNTIFS('Zgłoszenia'!$B$5:$B$504,A186,'Zgłoszenia'!$O$5:$O$504,"TAK",'Zgłoszenia'!$L$5:$L$504,"TAK")&gt;0,"Wyłączony z pracy",IF(COUNTIFS('Zgłoszenia'!$B$5:$B$504,A186,'Zgłoszenia'!$M$5:$M$504,Ustawienia!$J$5)+COUNTIFS('Zgłoszenia'!$B$5:$B$504,A186,'Zgłoszenia'!$M$5:$M$504,Ustawienia!$J$6)&gt;0,"W naprawie",IF(D186&gt;0,"Usterka zgłoszona","Sprawny"))))</f>
        <v/>
      </c>
      <c r="D186" s="22">
        <f>IF(A186="","",COUNTIFS('Zgłoszenia'!$B$5:$B$504,A186,'Zgłoszenia'!$O$5:$O$504,"TAK"))</f>
        <v/>
      </c>
      <c r="E186" s="21">
        <f>IF(A186="","",IF(D186=0,"Brak otwartych usterek",IF(INDEX('Zgłoszenia'!$D$5:$D$504,G186)="","",RIGHT("0"&amp;DAY(INDEX('Zgłoszenia'!$D$5:$D$504,G186)),2)&amp;"."&amp;RIGHT("0"&amp;MONTH(INDEX('Zgłoszenia'!$D$5:$D$504,G186)),2)&amp;"."&amp;YEAR(INDEX('Zgłoszenia'!$D$5:$D$504,G186)))&amp;" · "&amp;INDEX('Zgłoszenia'!$H$5:$H$504,G186)&amp;" — "&amp;IF(INDEX('Zgłoszenia'!$M$5:$M$504,G186)="","Zgłoszona",INDEX('Zgłoszenia'!$M$5:$M$504,G186))))</f>
        <v/>
      </c>
      <c r="F186" s="2" t="n"/>
      <c r="G186" s="2">
        <f>IF(OR(A186="",D186=0),"",MATCH(SUMPRODUCT(MAX(('Zgłoszenia'!$B$5:$B$504=A186)*'Zgłoszenia'!$R$5:$R$504)),'Zgłoszenia'!$R$5:$R$504,0))</f>
        <v/>
      </c>
    </row>
    <row r="187">
      <c r="A187" s="20">
        <f>IF('Wózki'!A181="","",'Wózki'!A181)</f>
        <v/>
      </c>
      <c r="B187" s="21">
        <f>IF(A187="","",'Wózki'!B181&amp;"")</f>
        <v/>
      </c>
      <c r="C187" s="21">
        <f>IF(A187="","",IF(COUNTIFS('Zgłoszenia'!$B$5:$B$504,A187,'Zgłoszenia'!$O$5:$O$504,"TAK",'Zgłoszenia'!$L$5:$L$504,"TAK")&gt;0,"Wyłączony z pracy",IF(COUNTIFS('Zgłoszenia'!$B$5:$B$504,A187,'Zgłoszenia'!$M$5:$M$504,Ustawienia!$J$5)+COUNTIFS('Zgłoszenia'!$B$5:$B$504,A187,'Zgłoszenia'!$M$5:$M$504,Ustawienia!$J$6)&gt;0,"W naprawie",IF(D187&gt;0,"Usterka zgłoszona","Sprawny"))))</f>
        <v/>
      </c>
      <c r="D187" s="22">
        <f>IF(A187="","",COUNTIFS('Zgłoszenia'!$B$5:$B$504,A187,'Zgłoszenia'!$O$5:$O$504,"TAK"))</f>
        <v/>
      </c>
      <c r="E187" s="21">
        <f>IF(A187="","",IF(D187=0,"Brak otwartych usterek",IF(INDEX('Zgłoszenia'!$D$5:$D$504,G187)="","",RIGHT("0"&amp;DAY(INDEX('Zgłoszenia'!$D$5:$D$504,G187)),2)&amp;"."&amp;RIGHT("0"&amp;MONTH(INDEX('Zgłoszenia'!$D$5:$D$504,G187)),2)&amp;"."&amp;YEAR(INDEX('Zgłoszenia'!$D$5:$D$504,G187)))&amp;" · "&amp;INDEX('Zgłoszenia'!$H$5:$H$504,G187)&amp;" — "&amp;IF(INDEX('Zgłoszenia'!$M$5:$M$504,G187)="","Zgłoszona",INDEX('Zgłoszenia'!$M$5:$M$504,G187))))</f>
        <v/>
      </c>
      <c r="F187" s="2" t="n"/>
      <c r="G187" s="2">
        <f>IF(OR(A187="",D187=0),"",MATCH(SUMPRODUCT(MAX(('Zgłoszenia'!$B$5:$B$504=A187)*'Zgłoszenia'!$R$5:$R$504)),'Zgłoszenia'!$R$5:$R$504,0))</f>
        <v/>
      </c>
    </row>
    <row r="188">
      <c r="A188" s="20">
        <f>IF('Wózki'!A182="","",'Wózki'!A182)</f>
        <v/>
      </c>
      <c r="B188" s="21">
        <f>IF(A188="","",'Wózki'!B182&amp;"")</f>
        <v/>
      </c>
      <c r="C188" s="21">
        <f>IF(A188="","",IF(COUNTIFS('Zgłoszenia'!$B$5:$B$504,A188,'Zgłoszenia'!$O$5:$O$504,"TAK",'Zgłoszenia'!$L$5:$L$504,"TAK")&gt;0,"Wyłączony z pracy",IF(COUNTIFS('Zgłoszenia'!$B$5:$B$504,A188,'Zgłoszenia'!$M$5:$M$504,Ustawienia!$J$5)+COUNTIFS('Zgłoszenia'!$B$5:$B$504,A188,'Zgłoszenia'!$M$5:$M$504,Ustawienia!$J$6)&gt;0,"W naprawie",IF(D188&gt;0,"Usterka zgłoszona","Sprawny"))))</f>
        <v/>
      </c>
      <c r="D188" s="22">
        <f>IF(A188="","",COUNTIFS('Zgłoszenia'!$B$5:$B$504,A188,'Zgłoszenia'!$O$5:$O$504,"TAK"))</f>
        <v/>
      </c>
      <c r="E188" s="21">
        <f>IF(A188="","",IF(D188=0,"Brak otwartych usterek",IF(INDEX('Zgłoszenia'!$D$5:$D$504,G188)="","",RIGHT("0"&amp;DAY(INDEX('Zgłoszenia'!$D$5:$D$504,G188)),2)&amp;"."&amp;RIGHT("0"&amp;MONTH(INDEX('Zgłoszenia'!$D$5:$D$504,G188)),2)&amp;"."&amp;YEAR(INDEX('Zgłoszenia'!$D$5:$D$504,G188)))&amp;" · "&amp;INDEX('Zgłoszenia'!$H$5:$H$504,G188)&amp;" — "&amp;IF(INDEX('Zgłoszenia'!$M$5:$M$504,G188)="","Zgłoszona",INDEX('Zgłoszenia'!$M$5:$M$504,G188))))</f>
        <v/>
      </c>
      <c r="F188" s="2" t="n"/>
      <c r="G188" s="2">
        <f>IF(OR(A188="",D188=0),"",MATCH(SUMPRODUCT(MAX(('Zgłoszenia'!$B$5:$B$504=A188)*'Zgłoszenia'!$R$5:$R$504)),'Zgłoszenia'!$R$5:$R$504,0))</f>
        <v/>
      </c>
    </row>
    <row r="189">
      <c r="A189" s="20">
        <f>IF('Wózki'!A183="","",'Wózki'!A183)</f>
        <v/>
      </c>
      <c r="B189" s="21">
        <f>IF(A189="","",'Wózki'!B183&amp;"")</f>
        <v/>
      </c>
      <c r="C189" s="21">
        <f>IF(A189="","",IF(COUNTIFS('Zgłoszenia'!$B$5:$B$504,A189,'Zgłoszenia'!$O$5:$O$504,"TAK",'Zgłoszenia'!$L$5:$L$504,"TAK")&gt;0,"Wyłączony z pracy",IF(COUNTIFS('Zgłoszenia'!$B$5:$B$504,A189,'Zgłoszenia'!$M$5:$M$504,Ustawienia!$J$5)+COUNTIFS('Zgłoszenia'!$B$5:$B$504,A189,'Zgłoszenia'!$M$5:$M$504,Ustawienia!$J$6)&gt;0,"W naprawie",IF(D189&gt;0,"Usterka zgłoszona","Sprawny"))))</f>
        <v/>
      </c>
      <c r="D189" s="22">
        <f>IF(A189="","",COUNTIFS('Zgłoszenia'!$B$5:$B$504,A189,'Zgłoszenia'!$O$5:$O$504,"TAK"))</f>
        <v/>
      </c>
      <c r="E189" s="21">
        <f>IF(A189="","",IF(D189=0,"Brak otwartych usterek",IF(INDEX('Zgłoszenia'!$D$5:$D$504,G189)="","",RIGHT("0"&amp;DAY(INDEX('Zgłoszenia'!$D$5:$D$504,G189)),2)&amp;"."&amp;RIGHT("0"&amp;MONTH(INDEX('Zgłoszenia'!$D$5:$D$504,G189)),2)&amp;"."&amp;YEAR(INDEX('Zgłoszenia'!$D$5:$D$504,G189)))&amp;" · "&amp;INDEX('Zgłoszenia'!$H$5:$H$504,G189)&amp;" — "&amp;IF(INDEX('Zgłoszenia'!$M$5:$M$504,G189)="","Zgłoszona",INDEX('Zgłoszenia'!$M$5:$M$504,G189))))</f>
        <v/>
      </c>
      <c r="F189" s="2" t="n"/>
      <c r="G189" s="2">
        <f>IF(OR(A189="",D189=0),"",MATCH(SUMPRODUCT(MAX(('Zgłoszenia'!$B$5:$B$504=A189)*'Zgłoszenia'!$R$5:$R$504)),'Zgłoszenia'!$R$5:$R$504,0))</f>
        <v/>
      </c>
    </row>
    <row r="190">
      <c r="A190" s="20">
        <f>IF('Wózki'!A184="","",'Wózki'!A184)</f>
        <v/>
      </c>
      <c r="B190" s="21">
        <f>IF(A190="","",'Wózki'!B184&amp;"")</f>
        <v/>
      </c>
      <c r="C190" s="21">
        <f>IF(A190="","",IF(COUNTIFS('Zgłoszenia'!$B$5:$B$504,A190,'Zgłoszenia'!$O$5:$O$504,"TAK",'Zgłoszenia'!$L$5:$L$504,"TAK")&gt;0,"Wyłączony z pracy",IF(COUNTIFS('Zgłoszenia'!$B$5:$B$504,A190,'Zgłoszenia'!$M$5:$M$504,Ustawienia!$J$5)+COUNTIFS('Zgłoszenia'!$B$5:$B$504,A190,'Zgłoszenia'!$M$5:$M$504,Ustawienia!$J$6)&gt;0,"W naprawie",IF(D190&gt;0,"Usterka zgłoszona","Sprawny"))))</f>
        <v/>
      </c>
      <c r="D190" s="22">
        <f>IF(A190="","",COUNTIFS('Zgłoszenia'!$B$5:$B$504,A190,'Zgłoszenia'!$O$5:$O$504,"TAK"))</f>
        <v/>
      </c>
      <c r="E190" s="21">
        <f>IF(A190="","",IF(D190=0,"Brak otwartych usterek",IF(INDEX('Zgłoszenia'!$D$5:$D$504,G190)="","",RIGHT("0"&amp;DAY(INDEX('Zgłoszenia'!$D$5:$D$504,G190)),2)&amp;"."&amp;RIGHT("0"&amp;MONTH(INDEX('Zgłoszenia'!$D$5:$D$504,G190)),2)&amp;"."&amp;YEAR(INDEX('Zgłoszenia'!$D$5:$D$504,G190)))&amp;" · "&amp;INDEX('Zgłoszenia'!$H$5:$H$504,G190)&amp;" — "&amp;IF(INDEX('Zgłoszenia'!$M$5:$M$504,G190)="","Zgłoszona",INDEX('Zgłoszenia'!$M$5:$M$504,G190))))</f>
        <v/>
      </c>
      <c r="F190" s="2" t="n"/>
      <c r="G190" s="2">
        <f>IF(OR(A190="",D190=0),"",MATCH(SUMPRODUCT(MAX(('Zgłoszenia'!$B$5:$B$504=A190)*'Zgłoszenia'!$R$5:$R$504)),'Zgłoszenia'!$R$5:$R$504,0))</f>
        <v/>
      </c>
    </row>
    <row r="191">
      <c r="A191" s="20">
        <f>IF('Wózki'!A185="","",'Wózki'!A185)</f>
        <v/>
      </c>
      <c r="B191" s="21">
        <f>IF(A191="","",'Wózki'!B185&amp;"")</f>
        <v/>
      </c>
      <c r="C191" s="21">
        <f>IF(A191="","",IF(COUNTIFS('Zgłoszenia'!$B$5:$B$504,A191,'Zgłoszenia'!$O$5:$O$504,"TAK",'Zgłoszenia'!$L$5:$L$504,"TAK")&gt;0,"Wyłączony z pracy",IF(COUNTIFS('Zgłoszenia'!$B$5:$B$504,A191,'Zgłoszenia'!$M$5:$M$504,Ustawienia!$J$5)+COUNTIFS('Zgłoszenia'!$B$5:$B$504,A191,'Zgłoszenia'!$M$5:$M$504,Ustawienia!$J$6)&gt;0,"W naprawie",IF(D191&gt;0,"Usterka zgłoszona","Sprawny"))))</f>
        <v/>
      </c>
      <c r="D191" s="22">
        <f>IF(A191="","",COUNTIFS('Zgłoszenia'!$B$5:$B$504,A191,'Zgłoszenia'!$O$5:$O$504,"TAK"))</f>
        <v/>
      </c>
      <c r="E191" s="21">
        <f>IF(A191="","",IF(D191=0,"Brak otwartych usterek",IF(INDEX('Zgłoszenia'!$D$5:$D$504,G191)="","",RIGHT("0"&amp;DAY(INDEX('Zgłoszenia'!$D$5:$D$504,G191)),2)&amp;"."&amp;RIGHT("0"&amp;MONTH(INDEX('Zgłoszenia'!$D$5:$D$504,G191)),2)&amp;"."&amp;YEAR(INDEX('Zgłoszenia'!$D$5:$D$504,G191)))&amp;" · "&amp;INDEX('Zgłoszenia'!$H$5:$H$504,G191)&amp;" — "&amp;IF(INDEX('Zgłoszenia'!$M$5:$M$504,G191)="","Zgłoszona",INDEX('Zgłoszenia'!$M$5:$M$504,G191))))</f>
        <v/>
      </c>
      <c r="F191" s="2" t="n"/>
      <c r="G191" s="2">
        <f>IF(OR(A191="",D191=0),"",MATCH(SUMPRODUCT(MAX(('Zgłoszenia'!$B$5:$B$504=A191)*'Zgłoszenia'!$R$5:$R$504)),'Zgłoszenia'!$R$5:$R$504,0))</f>
        <v/>
      </c>
    </row>
    <row r="192">
      <c r="A192" s="20">
        <f>IF('Wózki'!A186="","",'Wózki'!A186)</f>
        <v/>
      </c>
      <c r="B192" s="21">
        <f>IF(A192="","",'Wózki'!B186&amp;"")</f>
        <v/>
      </c>
      <c r="C192" s="21">
        <f>IF(A192="","",IF(COUNTIFS('Zgłoszenia'!$B$5:$B$504,A192,'Zgłoszenia'!$O$5:$O$504,"TAK",'Zgłoszenia'!$L$5:$L$504,"TAK")&gt;0,"Wyłączony z pracy",IF(COUNTIFS('Zgłoszenia'!$B$5:$B$504,A192,'Zgłoszenia'!$M$5:$M$504,Ustawienia!$J$5)+COUNTIFS('Zgłoszenia'!$B$5:$B$504,A192,'Zgłoszenia'!$M$5:$M$504,Ustawienia!$J$6)&gt;0,"W naprawie",IF(D192&gt;0,"Usterka zgłoszona","Sprawny"))))</f>
        <v/>
      </c>
      <c r="D192" s="22">
        <f>IF(A192="","",COUNTIFS('Zgłoszenia'!$B$5:$B$504,A192,'Zgłoszenia'!$O$5:$O$504,"TAK"))</f>
        <v/>
      </c>
      <c r="E192" s="21">
        <f>IF(A192="","",IF(D192=0,"Brak otwartych usterek",IF(INDEX('Zgłoszenia'!$D$5:$D$504,G192)="","",RIGHT("0"&amp;DAY(INDEX('Zgłoszenia'!$D$5:$D$504,G192)),2)&amp;"."&amp;RIGHT("0"&amp;MONTH(INDEX('Zgłoszenia'!$D$5:$D$504,G192)),2)&amp;"."&amp;YEAR(INDEX('Zgłoszenia'!$D$5:$D$504,G192)))&amp;" · "&amp;INDEX('Zgłoszenia'!$H$5:$H$504,G192)&amp;" — "&amp;IF(INDEX('Zgłoszenia'!$M$5:$M$504,G192)="","Zgłoszona",INDEX('Zgłoszenia'!$M$5:$M$504,G192))))</f>
        <v/>
      </c>
      <c r="F192" s="2" t="n"/>
      <c r="G192" s="2">
        <f>IF(OR(A192="",D192=0),"",MATCH(SUMPRODUCT(MAX(('Zgłoszenia'!$B$5:$B$504=A192)*'Zgłoszenia'!$R$5:$R$504)),'Zgłoszenia'!$R$5:$R$504,0))</f>
        <v/>
      </c>
    </row>
    <row r="193">
      <c r="A193" s="20">
        <f>IF('Wózki'!A187="","",'Wózki'!A187)</f>
        <v/>
      </c>
      <c r="B193" s="21">
        <f>IF(A193="","",'Wózki'!B187&amp;"")</f>
        <v/>
      </c>
      <c r="C193" s="21">
        <f>IF(A193="","",IF(COUNTIFS('Zgłoszenia'!$B$5:$B$504,A193,'Zgłoszenia'!$O$5:$O$504,"TAK",'Zgłoszenia'!$L$5:$L$504,"TAK")&gt;0,"Wyłączony z pracy",IF(COUNTIFS('Zgłoszenia'!$B$5:$B$504,A193,'Zgłoszenia'!$M$5:$M$504,Ustawienia!$J$5)+COUNTIFS('Zgłoszenia'!$B$5:$B$504,A193,'Zgłoszenia'!$M$5:$M$504,Ustawienia!$J$6)&gt;0,"W naprawie",IF(D193&gt;0,"Usterka zgłoszona","Sprawny"))))</f>
        <v/>
      </c>
      <c r="D193" s="22">
        <f>IF(A193="","",COUNTIFS('Zgłoszenia'!$B$5:$B$504,A193,'Zgłoszenia'!$O$5:$O$504,"TAK"))</f>
        <v/>
      </c>
      <c r="E193" s="21">
        <f>IF(A193="","",IF(D193=0,"Brak otwartych usterek",IF(INDEX('Zgłoszenia'!$D$5:$D$504,G193)="","",RIGHT("0"&amp;DAY(INDEX('Zgłoszenia'!$D$5:$D$504,G193)),2)&amp;"."&amp;RIGHT("0"&amp;MONTH(INDEX('Zgłoszenia'!$D$5:$D$504,G193)),2)&amp;"."&amp;YEAR(INDEX('Zgłoszenia'!$D$5:$D$504,G193)))&amp;" · "&amp;INDEX('Zgłoszenia'!$H$5:$H$504,G193)&amp;" — "&amp;IF(INDEX('Zgłoszenia'!$M$5:$M$504,G193)="","Zgłoszona",INDEX('Zgłoszenia'!$M$5:$M$504,G193))))</f>
        <v/>
      </c>
      <c r="F193" s="2" t="n"/>
      <c r="G193" s="2">
        <f>IF(OR(A193="",D193=0),"",MATCH(SUMPRODUCT(MAX(('Zgłoszenia'!$B$5:$B$504=A193)*'Zgłoszenia'!$R$5:$R$504)),'Zgłoszenia'!$R$5:$R$504,0))</f>
        <v/>
      </c>
    </row>
    <row r="194">
      <c r="A194" s="20">
        <f>IF('Wózki'!A188="","",'Wózki'!A188)</f>
        <v/>
      </c>
      <c r="B194" s="21">
        <f>IF(A194="","",'Wózki'!B188&amp;"")</f>
        <v/>
      </c>
      <c r="C194" s="21">
        <f>IF(A194="","",IF(COUNTIFS('Zgłoszenia'!$B$5:$B$504,A194,'Zgłoszenia'!$O$5:$O$504,"TAK",'Zgłoszenia'!$L$5:$L$504,"TAK")&gt;0,"Wyłączony z pracy",IF(COUNTIFS('Zgłoszenia'!$B$5:$B$504,A194,'Zgłoszenia'!$M$5:$M$504,Ustawienia!$J$5)+COUNTIFS('Zgłoszenia'!$B$5:$B$504,A194,'Zgłoszenia'!$M$5:$M$504,Ustawienia!$J$6)&gt;0,"W naprawie",IF(D194&gt;0,"Usterka zgłoszona","Sprawny"))))</f>
        <v/>
      </c>
      <c r="D194" s="22">
        <f>IF(A194="","",COUNTIFS('Zgłoszenia'!$B$5:$B$504,A194,'Zgłoszenia'!$O$5:$O$504,"TAK"))</f>
        <v/>
      </c>
      <c r="E194" s="21">
        <f>IF(A194="","",IF(D194=0,"Brak otwartych usterek",IF(INDEX('Zgłoszenia'!$D$5:$D$504,G194)="","",RIGHT("0"&amp;DAY(INDEX('Zgłoszenia'!$D$5:$D$504,G194)),2)&amp;"."&amp;RIGHT("0"&amp;MONTH(INDEX('Zgłoszenia'!$D$5:$D$504,G194)),2)&amp;"."&amp;YEAR(INDEX('Zgłoszenia'!$D$5:$D$504,G194)))&amp;" · "&amp;INDEX('Zgłoszenia'!$H$5:$H$504,G194)&amp;" — "&amp;IF(INDEX('Zgłoszenia'!$M$5:$M$504,G194)="","Zgłoszona",INDEX('Zgłoszenia'!$M$5:$M$504,G194))))</f>
        <v/>
      </c>
      <c r="F194" s="2" t="n"/>
      <c r="G194" s="2">
        <f>IF(OR(A194="",D194=0),"",MATCH(SUMPRODUCT(MAX(('Zgłoszenia'!$B$5:$B$504=A194)*'Zgłoszenia'!$R$5:$R$504)),'Zgłoszenia'!$R$5:$R$504,0))</f>
        <v/>
      </c>
    </row>
    <row r="195">
      <c r="A195" s="20">
        <f>IF('Wózki'!A189="","",'Wózki'!A189)</f>
        <v/>
      </c>
      <c r="B195" s="21">
        <f>IF(A195="","",'Wózki'!B189&amp;"")</f>
        <v/>
      </c>
      <c r="C195" s="21">
        <f>IF(A195="","",IF(COUNTIFS('Zgłoszenia'!$B$5:$B$504,A195,'Zgłoszenia'!$O$5:$O$504,"TAK",'Zgłoszenia'!$L$5:$L$504,"TAK")&gt;0,"Wyłączony z pracy",IF(COUNTIFS('Zgłoszenia'!$B$5:$B$504,A195,'Zgłoszenia'!$M$5:$M$504,Ustawienia!$J$5)+COUNTIFS('Zgłoszenia'!$B$5:$B$504,A195,'Zgłoszenia'!$M$5:$M$504,Ustawienia!$J$6)&gt;0,"W naprawie",IF(D195&gt;0,"Usterka zgłoszona","Sprawny"))))</f>
        <v/>
      </c>
      <c r="D195" s="22">
        <f>IF(A195="","",COUNTIFS('Zgłoszenia'!$B$5:$B$504,A195,'Zgłoszenia'!$O$5:$O$504,"TAK"))</f>
        <v/>
      </c>
      <c r="E195" s="21">
        <f>IF(A195="","",IF(D195=0,"Brak otwartych usterek",IF(INDEX('Zgłoszenia'!$D$5:$D$504,G195)="","",RIGHT("0"&amp;DAY(INDEX('Zgłoszenia'!$D$5:$D$504,G195)),2)&amp;"."&amp;RIGHT("0"&amp;MONTH(INDEX('Zgłoszenia'!$D$5:$D$504,G195)),2)&amp;"."&amp;YEAR(INDEX('Zgłoszenia'!$D$5:$D$504,G195)))&amp;" · "&amp;INDEX('Zgłoszenia'!$H$5:$H$504,G195)&amp;" — "&amp;IF(INDEX('Zgłoszenia'!$M$5:$M$504,G195)="","Zgłoszona",INDEX('Zgłoszenia'!$M$5:$M$504,G195))))</f>
        <v/>
      </c>
      <c r="F195" s="2" t="n"/>
      <c r="G195" s="2">
        <f>IF(OR(A195="",D195=0),"",MATCH(SUMPRODUCT(MAX(('Zgłoszenia'!$B$5:$B$504=A195)*'Zgłoszenia'!$R$5:$R$504)),'Zgłoszenia'!$R$5:$R$504,0))</f>
        <v/>
      </c>
    </row>
    <row r="196">
      <c r="A196" s="20">
        <f>IF('Wózki'!A190="","",'Wózki'!A190)</f>
        <v/>
      </c>
      <c r="B196" s="21">
        <f>IF(A196="","",'Wózki'!B190&amp;"")</f>
        <v/>
      </c>
      <c r="C196" s="21">
        <f>IF(A196="","",IF(COUNTIFS('Zgłoszenia'!$B$5:$B$504,A196,'Zgłoszenia'!$O$5:$O$504,"TAK",'Zgłoszenia'!$L$5:$L$504,"TAK")&gt;0,"Wyłączony z pracy",IF(COUNTIFS('Zgłoszenia'!$B$5:$B$504,A196,'Zgłoszenia'!$M$5:$M$504,Ustawienia!$J$5)+COUNTIFS('Zgłoszenia'!$B$5:$B$504,A196,'Zgłoszenia'!$M$5:$M$504,Ustawienia!$J$6)&gt;0,"W naprawie",IF(D196&gt;0,"Usterka zgłoszona","Sprawny"))))</f>
        <v/>
      </c>
      <c r="D196" s="22">
        <f>IF(A196="","",COUNTIFS('Zgłoszenia'!$B$5:$B$504,A196,'Zgłoszenia'!$O$5:$O$504,"TAK"))</f>
        <v/>
      </c>
      <c r="E196" s="21">
        <f>IF(A196="","",IF(D196=0,"Brak otwartych usterek",IF(INDEX('Zgłoszenia'!$D$5:$D$504,G196)="","",RIGHT("0"&amp;DAY(INDEX('Zgłoszenia'!$D$5:$D$504,G196)),2)&amp;"."&amp;RIGHT("0"&amp;MONTH(INDEX('Zgłoszenia'!$D$5:$D$504,G196)),2)&amp;"."&amp;YEAR(INDEX('Zgłoszenia'!$D$5:$D$504,G196)))&amp;" · "&amp;INDEX('Zgłoszenia'!$H$5:$H$504,G196)&amp;" — "&amp;IF(INDEX('Zgłoszenia'!$M$5:$M$504,G196)="","Zgłoszona",INDEX('Zgłoszenia'!$M$5:$M$504,G196))))</f>
        <v/>
      </c>
      <c r="F196" s="2" t="n"/>
      <c r="G196" s="2">
        <f>IF(OR(A196="",D196=0),"",MATCH(SUMPRODUCT(MAX(('Zgłoszenia'!$B$5:$B$504=A196)*'Zgłoszenia'!$R$5:$R$504)),'Zgłoszenia'!$R$5:$R$504,0))</f>
        <v/>
      </c>
    </row>
    <row r="197">
      <c r="A197" s="20">
        <f>IF('Wózki'!A191="","",'Wózki'!A191)</f>
        <v/>
      </c>
      <c r="B197" s="21">
        <f>IF(A197="","",'Wózki'!B191&amp;"")</f>
        <v/>
      </c>
      <c r="C197" s="21">
        <f>IF(A197="","",IF(COUNTIFS('Zgłoszenia'!$B$5:$B$504,A197,'Zgłoszenia'!$O$5:$O$504,"TAK",'Zgłoszenia'!$L$5:$L$504,"TAK")&gt;0,"Wyłączony z pracy",IF(COUNTIFS('Zgłoszenia'!$B$5:$B$504,A197,'Zgłoszenia'!$M$5:$M$504,Ustawienia!$J$5)+COUNTIFS('Zgłoszenia'!$B$5:$B$504,A197,'Zgłoszenia'!$M$5:$M$504,Ustawienia!$J$6)&gt;0,"W naprawie",IF(D197&gt;0,"Usterka zgłoszona","Sprawny"))))</f>
        <v/>
      </c>
      <c r="D197" s="22">
        <f>IF(A197="","",COUNTIFS('Zgłoszenia'!$B$5:$B$504,A197,'Zgłoszenia'!$O$5:$O$504,"TAK"))</f>
        <v/>
      </c>
      <c r="E197" s="21">
        <f>IF(A197="","",IF(D197=0,"Brak otwartych usterek",IF(INDEX('Zgłoszenia'!$D$5:$D$504,G197)="","",RIGHT("0"&amp;DAY(INDEX('Zgłoszenia'!$D$5:$D$504,G197)),2)&amp;"."&amp;RIGHT("0"&amp;MONTH(INDEX('Zgłoszenia'!$D$5:$D$504,G197)),2)&amp;"."&amp;YEAR(INDEX('Zgłoszenia'!$D$5:$D$504,G197)))&amp;" · "&amp;INDEX('Zgłoszenia'!$H$5:$H$504,G197)&amp;" — "&amp;IF(INDEX('Zgłoszenia'!$M$5:$M$504,G197)="","Zgłoszona",INDEX('Zgłoszenia'!$M$5:$M$504,G197))))</f>
        <v/>
      </c>
      <c r="F197" s="2" t="n"/>
      <c r="G197" s="2">
        <f>IF(OR(A197="",D197=0),"",MATCH(SUMPRODUCT(MAX(('Zgłoszenia'!$B$5:$B$504=A197)*'Zgłoszenia'!$R$5:$R$504)),'Zgłoszenia'!$R$5:$R$504,0))</f>
        <v/>
      </c>
    </row>
    <row r="198">
      <c r="A198" s="20">
        <f>IF('Wózki'!A192="","",'Wózki'!A192)</f>
        <v/>
      </c>
      <c r="B198" s="21">
        <f>IF(A198="","",'Wózki'!B192&amp;"")</f>
        <v/>
      </c>
      <c r="C198" s="21">
        <f>IF(A198="","",IF(COUNTIFS('Zgłoszenia'!$B$5:$B$504,A198,'Zgłoszenia'!$O$5:$O$504,"TAK",'Zgłoszenia'!$L$5:$L$504,"TAK")&gt;0,"Wyłączony z pracy",IF(COUNTIFS('Zgłoszenia'!$B$5:$B$504,A198,'Zgłoszenia'!$M$5:$M$504,Ustawienia!$J$5)+COUNTIFS('Zgłoszenia'!$B$5:$B$504,A198,'Zgłoszenia'!$M$5:$M$504,Ustawienia!$J$6)&gt;0,"W naprawie",IF(D198&gt;0,"Usterka zgłoszona","Sprawny"))))</f>
        <v/>
      </c>
      <c r="D198" s="22">
        <f>IF(A198="","",COUNTIFS('Zgłoszenia'!$B$5:$B$504,A198,'Zgłoszenia'!$O$5:$O$504,"TAK"))</f>
        <v/>
      </c>
      <c r="E198" s="21">
        <f>IF(A198="","",IF(D198=0,"Brak otwartych usterek",IF(INDEX('Zgłoszenia'!$D$5:$D$504,G198)="","",RIGHT("0"&amp;DAY(INDEX('Zgłoszenia'!$D$5:$D$504,G198)),2)&amp;"."&amp;RIGHT("0"&amp;MONTH(INDEX('Zgłoszenia'!$D$5:$D$504,G198)),2)&amp;"."&amp;YEAR(INDEX('Zgłoszenia'!$D$5:$D$504,G198)))&amp;" · "&amp;INDEX('Zgłoszenia'!$H$5:$H$504,G198)&amp;" — "&amp;IF(INDEX('Zgłoszenia'!$M$5:$M$504,G198)="","Zgłoszona",INDEX('Zgłoszenia'!$M$5:$M$504,G198))))</f>
        <v/>
      </c>
      <c r="F198" s="2" t="n"/>
      <c r="G198" s="2">
        <f>IF(OR(A198="",D198=0),"",MATCH(SUMPRODUCT(MAX(('Zgłoszenia'!$B$5:$B$504=A198)*'Zgłoszenia'!$R$5:$R$504)),'Zgłoszenia'!$R$5:$R$504,0))</f>
        <v/>
      </c>
    </row>
    <row r="199">
      <c r="A199" s="20">
        <f>IF('Wózki'!A193="","",'Wózki'!A193)</f>
        <v/>
      </c>
      <c r="B199" s="21">
        <f>IF(A199="","",'Wózki'!B193&amp;"")</f>
        <v/>
      </c>
      <c r="C199" s="21">
        <f>IF(A199="","",IF(COUNTIFS('Zgłoszenia'!$B$5:$B$504,A199,'Zgłoszenia'!$O$5:$O$504,"TAK",'Zgłoszenia'!$L$5:$L$504,"TAK")&gt;0,"Wyłączony z pracy",IF(COUNTIFS('Zgłoszenia'!$B$5:$B$504,A199,'Zgłoszenia'!$M$5:$M$504,Ustawienia!$J$5)+COUNTIFS('Zgłoszenia'!$B$5:$B$504,A199,'Zgłoszenia'!$M$5:$M$504,Ustawienia!$J$6)&gt;0,"W naprawie",IF(D199&gt;0,"Usterka zgłoszona","Sprawny"))))</f>
        <v/>
      </c>
      <c r="D199" s="22">
        <f>IF(A199="","",COUNTIFS('Zgłoszenia'!$B$5:$B$504,A199,'Zgłoszenia'!$O$5:$O$504,"TAK"))</f>
        <v/>
      </c>
      <c r="E199" s="21">
        <f>IF(A199="","",IF(D199=0,"Brak otwartych usterek",IF(INDEX('Zgłoszenia'!$D$5:$D$504,G199)="","",RIGHT("0"&amp;DAY(INDEX('Zgłoszenia'!$D$5:$D$504,G199)),2)&amp;"."&amp;RIGHT("0"&amp;MONTH(INDEX('Zgłoszenia'!$D$5:$D$504,G199)),2)&amp;"."&amp;YEAR(INDEX('Zgłoszenia'!$D$5:$D$504,G199)))&amp;" · "&amp;INDEX('Zgłoszenia'!$H$5:$H$504,G199)&amp;" — "&amp;IF(INDEX('Zgłoszenia'!$M$5:$M$504,G199)="","Zgłoszona",INDEX('Zgłoszenia'!$M$5:$M$504,G199))))</f>
        <v/>
      </c>
      <c r="F199" s="2" t="n"/>
      <c r="G199" s="2">
        <f>IF(OR(A199="",D199=0),"",MATCH(SUMPRODUCT(MAX(('Zgłoszenia'!$B$5:$B$504=A199)*'Zgłoszenia'!$R$5:$R$504)),'Zgłoszenia'!$R$5:$R$504,0))</f>
        <v/>
      </c>
    </row>
    <row r="200">
      <c r="A200" s="20">
        <f>IF('Wózki'!A194="","",'Wózki'!A194)</f>
        <v/>
      </c>
      <c r="B200" s="21">
        <f>IF(A200="","",'Wózki'!B194&amp;"")</f>
        <v/>
      </c>
      <c r="C200" s="21">
        <f>IF(A200="","",IF(COUNTIFS('Zgłoszenia'!$B$5:$B$504,A200,'Zgłoszenia'!$O$5:$O$504,"TAK",'Zgłoszenia'!$L$5:$L$504,"TAK")&gt;0,"Wyłączony z pracy",IF(COUNTIFS('Zgłoszenia'!$B$5:$B$504,A200,'Zgłoszenia'!$M$5:$M$504,Ustawienia!$J$5)+COUNTIFS('Zgłoszenia'!$B$5:$B$504,A200,'Zgłoszenia'!$M$5:$M$504,Ustawienia!$J$6)&gt;0,"W naprawie",IF(D200&gt;0,"Usterka zgłoszona","Sprawny"))))</f>
        <v/>
      </c>
      <c r="D200" s="22">
        <f>IF(A200="","",COUNTIFS('Zgłoszenia'!$B$5:$B$504,A200,'Zgłoszenia'!$O$5:$O$504,"TAK"))</f>
        <v/>
      </c>
      <c r="E200" s="21">
        <f>IF(A200="","",IF(D200=0,"Brak otwartych usterek",IF(INDEX('Zgłoszenia'!$D$5:$D$504,G200)="","",RIGHT("0"&amp;DAY(INDEX('Zgłoszenia'!$D$5:$D$504,G200)),2)&amp;"."&amp;RIGHT("0"&amp;MONTH(INDEX('Zgłoszenia'!$D$5:$D$504,G200)),2)&amp;"."&amp;YEAR(INDEX('Zgłoszenia'!$D$5:$D$504,G200)))&amp;" · "&amp;INDEX('Zgłoszenia'!$H$5:$H$504,G200)&amp;" — "&amp;IF(INDEX('Zgłoszenia'!$M$5:$M$504,G200)="","Zgłoszona",INDEX('Zgłoszenia'!$M$5:$M$504,G200))))</f>
        <v/>
      </c>
      <c r="F200" s="2" t="n"/>
      <c r="G200" s="2">
        <f>IF(OR(A200="",D200=0),"",MATCH(SUMPRODUCT(MAX(('Zgłoszenia'!$B$5:$B$504=A200)*'Zgłoszenia'!$R$5:$R$504)),'Zgłoszenia'!$R$5:$R$504,0))</f>
        <v/>
      </c>
    </row>
    <row r="201">
      <c r="A201" s="20">
        <f>IF('Wózki'!A195="","",'Wózki'!A195)</f>
        <v/>
      </c>
      <c r="B201" s="21">
        <f>IF(A201="","",'Wózki'!B195&amp;"")</f>
        <v/>
      </c>
      <c r="C201" s="21">
        <f>IF(A201="","",IF(COUNTIFS('Zgłoszenia'!$B$5:$B$504,A201,'Zgłoszenia'!$O$5:$O$504,"TAK",'Zgłoszenia'!$L$5:$L$504,"TAK")&gt;0,"Wyłączony z pracy",IF(COUNTIFS('Zgłoszenia'!$B$5:$B$504,A201,'Zgłoszenia'!$M$5:$M$504,Ustawienia!$J$5)+COUNTIFS('Zgłoszenia'!$B$5:$B$504,A201,'Zgłoszenia'!$M$5:$M$504,Ustawienia!$J$6)&gt;0,"W naprawie",IF(D201&gt;0,"Usterka zgłoszona","Sprawny"))))</f>
        <v/>
      </c>
      <c r="D201" s="22">
        <f>IF(A201="","",COUNTIFS('Zgłoszenia'!$B$5:$B$504,A201,'Zgłoszenia'!$O$5:$O$504,"TAK"))</f>
        <v/>
      </c>
      <c r="E201" s="21">
        <f>IF(A201="","",IF(D201=0,"Brak otwartych usterek",IF(INDEX('Zgłoszenia'!$D$5:$D$504,G201)="","",RIGHT("0"&amp;DAY(INDEX('Zgłoszenia'!$D$5:$D$504,G201)),2)&amp;"."&amp;RIGHT("0"&amp;MONTH(INDEX('Zgłoszenia'!$D$5:$D$504,G201)),2)&amp;"."&amp;YEAR(INDEX('Zgłoszenia'!$D$5:$D$504,G201)))&amp;" · "&amp;INDEX('Zgłoszenia'!$H$5:$H$504,G201)&amp;" — "&amp;IF(INDEX('Zgłoszenia'!$M$5:$M$504,G201)="","Zgłoszona",INDEX('Zgłoszenia'!$M$5:$M$504,G201))))</f>
        <v/>
      </c>
      <c r="F201" s="2" t="n"/>
      <c r="G201" s="2">
        <f>IF(OR(A201="",D201=0),"",MATCH(SUMPRODUCT(MAX(('Zgłoszenia'!$B$5:$B$504=A201)*'Zgłoszenia'!$R$5:$R$504)),'Zgłoszenia'!$R$5:$R$504,0))</f>
        <v/>
      </c>
    </row>
    <row r="202">
      <c r="A202" s="20">
        <f>IF('Wózki'!A196="","",'Wózki'!A196)</f>
        <v/>
      </c>
      <c r="B202" s="21">
        <f>IF(A202="","",'Wózki'!B196&amp;"")</f>
        <v/>
      </c>
      <c r="C202" s="21">
        <f>IF(A202="","",IF(COUNTIFS('Zgłoszenia'!$B$5:$B$504,A202,'Zgłoszenia'!$O$5:$O$504,"TAK",'Zgłoszenia'!$L$5:$L$504,"TAK")&gt;0,"Wyłączony z pracy",IF(COUNTIFS('Zgłoszenia'!$B$5:$B$504,A202,'Zgłoszenia'!$M$5:$M$504,Ustawienia!$J$5)+COUNTIFS('Zgłoszenia'!$B$5:$B$504,A202,'Zgłoszenia'!$M$5:$M$504,Ustawienia!$J$6)&gt;0,"W naprawie",IF(D202&gt;0,"Usterka zgłoszona","Sprawny"))))</f>
        <v/>
      </c>
      <c r="D202" s="22">
        <f>IF(A202="","",COUNTIFS('Zgłoszenia'!$B$5:$B$504,A202,'Zgłoszenia'!$O$5:$O$504,"TAK"))</f>
        <v/>
      </c>
      <c r="E202" s="21">
        <f>IF(A202="","",IF(D202=0,"Brak otwartych usterek",IF(INDEX('Zgłoszenia'!$D$5:$D$504,G202)="","",RIGHT("0"&amp;DAY(INDEX('Zgłoszenia'!$D$5:$D$504,G202)),2)&amp;"."&amp;RIGHT("0"&amp;MONTH(INDEX('Zgłoszenia'!$D$5:$D$504,G202)),2)&amp;"."&amp;YEAR(INDEX('Zgłoszenia'!$D$5:$D$504,G202)))&amp;" · "&amp;INDEX('Zgłoszenia'!$H$5:$H$504,G202)&amp;" — "&amp;IF(INDEX('Zgłoszenia'!$M$5:$M$504,G202)="","Zgłoszona",INDEX('Zgłoszenia'!$M$5:$M$504,G202))))</f>
        <v/>
      </c>
      <c r="F202" s="2" t="n"/>
      <c r="G202" s="2">
        <f>IF(OR(A202="",D202=0),"",MATCH(SUMPRODUCT(MAX(('Zgłoszenia'!$B$5:$B$504=A202)*'Zgłoszenia'!$R$5:$R$504)),'Zgłoszenia'!$R$5:$R$504,0))</f>
        <v/>
      </c>
    </row>
    <row r="203">
      <c r="A203" s="20">
        <f>IF('Wózki'!A197="","",'Wózki'!A197)</f>
        <v/>
      </c>
      <c r="B203" s="21">
        <f>IF(A203="","",'Wózki'!B197&amp;"")</f>
        <v/>
      </c>
      <c r="C203" s="21">
        <f>IF(A203="","",IF(COUNTIFS('Zgłoszenia'!$B$5:$B$504,A203,'Zgłoszenia'!$O$5:$O$504,"TAK",'Zgłoszenia'!$L$5:$L$504,"TAK")&gt;0,"Wyłączony z pracy",IF(COUNTIFS('Zgłoszenia'!$B$5:$B$504,A203,'Zgłoszenia'!$M$5:$M$504,Ustawienia!$J$5)+COUNTIFS('Zgłoszenia'!$B$5:$B$504,A203,'Zgłoszenia'!$M$5:$M$504,Ustawienia!$J$6)&gt;0,"W naprawie",IF(D203&gt;0,"Usterka zgłoszona","Sprawny"))))</f>
        <v/>
      </c>
      <c r="D203" s="22">
        <f>IF(A203="","",COUNTIFS('Zgłoszenia'!$B$5:$B$504,A203,'Zgłoszenia'!$O$5:$O$504,"TAK"))</f>
        <v/>
      </c>
      <c r="E203" s="21">
        <f>IF(A203="","",IF(D203=0,"Brak otwartych usterek",IF(INDEX('Zgłoszenia'!$D$5:$D$504,G203)="","",RIGHT("0"&amp;DAY(INDEX('Zgłoszenia'!$D$5:$D$504,G203)),2)&amp;"."&amp;RIGHT("0"&amp;MONTH(INDEX('Zgłoszenia'!$D$5:$D$504,G203)),2)&amp;"."&amp;YEAR(INDEX('Zgłoszenia'!$D$5:$D$504,G203)))&amp;" · "&amp;INDEX('Zgłoszenia'!$H$5:$H$504,G203)&amp;" — "&amp;IF(INDEX('Zgłoszenia'!$M$5:$M$504,G203)="","Zgłoszona",INDEX('Zgłoszenia'!$M$5:$M$504,G203))))</f>
        <v/>
      </c>
      <c r="F203" s="2" t="n"/>
      <c r="G203" s="2">
        <f>IF(OR(A203="",D203=0),"",MATCH(SUMPRODUCT(MAX(('Zgłoszenia'!$B$5:$B$504=A203)*'Zgłoszenia'!$R$5:$R$504)),'Zgłoszenia'!$R$5:$R$504,0))</f>
        <v/>
      </c>
    </row>
    <row r="204">
      <c r="A204" s="20">
        <f>IF('Wózki'!A198="","",'Wózki'!A198)</f>
        <v/>
      </c>
      <c r="B204" s="21">
        <f>IF(A204="","",'Wózki'!B198&amp;"")</f>
        <v/>
      </c>
      <c r="C204" s="21">
        <f>IF(A204="","",IF(COUNTIFS('Zgłoszenia'!$B$5:$B$504,A204,'Zgłoszenia'!$O$5:$O$504,"TAK",'Zgłoszenia'!$L$5:$L$504,"TAK")&gt;0,"Wyłączony z pracy",IF(COUNTIFS('Zgłoszenia'!$B$5:$B$504,A204,'Zgłoszenia'!$M$5:$M$504,Ustawienia!$J$5)+COUNTIFS('Zgłoszenia'!$B$5:$B$504,A204,'Zgłoszenia'!$M$5:$M$504,Ustawienia!$J$6)&gt;0,"W naprawie",IF(D204&gt;0,"Usterka zgłoszona","Sprawny"))))</f>
        <v/>
      </c>
      <c r="D204" s="22">
        <f>IF(A204="","",COUNTIFS('Zgłoszenia'!$B$5:$B$504,A204,'Zgłoszenia'!$O$5:$O$504,"TAK"))</f>
        <v/>
      </c>
      <c r="E204" s="21">
        <f>IF(A204="","",IF(D204=0,"Brak otwartych usterek",IF(INDEX('Zgłoszenia'!$D$5:$D$504,G204)="","",RIGHT("0"&amp;DAY(INDEX('Zgłoszenia'!$D$5:$D$504,G204)),2)&amp;"."&amp;RIGHT("0"&amp;MONTH(INDEX('Zgłoszenia'!$D$5:$D$504,G204)),2)&amp;"."&amp;YEAR(INDEX('Zgłoszenia'!$D$5:$D$504,G204)))&amp;" · "&amp;INDEX('Zgłoszenia'!$H$5:$H$504,G204)&amp;" — "&amp;IF(INDEX('Zgłoszenia'!$M$5:$M$504,G204)="","Zgłoszona",INDEX('Zgłoszenia'!$M$5:$M$504,G204))))</f>
        <v/>
      </c>
      <c r="F204" s="2" t="n"/>
      <c r="G204" s="2">
        <f>IF(OR(A204="",D204=0),"",MATCH(SUMPRODUCT(MAX(('Zgłoszenia'!$B$5:$B$504=A204)*'Zgłoszenia'!$R$5:$R$504)),'Zgłoszenia'!$R$5:$R$504,0))</f>
        <v/>
      </c>
    </row>
    <row r="205">
      <c r="A205" s="20">
        <f>IF('Wózki'!A199="","",'Wózki'!A199)</f>
        <v/>
      </c>
      <c r="B205" s="21">
        <f>IF(A205="","",'Wózki'!B199&amp;"")</f>
        <v/>
      </c>
      <c r="C205" s="21">
        <f>IF(A205="","",IF(COUNTIFS('Zgłoszenia'!$B$5:$B$504,A205,'Zgłoszenia'!$O$5:$O$504,"TAK",'Zgłoszenia'!$L$5:$L$504,"TAK")&gt;0,"Wyłączony z pracy",IF(COUNTIFS('Zgłoszenia'!$B$5:$B$504,A205,'Zgłoszenia'!$M$5:$M$504,Ustawienia!$J$5)+COUNTIFS('Zgłoszenia'!$B$5:$B$504,A205,'Zgłoszenia'!$M$5:$M$504,Ustawienia!$J$6)&gt;0,"W naprawie",IF(D205&gt;0,"Usterka zgłoszona","Sprawny"))))</f>
        <v/>
      </c>
      <c r="D205" s="22">
        <f>IF(A205="","",COUNTIFS('Zgłoszenia'!$B$5:$B$504,A205,'Zgłoszenia'!$O$5:$O$504,"TAK"))</f>
        <v/>
      </c>
      <c r="E205" s="21">
        <f>IF(A205="","",IF(D205=0,"Brak otwartych usterek",IF(INDEX('Zgłoszenia'!$D$5:$D$504,G205)="","",RIGHT("0"&amp;DAY(INDEX('Zgłoszenia'!$D$5:$D$504,G205)),2)&amp;"."&amp;RIGHT("0"&amp;MONTH(INDEX('Zgłoszenia'!$D$5:$D$504,G205)),2)&amp;"."&amp;YEAR(INDEX('Zgłoszenia'!$D$5:$D$504,G205)))&amp;" · "&amp;INDEX('Zgłoszenia'!$H$5:$H$504,G205)&amp;" — "&amp;IF(INDEX('Zgłoszenia'!$M$5:$M$504,G205)="","Zgłoszona",INDEX('Zgłoszenia'!$M$5:$M$504,G205))))</f>
        <v/>
      </c>
      <c r="F205" s="2" t="n"/>
      <c r="G205" s="2">
        <f>IF(OR(A205="",D205=0),"",MATCH(SUMPRODUCT(MAX(('Zgłoszenia'!$B$5:$B$504=A205)*'Zgłoszenia'!$R$5:$R$504)),'Zgłoszenia'!$R$5:$R$504,0))</f>
        <v/>
      </c>
    </row>
    <row r="206">
      <c r="A206" s="20">
        <f>IF('Wózki'!A200="","",'Wózki'!A200)</f>
        <v/>
      </c>
      <c r="B206" s="21">
        <f>IF(A206="","",'Wózki'!B200&amp;"")</f>
        <v/>
      </c>
      <c r="C206" s="21">
        <f>IF(A206="","",IF(COUNTIFS('Zgłoszenia'!$B$5:$B$504,A206,'Zgłoszenia'!$O$5:$O$504,"TAK",'Zgłoszenia'!$L$5:$L$504,"TAK")&gt;0,"Wyłączony z pracy",IF(COUNTIFS('Zgłoszenia'!$B$5:$B$504,A206,'Zgłoszenia'!$M$5:$M$504,Ustawienia!$J$5)+COUNTIFS('Zgłoszenia'!$B$5:$B$504,A206,'Zgłoszenia'!$M$5:$M$504,Ustawienia!$J$6)&gt;0,"W naprawie",IF(D206&gt;0,"Usterka zgłoszona","Sprawny"))))</f>
        <v/>
      </c>
      <c r="D206" s="22">
        <f>IF(A206="","",COUNTIFS('Zgłoszenia'!$B$5:$B$504,A206,'Zgłoszenia'!$O$5:$O$504,"TAK"))</f>
        <v/>
      </c>
      <c r="E206" s="21">
        <f>IF(A206="","",IF(D206=0,"Brak otwartych usterek",IF(INDEX('Zgłoszenia'!$D$5:$D$504,G206)="","",RIGHT("0"&amp;DAY(INDEX('Zgłoszenia'!$D$5:$D$504,G206)),2)&amp;"."&amp;RIGHT("0"&amp;MONTH(INDEX('Zgłoszenia'!$D$5:$D$504,G206)),2)&amp;"."&amp;YEAR(INDEX('Zgłoszenia'!$D$5:$D$504,G206)))&amp;" · "&amp;INDEX('Zgłoszenia'!$H$5:$H$504,G206)&amp;" — "&amp;IF(INDEX('Zgłoszenia'!$M$5:$M$504,G206)="","Zgłoszona",INDEX('Zgłoszenia'!$M$5:$M$504,G206))))</f>
        <v/>
      </c>
      <c r="F206" s="2" t="n"/>
      <c r="G206" s="2">
        <f>IF(OR(A206="",D206=0),"",MATCH(SUMPRODUCT(MAX(('Zgłoszenia'!$B$5:$B$504=A206)*'Zgłoszenia'!$R$5:$R$504)),'Zgłoszenia'!$R$5:$R$504,0))</f>
        <v/>
      </c>
    </row>
    <row r="207">
      <c r="A207" s="20">
        <f>IF('Wózki'!A201="","",'Wózki'!A201)</f>
        <v/>
      </c>
      <c r="B207" s="21">
        <f>IF(A207="","",'Wózki'!B201&amp;"")</f>
        <v/>
      </c>
      <c r="C207" s="21">
        <f>IF(A207="","",IF(COUNTIFS('Zgłoszenia'!$B$5:$B$504,A207,'Zgłoszenia'!$O$5:$O$504,"TAK",'Zgłoszenia'!$L$5:$L$504,"TAK")&gt;0,"Wyłączony z pracy",IF(COUNTIFS('Zgłoszenia'!$B$5:$B$504,A207,'Zgłoszenia'!$M$5:$M$504,Ustawienia!$J$5)+COUNTIFS('Zgłoszenia'!$B$5:$B$504,A207,'Zgłoszenia'!$M$5:$M$504,Ustawienia!$J$6)&gt;0,"W naprawie",IF(D207&gt;0,"Usterka zgłoszona","Sprawny"))))</f>
        <v/>
      </c>
      <c r="D207" s="22">
        <f>IF(A207="","",COUNTIFS('Zgłoszenia'!$B$5:$B$504,A207,'Zgłoszenia'!$O$5:$O$504,"TAK"))</f>
        <v/>
      </c>
      <c r="E207" s="21">
        <f>IF(A207="","",IF(D207=0,"Brak otwartych usterek",IF(INDEX('Zgłoszenia'!$D$5:$D$504,G207)="","",RIGHT("0"&amp;DAY(INDEX('Zgłoszenia'!$D$5:$D$504,G207)),2)&amp;"."&amp;RIGHT("0"&amp;MONTH(INDEX('Zgłoszenia'!$D$5:$D$504,G207)),2)&amp;"."&amp;YEAR(INDEX('Zgłoszenia'!$D$5:$D$504,G207)))&amp;" · "&amp;INDEX('Zgłoszenia'!$H$5:$H$504,G207)&amp;" — "&amp;IF(INDEX('Zgłoszenia'!$M$5:$M$504,G207)="","Zgłoszona",INDEX('Zgłoszenia'!$M$5:$M$504,G207))))</f>
        <v/>
      </c>
      <c r="F207" s="2" t="n"/>
      <c r="G207" s="2">
        <f>IF(OR(A207="",D207=0),"",MATCH(SUMPRODUCT(MAX(('Zgłoszenia'!$B$5:$B$504=A207)*'Zgłoszenia'!$R$5:$R$504)),'Zgłoszenia'!$R$5:$R$504,0))</f>
        <v/>
      </c>
    </row>
  </sheetData>
  <mergeCells count="1">
    <mergeCell ref="A1:E1"/>
  </mergeCells>
  <conditionalFormatting sqref="A8:E207">
    <cfRule type="expression" priority="1" dxfId="0">
      <formula>$A8&lt;&gt;""</formula>
    </cfRule>
  </conditionalFormatting>
  <conditionalFormatting sqref="C8:C207">
    <cfRule type="expression" priority="2" dxfId="1">
      <formula>$C8="Sprawny"</formula>
    </cfRule>
    <cfRule type="expression" priority="3" dxfId="2">
      <formula>$C8="Usterka zgłoszona"</formula>
    </cfRule>
    <cfRule type="expression" priority="4" dxfId="3">
      <formula>$C8="W naprawie"</formula>
    </cfRule>
    <cfRule type="expression" priority="5" dxfId="4">
      <formula>$C8="Wyłączony z pracy"</formula>
    </cfRule>
  </conditionalFormatting>
  <pageMargins left="0.4" right="0.4" top="0.4" bottom="0.4" header="0" footer="0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B26B00"/>
    <outlinePr summaryBelow="1" summaryRight="1"/>
    <pageSetUpPr fitToPage="1"/>
  </sheetPr>
  <dimension ref="A1:S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2" customWidth="1" min="4" max="4"/>
    <col width="7" customWidth="1" min="5" max="5"/>
    <col width="24" customWidth="1" min="6" max="6"/>
    <col width="11" customWidth="1" min="7" max="7"/>
    <col width="24" customWidth="1" min="8" max="8"/>
    <col width="22" customWidth="1" min="9" max="9"/>
    <col width="20" customWidth="1" min="10" max="10"/>
    <col width="44" customWidth="1" min="11" max="11"/>
    <col width="10" customWidth="1" min="12" max="12"/>
    <col width="15" customWidth="1" min="13" max="13"/>
    <col width="24" customWidth="1" min="14" max="14"/>
    <col width="9" customWidth="1" min="15" max="15"/>
    <col width="22" customWidth="1" min="16" max="16"/>
    <col hidden="1" width="10" customWidth="1" min="17" max="17"/>
    <col hidden="1" width="10" customWidth="1" min="18" max="18"/>
    <col hidden="1" width="12" customWidth="1" min="19" max="19"/>
  </cols>
  <sheetData>
    <row r="1">
      <c r="A1" s="9" t="inlineStr">
        <is>
          <t>ZGŁOSZENIA USZKODZEŃ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23">
        <f>"Otwarte (do naprawy): "&amp;COUNTIF('Zgłoszenia'!$O$5:$O$504,"TAK")&amp;"  ·  wszystkich: "&amp;COUNTA('Zgłoszenia'!$B$5:$B$504)</f>
        <v/>
      </c>
      <c r="B2" s="2" t="n"/>
      <c r="C2" s="2" t="n"/>
      <c r="D2" s="2" t="n"/>
      <c r="E2" s="2" t="n"/>
      <c r="F2" s="2" t="n"/>
      <c r="G2" s="2" t="n"/>
      <c r="H2" s="10" t="inlineStr">
        <is>
          <t>Żółte kolumny wypełniasz, białe liczą się same. Filtry w nagłówku = filtry z aplikacji.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>
        <f>MAX(5,SUMPRODUCT(MAX((B5:B504&lt;&gt;"")*ROW(B5:B504))))</f>
        <v/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30" customHeight="1">
      <c r="A4" s="19" t="inlineStr">
        <is>
          <t>Lp</t>
        </is>
      </c>
      <c r="B4" s="19" t="inlineStr">
        <is>
          <t>Wózek</t>
        </is>
      </c>
      <c r="C4" s="19" t="inlineStr">
        <is>
          <t>Typ wózka</t>
        </is>
      </c>
      <c r="D4" s="19" t="inlineStr">
        <is>
          <t>Data zdarzenia</t>
        </is>
      </c>
      <c r="E4" s="19" t="inlineStr">
        <is>
          <t>Zmiana</t>
        </is>
      </c>
      <c r="F4" s="19" t="inlineStr">
        <is>
          <t>Pracownik (operator)</t>
        </is>
      </c>
      <c r="G4" s="19" t="inlineStr">
        <is>
          <t>Dział</t>
        </is>
      </c>
      <c r="H4" s="19" t="inlineStr">
        <is>
          <t>Rodzaj uderzenia</t>
        </is>
      </c>
      <c r="I4" s="19" t="inlineStr">
        <is>
          <t>Co uszkodzone</t>
        </is>
      </c>
      <c r="J4" s="19" t="inlineStr">
        <is>
          <t>Kiedy powstało</t>
        </is>
      </c>
      <c r="K4" s="19" t="inlineStr">
        <is>
          <t>Opis zdarzenia</t>
        </is>
      </c>
      <c r="L4" s="19" t="inlineStr">
        <is>
          <t>Wyłączony z pracy</t>
        </is>
      </c>
      <c r="M4" s="19" t="inlineStr">
        <is>
          <t>Status</t>
        </is>
      </c>
      <c r="N4" s="19" t="inlineStr">
        <is>
          <t>Notatka / naprawa</t>
        </is>
      </c>
      <c r="O4" s="19" t="inlineStr">
        <is>
          <t>Otwarte?</t>
        </is>
      </c>
      <c r="P4" s="19" t="inlineStr">
        <is>
          <t>Wg rozpiski</t>
        </is>
      </c>
      <c r="Q4" s="19" t="inlineStr">
        <is>
          <t>klucz historii</t>
        </is>
      </c>
      <c r="R4" s="19" t="inlineStr">
        <is>
          <t>klucz otwartych</t>
        </is>
      </c>
      <c r="S4" s="19" t="inlineStr">
        <is>
          <t>klucz wózek|data</t>
        </is>
      </c>
    </row>
    <row r="5">
      <c r="A5" s="24">
        <f>IF(B5="","",ROW()-4)</f>
        <v/>
      </c>
      <c r="B5" s="25" t="n">
        <v>105</v>
      </c>
      <c r="C5" s="24">
        <f>IF(B5="","",IFERROR(INDEX('Wózki'!$B$2:$B$500,MATCH(B5,'Wózki'!$A$2:$A$500,0))&amp;"",""))</f>
        <v/>
      </c>
      <c r="D5" s="26" t="n">
        <v>46296</v>
      </c>
      <c r="E5" s="25" t="inlineStr">
        <is>
          <t>I</t>
        </is>
      </c>
      <c r="F5" s="25" t="inlineStr">
        <is>
          <t>KOWALSKI JAN</t>
        </is>
      </c>
      <c r="G5" s="24">
        <f>IF(F5="","",IFERROR(INDEX(Pracownicy!$B$2:$B$2000,MATCH(F5,Pracownicy!$A$2:$A$2000,0))&amp;"",""))</f>
        <v/>
      </c>
      <c r="H5" s="25" t="inlineStr">
        <is>
          <t>Uderzenie w regał</t>
        </is>
      </c>
      <c r="I5" s="25" t="inlineStr">
        <is>
          <t>Widły / platforma</t>
        </is>
      </c>
      <c r="J5" s="25" t="inlineStr">
        <is>
          <t>Zgłoszone przez sprawcę</t>
        </is>
      </c>
      <c r="K5" s="27" t="inlineStr">
        <is>
          <t>Przykład: przy odkładaniu palety w alejce C uderzył widłami w słup regału C4; wygięty lewy ząb wideł.</t>
        </is>
      </c>
      <c r="L5" s="25" t="inlineStr">
        <is>
          <t>TAK</t>
        </is>
      </c>
      <c r="M5" s="25" t="inlineStr">
        <is>
          <t>Zgłoszona</t>
        </is>
      </c>
      <c r="N5" s="27" t="n"/>
      <c r="O5" s="24">
        <f>IF(B5="","",IF(M5="","TAK",IFERROR(INDEX(Ustawienia!$K$4:$K$8,MATCH(M5,Ustawienia!$J$4:$J$8,0)),"TAK")))</f>
        <v/>
      </c>
      <c r="P5" s="28">
        <f>IF(OR(B5="",D5=""),"",IFERROR(INDEX('Dane rozpisek'!$B$2:$B$2600,MATCH(S5,'Dane rozpisek'!$H$2:$H$2600,0))&amp;": "&amp;INDEX('Dane rozpisek'!$E$2:$E$2600,MATCH(S5,'Dane rozpisek'!$H$2:$H$2600,0))&amp;IF(COUNTIF('Dane rozpisek'!$H$2:$H$2600,S5)&gt;1," (+"&amp;(COUNTIF('Dane rozpisek'!$H$2:$H$2600,S5)-1)&amp;")",""),"—"))</f>
        <v/>
      </c>
      <c r="Q5" s="24">
        <f>IF(AND(B5&lt;&gt;"",D5&lt;&gt;"",OR('Historia wózka'!$B$4="",B5='Historia wózka'!$B$4),D5&gt;='Historia wózka'!$B$5,D5&lt;='Historia wózka'!$B$6),D5+ROW()/1000000,0)</f>
        <v/>
      </c>
      <c r="R5" s="24">
        <f>IF(O5="TAK",IF(D5="",0,D5)+ROW()/1000000,0)</f>
        <v/>
      </c>
      <c r="S5" s="24">
        <f>IF(OR(B5="",D5=""),"",B5&amp;"|"&amp;D5)</f>
        <v/>
      </c>
    </row>
    <row r="6">
      <c r="A6" s="24">
        <f>IF(B6="","",ROW()-4)</f>
        <v/>
      </c>
      <c r="B6" s="25" t="n"/>
      <c r="C6" s="24">
        <f>IF(B6="","",IFERROR(INDEX('Wózki'!$B$2:$B$500,MATCH(B6,'Wózki'!$A$2:$A$500,0))&amp;"",""))</f>
        <v/>
      </c>
      <c r="D6" s="26" t="n"/>
      <c r="E6" s="25" t="n"/>
      <c r="F6" s="25" t="n"/>
      <c r="G6" s="24">
        <f>IF(F6="","",IFERROR(INDEX(Pracownicy!$B$2:$B$2000,MATCH(F6,Pracownicy!$A$2:$A$2000,0))&amp;"",""))</f>
        <v/>
      </c>
      <c r="H6" s="25" t="n"/>
      <c r="I6" s="25" t="n"/>
      <c r="J6" s="25" t="n"/>
      <c r="K6" s="27" t="n"/>
      <c r="L6" s="25" t="n"/>
      <c r="M6" s="25" t="n"/>
      <c r="N6" s="27" t="n"/>
      <c r="O6" s="24">
        <f>IF(B6="","",IF(M6="","TAK",IFERROR(INDEX(Ustawienia!$K$4:$K$8,MATCH(M6,Ustawienia!$J$4:$J$8,0)),"TAK")))</f>
        <v/>
      </c>
      <c r="P6" s="28">
        <f>IF(OR(B6="",D6=""),"",IFERROR(INDEX('Dane rozpisek'!$B$2:$B$2600,MATCH(S6,'Dane rozpisek'!$H$2:$H$2600,0))&amp;": "&amp;INDEX('Dane rozpisek'!$E$2:$E$2600,MATCH(S6,'Dane rozpisek'!$H$2:$H$2600,0))&amp;IF(COUNTIF('Dane rozpisek'!$H$2:$H$2600,S6)&gt;1," (+"&amp;(COUNTIF('Dane rozpisek'!$H$2:$H$2600,S6)-1)&amp;")",""),"—"))</f>
        <v/>
      </c>
      <c r="Q6" s="24">
        <f>IF(AND(B6&lt;&gt;"",D6&lt;&gt;"",OR('Historia wózka'!$B$4="",B6='Historia wózka'!$B$4),D6&gt;='Historia wózka'!$B$5,D6&lt;='Historia wózka'!$B$6),D6+ROW()/1000000,0)</f>
        <v/>
      </c>
      <c r="R6" s="24">
        <f>IF(O6="TAK",IF(D6="",0,D6)+ROW()/1000000,0)</f>
        <v/>
      </c>
      <c r="S6" s="24">
        <f>IF(OR(B6="",D6=""),"",B6&amp;"|"&amp;D6)</f>
        <v/>
      </c>
    </row>
    <row r="7">
      <c r="A7" s="24">
        <f>IF(B7="","",ROW()-4)</f>
        <v/>
      </c>
      <c r="B7" s="25" t="n"/>
      <c r="C7" s="24">
        <f>IF(B7="","",IFERROR(INDEX('Wózki'!$B$2:$B$500,MATCH(B7,'Wózki'!$A$2:$A$500,0))&amp;"",""))</f>
        <v/>
      </c>
      <c r="D7" s="26" t="n"/>
      <c r="E7" s="25" t="n"/>
      <c r="F7" s="25" t="n"/>
      <c r="G7" s="24">
        <f>IF(F7="","",IFERROR(INDEX(Pracownicy!$B$2:$B$2000,MATCH(F7,Pracownicy!$A$2:$A$2000,0))&amp;"",""))</f>
        <v/>
      </c>
      <c r="H7" s="25" t="n"/>
      <c r="I7" s="25" t="n"/>
      <c r="J7" s="25" t="n"/>
      <c r="K7" s="27" t="n"/>
      <c r="L7" s="25" t="n"/>
      <c r="M7" s="25" t="n"/>
      <c r="N7" s="27" t="n"/>
      <c r="O7" s="24">
        <f>IF(B7="","",IF(M7="","TAK",IFERROR(INDEX(Ustawienia!$K$4:$K$8,MATCH(M7,Ustawienia!$J$4:$J$8,0)),"TAK")))</f>
        <v/>
      </c>
      <c r="P7" s="28">
        <f>IF(OR(B7="",D7=""),"",IFERROR(INDEX('Dane rozpisek'!$B$2:$B$2600,MATCH(S7,'Dane rozpisek'!$H$2:$H$2600,0))&amp;": "&amp;INDEX('Dane rozpisek'!$E$2:$E$2600,MATCH(S7,'Dane rozpisek'!$H$2:$H$2600,0))&amp;IF(COUNTIF('Dane rozpisek'!$H$2:$H$2600,S7)&gt;1," (+"&amp;(COUNTIF('Dane rozpisek'!$H$2:$H$2600,S7)-1)&amp;")",""),"—"))</f>
        <v/>
      </c>
      <c r="Q7" s="24">
        <f>IF(AND(B7&lt;&gt;"",D7&lt;&gt;"",OR('Historia wózka'!$B$4="",B7='Historia wózka'!$B$4),D7&gt;='Historia wózka'!$B$5,D7&lt;='Historia wózka'!$B$6),D7+ROW()/1000000,0)</f>
        <v/>
      </c>
      <c r="R7" s="24">
        <f>IF(O7="TAK",IF(D7="",0,D7)+ROW()/1000000,0)</f>
        <v/>
      </c>
      <c r="S7" s="24">
        <f>IF(OR(B7="",D7=""),"",B7&amp;"|"&amp;D7)</f>
        <v/>
      </c>
    </row>
    <row r="8">
      <c r="A8" s="24">
        <f>IF(B8="","",ROW()-4)</f>
        <v/>
      </c>
      <c r="B8" s="25" t="n"/>
      <c r="C8" s="24">
        <f>IF(B8="","",IFERROR(INDEX('Wózki'!$B$2:$B$500,MATCH(B8,'Wózki'!$A$2:$A$500,0))&amp;"",""))</f>
        <v/>
      </c>
      <c r="D8" s="26" t="n"/>
      <c r="E8" s="25" t="n"/>
      <c r="F8" s="25" t="n"/>
      <c r="G8" s="24">
        <f>IF(F8="","",IFERROR(INDEX(Pracownicy!$B$2:$B$2000,MATCH(F8,Pracownicy!$A$2:$A$2000,0))&amp;"",""))</f>
        <v/>
      </c>
      <c r="H8" s="25" t="n"/>
      <c r="I8" s="25" t="n"/>
      <c r="J8" s="25" t="n"/>
      <c r="K8" s="27" t="n"/>
      <c r="L8" s="25" t="n"/>
      <c r="M8" s="25" t="n"/>
      <c r="N8" s="27" t="n"/>
      <c r="O8" s="24">
        <f>IF(B8="","",IF(M8="","TAK",IFERROR(INDEX(Ustawienia!$K$4:$K$8,MATCH(M8,Ustawienia!$J$4:$J$8,0)),"TAK")))</f>
        <v/>
      </c>
      <c r="P8" s="28">
        <f>IF(OR(B8="",D8=""),"",IFERROR(INDEX('Dane rozpisek'!$B$2:$B$2600,MATCH(S8,'Dane rozpisek'!$H$2:$H$2600,0))&amp;": "&amp;INDEX('Dane rozpisek'!$E$2:$E$2600,MATCH(S8,'Dane rozpisek'!$H$2:$H$2600,0))&amp;IF(COUNTIF('Dane rozpisek'!$H$2:$H$2600,S8)&gt;1," (+"&amp;(COUNTIF('Dane rozpisek'!$H$2:$H$2600,S8)-1)&amp;")",""),"—"))</f>
        <v/>
      </c>
      <c r="Q8" s="24">
        <f>IF(AND(B8&lt;&gt;"",D8&lt;&gt;"",OR('Historia wózka'!$B$4="",B8='Historia wózka'!$B$4),D8&gt;='Historia wózka'!$B$5,D8&lt;='Historia wózka'!$B$6),D8+ROW()/1000000,0)</f>
        <v/>
      </c>
      <c r="R8" s="24">
        <f>IF(O8="TAK",IF(D8="",0,D8)+ROW()/1000000,0)</f>
        <v/>
      </c>
      <c r="S8" s="24">
        <f>IF(OR(B8="",D8=""),"",B8&amp;"|"&amp;D8)</f>
        <v/>
      </c>
    </row>
    <row r="9">
      <c r="A9" s="24">
        <f>IF(B9="","",ROW()-4)</f>
        <v/>
      </c>
      <c r="B9" s="25" t="n"/>
      <c r="C9" s="24">
        <f>IF(B9="","",IFERROR(INDEX('Wózki'!$B$2:$B$500,MATCH(B9,'Wózki'!$A$2:$A$500,0))&amp;"",""))</f>
        <v/>
      </c>
      <c r="D9" s="26" t="n"/>
      <c r="E9" s="25" t="n"/>
      <c r="F9" s="25" t="n"/>
      <c r="G9" s="24">
        <f>IF(F9="","",IFERROR(INDEX(Pracownicy!$B$2:$B$2000,MATCH(F9,Pracownicy!$A$2:$A$2000,0))&amp;"",""))</f>
        <v/>
      </c>
      <c r="H9" s="25" t="n"/>
      <c r="I9" s="25" t="n"/>
      <c r="J9" s="25" t="n"/>
      <c r="K9" s="27" t="n"/>
      <c r="L9" s="25" t="n"/>
      <c r="M9" s="25" t="n"/>
      <c r="N9" s="27" t="n"/>
      <c r="O9" s="24">
        <f>IF(B9="","",IF(M9="","TAK",IFERROR(INDEX(Ustawienia!$K$4:$K$8,MATCH(M9,Ustawienia!$J$4:$J$8,0)),"TAK")))</f>
        <v/>
      </c>
      <c r="P9" s="28">
        <f>IF(OR(B9="",D9=""),"",IFERROR(INDEX('Dane rozpisek'!$B$2:$B$2600,MATCH(S9,'Dane rozpisek'!$H$2:$H$2600,0))&amp;": "&amp;INDEX('Dane rozpisek'!$E$2:$E$2600,MATCH(S9,'Dane rozpisek'!$H$2:$H$2600,0))&amp;IF(COUNTIF('Dane rozpisek'!$H$2:$H$2600,S9)&gt;1," (+"&amp;(COUNTIF('Dane rozpisek'!$H$2:$H$2600,S9)-1)&amp;")",""),"—"))</f>
        <v/>
      </c>
      <c r="Q9" s="24">
        <f>IF(AND(B9&lt;&gt;"",D9&lt;&gt;"",OR('Historia wózka'!$B$4="",B9='Historia wózka'!$B$4),D9&gt;='Historia wózka'!$B$5,D9&lt;='Historia wózka'!$B$6),D9+ROW()/1000000,0)</f>
        <v/>
      </c>
      <c r="R9" s="24">
        <f>IF(O9="TAK",IF(D9="",0,D9)+ROW()/1000000,0)</f>
        <v/>
      </c>
      <c r="S9" s="24">
        <f>IF(OR(B9="",D9=""),"",B9&amp;"|"&amp;D9)</f>
        <v/>
      </c>
    </row>
    <row r="10">
      <c r="A10" s="24">
        <f>IF(B10="","",ROW()-4)</f>
        <v/>
      </c>
      <c r="B10" s="25" t="n"/>
      <c r="C10" s="24">
        <f>IF(B10="","",IFERROR(INDEX('Wózki'!$B$2:$B$500,MATCH(B10,'Wózki'!$A$2:$A$500,0))&amp;"",""))</f>
        <v/>
      </c>
      <c r="D10" s="26" t="n"/>
      <c r="E10" s="25" t="n"/>
      <c r="F10" s="25" t="n"/>
      <c r="G10" s="24">
        <f>IF(F10="","",IFERROR(INDEX(Pracownicy!$B$2:$B$2000,MATCH(F10,Pracownicy!$A$2:$A$2000,0))&amp;"",""))</f>
        <v/>
      </c>
      <c r="H10" s="25" t="n"/>
      <c r="I10" s="25" t="n"/>
      <c r="J10" s="25" t="n"/>
      <c r="K10" s="27" t="n"/>
      <c r="L10" s="25" t="n"/>
      <c r="M10" s="25" t="n"/>
      <c r="N10" s="27" t="n"/>
      <c r="O10" s="24">
        <f>IF(B10="","",IF(M10="","TAK",IFERROR(INDEX(Ustawienia!$K$4:$K$8,MATCH(M10,Ustawienia!$J$4:$J$8,0)),"TAK")))</f>
        <v/>
      </c>
      <c r="P10" s="28">
        <f>IF(OR(B10="",D10=""),"",IFERROR(INDEX('Dane rozpisek'!$B$2:$B$2600,MATCH(S10,'Dane rozpisek'!$H$2:$H$2600,0))&amp;": "&amp;INDEX('Dane rozpisek'!$E$2:$E$2600,MATCH(S10,'Dane rozpisek'!$H$2:$H$2600,0))&amp;IF(COUNTIF('Dane rozpisek'!$H$2:$H$2600,S10)&gt;1," (+"&amp;(COUNTIF('Dane rozpisek'!$H$2:$H$2600,S10)-1)&amp;")",""),"—"))</f>
        <v/>
      </c>
      <c r="Q10" s="24">
        <f>IF(AND(B10&lt;&gt;"",D10&lt;&gt;"",OR('Historia wózka'!$B$4="",B10='Historia wózka'!$B$4),D10&gt;='Historia wózka'!$B$5,D10&lt;='Historia wózka'!$B$6),D10+ROW()/1000000,0)</f>
        <v/>
      </c>
      <c r="R10" s="24">
        <f>IF(O10="TAK",IF(D10="",0,D10)+ROW()/1000000,0)</f>
        <v/>
      </c>
      <c r="S10" s="24">
        <f>IF(OR(B10="",D10=""),"",B10&amp;"|"&amp;D10)</f>
        <v/>
      </c>
    </row>
    <row r="11">
      <c r="A11" s="24">
        <f>IF(B11="","",ROW()-4)</f>
        <v/>
      </c>
      <c r="B11" s="25" t="n"/>
      <c r="C11" s="24">
        <f>IF(B11="","",IFERROR(INDEX('Wózki'!$B$2:$B$500,MATCH(B11,'Wózki'!$A$2:$A$500,0))&amp;"",""))</f>
        <v/>
      </c>
      <c r="D11" s="26" t="n"/>
      <c r="E11" s="25" t="n"/>
      <c r="F11" s="25" t="n"/>
      <c r="G11" s="24">
        <f>IF(F11="","",IFERROR(INDEX(Pracownicy!$B$2:$B$2000,MATCH(F11,Pracownicy!$A$2:$A$2000,0))&amp;"",""))</f>
        <v/>
      </c>
      <c r="H11" s="25" t="n"/>
      <c r="I11" s="25" t="n"/>
      <c r="J11" s="25" t="n"/>
      <c r="K11" s="27" t="n"/>
      <c r="L11" s="25" t="n"/>
      <c r="M11" s="25" t="n"/>
      <c r="N11" s="27" t="n"/>
      <c r="O11" s="24">
        <f>IF(B11="","",IF(M11="","TAK",IFERROR(INDEX(Ustawienia!$K$4:$K$8,MATCH(M11,Ustawienia!$J$4:$J$8,0)),"TAK")))</f>
        <v/>
      </c>
      <c r="P11" s="28">
        <f>IF(OR(B11="",D11=""),"",IFERROR(INDEX('Dane rozpisek'!$B$2:$B$2600,MATCH(S11,'Dane rozpisek'!$H$2:$H$2600,0))&amp;": "&amp;INDEX('Dane rozpisek'!$E$2:$E$2600,MATCH(S11,'Dane rozpisek'!$H$2:$H$2600,0))&amp;IF(COUNTIF('Dane rozpisek'!$H$2:$H$2600,S11)&gt;1," (+"&amp;(COUNTIF('Dane rozpisek'!$H$2:$H$2600,S11)-1)&amp;")",""),"—"))</f>
        <v/>
      </c>
      <c r="Q11" s="24">
        <f>IF(AND(B11&lt;&gt;"",D11&lt;&gt;"",OR('Historia wózka'!$B$4="",B11='Historia wózka'!$B$4),D11&gt;='Historia wózka'!$B$5,D11&lt;='Historia wózka'!$B$6),D11+ROW()/1000000,0)</f>
        <v/>
      </c>
      <c r="R11" s="24">
        <f>IF(O11="TAK",IF(D11="",0,D11)+ROW()/1000000,0)</f>
        <v/>
      </c>
      <c r="S11" s="24">
        <f>IF(OR(B11="",D11=""),"",B11&amp;"|"&amp;D11)</f>
        <v/>
      </c>
    </row>
    <row r="12">
      <c r="A12" s="24">
        <f>IF(B12="","",ROW()-4)</f>
        <v/>
      </c>
      <c r="B12" s="25" t="n"/>
      <c r="C12" s="24">
        <f>IF(B12="","",IFERROR(INDEX('Wózki'!$B$2:$B$500,MATCH(B12,'Wózki'!$A$2:$A$500,0))&amp;"",""))</f>
        <v/>
      </c>
      <c r="D12" s="26" t="n"/>
      <c r="E12" s="25" t="n"/>
      <c r="F12" s="25" t="n"/>
      <c r="G12" s="24">
        <f>IF(F12="","",IFERROR(INDEX(Pracownicy!$B$2:$B$2000,MATCH(F12,Pracownicy!$A$2:$A$2000,0))&amp;"",""))</f>
        <v/>
      </c>
      <c r="H12" s="25" t="n"/>
      <c r="I12" s="25" t="n"/>
      <c r="J12" s="25" t="n"/>
      <c r="K12" s="27" t="n"/>
      <c r="L12" s="25" t="n"/>
      <c r="M12" s="25" t="n"/>
      <c r="N12" s="27" t="n"/>
      <c r="O12" s="24">
        <f>IF(B12="","",IF(M12="","TAK",IFERROR(INDEX(Ustawienia!$K$4:$K$8,MATCH(M12,Ustawienia!$J$4:$J$8,0)),"TAK")))</f>
        <v/>
      </c>
      <c r="P12" s="28">
        <f>IF(OR(B12="",D12=""),"",IFERROR(INDEX('Dane rozpisek'!$B$2:$B$2600,MATCH(S12,'Dane rozpisek'!$H$2:$H$2600,0))&amp;": "&amp;INDEX('Dane rozpisek'!$E$2:$E$2600,MATCH(S12,'Dane rozpisek'!$H$2:$H$2600,0))&amp;IF(COUNTIF('Dane rozpisek'!$H$2:$H$2600,S12)&gt;1," (+"&amp;(COUNTIF('Dane rozpisek'!$H$2:$H$2600,S12)-1)&amp;")",""),"—"))</f>
        <v/>
      </c>
      <c r="Q12" s="24">
        <f>IF(AND(B12&lt;&gt;"",D12&lt;&gt;"",OR('Historia wózka'!$B$4="",B12='Historia wózka'!$B$4),D12&gt;='Historia wózka'!$B$5,D12&lt;='Historia wózka'!$B$6),D12+ROW()/1000000,0)</f>
        <v/>
      </c>
      <c r="R12" s="24">
        <f>IF(O12="TAK",IF(D12="",0,D12)+ROW()/1000000,0)</f>
        <v/>
      </c>
      <c r="S12" s="24">
        <f>IF(OR(B12="",D12=""),"",B12&amp;"|"&amp;D12)</f>
        <v/>
      </c>
    </row>
    <row r="13">
      <c r="A13" s="24">
        <f>IF(B13="","",ROW()-4)</f>
        <v/>
      </c>
      <c r="B13" s="25" t="n"/>
      <c r="C13" s="24">
        <f>IF(B13="","",IFERROR(INDEX('Wózki'!$B$2:$B$500,MATCH(B13,'Wózki'!$A$2:$A$500,0))&amp;"",""))</f>
        <v/>
      </c>
      <c r="D13" s="26" t="n"/>
      <c r="E13" s="25" t="n"/>
      <c r="F13" s="25" t="n"/>
      <c r="G13" s="24">
        <f>IF(F13="","",IFERROR(INDEX(Pracownicy!$B$2:$B$2000,MATCH(F13,Pracownicy!$A$2:$A$2000,0))&amp;"",""))</f>
        <v/>
      </c>
      <c r="H13" s="25" t="n"/>
      <c r="I13" s="25" t="n"/>
      <c r="J13" s="25" t="n"/>
      <c r="K13" s="27" t="n"/>
      <c r="L13" s="25" t="n"/>
      <c r="M13" s="25" t="n"/>
      <c r="N13" s="27" t="n"/>
      <c r="O13" s="24">
        <f>IF(B13="","",IF(M13="","TAK",IFERROR(INDEX(Ustawienia!$K$4:$K$8,MATCH(M13,Ustawienia!$J$4:$J$8,0)),"TAK")))</f>
        <v/>
      </c>
      <c r="P13" s="28">
        <f>IF(OR(B13="",D13=""),"",IFERROR(INDEX('Dane rozpisek'!$B$2:$B$2600,MATCH(S13,'Dane rozpisek'!$H$2:$H$2600,0))&amp;": "&amp;INDEX('Dane rozpisek'!$E$2:$E$2600,MATCH(S13,'Dane rozpisek'!$H$2:$H$2600,0))&amp;IF(COUNTIF('Dane rozpisek'!$H$2:$H$2600,S13)&gt;1," (+"&amp;(COUNTIF('Dane rozpisek'!$H$2:$H$2600,S13)-1)&amp;")",""),"—"))</f>
        <v/>
      </c>
      <c r="Q13" s="24">
        <f>IF(AND(B13&lt;&gt;"",D13&lt;&gt;"",OR('Historia wózka'!$B$4="",B13='Historia wózka'!$B$4),D13&gt;='Historia wózka'!$B$5,D13&lt;='Historia wózka'!$B$6),D13+ROW()/1000000,0)</f>
        <v/>
      </c>
      <c r="R13" s="24">
        <f>IF(O13="TAK",IF(D13="",0,D13)+ROW()/1000000,0)</f>
        <v/>
      </c>
      <c r="S13" s="24">
        <f>IF(OR(B13="",D13=""),"",B13&amp;"|"&amp;D13)</f>
        <v/>
      </c>
    </row>
    <row r="14">
      <c r="A14" s="24">
        <f>IF(B14="","",ROW()-4)</f>
        <v/>
      </c>
      <c r="B14" s="25" t="n"/>
      <c r="C14" s="24">
        <f>IF(B14="","",IFERROR(INDEX('Wózki'!$B$2:$B$500,MATCH(B14,'Wózki'!$A$2:$A$500,0))&amp;"",""))</f>
        <v/>
      </c>
      <c r="D14" s="26" t="n"/>
      <c r="E14" s="25" t="n"/>
      <c r="F14" s="25" t="n"/>
      <c r="G14" s="24">
        <f>IF(F14="","",IFERROR(INDEX(Pracownicy!$B$2:$B$2000,MATCH(F14,Pracownicy!$A$2:$A$2000,0))&amp;"",""))</f>
        <v/>
      </c>
      <c r="H14" s="25" t="n"/>
      <c r="I14" s="25" t="n"/>
      <c r="J14" s="25" t="n"/>
      <c r="K14" s="27" t="n"/>
      <c r="L14" s="25" t="n"/>
      <c r="M14" s="25" t="n"/>
      <c r="N14" s="27" t="n"/>
      <c r="O14" s="24">
        <f>IF(B14="","",IF(M14="","TAK",IFERROR(INDEX(Ustawienia!$K$4:$K$8,MATCH(M14,Ustawienia!$J$4:$J$8,0)),"TAK")))</f>
        <v/>
      </c>
      <c r="P14" s="28">
        <f>IF(OR(B14="",D14=""),"",IFERROR(INDEX('Dane rozpisek'!$B$2:$B$2600,MATCH(S14,'Dane rozpisek'!$H$2:$H$2600,0))&amp;": "&amp;INDEX('Dane rozpisek'!$E$2:$E$2600,MATCH(S14,'Dane rozpisek'!$H$2:$H$2600,0))&amp;IF(COUNTIF('Dane rozpisek'!$H$2:$H$2600,S14)&gt;1," (+"&amp;(COUNTIF('Dane rozpisek'!$H$2:$H$2600,S14)-1)&amp;")",""),"—"))</f>
        <v/>
      </c>
      <c r="Q14" s="24">
        <f>IF(AND(B14&lt;&gt;"",D14&lt;&gt;"",OR('Historia wózka'!$B$4="",B14='Historia wózka'!$B$4),D14&gt;='Historia wózka'!$B$5,D14&lt;='Historia wózka'!$B$6),D14+ROW()/1000000,0)</f>
        <v/>
      </c>
      <c r="R14" s="24">
        <f>IF(O14="TAK",IF(D14="",0,D14)+ROW()/1000000,0)</f>
        <v/>
      </c>
      <c r="S14" s="24">
        <f>IF(OR(B14="",D14=""),"",B14&amp;"|"&amp;D14)</f>
        <v/>
      </c>
    </row>
    <row r="15">
      <c r="A15" s="24">
        <f>IF(B15="","",ROW()-4)</f>
        <v/>
      </c>
      <c r="B15" s="25" t="n"/>
      <c r="C15" s="24">
        <f>IF(B15="","",IFERROR(INDEX('Wózki'!$B$2:$B$500,MATCH(B15,'Wózki'!$A$2:$A$500,0))&amp;"",""))</f>
        <v/>
      </c>
      <c r="D15" s="26" t="n"/>
      <c r="E15" s="25" t="n"/>
      <c r="F15" s="25" t="n"/>
      <c r="G15" s="24">
        <f>IF(F15="","",IFERROR(INDEX(Pracownicy!$B$2:$B$2000,MATCH(F15,Pracownicy!$A$2:$A$2000,0))&amp;"",""))</f>
        <v/>
      </c>
      <c r="H15" s="25" t="n"/>
      <c r="I15" s="25" t="n"/>
      <c r="J15" s="25" t="n"/>
      <c r="K15" s="27" t="n"/>
      <c r="L15" s="25" t="n"/>
      <c r="M15" s="25" t="n"/>
      <c r="N15" s="27" t="n"/>
      <c r="O15" s="24">
        <f>IF(B15="","",IF(M15="","TAK",IFERROR(INDEX(Ustawienia!$K$4:$K$8,MATCH(M15,Ustawienia!$J$4:$J$8,0)),"TAK")))</f>
        <v/>
      </c>
      <c r="P15" s="28">
        <f>IF(OR(B15="",D15=""),"",IFERROR(INDEX('Dane rozpisek'!$B$2:$B$2600,MATCH(S15,'Dane rozpisek'!$H$2:$H$2600,0))&amp;": "&amp;INDEX('Dane rozpisek'!$E$2:$E$2600,MATCH(S15,'Dane rozpisek'!$H$2:$H$2600,0))&amp;IF(COUNTIF('Dane rozpisek'!$H$2:$H$2600,S15)&gt;1," (+"&amp;(COUNTIF('Dane rozpisek'!$H$2:$H$2600,S15)-1)&amp;")",""),"—"))</f>
        <v/>
      </c>
      <c r="Q15" s="24">
        <f>IF(AND(B15&lt;&gt;"",D15&lt;&gt;"",OR('Historia wózka'!$B$4="",B15='Historia wózka'!$B$4),D15&gt;='Historia wózka'!$B$5,D15&lt;='Historia wózka'!$B$6),D15+ROW()/1000000,0)</f>
        <v/>
      </c>
      <c r="R15" s="24">
        <f>IF(O15="TAK",IF(D15="",0,D15)+ROW()/1000000,0)</f>
        <v/>
      </c>
      <c r="S15" s="24">
        <f>IF(OR(B15="",D15=""),"",B15&amp;"|"&amp;D15)</f>
        <v/>
      </c>
    </row>
    <row r="16">
      <c r="A16" s="24">
        <f>IF(B16="","",ROW()-4)</f>
        <v/>
      </c>
      <c r="B16" s="25" t="n"/>
      <c r="C16" s="24">
        <f>IF(B16="","",IFERROR(INDEX('Wózki'!$B$2:$B$500,MATCH(B16,'Wózki'!$A$2:$A$500,0))&amp;"",""))</f>
        <v/>
      </c>
      <c r="D16" s="26" t="n"/>
      <c r="E16" s="25" t="n"/>
      <c r="F16" s="25" t="n"/>
      <c r="G16" s="24">
        <f>IF(F16="","",IFERROR(INDEX(Pracownicy!$B$2:$B$2000,MATCH(F16,Pracownicy!$A$2:$A$2000,0))&amp;"",""))</f>
        <v/>
      </c>
      <c r="H16" s="25" t="n"/>
      <c r="I16" s="25" t="n"/>
      <c r="J16" s="25" t="n"/>
      <c r="K16" s="27" t="n"/>
      <c r="L16" s="25" t="n"/>
      <c r="M16" s="25" t="n"/>
      <c r="N16" s="27" t="n"/>
      <c r="O16" s="24">
        <f>IF(B16="","",IF(M16="","TAK",IFERROR(INDEX(Ustawienia!$K$4:$K$8,MATCH(M16,Ustawienia!$J$4:$J$8,0)),"TAK")))</f>
        <v/>
      </c>
      <c r="P16" s="28">
        <f>IF(OR(B16="",D16=""),"",IFERROR(INDEX('Dane rozpisek'!$B$2:$B$2600,MATCH(S16,'Dane rozpisek'!$H$2:$H$2600,0))&amp;": "&amp;INDEX('Dane rozpisek'!$E$2:$E$2600,MATCH(S16,'Dane rozpisek'!$H$2:$H$2600,0))&amp;IF(COUNTIF('Dane rozpisek'!$H$2:$H$2600,S16)&gt;1," (+"&amp;(COUNTIF('Dane rozpisek'!$H$2:$H$2600,S16)-1)&amp;")",""),"—"))</f>
        <v/>
      </c>
      <c r="Q16" s="24">
        <f>IF(AND(B16&lt;&gt;"",D16&lt;&gt;"",OR('Historia wózka'!$B$4="",B16='Historia wózka'!$B$4),D16&gt;='Historia wózka'!$B$5,D16&lt;='Historia wózka'!$B$6),D16+ROW()/1000000,0)</f>
        <v/>
      </c>
      <c r="R16" s="24">
        <f>IF(O16="TAK",IF(D16="",0,D16)+ROW()/1000000,0)</f>
        <v/>
      </c>
      <c r="S16" s="24">
        <f>IF(OR(B16="",D16=""),"",B16&amp;"|"&amp;D16)</f>
        <v/>
      </c>
    </row>
    <row r="17">
      <c r="A17" s="24">
        <f>IF(B17="","",ROW()-4)</f>
        <v/>
      </c>
      <c r="B17" s="25" t="n"/>
      <c r="C17" s="24">
        <f>IF(B17="","",IFERROR(INDEX('Wózki'!$B$2:$B$500,MATCH(B17,'Wózki'!$A$2:$A$500,0))&amp;"",""))</f>
        <v/>
      </c>
      <c r="D17" s="26" t="n"/>
      <c r="E17" s="25" t="n"/>
      <c r="F17" s="25" t="n"/>
      <c r="G17" s="24">
        <f>IF(F17="","",IFERROR(INDEX(Pracownicy!$B$2:$B$2000,MATCH(F17,Pracownicy!$A$2:$A$2000,0))&amp;"",""))</f>
        <v/>
      </c>
      <c r="H17" s="25" t="n"/>
      <c r="I17" s="25" t="n"/>
      <c r="J17" s="25" t="n"/>
      <c r="K17" s="27" t="n"/>
      <c r="L17" s="25" t="n"/>
      <c r="M17" s="25" t="n"/>
      <c r="N17" s="27" t="n"/>
      <c r="O17" s="24">
        <f>IF(B17="","",IF(M17="","TAK",IFERROR(INDEX(Ustawienia!$K$4:$K$8,MATCH(M17,Ustawienia!$J$4:$J$8,0)),"TAK")))</f>
        <v/>
      </c>
      <c r="P17" s="28">
        <f>IF(OR(B17="",D17=""),"",IFERROR(INDEX('Dane rozpisek'!$B$2:$B$2600,MATCH(S17,'Dane rozpisek'!$H$2:$H$2600,0))&amp;": "&amp;INDEX('Dane rozpisek'!$E$2:$E$2600,MATCH(S17,'Dane rozpisek'!$H$2:$H$2600,0))&amp;IF(COUNTIF('Dane rozpisek'!$H$2:$H$2600,S17)&gt;1," (+"&amp;(COUNTIF('Dane rozpisek'!$H$2:$H$2600,S17)-1)&amp;")",""),"—"))</f>
        <v/>
      </c>
      <c r="Q17" s="24">
        <f>IF(AND(B17&lt;&gt;"",D17&lt;&gt;"",OR('Historia wózka'!$B$4="",B17='Historia wózka'!$B$4),D17&gt;='Historia wózka'!$B$5,D17&lt;='Historia wózka'!$B$6),D17+ROW()/1000000,0)</f>
        <v/>
      </c>
      <c r="R17" s="24">
        <f>IF(O17="TAK",IF(D17="",0,D17)+ROW()/1000000,0)</f>
        <v/>
      </c>
      <c r="S17" s="24">
        <f>IF(OR(B17="",D17=""),"",B17&amp;"|"&amp;D17)</f>
        <v/>
      </c>
    </row>
    <row r="18">
      <c r="A18" s="24">
        <f>IF(B18="","",ROW()-4)</f>
        <v/>
      </c>
      <c r="B18" s="25" t="n"/>
      <c r="C18" s="24">
        <f>IF(B18="","",IFERROR(INDEX('Wózki'!$B$2:$B$500,MATCH(B18,'Wózki'!$A$2:$A$500,0))&amp;"",""))</f>
        <v/>
      </c>
      <c r="D18" s="26" t="n"/>
      <c r="E18" s="25" t="n"/>
      <c r="F18" s="25" t="n"/>
      <c r="G18" s="24">
        <f>IF(F18="","",IFERROR(INDEX(Pracownicy!$B$2:$B$2000,MATCH(F18,Pracownicy!$A$2:$A$2000,0))&amp;"",""))</f>
        <v/>
      </c>
      <c r="H18" s="25" t="n"/>
      <c r="I18" s="25" t="n"/>
      <c r="J18" s="25" t="n"/>
      <c r="K18" s="27" t="n"/>
      <c r="L18" s="25" t="n"/>
      <c r="M18" s="25" t="n"/>
      <c r="N18" s="27" t="n"/>
      <c r="O18" s="24">
        <f>IF(B18="","",IF(M18="","TAK",IFERROR(INDEX(Ustawienia!$K$4:$K$8,MATCH(M18,Ustawienia!$J$4:$J$8,0)),"TAK")))</f>
        <v/>
      </c>
      <c r="P18" s="28">
        <f>IF(OR(B18="",D18=""),"",IFERROR(INDEX('Dane rozpisek'!$B$2:$B$2600,MATCH(S18,'Dane rozpisek'!$H$2:$H$2600,0))&amp;": "&amp;INDEX('Dane rozpisek'!$E$2:$E$2600,MATCH(S18,'Dane rozpisek'!$H$2:$H$2600,0))&amp;IF(COUNTIF('Dane rozpisek'!$H$2:$H$2600,S18)&gt;1," (+"&amp;(COUNTIF('Dane rozpisek'!$H$2:$H$2600,S18)-1)&amp;")",""),"—"))</f>
        <v/>
      </c>
      <c r="Q18" s="24">
        <f>IF(AND(B18&lt;&gt;"",D18&lt;&gt;"",OR('Historia wózka'!$B$4="",B18='Historia wózka'!$B$4),D18&gt;='Historia wózka'!$B$5,D18&lt;='Historia wózka'!$B$6),D18+ROW()/1000000,0)</f>
        <v/>
      </c>
      <c r="R18" s="24">
        <f>IF(O18="TAK",IF(D18="",0,D18)+ROW()/1000000,0)</f>
        <v/>
      </c>
      <c r="S18" s="24">
        <f>IF(OR(B18="",D18=""),"",B18&amp;"|"&amp;D18)</f>
        <v/>
      </c>
    </row>
    <row r="19">
      <c r="A19" s="24">
        <f>IF(B19="","",ROW()-4)</f>
        <v/>
      </c>
      <c r="B19" s="25" t="n"/>
      <c r="C19" s="24">
        <f>IF(B19="","",IFERROR(INDEX('Wózki'!$B$2:$B$500,MATCH(B19,'Wózki'!$A$2:$A$500,0))&amp;"",""))</f>
        <v/>
      </c>
      <c r="D19" s="26" t="n"/>
      <c r="E19" s="25" t="n"/>
      <c r="F19" s="25" t="n"/>
      <c r="G19" s="24">
        <f>IF(F19="","",IFERROR(INDEX(Pracownicy!$B$2:$B$2000,MATCH(F19,Pracownicy!$A$2:$A$2000,0))&amp;"",""))</f>
        <v/>
      </c>
      <c r="H19" s="25" t="n"/>
      <c r="I19" s="25" t="n"/>
      <c r="J19" s="25" t="n"/>
      <c r="K19" s="27" t="n"/>
      <c r="L19" s="25" t="n"/>
      <c r="M19" s="25" t="n"/>
      <c r="N19" s="27" t="n"/>
      <c r="O19" s="24">
        <f>IF(B19="","",IF(M19="","TAK",IFERROR(INDEX(Ustawienia!$K$4:$K$8,MATCH(M19,Ustawienia!$J$4:$J$8,0)),"TAK")))</f>
        <v/>
      </c>
      <c r="P19" s="28">
        <f>IF(OR(B19="",D19=""),"",IFERROR(INDEX('Dane rozpisek'!$B$2:$B$2600,MATCH(S19,'Dane rozpisek'!$H$2:$H$2600,0))&amp;": "&amp;INDEX('Dane rozpisek'!$E$2:$E$2600,MATCH(S19,'Dane rozpisek'!$H$2:$H$2600,0))&amp;IF(COUNTIF('Dane rozpisek'!$H$2:$H$2600,S19)&gt;1," (+"&amp;(COUNTIF('Dane rozpisek'!$H$2:$H$2600,S19)-1)&amp;")",""),"—"))</f>
        <v/>
      </c>
      <c r="Q19" s="24">
        <f>IF(AND(B19&lt;&gt;"",D19&lt;&gt;"",OR('Historia wózka'!$B$4="",B19='Historia wózka'!$B$4),D19&gt;='Historia wózka'!$B$5,D19&lt;='Historia wózka'!$B$6),D19+ROW()/1000000,0)</f>
        <v/>
      </c>
      <c r="R19" s="24">
        <f>IF(O19="TAK",IF(D19="",0,D19)+ROW()/1000000,0)</f>
        <v/>
      </c>
      <c r="S19" s="24">
        <f>IF(OR(B19="",D19=""),"",B19&amp;"|"&amp;D19)</f>
        <v/>
      </c>
    </row>
    <row r="20">
      <c r="A20" s="24">
        <f>IF(B20="","",ROW()-4)</f>
        <v/>
      </c>
      <c r="B20" s="25" t="n"/>
      <c r="C20" s="24">
        <f>IF(B20="","",IFERROR(INDEX('Wózki'!$B$2:$B$500,MATCH(B20,'Wózki'!$A$2:$A$500,0))&amp;"",""))</f>
        <v/>
      </c>
      <c r="D20" s="26" t="n"/>
      <c r="E20" s="25" t="n"/>
      <c r="F20" s="25" t="n"/>
      <c r="G20" s="24">
        <f>IF(F20="","",IFERROR(INDEX(Pracownicy!$B$2:$B$2000,MATCH(F20,Pracownicy!$A$2:$A$2000,0))&amp;"",""))</f>
        <v/>
      </c>
      <c r="H20" s="25" t="n"/>
      <c r="I20" s="25" t="n"/>
      <c r="J20" s="25" t="n"/>
      <c r="K20" s="27" t="n"/>
      <c r="L20" s="25" t="n"/>
      <c r="M20" s="25" t="n"/>
      <c r="N20" s="27" t="n"/>
      <c r="O20" s="24">
        <f>IF(B20="","",IF(M20="","TAK",IFERROR(INDEX(Ustawienia!$K$4:$K$8,MATCH(M20,Ustawienia!$J$4:$J$8,0)),"TAK")))</f>
        <v/>
      </c>
      <c r="P20" s="28">
        <f>IF(OR(B20="",D20=""),"",IFERROR(INDEX('Dane rozpisek'!$B$2:$B$2600,MATCH(S20,'Dane rozpisek'!$H$2:$H$2600,0))&amp;": "&amp;INDEX('Dane rozpisek'!$E$2:$E$2600,MATCH(S20,'Dane rozpisek'!$H$2:$H$2600,0))&amp;IF(COUNTIF('Dane rozpisek'!$H$2:$H$2600,S20)&gt;1," (+"&amp;(COUNTIF('Dane rozpisek'!$H$2:$H$2600,S20)-1)&amp;")",""),"—"))</f>
        <v/>
      </c>
      <c r="Q20" s="24">
        <f>IF(AND(B20&lt;&gt;"",D20&lt;&gt;"",OR('Historia wózka'!$B$4="",B20='Historia wózka'!$B$4),D20&gt;='Historia wózka'!$B$5,D20&lt;='Historia wózka'!$B$6),D20+ROW()/1000000,0)</f>
        <v/>
      </c>
      <c r="R20" s="24">
        <f>IF(O20="TAK",IF(D20="",0,D20)+ROW()/1000000,0)</f>
        <v/>
      </c>
      <c r="S20" s="24">
        <f>IF(OR(B20="",D20=""),"",B20&amp;"|"&amp;D20)</f>
        <v/>
      </c>
    </row>
    <row r="21">
      <c r="A21" s="24">
        <f>IF(B21="","",ROW()-4)</f>
        <v/>
      </c>
      <c r="B21" s="25" t="n"/>
      <c r="C21" s="24">
        <f>IF(B21="","",IFERROR(INDEX('Wózki'!$B$2:$B$500,MATCH(B21,'Wózki'!$A$2:$A$500,0))&amp;"",""))</f>
        <v/>
      </c>
      <c r="D21" s="26" t="n"/>
      <c r="E21" s="25" t="n"/>
      <c r="F21" s="25" t="n"/>
      <c r="G21" s="24">
        <f>IF(F21="","",IFERROR(INDEX(Pracownicy!$B$2:$B$2000,MATCH(F21,Pracownicy!$A$2:$A$2000,0))&amp;"",""))</f>
        <v/>
      </c>
      <c r="H21" s="25" t="n"/>
      <c r="I21" s="25" t="n"/>
      <c r="J21" s="25" t="n"/>
      <c r="K21" s="27" t="n"/>
      <c r="L21" s="25" t="n"/>
      <c r="M21" s="25" t="n"/>
      <c r="N21" s="27" t="n"/>
      <c r="O21" s="24">
        <f>IF(B21="","",IF(M21="","TAK",IFERROR(INDEX(Ustawienia!$K$4:$K$8,MATCH(M21,Ustawienia!$J$4:$J$8,0)),"TAK")))</f>
        <v/>
      </c>
      <c r="P21" s="28">
        <f>IF(OR(B21="",D21=""),"",IFERROR(INDEX('Dane rozpisek'!$B$2:$B$2600,MATCH(S21,'Dane rozpisek'!$H$2:$H$2600,0))&amp;": "&amp;INDEX('Dane rozpisek'!$E$2:$E$2600,MATCH(S21,'Dane rozpisek'!$H$2:$H$2600,0))&amp;IF(COUNTIF('Dane rozpisek'!$H$2:$H$2600,S21)&gt;1," (+"&amp;(COUNTIF('Dane rozpisek'!$H$2:$H$2600,S21)-1)&amp;")",""),"—"))</f>
        <v/>
      </c>
      <c r="Q21" s="24">
        <f>IF(AND(B21&lt;&gt;"",D21&lt;&gt;"",OR('Historia wózka'!$B$4="",B21='Historia wózka'!$B$4),D21&gt;='Historia wózka'!$B$5,D21&lt;='Historia wózka'!$B$6),D21+ROW()/1000000,0)</f>
        <v/>
      </c>
      <c r="R21" s="24">
        <f>IF(O21="TAK",IF(D21="",0,D21)+ROW()/1000000,0)</f>
        <v/>
      </c>
      <c r="S21" s="24">
        <f>IF(OR(B21="",D21=""),"",B21&amp;"|"&amp;D21)</f>
        <v/>
      </c>
    </row>
    <row r="22">
      <c r="A22" s="24">
        <f>IF(B22="","",ROW()-4)</f>
        <v/>
      </c>
      <c r="B22" s="25" t="n"/>
      <c r="C22" s="24">
        <f>IF(B22="","",IFERROR(INDEX('Wózki'!$B$2:$B$500,MATCH(B22,'Wózki'!$A$2:$A$500,0))&amp;"",""))</f>
        <v/>
      </c>
      <c r="D22" s="26" t="n"/>
      <c r="E22" s="25" t="n"/>
      <c r="F22" s="25" t="n"/>
      <c r="G22" s="24">
        <f>IF(F22="","",IFERROR(INDEX(Pracownicy!$B$2:$B$2000,MATCH(F22,Pracownicy!$A$2:$A$2000,0))&amp;"",""))</f>
        <v/>
      </c>
      <c r="H22" s="25" t="n"/>
      <c r="I22" s="25" t="n"/>
      <c r="J22" s="25" t="n"/>
      <c r="K22" s="27" t="n"/>
      <c r="L22" s="25" t="n"/>
      <c r="M22" s="25" t="n"/>
      <c r="N22" s="27" t="n"/>
      <c r="O22" s="24">
        <f>IF(B22="","",IF(M22="","TAK",IFERROR(INDEX(Ustawienia!$K$4:$K$8,MATCH(M22,Ustawienia!$J$4:$J$8,0)),"TAK")))</f>
        <v/>
      </c>
      <c r="P22" s="28">
        <f>IF(OR(B22="",D22=""),"",IFERROR(INDEX('Dane rozpisek'!$B$2:$B$2600,MATCH(S22,'Dane rozpisek'!$H$2:$H$2600,0))&amp;": "&amp;INDEX('Dane rozpisek'!$E$2:$E$2600,MATCH(S22,'Dane rozpisek'!$H$2:$H$2600,0))&amp;IF(COUNTIF('Dane rozpisek'!$H$2:$H$2600,S22)&gt;1," (+"&amp;(COUNTIF('Dane rozpisek'!$H$2:$H$2600,S22)-1)&amp;")",""),"—"))</f>
        <v/>
      </c>
      <c r="Q22" s="24">
        <f>IF(AND(B22&lt;&gt;"",D22&lt;&gt;"",OR('Historia wózka'!$B$4="",B22='Historia wózka'!$B$4),D22&gt;='Historia wózka'!$B$5,D22&lt;='Historia wózka'!$B$6),D22+ROW()/1000000,0)</f>
        <v/>
      </c>
      <c r="R22" s="24">
        <f>IF(O22="TAK",IF(D22="",0,D22)+ROW()/1000000,0)</f>
        <v/>
      </c>
      <c r="S22" s="24">
        <f>IF(OR(B22="",D22=""),"",B22&amp;"|"&amp;D22)</f>
        <v/>
      </c>
    </row>
    <row r="23">
      <c r="A23" s="24">
        <f>IF(B23="","",ROW()-4)</f>
        <v/>
      </c>
      <c r="B23" s="25" t="n"/>
      <c r="C23" s="24">
        <f>IF(B23="","",IFERROR(INDEX('Wózki'!$B$2:$B$500,MATCH(B23,'Wózki'!$A$2:$A$500,0))&amp;"",""))</f>
        <v/>
      </c>
      <c r="D23" s="26" t="n"/>
      <c r="E23" s="25" t="n"/>
      <c r="F23" s="25" t="n"/>
      <c r="G23" s="24">
        <f>IF(F23="","",IFERROR(INDEX(Pracownicy!$B$2:$B$2000,MATCH(F23,Pracownicy!$A$2:$A$2000,0))&amp;"",""))</f>
        <v/>
      </c>
      <c r="H23" s="25" t="n"/>
      <c r="I23" s="25" t="n"/>
      <c r="J23" s="25" t="n"/>
      <c r="K23" s="27" t="n"/>
      <c r="L23" s="25" t="n"/>
      <c r="M23" s="25" t="n"/>
      <c r="N23" s="27" t="n"/>
      <c r="O23" s="24">
        <f>IF(B23="","",IF(M23="","TAK",IFERROR(INDEX(Ustawienia!$K$4:$K$8,MATCH(M23,Ustawienia!$J$4:$J$8,0)),"TAK")))</f>
        <v/>
      </c>
      <c r="P23" s="28">
        <f>IF(OR(B23="",D23=""),"",IFERROR(INDEX('Dane rozpisek'!$B$2:$B$2600,MATCH(S23,'Dane rozpisek'!$H$2:$H$2600,0))&amp;": "&amp;INDEX('Dane rozpisek'!$E$2:$E$2600,MATCH(S23,'Dane rozpisek'!$H$2:$H$2600,0))&amp;IF(COUNTIF('Dane rozpisek'!$H$2:$H$2600,S23)&gt;1," (+"&amp;(COUNTIF('Dane rozpisek'!$H$2:$H$2600,S23)-1)&amp;")",""),"—"))</f>
        <v/>
      </c>
      <c r="Q23" s="24">
        <f>IF(AND(B23&lt;&gt;"",D23&lt;&gt;"",OR('Historia wózka'!$B$4="",B23='Historia wózka'!$B$4),D23&gt;='Historia wózka'!$B$5,D23&lt;='Historia wózka'!$B$6),D23+ROW()/1000000,0)</f>
        <v/>
      </c>
      <c r="R23" s="24">
        <f>IF(O23="TAK",IF(D23="",0,D23)+ROW()/1000000,0)</f>
        <v/>
      </c>
      <c r="S23" s="24">
        <f>IF(OR(B23="",D23=""),"",B23&amp;"|"&amp;D23)</f>
        <v/>
      </c>
    </row>
    <row r="24">
      <c r="A24" s="24">
        <f>IF(B24="","",ROW()-4)</f>
        <v/>
      </c>
      <c r="B24" s="25" t="n"/>
      <c r="C24" s="24">
        <f>IF(B24="","",IFERROR(INDEX('Wózki'!$B$2:$B$500,MATCH(B24,'Wózki'!$A$2:$A$500,0))&amp;"",""))</f>
        <v/>
      </c>
      <c r="D24" s="26" t="n"/>
      <c r="E24" s="25" t="n"/>
      <c r="F24" s="25" t="n"/>
      <c r="G24" s="24">
        <f>IF(F24="","",IFERROR(INDEX(Pracownicy!$B$2:$B$2000,MATCH(F24,Pracownicy!$A$2:$A$2000,0))&amp;"",""))</f>
        <v/>
      </c>
      <c r="H24" s="25" t="n"/>
      <c r="I24" s="25" t="n"/>
      <c r="J24" s="25" t="n"/>
      <c r="K24" s="27" t="n"/>
      <c r="L24" s="25" t="n"/>
      <c r="M24" s="25" t="n"/>
      <c r="N24" s="27" t="n"/>
      <c r="O24" s="24">
        <f>IF(B24="","",IF(M24="","TAK",IFERROR(INDEX(Ustawienia!$K$4:$K$8,MATCH(M24,Ustawienia!$J$4:$J$8,0)),"TAK")))</f>
        <v/>
      </c>
      <c r="P24" s="28">
        <f>IF(OR(B24="",D24=""),"",IFERROR(INDEX('Dane rozpisek'!$B$2:$B$2600,MATCH(S24,'Dane rozpisek'!$H$2:$H$2600,0))&amp;": "&amp;INDEX('Dane rozpisek'!$E$2:$E$2600,MATCH(S24,'Dane rozpisek'!$H$2:$H$2600,0))&amp;IF(COUNTIF('Dane rozpisek'!$H$2:$H$2600,S24)&gt;1," (+"&amp;(COUNTIF('Dane rozpisek'!$H$2:$H$2600,S24)-1)&amp;")",""),"—"))</f>
        <v/>
      </c>
      <c r="Q24" s="24">
        <f>IF(AND(B24&lt;&gt;"",D24&lt;&gt;"",OR('Historia wózka'!$B$4="",B24='Historia wózka'!$B$4),D24&gt;='Historia wózka'!$B$5,D24&lt;='Historia wózka'!$B$6),D24+ROW()/1000000,0)</f>
        <v/>
      </c>
      <c r="R24" s="24">
        <f>IF(O24="TAK",IF(D24="",0,D24)+ROW()/1000000,0)</f>
        <v/>
      </c>
      <c r="S24" s="24">
        <f>IF(OR(B24="",D24=""),"",B24&amp;"|"&amp;D24)</f>
        <v/>
      </c>
    </row>
    <row r="25">
      <c r="A25" s="24">
        <f>IF(B25="","",ROW()-4)</f>
        <v/>
      </c>
      <c r="B25" s="25" t="n"/>
      <c r="C25" s="24">
        <f>IF(B25="","",IFERROR(INDEX('Wózki'!$B$2:$B$500,MATCH(B25,'Wózki'!$A$2:$A$500,0))&amp;"",""))</f>
        <v/>
      </c>
      <c r="D25" s="26" t="n"/>
      <c r="E25" s="25" t="n"/>
      <c r="F25" s="25" t="n"/>
      <c r="G25" s="24">
        <f>IF(F25="","",IFERROR(INDEX(Pracownicy!$B$2:$B$2000,MATCH(F25,Pracownicy!$A$2:$A$2000,0))&amp;"",""))</f>
        <v/>
      </c>
      <c r="H25" s="25" t="n"/>
      <c r="I25" s="25" t="n"/>
      <c r="J25" s="25" t="n"/>
      <c r="K25" s="27" t="n"/>
      <c r="L25" s="25" t="n"/>
      <c r="M25" s="25" t="n"/>
      <c r="N25" s="27" t="n"/>
      <c r="O25" s="24">
        <f>IF(B25="","",IF(M25="","TAK",IFERROR(INDEX(Ustawienia!$K$4:$K$8,MATCH(M25,Ustawienia!$J$4:$J$8,0)),"TAK")))</f>
        <v/>
      </c>
      <c r="P25" s="28">
        <f>IF(OR(B25="",D25=""),"",IFERROR(INDEX('Dane rozpisek'!$B$2:$B$2600,MATCH(S25,'Dane rozpisek'!$H$2:$H$2600,0))&amp;": "&amp;INDEX('Dane rozpisek'!$E$2:$E$2600,MATCH(S25,'Dane rozpisek'!$H$2:$H$2600,0))&amp;IF(COUNTIF('Dane rozpisek'!$H$2:$H$2600,S25)&gt;1," (+"&amp;(COUNTIF('Dane rozpisek'!$H$2:$H$2600,S25)-1)&amp;")",""),"—"))</f>
        <v/>
      </c>
      <c r="Q25" s="24">
        <f>IF(AND(B25&lt;&gt;"",D25&lt;&gt;"",OR('Historia wózka'!$B$4="",B25='Historia wózka'!$B$4),D25&gt;='Historia wózka'!$B$5,D25&lt;='Historia wózka'!$B$6),D25+ROW()/1000000,0)</f>
        <v/>
      </c>
      <c r="R25" s="24">
        <f>IF(O25="TAK",IF(D25="",0,D25)+ROW()/1000000,0)</f>
        <v/>
      </c>
      <c r="S25" s="24">
        <f>IF(OR(B25="",D25=""),"",B25&amp;"|"&amp;D25)</f>
        <v/>
      </c>
    </row>
    <row r="26">
      <c r="A26" s="24">
        <f>IF(B26="","",ROW()-4)</f>
        <v/>
      </c>
      <c r="B26" s="25" t="n"/>
      <c r="C26" s="24">
        <f>IF(B26="","",IFERROR(INDEX('Wózki'!$B$2:$B$500,MATCH(B26,'Wózki'!$A$2:$A$500,0))&amp;"",""))</f>
        <v/>
      </c>
      <c r="D26" s="26" t="n"/>
      <c r="E26" s="25" t="n"/>
      <c r="F26" s="25" t="n"/>
      <c r="G26" s="24">
        <f>IF(F26="","",IFERROR(INDEX(Pracownicy!$B$2:$B$2000,MATCH(F26,Pracownicy!$A$2:$A$2000,0))&amp;"",""))</f>
        <v/>
      </c>
      <c r="H26" s="25" t="n"/>
      <c r="I26" s="25" t="n"/>
      <c r="J26" s="25" t="n"/>
      <c r="K26" s="27" t="n"/>
      <c r="L26" s="25" t="n"/>
      <c r="M26" s="25" t="n"/>
      <c r="N26" s="27" t="n"/>
      <c r="O26" s="24">
        <f>IF(B26="","",IF(M26="","TAK",IFERROR(INDEX(Ustawienia!$K$4:$K$8,MATCH(M26,Ustawienia!$J$4:$J$8,0)),"TAK")))</f>
        <v/>
      </c>
      <c r="P26" s="28">
        <f>IF(OR(B26="",D26=""),"",IFERROR(INDEX('Dane rozpisek'!$B$2:$B$2600,MATCH(S26,'Dane rozpisek'!$H$2:$H$2600,0))&amp;": "&amp;INDEX('Dane rozpisek'!$E$2:$E$2600,MATCH(S26,'Dane rozpisek'!$H$2:$H$2600,0))&amp;IF(COUNTIF('Dane rozpisek'!$H$2:$H$2600,S26)&gt;1," (+"&amp;(COUNTIF('Dane rozpisek'!$H$2:$H$2600,S26)-1)&amp;")",""),"—"))</f>
        <v/>
      </c>
      <c r="Q26" s="24">
        <f>IF(AND(B26&lt;&gt;"",D26&lt;&gt;"",OR('Historia wózka'!$B$4="",B26='Historia wózka'!$B$4),D26&gt;='Historia wózka'!$B$5,D26&lt;='Historia wózka'!$B$6),D26+ROW()/1000000,0)</f>
        <v/>
      </c>
      <c r="R26" s="24">
        <f>IF(O26="TAK",IF(D26="",0,D26)+ROW()/1000000,0)</f>
        <v/>
      </c>
      <c r="S26" s="24">
        <f>IF(OR(B26="",D26=""),"",B26&amp;"|"&amp;D26)</f>
        <v/>
      </c>
    </row>
    <row r="27">
      <c r="A27" s="24">
        <f>IF(B27="","",ROW()-4)</f>
        <v/>
      </c>
      <c r="B27" s="25" t="n"/>
      <c r="C27" s="24">
        <f>IF(B27="","",IFERROR(INDEX('Wózki'!$B$2:$B$500,MATCH(B27,'Wózki'!$A$2:$A$500,0))&amp;"",""))</f>
        <v/>
      </c>
      <c r="D27" s="26" t="n"/>
      <c r="E27" s="25" t="n"/>
      <c r="F27" s="25" t="n"/>
      <c r="G27" s="24">
        <f>IF(F27="","",IFERROR(INDEX(Pracownicy!$B$2:$B$2000,MATCH(F27,Pracownicy!$A$2:$A$2000,0))&amp;"",""))</f>
        <v/>
      </c>
      <c r="H27" s="25" t="n"/>
      <c r="I27" s="25" t="n"/>
      <c r="J27" s="25" t="n"/>
      <c r="K27" s="27" t="n"/>
      <c r="L27" s="25" t="n"/>
      <c r="M27" s="25" t="n"/>
      <c r="N27" s="27" t="n"/>
      <c r="O27" s="24">
        <f>IF(B27="","",IF(M27="","TAK",IFERROR(INDEX(Ustawienia!$K$4:$K$8,MATCH(M27,Ustawienia!$J$4:$J$8,0)),"TAK")))</f>
        <v/>
      </c>
      <c r="P27" s="28">
        <f>IF(OR(B27="",D27=""),"",IFERROR(INDEX('Dane rozpisek'!$B$2:$B$2600,MATCH(S27,'Dane rozpisek'!$H$2:$H$2600,0))&amp;": "&amp;INDEX('Dane rozpisek'!$E$2:$E$2600,MATCH(S27,'Dane rozpisek'!$H$2:$H$2600,0))&amp;IF(COUNTIF('Dane rozpisek'!$H$2:$H$2600,S27)&gt;1," (+"&amp;(COUNTIF('Dane rozpisek'!$H$2:$H$2600,S27)-1)&amp;")",""),"—"))</f>
        <v/>
      </c>
      <c r="Q27" s="24">
        <f>IF(AND(B27&lt;&gt;"",D27&lt;&gt;"",OR('Historia wózka'!$B$4="",B27='Historia wózka'!$B$4),D27&gt;='Historia wózka'!$B$5,D27&lt;='Historia wózka'!$B$6),D27+ROW()/1000000,0)</f>
        <v/>
      </c>
      <c r="R27" s="24">
        <f>IF(O27="TAK",IF(D27="",0,D27)+ROW()/1000000,0)</f>
        <v/>
      </c>
      <c r="S27" s="24">
        <f>IF(OR(B27="",D27=""),"",B27&amp;"|"&amp;D27)</f>
        <v/>
      </c>
    </row>
    <row r="28">
      <c r="A28" s="24">
        <f>IF(B28="","",ROW()-4)</f>
        <v/>
      </c>
      <c r="B28" s="25" t="n"/>
      <c r="C28" s="24">
        <f>IF(B28="","",IFERROR(INDEX('Wózki'!$B$2:$B$500,MATCH(B28,'Wózki'!$A$2:$A$500,0))&amp;"",""))</f>
        <v/>
      </c>
      <c r="D28" s="26" t="n"/>
      <c r="E28" s="25" t="n"/>
      <c r="F28" s="25" t="n"/>
      <c r="G28" s="24">
        <f>IF(F28="","",IFERROR(INDEX(Pracownicy!$B$2:$B$2000,MATCH(F28,Pracownicy!$A$2:$A$2000,0))&amp;"",""))</f>
        <v/>
      </c>
      <c r="H28" s="25" t="n"/>
      <c r="I28" s="25" t="n"/>
      <c r="J28" s="25" t="n"/>
      <c r="K28" s="27" t="n"/>
      <c r="L28" s="25" t="n"/>
      <c r="M28" s="25" t="n"/>
      <c r="N28" s="27" t="n"/>
      <c r="O28" s="24">
        <f>IF(B28="","",IF(M28="","TAK",IFERROR(INDEX(Ustawienia!$K$4:$K$8,MATCH(M28,Ustawienia!$J$4:$J$8,0)),"TAK")))</f>
        <v/>
      </c>
      <c r="P28" s="28">
        <f>IF(OR(B28="",D28=""),"",IFERROR(INDEX('Dane rozpisek'!$B$2:$B$2600,MATCH(S28,'Dane rozpisek'!$H$2:$H$2600,0))&amp;": "&amp;INDEX('Dane rozpisek'!$E$2:$E$2600,MATCH(S28,'Dane rozpisek'!$H$2:$H$2600,0))&amp;IF(COUNTIF('Dane rozpisek'!$H$2:$H$2600,S28)&gt;1," (+"&amp;(COUNTIF('Dane rozpisek'!$H$2:$H$2600,S28)-1)&amp;")",""),"—"))</f>
        <v/>
      </c>
      <c r="Q28" s="24">
        <f>IF(AND(B28&lt;&gt;"",D28&lt;&gt;"",OR('Historia wózka'!$B$4="",B28='Historia wózka'!$B$4),D28&gt;='Historia wózka'!$B$5,D28&lt;='Historia wózka'!$B$6),D28+ROW()/1000000,0)</f>
        <v/>
      </c>
      <c r="R28" s="24">
        <f>IF(O28="TAK",IF(D28="",0,D28)+ROW()/1000000,0)</f>
        <v/>
      </c>
      <c r="S28" s="24">
        <f>IF(OR(B28="",D28=""),"",B28&amp;"|"&amp;D28)</f>
        <v/>
      </c>
    </row>
    <row r="29">
      <c r="A29" s="24">
        <f>IF(B29="","",ROW()-4)</f>
        <v/>
      </c>
      <c r="B29" s="25" t="n"/>
      <c r="C29" s="24">
        <f>IF(B29="","",IFERROR(INDEX('Wózki'!$B$2:$B$500,MATCH(B29,'Wózki'!$A$2:$A$500,0))&amp;"",""))</f>
        <v/>
      </c>
      <c r="D29" s="26" t="n"/>
      <c r="E29" s="25" t="n"/>
      <c r="F29" s="25" t="n"/>
      <c r="G29" s="24">
        <f>IF(F29="","",IFERROR(INDEX(Pracownicy!$B$2:$B$2000,MATCH(F29,Pracownicy!$A$2:$A$2000,0))&amp;"",""))</f>
        <v/>
      </c>
      <c r="H29" s="25" t="n"/>
      <c r="I29" s="25" t="n"/>
      <c r="J29" s="25" t="n"/>
      <c r="K29" s="27" t="n"/>
      <c r="L29" s="25" t="n"/>
      <c r="M29" s="25" t="n"/>
      <c r="N29" s="27" t="n"/>
      <c r="O29" s="24">
        <f>IF(B29="","",IF(M29="","TAK",IFERROR(INDEX(Ustawienia!$K$4:$K$8,MATCH(M29,Ustawienia!$J$4:$J$8,0)),"TAK")))</f>
        <v/>
      </c>
      <c r="P29" s="28">
        <f>IF(OR(B29="",D29=""),"",IFERROR(INDEX('Dane rozpisek'!$B$2:$B$2600,MATCH(S29,'Dane rozpisek'!$H$2:$H$2600,0))&amp;": "&amp;INDEX('Dane rozpisek'!$E$2:$E$2600,MATCH(S29,'Dane rozpisek'!$H$2:$H$2600,0))&amp;IF(COUNTIF('Dane rozpisek'!$H$2:$H$2600,S29)&gt;1," (+"&amp;(COUNTIF('Dane rozpisek'!$H$2:$H$2600,S29)-1)&amp;")",""),"—"))</f>
        <v/>
      </c>
      <c r="Q29" s="24">
        <f>IF(AND(B29&lt;&gt;"",D29&lt;&gt;"",OR('Historia wózka'!$B$4="",B29='Historia wózka'!$B$4),D29&gt;='Historia wózka'!$B$5,D29&lt;='Historia wózka'!$B$6),D29+ROW()/1000000,0)</f>
        <v/>
      </c>
      <c r="R29" s="24">
        <f>IF(O29="TAK",IF(D29="",0,D29)+ROW()/1000000,0)</f>
        <v/>
      </c>
      <c r="S29" s="24">
        <f>IF(OR(B29="",D29=""),"",B29&amp;"|"&amp;D29)</f>
        <v/>
      </c>
    </row>
    <row r="30">
      <c r="A30" s="24">
        <f>IF(B30="","",ROW()-4)</f>
        <v/>
      </c>
      <c r="B30" s="25" t="n"/>
      <c r="C30" s="24">
        <f>IF(B30="","",IFERROR(INDEX('Wózki'!$B$2:$B$500,MATCH(B30,'Wózki'!$A$2:$A$500,0))&amp;"",""))</f>
        <v/>
      </c>
      <c r="D30" s="26" t="n"/>
      <c r="E30" s="25" t="n"/>
      <c r="F30" s="25" t="n"/>
      <c r="G30" s="24">
        <f>IF(F30="","",IFERROR(INDEX(Pracownicy!$B$2:$B$2000,MATCH(F30,Pracownicy!$A$2:$A$2000,0))&amp;"",""))</f>
        <v/>
      </c>
      <c r="H30" s="25" t="n"/>
      <c r="I30" s="25" t="n"/>
      <c r="J30" s="25" t="n"/>
      <c r="K30" s="27" t="n"/>
      <c r="L30" s="25" t="n"/>
      <c r="M30" s="25" t="n"/>
      <c r="N30" s="27" t="n"/>
      <c r="O30" s="24">
        <f>IF(B30="","",IF(M30="","TAK",IFERROR(INDEX(Ustawienia!$K$4:$K$8,MATCH(M30,Ustawienia!$J$4:$J$8,0)),"TAK")))</f>
        <v/>
      </c>
      <c r="P30" s="28">
        <f>IF(OR(B30="",D30=""),"",IFERROR(INDEX('Dane rozpisek'!$B$2:$B$2600,MATCH(S30,'Dane rozpisek'!$H$2:$H$2600,0))&amp;": "&amp;INDEX('Dane rozpisek'!$E$2:$E$2600,MATCH(S30,'Dane rozpisek'!$H$2:$H$2600,0))&amp;IF(COUNTIF('Dane rozpisek'!$H$2:$H$2600,S30)&gt;1," (+"&amp;(COUNTIF('Dane rozpisek'!$H$2:$H$2600,S30)-1)&amp;")",""),"—"))</f>
        <v/>
      </c>
      <c r="Q30" s="24">
        <f>IF(AND(B30&lt;&gt;"",D30&lt;&gt;"",OR('Historia wózka'!$B$4="",B30='Historia wózka'!$B$4),D30&gt;='Historia wózka'!$B$5,D30&lt;='Historia wózka'!$B$6),D30+ROW()/1000000,0)</f>
        <v/>
      </c>
      <c r="R30" s="24">
        <f>IF(O30="TAK",IF(D30="",0,D30)+ROW()/1000000,0)</f>
        <v/>
      </c>
      <c r="S30" s="24">
        <f>IF(OR(B30="",D30=""),"",B30&amp;"|"&amp;D30)</f>
        <v/>
      </c>
    </row>
    <row r="31">
      <c r="A31" s="24">
        <f>IF(B31="","",ROW()-4)</f>
        <v/>
      </c>
      <c r="B31" s="25" t="n"/>
      <c r="C31" s="24">
        <f>IF(B31="","",IFERROR(INDEX('Wózki'!$B$2:$B$500,MATCH(B31,'Wózki'!$A$2:$A$500,0))&amp;"",""))</f>
        <v/>
      </c>
      <c r="D31" s="26" t="n"/>
      <c r="E31" s="25" t="n"/>
      <c r="F31" s="25" t="n"/>
      <c r="G31" s="24">
        <f>IF(F31="","",IFERROR(INDEX(Pracownicy!$B$2:$B$2000,MATCH(F31,Pracownicy!$A$2:$A$2000,0))&amp;"",""))</f>
        <v/>
      </c>
      <c r="H31" s="25" t="n"/>
      <c r="I31" s="25" t="n"/>
      <c r="J31" s="25" t="n"/>
      <c r="K31" s="27" t="n"/>
      <c r="L31" s="25" t="n"/>
      <c r="M31" s="25" t="n"/>
      <c r="N31" s="27" t="n"/>
      <c r="O31" s="24">
        <f>IF(B31="","",IF(M31="","TAK",IFERROR(INDEX(Ustawienia!$K$4:$K$8,MATCH(M31,Ustawienia!$J$4:$J$8,0)),"TAK")))</f>
        <v/>
      </c>
      <c r="P31" s="28">
        <f>IF(OR(B31="",D31=""),"",IFERROR(INDEX('Dane rozpisek'!$B$2:$B$2600,MATCH(S31,'Dane rozpisek'!$H$2:$H$2600,0))&amp;": "&amp;INDEX('Dane rozpisek'!$E$2:$E$2600,MATCH(S31,'Dane rozpisek'!$H$2:$H$2600,0))&amp;IF(COUNTIF('Dane rozpisek'!$H$2:$H$2600,S31)&gt;1," (+"&amp;(COUNTIF('Dane rozpisek'!$H$2:$H$2600,S31)-1)&amp;")",""),"—"))</f>
        <v/>
      </c>
      <c r="Q31" s="24">
        <f>IF(AND(B31&lt;&gt;"",D31&lt;&gt;"",OR('Historia wózka'!$B$4="",B31='Historia wózka'!$B$4),D31&gt;='Historia wózka'!$B$5,D31&lt;='Historia wózka'!$B$6),D31+ROW()/1000000,0)</f>
        <v/>
      </c>
      <c r="R31" s="24">
        <f>IF(O31="TAK",IF(D31="",0,D31)+ROW()/1000000,0)</f>
        <v/>
      </c>
      <c r="S31" s="24">
        <f>IF(OR(B31="",D31=""),"",B31&amp;"|"&amp;D31)</f>
        <v/>
      </c>
    </row>
    <row r="32">
      <c r="A32" s="24">
        <f>IF(B32="","",ROW()-4)</f>
        <v/>
      </c>
      <c r="B32" s="25" t="n"/>
      <c r="C32" s="24">
        <f>IF(B32="","",IFERROR(INDEX('Wózki'!$B$2:$B$500,MATCH(B32,'Wózki'!$A$2:$A$500,0))&amp;"",""))</f>
        <v/>
      </c>
      <c r="D32" s="26" t="n"/>
      <c r="E32" s="25" t="n"/>
      <c r="F32" s="25" t="n"/>
      <c r="G32" s="24">
        <f>IF(F32="","",IFERROR(INDEX(Pracownicy!$B$2:$B$2000,MATCH(F32,Pracownicy!$A$2:$A$2000,0))&amp;"",""))</f>
        <v/>
      </c>
      <c r="H32" s="25" t="n"/>
      <c r="I32" s="25" t="n"/>
      <c r="J32" s="25" t="n"/>
      <c r="K32" s="27" t="n"/>
      <c r="L32" s="25" t="n"/>
      <c r="M32" s="25" t="n"/>
      <c r="N32" s="27" t="n"/>
      <c r="O32" s="24">
        <f>IF(B32="","",IF(M32="","TAK",IFERROR(INDEX(Ustawienia!$K$4:$K$8,MATCH(M32,Ustawienia!$J$4:$J$8,0)),"TAK")))</f>
        <v/>
      </c>
      <c r="P32" s="28">
        <f>IF(OR(B32="",D32=""),"",IFERROR(INDEX('Dane rozpisek'!$B$2:$B$2600,MATCH(S32,'Dane rozpisek'!$H$2:$H$2600,0))&amp;": "&amp;INDEX('Dane rozpisek'!$E$2:$E$2600,MATCH(S32,'Dane rozpisek'!$H$2:$H$2600,0))&amp;IF(COUNTIF('Dane rozpisek'!$H$2:$H$2600,S32)&gt;1," (+"&amp;(COUNTIF('Dane rozpisek'!$H$2:$H$2600,S32)-1)&amp;")",""),"—"))</f>
        <v/>
      </c>
      <c r="Q32" s="24">
        <f>IF(AND(B32&lt;&gt;"",D32&lt;&gt;"",OR('Historia wózka'!$B$4="",B32='Historia wózka'!$B$4),D32&gt;='Historia wózka'!$B$5,D32&lt;='Historia wózka'!$B$6),D32+ROW()/1000000,0)</f>
        <v/>
      </c>
      <c r="R32" s="24">
        <f>IF(O32="TAK",IF(D32="",0,D32)+ROW()/1000000,0)</f>
        <v/>
      </c>
      <c r="S32" s="24">
        <f>IF(OR(B32="",D32=""),"",B32&amp;"|"&amp;D32)</f>
        <v/>
      </c>
    </row>
    <row r="33">
      <c r="A33" s="24">
        <f>IF(B33="","",ROW()-4)</f>
        <v/>
      </c>
      <c r="B33" s="25" t="n"/>
      <c r="C33" s="24">
        <f>IF(B33="","",IFERROR(INDEX('Wózki'!$B$2:$B$500,MATCH(B33,'Wózki'!$A$2:$A$500,0))&amp;"",""))</f>
        <v/>
      </c>
      <c r="D33" s="26" t="n"/>
      <c r="E33" s="25" t="n"/>
      <c r="F33" s="25" t="n"/>
      <c r="G33" s="24">
        <f>IF(F33="","",IFERROR(INDEX(Pracownicy!$B$2:$B$2000,MATCH(F33,Pracownicy!$A$2:$A$2000,0))&amp;"",""))</f>
        <v/>
      </c>
      <c r="H33" s="25" t="n"/>
      <c r="I33" s="25" t="n"/>
      <c r="J33" s="25" t="n"/>
      <c r="K33" s="27" t="n"/>
      <c r="L33" s="25" t="n"/>
      <c r="M33" s="25" t="n"/>
      <c r="N33" s="27" t="n"/>
      <c r="O33" s="24">
        <f>IF(B33="","",IF(M33="","TAK",IFERROR(INDEX(Ustawienia!$K$4:$K$8,MATCH(M33,Ustawienia!$J$4:$J$8,0)),"TAK")))</f>
        <v/>
      </c>
      <c r="P33" s="28">
        <f>IF(OR(B33="",D33=""),"",IFERROR(INDEX('Dane rozpisek'!$B$2:$B$2600,MATCH(S33,'Dane rozpisek'!$H$2:$H$2600,0))&amp;": "&amp;INDEX('Dane rozpisek'!$E$2:$E$2600,MATCH(S33,'Dane rozpisek'!$H$2:$H$2600,0))&amp;IF(COUNTIF('Dane rozpisek'!$H$2:$H$2600,S33)&gt;1," (+"&amp;(COUNTIF('Dane rozpisek'!$H$2:$H$2600,S33)-1)&amp;")",""),"—"))</f>
        <v/>
      </c>
      <c r="Q33" s="24">
        <f>IF(AND(B33&lt;&gt;"",D33&lt;&gt;"",OR('Historia wózka'!$B$4="",B33='Historia wózka'!$B$4),D33&gt;='Historia wózka'!$B$5,D33&lt;='Historia wózka'!$B$6),D33+ROW()/1000000,0)</f>
        <v/>
      </c>
      <c r="R33" s="24">
        <f>IF(O33="TAK",IF(D33="",0,D33)+ROW()/1000000,0)</f>
        <v/>
      </c>
      <c r="S33" s="24">
        <f>IF(OR(B33="",D33=""),"",B33&amp;"|"&amp;D33)</f>
        <v/>
      </c>
    </row>
    <row r="34">
      <c r="A34" s="24">
        <f>IF(B34="","",ROW()-4)</f>
        <v/>
      </c>
      <c r="B34" s="25" t="n"/>
      <c r="C34" s="24">
        <f>IF(B34="","",IFERROR(INDEX('Wózki'!$B$2:$B$500,MATCH(B34,'Wózki'!$A$2:$A$500,0))&amp;"",""))</f>
        <v/>
      </c>
      <c r="D34" s="26" t="n"/>
      <c r="E34" s="25" t="n"/>
      <c r="F34" s="25" t="n"/>
      <c r="G34" s="24">
        <f>IF(F34="","",IFERROR(INDEX(Pracownicy!$B$2:$B$2000,MATCH(F34,Pracownicy!$A$2:$A$2000,0))&amp;"",""))</f>
        <v/>
      </c>
      <c r="H34" s="25" t="n"/>
      <c r="I34" s="25" t="n"/>
      <c r="J34" s="25" t="n"/>
      <c r="K34" s="27" t="n"/>
      <c r="L34" s="25" t="n"/>
      <c r="M34" s="25" t="n"/>
      <c r="N34" s="27" t="n"/>
      <c r="O34" s="24">
        <f>IF(B34="","",IF(M34="","TAK",IFERROR(INDEX(Ustawienia!$K$4:$K$8,MATCH(M34,Ustawienia!$J$4:$J$8,0)),"TAK")))</f>
        <v/>
      </c>
      <c r="P34" s="28">
        <f>IF(OR(B34="",D34=""),"",IFERROR(INDEX('Dane rozpisek'!$B$2:$B$2600,MATCH(S34,'Dane rozpisek'!$H$2:$H$2600,0))&amp;": "&amp;INDEX('Dane rozpisek'!$E$2:$E$2600,MATCH(S34,'Dane rozpisek'!$H$2:$H$2600,0))&amp;IF(COUNTIF('Dane rozpisek'!$H$2:$H$2600,S34)&gt;1," (+"&amp;(COUNTIF('Dane rozpisek'!$H$2:$H$2600,S34)-1)&amp;")",""),"—"))</f>
        <v/>
      </c>
      <c r="Q34" s="24">
        <f>IF(AND(B34&lt;&gt;"",D34&lt;&gt;"",OR('Historia wózka'!$B$4="",B34='Historia wózka'!$B$4),D34&gt;='Historia wózka'!$B$5,D34&lt;='Historia wózka'!$B$6),D34+ROW()/1000000,0)</f>
        <v/>
      </c>
      <c r="R34" s="24">
        <f>IF(O34="TAK",IF(D34="",0,D34)+ROW()/1000000,0)</f>
        <v/>
      </c>
      <c r="S34" s="24">
        <f>IF(OR(B34="",D34=""),"",B34&amp;"|"&amp;D34)</f>
        <v/>
      </c>
    </row>
    <row r="35">
      <c r="A35" s="24">
        <f>IF(B35="","",ROW()-4)</f>
        <v/>
      </c>
      <c r="B35" s="25" t="n"/>
      <c r="C35" s="24">
        <f>IF(B35="","",IFERROR(INDEX('Wózki'!$B$2:$B$500,MATCH(B35,'Wózki'!$A$2:$A$500,0))&amp;"",""))</f>
        <v/>
      </c>
      <c r="D35" s="26" t="n"/>
      <c r="E35" s="25" t="n"/>
      <c r="F35" s="25" t="n"/>
      <c r="G35" s="24">
        <f>IF(F35="","",IFERROR(INDEX(Pracownicy!$B$2:$B$2000,MATCH(F35,Pracownicy!$A$2:$A$2000,0))&amp;"",""))</f>
        <v/>
      </c>
      <c r="H35" s="25" t="n"/>
      <c r="I35" s="25" t="n"/>
      <c r="J35" s="25" t="n"/>
      <c r="K35" s="27" t="n"/>
      <c r="L35" s="25" t="n"/>
      <c r="M35" s="25" t="n"/>
      <c r="N35" s="27" t="n"/>
      <c r="O35" s="24">
        <f>IF(B35="","",IF(M35="","TAK",IFERROR(INDEX(Ustawienia!$K$4:$K$8,MATCH(M35,Ustawienia!$J$4:$J$8,0)),"TAK")))</f>
        <v/>
      </c>
      <c r="P35" s="28">
        <f>IF(OR(B35="",D35=""),"",IFERROR(INDEX('Dane rozpisek'!$B$2:$B$2600,MATCH(S35,'Dane rozpisek'!$H$2:$H$2600,0))&amp;": "&amp;INDEX('Dane rozpisek'!$E$2:$E$2600,MATCH(S35,'Dane rozpisek'!$H$2:$H$2600,0))&amp;IF(COUNTIF('Dane rozpisek'!$H$2:$H$2600,S35)&gt;1," (+"&amp;(COUNTIF('Dane rozpisek'!$H$2:$H$2600,S35)-1)&amp;")",""),"—"))</f>
        <v/>
      </c>
      <c r="Q35" s="24">
        <f>IF(AND(B35&lt;&gt;"",D35&lt;&gt;"",OR('Historia wózka'!$B$4="",B35='Historia wózka'!$B$4),D35&gt;='Historia wózka'!$B$5,D35&lt;='Historia wózka'!$B$6),D35+ROW()/1000000,0)</f>
        <v/>
      </c>
      <c r="R35" s="24">
        <f>IF(O35="TAK",IF(D35="",0,D35)+ROW()/1000000,0)</f>
        <v/>
      </c>
      <c r="S35" s="24">
        <f>IF(OR(B35="",D35=""),"",B35&amp;"|"&amp;D35)</f>
        <v/>
      </c>
    </row>
    <row r="36">
      <c r="A36" s="24">
        <f>IF(B36="","",ROW()-4)</f>
        <v/>
      </c>
      <c r="B36" s="25" t="n"/>
      <c r="C36" s="24">
        <f>IF(B36="","",IFERROR(INDEX('Wózki'!$B$2:$B$500,MATCH(B36,'Wózki'!$A$2:$A$500,0))&amp;"",""))</f>
        <v/>
      </c>
      <c r="D36" s="26" t="n"/>
      <c r="E36" s="25" t="n"/>
      <c r="F36" s="25" t="n"/>
      <c r="G36" s="24">
        <f>IF(F36="","",IFERROR(INDEX(Pracownicy!$B$2:$B$2000,MATCH(F36,Pracownicy!$A$2:$A$2000,0))&amp;"",""))</f>
        <v/>
      </c>
      <c r="H36" s="25" t="n"/>
      <c r="I36" s="25" t="n"/>
      <c r="J36" s="25" t="n"/>
      <c r="K36" s="27" t="n"/>
      <c r="L36" s="25" t="n"/>
      <c r="M36" s="25" t="n"/>
      <c r="N36" s="27" t="n"/>
      <c r="O36" s="24">
        <f>IF(B36="","",IF(M36="","TAK",IFERROR(INDEX(Ustawienia!$K$4:$K$8,MATCH(M36,Ustawienia!$J$4:$J$8,0)),"TAK")))</f>
        <v/>
      </c>
      <c r="P36" s="28">
        <f>IF(OR(B36="",D36=""),"",IFERROR(INDEX('Dane rozpisek'!$B$2:$B$2600,MATCH(S36,'Dane rozpisek'!$H$2:$H$2600,0))&amp;": "&amp;INDEX('Dane rozpisek'!$E$2:$E$2600,MATCH(S36,'Dane rozpisek'!$H$2:$H$2600,0))&amp;IF(COUNTIF('Dane rozpisek'!$H$2:$H$2600,S36)&gt;1," (+"&amp;(COUNTIF('Dane rozpisek'!$H$2:$H$2600,S36)-1)&amp;")",""),"—"))</f>
        <v/>
      </c>
      <c r="Q36" s="24">
        <f>IF(AND(B36&lt;&gt;"",D36&lt;&gt;"",OR('Historia wózka'!$B$4="",B36='Historia wózka'!$B$4),D36&gt;='Historia wózka'!$B$5,D36&lt;='Historia wózka'!$B$6),D36+ROW()/1000000,0)</f>
        <v/>
      </c>
      <c r="R36" s="24">
        <f>IF(O36="TAK",IF(D36="",0,D36)+ROW()/1000000,0)</f>
        <v/>
      </c>
      <c r="S36" s="24">
        <f>IF(OR(B36="",D36=""),"",B36&amp;"|"&amp;D36)</f>
        <v/>
      </c>
    </row>
    <row r="37">
      <c r="A37" s="24">
        <f>IF(B37="","",ROW()-4)</f>
        <v/>
      </c>
      <c r="B37" s="25" t="n"/>
      <c r="C37" s="24">
        <f>IF(B37="","",IFERROR(INDEX('Wózki'!$B$2:$B$500,MATCH(B37,'Wózki'!$A$2:$A$500,0))&amp;"",""))</f>
        <v/>
      </c>
      <c r="D37" s="26" t="n"/>
      <c r="E37" s="25" t="n"/>
      <c r="F37" s="25" t="n"/>
      <c r="G37" s="24">
        <f>IF(F37="","",IFERROR(INDEX(Pracownicy!$B$2:$B$2000,MATCH(F37,Pracownicy!$A$2:$A$2000,0))&amp;"",""))</f>
        <v/>
      </c>
      <c r="H37" s="25" t="n"/>
      <c r="I37" s="25" t="n"/>
      <c r="J37" s="25" t="n"/>
      <c r="K37" s="27" t="n"/>
      <c r="L37" s="25" t="n"/>
      <c r="M37" s="25" t="n"/>
      <c r="N37" s="27" t="n"/>
      <c r="O37" s="24">
        <f>IF(B37="","",IF(M37="","TAK",IFERROR(INDEX(Ustawienia!$K$4:$K$8,MATCH(M37,Ustawienia!$J$4:$J$8,0)),"TAK")))</f>
        <v/>
      </c>
      <c r="P37" s="28">
        <f>IF(OR(B37="",D37=""),"",IFERROR(INDEX('Dane rozpisek'!$B$2:$B$2600,MATCH(S37,'Dane rozpisek'!$H$2:$H$2600,0))&amp;": "&amp;INDEX('Dane rozpisek'!$E$2:$E$2600,MATCH(S37,'Dane rozpisek'!$H$2:$H$2600,0))&amp;IF(COUNTIF('Dane rozpisek'!$H$2:$H$2600,S37)&gt;1," (+"&amp;(COUNTIF('Dane rozpisek'!$H$2:$H$2600,S37)-1)&amp;")",""),"—"))</f>
        <v/>
      </c>
      <c r="Q37" s="24">
        <f>IF(AND(B37&lt;&gt;"",D37&lt;&gt;"",OR('Historia wózka'!$B$4="",B37='Historia wózka'!$B$4),D37&gt;='Historia wózka'!$B$5,D37&lt;='Historia wózka'!$B$6),D37+ROW()/1000000,0)</f>
        <v/>
      </c>
      <c r="R37" s="24">
        <f>IF(O37="TAK",IF(D37="",0,D37)+ROW()/1000000,0)</f>
        <v/>
      </c>
      <c r="S37" s="24">
        <f>IF(OR(B37="",D37=""),"",B37&amp;"|"&amp;D37)</f>
        <v/>
      </c>
    </row>
    <row r="38">
      <c r="A38" s="24">
        <f>IF(B38="","",ROW()-4)</f>
        <v/>
      </c>
      <c r="B38" s="25" t="n"/>
      <c r="C38" s="24">
        <f>IF(B38="","",IFERROR(INDEX('Wózki'!$B$2:$B$500,MATCH(B38,'Wózki'!$A$2:$A$500,0))&amp;"",""))</f>
        <v/>
      </c>
      <c r="D38" s="26" t="n"/>
      <c r="E38" s="25" t="n"/>
      <c r="F38" s="25" t="n"/>
      <c r="G38" s="24">
        <f>IF(F38="","",IFERROR(INDEX(Pracownicy!$B$2:$B$2000,MATCH(F38,Pracownicy!$A$2:$A$2000,0))&amp;"",""))</f>
        <v/>
      </c>
      <c r="H38" s="25" t="n"/>
      <c r="I38" s="25" t="n"/>
      <c r="J38" s="25" t="n"/>
      <c r="K38" s="27" t="n"/>
      <c r="L38" s="25" t="n"/>
      <c r="M38" s="25" t="n"/>
      <c r="N38" s="27" t="n"/>
      <c r="O38" s="24">
        <f>IF(B38="","",IF(M38="","TAK",IFERROR(INDEX(Ustawienia!$K$4:$K$8,MATCH(M38,Ustawienia!$J$4:$J$8,0)),"TAK")))</f>
        <v/>
      </c>
      <c r="P38" s="28">
        <f>IF(OR(B38="",D38=""),"",IFERROR(INDEX('Dane rozpisek'!$B$2:$B$2600,MATCH(S38,'Dane rozpisek'!$H$2:$H$2600,0))&amp;": "&amp;INDEX('Dane rozpisek'!$E$2:$E$2600,MATCH(S38,'Dane rozpisek'!$H$2:$H$2600,0))&amp;IF(COUNTIF('Dane rozpisek'!$H$2:$H$2600,S38)&gt;1," (+"&amp;(COUNTIF('Dane rozpisek'!$H$2:$H$2600,S38)-1)&amp;")",""),"—"))</f>
        <v/>
      </c>
      <c r="Q38" s="24">
        <f>IF(AND(B38&lt;&gt;"",D38&lt;&gt;"",OR('Historia wózka'!$B$4="",B38='Historia wózka'!$B$4),D38&gt;='Historia wózka'!$B$5,D38&lt;='Historia wózka'!$B$6),D38+ROW()/1000000,0)</f>
        <v/>
      </c>
      <c r="R38" s="24">
        <f>IF(O38="TAK",IF(D38="",0,D38)+ROW()/1000000,0)</f>
        <v/>
      </c>
      <c r="S38" s="24">
        <f>IF(OR(B38="",D38=""),"",B38&amp;"|"&amp;D38)</f>
        <v/>
      </c>
    </row>
    <row r="39">
      <c r="A39" s="24">
        <f>IF(B39="","",ROW()-4)</f>
        <v/>
      </c>
      <c r="B39" s="25" t="n"/>
      <c r="C39" s="24">
        <f>IF(B39="","",IFERROR(INDEX('Wózki'!$B$2:$B$500,MATCH(B39,'Wózki'!$A$2:$A$500,0))&amp;"",""))</f>
        <v/>
      </c>
      <c r="D39" s="26" t="n"/>
      <c r="E39" s="25" t="n"/>
      <c r="F39" s="25" t="n"/>
      <c r="G39" s="24">
        <f>IF(F39="","",IFERROR(INDEX(Pracownicy!$B$2:$B$2000,MATCH(F39,Pracownicy!$A$2:$A$2000,0))&amp;"",""))</f>
        <v/>
      </c>
      <c r="H39" s="25" t="n"/>
      <c r="I39" s="25" t="n"/>
      <c r="J39" s="25" t="n"/>
      <c r="K39" s="27" t="n"/>
      <c r="L39" s="25" t="n"/>
      <c r="M39" s="25" t="n"/>
      <c r="N39" s="27" t="n"/>
      <c r="O39" s="24">
        <f>IF(B39="","",IF(M39="","TAK",IFERROR(INDEX(Ustawienia!$K$4:$K$8,MATCH(M39,Ustawienia!$J$4:$J$8,0)),"TAK")))</f>
        <v/>
      </c>
      <c r="P39" s="28">
        <f>IF(OR(B39="",D39=""),"",IFERROR(INDEX('Dane rozpisek'!$B$2:$B$2600,MATCH(S39,'Dane rozpisek'!$H$2:$H$2600,0))&amp;": "&amp;INDEX('Dane rozpisek'!$E$2:$E$2600,MATCH(S39,'Dane rozpisek'!$H$2:$H$2600,0))&amp;IF(COUNTIF('Dane rozpisek'!$H$2:$H$2600,S39)&gt;1," (+"&amp;(COUNTIF('Dane rozpisek'!$H$2:$H$2600,S39)-1)&amp;")",""),"—"))</f>
        <v/>
      </c>
      <c r="Q39" s="24">
        <f>IF(AND(B39&lt;&gt;"",D39&lt;&gt;"",OR('Historia wózka'!$B$4="",B39='Historia wózka'!$B$4),D39&gt;='Historia wózka'!$B$5,D39&lt;='Historia wózka'!$B$6),D39+ROW()/1000000,0)</f>
        <v/>
      </c>
      <c r="R39" s="24">
        <f>IF(O39="TAK",IF(D39="",0,D39)+ROW()/1000000,0)</f>
        <v/>
      </c>
      <c r="S39" s="24">
        <f>IF(OR(B39="",D39=""),"",B39&amp;"|"&amp;D39)</f>
        <v/>
      </c>
    </row>
    <row r="40">
      <c r="A40" s="24">
        <f>IF(B40="","",ROW()-4)</f>
        <v/>
      </c>
      <c r="B40" s="25" t="n"/>
      <c r="C40" s="24">
        <f>IF(B40="","",IFERROR(INDEX('Wózki'!$B$2:$B$500,MATCH(B40,'Wózki'!$A$2:$A$500,0))&amp;"",""))</f>
        <v/>
      </c>
      <c r="D40" s="26" t="n"/>
      <c r="E40" s="25" t="n"/>
      <c r="F40" s="25" t="n"/>
      <c r="G40" s="24">
        <f>IF(F40="","",IFERROR(INDEX(Pracownicy!$B$2:$B$2000,MATCH(F40,Pracownicy!$A$2:$A$2000,0))&amp;"",""))</f>
        <v/>
      </c>
      <c r="H40" s="25" t="n"/>
      <c r="I40" s="25" t="n"/>
      <c r="J40" s="25" t="n"/>
      <c r="K40" s="27" t="n"/>
      <c r="L40" s="25" t="n"/>
      <c r="M40" s="25" t="n"/>
      <c r="N40" s="27" t="n"/>
      <c r="O40" s="24">
        <f>IF(B40="","",IF(M40="","TAK",IFERROR(INDEX(Ustawienia!$K$4:$K$8,MATCH(M40,Ustawienia!$J$4:$J$8,0)),"TAK")))</f>
        <v/>
      </c>
      <c r="P40" s="28">
        <f>IF(OR(B40="",D40=""),"",IFERROR(INDEX('Dane rozpisek'!$B$2:$B$2600,MATCH(S40,'Dane rozpisek'!$H$2:$H$2600,0))&amp;": "&amp;INDEX('Dane rozpisek'!$E$2:$E$2600,MATCH(S40,'Dane rozpisek'!$H$2:$H$2600,0))&amp;IF(COUNTIF('Dane rozpisek'!$H$2:$H$2600,S40)&gt;1," (+"&amp;(COUNTIF('Dane rozpisek'!$H$2:$H$2600,S40)-1)&amp;")",""),"—"))</f>
        <v/>
      </c>
      <c r="Q40" s="24">
        <f>IF(AND(B40&lt;&gt;"",D40&lt;&gt;"",OR('Historia wózka'!$B$4="",B40='Historia wózka'!$B$4),D40&gt;='Historia wózka'!$B$5,D40&lt;='Historia wózka'!$B$6),D40+ROW()/1000000,0)</f>
        <v/>
      </c>
      <c r="R40" s="24">
        <f>IF(O40="TAK",IF(D40="",0,D40)+ROW()/1000000,0)</f>
        <v/>
      </c>
      <c r="S40" s="24">
        <f>IF(OR(B40="",D40=""),"",B40&amp;"|"&amp;D40)</f>
        <v/>
      </c>
    </row>
    <row r="41">
      <c r="A41" s="24">
        <f>IF(B41="","",ROW()-4)</f>
        <v/>
      </c>
      <c r="B41" s="25" t="n"/>
      <c r="C41" s="24">
        <f>IF(B41="","",IFERROR(INDEX('Wózki'!$B$2:$B$500,MATCH(B41,'Wózki'!$A$2:$A$500,0))&amp;"",""))</f>
        <v/>
      </c>
      <c r="D41" s="26" t="n"/>
      <c r="E41" s="25" t="n"/>
      <c r="F41" s="25" t="n"/>
      <c r="G41" s="24">
        <f>IF(F41="","",IFERROR(INDEX(Pracownicy!$B$2:$B$2000,MATCH(F41,Pracownicy!$A$2:$A$2000,0))&amp;"",""))</f>
        <v/>
      </c>
      <c r="H41" s="25" t="n"/>
      <c r="I41" s="25" t="n"/>
      <c r="J41" s="25" t="n"/>
      <c r="K41" s="27" t="n"/>
      <c r="L41" s="25" t="n"/>
      <c r="M41" s="25" t="n"/>
      <c r="N41" s="27" t="n"/>
      <c r="O41" s="24">
        <f>IF(B41="","",IF(M41="","TAK",IFERROR(INDEX(Ustawienia!$K$4:$K$8,MATCH(M41,Ustawienia!$J$4:$J$8,0)),"TAK")))</f>
        <v/>
      </c>
      <c r="P41" s="28">
        <f>IF(OR(B41="",D41=""),"",IFERROR(INDEX('Dane rozpisek'!$B$2:$B$2600,MATCH(S41,'Dane rozpisek'!$H$2:$H$2600,0))&amp;": "&amp;INDEX('Dane rozpisek'!$E$2:$E$2600,MATCH(S41,'Dane rozpisek'!$H$2:$H$2600,0))&amp;IF(COUNTIF('Dane rozpisek'!$H$2:$H$2600,S41)&gt;1," (+"&amp;(COUNTIF('Dane rozpisek'!$H$2:$H$2600,S41)-1)&amp;")",""),"—"))</f>
        <v/>
      </c>
      <c r="Q41" s="24">
        <f>IF(AND(B41&lt;&gt;"",D41&lt;&gt;"",OR('Historia wózka'!$B$4="",B41='Historia wózka'!$B$4),D41&gt;='Historia wózka'!$B$5,D41&lt;='Historia wózka'!$B$6),D41+ROW()/1000000,0)</f>
        <v/>
      </c>
      <c r="R41" s="24">
        <f>IF(O41="TAK",IF(D41="",0,D41)+ROW()/1000000,0)</f>
        <v/>
      </c>
      <c r="S41" s="24">
        <f>IF(OR(B41="",D41=""),"",B41&amp;"|"&amp;D41)</f>
        <v/>
      </c>
    </row>
    <row r="42">
      <c r="A42" s="24">
        <f>IF(B42="","",ROW()-4)</f>
        <v/>
      </c>
      <c r="B42" s="25" t="n"/>
      <c r="C42" s="24">
        <f>IF(B42="","",IFERROR(INDEX('Wózki'!$B$2:$B$500,MATCH(B42,'Wózki'!$A$2:$A$500,0))&amp;"",""))</f>
        <v/>
      </c>
      <c r="D42" s="26" t="n"/>
      <c r="E42" s="25" t="n"/>
      <c r="F42" s="25" t="n"/>
      <c r="G42" s="24">
        <f>IF(F42="","",IFERROR(INDEX(Pracownicy!$B$2:$B$2000,MATCH(F42,Pracownicy!$A$2:$A$2000,0))&amp;"",""))</f>
        <v/>
      </c>
      <c r="H42" s="25" t="n"/>
      <c r="I42" s="25" t="n"/>
      <c r="J42" s="25" t="n"/>
      <c r="K42" s="27" t="n"/>
      <c r="L42" s="25" t="n"/>
      <c r="M42" s="25" t="n"/>
      <c r="N42" s="27" t="n"/>
      <c r="O42" s="24">
        <f>IF(B42="","",IF(M42="","TAK",IFERROR(INDEX(Ustawienia!$K$4:$K$8,MATCH(M42,Ustawienia!$J$4:$J$8,0)),"TAK")))</f>
        <v/>
      </c>
      <c r="P42" s="28">
        <f>IF(OR(B42="",D42=""),"",IFERROR(INDEX('Dane rozpisek'!$B$2:$B$2600,MATCH(S42,'Dane rozpisek'!$H$2:$H$2600,0))&amp;": "&amp;INDEX('Dane rozpisek'!$E$2:$E$2600,MATCH(S42,'Dane rozpisek'!$H$2:$H$2600,0))&amp;IF(COUNTIF('Dane rozpisek'!$H$2:$H$2600,S42)&gt;1," (+"&amp;(COUNTIF('Dane rozpisek'!$H$2:$H$2600,S42)-1)&amp;")",""),"—"))</f>
        <v/>
      </c>
      <c r="Q42" s="24">
        <f>IF(AND(B42&lt;&gt;"",D42&lt;&gt;"",OR('Historia wózka'!$B$4="",B42='Historia wózka'!$B$4),D42&gt;='Historia wózka'!$B$5,D42&lt;='Historia wózka'!$B$6),D42+ROW()/1000000,0)</f>
        <v/>
      </c>
      <c r="R42" s="24">
        <f>IF(O42="TAK",IF(D42="",0,D42)+ROW()/1000000,0)</f>
        <v/>
      </c>
      <c r="S42" s="24">
        <f>IF(OR(B42="",D42=""),"",B42&amp;"|"&amp;D42)</f>
        <v/>
      </c>
    </row>
    <row r="43">
      <c r="A43" s="24">
        <f>IF(B43="","",ROW()-4)</f>
        <v/>
      </c>
      <c r="B43" s="25" t="n"/>
      <c r="C43" s="24">
        <f>IF(B43="","",IFERROR(INDEX('Wózki'!$B$2:$B$500,MATCH(B43,'Wózki'!$A$2:$A$500,0))&amp;"",""))</f>
        <v/>
      </c>
      <c r="D43" s="26" t="n"/>
      <c r="E43" s="25" t="n"/>
      <c r="F43" s="25" t="n"/>
      <c r="G43" s="24">
        <f>IF(F43="","",IFERROR(INDEX(Pracownicy!$B$2:$B$2000,MATCH(F43,Pracownicy!$A$2:$A$2000,0))&amp;"",""))</f>
        <v/>
      </c>
      <c r="H43" s="25" t="n"/>
      <c r="I43" s="25" t="n"/>
      <c r="J43" s="25" t="n"/>
      <c r="K43" s="27" t="n"/>
      <c r="L43" s="25" t="n"/>
      <c r="M43" s="25" t="n"/>
      <c r="N43" s="27" t="n"/>
      <c r="O43" s="24">
        <f>IF(B43="","",IF(M43="","TAK",IFERROR(INDEX(Ustawienia!$K$4:$K$8,MATCH(M43,Ustawienia!$J$4:$J$8,0)),"TAK")))</f>
        <v/>
      </c>
      <c r="P43" s="28">
        <f>IF(OR(B43="",D43=""),"",IFERROR(INDEX('Dane rozpisek'!$B$2:$B$2600,MATCH(S43,'Dane rozpisek'!$H$2:$H$2600,0))&amp;": "&amp;INDEX('Dane rozpisek'!$E$2:$E$2600,MATCH(S43,'Dane rozpisek'!$H$2:$H$2600,0))&amp;IF(COUNTIF('Dane rozpisek'!$H$2:$H$2600,S43)&gt;1," (+"&amp;(COUNTIF('Dane rozpisek'!$H$2:$H$2600,S43)-1)&amp;")",""),"—"))</f>
        <v/>
      </c>
      <c r="Q43" s="24">
        <f>IF(AND(B43&lt;&gt;"",D43&lt;&gt;"",OR('Historia wózka'!$B$4="",B43='Historia wózka'!$B$4),D43&gt;='Historia wózka'!$B$5,D43&lt;='Historia wózka'!$B$6),D43+ROW()/1000000,0)</f>
        <v/>
      </c>
      <c r="R43" s="24">
        <f>IF(O43="TAK",IF(D43="",0,D43)+ROW()/1000000,0)</f>
        <v/>
      </c>
      <c r="S43" s="24">
        <f>IF(OR(B43="",D43=""),"",B43&amp;"|"&amp;D43)</f>
        <v/>
      </c>
    </row>
    <row r="44">
      <c r="A44" s="24">
        <f>IF(B44="","",ROW()-4)</f>
        <v/>
      </c>
      <c r="B44" s="25" t="n"/>
      <c r="C44" s="24">
        <f>IF(B44="","",IFERROR(INDEX('Wózki'!$B$2:$B$500,MATCH(B44,'Wózki'!$A$2:$A$500,0))&amp;"",""))</f>
        <v/>
      </c>
      <c r="D44" s="26" t="n"/>
      <c r="E44" s="25" t="n"/>
      <c r="F44" s="25" t="n"/>
      <c r="G44" s="24">
        <f>IF(F44="","",IFERROR(INDEX(Pracownicy!$B$2:$B$2000,MATCH(F44,Pracownicy!$A$2:$A$2000,0))&amp;"",""))</f>
        <v/>
      </c>
      <c r="H44" s="25" t="n"/>
      <c r="I44" s="25" t="n"/>
      <c r="J44" s="25" t="n"/>
      <c r="K44" s="27" t="n"/>
      <c r="L44" s="25" t="n"/>
      <c r="M44" s="25" t="n"/>
      <c r="N44" s="27" t="n"/>
      <c r="O44" s="24">
        <f>IF(B44="","",IF(M44="","TAK",IFERROR(INDEX(Ustawienia!$K$4:$K$8,MATCH(M44,Ustawienia!$J$4:$J$8,0)),"TAK")))</f>
        <v/>
      </c>
      <c r="P44" s="28">
        <f>IF(OR(B44="",D44=""),"",IFERROR(INDEX('Dane rozpisek'!$B$2:$B$2600,MATCH(S44,'Dane rozpisek'!$H$2:$H$2600,0))&amp;": "&amp;INDEX('Dane rozpisek'!$E$2:$E$2600,MATCH(S44,'Dane rozpisek'!$H$2:$H$2600,0))&amp;IF(COUNTIF('Dane rozpisek'!$H$2:$H$2600,S44)&gt;1," (+"&amp;(COUNTIF('Dane rozpisek'!$H$2:$H$2600,S44)-1)&amp;")",""),"—"))</f>
        <v/>
      </c>
      <c r="Q44" s="24">
        <f>IF(AND(B44&lt;&gt;"",D44&lt;&gt;"",OR('Historia wózka'!$B$4="",B44='Historia wózka'!$B$4),D44&gt;='Historia wózka'!$B$5,D44&lt;='Historia wózka'!$B$6),D44+ROW()/1000000,0)</f>
        <v/>
      </c>
      <c r="R44" s="24">
        <f>IF(O44="TAK",IF(D44="",0,D44)+ROW()/1000000,0)</f>
        <v/>
      </c>
      <c r="S44" s="24">
        <f>IF(OR(B44="",D44=""),"",B44&amp;"|"&amp;D44)</f>
        <v/>
      </c>
    </row>
    <row r="45">
      <c r="A45" s="24">
        <f>IF(B45="","",ROW()-4)</f>
        <v/>
      </c>
      <c r="B45" s="25" t="n"/>
      <c r="C45" s="24">
        <f>IF(B45="","",IFERROR(INDEX('Wózki'!$B$2:$B$500,MATCH(B45,'Wózki'!$A$2:$A$500,0))&amp;"",""))</f>
        <v/>
      </c>
      <c r="D45" s="26" t="n"/>
      <c r="E45" s="25" t="n"/>
      <c r="F45" s="25" t="n"/>
      <c r="G45" s="24">
        <f>IF(F45="","",IFERROR(INDEX(Pracownicy!$B$2:$B$2000,MATCH(F45,Pracownicy!$A$2:$A$2000,0))&amp;"",""))</f>
        <v/>
      </c>
      <c r="H45" s="25" t="n"/>
      <c r="I45" s="25" t="n"/>
      <c r="J45" s="25" t="n"/>
      <c r="K45" s="27" t="n"/>
      <c r="L45" s="25" t="n"/>
      <c r="M45" s="25" t="n"/>
      <c r="N45" s="27" t="n"/>
      <c r="O45" s="24">
        <f>IF(B45="","",IF(M45="","TAK",IFERROR(INDEX(Ustawienia!$K$4:$K$8,MATCH(M45,Ustawienia!$J$4:$J$8,0)),"TAK")))</f>
        <v/>
      </c>
      <c r="P45" s="28">
        <f>IF(OR(B45="",D45=""),"",IFERROR(INDEX('Dane rozpisek'!$B$2:$B$2600,MATCH(S45,'Dane rozpisek'!$H$2:$H$2600,0))&amp;": "&amp;INDEX('Dane rozpisek'!$E$2:$E$2600,MATCH(S45,'Dane rozpisek'!$H$2:$H$2600,0))&amp;IF(COUNTIF('Dane rozpisek'!$H$2:$H$2600,S45)&gt;1," (+"&amp;(COUNTIF('Dane rozpisek'!$H$2:$H$2600,S45)-1)&amp;")",""),"—"))</f>
        <v/>
      </c>
      <c r="Q45" s="24">
        <f>IF(AND(B45&lt;&gt;"",D45&lt;&gt;"",OR('Historia wózka'!$B$4="",B45='Historia wózka'!$B$4),D45&gt;='Historia wózka'!$B$5,D45&lt;='Historia wózka'!$B$6),D45+ROW()/1000000,0)</f>
        <v/>
      </c>
      <c r="R45" s="24">
        <f>IF(O45="TAK",IF(D45="",0,D45)+ROW()/1000000,0)</f>
        <v/>
      </c>
      <c r="S45" s="24">
        <f>IF(OR(B45="",D45=""),"",B45&amp;"|"&amp;D45)</f>
        <v/>
      </c>
    </row>
    <row r="46">
      <c r="A46" s="24">
        <f>IF(B46="","",ROW()-4)</f>
        <v/>
      </c>
      <c r="B46" s="25" t="n"/>
      <c r="C46" s="24">
        <f>IF(B46="","",IFERROR(INDEX('Wózki'!$B$2:$B$500,MATCH(B46,'Wózki'!$A$2:$A$500,0))&amp;"",""))</f>
        <v/>
      </c>
      <c r="D46" s="26" t="n"/>
      <c r="E46" s="25" t="n"/>
      <c r="F46" s="25" t="n"/>
      <c r="G46" s="24">
        <f>IF(F46="","",IFERROR(INDEX(Pracownicy!$B$2:$B$2000,MATCH(F46,Pracownicy!$A$2:$A$2000,0))&amp;"",""))</f>
        <v/>
      </c>
      <c r="H46" s="25" t="n"/>
      <c r="I46" s="25" t="n"/>
      <c r="J46" s="25" t="n"/>
      <c r="K46" s="27" t="n"/>
      <c r="L46" s="25" t="n"/>
      <c r="M46" s="25" t="n"/>
      <c r="N46" s="27" t="n"/>
      <c r="O46" s="24">
        <f>IF(B46="","",IF(M46="","TAK",IFERROR(INDEX(Ustawienia!$K$4:$K$8,MATCH(M46,Ustawienia!$J$4:$J$8,0)),"TAK")))</f>
        <v/>
      </c>
      <c r="P46" s="28">
        <f>IF(OR(B46="",D46=""),"",IFERROR(INDEX('Dane rozpisek'!$B$2:$B$2600,MATCH(S46,'Dane rozpisek'!$H$2:$H$2600,0))&amp;": "&amp;INDEX('Dane rozpisek'!$E$2:$E$2600,MATCH(S46,'Dane rozpisek'!$H$2:$H$2600,0))&amp;IF(COUNTIF('Dane rozpisek'!$H$2:$H$2600,S46)&gt;1," (+"&amp;(COUNTIF('Dane rozpisek'!$H$2:$H$2600,S46)-1)&amp;")",""),"—"))</f>
        <v/>
      </c>
      <c r="Q46" s="24">
        <f>IF(AND(B46&lt;&gt;"",D46&lt;&gt;"",OR('Historia wózka'!$B$4="",B46='Historia wózka'!$B$4),D46&gt;='Historia wózka'!$B$5,D46&lt;='Historia wózka'!$B$6),D46+ROW()/1000000,0)</f>
        <v/>
      </c>
      <c r="R46" s="24">
        <f>IF(O46="TAK",IF(D46="",0,D46)+ROW()/1000000,0)</f>
        <v/>
      </c>
      <c r="S46" s="24">
        <f>IF(OR(B46="",D46=""),"",B46&amp;"|"&amp;D46)</f>
        <v/>
      </c>
    </row>
    <row r="47">
      <c r="A47" s="24">
        <f>IF(B47="","",ROW()-4)</f>
        <v/>
      </c>
      <c r="B47" s="25" t="n"/>
      <c r="C47" s="24">
        <f>IF(B47="","",IFERROR(INDEX('Wózki'!$B$2:$B$500,MATCH(B47,'Wózki'!$A$2:$A$500,0))&amp;"",""))</f>
        <v/>
      </c>
      <c r="D47" s="26" t="n"/>
      <c r="E47" s="25" t="n"/>
      <c r="F47" s="25" t="n"/>
      <c r="G47" s="24">
        <f>IF(F47="","",IFERROR(INDEX(Pracownicy!$B$2:$B$2000,MATCH(F47,Pracownicy!$A$2:$A$2000,0))&amp;"",""))</f>
        <v/>
      </c>
      <c r="H47" s="25" t="n"/>
      <c r="I47" s="25" t="n"/>
      <c r="J47" s="25" t="n"/>
      <c r="K47" s="27" t="n"/>
      <c r="L47" s="25" t="n"/>
      <c r="M47" s="25" t="n"/>
      <c r="N47" s="27" t="n"/>
      <c r="O47" s="24">
        <f>IF(B47="","",IF(M47="","TAK",IFERROR(INDEX(Ustawienia!$K$4:$K$8,MATCH(M47,Ustawienia!$J$4:$J$8,0)),"TAK")))</f>
        <v/>
      </c>
      <c r="P47" s="28">
        <f>IF(OR(B47="",D47=""),"",IFERROR(INDEX('Dane rozpisek'!$B$2:$B$2600,MATCH(S47,'Dane rozpisek'!$H$2:$H$2600,0))&amp;": "&amp;INDEX('Dane rozpisek'!$E$2:$E$2600,MATCH(S47,'Dane rozpisek'!$H$2:$H$2600,0))&amp;IF(COUNTIF('Dane rozpisek'!$H$2:$H$2600,S47)&gt;1," (+"&amp;(COUNTIF('Dane rozpisek'!$H$2:$H$2600,S47)-1)&amp;")",""),"—"))</f>
        <v/>
      </c>
      <c r="Q47" s="24">
        <f>IF(AND(B47&lt;&gt;"",D47&lt;&gt;"",OR('Historia wózka'!$B$4="",B47='Historia wózka'!$B$4),D47&gt;='Historia wózka'!$B$5,D47&lt;='Historia wózka'!$B$6),D47+ROW()/1000000,0)</f>
        <v/>
      </c>
      <c r="R47" s="24">
        <f>IF(O47="TAK",IF(D47="",0,D47)+ROW()/1000000,0)</f>
        <v/>
      </c>
      <c r="S47" s="24">
        <f>IF(OR(B47="",D47=""),"",B47&amp;"|"&amp;D47)</f>
        <v/>
      </c>
    </row>
    <row r="48">
      <c r="A48" s="24">
        <f>IF(B48="","",ROW()-4)</f>
        <v/>
      </c>
      <c r="B48" s="25" t="n"/>
      <c r="C48" s="24">
        <f>IF(B48="","",IFERROR(INDEX('Wózki'!$B$2:$B$500,MATCH(B48,'Wózki'!$A$2:$A$500,0))&amp;"",""))</f>
        <v/>
      </c>
      <c r="D48" s="26" t="n"/>
      <c r="E48" s="25" t="n"/>
      <c r="F48" s="25" t="n"/>
      <c r="G48" s="24">
        <f>IF(F48="","",IFERROR(INDEX(Pracownicy!$B$2:$B$2000,MATCH(F48,Pracownicy!$A$2:$A$2000,0))&amp;"",""))</f>
        <v/>
      </c>
      <c r="H48" s="25" t="n"/>
      <c r="I48" s="25" t="n"/>
      <c r="J48" s="25" t="n"/>
      <c r="K48" s="27" t="n"/>
      <c r="L48" s="25" t="n"/>
      <c r="M48" s="25" t="n"/>
      <c r="N48" s="27" t="n"/>
      <c r="O48" s="24">
        <f>IF(B48="","",IF(M48="","TAK",IFERROR(INDEX(Ustawienia!$K$4:$K$8,MATCH(M48,Ustawienia!$J$4:$J$8,0)),"TAK")))</f>
        <v/>
      </c>
      <c r="P48" s="28">
        <f>IF(OR(B48="",D48=""),"",IFERROR(INDEX('Dane rozpisek'!$B$2:$B$2600,MATCH(S48,'Dane rozpisek'!$H$2:$H$2600,0))&amp;": "&amp;INDEX('Dane rozpisek'!$E$2:$E$2600,MATCH(S48,'Dane rozpisek'!$H$2:$H$2600,0))&amp;IF(COUNTIF('Dane rozpisek'!$H$2:$H$2600,S48)&gt;1," (+"&amp;(COUNTIF('Dane rozpisek'!$H$2:$H$2600,S48)-1)&amp;")",""),"—"))</f>
        <v/>
      </c>
      <c r="Q48" s="24">
        <f>IF(AND(B48&lt;&gt;"",D48&lt;&gt;"",OR('Historia wózka'!$B$4="",B48='Historia wózka'!$B$4),D48&gt;='Historia wózka'!$B$5,D48&lt;='Historia wózka'!$B$6),D48+ROW()/1000000,0)</f>
        <v/>
      </c>
      <c r="R48" s="24">
        <f>IF(O48="TAK",IF(D48="",0,D48)+ROW()/1000000,0)</f>
        <v/>
      </c>
      <c r="S48" s="24">
        <f>IF(OR(B48="",D48=""),"",B48&amp;"|"&amp;D48)</f>
        <v/>
      </c>
    </row>
    <row r="49">
      <c r="A49" s="24">
        <f>IF(B49="","",ROW()-4)</f>
        <v/>
      </c>
      <c r="B49" s="25" t="n"/>
      <c r="C49" s="24">
        <f>IF(B49="","",IFERROR(INDEX('Wózki'!$B$2:$B$500,MATCH(B49,'Wózki'!$A$2:$A$500,0))&amp;"",""))</f>
        <v/>
      </c>
      <c r="D49" s="26" t="n"/>
      <c r="E49" s="25" t="n"/>
      <c r="F49" s="25" t="n"/>
      <c r="G49" s="24">
        <f>IF(F49="","",IFERROR(INDEX(Pracownicy!$B$2:$B$2000,MATCH(F49,Pracownicy!$A$2:$A$2000,0))&amp;"",""))</f>
        <v/>
      </c>
      <c r="H49" s="25" t="n"/>
      <c r="I49" s="25" t="n"/>
      <c r="J49" s="25" t="n"/>
      <c r="K49" s="27" t="n"/>
      <c r="L49" s="25" t="n"/>
      <c r="M49" s="25" t="n"/>
      <c r="N49" s="27" t="n"/>
      <c r="O49" s="24">
        <f>IF(B49="","",IF(M49="","TAK",IFERROR(INDEX(Ustawienia!$K$4:$K$8,MATCH(M49,Ustawienia!$J$4:$J$8,0)),"TAK")))</f>
        <v/>
      </c>
      <c r="P49" s="28">
        <f>IF(OR(B49="",D49=""),"",IFERROR(INDEX('Dane rozpisek'!$B$2:$B$2600,MATCH(S49,'Dane rozpisek'!$H$2:$H$2600,0))&amp;": "&amp;INDEX('Dane rozpisek'!$E$2:$E$2600,MATCH(S49,'Dane rozpisek'!$H$2:$H$2600,0))&amp;IF(COUNTIF('Dane rozpisek'!$H$2:$H$2600,S49)&gt;1," (+"&amp;(COUNTIF('Dane rozpisek'!$H$2:$H$2600,S49)-1)&amp;")",""),"—"))</f>
        <v/>
      </c>
      <c r="Q49" s="24">
        <f>IF(AND(B49&lt;&gt;"",D49&lt;&gt;"",OR('Historia wózka'!$B$4="",B49='Historia wózka'!$B$4),D49&gt;='Historia wózka'!$B$5,D49&lt;='Historia wózka'!$B$6),D49+ROW()/1000000,0)</f>
        <v/>
      </c>
      <c r="R49" s="24">
        <f>IF(O49="TAK",IF(D49="",0,D49)+ROW()/1000000,0)</f>
        <v/>
      </c>
      <c r="S49" s="24">
        <f>IF(OR(B49="",D49=""),"",B49&amp;"|"&amp;D49)</f>
        <v/>
      </c>
    </row>
    <row r="50">
      <c r="A50" s="24">
        <f>IF(B50="","",ROW()-4)</f>
        <v/>
      </c>
      <c r="B50" s="25" t="n"/>
      <c r="C50" s="24">
        <f>IF(B50="","",IFERROR(INDEX('Wózki'!$B$2:$B$500,MATCH(B50,'Wózki'!$A$2:$A$500,0))&amp;"",""))</f>
        <v/>
      </c>
      <c r="D50" s="26" t="n"/>
      <c r="E50" s="25" t="n"/>
      <c r="F50" s="25" t="n"/>
      <c r="G50" s="24">
        <f>IF(F50="","",IFERROR(INDEX(Pracownicy!$B$2:$B$2000,MATCH(F50,Pracownicy!$A$2:$A$2000,0))&amp;"",""))</f>
        <v/>
      </c>
      <c r="H50" s="25" t="n"/>
      <c r="I50" s="25" t="n"/>
      <c r="J50" s="25" t="n"/>
      <c r="K50" s="27" t="n"/>
      <c r="L50" s="25" t="n"/>
      <c r="M50" s="25" t="n"/>
      <c r="N50" s="27" t="n"/>
      <c r="O50" s="24">
        <f>IF(B50="","",IF(M50="","TAK",IFERROR(INDEX(Ustawienia!$K$4:$K$8,MATCH(M50,Ustawienia!$J$4:$J$8,0)),"TAK")))</f>
        <v/>
      </c>
      <c r="P50" s="28">
        <f>IF(OR(B50="",D50=""),"",IFERROR(INDEX('Dane rozpisek'!$B$2:$B$2600,MATCH(S50,'Dane rozpisek'!$H$2:$H$2600,0))&amp;": "&amp;INDEX('Dane rozpisek'!$E$2:$E$2600,MATCH(S50,'Dane rozpisek'!$H$2:$H$2600,0))&amp;IF(COUNTIF('Dane rozpisek'!$H$2:$H$2600,S50)&gt;1," (+"&amp;(COUNTIF('Dane rozpisek'!$H$2:$H$2600,S50)-1)&amp;")",""),"—"))</f>
        <v/>
      </c>
      <c r="Q50" s="24">
        <f>IF(AND(B50&lt;&gt;"",D50&lt;&gt;"",OR('Historia wózka'!$B$4="",B50='Historia wózka'!$B$4),D50&gt;='Historia wózka'!$B$5,D50&lt;='Historia wózka'!$B$6),D50+ROW()/1000000,0)</f>
        <v/>
      </c>
      <c r="R50" s="24">
        <f>IF(O50="TAK",IF(D50="",0,D50)+ROW()/1000000,0)</f>
        <v/>
      </c>
      <c r="S50" s="24">
        <f>IF(OR(B50="",D50=""),"",B50&amp;"|"&amp;D50)</f>
        <v/>
      </c>
    </row>
    <row r="51">
      <c r="A51" s="24">
        <f>IF(B51="","",ROW()-4)</f>
        <v/>
      </c>
      <c r="B51" s="25" t="n"/>
      <c r="C51" s="24">
        <f>IF(B51="","",IFERROR(INDEX('Wózki'!$B$2:$B$500,MATCH(B51,'Wózki'!$A$2:$A$500,0))&amp;"",""))</f>
        <v/>
      </c>
      <c r="D51" s="26" t="n"/>
      <c r="E51" s="25" t="n"/>
      <c r="F51" s="25" t="n"/>
      <c r="G51" s="24">
        <f>IF(F51="","",IFERROR(INDEX(Pracownicy!$B$2:$B$2000,MATCH(F51,Pracownicy!$A$2:$A$2000,0))&amp;"",""))</f>
        <v/>
      </c>
      <c r="H51" s="25" t="n"/>
      <c r="I51" s="25" t="n"/>
      <c r="J51" s="25" t="n"/>
      <c r="K51" s="27" t="n"/>
      <c r="L51" s="25" t="n"/>
      <c r="M51" s="25" t="n"/>
      <c r="N51" s="27" t="n"/>
      <c r="O51" s="24">
        <f>IF(B51="","",IF(M51="","TAK",IFERROR(INDEX(Ustawienia!$K$4:$K$8,MATCH(M51,Ustawienia!$J$4:$J$8,0)),"TAK")))</f>
        <v/>
      </c>
      <c r="P51" s="28">
        <f>IF(OR(B51="",D51=""),"",IFERROR(INDEX('Dane rozpisek'!$B$2:$B$2600,MATCH(S51,'Dane rozpisek'!$H$2:$H$2600,0))&amp;": "&amp;INDEX('Dane rozpisek'!$E$2:$E$2600,MATCH(S51,'Dane rozpisek'!$H$2:$H$2600,0))&amp;IF(COUNTIF('Dane rozpisek'!$H$2:$H$2600,S51)&gt;1," (+"&amp;(COUNTIF('Dane rozpisek'!$H$2:$H$2600,S51)-1)&amp;")",""),"—"))</f>
        <v/>
      </c>
      <c r="Q51" s="24">
        <f>IF(AND(B51&lt;&gt;"",D51&lt;&gt;"",OR('Historia wózka'!$B$4="",B51='Historia wózka'!$B$4),D51&gt;='Historia wózka'!$B$5,D51&lt;='Historia wózka'!$B$6),D51+ROW()/1000000,0)</f>
        <v/>
      </c>
      <c r="R51" s="24">
        <f>IF(O51="TAK",IF(D51="",0,D51)+ROW()/1000000,0)</f>
        <v/>
      </c>
      <c r="S51" s="24">
        <f>IF(OR(B51="",D51=""),"",B51&amp;"|"&amp;D51)</f>
        <v/>
      </c>
    </row>
    <row r="52">
      <c r="A52" s="24">
        <f>IF(B52="","",ROW()-4)</f>
        <v/>
      </c>
      <c r="B52" s="25" t="n"/>
      <c r="C52" s="24">
        <f>IF(B52="","",IFERROR(INDEX('Wózki'!$B$2:$B$500,MATCH(B52,'Wózki'!$A$2:$A$500,0))&amp;"",""))</f>
        <v/>
      </c>
      <c r="D52" s="26" t="n"/>
      <c r="E52" s="25" t="n"/>
      <c r="F52" s="25" t="n"/>
      <c r="G52" s="24">
        <f>IF(F52="","",IFERROR(INDEX(Pracownicy!$B$2:$B$2000,MATCH(F52,Pracownicy!$A$2:$A$2000,0))&amp;"",""))</f>
        <v/>
      </c>
      <c r="H52" s="25" t="n"/>
      <c r="I52" s="25" t="n"/>
      <c r="J52" s="25" t="n"/>
      <c r="K52" s="27" t="n"/>
      <c r="L52" s="25" t="n"/>
      <c r="M52" s="25" t="n"/>
      <c r="N52" s="27" t="n"/>
      <c r="O52" s="24">
        <f>IF(B52="","",IF(M52="","TAK",IFERROR(INDEX(Ustawienia!$K$4:$K$8,MATCH(M52,Ustawienia!$J$4:$J$8,0)),"TAK")))</f>
        <v/>
      </c>
      <c r="P52" s="28">
        <f>IF(OR(B52="",D52=""),"",IFERROR(INDEX('Dane rozpisek'!$B$2:$B$2600,MATCH(S52,'Dane rozpisek'!$H$2:$H$2600,0))&amp;": "&amp;INDEX('Dane rozpisek'!$E$2:$E$2600,MATCH(S52,'Dane rozpisek'!$H$2:$H$2600,0))&amp;IF(COUNTIF('Dane rozpisek'!$H$2:$H$2600,S52)&gt;1," (+"&amp;(COUNTIF('Dane rozpisek'!$H$2:$H$2600,S52)-1)&amp;")",""),"—"))</f>
        <v/>
      </c>
      <c r="Q52" s="24">
        <f>IF(AND(B52&lt;&gt;"",D52&lt;&gt;"",OR('Historia wózka'!$B$4="",B52='Historia wózka'!$B$4),D52&gt;='Historia wózka'!$B$5,D52&lt;='Historia wózka'!$B$6),D52+ROW()/1000000,0)</f>
        <v/>
      </c>
      <c r="R52" s="24">
        <f>IF(O52="TAK",IF(D52="",0,D52)+ROW()/1000000,0)</f>
        <v/>
      </c>
      <c r="S52" s="24">
        <f>IF(OR(B52="",D52=""),"",B52&amp;"|"&amp;D52)</f>
        <v/>
      </c>
    </row>
    <row r="53">
      <c r="A53" s="24">
        <f>IF(B53="","",ROW()-4)</f>
        <v/>
      </c>
      <c r="B53" s="25" t="n"/>
      <c r="C53" s="24">
        <f>IF(B53="","",IFERROR(INDEX('Wózki'!$B$2:$B$500,MATCH(B53,'Wózki'!$A$2:$A$500,0))&amp;"",""))</f>
        <v/>
      </c>
      <c r="D53" s="26" t="n"/>
      <c r="E53" s="25" t="n"/>
      <c r="F53" s="25" t="n"/>
      <c r="G53" s="24">
        <f>IF(F53="","",IFERROR(INDEX(Pracownicy!$B$2:$B$2000,MATCH(F53,Pracownicy!$A$2:$A$2000,0))&amp;"",""))</f>
        <v/>
      </c>
      <c r="H53" s="25" t="n"/>
      <c r="I53" s="25" t="n"/>
      <c r="J53" s="25" t="n"/>
      <c r="K53" s="27" t="n"/>
      <c r="L53" s="25" t="n"/>
      <c r="M53" s="25" t="n"/>
      <c r="N53" s="27" t="n"/>
      <c r="O53" s="24">
        <f>IF(B53="","",IF(M53="","TAK",IFERROR(INDEX(Ustawienia!$K$4:$K$8,MATCH(M53,Ustawienia!$J$4:$J$8,0)),"TAK")))</f>
        <v/>
      </c>
      <c r="P53" s="28">
        <f>IF(OR(B53="",D53=""),"",IFERROR(INDEX('Dane rozpisek'!$B$2:$B$2600,MATCH(S53,'Dane rozpisek'!$H$2:$H$2600,0))&amp;": "&amp;INDEX('Dane rozpisek'!$E$2:$E$2600,MATCH(S53,'Dane rozpisek'!$H$2:$H$2600,0))&amp;IF(COUNTIF('Dane rozpisek'!$H$2:$H$2600,S53)&gt;1," (+"&amp;(COUNTIF('Dane rozpisek'!$H$2:$H$2600,S53)-1)&amp;")",""),"—"))</f>
        <v/>
      </c>
      <c r="Q53" s="24">
        <f>IF(AND(B53&lt;&gt;"",D53&lt;&gt;"",OR('Historia wózka'!$B$4="",B53='Historia wózka'!$B$4),D53&gt;='Historia wózka'!$B$5,D53&lt;='Historia wózka'!$B$6),D53+ROW()/1000000,0)</f>
        <v/>
      </c>
      <c r="R53" s="24">
        <f>IF(O53="TAK",IF(D53="",0,D53)+ROW()/1000000,0)</f>
        <v/>
      </c>
      <c r="S53" s="24">
        <f>IF(OR(B53="",D53=""),"",B53&amp;"|"&amp;D53)</f>
        <v/>
      </c>
    </row>
    <row r="54">
      <c r="A54" s="24">
        <f>IF(B54="","",ROW()-4)</f>
        <v/>
      </c>
      <c r="B54" s="25" t="n"/>
      <c r="C54" s="24">
        <f>IF(B54="","",IFERROR(INDEX('Wózki'!$B$2:$B$500,MATCH(B54,'Wózki'!$A$2:$A$500,0))&amp;"",""))</f>
        <v/>
      </c>
      <c r="D54" s="26" t="n"/>
      <c r="E54" s="25" t="n"/>
      <c r="F54" s="25" t="n"/>
      <c r="G54" s="24">
        <f>IF(F54="","",IFERROR(INDEX(Pracownicy!$B$2:$B$2000,MATCH(F54,Pracownicy!$A$2:$A$2000,0))&amp;"",""))</f>
        <v/>
      </c>
      <c r="H54" s="25" t="n"/>
      <c r="I54" s="25" t="n"/>
      <c r="J54" s="25" t="n"/>
      <c r="K54" s="27" t="n"/>
      <c r="L54" s="25" t="n"/>
      <c r="M54" s="25" t="n"/>
      <c r="N54" s="27" t="n"/>
      <c r="O54" s="24">
        <f>IF(B54="","",IF(M54="","TAK",IFERROR(INDEX(Ustawienia!$K$4:$K$8,MATCH(M54,Ustawienia!$J$4:$J$8,0)),"TAK")))</f>
        <v/>
      </c>
      <c r="P54" s="28">
        <f>IF(OR(B54="",D54=""),"",IFERROR(INDEX('Dane rozpisek'!$B$2:$B$2600,MATCH(S54,'Dane rozpisek'!$H$2:$H$2600,0))&amp;": "&amp;INDEX('Dane rozpisek'!$E$2:$E$2600,MATCH(S54,'Dane rozpisek'!$H$2:$H$2600,0))&amp;IF(COUNTIF('Dane rozpisek'!$H$2:$H$2600,S54)&gt;1," (+"&amp;(COUNTIF('Dane rozpisek'!$H$2:$H$2600,S54)-1)&amp;")",""),"—"))</f>
        <v/>
      </c>
      <c r="Q54" s="24">
        <f>IF(AND(B54&lt;&gt;"",D54&lt;&gt;"",OR('Historia wózka'!$B$4="",B54='Historia wózka'!$B$4),D54&gt;='Historia wózka'!$B$5,D54&lt;='Historia wózka'!$B$6),D54+ROW()/1000000,0)</f>
        <v/>
      </c>
      <c r="R54" s="24">
        <f>IF(O54="TAK",IF(D54="",0,D54)+ROW()/1000000,0)</f>
        <v/>
      </c>
      <c r="S54" s="24">
        <f>IF(OR(B54="",D54=""),"",B54&amp;"|"&amp;D54)</f>
        <v/>
      </c>
    </row>
    <row r="55">
      <c r="A55" s="24">
        <f>IF(B55="","",ROW()-4)</f>
        <v/>
      </c>
      <c r="B55" s="25" t="n"/>
      <c r="C55" s="24">
        <f>IF(B55="","",IFERROR(INDEX('Wózki'!$B$2:$B$500,MATCH(B55,'Wózki'!$A$2:$A$500,0))&amp;"",""))</f>
        <v/>
      </c>
      <c r="D55" s="26" t="n"/>
      <c r="E55" s="25" t="n"/>
      <c r="F55" s="25" t="n"/>
      <c r="G55" s="24">
        <f>IF(F55="","",IFERROR(INDEX(Pracownicy!$B$2:$B$2000,MATCH(F55,Pracownicy!$A$2:$A$2000,0))&amp;"",""))</f>
        <v/>
      </c>
      <c r="H55" s="25" t="n"/>
      <c r="I55" s="25" t="n"/>
      <c r="J55" s="25" t="n"/>
      <c r="K55" s="27" t="n"/>
      <c r="L55" s="25" t="n"/>
      <c r="M55" s="25" t="n"/>
      <c r="N55" s="27" t="n"/>
      <c r="O55" s="24">
        <f>IF(B55="","",IF(M55="","TAK",IFERROR(INDEX(Ustawienia!$K$4:$K$8,MATCH(M55,Ustawienia!$J$4:$J$8,0)),"TAK")))</f>
        <v/>
      </c>
      <c r="P55" s="28">
        <f>IF(OR(B55="",D55=""),"",IFERROR(INDEX('Dane rozpisek'!$B$2:$B$2600,MATCH(S55,'Dane rozpisek'!$H$2:$H$2600,0))&amp;": "&amp;INDEX('Dane rozpisek'!$E$2:$E$2600,MATCH(S55,'Dane rozpisek'!$H$2:$H$2600,0))&amp;IF(COUNTIF('Dane rozpisek'!$H$2:$H$2600,S55)&gt;1," (+"&amp;(COUNTIF('Dane rozpisek'!$H$2:$H$2600,S55)-1)&amp;")",""),"—"))</f>
        <v/>
      </c>
      <c r="Q55" s="24">
        <f>IF(AND(B55&lt;&gt;"",D55&lt;&gt;"",OR('Historia wózka'!$B$4="",B55='Historia wózka'!$B$4),D55&gt;='Historia wózka'!$B$5,D55&lt;='Historia wózka'!$B$6),D55+ROW()/1000000,0)</f>
        <v/>
      </c>
      <c r="R55" s="24">
        <f>IF(O55="TAK",IF(D55="",0,D55)+ROW()/1000000,0)</f>
        <v/>
      </c>
      <c r="S55" s="24">
        <f>IF(OR(B55="",D55=""),"",B55&amp;"|"&amp;D55)</f>
        <v/>
      </c>
    </row>
    <row r="56">
      <c r="A56" s="24">
        <f>IF(B56="","",ROW()-4)</f>
        <v/>
      </c>
      <c r="B56" s="25" t="n"/>
      <c r="C56" s="24">
        <f>IF(B56="","",IFERROR(INDEX('Wózki'!$B$2:$B$500,MATCH(B56,'Wózki'!$A$2:$A$500,0))&amp;"",""))</f>
        <v/>
      </c>
      <c r="D56" s="26" t="n"/>
      <c r="E56" s="25" t="n"/>
      <c r="F56" s="25" t="n"/>
      <c r="G56" s="24">
        <f>IF(F56="","",IFERROR(INDEX(Pracownicy!$B$2:$B$2000,MATCH(F56,Pracownicy!$A$2:$A$2000,0))&amp;"",""))</f>
        <v/>
      </c>
      <c r="H56" s="25" t="n"/>
      <c r="I56" s="25" t="n"/>
      <c r="J56" s="25" t="n"/>
      <c r="K56" s="27" t="n"/>
      <c r="L56" s="25" t="n"/>
      <c r="M56" s="25" t="n"/>
      <c r="N56" s="27" t="n"/>
      <c r="O56" s="24">
        <f>IF(B56="","",IF(M56="","TAK",IFERROR(INDEX(Ustawienia!$K$4:$K$8,MATCH(M56,Ustawienia!$J$4:$J$8,0)),"TAK")))</f>
        <v/>
      </c>
      <c r="P56" s="28">
        <f>IF(OR(B56="",D56=""),"",IFERROR(INDEX('Dane rozpisek'!$B$2:$B$2600,MATCH(S56,'Dane rozpisek'!$H$2:$H$2600,0))&amp;": "&amp;INDEX('Dane rozpisek'!$E$2:$E$2600,MATCH(S56,'Dane rozpisek'!$H$2:$H$2600,0))&amp;IF(COUNTIF('Dane rozpisek'!$H$2:$H$2600,S56)&gt;1," (+"&amp;(COUNTIF('Dane rozpisek'!$H$2:$H$2600,S56)-1)&amp;")",""),"—"))</f>
        <v/>
      </c>
      <c r="Q56" s="24">
        <f>IF(AND(B56&lt;&gt;"",D56&lt;&gt;"",OR('Historia wózka'!$B$4="",B56='Historia wózka'!$B$4),D56&gt;='Historia wózka'!$B$5,D56&lt;='Historia wózka'!$B$6),D56+ROW()/1000000,0)</f>
        <v/>
      </c>
      <c r="R56" s="24">
        <f>IF(O56="TAK",IF(D56="",0,D56)+ROW()/1000000,0)</f>
        <v/>
      </c>
      <c r="S56" s="24">
        <f>IF(OR(B56="",D56=""),"",B56&amp;"|"&amp;D56)</f>
        <v/>
      </c>
    </row>
    <row r="57">
      <c r="A57" s="24">
        <f>IF(B57="","",ROW()-4)</f>
        <v/>
      </c>
      <c r="B57" s="25" t="n"/>
      <c r="C57" s="24">
        <f>IF(B57="","",IFERROR(INDEX('Wózki'!$B$2:$B$500,MATCH(B57,'Wózki'!$A$2:$A$500,0))&amp;"",""))</f>
        <v/>
      </c>
      <c r="D57" s="26" t="n"/>
      <c r="E57" s="25" t="n"/>
      <c r="F57" s="25" t="n"/>
      <c r="G57" s="24">
        <f>IF(F57="","",IFERROR(INDEX(Pracownicy!$B$2:$B$2000,MATCH(F57,Pracownicy!$A$2:$A$2000,0))&amp;"",""))</f>
        <v/>
      </c>
      <c r="H57" s="25" t="n"/>
      <c r="I57" s="25" t="n"/>
      <c r="J57" s="25" t="n"/>
      <c r="K57" s="27" t="n"/>
      <c r="L57" s="25" t="n"/>
      <c r="M57" s="25" t="n"/>
      <c r="N57" s="27" t="n"/>
      <c r="O57" s="24">
        <f>IF(B57="","",IF(M57="","TAK",IFERROR(INDEX(Ustawienia!$K$4:$K$8,MATCH(M57,Ustawienia!$J$4:$J$8,0)),"TAK")))</f>
        <v/>
      </c>
      <c r="P57" s="28">
        <f>IF(OR(B57="",D57=""),"",IFERROR(INDEX('Dane rozpisek'!$B$2:$B$2600,MATCH(S57,'Dane rozpisek'!$H$2:$H$2600,0))&amp;": "&amp;INDEX('Dane rozpisek'!$E$2:$E$2600,MATCH(S57,'Dane rozpisek'!$H$2:$H$2600,0))&amp;IF(COUNTIF('Dane rozpisek'!$H$2:$H$2600,S57)&gt;1," (+"&amp;(COUNTIF('Dane rozpisek'!$H$2:$H$2600,S57)-1)&amp;")",""),"—"))</f>
        <v/>
      </c>
      <c r="Q57" s="24">
        <f>IF(AND(B57&lt;&gt;"",D57&lt;&gt;"",OR('Historia wózka'!$B$4="",B57='Historia wózka'!$B$4),D57&gt;='Historia wózka'!$B$5,D57&lt;='Historia wózka'!$B$6),D57+ROW()/1000000,0)</f>
        <v/>
      </c>
      <c r="R57" s="24">
        <f>IF(O57="TAK",IF(D57="",0,D57)+ROW()/1000000,0)</f>
        <v/>
      </c>
      <c r="S57" s="24">
        <f>IF(OR(B57="",D57=""),"",B57&amp;"|"&amp;D57)</f>
        <v/>
      </c>
    </row>
    <row r="58">
      <c r="A58" s="24">
        <f>IF(B58="","",ROW()-4)</f>
        <v/>
      </c>
      <c r="B58" s="25" t="n"/>
      <c r="C58" s="24">
        <f>IF(B58="","",IFERROR(INDEX('Wózki'!$B$2:$B$500,MATCH(B58,'Wózki'!$A$2:$A$500,0))&amp;"",""))</f>
        <v/>
      </c>
      <c r="D58" s="26" t="n"/>
      <c r="E58" s="25" t="n"/>
      <c r="F58" s="25" t="n"/>
      <c r="G58" s="24">
        <f>IF(F58="","",IFERROR(INDEX(Pracownicy!$B$2:$B$2000,MATCH(F58,Pracownicy!$A$2:$A$2000,0))&amp;"",""))</f>
        <v/>
      </c>
      <c r="H58" s="25" t="n"/>
      <c r="I58" s="25" t="n"/>
      <c r="J58" s="25" t="n"/>
      <c r="K58" s="27" t="n"/>
      <c r="L58" s="25" t="n"/>
      <c r="M58" s="25" t="n"/>
      <c r="N58" s="27" t="n"/>
      <c r="O58" s="24">
        <f>IF(B58="","",IF(M58="","TAK",IFERROR(INDEX(Ustawienia!$K$4:$K$8,MATCH(M58,Ustawienia!$J$4:$J$8,0)),"TAK")))</f>
        <v/>
      </c>
      <c r="P58" s="28">
        <f>IF(OR(B58="",D58=""),"",IFERROR(INDEX('Dane rozpisek'!$B$2:$B$2600,MATCH(S58,'Dane rozpisek'!$H$2:$H$2600,0))&amp;": "&amp;INDEX('Dane rozpisek'!$E$2:$E$2600,MATCH(S58,'Dane rozpisek'!$H$2:$H$2600,0))&amp;IF(COUNTIF('Dane rozpisek'!$H$2:$H$2600,S58)&gt;1," (+"&amp;(COUNTIF('Dane rozpisek'!$H$2:$H$2600,S58)-1)&amp;")",""),"—"))</f>
        <v/>
      </c>
      <c r="Q58" s="24">
        <f>IF(AND(B58&lt;&gt;"",D58&lt;&gt;"",OR('Historia wózka'!$B$4="",B58='Historia wózka'!$B$4),D58&gt;='Historia wózka'!$B$5,D58&lt;='Historia wózka'!$B$6),D58+ROW()/1000000,0)</f>
        <v/>
      </c>
      <c r="R58" s="24">
        <f>IF(O58="TAK",IF(D58="",0,D58)+ROW()/1000000,0)</f>
        <v/>
      </c>
      <c r="S58" s="24">
        <f>IF(OR(B58="",D58=""),"",B58&amp;"|"&amp;D58)</f>
        <v/>
      </c>
    </row>
    <row r="59">
      <c r="A59" s="24">
        <f>IF(B59="","",ROW()-4)</f>
        <v/>
      </c>
      <c r="B59" s="25" t="n"/>
      <c r="C59" s="24">
        <f>IF(B59="","",IFERROR(INDEX('Wózki'!$B$2:$B$500,MATCH(B59,'Wózki'!$A$2:$A$500,0))&amp;"",""))</f>
        <v/>
      </c>
      <c r="D59" s="26" t="n"/>
      <c r="E59" s="25" t="n"/>
      <c r="F59" s="25" t="n"/>
      <c r="G59" s="24">
        <f>IF(F59="","",IFERROR(INDEX(Pracownicy!$B$2:$B$2000,MATCH(F59,Pracownicy!$A$2:$A$2000,0))&amp;"",""))</f>
        <v/>
      </c>
      <c r="H59" s="25" t="n"/>
      <c r="I59" s="25" t="n"/>
      <c r="J59" s="25" t="n"/>
      <c r="K59" s="27" t="n"/>
      <c r="L59" s="25" t="n"/>
      <c r="M59" s="25" t="n"/>
      <c r="N59" s="27" t="n"/>
      <c r="O59" s="24">
        <f>IF(B59="","",IF(M59="","TAK",IFERROR(INDEX(Ustawienia!$K$4:$K$8,MATCH(M59,Ustawienia!$J$4:$J$8,0)),"TAK")))</f>
        <v/>
      </c>
      <c r="P59" s="28">
        <f>IF(OR(B59="",D59=""),"",IFERROR(INDEX('Dane rozpisek'!$B$2:$B$2600,MATCH(S59,'Dane rozpisek'!$H$2:$H$2600,0))&amp;": "&amp;INDEX('Dane rozpisek'!$E$2:$E$2600,MATCH(S59,'Dane rozpisek'!$H$2:$H$2600,0))&amp;IF(COUNTIF('Dane rozpisek'!$H$2:$H$2600,S59)&gt;1," (+"&amp;(COUNTIF('Dane rozpisek'!$H$2:$H$2600,S59)-1)&amp;")",""),"—"))</f>
        <v/>
      </c>
      <c r="Q59" s="24">
        <f>IF(AND(B59&lt;&gt;"",D59&lt;&gt;"",OR('Historia wózka'!$B$4="",B59='Historia wózka'!$B$4),D59&gt;='Historia wózka'!$B$5,D59&lt;='Historia wózka'!$B$6),D59+ROW()/1000000,0)</f>
        <v/>
      </c>
      <c r="R59" s="24">
        <f>IF(O59="TAK",IF(D59="",0,D59)+ROW()/1000000,0)</f>
        <v/>
      </c>
      <c r="S59" s="24">
        <f>IF(OR(B59="",D59=""),"",B59&amp;"|"&amp;D59)</f>
        <v/>
      </c>
    </row>
    <row r="60">
      <c r="A60" s="24">
        <f>IF(B60="","",ROW()-4)</f>
        <v/>
      </c>
      <c r="B60" s="25" t="n"/>
      <c r="C60" s="24">
        <f>IF(B60="","",IFERROR(INDEX('Wózki'!$B$2:$B$500,MATCH(B60,'Wózki'!$A$2:$A$500,0))&amp;"",""))</f>
        <v/>
      </c>
      <c r="D60" s="26" t="n"/>
      <c r="E60" s="25" t="n"/>
      <c r="F60" s="25" t="n"/>
      <c r="G60" s="24">
        <f>IF(F60="","",IFERROR(INDEX(Pracownicy!$B$2:$B$2000,MATCH(F60,Pracownicy!$A$2:$A$2000,0))&amp;"",""))</f>
        <v/>
      </c>
      <c r="H60" s="25" t="n"/>
      <c r="I60" s="25" t="n"/>
      <c r="J60" s="25" t="n"/>
      <c r="K60" s="27" t="n"/>
      <c r="L60" s="25" t="n"/>
      <c r="M60" s="25" t="n"/>
      <c r="N60" s="27" t="n"/>
      <c r="O60" s="24">
        <f>IF(B60="","",IF(M60="","TAK",IFERROR(INDEX(Ustawienia!$K$4:$K$8,MATCH(M60,Ustawienia!$J$4:$J$8,0)),"TAK")))</f>
        <v/>
      </c>
      <c r="P60" s="28">
        <f>IF(OR(B60="",D60=""),"",IFERROR(INDEX('Dane rozpisek'!$B$2:$B$2600,MATCH(S60,'Dane rozpisek'!$H$2:$H$2600,0))&amp;": "&amp;INDEX('Dane rozpisek'!$E$2:$E$2600,MATCH(S60,'Dane rozpisek'!$H$2:$H$2600,0))&amp;IF(COUNTIF('Dane rozpisek'!$H$2:$H$2600,S60)&gt;1," (+"&amp;(COUNTIF('Dane rozpisek'!$H$2:$H$2600,S60)-1)&amp;")",""),"—"))</f>
        <v/>
      </c>
      <c r="Q60" s="24">
        <f>IF(AND(B60&lt;&gt;"",D60&lt;&gt;"",OR('Historia wózka'!$B$4="",B60='Historia wózka'!$B$4),D60&gt;='Historia wózka'!$B$5,D60&lt;='Historia wózka'!$B$6),D60+ROW()/1000000,0)</f>
        <v/>
      </c>
      <c r="R60" s="24">
        <f>IF(O60="TAK",IF(D60="",0,D60)+ROW()/1000000,0)</f>
        <v/>
      </c>
      <c r="S60" s="24">
        <f>IF(OR(B60="",D60=""),"",B60&amp;"|"&amp;D60)</f>
        <v/>
      </c>
    </row>
    <row r="61">
      <c r="A61" s="24">
        <f>IF(B61="","",ROW()-4)</f>
        <v/>
      </c>
      <c r="B61" s="25" t="n"/>
      <c r="C61" s="24">
        <f>IF(B61="","",IFERROR(INDEX('Wózki'!$B$2:$B$500,MATCH(B61,'Wózki'!$A$2:$A$500,0))&amp;"",""))</f>
        <v/>
      </c>
      <c r="D61" s="26" t="n"/>
      <c r="E61" s="25" t="n"/>
      <c r="F61" s="25" t="n"/>
      <c r="G61" s="24">
        <f>IF(F61="","",IFERROR(INDEX(Pracownicy!$B$2:$B$2000,MATCH(F61,Pracownicy!$A$2:$A$2000,0))&amp;"",""))</f>
        <v/>
      </c>
      <c r="H61" s="25" t="n"/>
      <c r="I61" s="25" t="n"/>
      <c r="J61" s="25" t="n"/>
      <c r="K61" s="27" t="n"/>
      <c r="L61" s="25" t="n"/>
      <c r="M61" s="25" t="n"/>
      <c r="N61" s="27" t="n"/>
      <c r="O61" s="24">
        <f>IF(B61="","",IF(M61="","TAK",IFERROR(INDEX(Ustawienia!$K$4:$K$8,MATCH(M61,Ustawienia!$J$4:$J$8,0)),"TAK")))</f>
        <v/>
      </c>
      <c r="P61" s="28">
        <f>IF(OR(B61="",D61=""),"",IFERROR(INDEX('Dane rozpisek'!$B$2:$B$2600,MATCH(S61,'Dane rozpisek'!$H$2:$H$2600,0))&amp;": "&amp;INDEX('Dane rozpisek'!$E$2:$E$2600,MATCH(S61,'Dane rozpisek'!$H$2:$H$2600,0))&amp;IF(COUNTIF('Dane rozpisek'!$H$2:$H$2600,S61)&gt;1," (+"&amp;(COUNTIF('Dane rozpisek'!$H$2:$H$2600,S61)-1)&amp;")",""),"—"))</f>
        <v/>
      </c>
      <c r="Q61" s="24">
        <f>IF(AND(B61&lt;&gt;"",D61&lt;&gt;"",OR('Historia wózka'!$B$4="",B61='Historia wózka'!$B$4),D61&gt;='Historia wózka'!$B$5,D61&lt;='Historia wózka'!$B$6),D61+ROW()/1000000,0)</f>
        <v/>
      </c>
      <c r="R61" s="24">
        <f>IF(O61="TAK",IF(D61="",0,D61)+ROW()/1000000,0)</f>
        <v/>
      </c>
      <c r="S61" s="24">
        <f>IF(OR(B61="",D61=""),"",B61&amp;"|"&amp;D61)</f>
        <v/>
      </c>
    </row>
    <row r="62">
      <c r="A62" s="24">
        <f>IF(B62="","",ROW()-4)</f>
        <v/>
      </c>
      <c r="B62" s="25" t="n"/>
      <c r="C62" s="24">
        <f>IF(B62="","",IFERROR(INDEX('Wózki'!$B$2:$B$500,MATCH(B62,'Wózki'!$A$2:$A$500,0))&amp;"",""))</f>
        <v/>
      </c>
      <c r="D62" s="26" t="n"/>
      <c r="E62" s="25" t="n"/>
      <c r="F62" s="25" t="n"/>
      <c r="G62" s="24">
        <f>IF(F62="","",IFERROR(INDEX(Pracownicy!$B$2:$B$2000,MATCH(F62,Pracownicy!$A$2:$A$2000,0))&amp;"",""))</f>
        <v/>
      </c>
      <c r="H62" s="25" t="n"/>
      <c r="I62" s="25" t="n"/>
      <c r="J62" s="25" t="n"/>
      <c r="K62" s="27" t="n"/>
      <c r="L62" s="25" t="n"/>
      <c r="M62" s="25" t="n"/>
      <c r="N62" s="27" t="n"/>
      <c r="O62" s="24">
        <f>IF(B62="","",IF(M62="","TAK",IFERROR(INDEX(Ustawienia!$K$4:$K$8,MATCH(M62,Ustawienia!$J$4:$J$8,0)),"TAK")))</f>
        <v/>
      </c>
      <c r="P62" s="28">
        <f>IF(OR(B62="",D62=""),"",IFERROR(INDEX('Dane rozpisek'!$B$2:$B$2600,MATCH(S62,'Dane rozpisek'!$H$2:$H$2600,0))&amp;": "&amp;INDEX('Dane rozpisek'!$E$2:$E$2600,MATCH(S62,'Dane rozpisek'!$H$2:$H$2600,0))&amp;IF(COUNTIF('Dane rozpisek'!$H$2:$H$2600,S62)&gt;1," (+"&amp;(COUNTIF('Dane rozpisek'!$H$2:$H$2600,S62)-1)&amp;")",""),"—"))</f>
        <v/>
      </c>
      <c r="Q62" s="24">
        <f>IF(AND(B62&lt;&gt;"",D62&lt;&gt;"",OR('Historia wózka'!$B$4="",B62='Historia wózka'!$B$4),D62&gt;='Historia wózka'!$B$5,D62&lt;='Historia wózka'!$B$6),D62+ROW()/1000000,0)</f>
        <v/>
      </c>
      <c r="R62" s="24">
        <f>IF(O62="TAK",IF(D62="",0,D62)+ROW()/1000000,0)</f>
        <v/>
      </c>
      <c r="S62" s="24">
        <f>IF(OR(B62="",D62=""),"",B62&amp;"|"&amp;D62)</f>
        <v/>
      </c>
    </row>
    <row r="63">
      <c r="A63" s="24">
        <f>IF(B63="","",ROW()-4)</f>
        <v/>
      </c>
      <c r="B63" s="25" t="n"/>
      <c r="C63" s="24">
        <f>IF(B63="","",IFERROR(INDEX('Wózki'!$B$2:$B$500,MATCH(B63,'Wózki'!$A$2:$A$500,0))&amp;"",""))</f>
        <v/>
      </c>
      <c r="D63" s="26" t="n"/>
      <c r="E63" s="25" t="n"/>
      <c r="F63" s="25" t="n"/>
      <c r="G63" s="24">
        <f>IF(F63="","",IFERROR(INDEX(Pracownicy!$B$2:$B$2000,MATCH(F63,Pracownicy!$A$2:$A$2000,0))&amp;"",""))</f>
        <v/>
      </c>
      <c r="H63" s="25" t="n"/>
      <c r="I63" s="25" t="n"/>
      <c r="J63" s="25" t="n"/>
      <c r="K63" s="27" t="n"/>
      <c r="L63" s="25" t="n"/>
      <c r="M63" s="25" t="n"/>
      <c r="N63" s="27" t="n"/>
      <c r="O63" s="24">
        <f>IF(B63="","",IF(M63="","TAK",IFERROR(INDEX(Ustawienia!$K$4:$K$8,MATCH(M63,Ustawienia!$J$4:$J$8,0)),"TAK")))</f>
        <v/>
      </c>
      <c r="P63" s="28">
        <f>IF(OR(B63="",D63=""),"",IFERROR(INDEX('Dane rozpisek'!$B$2:$B$2600,MATCH(S63,'Dane rozpisek'!$H$2:$H$2600,0))&amp;": "&amp;INDEX('Dane rozpisek'!$E$2:$E$2600,MATCH(S63,'Dane rozpisek'!$H$2:$H$2600,0))&amp;IF(COUNTIF('Dane rozpisek'!$H$2:$H$2600,S63)&gt;1," (+"&amp;(COUNTIF('Dane rozpisek'!$H$2:$H$2600,S63)-1)&amp;")",""),"—"))</f>
        <v/>
      </c>
      <c r="Q63" s="24">
        <f>IF(AND(B63&lt;&gt;"",D63&lt;&gt;"",OR('Historia wózka'!$B$4="",B63='Historia wózka'!$B$4),D63&gt;='Historia wózka'!$B$5,D63&lt;='Historia wózka'!$B$6),D63+ROW()/1000000,0)</f>
        <v/>
      </c>
      <c r="R63" s="24">
        <f>IF(O63="TAK",IF(D63="",0,D63)+ROW()/1000000,0)</f>
        <v/>
      </c>
      <c r="S63" s="24">
        <f>IF(OR(B63="",D63=""),"",B63&amp;"|"&amp;D63)</f>
        <v/>
      </c>
    </row>
    <row r="64">
      <c r="A64" s="24">
        <f>IF(B64="","",ROW()-4)</f>
        <v/>
      </c>
      <c r="B64" s="25" t="n"/>
      <c r="C64" s="24">
        <f>IF(B64="","",IFERROR(INDEX('Wózki'!$B$2:$B$500,MATCH(B64,'Wózki'!$A$2:$A$500,0))&amp;"",""))</f>
        <v/>
      </c>
      <c r="D64" s="26" t="n"/>
      <c r="E64" s="25" t="n"/>
      <c r="F64" s="25" t="n"/>
      <c r="G64" s="24">
        <f>IF(F64="","",IFERROR(INDEX(Pracownicy!$B$2:$B$2000,MATCH(F64,Pracownicy!$A$2:$A$2000,0))&amp;"",""))</f>
        <v/>
      </c>
      <c r="H64" s="25" t="n"/>
      <c r="I64" s="25" t="n"/>
      <c r="J64" s="25" t="n"/>
      <c r="K64" s="27" t="n"/>
      <c r="L64" s="25" t="n"/>
      <c r="M64" s="25" t="n"/>
      <c r="N64" s="27" t="n"/>
      <c r="O64" s="24">
        <f>IF(B64="","",IF(M64="","TAK",IFERROR(INDEX(Ustawienia!$K$4:$K$8,MATCH(M64,Ustawienia!$J$4:$J$8,0)),"TAK")))</f>
        <v/>
      </c>
      <c r="P64" s="28">
        <f>IF(OR(B64="",D64=""),"",IFERROR(INDEX('Dane rozpisek'!$B$2:$B$2600,MATCH(S64,'Dane rozpisek'!$H$2:$H$2600,0))&amp;": "&amp;INDEX('Dane rozpisek'!$E$2:$E$2600,MATCH(S64,'Dane rozpisek'!$H$2:$H$2600,0))&amp;IF(COUNTIF('Dane rozpisek'!$H$2:$H$2600,S64)&gt;1," (+"&amp;(COUNTIF('Dane rozpisek'!$H$2:$H$2600,S64)-1)&amp;")",""),"—"))</f>
        <v/>
      </c>
      <c r="Q64" s="24">
        <f>IF(AND(B64&lt;&gt;"",D64&lt;&gt;"",OR('Historia wózka'!$B$4="",B64='Historia wózka'!$B$4),D64&gt;='Historia wózka'!$B$5,D64&lt;='Historia wózka'!$B$6),D64+ROW()/1000000,0)</f>
        <v/>
      </c>
      <c r="R64" s="24">
        <f>IF(O64="TAK",IF(D64="",0,D64)+ROW()/1000000,0)</f>
        <v/>
      </c>
      <c r="S64" s="24">
        <f>IF(OR(B64="",D64=""),"",B64&amp;"|"&amp;D64)</f>
        <v/>
      </c>
    </row>
    <row r="65">
      <c r="A65" s="24">
        <f>IF(B65="","",ROW()-4)</f>
        <v/>
      </c>
      <c r="B65" s="25" t="n"/>
      <c r="C65" s="24">
        <f>IF(B65="","",IFERROR(INDEX('Wózki'!$B$2:$B$500,MATCH(B65,'Wózki'!$A$2:$A$500,0))&amp;"",""))</f>
        <v/>
      </c>
      <c r="D65" s="26" t="n"/>
      <c r="E65" s="25" t="n"/>
      <c r="F65" s="25" t="n"/>
      <c r="G65" s="24">
        <f>IF(F65="","",IFERROR(INDEX(Pracownicy!$B$2:$B$2000,MATCH(F65,Pracownicy!$A$2:$A$2000,0))&amp;"",""))</f>
        <v/>
      </c>
      <c r="H65" s="25" t="n"/>
      <c r="I65" s="25" t="n"/>
      <c r="J65" s="25" t="n"/>
      <c r="K65" s="27" t="n"/>
      <c r="L65" s="25" t="n"/>
      <c r="M65" s="25" t="n"/>
      <c r="N65" s="27" t="n"/>
      <c r="O65" s="24">
        <f>IF(B65="","",IF(M65="","TAK",IFERROR(INDEX(Ustawienia!$K$4:$K$8,MATCH(M65,Ustawienia!$J$4:$J$8,0)),"TAK")))</f>
        <v/>
      </c>
      <c r="P65" s="28">
        <f>IF(OR(B65="",D65=""),"",IFERROR(INDEX('Dane rozpisek'!$B$2:$B$2600,MATCH(S65,'Dane rozpisek'!$H$2:$H$2600,0))&amp;": "&amp;INDEX('Dane rozpisek'!$E$2:$E$2600,MATCH(S65,'Dane rozpisek'!$H$2:$H$2600,0))&amp;IF(COUNTIF('Dane rozpisek'!$H$2:$H$2600,S65)&gt;1," (+"&amp;(COUNTIF('Dane rozpisek'!$H$2:$H$2600,S65)-1)&amp;")",""),"—"))</f>
        <v/>
      </c>
      <c r="Q65" s="24">
        <f>IF(AND(B65&lt;&gt;"",D65&lt;&gt;"",OR('Historia wózka'!$B$4="",B65='Historia wózka'!$B$4),D65&gt;='Historia wózka'!$B$5,D65&lt;='Historia wózka'!$B$6),D65+ROW()/1000000,0)</f>
        <v/>
      </c>
      <c r="R65" s="24">
        <f>IF(O65="TAK",IF(D65="",0,D65)+ROW()/1000000,0)</f>
        <v/>
      </c>
      <c r="S65" s="24">
        <f>IF(OR(B65="",D65=""),"",B65&amp;"|"&amp;D65)</f>
        <v/>
      </c>
    </row>
    <row r="66">
      <c r="A66" s="24">
        <f>IF(B66="","",ROW()-4)</f>
        <v/>
      </c>
      <c r="B66" s="25" t="n"/>
      <c r="C66" s="24">
        <f>IF(B66="","",IFERROR(INDEX('Wózki'!$B$2:$B$500,MATCH(B66,'Wózki'!$A$2:$A$500,0))&amp;"",""))</f>
        <v/>
      </c>
      <c r="D66" s="26" t="n"/>
      <c r="E66" s="25" t="n"/>
      <c r="F66" s="25" t="n"/>
      <c r="G66" s="24">
        <f>IF(F66="","",IFERROR(INDEX(Pracownicy!$B$2:$B$2000,MATCH(F66,Pracownicy!$A$2:$A$2000,0))&amp;"",""))</f>
        <v/>
      </c>
      <c r="H66" s="25" t="n"/>
      <c r="I66" s="25" t="n"/>
      <c r="J66" s="25" t="n"/>
      <c r="K66" s="27" t="n"/>
      <c r="L66" s="25" t="n"/>
      <c r="M66" s="25" t="n"/>
      <c r="N66" s="27" t="n"/>
      <c r="O66" s="24">
        <f>IF(B66="","",IF(M66="","TAK",IFERROR(INDEX(Ustawienia!$K$4:$K$8,MATCH(M66,Ustawienia!$J$4:$J$8,0)),"TAK")))</f>
        <v/>
      </c>
      <c r="P66" s="28">
        <f>IF(OR(B66="",D66=""),"",IFERROR(INDEX('Dane rozpisek'!$B$2:$B$2600,MATCH(S66,'Dane rozpisek'!$H$2:$H$2600,0))&amp;": "&amp;INDEX('Dane rozpisek'!$E$2:$E$2600,MATCH(S66,'Dane rozpisek'!$H$2:$H$2600,0))&amp;IF(COUNTIF('Dane rozpisek'!$H$2:$H$2600,S66)&gt;1," (+"&amp;(COUNTIF('Dane rozpisek'!$H$2:$H$2600,S66)-1)&amp;")",""),"—"))</f>
        <v/>
      </c>
      <c r="Q66" s="24">
        <f>IF(AND(B66&lt;&gt;"",D66&lt;&gt;"",OR('Historia wózka'!$B$4="",B66='Historia wózka'!$B$4),D66&gt;='Historia wózka'!$B$5,D66&lt;='Historia wózka'!$B$6),D66+ROW()/1000000,0)</f>
        <v/>
      </c>
      <c r="R66" s="24">
        <f>IF(O66="TAK",IF(D66="",0,D66)+ROW()/1000000,0)</f>
        <v/>
      </c>
      <c r="S66" s="24">
        <f>IF(OR(B66="",D66=""),"",B66&amp;"|"&amp;D66)</f>
        <v/>
      </c>
    </row>
    <row r="67">
      <c r="A67" s="24">
        <f>IF(B67="","",ROW()-4)</f>
        <v/>
      </c>
      <c r="B67" s="25" t="n"/>
      <c r="C67" s="24">
        <f>IF(B67="","",IFERROR(INDEX('Wózki'!$B$2:$B$500,MATCH(B67,'Wózki'!$A$2:$A$500,0))&amp;"",""))</f>
        <v/>
      </c>
      <c r="D67" s="26" t="n"/>
      <c r="E67" s="25" t="n"/>
      <c r="F67" s="25" t="n"/>
      <c r="G67" s="24">
        <f>IF(F67="","",IFERROR(INDEX(Pracownicy!$B$2:$B$2000,MATCH(F67,Pracownicy!$A$2:$A$2000,0))&amp;"",""))</f>
        <v/>
      </c>
      <c r="H67" s="25" t="n"/>
      <c r="I67" s="25" t="n"/>
      <c r="J67" s="25" t="n"/>
      <c r="K67" s="27" t="n"/>
      <c r="L67" s="25" t="n"/>
      <c r="M67" s="25" t="n"/>
      <c r="N67" s="27" t="n"/>
      <c r="O67" s="24">
        <f>IF(B67="","",IF(M67="","TAK",IFERROR(INDEX(Ustawienia!$K$4:$K$8,MATCH(M67,Ustawienia!$J$4:$J$8,0)),"TAK")))</f>
        <v/>
      </c>
      <c r="P67" s="28">
        <f>IF(OR(B67="",D67=""),"",IFERROR(INDEX('Dane rozpisek'!$B$2:$B$2600,MATCH(S67,'Dane rozpisek'!$H$2:$H$2600,0))&amp;": "&amp;INDEX('Dane rozpisek'!$E$2:$E$2600,MATCH(S67,'Dane rozpisek'!$H$2:$H$2600,0))&amp;IF(COUNTIF('Dane rozpisek'!$H$2:$H$2600,S67)&gt;1," (+"&amp;(COUNTIF('Dane rozpisek'!$H$2:$H$2600,S67)-1)&amp;")",""),"—"))</f>
        <v/>
      </c>
      <c r="Q67" s="24">
        <f>IF(AND(B67&lt;&gt;"",D67&lt;&gt;"",OR('Historia wózka'!$B$4="",B67='Historia wózka'!$B$4),D67&gt;='Historia wózka'!$B$5,D67&lt;='Historia wózka'!$B$6),D67+ROW()/1000000,0)</f>
        <v/>
      </c>
      <c r="R67" s="24">
        <f>IF(O67="TAK",IF(D67="",0,D67)+ROW()/1000000,0)</f>
        <v/>
      </c>
      <c r="S67" s="24">
        <f>IF(OR(B67="",D67=""),"",B67&amp;"|"&amp;D67)</f>
        <v/>
      </c>
    </row>
    <row r="68">
      <c r="A68" s="24">
        <f>IF(B68="","",ROW()-4)</f>
        <v/>
      </c>
      <c r="B68" s="25" t="n"/>
      <c r="C68" s="24">
        <f>IF(B68="","",IFERROR(INDEX('Wózki'!$B$2:$B$500,MATCH(B68,'Wózki'!$A$2:$A$500,0))&amp;"",""))</f>
        <v/>
      </c>
      <c r="D68" s="26" t="n"/>
      <c r="E68" s="25" t="n"/>
      <c r="F68" s="25" t="n"/>
      <c r="G68" s="24">
        <f>IF(F68="","",IFERROR(INDEX(Pracownicy!$B$2:$B$2000,MATCH(F68,Pracownicy!$A$2:$A$2000,0))&amp;"",""))</f>
        <v/>
      </c>
      <c r="H68" s="25" t="n"/>
      <c r="I68" s="25" t="n"/>
      <c r="J68" s="25" t="n"/>
      <c r="K68" s="27" t="n"/>
      <c r="L68" s="25" t="n"/>
      <c r="M68" s="25" t="n"/>
      <c r="N68" s="27" t="n"/>
      <c r="O68" s="24">
        <f>IF(B68="","",IF(M68="","TAK",IFERROR(INDEX(Ustawienia!$K$4:$K$8,MATCH(M68,Ustawienia!$J$4:$J$8,0)),"TAK")))</f>
        <v/>
      </c>
      <c r="P68" s="28">
        <f>IF(OR(B68="",D68=""),"",IFERROR(INDEX('Dane rozpisek'!$B$2:$B$2600,MATCH(S68,'Dane rozpisek'!$H$2:$H$2600,0))&amp;": "&amp;INDEX('Dane rozpisek'!$E$2:$E$2600,MATCH(S68,'Dane rozpisek'!$H$2:$H$2600,0))&amp;IF(COUNTIF('Dane rozpisek'!$H$2:$H$2600,S68)&gt;1," (+"&amp;(COUNTIF('Dane rozpisek'!$H$2:$H$2600,S68)-1)&amp;")",""),"—"))</f>
        <v/>
      </c>
      <c r="Q68" s="24">
        <f>IF(AND(B68&lt;&gt;"",D68&lt;&gt;"",OR('Historia wózka'!$B$4="",B68='Historia wózka'!$B$4),D68&gt;='Historia wózka'!$B$5,D68&lt;='Historia wózka'!$B$6),D68+ROW()/1000000,0)</f>
        <v/>
      </c>
      <c r="R68" s="24">
        <f>IF(O68="TAK",IF(D68="",0,D68)+ROW()/1000000,0)</f>
        <v/>
      </c>
      <c r="S68" s="24">
        <f>IF(OR(B68="",D68=""),"",B68&amp;"|"&amp;D68)</f>
        <v/>
      </c>
    </row>
    <row r="69">
      <c r="A69" s="24">
        <f>IF(B69="","",ROW()-4)</f>
        <v/>
      </c>
      <c r="B69" s="25" t="n"/>
      <c r="C69" s="24">
        <f>IF(B69="","",IFERROR(INDEX('Wózki'!$B$2:$B$500,MATCH(B69,'Wózki'!$A$2:$A$500,0))&amp;"",""))</f>
        <v/>
      </c>
      <c r="D69" s="26" t="n"/>
      <c r="E69" s="25" t="n"/>
      <c r="F69" s="25" t="n"/>
      <c r="G69" s="24">
        <f>IF(F69="","",IFERROR(INDEX(Pracownicy!$B$2:$B$2000,MATCH(F69,Pracownicy!$A$2:$A$2000,0))&amp;"",""))</f>
        <v/>
      </c>
      <c r="H69" s="25" t="n"/>
      <c r="I69" s="25" t="n"/>
      <c r="J69" s="25" t="n"/>
      <c r="K69" s="27" t="n"/>
      <c r="L69" s="25" t="n"/>
      <c r="M69" s="25" t="n"/>
      <c r="N69" s="27" t="n"/>
      <c r="O69" s="24">
        <f>IF(B69="","",IF(M69="","TAK",IFERROR(INDEX(Ustawienia!$K$4:$K$8,MATCH(M69,Ustawienia!$J$4:$J$8,0)),"TAK")))</f>
        <v/>
      </c>
      <c r="P69" s="28">
        <f>IF(OR(B69="",D69=""),"",IFERROR(INDEX('Dane rozpisek'!$B$2:$B$2600,MATCH(S69,'Dane rozpisek'!$H$2:$H$2600,0))&amp;": "&amp;INDEX('Dane rozpisek'!$E$2:$E$2600,MATCH(S69,'Dane rozpisek'!$H$2:$H$2600,0))&amp;IF(COUNTIF('Dane rozpisek'!$H$2:$H$2600,S69)&gt;1," (+"&amp;(COUNTIF('Dane rozpisek'!$H$2:$H$2600,S69)-1)&amp;")",""),"—"))</f>
        <v/>
      </c>
      <c r="Q69" s="24">
        <f>IF(AND(B69&lt;&gt;"",D69&lt;&gt;"",OR('Historia wózka'!$B$4="",B69='Historia wózka'!$B$4),D69&gt;='Historia wózka'!$B$5,D69&lt;='Historia wózka'!$B$6),D69+ROW()/1000000,0)</f>
        <v/>
      </c>
      <c r="R69" s="24">
        <f>IF(O69="TAK",IF(D69="",0,D69)+ROW()/1000000,0)</f>
        <v/>
      </c>
      <c r="S69" s="24">
        <f>IF(OR(B69="",D69=""),"",B69&amp;"|"&amp;D69)</f>
        <v/>
      </c>
    </row>
    <row r="70">
      <c r="A70" s="24">
        <f>IF(B70="","",ROW()-4)</f>
        <v/>
      </c>
      <c r="B70" s="25" t="n"/>
      <c r="C70" s="24">
        <f>IF(B70="","",IFERROR(INDEX('Wózki'!$B$2:$B$500,MATCH(B70,'Wózki'!$A$2:$A$500,0))&amp;"",""))</f>
        <v/>
      </c>
      <c r="D70" s="26" t="n"/>
      <c r="E70" s="25" t="n"/>
      <c r="F70" s="25" t="n"/>
      <c r="G70" s="24">
        <f>IF(F70="","",IFERROR(INDEX(Pracownicy!$B$2:$B$2000,MATCH(F70,Pracownicy!$A$2:$A$2000,0))&amp;"",""))</f>
        <v/>
      </c>
      <c r="H70" s="25" t="n"/>
      <c r="I70" s="25" t="n"/>
      <c r="J70" s="25" t="n"/>
      <c r="K70" s="27" t="n"/>
      <c r="L70" s="25" t="n"/>
      <c r="M70" s="25" t="n"/>
      <c r="N70" s="27" t="n"/>
      <c r="O70" s="24">
        <f>IF(B70="","",IF(M70="","TAK",IFERROR(INDEX(Ustawienia!$K$4:$K$8,MATCH(M70,Ustawienia!$J$4:$J$8,0)),"TAK")))</f>
        <v/>
      </c>
      <c r="P70" s="28">
        <f>IF(OR(B70="",D70=""),"",IFERROR(INDEX('Dane rozpisek'!$B$2:$B$2600,MATCH(S70,'Dane rozpisek'!$H$2:$H$2600,0))&amp;": "&amp;INDEX('Dane rozpisek'!$E$2:$E$2600,MATCH(S70,'Dane rozpisek'!$H$2:$H$2600,0))&amp;IF(COUNTIF('Dane rozpisek'!$H$2:$H$2600,S70)&gt;1," (+"&amp;(COUNTIF('Dane rozpisek'!$H$2:$H$2600,S70)-1)&amp;")",""),"—"))</f>
        <v/>
      </c>
      <c r="Q70" s="24">
        <f>IF(AND(B70&lt;&gt;"",D70&lt;&gt;"",OR('Historia wózka'!$B$4="",B70='Historia wózka'!$B$4),D70&gt;='Historia wózka'!$B$5,D70&lt;='Historia wózka'!$B$6),D70+ROW()/1000000,0)</f>
        <v/>
      </c>
      <c r="R70" s="24">
        <f>IF(O70="TAK",IF(D70="",0,D70)+ROW()/1000000,0)</f>
        <v/>
      </c>
      <c r="S70" s="24">
        <f>IF(OR(B70="",D70=""),"",B70&amp;"|"&amp;D70)</f>
        <v/>
      </c>
    </row>
    <row r="71">
      <c r="A71" s="24">
        <f>IF(B71="","",ROW()-4)</f>
        <v/>
      </c>
      <c r="B71" s="25" t="n"/>
      <c r="C71" s="24">
        <f>IF(B71="","",IFERROR(INDEX('Wózki'!$B$2:$B$500,MATCH(B71,'Wózki'!$A$2:$A$500,0))&amp;"",""))</f>
        <v/>
      </c>
      <c r="D71" s="26" t="n"/>
      <c r="E71" s="25" t="n"/>
      <c r="F71" s="25" t="n"/>
      <c r="G71" s="24">
        <f>IF(F71="","",IFERROR(INDEX(Pracownicy!$B$2:$B$2000,MATCH(F71,Pracownicy!$A$2:$A$2000,0))&amp;"",""))</f>
        <v/>
      </c>
      <c r="H71" s="25" t="n"/>
      <c r="I71" s="25" t="n"/>
      <c r="J71" s="25" t="n"/>
      <c r="K71" s="27" t="n"/>
      <c r="L71" s="25" t="n"/>
      <c r="M71" s="25" t="n"/>
      <c r="N71" s="27" t="n"/>
      <c r="O71" s="24">
        <f>IF(B71="","",IF(M71="","TAK",IFERROR(INDEX(Ustawienia!$K$4:$K$8,MATCH(M71,Ustawienia!$J$4:$J$8,0)),"TAK")))</f>
        <v/>
      </c>
      <c r="P71" s="28">
        <f>IF(OR(B71="",D71=""),"",IFERROR(INDEX('Dane rozpisek'!$B$2:$B$2600,MATCH(S71,'Dane rozpisek'!$H$2:$H$2600,0))&amp;": "&amp;INDEX('Dane rozpisek'!$E$2:$E$2600,MATCH(S71,'Dane rozpisek'!$H$2:$H$2600,0))&amp;IF(COUNTIF('Dane rozpisek'!$H$2:$H$2600,S71)&gt;1," (+"&amp;(COUNTIF('Dane rozpisek'!$H$2:$H$2600,S71)-1)&amp;")",""),"—"))</f>
        <v/>
      </c>
      <c r="Q71" s="24">
        <f>IF(AND(B71&lt;&gt;"",D71&lt;&gt;"",OR('Historia wózka'!$B$4="",B71='Historia wózka'!$B$4),D71&gt;='Historia wózka'!$B$5,D71&lt;='Historia wózka'!$B$6),D71+ROW()/1000000,0)</f>
        <v/>
      </c>
      <c r="R71" s="24">
        <f>IF(O71="TAK",IF(D71="",0,D71)+ROW()/1000000,0)</f>
        <v/>
      </c>
      <c r="S71" s="24">
        <f>IF(OR(B71="",D71=""),"",B71&amp;"|"&amp;D71)</f>
        <v/>
      </c>
    </row>
    <row r="72">
      <c r="A72" s="24">
        <f>IF(B72="","",ROW()-4)</f>
        <v/>
      </c>
      <c r="B72" s="25" t="n"/>
      <c r="C72" s="24">
        <f>IF(B72="","",IFERROR(INDEX('Wózki'!$B$2:$B$500,MATCH(B72,'Wózki'!$A$2:$A$500,0))&amp;"",""))</f>
        <v/>
      </c>
      <c r="D72" s="26" t="n"/>
      <c r="E72" s="25" t="n"/>
      <c r="F72" s="25" t="n"/>
      <c r="G72" s="24">
        <f>IF(F72="","",IFERROR(INDEX(Pracownicy!$B$2:$B$2000,MATCH(F72,Pracownicy!$A$2:$A$2000,0))&amp;"",""))</f>
        <v/>
      </c>
      <c r="H72" s="25" t="n"/>
      <c r="I72" s="25" t="n"/>
      <c r="J72" s="25" t="n"/>
      <c r="K72" s="27" t="n"/>
      <c r="L72" s="25" t="n"/>
      <c r="M72" s="25" t="n"/>
      <c r="N72" s="27" t="n"/>
      <c r="O72" s="24">
        <f>IF(B72="","",IF(M72="","TAK",IFERROR(INDEX(Ustawienia!$K$4:$K$8,MATCH(M72,Ustawienia!$J$4:$J$8,0)),"TAK")))</f>
        <v/>
      </c>
      <c r="P72" s="28">
        <f>IF(OR(B72="",D72=""),"",IFERROR(INDEX('Dane rozpisek'!$B$2:$B$2600,MATCH(S72,'Dane rozpisek'!$H$2:$H$2600,0))&amp;": "&amp;INDEX('Dane rozpisek'!$E$2:$E$2600,MATCH(S72,'Dane rozpisek'!$H$2:$H$2600,0))&amp;IF(COUNTIF('Dane rozpisek'!$H$2:$H$2600,S72)&gt;1," (+"&amp;(COUNTIF('Dane rozpisek'!$H$2:$H$2600,S72)-1)&amp;")",""),"—"))</f>
        <v/>
      </c>
      <c r="Q72" s="24">
        <f>IF(AND(B72&lt;&gt;"",D72&lt;&gt;"",OR('Historia wózka'!$B$4="",B72='Historia wózka'!$B$4),D72&gt;='Historia wózka'!$B$5,D72&lt;='Historia wózka'!$B$6),D72+ROW()/1000000,0)</f>
        <v/>
      </c>
      <c r="R72" s="24">
        <f>IF(O72="TAK",IF(D72="",0,D72)+ROW()/1000000,0)</f>
        <v/>
      </c>
      <c r="S72" s="24">
        <f>IF(OR(B72="",D72=""),"",B72&amp;"|"&amp;D72)</f>
        <v/>
      </c>
    </row>
    <row r="73">
      <c r="A73" s="24">
        <f>IF(B73="","",ROW()-4)</f>
        <v/>
      </c>
      <c r="B73" s="25" t="n"/>
      <c r="C73" s="24">
        <f>IF(B73="","",IFERROR(INDEX('Wózki'!$B$2:$B$500,MATCH(B73,'Wózki'!$A$2:$A$500,0))&amp;"",""))</f>
        <v/>
      </c>
      <c r="D73" s="26" t="n"/>
      <c r="E73" s="25" t="n"/>
      <c r="F73" s="25" t="n"/>
      <c r="G73" s="24">
        <f>IF(F73="","",IFERROR(INDEX(Pracownicy!$B$2:$B$2000,MATCH(F73,Pracownicy!$A$2:$A$2000,0))&amp;"",""))</f>
        <v/>
      </c>
      <c r="H73" s="25" t="n"/>
      <c r="I73" s="25" t="n"/>
      <c r="J73" s="25" t="n"/>
      <c r="K73" s="27" t="n"/>
      <c r="L73" s="25" t="n"/>
      <c r="M73" s="25" t="n"/>
      <c r="N73" s="27" t="n"/>
      <c r="O73" s="24">
        <f>IF(B73="","",IF(M73="","TAK",IFERROR(INDEX(Ustawienia!$K$4:$K$8,MATCH(M73,Ustawienia!$J$4:$J$8,0)),"TAK")))</f>
        <v/>
      </c>
      <c r="P73" s="28">
        <f>IF(OR(B73="",D73=""),"",IFERROR(INDEX('Dane rozpisek'!$B$2:$B$2600,MATCH(S73,'Dane rozpisek'!$H$2:$H$2600,0))&amp;": "&amp;INDEX('Dane rozpisek'!$E$2:$E$2600,MATCH(S73,'Dane rozpisek'!$H$2:$H$2600,0))&amp;IF(COUNTIF('Dane rozpisek'!$H$2:$H$2600,S73)&gt;1," (+"&amp;(COUNTIF('Dane rozpisek'!$H$2:$H$2600,S73)-1)&amp;")",""),"—"))</f>
        <v/>
      </c>
      <c r="Q73" s="24">
        <f>IF(AND(B73&lt;&gt;"",D73&lt;&gt;"",OR('Historia wózka'!$B$4="",B73='Historia wózka'!$B$4),D73&gt;='Historia wózka'!$B$5,D73&lt;='Historia wózka'!$B$6),D73+ROW()/1000000,0)</f>
        <v/>
      </c>
      <c r="R73" s="24">
        <f>IF(O73="TAK",IF(D73="",0,D73)+ROW()/1000000,0)</f>
        <v/>
      </c>
      <c r="S73" s="24">
        <f>IF(OR(B73="",D73=""),"",B73&amp;"|"&amp;D73)</f>
        <v/>
      </c>
    </row>
    <row r="74">
      <c r="A74" s="24">
        <f>IF(B74="","",ROW()-4)</f>
        <v/>
      </c>
      <c r="B74" s="25" t="n"/>
      <c r="C74" s="24">
        <f>IF(B74="","",IFERROR(INDEX('Wózki'!$B$2:$B$500,MATCH(B74,'Wózki'!$A$2:$A$500,0))&amp;"",""))</f>
        <v/>
      </c>
      <c r="D74" s="26" t="n"/>
      <c r="E74" s="25" t="n"/>
      <c r="F74" s="25" t="n"/>
      <c r="G74" s="24">
        <f>IF(F74="","",IFERROR(INDEX(Pracownicy!$B$2:$B$2000,MATCH(F74,Pracownicy!$A$2:$A$2000,0))&amp;"",""))</f>
        <v/>
      </c>
      <c r="H74" s="25" t="n"/>
      <c r="I74" s="25" t="n"/>
      <c r="J74" s="25" t="n"/>
      <c r="K74" s="27" t="n"/>
      <c r="L74" s="25" t="n"/>
      <c r="M74" s="25" t="n"/>
      <c r="N74" s="27" t="n"/>
      <c r="O74" s="24">
        <f>IF(B74="","",IF(M74="","TAK",IFERROR(INDEX(Ustawienia!$K$4:$K$8,MATCH(M74,Ustawienia!$J$4:$J$8,0)),"TAK")))</f>
        <v/>
      </c>
      <c r="P74" s="28">
        <f>IF(OR(B74="",D74=""),"",IFERROR(INDEX('Dane rozpisek'!$B$2:$B$2600,MATCH(S74,'Dane rozpisek'!$H$2:$H$2600,0))&amp;": "&amp;INDEX('Dane rozpisek'!$E$2:$E$2600,MATCH(S74,'Dane rozpisek'!$H$2:$H$2600,0))&amp;IF(COUNTIF('Dane rozpisek'!$H$2:$H$2600,S74)&gt;1," (+"&amp;(COUNTIF('Dane rozpisek'!$H$2:$H$2600,S74)-1)&amp;")",""),"—"))</f>
        <v/>
      </c>
      <c r="Q74" s="24">
        <f>IF(AND(B74&lt;&gt;"",D74&lt;&gt;"",OR('Historia wózka'!$B$4="",B74='Historia wózka'!$B$4),D74&gt;='Historia wózka'!$B$5,D74&lt;='Historia wózka'!$B$6),D74+ROW()/1000000,0)</f>
        <v/>
      </c>
      <c r="R74" s="24">
        <f>IF(O74="TAK",IF(D74="",0,D74)+ROW()/1000000,0)</f>
        <v/>
      </c>
      <c r="S74" s="24">
        <f>IF(OR(B74="",D74=""),"",B74&amp;"|"&amp;D74)</f>
        <v/>
      </c>
    </row>
    <row r="75">
      <c r="A75" s="24">
        <f>IF(B75="","",ROW()-4)</f>
        <v/>
      </c>
      <c r="B75" s="25" t="n"/>
      <c r="C75" s="24">
        <f>IF(B75="","",IFERROR(INDEX('Wózki'!$B$2:$B$500,MATCH(B75,'Wózki'!$A$2:$A$500,0))&amp;"",""))</f>
        <v/>
      </c>
      <c r="D75" s="26" t="n"/>
      <c r="E75" s="25" t="n"/>
      <c r="F75" s="25" t="n"/>
      <c r="G75" s="24">
        <f>IF(F75="","",IFERROR(INDEX(Pracownicy!$B$2:$B$2000,MATCH(F75,Pracownicy!$A$2:$A$2000,0))&amp;"",""))</f>
        <v/>
      </c>
      <c r="H75" s="25" t="n"/>
      <c r="I75" s="25" t="n"/>
      <c r="J75" s="25" t="n"/>
      <c r="K75" s="27" t="n"/>
      <c r="L75" s="25" t="n"/>
      <c r="M75" s="25" t="n"/>
      <c r="N75" s="27" t="n"/>
      <c r="O75" s="24">
        <f>IF(B75="","",IF(M75="","TAK",IFERROR(INDEX(Ustawienia!$K$4:$K$8,MATCH(M75,Ustawienia!$J$4:$J$8,0)),"TAK")))</f>
        <v/>
      </c>
      <c r="P75" s="28">
        <f>IF(OR(B75="",D75=""),"",IFERROR(INDEX('Dane rozpisek'!$B$2:$B$2600,MATCH(S75,'Dane rozpisek'!$H$2:$H$2600,0))&amp;": "&amp;INDEX('Dane rozpisek'!$E$2:$E$2600,MATCH(S75,'Dane rozpisek'!$H$2:$H$2600,0))&amp;IF(COUNTIF('Dane rozpisek'!$H$2:$H$2600,S75)&gt;1," (+"&amp;(COUNTIF('Dane rozpisek'!$H$2:$H$2600,S75)-1)&amp;")",""),"—"))</f>
        <v/>
      </c>
      <c r="Q75" s="24">
        <f>IF(AND(B75&lt;&gt;"",D75&lt;&gt;"",OR('Historia wózka'!$B$4="",B75='Historia wózka'!$B$4),D75&gt;='Historia wózka'!$B$5,D75&lt;='Historia wózka'!$B$6),D75+ROW()/1000000,0)</f>
        <v/>
      </c>
      <c r="R75" s="24">
        <f>IF(O75="TAK",IF(D75="",0,D75)+ROW()/1000000,0)</f>
        <v/>
      </c>
      <c r="S75" s="24">
        <f>IF(OR(B75="",D75=""),"",B75&amp;"|"&amp;D75)</f>
        <v/>
      </c>
    </row>
    <row r="76">
      <c r="A76" s="24">
        <f>IF(B76="","",ROW()-4)</f>
        <v/>
      </c>
      <c r="B76" s="25" t="n"/>
      <c r="C76" s="24">
        <f>IF(B76="","",IFERROR(INDEX('Wózki'!$B$2:$B$500,MATCH(B76,'Wózki'!$A$2:$A$500,0))&amp;"",""))</f>
        <v/>
      </c>
      <c r="D76" s="26" t="n"/>
      <c r="E76" s="25" t="n"/>
      <c r="F76" s="25" t="n"/>
      <c r="G76" s="24">
        <f>IF(F76="","",IFERROR(INDEX(Pracownicy!$B$2:$B$2000,MATCH(F76,Pracownicy!$A$2:$A$2000,0))&amp;"",""))</f>
        <v/>
      </c>
      <c r="H76" s="25" t="n"/>
      <c r="I76" s="25" t="n"/>
      <c r="J76" s="25" t="n"/>
      <c r="K76" s="27" t="n"/>
      <c r="L76" s="25" t="n"/>
      <c r="M76" s="25" t="n"/>
      <c r="N76" s="27" t="n"/>
      <c r="O76" s="24">
        <f>IF(B76="","",IF(M76="","TAK",IFERROR(INDEX(Ustawienia!$K$4:$K$8,MATCH(M76,Ustawienia!$J$4:$J$8,0)),"TAK")))</f>
        <v/>
      </c>
      <c r="P76" s="28">
        <f>IF(OR(B76="",D76=""),"",IFERROR(INDEX('Dane rozpisek'!$B$2:$B$2600,MATCH(S76,'Dane rozpisek'!$H$2:$H$2600,0))&amp;": "&amp;INDEX('Dane rozpisek'!$E$2:$E$2600,MATCH(S76,'Dane rozpisek'!$H$2:$H$2600,0))&amp;IF(COUNTIF('Dane rozpisek'!$H$2:$H$2600,S76)&gt;1," (+"&amp;(COUNTIF('Dane rozpisek'!$H$2:$H$2600,S76)-1)&amp;")",""),"—"))</f>
        <v/>
      </c>
      <c r="Q76" s="24">
        <f>IF(AND(B76&lt;&gt;"",D76&lt;&gt;"",OR('Historia wózka'!$B$4="",B76='Historia wózka'!$B$4),D76&gt;='Historia wózka'!$B$5,D76&lt;='Historia wózka'!$B$6),D76+ROW()/1000000,0)</f>
        <v/>
      </c>
      <c r="R76" s="24">
        <f>IF(O76="TAK",IF(D76="",0,D76)+ROW()/1000000,0)</f>
        <v/>
      </c>
      <c r="S76" s="24">
        <f>IF(OR(B76="",D76=""),"",B76&amp;"|"&amp;D76)</f>
        <v/>
      </c>
    </row>
    <row r="77">
      <c r="A77" s="24">
        <f>IF(B77="","",ROW()-4)</f>
        <v/>
      </c>
      <c r="B77" s="25" t="n"/>
      <c r="C77" s="24">
        <f>IF(B77="","",IFERROR(INDEX('Wózki'!$B$2:$B$500,MATCH(B77,'Wózki'!$A$2:$A$500,0))&amp;"",""))</f>
        <v/>
      </c>
      <c r="D77" s="26" t="n"/>
      <c r="E77" s="25" t="n"/>
      <c r="F77" s="25" t="n"/>
      <c r="G77" s="24">
        <f>IF(F77="","",IFERROR(INDEX(Pracownicy!$B$2:$B$2000,MATCH(F77,Pracownicy!$A$2:$A$2000,0))&amp;"",""))</f>
        <v/>
      </c>
      <c r="H77" s="25" t="n"/>
      <c r="I77" s="25" t="n"/>
      <c r="J77" s="25" t="n"/>
      <c r="K77" s="27" t="n"/>
      <c r="L77" s="25" t="n"/>
      <c r="M77" s="25" t="n"/>
      <c r="N77" s="27" t="n"/>
      <c r="O77" s="24">
        <f>IF(B77="","",IF(M77="","TAK",IFERROR(INDEX(Ustawienia!$K$4:$K$8,MATCH(M77,Ustawienia!$J$4:$J$8,0)),"TAK")))</f>
        <v/>
      </c>
      <c r="P77" s="28">
        <f>IF(OR(B77="",D77=""),"",IFERROR(INDEX('Dane rozpisek'!$B$2:$B$2600,MATCH(S77,'Dane rozpisek'!$H$2:$H$2600,0))&amp;": "&amp;INDEX('Dane rozpisek'!$E$2:$E$2600,MATCH(S77,'Dane rozpisek'!$H$2:$H$2600,0))&amp;IF(COUNTIF('Dane rozpisek'!$H$2:$H$2600,S77)&gt;1," (+"&amp;(COUNTIF('Dane rozpisek'!$H$2:$H$2600,S77)-1)&amp;")",""),"—"))</f>
        <v/>
      </c>
      <c r="Q77" s="24">
        <f>IF(AND(B77&lt;&gt;"",D77&lt;&gt;"",OR('Historia wózka'!$B$4="",B77='Historia wózka'!$B$4),D77&gt;='Historia wózka'!$B$5,D77&lt;='Historia wózka'!$B$6),D77+ROW()/1000000,0)</f>
        <v/>
      </c>
      <c r="R77" s="24">
        <f>IF(O77="TAK",IF(D77="",0,D77)+ROW()/1000000,0)</f>
        <v/>
      </c>
      <c r="S77" s="24">
        <f>IF(OR(B77="",D77=""),"",B77&amp;"|"&amp;D77)</f>
        <v/>
      </c>
    </row>
    <row r="78">
      <c r="A78" s="24">
        <f>IF(B78="","",ROW()-4)</f>
        <v/>
      </c>
      <c r="B78" s="25" t="n"/>
      <c r="C78" s="24">
        <f>IF(B78="","",IFERROR(INDEX('Wózki'!$B$2:$B$500,MATCH(B78,'Wózki'!$A$2:$A$500,0))&amp;"",""))</f>
        <v/>
      </c>
      <c r="D78" s="26" t="n"/>
      <c r="E78" s="25" t="n"/>
      <c r="F78" s="25" t="n"/>
      <c r="G78" s="24">
        <f>IF(F78="","",IFERROR(INDEX(Pracownicy!$B$2:$B$2000,MATCH(F78,Pracownicy!$A$2:$A$2000,0))&amp;"",""))</f>
        <v/>
      </c>
      <c r="H78" s="25" t="n"/>
      <c r="I78" s="25" t="n"/>
      <c r="J78" s="25" t="n"/>
      <c r="K78" s="27" t="n"/>
      <c r="L78" s="25" t="n"/>
      <c r="M78" s="25" t="n"/>
      <c r="N78" s="27" t="n"/>
      <c r="O78" s="24">
        <f>IF(B78="","",IF(M78="","TAK",IFERROR(INDEX(Ustawienia!$K$4:$K$8,MATCH(M78,Ustawienia!$J$4:$J$8,0)),"TAK")))</f>
        <v/>
      </c>
      <c r="P78" s="28">
        <f>IF(OR(B78="",D78=""),"",IFERROR(INDEX('Dane rozpisek'!$B$2:$B$2600,MATCH(S78,'Dane rozpisek'!$H$2:$H$2600,0))&amp;": "&amp;INDEX('Dane rozpisek'!$E$2:$E$2600,MATCH(S78,'Dane rozpisek'!$H$2:$H$2600,0))&amp;IF(COUNTIF('Dane rozpisek'!$H$2:$H$2600,S78)&gt;1," (+"&amp;(COUNTIF('Dane rozpisek'!$H$2:$H$2600,S78)-1)&amp;")",""),"—"))</f>
        <v/>
      </c>
      <c r="Q78" s="24">
        <f>IF(AND(B78&lt;&gt;"",D78&lt;&gt;"",OR('Historia wózka'!$B$4="",B78='Historia wózka'!$B$4),D78&gt;='Historia wózka'!$B$5,D78&lt;='Historia wózka'!$B$6),D78+ROW()/1000000,0)</f>
        <v/>
      </c>
      <c r="R78" s="24">
        <f>IF(O78="TAK",IF(D78="",0,D78)+ROW()/1000000,0)</f>
        <v/>
      </c>
      <c r="S78" s="24">
        <f>IF(OR(B78="",D78=""),"",B78&amp;"|"&amp;D78)</f>
        <v/>
      </c>
    </row>
    <row r="79">
      <c r="A79" s="24">
        <f>IF(B79="","",ROW()-4)</f>
        <v/>
      </c>
      <c r="B79" s="25" t="n"/>
      <c r="C79" s="24">
        <f>IF(B79="","",IFERROR(INDEX('Wózki'!$B$2:$B$500,MATCH(B79,'Wózki'!$A$2:$A$500,0))&amp;"",""))</f>
        <v/>
      </c>
      <c r="D79" s="26" t="n"/>
      <c r="E79" s="25" t="n"/>
      <c r="F79" s="25" t="n"/>
      <c r="G79" s="24">
        <f>IF(F79="","",IFERROR(INDEX(Pracownicy!$B$2:$B$2000,MATCH(F79,Pracownicy!$A$2:$A$2000,0))&amp;"",""))</f>
        <v/>
      </c>
      <c r="H79" s="25" t="n"/>
      <c r="I79" s="25" t="n"/>
      <c r="J79" s="25" t="n"/>
      <c r="K79" s="27" t="n"/>
      <c r="L79" s="25" t="n"/>
      <c r="M79" s="25" t="n"/>
      <c r="N79" s="27" t="n"/>
      <c r="O79" s="24">
        <f>IF(B79="","",IF(M79="","TAK",IFERROR(INDEX(Ustawienia!$K$4:$K$8,MATCH(M79,Ustawienia!$J$4:$J$8,0)),"TAK")))</f>
        <v/>
      </c>
      <c r="P79" s="28">
        <f>IF(OR(B79="",D79=""),"",IFERROR(INDEX('Dane rozpisek'!$B$2:$B$2600,MATCH(S79,'Dane rozpisek'!$H$2:$H$2600,0))&amp;": "&amp;INDEX('Dane rozpisek'!$E$2:$E$2600,MATCH(S79,'Dane rozpisek'!$H$2:$H$2600,0))&amp;IF(COUNTIF('Dane rozpisek'!$H$2:$H$2600,S79)&gt;1," (+"&amp;(COUNTIF('Dane rozpisek'!$H$2:$H$2600,S79)-1)&amp;")",""),"—"))</f>
        <v/>
      </c>
      <c r="Q79" s="24">
        <f>IF(AND(B79&lt;&gt;"",D79&lt;&gt;"",OR('Historia wózka'!$B$4="",B79='Historia wózka'!$B$4),D79&gt;='Historia wózka'!$B$5,D79&lt;='Historia wózka'!$B$6),D79+ROW()/1000000,0)</f>
        <v/>
      </c>
      <c r="R79" s="24">
        <f>IF(O79="TAK",IF(D79="",0,D79)+ROW()/1000000,0)</f>
        <v/>
      </c>
      <c r="S79" s="24">
        <f>IF(OR(B79="",D79=""),"",B79&amp;"|"&amp;D79)</f>
        <v/>
      </c>
    </row>
    <row r="80">
      <c r="A80" s="24">
        <f>IF(B80="","",ROW()-4)</f>
        <v/>
      </c>
      <c r="B80" s="25" t="n"/>
      <c r="C80" s="24">
        <f>IF(B80="","",IFERROR(INDEX('Wózki'!$B$2:$B$500,MATCH(B80,'Wózki'!$A$2:$A$500,0))&amp;"",""))</f>
        <v/>
      </c>
      <c r="D80" s="26" t="n"/>
      <c r="E80" s="25" t="n"/>
      <c r="F80" s="25" t="n"/>
      <c r="G80" s="24">
        <f>IF(F80="","",IFERROR(INDEX(Pracownicy!$B$2:$B$2000,MATCH(F80,Pracownicy!$A$2:$A$2000,0))&amp;"",""))</f>
        <v/>
      </c>
      <c r="H80" s="25" t="n"/>
      <c r="I80" s="25" t="n"/>
      <c r="J80" s="25" t="n"/>
      <c r="K80" s="27" t="n"/>
      <c r="L80" s="25" t="n"/>
      <c r="M80" s="25" t="n"/>
      <c r="N80" s="27" t="n"/>
      <c r="O80" s="24">
        <f>IF(B80="","",IF(M80="","TAK",IFERROR(INDEX(Ustawienia!$K$4:$K$8,MATCH(M80,Ustawienia!$J$4:$J$8,0)),"TAK")))</f>
        <v/>
      </c>
      <c r="P80" s="28">
        <f>IF(OR(B80="",D80=""),"",IFERROR(INDEX('Dane rozpisek'!$B$2:$B$2600,MATCH(S80,'Dane rozpisek'!$H$2:$H$2600,0))&amp;": "&amp;INDEX('Dane rozpisek'!$E$2:$E$2600,MATCH(S80,'Dane rozpisek'!$H$2:$H$2600,0))&amp;IF(COUNTIF('Dane rozpisek'!$H$2:$H$2600,S80)&gt;1," (+"&amp;(COUNTIF('Dane rozpisek'!$H$2:$H$2600,S80)-1)&amp;")",""),"—"))</f>
        <v/>
      </c>
      <c r="Q80" s="24">
        <f>IF(AND(B80&lt;&gt;"",D80&lt;&gt;"",OR('Historia wózka'!$B$4="",B80='Historia wózka'!$B$4),D80&gt;='Historia wózka'!$B$5,D80&lt;='Historia wózka'!$B$6),D80+ROW()/1000000,0)</f>
        <v/>
      </c>
      <c r="R80" s="24">
        <f>IF(O80="TAK",IF(D80="",0,D80)+ROW()/1000000,0)</f>
        <v/>
      </c>
      <c r="S80" s="24">
        <f>IF(OR(B80="",D80=""),"",B80&amp;"|"&amp;D80)</f>
        <v/>
      </c>
    </row>
    <row r="81">
      <c r="A81" s="24">
        <f>IF(B81="","",ROW()-4)</f>
        <v/>
      </c>
      <c r="B81" s="25" t="n"/>
      <c r="C81" s="24">
        <f>IF(B81="","",IFERROR(INDEX('Wózki'!$B$2:$B$500,MATCH(B81,'Wózki'!$A$2:$A$500,0))&amp;"",""))</f>
        <v/>
      </c>
      <c r="D81" s="26" t="n"/>
      <c r="E81" s="25" t="n"/>
      <c r="F81" s="25" t="n"/>
      <c r="G81" s="24">
        <f>IF(F81="","",IFERROR(INDEX(Pracownicy!$B$2:$B$2000,MATCH(F81,Pracownicy!$A$2:$A$2000,0))&amp;"",""))</f>
        <v/>
      </c>
      <c r="H81" s="25" t="n"/>
      <c r="I81" s="25" t="n"/>
      <c r="J81" s="25" t="n"/>
      <c r="K81" s="27" t="n"/>
      <c r="L81" s="25" t="n"/>
      <c r="M81" s="25" t="n"/>
      <c r="N81" s="27" t="n"/>
      <c r="O81" s="24">
        <f>IF(B81="","",IF(M81="","TAK",IFERROR(INDEX(Ustawienia!$K$4:$K$8,MATCH(M81,Ustawienia!$J$4:$J$8,0)),"TAK")))</f>
        <v/>
      </c>
      <c r="P81" s="28">
        <f>IF(OR(B81="",D81=""),"",IFERROR(INDEX('Dane rozpisek'!$B$2:$B$2600,MATCH(S81,'Dane rozpisek'!$H$2:$H$2600,0))&amp;": "&amp;INDEX('Dane rozpisek'!$E$2:$E$2600,MATCH(S81,'Dane rozpisek'!$H$2:$H$2600,0))&amp;IF(COUNTIF('Dane rozpisek'!$H$2:$H$2600,S81)&gt;1," (+"&amp;(COUNTIF('Dane rozpisek'!$H$2:$H$2600,S81)-1)&amp;")",""),"—"))</f>
        <v/>
      </c>
      <c r="Q81" s="24">
        <f>IF(AND(B81&lt;&gt;"",D81&lt;&gt;"",OR('Historia wózka'!$B$4="",B81='Historia wózka'!$B$4),D81&gt;='Historia wózka'!$B$5,D81&lt;='Historia wózka'!$B$6),D81+ROW()/1000000,0)</f>
        <v/>
      </c>
      <c r="R81" s="24">
        <f>IF(O81="TAK",IF(D81="",0,D81)+ROW()/1000000,0)</f>
        <v/>
      </c>
      <c r="S81" s="24">
        <f>IF(OR(B81="",D81=""),"",B81&amp;"|"&amp;D81)</f>
        <v/>
      </c>
    </row>
    <row r="82">
      <c r="A82" s="24">
        <f>IF(B82="","",ROW()-4)</f>
        <v/>
      </c>
      <c r="B82" s="25" t="n"/>
      <c r="C82" s="24">
        <f>IF(B82="","",IFERROR(INDEX('Wózki'!$B$2:$B$500,MATCH(B82,'Wózki'!$A$2:$A$500,0))&amp;"",""))</f>
        <v/>
      </c>
      <c r="D82" s="26" t="n"/>
      <c r="E82" s="25" t="n"/>
      <c r="F82" s="25" t="n"/>
      <c r="G82" s="24">
        <f>IF(F82="","",IFERROR(INDEX(Pracownicy!$B$2:$B$2000,MATCH(F82,Pracownicy!$A$2:$A$2000,0))&amp;"",""))</f>
        <v/>
      </c>
      <c r="H82" s="25" t="n"/>
      <c r="I82" s="25" t="n"/>
      <c r="J82" s="25" t="n"/>
      <c r="K82" s="27" t="n"/>
      <c r="L82" s="25" t="n"/>
      <c r="M82" s="25" t="n"/>
      <c r="N82" s="27" t="n"/>
      <c r="O82" s="24">
        <f>IF(B82="","",IF(M82="","TAK",IFERROR(INDEX(Ustawienia!$K$4:$K$8,MATCH(M82,Ustawienia!$J$4:$J$8,0)),"TAK")))</f>
        <v/>
      </c>
      <c r="P82" s="28">
        <f>IF(OR(B82="",D82=""),"",IFERROR(INDEX('Dane rozpisek'!$B$2:$B$2600,MATCH(S82,'Dane rozpisek'!$H$2:$H$2600,0))&amp;": "&amp;INDEX('Dane rozpisek'!$E$2:$E$2600,MATCH(S82,'Dane rozpisek'!$H$2:$H$2600,0))&amp;IF(COUNTIF('Dane rozpisek'!$H$2:$H$2600,S82)&gt;1," (+"&amp;(COUNTIF('Dane rozpisek'!$H$2:$H$2600,S82)-1)&amp;")",""),"—"))</f>
        <v/>
      </c>
      <c r="Q82" s="24">
        <f>IF(AND(B82&lt;&gt;"",D82&lt;&gt;"",OR('Historia wózka'!$B$4="",B82='Historia wózka'!$B$4),D82&gt;='Historia wózka'!$B$5,D82&lt;='Historia wózka'!$B$6),D82+ROW()/1000000,0)</f>
        <v/>
      </c>
      <c r="R82" s="24">
        <f>IF(O82="TAK",IF(D82="",0,D82)+ROW()/1000000,0)</f>
        <v/>
      </c>
      <c r="S82" s="24">
        <f>IF(OR(B82="",D82=""),"",B82&amp;"|"&amp;D82)</f>
        <v/>
      </c>
    </row>
    <row r="83">
      <c r="A83" s="24">
        <f>IF(B83="","",ROW()-4)</f>
        <v/>
      </c>
      <c r="B83" s="25" t="n"/>
      <c r="C83" s="24">
        <f>IF(B83="","",IFERROR(INDEX('Wózki'!$B$2:$B$500,MATCH(B83,'Wózki'!$A$2:$A$500,0))&amp;"",""))</f>
        <v/>
      </c>
      <c r="D83" s="26" t="n"/>
      <c r="E83" s="25" t="n"/>
      <c r="F83" s="25" t="n"/>
      <c r="G83" s="24">
        <f>IF(F83="","",IFERROR(INDEX(Pracownicy!$B$2:$B$2000,MATCH(F83,Pracownicy!$A$2:$A$2000,0))&amp;"",""))</f>
        <v/>
      </c>
      <c r="H83" s="25" t="n"/>
      <c r="I83" s="25" t="n"/>
      <c r="J83" s="25" t="n"/>
      <c r="K83" s="27" t="n"/>
      <c r="L83" s="25" t="n"/>
      <c r="M83" s="25" t="n"/>
      <c r="N83" s="27" t="n"/>
      <c r="O83" s="24">
        <f>IF(B83="","",IF(M83="","TAK",IFERROR(INDEX(Ustawienia!$K$4:$K$8,MATCH(M83,Ustawienia!$J$4:$J$8,0)),"TAK")))</f>
        <v/>
      </c>
      <c r="P83" s="28">
        <f>IF(OR(B83="",D83=""),"",IFERROR(INDEX('Dane rozpisek'!$B$2:$B$2600,MATCH(S83,'Dane rozpisek'!$H$2:$H$2600,0))&amp;": "&amp;INDEX('Dane rozpisek'!$E$2:$E$2600,MATCH(S83,'Dane rozpisek'!$H$2:$H$2600,0))&amp;IF(COUNTIF('Dane rozpisek'!$H$2:$H$2600,S83)&gt;1," (+"&amp;(COUNTIF('Dane rozpisek'!$H$2:$H$2600,S83)-1)&amp;")",""),"—"))</f>
        <v/>
      </c>
      <c r="Q83" s="24">
        <f>IF(AND(B83&lt;&gt;"",D83&lt;&gt;"",OR('Historia wózka'!$B$4="",B83='Historia wózka'!$B$4),D83&gt;='Historia wózka'!$B$5,D83&lt;='Historia wózka'!$B$6),D83+ROW()/1000000,0)</f>
        <v/>
      </c>
      <c r="R83" s="24">
        <f>IF(O83="TAK",IF(D83="",0,D83)+ROW()/1000000,0)</f>
        <v/>
      </c>
      <c r="S83" s="24">
        <f>IF(OR(B83="",D83=""),"",B83&amp;"|"&amp;D83)</f>
        <v/>
      </c>
    </row>
    <row r="84">
      <c r="A84" s="24">
        <f>IF(B84="","",ROW()-4)</f>
        <v/>
      </c>
      <c r="B84" s="25" t="n"/>
      <c r="C84" s="24">
        <f>IF(B84="","",IFERROR(INDEX('Wózki'!$B$2:$B$500,MATCH(B84,'Wózki'!$A$2:$A$500,0))&amp;"",""))</f>
        <v/>
      </c>
      <c r="D84" s="26" t="n"/>
      <c r="E84" s="25" t="n"/>
      <c r="F84" s="25" t="n"/>
      <c r="G84" s="24">
        <f>IF(F84="","",IFERROR(INDEX(Pracownicy!$B$2:$B$2000,MATCH(F84,Pracownicy!$A$2:$A$2000,0))&amp;"",""))</f>
        <v/>
      </c>
      <c r="H84" s="25" t="n"/>
      <c r="I84" s="25" t="n"/>
      <c r="J84" s="25" t="n"/>
      <c r="K84" s="27" t="n"/>
      <c r="L84" s="25" t="n"/>
      <c r="M84" s="25" t="n"/>
      <c r="N84" s="27" t="n"/>
      <c r="O84" s="24">
        <f>IF(B84="","",IF(M84="","TAK",IFERROR(INDEX(Ustawienia!$K$4:$K$8,MATCH(M84,Ustawienia!$J$4:$J$8,0)),"TAK")))</f>
        <v/>
      </c>
      <c r="P84" s="28">
        <f>IF(OR(B84="",D84=""),"",IFERROR(INDEX('Dane rozpisek'!$B$2:$B$2600,MATCH(S84,'Dane rozpisek'!$H$2:$H$2600,0))&amp;": "&amp;INDEX('Dane rozpisek'!$E$2:$E$2600,MATCH(S84,'Dane rozpisek'!$H$2:$H$2600,0))&amp;IF(COUNTIF('Dane rozpisek'!$H$2:$H$2600,S84)&gt;1," (+"&amp;(COUNTIF('Dane rozpisek'!$H$2:$H$2600,S84)-1)&amp;")",""),"—"))</f>
        <v/>
      </c>
      <c r="Q84" s="24">
        <f>IF(AND(B84&lt;&gt;"",D84&lt;&gt;"",OR('Historia wózka'!$B$4="",B84='Historia wózka'!$B$4),D84&gt;='Historia wózka'!$B$5,D84&lt;='Historia wózka'!$B$6),D84+ROW()/1000000,0)</f>
        <v/>
      </c>
      <c r="R84" s="24">
        <f>IF(O84="TAK",IF(D84="",0,D84)+ROW()/1000000,0)</f>
        <v/>
      </c>
      <c r="S84" s="24">
        <f>IF(OR(B84="",D84=""),"",B84&amp;"|"&amp;D84)</f>
        <v/>
      </c>
    </row>
    <row r="85">
      <c r="A85" s="24">
        <f>IF(B85="","",ROW()-4)</f>
        <v/>
      </c>
      <c r="B85" s="25" t="n"/>
      <c r="C85" s="24">
        <f>IF(B85="","",IFERROR(INDEX('Wózki'!$B$2:$B$500,MATCH(B85,'Wózki'!$A$2:$A$500,0))&amp;"",""))</f>
        <v/>
      </c>
      <c r="D85" s="26" t="n"/>
      <c r="E85" s="25" t="n"/>
      <c r="F85" s="25" t="n"/>
      <c r="G85" s="24">
        <f>IF(F85="","",IFERROR(INDEX(Pracownicy!$B$2:$B$2000,MATCH(F85,Pracownicy!$A$2:$A$2000,0))&amp;"",""))</f>
        <v/>
      </c>
      <c r="H85" s="25" t="n"/>
      <c r="I85" s="25" t="n"/>
      <c r="J85" s="25" t="n"/>
      <c r="K85" s="27" t="n"/>
      <c r="L85" s="25" t="n"/>
      <c r="M85" s="25" t="n"/>
      <c r="N85" s="27" t="n"/>
      <c r="O85" s="24">
        <f>IF(B85="","",IF(M85="","TAK",IFERROR(INDEX(Ustawienia!$K$4:$K$8,MATCH(M85,Ustawienia!$J$4:$J$8,0)),"TAK")))</f>
        <v/>
      </c>
      <c r="P85" s="28">
        <f>IF(OR(B85="",D85=""),"",IFERROR(INDEX('Dane rozpisek'!$B$2:$B$2600,MATCH(S85,'Dane rozpisek'!$H$2:$H$2600,0))&amp;": "&amp;INDEX('Dane rozpisek'!$E$2:$E$2600,MATCH(S85,'Dane rozpisek'!$H$2:$H$2600,0))&amp;IF(COUNTIF('Dane rozpisek'!$H$2:$H$2600,S85)&gt;1," (+"&amp;(COUNTIF('Dane rozpisek'!$H$2:$H$2600,S85)-1)&amp;")",""),"—"))</f>
        <v/>
      </c>
      <c r="Q85" s="24">
        <f>IF(AND(B85&lt;&gt;"",D85&lt;&gt;"",OR('Historia wózka'!$B$4="",B85='Historia wózka'!$B$4),D85&gt;='Historia wózka'!$B$5,D85&lt;='Historia wózka'!$B$6),D85+ROW()/1000000,0)</f>
        <v/>
      </c>
      <c r="R85" s="24">
        <f>IF(O85="TAK",IF(D85="",0,D85)+ROW()/1000000,0)</f>
        <v/>
      </c>
      <c r="S85" s="24">
        <f>IF(OR(B85="",D85=""),"",B85&amp;"|"&amp;D85)</f>
        <v/>
      </c>
    </row>
    <row r="86">
      <c r="A86" s="24">
        <f>IF(B86="","",ROW()-4)</f>
        <v/>
      </c>
      <c r="B86" s="25" t="n"/>
      <c r="C86" s="24">
        <f>IF(B86="","",IFERROR(INDEX('Wózki'!$B$2:$B$500,MATCH(B86,'Wózki'!$A$2:$A$500,0))&amp;"",""))</f>
        <v/>
      </c>
      <c r="D86" s="26" t="n"/>
      <c r="E86" s="25" t="n"/>
      <c r="F86" s="25" t="n"/>
      <c r="G86" s="24">
        <f>IF(F86="","",IFERROR(INDEX(Pracownicy!$B$2:$B$2000,MATCH(F86,Pracownicy!$A$2:$A$2000,0))&amp;"",""))</f>
        <v/>
      </c>
      <c r="H86" s="25" t="n"/>
      <c r="I86" s="25" t="n"/>
      <c r="J86" s="25" t="n"/>
      <c r="K86" s="27" t="n"/>
      <c r="L86" s="25" t="n"/>
      <c r="M86" s="25" t="n"/>
      <c r="N86" s="27" t="n"/>
      <c r="O86" s="24">
        <f>IF(B86="","",IF(M86="","TAK",IFERROR(INDEX(Ustawienia!$K$4:$K$8,MATCH(M86,Ustawienia!$J$4:$J$8,0)),"TAK")))</f>
        <v/>
      </c>
      <c r="P86" s="28">
        <f>IF(OR(B86="",D86=""),"",IFERROR(INDEX('Dane rozpisek'!$B$2:$B$2600,MATCH(S86,'Dane rozpisek'!$H$2:$H$2600,0))&amp;": "&amp;INDEX('Dane rozpisek'!$E$2:$E$2600,MATCH(S86,'Dane rozpisek'!$H$2:$H$2600,0))&amp;IF(COUNTIF('Dane rozpisek'!$H$2:$H$2600,S86)&gt;1," (+"&amp;(COUNTIF('Dane rozpisek'!$H$2:$H$2600,S86)-1)&amp;")",""),"—"))</f>
        <v/>
      </c>
      <c r="Q86" s="24">
        <f>IF(AND(B86&lt;&gt;"",D86&lt;&gt;"",OR('Historia wózka'!$B$4="",B86='Historia wózka'!$B$4),D86&gt;='Historia wózka'!$B$5,D86&lt;='Historia wózka'!$B$6),D86+ROW()/1000000,0)</f>
        <v/>
      </c>
      <c r="R86" s="24">
        <f>IF(O86="TAK",IF(D86="",0,D86)+ROW()/1000000,0)</f>
        <v/>
      </c>
      <c r="S86" s="24">
        <f>IF(OR(B86="",D86=""),"",B86&amp;"|"&amp;D86)</f>
        <v/>
      </c>
    </row>
    <row r="87">
      <c r="A87" s="24">
        <f>IF(B87="","",ROW()-4)</f>
        <v/>
      </c>
      <c r="B87" s="25" t="n"/>
      <c r="C87" s="24">
        <f>IF(B87="","",IFERROR(INDEX('Wózki'!$B$2:$B$500,MATCH(B87,'Wózki'!$A$2:$A$500,0))&amp;"",""))</f>
        <v/>
      </c>
      <c r="D87" s="26" t="n"/>
      <c r="E87" s="25" t="n"/>
      <c r="F87" s="25" t="n"/>
      <c r="G87" s="24">
        <f>IF(F87="","",IFERROR(INDEX(Pracownicy!$B$2:$B$2000,MATCH(F87,Pracownicy!$A$2:$A$2000,0))&amp;"",""))</f>
        <v/>
      </c>
      <c r="H87" s="25" t="n"/>
      <c r="I87" s="25" t="n"/>
      <c r="J87" s="25" t="n"/>
      <c r="K87" s="27" t="n"/>
      <c r="L87" s="25" t="n"/>
      <c r="M87" s="25" t="n"/>
      <c r="N87" s="27" t="n"/>
      <c r="O87" s="24">
        <f>IF(B87="","",IF(M87="","TAK",IFERROR(INDEX(Ustawienia!$K$4:$K$8,MATCH(M87,Ustawienia!$J$4:$J$8,0)),"TAK")))</f>
        <v/>
      </c>
      <c r="P87" s="28">
        <f>IF(OR(B87="",D87=""),"",IFERROR(INDEX('Dane rozpisek'!$B$2:$B$2600,MATCH(S87,'Dane rozpisek'!$H$2:$H$2600,0))&amp;": "&amp;INDEX('Dane rozpisek'!$E$2:$E$2600,MATCH(S87,'Dane rozpisek'!$H$2:$H$2600,0))&amp;IF(COUNTIF('Dane rozpisek'!$H$2:$H$2600,S87)&gt;1," (+"&amp;(COUNTIF('Dane rozpisek'!$H$2:$H$2600,S87)-1)&amp;")",""),"—"))</f>
        <v/>
      </c>
      <c r="Q87" s="24">
        <f>IF(AND(B87&lt;&gt;"",D87&lt;&gt;"",OR('Historia wózka'!$B$4="",B87='Historia wózka'!$B$4),D87&gt;='Historia wózka'!$B$5,D87&lt;='Historia wózka'!$B$6),D87+ROW()/1000000,0)</f>
        <v/>
      </c>
      <c r="R87" s="24">
        <f>IF(O87="TAK",IF(D87="",0,D87)+ROW()/1000000,0)</f>
        <v/>
      </c>
      <c r="S87" s="24">
        <f>IF(OR(B87="",D87=""),"",B87&amp;"|"&amp;D87)</f>
        <v/>
      </c>
    </row>
    <row r="88">
      <c r="A88" s="24">
        <f>IF(B88="","",ROW()-4)</f>
        <v/>
      </c>
      <c r="B88" s="25" t="n"/>
      <c r="C88" s="24">
        <f>IF(B88="","",IFERROR(INDEX('Wózki'!$B$2:$B$500,MATCH(B88,'Wózki'!$A$2:$A$500,0))&amp;"",""))</f>
        <v/>
      </c>
      <c r="D88" s="26" t="n"/>
      <c r="E88" s="25" t="n"/>
      <c r="F88" s="25" t="n"/>
      <c r="G88" s="24">
        <f>IF(F88="","",IFERROR(INDEX(Pracownicy!$B$2:$B$2000,MATCH(F88,Pracownicy!$A$2:$A$2000,0))&amp;"",""))</f>
        <v/>
      </c>
      <c r="H88" s="25" t="n"/>
      <c r="I88" s="25" t="n"/>
      <c r="J88" s="25" t="n"/>
      <c r="K88" s="27" t="n"/>
      <c r="L88" s="25" t="n"/>
      <c r="M88" s="25" t="n"/>
      <c r="N88" s="27" t="n"/>
      <c r="O88" s="24">
        <f>IF(B88="","",IF(M88="","TAK",IFERROR(INDEX(Ustawienia!$K$4:$K$8,MATCH(M88,Ustawienia!$J$4:$J$8,0)),"TAK")))</f>
        <v/>
      </c>
      <c r="P88" s="28">
        <f>IF(OR(B88="",D88=""),"",IFERROR(INDEX('Dane rozpisek'!$B$2:$B$2600,MATCH(S88,'Dane rozpisek'!$H$2:$H$2600,0))&amp;": "&amp;INDEX('Dane rozpisek'!$E$2:$E$2600,MATCH(S88,'Dane rozpisek'!$H$2:$H$2600,0))&amp;IF(COUNTIF('Dane rozpisek'!$H$2:$H$2600,S88)&gt;1," (+"&amp;(COUNTIF('Dane rozpisek'!$H$2:$H$2600,S88)-1)&amp;")",""),"—"))</f>
        <v/>
      </c>
      <c r="Q88" s="24">
        <f>IF(AND(B88&lt;&gt;"",D88&lt;&gt;"",OR('Historia wózka'!$B$4="",B88='Historia wózka'!$B$4),D88&gt;='Historia wózka'!$B$5,D88&lt;='Historia wózka'!$B$6),D88+ROW()/1000000,0)</f>
        <v/>
      </c>
      <c r="R88" s="24">
        <f>IF(O88="TAK",IF(D88="",0,D88)+ROW()/1000000,0)</f>
        <v/>
      </c>
      <c r="S88" s="24">
        <f>IF(OR(B88="",D88=""),"",B88&amp;"|"&amp;D88)</f>
        <v/>
      </c>
    </row>
    <row r="89">
      <c r="A89" s="24">
        <f>IF(B89="","",ROW()-4)</f>
        <v/>
      </c>
      <c r="B89" s="25" t="n"/>
      <c r="C89" s="24">
        <f>IF(B89="","",IFERROR(INDEX('Wózki'!$B$2:$B$500,MATCH(B89,'Wózki'!$A$2:$A$500,0))&amp;"",""))</f>
        <v/>
      </c>
      <c r="D89" s="26" t="n"/>
      <c r="E89" s="25" t="n"/>
      <c r="F89" s="25" t="n"/>
      <c r="G89" s="24">
        <f>IF(F89="","",IFERROR(INDEX(Pracownicy!$B$2:$B$2000,MATCH(F89,Pracownicy!$A$2:$A$2000,0))&amp;"",""))</f>
        <v/>
      </c>
      <c r="H89" s="25" t="n"/>
      <c r="I89" s="25" t="n"/>
      <c r="J89" s="25" t="n"/>
      <c r="K89" s="27" t="n"/>
      <c r="L89" s="25" t="n"/>
      <c r="M89" s="25" t="n"/>
      <c r="N89" s="27" t="n"/>
      <c r="O89" s="24">
        <f>IF(B89="","",IF(M89="","TAK",IFERROR(INDEX(Ustawienia!$K$4:$K$8,MATCH(M89,Ustawienia!$J$4:$J$8,0)),"TAK")))</f>
        <v/>
      </c>
      <c r="P89" s="28">
        <f>IF(OR(B89="",D89=""),"",IFERROR(INDEX('Dane rozpisek'!$B$2:$B$2600,MATCH(S89,'Dane rozpisek'!$H$2:$H$2600,0))&amp;": "&amp;INDEX('Dane rozpisek'!$E$2:$E$2600,MATCH(S89,'Dane rozpisek'!$H$2:$H$2600,0))&amp;IF(COUNTIF('Dane rozpisek'!$H$2:$H$2600,S89)&gt;1," (+"&amp;(COUNTIF('Dane rozpisek'!$H$2:$H$2600,S89)-1)&amp;")",""),"—"))</f>
        <v/>
      </c>
      <c r="Q89" s="24">
        <f>IF(AND(B89&lt;&gt;"",D89&lt;&gt;"",OR('Historia wózka'!$B$4="",B89='Historia wózka'!$B$4),D89&gt;='Historia wózka'!$B$5,D89&lt;='Historia wózka'!$B$6),D89+ROW()/1000000,0)</f>
        <v/>
      </c>
      <c r="R89" s="24">
        <f>IF(O89="TAK",IF(D89="",0,D89)+ROW()/1000000,0)</f>
        <v/>
      </c>
      <c r="S89" s="24">
        <f>IF(OR(B89="",D89=""),"",B89&amp;"|"&amp;D89)</f>
        <v/>
      </c>
    </row>
    <row r="90">
      <c r="A90" s="24">
        <f>IF(B90="","",ROW()-4)</f>
        <v/>
      </c>
      <c r="B90" s="25" t="n"/>
      <c r="C90" s="24">
        <f>IF(B90="","",IFERROR(INDEX('Wózki'!$B$2:$B$500,MATCH(B90,'Wózki'!$A$2:$A$500,0))&amp;"",""))</f>
        <v/>
      </c>
      <c r="D90" s="26" t="n"/>
      <c r="E90" s="25" t="n"/>
      <c r="F90" s="25" t="n"/>
      <c r="G90" s="24">
        <f>IF(F90="","",IFERROR(INDEX(Pracownicy!$B$2:$B$2000,MATCH(F90,Pracownicy!$A$2:$A$2000,0))&amp;"",""))</f>
        <v/>
      </c>
      <c r="H90" s="25" t="n"/>
      <c r="I90" s="25" t="n"/>
      <c r="J90" s="25" t="n"/>
      <c r="K90" s="27" t="n"/>
      <c r="L90" s="25" t="n"/>
      <c r="M90" s="25" t="n"/>
      <c r="N90" s="27" t="n"/>
      <c r="O90" s="24">
        <f>IF(B90="","",IF(M90="","TAK",IFERROR(INDEX(Ustawienia!$K$4:$K$8,MATCH(M90,Ustawienia!$J$4:$J$8,0)),"TAK")))</f>
        <v/>
      </c>
      <c r="P90" s="28">
        <f>IF(OR(B90="",D90=""),"",IFERROR(INDEX('Dane rozpisek'!$B$2:$B$2600,MATCH(S90,'Dane rozpisek'!$H$2:$H$2600,0))&amp;": "&amp;INDEX('Dane rozpisek'!$E$2:$E$2600,MATCH(S90,'Dane rozpisek'!$H$2:$H$2600,0))&amp;IF(COUNTIF('Dane rozpisek'!$H$2:$H$2600,S90)&gt;1," (+"&amp;(COUNTIF('Dane rozpisek'!$H$2:$H$2600,S90)-1)&amp;")",""),"—"))</f>
        <v/>
      </c>
      <c r="Q90" s="24">
        <f>IF(AND(B90&lt;&gt;"",D90&lt;&gt;"",OR('Historia wózka'!$B$4="",B90='Historia wózka'!$B$4),D90&gt;='Historia wózka'!$B$5,D90&lt;='Historia wózka'!$B$6),D90+ROW()/1000000,0)</f>
        <v/>
      </c>
      <c r="R90" s="24">
        <f>IF(O90="TAK",IF(D90="",0,D90)+ROW()/1000000,0)</f>
        <v/>
      </c>
      <c r="S90" s="24">
        <f>IF(OR(B90="",D90=""),"",B90&amp;"|"&amp;D90)</f>
        <v/>
      </c>
    </row>
    <row r="91">
      <c r="A91" s="24">
        <f>IF(B91="","",ROW()-4)</f>
        <v/>
      </c>
      <c r="B91" s="25" t="n"/>
      <c r="C91" s="24">
        <f>IF(B91="","",IFERROR(INDEX('Wózki'!$B$2:$B$500,MATCH(B91,'Wózki'!$A$2:$A$500,0))&amp;"",""))</f>
        <v/>
      </c>
      <c r="D91" s="26" t="n"/>
      <c r="E91" s="25" t="n"/>
      <c r="F91" s="25" t="n"/>
      <c r="G91" s="24">
        <f>IF(F91="","",IFERROR(INDEX(Pracownicy!$B$2:$B$2000,MATCH(F91,Pracownicy!$A$2:$A$2000,0))&amp;"",""))</f>
        <v/>
      </c>
      <c r="H91" s="25" t="n"/>
      <c r="I91" s="25" t="n"/>
      <c r="J91" s="25" t="n"/>
      <c r="K91" s="27" t="n"/>
      <c r="L91" s="25" t="n"/>
      <c r="M91" s="25" t="n"/>
      <c r="N91" s="27" t="n"/>
      <c r="O91" s="24">
        <f>IF(B91="","",IF(M91="","TAK",IFERROR(INDEX(Ustawienia!$K$4:$K$8,MATCH(M91,Ustawienia!$J$4:$J$8,0)),"TAK")))</f>
        <v/>
      </c>
      <c r="P91" s="28">
        <f>IF(OR(B91="",D91=""),"",IFERROR(INDEX('Dane rozpisek'!$B$2:$B$2600,MATCH(S91,'Dane rozpisek'!$H$2:$H$2600,0))&amp;": "&amp;INDEX('Dane rozpisek'!$E$2:$E$2600,MATCH(S91,'Dane rozpisek'!$H$2:$H$2600,0))&amp;IF(COUNTIF('Dane rozpisek'!$H$2:$H$2600,S91)&gt;1," (+"&amp;(COUNTIF('Dane rozpisek'!$H$2:$H$2600,S91)-1)&amp;")",""),"—"))</f>
        <v/>
      </c>
      <c r="Q91" s="24">
        <f>IF(AND(B91&lt;&gt;"",D91&lt;&gt;"",OR('Historia wózka'!$B$4="",B91='Historia wózka'!$B$4),D91&gt;='Historia wózka'!$B$5,D91&lt;='Historia wózka'!$B$6),D91+ROW()/1000000,0)</f>
        <v/>
      </c>
      <c r="R91" s="24">
        <f>IF(O91="TAK",IF(D91="",0,D91)+ROW()/1000000,0)</f>
        <v/>
      </c>
      <c r="S91" s="24">
        <f>IF(OR(B91="",D91=""),"",B91&amp;"|"&amp;D91)</f>
        <v/>
      </c>
    </row>
    <row r="92">
      <c r="A92" s="24">
        <f>IF(B92="","",ROW()-4)</f>
        <v/>
      </c>
      <c r="B92" s="25" t="n"/>
      <c r="C92" s="24">
        <f>IF(B92="","",IFERROR(INDEX('Wózki'!$B$2:$B$500,MATCH(B92,'Wózki'!$A$2:$A$500,0))&amp;"",""))</f>
        <v/>
      </c>
      <c r="D92" s="26" t="n"/>
      <c r="E92" s="25" t="n"/>
      <c r="F92" s="25" t="n"/>
      <c r="G92" s="24">
        <f>IF(F92="","",IFERROR(INDEX(Pracownicy!$B$2:$B$2000,MATCH(F92,Pracownicy!$A$2:$A$2000,0))&amp;"",""))</f>
        <v/>
      </c>
      <c r="H92" s="25" t="n"/>
      <c r="I92" s="25" t="n"/>
      <c r="J92" s="25" t="n"/>
      <c r="K92" s="27" t="n"/>
      <c r="L92" s="25" t="n"/>
      <c r="M92" s="25" t="n"/>
      <c r="N92" s="27" t="n"/>
      <c r="O92" s="24">
        <f>IF(B92="","",IF(M92="","TAK",IFERROR(INDEX(Ustawienia!$K$4:$K$8,MATCH(M92,Ustawienia!$J$4:$J$8,0)),"TAK")))</f>
        <v/>
      </c>
      <c r="P92" s="28">
        <f>IF(OR(B92="",D92=""),"",IFERROR(INDEX('Dane rozpisek'!$B$2:$B$2600,MATCH(S92,'Dane rozpisek'!$H$2:$H$2600,0))&amp;": "&amp;INDEX('Dane rozpisek'!$E$2:$E$2600,MATCH(S92,'Dane rozpisek'!$H$2:$H$2600,0))&amp;IF(COUNTIF('Dane rozpisek'!$H$2:$H$2600,S92)&gt;1," (+"&amp;(COUNTIF('Dane rozpisek'!$H$2:$H$2600,S92)-1)&amp;")",""),"—"))</f>
        <v/>
      </c>
      <c r="Q92" s="24">
        <f>IF(AND(B92&lt;&gt;"",D92&lt;&gt;"",OR('Historia wózka'!$B$4="",B92='Historia wózka'!$B$4),D92&gt;='Historia wózka'!$B$5,D92&lt;='Historia wózka'!$B$6),D92+ROW()/1000000,0)</f>
        <v/>
      </c>
      <c r="R92" s="24">
        <f>IF(O92="TAK",IF(D92="",0,D92)+ROW()/1000000,0)</f>
        <v/>
      </c>
      <c r="S92" s="24">
        <f>IF(OR(B92="",D92=""),"",B92&amp;"|"&amp;D92)</f>
        <v/>
      </c>
    </row>
    <row r="93">
      <c r="A93" s="24">
        <f>IF(B93="","",ROW()-4)</f>
        <v/>
      </c>
      <c r="B93" s="25" t="n"/>
      <c r="C93" s="24">
        <f>IF(B93="","",IFERROR(INDEX('Wózki'!$B$2:$B$500,MATCH(B93,'Wózki'!$A$2:$A$500,0))&amp;"",""))</f>
        <v/>
      </c>
      <c r="D93" s="26" t="n"/>
      <c r="E93" s="25" t="n"/>
      <c r="F93" s="25" t="n"/>
      <c r="G93" s="24">
        <f>IF(F93="","",IFERROR(INDEX(Pracownicy!$B$2:$B$2000,MATCH(F93,Pracownicy!$A$2:$A$2000,0))&amp;"",""))</f>
        <v/>
      </c>
      <c r="H93" s="25" t="n"/>
      <c r="I93" s="25" t="n"/>
      <c r="J93" s="25" t="n"/>
      <c r="K93" s="27" t="n"/>
      <c r="L93" s="25" t="n"/>
      <c r="M93" s="25" t="n"/>
      <c r="N93" s="27" t="n"/>
      <c r="O93" s="24">
        <f>IF(B93="","",IF(M93="","TAK",IFERROR(INDEX(Ustawienia!$K$4:$K$8,MATCH(M93,Ustawienia!$J$4:$J$8,0)),"TAK")))</f>
        <v/>
      </c>
      <c r="P93" s="28">
        <f>IF(OR(B93="",D93=""),"",IFERROR(INDEX('Dane rozpisek'!$B$2:$B$2600,MATCH(S93,'Dane rozpisek'!$H$2:$H$2600,0))&amp;": "&amp;INDEX('Dane rozpisek'!$E$2:$E$2600,MATCH(S93,'Dane rozpisek'!$H$2:$H$2600,0))&amp;IF(COUNTIF('Dane rozpisek'!$H$2:$H$2600,S93)&gt;1," (+"&amp;(COUNTIF('Dane rozpisek'!$H$2:$H$2600,S93)-1)&amp;")",""),"—"))</f>
        <v/>
      </c>
      <c r="Q93" s="24">
        <f>IF(AND(B93&lt;&gt;"",D93&lt;&gt;"",OR('Historia wózka'!$B$4="",B93='Historia wózka'!$B$4),D93&gt;='Historia wózka'!$B$5,D93&lt;='Historia wózka'!$B$6),D93+ROW()/1000000,0)</f>
        <v/>
      </c>
      <c r="R93" s="24">
        <f>IF(O93="TAK",IF(D93="",0,D93)+ROW()/1000000,0)</f>
        <v/>
      </c>
      <c r="S93" s="24">
        <f>IF(OR(B93="",D93=""),"",B93&amp;"|"&amp;D93)</f>
        <v/>
      </c>
    </row>
    <row r="94">
      <c r="A94" s="24">
        <f>IF(B94="","",ROW()-4)</f>
        <v/>
      </c>
      <c r="B94" s="25" t="n"/>
      <c r="C94" s="24">
        <f>IF(B94="","",IFERROR(INDEX('Wózki'!$B$2:$B$500,MATCH(B94,'Wózki'!$A$2:$A$500,0))&amp;"",""))</f>
        <v/>
      </c>
      <c r="D94" s="26" t="n"/>
      <c r="E94" s="25" t="n"/>
      <c r="F94" s="25" t="n"/>
      <c r="G94" s="24">
        <f>IF(F94="","",IFERROR(INDEX(Pracownicy!$B$2:$B$2000,MATCH(F94,Pracownicy!$A$2:$A$2000,0))&amp;"",""))</f>
        <v/>
      </c>
      <c r="H94" s="25" t="n"/>
      <c r="I94" s="25" t="n"/>
      <c r="J94" s="25" t="n"/>
      <c r="K94" s="27" t="n"/>
      <c r="L94" s="25" t="n"/>
      <c r="M94" s="25" t="n"/>
      <c r="N94" s="27" t="n"/>
      <c r="O94" s="24">
        <f>IF(B94="","",IF(M94="","TAK",IFERROR(INDEX(Ustawienia!$K$4:$K$8,MATCH(M94,Ustawienia!$J$4:$J$8,0)),"TAK")))</f>
        <v/>
      </c>
      <c r="P94" s="28">
        <f>IF(OR(B94="",D94=""),"",IFERROR(INDEX('Dane rozpisek'!$B$2:$B$2600,MATCH(S94,'Dane rozpisek'!$H$2:$H$2600,0))&amp;": "&amp;INDEX('Dane rozpisek'!$E$2:$E$2600,MATCH(S94,'Dane rozpisek'!$H$2:$H$2600,0))&amp;IF(COUNTIF('Dane rozpisek'!$H$2:$H$2600,S94)&gt;1," (+"&amp;(COUNTIF('Dane rozpisek'!$H$2:$H$2600,S94)-1)&amp;")",""),"—"))</f>
        <v/>
      </c>
      <c r="Q94" s="24">
        <f>IF(AND(B94&lt;&gt;"",D94&lt;&gt;"",OR('Historia wózka'!$B$4="",B94='Historia wózka'!$B$4),D94&gt;='Historia wózka'!$B$5,D94&lt;='Historia wózka'!$B$6),D94+ROW()/1000000,0)</f>
        <v/>
      </c>
      <c r="R94" s="24">
        <f>IF(O94="TAK",IF(D94="",0,D94)+ROW()/1000000,0)</f>
        <v/>
      </c>
      <c r="S94" s="24">
        <f>IF(OR(B94="",D94=""),"",B94&amp;"|"&amp;D94)</f>
        <v/>
      </c>
    </row>
    <row r="95">
      <c r="A95" s="24">
        <f>IF(B95="","",ROW()-4)</f>
        <v/>
      </c>
      <c r="B95" s="25" t="n"/>
      <c r="C95" s="24">
        <f>IF(B95="","",IFERROR(INDEX('Wózki'!$B$2:$B$500,MATCH(B95,'Wózki'!$A$2:$A$500,0))&amp;"",""))</f>
        <v/>
      </c>
      <c r="D95" s="26" t="n"/>
      <c r="E95" s="25" t="n"/>
      <c r="F95" s="25" t="n"/>
      <c r="G95" s="24">
        <f>IF(F95="","",IFERROR(INDEX(Pracownicy!$B$2:$B$2000,MATCH(F95,Pracownicy!$A$2:$A$2000,0))&amp;"",""))</f>
        <v/>
      </c>
      <c r="H95" s="25" t="n"/>
      <c r="I95" s="25" t="n"/>
      <c r="J95" s="25" t="n"/>
      <c r="K95" s="27" t="n"/>
      <c r="L95" s="25" t="n"/>
      <c r="M95" s="25" t="n"/>
      <c r="N95" s="27" t="n"/>
      <c r="O95" s="24">
        <f>IF(B95="","",IF(M95="","TAK",IFERROR(INDEX(Ustawienia!$K$4:$K$8,MATCH(M95,Ustawienia!$J$4:$J$8,0)),"TAK")))</f>
        <v/>
      </c>
      <c r="P95" s="28">
        <f>IF(OR(B95="",D95=""),"",IFERROR(INDEX('Dane rozpisek'!$B$2:$B$2600,MATCH(S95,'Dane rozpisek'!$H$2:$H$2600,0))&amp;": "&amp;INDEX('Dane rozpisek'!$E$2:$E$2600,MATCH(S95,'Dane rozpisek'!$H$2:$H$2600,0))&amp;IF(COUNTIF('Dane rozpisek'!$H$2:$H$2600,S95)&gt;1," (+"&amp;(COUNTIF('Dane rozpisek'!$H$2:$H$2600,S95)-1)&amp;")",""),"—"))</f>
        <v/>
      </c>
      <c r="Q95" s="24">
        <f>IF(AND(B95&lt;&gt;"",D95&lt;&gt;"",OR('Historia wózka'!$B$4="",B95='Historia wózka'!$B$4),D95&gt;='Historia wózka'!$B$5,D95&lt;='Historia wózka'!$B$6),D95+ROW()/1000000,0)</f>
        <v/>
      </c>
      <c r="R95" s="24">
        <f>IF(O95="TAK",IF(D95="",0,D95)+ROW()/1000000,0)</f>
        <v/>
      </c>
      <c r="S95" s="24">
        <f>IF(OR(B95="",D95=""),"",B95&amp;"|"&amp;D95)</f>
        <v/>
      </c>
    </row>
    <row r="96">
      <c r="A96" s="24">
        <f>IF(B96="","",ROW()-4)</f>
        <v/>
      </c>
      <c r="B96" s="25" t="n"/>
      <c r="C96" s="24">
        <f>IF(B96="","",IFERROR(INDEX('Wózki'!$B$2:$B$500,MATCH(B96,'Wózki'!$A$2:$A$500,0))&amp;"",""))</f>
        <v/>
      </c>
      <c r="D96" s="26" t="n"/>
      <c r="E96" s="25" t="n"/>
      <c r="F96" s="25" t="n"/>
      <c r="G96" s="24">
        <f>IF(F96="","",IFERROR(INDEX(Pracownicy!$B$2:$B$2000,MATCH(F96,Pracownicy!$A$2:$A$2000,0))&amp;"",""))</f>
        <v/>
      </c>
      <c r="H96" s="25" t="n"/>
      <c r="I96" s="25" t="n"/>
      <c r="J96" s="25" t="n"/>
      <c r="K96" s="27" t="n"/>
      <c r="L96" s="25" t="n"/>
      <c r="M96" s="25" t="n"/>
      <c r="N96" s="27" t="n"/>
      <c r="O96" s="24">
        <f>IF(B96="","",IF(M96="","TAK",IFERROR(INDEX(Ustawienia!$K$4:$K$8,MATCH(M96,Ustawienia!$J$4:$J$8,0)),"TAK")))</f>
        <v/>
      </c>
      <c r="P96" s="28">
        <f>IF(OR(B96="",D96=""),"",IFERROR(INDEX('Dane rozpisek'!$B$2:$B$2600,MATCH(S96,'Dane rozpisek'!$H$2:$H$2600,0))&amp;": "&amp;INDEX('Dane rozpisek'!$E$2:$E$2600,MATCH(S96,'Dane rozpisek'!$H$2:$H$2600,0))&amp;IF(COUNTIF('Dane rozpisek'!$H$2:$H$2600,S96)&gt;1," (+"&amp;(COUNTIF('Dane rozpisek'!$H$2:$H$2600,S96)-1)&amp;")",""),"—"))</f>
        <v/>
      </c>
      <c r="Q96" s="24">
        <f>IF(AND(B96&lt;&gt;"",D96&lt;&gt;"",OR('Historia wózka'!$B$4="",B96='Historia wózka'!$B$4),D96&gt;='Historia wózka'!$B$5,D96&lt;='Historia wózka'!$B$6),D96+ROW()/1000000,0)</f>
        <v/>
      </c>
      <c r="R96" s="24">
        <f>IF(O96="TAK",IF(D96="",0,D96)+ROW()/1000000,0)</f>
        <v/>
      </c>
      <c r="S96" s="24">
        <f>IF(OR(B96="",D96=""),"",B96&amp;"|"&amp;D96)</f>
        <v/>
      </c>
    </row>
    <row r="97">
      <c r="A97" s="24">
        <f>IF(B97="","",ROW()-4)</f>
        <v/>
      </c>
      <c r="B97" s="25" t="n"/>
      <c r="C97" s="24">
        <f>IF(B97="","",IFERROR(INDEX('Wózki'!$B$2:$B$500,MATCH(B97,'Wózki'!$A$2:$A$500,0))&amp;"",""))</f>
        <v/>
      </c>
      <c r="D97" s="26" t="n"/>
      <c r="E97" s="25" t="n"/>
      <c r="F97" s="25" t="n"/>
      <c r="G97" s="24">
        <f>IF(F97="","",IFERROR(INDEX(Pracownicy!$B$2:$B$2000,MATCH(F97,Pracownicy!$A$2:$A$2000,0))&amp;"",""))</f>
        <v/>
      </c>
      <c r="H97" s="25" t="n"/>
      <c r="I97" s="25" t="n"/>
      <c r="J97" s="25" t="n"/>
      <c r="K97" s="27" t="n"/>
      <c r="L97" s="25" t="n"/>
      <c r="M97" s="25" t="n"/>
      <c r="N97" s="27" t="n"/>
      <c r="O97" s="24">
        <f>IF(B97="","",IF(M97="","TAK",IFERROR(INDEX(Ustawienia!$K$4:$K$8,MATCH(M97,Ustawienia!$J$4:$J$8,0)),"TAK")))</f>
        <v/>
      </c>
      <c r="P97" s="28">
        <f>IF(OR(B97="",D97=""),"",IFERROR(INDEX('Dane rozpisek'!$B$2:$B$2600,MATCH(S97,'Dane rozpisek'!$H$2:$H$2600,0))&amp;": "&amp;INDEX('Dane rozpisek'!$E$2:$E$2600,MATCH(S97,'Dane rozpisek'!$H$2:$H$2600,0))&amp;IF(COUNTIF('Dane rozpisek'!$H$2:$H$2600,S97)&gt;1," (+"&amp;(COUNTIF('Dane rozpisek'!$H$2:$H$2600,S97)-1)&amp;")",""),"—"))</f>
        <v/>
      </c>
      <c r="Q97" s="24">
        <f>IF(AND(B97&lt;&gt;"",D97&lt;&gt;"",OR('Historia wózka'!$B$4="",B97='Historia wózka'!$B$4),D97&gt;='Historia wózka'!$B$5,D97&lt;='Historia wózka'!$B$6),D97+ROW()/1000000,0)</f>
        <v/>
      </c>
      <c r="R97" s="24">
        <f>IF(O97="TAK",IF(D97="",0,D97)+ROW()/1000000,0)</f>
        <v/>
      </c>
      <c r="S97" s="24">
        <f>IF(OR(B97="",D97=""),"",B97&amp;"|"&amp;D97)</f>
        <v/>
      </c>
    </row>
    <row r="98">
      <c r="A98" s="24">
        <f>IF(B98="","",ROW()-4)</f>
        <v/>
      </c>
      <c r="B98" s="25" t="n"/>
      <c r="C98" s="24">
        <f>IF(B98="","",IFERROR(INDEX('Wózki'!$B$2:$B$500,MATCH(B98,'Wózki'!$A$2:$A$500,0))&amp;"",""))</f>
        <v/>
      </c>
      <c r="D98" s="26" t="n"/>
      <c r="E98" s="25" t="n"/>
      <c r="F98" s="25" t="n"/>
      <c r="G98" s="24">
        <f>IF(F98="","",IFERROR(INDEX(Pracownicy!$B$2:$B$2000,MATCH(F98,Pracownicy!$A$2:$A$2000,0))&amp;"",""))</f>
        <v/>
      </c>
      <c r="H98" s="25" t="n"/>
      <c r="I98" s="25" t="n"/>
      <c r="J98" s="25" t="n"/>
      <c r="K98" s="27" t="n"/>
      <c r="L98" s="25" t="n"/>
      <c r="M98" s="25" t="n"/>
      <c r="N98" s="27" t="n"/>
      <c r="O98" s="24">
        <f>IF(B98="","",IF(M98="","TAK",IFERROR(INDEX(Ustawienia!$K$4:$K$8,MATCH(M98,Ustawienia!$J$4:$J$8,0)),"TAK")))</f>
        <v/>
      </c>
      <c r="P98" s="28">
        <f>IF(OR(B98="",D98=""),"",IFERROR(INDEX('Dane rozpisek'!$B$2:$B$2600,MATCH(S98,'Dane rozpisek'!$H$2:$H$2600,0))&amp;": "&amp;INDEX('Dane rozpisek'!$E$2:$E$2600,MATCH(S98,'Dane rozpisek'!$H$2:$H$2600,0))&amp;IF(COUNTIF('Dane rozpisek'!$H$2:$H$2600,S98)&gt;1," (+"&amp;(COUNTIF('Dane rozpisek'!$H$2:$H$2600,S98)-1)&amp;")",""),"—"))</f>
        <v/>
      </c>
      <c r="Q98" s="24">
        <f>IF(AND(B98&lt;&gt;"",D98&lt;&gt;"",OR('Historia wózka'!$B$4="",B98='Historia wózka'!$B$4),D98&gt;='Historia wózka'!$B$5,D98&lt;='Historia wózka'!$B$6),D98+ROW()/1000000,0)</f>
        <v/>
      </c>
      <c r="R98" s="24">
        <f>IF(O98="TAK",IF(D98="",0,D98)+ROW()/1000000,0)</f>
        <v/>
      </c>
      <c r="S98" s="24">
        <f>IF(OR(B98="",D98=""),"",B98&amp;"|"&amp;D98)</f>
        <v/>
      </c>
    </row>
    <row r="99">
      <c r="A99" s="24">
        <f>IF(B99="","",ROW()-4)</f>
        <v/>
      </c>
      <c r="B99" s="25" t="n"/>
      <c r="C99" s="24">
        <f>IF(B99="","",IFERROR(INDEX('Wózki'!$B$2:$B$500,MATCH(B99,'Wózki'!$A$2:$A$500,0))&amp;"",""))</f>
        <v/>
      </c>
      <c r="D99" s="26" t="n"/>
      <c r="E99" s="25" t="n"/>
      <c r="F99" s="25" t="n"/>
      <c r="G99" s="24">
        <f>IF(F99="","",IFERROR(INDEX(Pracownicy!$B$2:$B$2000,MATCH(F99,Pracownicy!$A$2:$A$2000,0))&amp;"",""))</f>
        <v/>
      </c>
      <c r="H99" s="25" t="n"/>
      <c r="I99" s="25" t="n"/>
      <c r="J99" s="25" t="n"/>
      <c r="K99" s="27" t="n"/>
      <c r="L99" s="25" t="n"/>
      <c r="M99" s="25" t="n"/>
      <c r="N99" s="27" t="n"/>
      <c r="O99" s="24">
        <f>IF(B99="","",IF(M99="","TAK",IFERROR(INDEX(Ustawienia!$K$4:$K$8,MATCH(M99,Ustawienia!$J$4:$J$8,0)),"TAK")))</f>
        <v/>
      </c>
      <c r="P99" s="28">
        <f>IF(OR(B99="",D99=""),"",IFERROR(INDEX('Dane rozpisek'!$B$2:$B$2600,MATCH(S99,'Dane rozpisek'!$H$2:$H$2600,0))&amp;": "&amp;INDEX('Dane rozpisek'!$E$2:$E$2600,MATCH(S99,'Dane rozpisek'!$H$2:$H$2600,0))&amp;IF(COUNTIF('Dane rozpisek'!$H$2:$H$2600,S99)&gt;1," (+"&amp;(COUNTIF('Dane rozpisek'!$H$2:$H$2600,S99)-1)&amp;")",""),"—"))</f>
        <v/>
      </c>
      <c r="Q99" s="24">
        <f>IF(AND(B99&lt;&gt;"",D99&lt;&gt;"",OR('Historia wózka'!$B$4="",B99='Historia wózka'!$B$4),D99&gt;='Historia wózka'!$B$5,D99&lt;='Historia wózka'!$B$6),D99+ROW()/1000000,0)</f>
        <v/>
      </c>
      <c r="R99" s="24">
        <f>IF(O99="TAK",IF(D99="",0,D99)+ROW()/1000000,0)</f>
        <v/>
      </c>
      <c r="S99" s="24">
        <f>IF(OR(B99="",D99=""),"",B99&amp;"|"&amp;D99)</f>
        <v/>
      </c>
    </row>
    <row r="100">
      <c r="A100" s="24">
        <f>IF(B100="","",ROW()-4)</f>
        <v/>
      </c>
      <c r="B100" s="25" t="n"/>
      <c r="C100" s="24">
        <f>IF(B100="","",IFERROR(INDEX('Wózki'!$B$2:$B$500,MATCH(B100,'Wózki'!$A$2:$A$500,0))&amp;"",""))</f>
        <v/>
      </c>
      <c r="D100" s="26" t="n"/>
      <c r="E100" s="25" t="n"/>
      <c r="F100" s="25" t="n"/>
      <c r="G100" s="24">
        <f>IF(F100="","",IFERROR(INDEX(Pracownicy!$B$2:$B$2000,MATCH(F100,Pracownicy!$A$2:$A$2000,0))&amp;"",""))</f>
        <v/>
      </c>
      <c r="H100" s="25" t="n"/>
      <c r="I100" s="25" t="n"/>
      <c r="J100" s="25" t="n"/>
      <c r="K100" s="27" t="n"/>
      <c r="L100" s="25" t="n"/>
      <c r="M100" s="25" t="n"/>
      <c r="N100" s="27" t="n"/>
      <c r="O100" s="24">
        <f>IF(B100="","",IF(M100="","TAK",IFERROR(INDEX(Ustawienia!$K$4:$K$8,MATCH(M100,Ustawienia!$J$4:$J$8,0)),"TAK")))</f>
        <v/>
      </c>
      <c r="P100" s="28">
        <f>IF(OR(B100="",D100=""),"",IFERROR(INDEX('Dane rozpisek'!$B$2:$B$2600,MATCH(S100,'Dane rozpisek'!$H$2:$H$2600,0))&amp;": "&amp;INDEX('Dane rozpisek'!$E$2:$E$2600,MATCH(S100,'Dane rozpisek'!$H$2:$H$2600,0))&amp;IF(COUNTIF('Dane rozpisek'!$H$2:$H$2600,S100)&gt;1," (+"&amp;(COUNTIF('Dane rozpisek'!$H$2:$H$2600,S100)-1)&amp;")",""),"—"))</f>
        <v/>
      </c>
      <c r="Q100" s="24">
        <f>IF(AND(B100&lt;&gt;"",D100&lt;&gt;"",OR('Historia wózka'!$B$4="",B100='Historia wózka'!$B$4),D100&gt;='Historia wózka'!$B$5,D100&lt;='Historia wózka'!$B$6),D100+ROW()/1000000,0)</f>
        <v/>
      </c>
      <c r="R100" s="24">
        <f>IF(O100="TAK",IF(D100="",0,D100)+ROW()/1000000,0)</f>
        <v/>
      </c>
      <c r="S100" s="24">
        <f>IF(OR(B100="",D100=""),"",B100&amp;"|"&amp;D100)</f>
        <v/>
      </c>
    </row>
    <row r="101">
      <c r="A101" s="24">
        <f>IF(B101="","",ROW()-4)</f>
        <v/>
      </c>
      <c r="B101" s="25" t="n"/>
      <c r="C101" s="24">
        <f>IF(B101="","",IFERROR(INDEX('Wózki'!$B$2:$B$500,MATCH(B101,'Wózki'!$A$2:$A$500,0))&amp;"",""))</f>
        <v/>
      </c>
      <c r="D101" s="26" t="n"/>
      <c r="E101" s="25" t="n"/>
      <c r="F101" s="25" t="n"/>
      <c r="G101" s="24">
        <f>IF(F101="","",IFERROR(INDEX(Pracownicy!$B$2:$B$2000,MATCH(F101,Pracownicy!$A$2:$A$2000,0))&amp;"",""))</f>
        <v/>
      </c>
      <c r="H101" s="25" t="n"/>
      <c r="I101" s="25" t="n"/>
      <c r="J101" s="25" t="n"/>
      <c r="K101" s="27" t="n"/>
      <c r="L101" s="25" t="n"/>
      <c r="M101" s="25" t="n"/>
      <c r="N101" s="27" t="n"/>
      <c r="O101" s="24">
        <f>IF(B101="","",IF(M101="","TAK",IFERROR(INDEX(Ustawienia!$K$4:$K$8,MATCH(M101,Ustawienia!$J$4:$J$8,0)),"TAK")))</f>
        <v/>
      </c>
      <c r="P101" s="28">
        <f>IF(OR(B101="",D101=""),"",IFERROR(INDEX('Dane rozpisek'!$B$2:$B$2600,MATCH(S101,'Dane rozpisek'!$H$2:$H$2600,0))&amp;": "&amp;INDEX('Dane rozpisek'!$E$2:$E$2600,MATCH(S101,'Dane rozpisek'!$H$2:$H$2600,0))&amp;IF(COUNTIF('Dane rozpisek'!$H$2:$H$2600,S101)&gt;1," (+"&amp;(COUNTIF('Dane rozpisek'!$H$2:$H$2600,S101)-1)&amp;")",""),"—"))</f>
        <v/>
      </c>
      <c r="Q101" s="24">
        <f>IF(AND(B101&lt;&gt;"",D101&lt;&gt;"",OR('Historia wózka'!$B$4="",B101='Historia wózka'!$B$4),D101&gt;='Historia wózka'!$B$5,D101&lt;='Historia wózka'!$B$6),D101+ROW()/1000000,0)</f>
        <v/>
      </c>
      <c r="R101" s="24">
        <f>IF(O101="TAK",IF(D101="",0,D101)+ROW()/1000000,0)</f>
        <v/>
      </c>
      <c r="S101" s="24">
        <f>IF(OR(B101="",D101=""),"",B101&amp;"|"&amp;D101)</f>
        <v/>
      </c>
    </row>
    <row r="102">
      <c r="A102" s="24">
        <f>IF(B102="","",ROW()-4)</f>
        <v/>
      </c>
      <c r="B102" s="25" t="n"/>
      <c r="C102" s="24">
        <f>IF(B102="","",IFERROR(INDEX('Wózki'!$B$2:$B$500,MATCH(B102,'Wózki'!$A$2:$A$500,0))&amp;"",""))</f>
        <v/>
      </c>
      <c r="D102" s="26" t="n"/>
      <c r="E102" s="25" t="n"/>
      <c r="F102" s="25" t="n"/>
      <c r="G102" s="24">
        <f>IF(F102="","",IFERROR(INDEX(Pracownicy!$B$2:$B$2000,MATCH(F102,Pracownicy!$A$2:$A$2000,0))&amp;"",""))</f>
        <v/>
      </c>
      <c r="H102" s="25" t="n"/>
      <c r="I102" s="25" t="n"/>
      <c r="J102" s="25" t="n"/>
      <c r="K102" s="27" t="n"/>
      <c r="L102" s="25" t="n"/>
      <c r="M102" s="25" t="n"/>
      <c r="N102" s="27" t="n"/>
      <c r="O102" s="24">
        <f>IF(B102="","",IF(M102="","TAK",IFERROR(INDEX(Ustawienia!$K$4:$K$8,MATCH(M102,Ustawienia!$J$4:$J$8,0)),"TAK")))</f>
        <v/>
      </c>
      <c r="P102" s="28">
        <f>IF(OR(B102="",D102=""),"",IFERROR(INDEX('Dane rozpisek'!$B$2:$B$2600,MATCH(S102,'Dane rozpisek'!$H$2:$H$2600,0))&amp;": "&amp;INDEX('Dane rozpisek'!$E$2:$E$2600,MATCH(S102,'Dane rozpisek'!$H$2:$H$2600,0))&amp;IF(COUNTIF('Dane rozpisek'!$H$2:$H$2600,S102)&gt;1," (+"&amp;(COUNTIF('Dane rozpisek'!$H$2:$H$2600,S102)-1)&amp;")",""),"—"))</f>
        <v/>
      </c>
      <c r="Q102" s="24">
        <f>IF(AND(B102&lt;&gt;"",D102&lt;&gt;"",OR('Historia wózka'!$B$4="",B102='Historia wózka'!$B$4),D102&gt;='Historia wózka'!$B$5,D102&lt;='Historia wózka'!$B$6),D102+ROW()/1000000,0)</f>
        <v/>
      </c>
      <c r="R102" s="24">
        <f>IF(O102="TAK",IF(D102="",0,D102)+ROW()/1000000,0)</f>
        <v/>
      </c>
      <c r="S102" s="24">
        <f>IF(OR(B102="",D102=""),"",B102&amp;"|"&amp;D102)</f>
        <v/>
      </c>
    </row>
    <row r="103">
      <c r="A103" s="24">
        <f>IF(B103="","",ROW()-4)</f>
        <v/>
      </c>
      <c r="B103" s="25" t="n"/>
      <c r="C103" s="24">
        <f>IF(B103="","",IFERROR(INDEX('Wózki'!$B$2:$B$500,MATCH(B103,'Wózki'!$A$2:$A$500,0))&amp;"",""))</f>
        <v/>
      </c>
      <c r="D103" s="26" t="n"/>
      <c r="E103" s="25" t="n"/>
      <c r="F103" s="25" t="n"/>
      <c r="G103" s="24">
        <f>IF(F103="","",IFERROR(INDEX(Pracownicy!$B$2:$B$2000,MATCH(F103,Pracownicy!$A$2:$A$2000,0))&amp;"",""))</f>
        <v/>
      </c>
      <c r="H103" s="25" t="n"/>
      <c r="I103" s="25" t="n"/>
      <c r="J103" s="25" t="n"/>
      <c r="K103" s="27" t="n"/>
      <c r="L103" s="25" t="n"/>
      <c r="M103" s="25" t="n"/>
      <c r="N103" s="27" t="n"/>
      <c r="O103" s="24">
        <f>IF(B103="","",IF(M103="","TAK",IFERROR(INDEX(Ustawienia!$K$4:$K$8,MATCH(M103,Ustawienia!$J$4:$J$8,0)),"TAK")))</f>
        <v/>
      </c>
      <c r="P103" s="28">
        <f>IF(OR(B103="",D103=""),"",IFERROR(INDEX('Dane rozpisek'!$B$2:$B$2600,MATCH(S103,'Dane rozpisek'!$H$2:$H$2600,0))&amp;": "&amp;INDEX('Dane rozpisek'!$E$2:$E$2600,MATCH(S103,'Dane rozpisek'!$H$2:$H$2600,0))&amp;IF(COUNTIF('Dane rozpisek'!$H$2:$H$2600,S103)&gt;1," (+"&amp;(COUNTIF('Dane rozpisek'!$H$2:$H$2600,S103)-1)&amp;")",""),"—"))</f>
        <v/>
      </c>
      <c r="Q103" s="24">
        <f>IF(AND(B103&lt;&gt;"",D103&lt;&gt;"",OR('Historia wózka'!$B$4="",B103='Historia wózka'!$B$4),D103&gt;='Historia wózka'!$B$5,D103&lt;='Historia wózka'!$B$6),D103+ROW()/1000000,0)</f>
        <v/>
      </c>
      <c r="R103" s="24">
        <f>IF(O103="TAK",IF(D103="",0,D103)+ROW()/1000000,0)</f>
        <v/>
      </c>
      <c r="S103" s="24">
        <f>IF(OR(B103="",D103=""),"",B103&amp;"|"&amp;D103)</f>
        <v/>
      </c>
    </row>
    <row r="104">
      <c r="A104" s="24">
        <f>IF(B104="","",ROW()-4)</f>
        <v/>
      </c>
      <c r="B104" s="25" t="n"/>
      <c r="C104" s="24">
        <f>IF(B104="","",IFERROR(INDEX('Wózki'!$B$2:$B$500,MATCH(B104,'Wózki'!$A$2:$A$500,0))&amp;"",""))</f>
        <v/>
      </c>
      <c r="D104" s="26" t="n"/>
      <c r="E104" s="25" t="n"/>
      <c r="F104" s="25" t="n"/>
      <c r="G104" s="24">
        <f>IF(F104="","",IFERROR(INDEX(Pracownicy!$B$2:$B$2000,MATCH(F104,Pracownicy!$A$2:$A$2000,0))&amp;"",""))</f>
        <v/>
      </c>
      <c r="H104" s="25" t="n"/>
      <c r="I104" s="25" t="n"/>
      <c r="J104" s="25" t="n"/>
      <c r="K104" s="27" t="n"/>
      <c r="L104" s="25" t="n"/>
      <c r="M104" s="25" t="n"/>
      <c r="N104" s="27" t="n"/>
      <c r="O104" s="24">
        <f>IF(B104="","",IF(M104="","TAK",IFERROR(INDEX(Ustawienia!$K$4:$K$8,MATCH(M104,Ustawienia!$J$4:$J$8,0)),"TAK")))</f>
        <v/>
      </c>
      <c r="P104" s="28">
        <f>IF(OR(B104="",D104=""),"",IFERROR(INDEX('Dane rozpisek'!$B$2:$B$2600,MATCH(S104,'Dane rozpisek'!$H$2:$H$2600,0))&amp;": "&amp;INDEX('Dane rozpisek'!$E$2:$E$2600,MATCH(S104,'Dane rozpisek'!$H$2:$H$2600,0))&amp;IF(COUNTIF('Dane rozpisek'!$H$2:$H$2600,S104)&gt;1," (+"&amp;(COUNTIF('Dane rozpisek'!$H$2:$H$2600,S104)-1)&amp;")",""),"—"))</f>
        <v/>
      </c>
      <c r="Q104" s="24">
        <f>IF(AND(B104&lt;&gt;"",D104&lt;&gt;"",OR('Historia wózka'!$B$4="",B104='Historia wózka'!$B$4),D104&gt;='Historia wózka'!$B$5,D104&lt;='Historia wózka'!$B$6),D104+ROW()/1000000,0)</f>
        <v/>
      </c>
      <c r="R104" s="24">
        <f>IF(O104="TAK",IF(D104="",0,D104)+ROW()/1000000,0)</f>
        <v/>
      </c>
      <c r="S104" s="24">
        <f>IF(OR(B104="",D104=""),"",B104&amp;"|"&amp;D104)</f>
        <v/>
      </c>
    </row>
    <row r="105">
      <c r="A105" s="24">
        <f>IF(B105="","",ROW()-4)</f>
        <v/>
      </c>
      <c r="B105" s="25" t="n"/>
      <c r="C105" s="24">
        <f>IF(B105="","",IFERROR(INDEX('Wózki'!$B$2:$B$500,MATCH(B105,'Wózki'!$A$2:$A$500,0))&amp;"",""))</f>
        <v/>
      </c>
      <c r="D105" s="26" t="n"/>
      <c r="E105" s="25" t="n"/>
      <c r="F105" s="25" t="n"/>
      <c r="G105" s="24">
        <f>IF(F105="","",IFERROR(INDEX(Pracownicy!$B$2:$B$2000,MATCH(F105,Pracownicy!$A$2:$A$2000,0))&amp;"",""))</f>
        <v/>
      </c>
      <c r="H105" s="25" t="n"/>
      <c r="I105" s="25" t="n"/>
      <c r="J105" s="25" t="n"/>
      <c r="K105" s="27" t="n"/>
      <c r="L105" s="25" t="n"/>
      <c r="M105" s="25" t="n"/>
      <c r="N105" s="27" t="n"/>
      <c r="O105" s="24">
        <f>IF(B105="","",IF(M105="","TAK",IFERROR(INDEX(Ustawienia!$K$4:$K$8,MATCH(M105,Ustawienia!$J$4:$J$8,0)),"TAK")))</f>
        <v/>
      </c>
      <c r="P105" s="28">
        <f>IF(OR(B105="",D105=""),"",IFERROR(INDEX('Dane rozpisek'!$B$2:$B$2600,MATCH(S105,'Dane rozpisek'!$H$2:$H$2600,0))&amp;": "&amp;INDEX('Dane rozpisek'!$E$2:$E$2600,MATCH(S105,'Dane rozpisek'!$H$2:$H$2600,0))&amp;IF(COUNTIF('Dane rozpisek'!$H$2:$H$2600,S105)&gt;1," (+"&amp;(COUNTIF('Dane rozpisek'!$H$2:$H$2600,S105)-1)&amp;")",""),"—"))</f>
        <v/>
      </c>
      <c r="Q105" s="24">
        <f>IF(AND(B105&lt;&gt;"",D105&lt;&gt;"",OR('Historia wózka'!$B$4="",B105='Historia wózka'!$B$4),D105&gt;='Historia wózka'!$B$5,D105&lt;='Historia wózka'!$B$6),D105+ROW()/1000000,0)</f>
        <v/>
      </c>
      <c r="R105" s="24">
        <f>IF(O105="TAK",IF(D105="",0,D105)+ROW()/1000000,0)</f>
        <v/>
      </c>
      <c r="S105" s="24">
        <f>IF(OR(B105="",D105=""),"",B105&amp;"|"&amp;D105)</f>
        <v/>
      </c>
    </row>
    <row r="106">
      <c r="A106" s="24">
        <f>IF(B106="","",ROW()-4)</f>
        <v/>
      </c>
      <c r="B106" s="25" t="n"/>
      <c r="C106" s="24">
        <f>IF(B106="","",IFERROR(INDEX('Wózki'!$B$2:$B$500,MATCH(B106,'Wózki'!$A$2:$A$500,0))&amp;"",""))</f>
        <v/>
      </c>
      <c r="D106" s="26" t="n"/>
      <c r="E106" s="25" t="n"/>
      <c r="F106" s="25" t="n"/>
      <c r="G106" s="24">
        <f>IF(F106="","",IFERROR(INDEX(Pracownicy!$B$2:$B$2000,MATCH(F106,Pracownicy!$A$2:$A$2000,0))&amp;"",""))</f>
        <v/>
      </c>
      <c r="H106" s="25" t="n"/>
      <c r="I106" s="25" t="n"/>
      <c r="J106" s="25" t="n"/>
      <c r="K106" s="27" t="n"/>
      <c r="L106" s="25" t="n"/>
      <c r="M106" s="25" t="n"/>
      <c r="N106" s="27" t="n"/>
      <c r="O106" s="24">
        <f>IF(B106="","",IF(M106="","TAK",IFERROR(INDEX(Ustawienia!$K$4:$K$8,MATCH(M106,Ustawienia!$J$4:$J$8,0)),"TAK")))</f>
        <v/>
      </c>
      <c r="P106" s="28">
        <f>IF(OR(B106="",D106=""),"",IFERROR(INDEX('Dane rozpisek'!$B$2:$B$2600,MATCH(S106,'Dane rozpisek'!$H$2:$H$2600,0))&amp;": "&amp;INDEX('Dane rozpisek'!$E$2:$E$2600,MATCH(S106,'Dane rozpisek'!$H$2:$H$2600,0))&amp;IF(COUNTIF('Dane rozpisek'!$H$2:$H$2600,S106)&gt;1," (+"&amp;(COUNTIF('Dane rozpisek'!$H$2:$H$2600,S106)-1)&amp;")",""),"—"))</f>
        <v/>
      </c>
      <c r="Q106" s="24">
        <f>IF(AND(B106&lt;&gt;"",D106&lt;&gt;"",OR('Historia wózka'!$B$4="",B106='Historia wózka'!$B$4),D106&gt;='Historia wózka'!$B$5,D106&lt;='Historia wózka'!$B$6),D106+ROW()/1000000,0)</f>
        <v/>
      </c>
      <c r="R106" s="24">
        <f>IF(O106="TAK",IF(D106="",0,D106)+ROW()/1000000,0)</f>
        <v/>
      </c>
      <c r="S106" s="24">
        <f>IF(OR(B106="",D106=""),"",B106&amp;"|"&amp;D106)</f>
        <v/>
      </c>
    </row>
    <row r="107">
      <c r="A107" s="24">
        <f>IF(B107="","",ROW()-4)</f>
        <v/>
      </c>
      <c r="B107" s="25" t="n"/>
      <c r="C107" s="24">
        <f>IF(B107="","",IFERROR(INDEX('Wózki'!$B$2:$B$500,MATCH(B107,'Wózki'!$A$2:$A$500,0))&amp;"",""))</f>
        <v/>
      </c>
      <c r="D107" s="26" t="n"/>
      <c r="E107" s="25" t="n"/>
      <c r="F107" s="25" t="n"/>
      <c r="G107" s="24">
        <f>IF(F107="","",IFERROR(INDEX(Pracownicy!$B$2:$B$2000,MATCH(F107,Pracownicy!$A$2:$A$2000,0))&amp;"",""))</f>
        <v/>
      </c>
      <c r="H107" s="25" t="n"/>
      <c r="I107" s="25" t="n"/>
      <c r="J107" s="25" t="n"/>
      <c r="K107" s="27" t="n"/>
      <c r="L107" s="25" t="n"/>
      <c r="M107" s="25" t="n"/>
      <c r="N107" s="27" t="n"/>
      <c r="O107" s="24">
        <f>IF(B107="","",IF(M107="","TAK",IFERROR(INDEX(Ustawienia!$K$4:$K$8,MATCH(M107,Ustawienia!$J$4:$J$8,0)),"TAK")))</f>
        <v/>
      </c>
      <c r="P107" s="28">
        <f>IF(OR(B107="",D107=""),"",IFERROR(INDEX('Dane rozpisek'!$B$2:$B$2600,MATCH(S107,'Dane rozpisek'!$H$2:$H$2600,0))&amp;": "&amp;INDEX('Dane rozpisek'!$E$2:$E$2600,MATCH(S107,'Dane rozpisek'!$H$2:$H$2600,0))&amp;IF(COUNTIF('Dane rozpisek'!$H$2:$H$2600,S107)&gt;1," (+"&amp;(COUNTIF('Dane rozpisek'!$H$2:$H$2600,S107)-1)&amp;")",""),"—"))</f>
        <v/>
      </c>
      <c r="Q107" s="24">
        <f>IF(AND(B107&lt;&gt;"",D107&lt;&gt;"",OR('Historia wózka'!$B$4="",B107='Historia wózka'!$B$4),D107&gt;='Historia wózka'!$B$5,D107&lt;='Historia wózka'!$B$6),D107+ROW()/1000000,0)</f>
        <v/>
      </c>
      <c r="R107" s="24">
        <f>IF(O107="TAK",IF(D107="",0,D107)+ROW()/1000000,0)</f>
        <v/>
      </c>
      <c r="S107" s="24">
        <f>IF(OR(B107="",D107=""),"",B107&amp;"|"&amp;D107)</f>
        <v/>
      </c>
    </row>
    <row r="108">
      <c r="A108" s="24">
        <f>IF(B108="","",ROW()-4)</f>
        <v/>
      </c>
      <c r="B108" s="25" t="n"/>
      <c r="C108" s="24">
        <f>IF(B108="","",IFERROR(INDEX('Wózki'!$B$2:$B$500,MATCH(B108,'Wózki'!$A$2:$A$500,0))&amp;"",""))</f>
        <v/>
      </c>
      <c r="D108" s="26" t="n"/>
      <c r="E108" s="25" t="n"/>
      <c r="F108" s="25" t="n"/>
      <c r="G108" s="24">
        <f>IF(F108="","",IFERROR(INDEX(Pracownicy!$B$2:$B$2000,MATCH(F108,Pracownicy!$A$2:$A$2000,0))&amp;"",""))</f>
        <v/>
      </c>
      <c r="H108" s="25" t="n"/>
      <c r="I108" s="25" t="n"/>
      <c r="J108" s="25" t="n"/>
      <c r="K108" s="27" t="n"/>
      <c r="L108" s="25" t="n"/>
      <c r="M108" s="25" t="n"/>
      <c r="N108" s="27" t="n"/>
      <c r="O108" s="24">
        <f>IF(B108="","",IF(M108="","TAK",IFERROR(INDEX(Ustawienia!$K$4:$K$8,MATCH(M108,Ustawienia!$J$4:$J$8,0)),"TAK")))</f>
        <v/>
      </c>
      <c r="P108" s="28">
        <f>IF(OR(B108="",D108=""),"",IFERROR(INDEX('Dane rozpisek'!$B$2:$B$2600,MATCH(S108,'Dane rozpisek'!$H$2:$H$2600,0))&amp;": "&amp;INDEX('Dane rozpisek'!$E$2:$E$2600,MATCH(S108,'Dane rozpisek'!$H$2:$H$2600,0))&amp;IF(COUNTIF('Dane rozpisek'!$H$2:$H$2600,S108)&gt;1," (+"&amp;(COUNTIF('Dane rozpisek'!$H$2:$H$2600,S108)-1)&amp;")",""),"—"))</f>
        <v/>
      </c>
      <c r="Q108" s="24">
        <f>IF(AND(B108&lt;&gt;"",D108&lt;&gt;"",OR('Historia wózka'!$B$4="",B108='Historia wózka'!$B$4),D108&gt;='Historia wózka'!$B$5,D108&lt;='Historia wózka'!$B$6),D108+ROW()/1000000,0)</f>
        <v/>
      </c>
      <c r="R108" s="24">
        <f>IF(O108="TAK",IF(D108="",0,D108)+ROW()/1000000,0)</f>
        <v/>
      </c>
      <c r="S108" s="24">
        <f>IF(OR(B108="",D108=""),"",B108&amp;"|"&amp;D108)</f>
        <v/>
      </c>
    </row>
    <row r="109">
      <c r="A109" s="24">
        <f>IF(B109="","",ROW()-4)</f>
        <v/>
      </c>
      <c r="B109" s="25" t="n"/>
      <c r="C109" s="24">
        <f>IF(B109="","",IFERROR(INDEX('Wózki'!$B$2:$B$500,MATCH(B109,'Wózki'!$A$2:$A$500,0))&amp;"",""))</f>
        <v/>
      </c>
      <c r="D109" s="26" t="n"/>
      <c r="E109" s="25" t="n"/>
      <c r="F109" s="25" t="n"/>
      <c r="G109" s="24">
        <f>IF(F109="","",IFERROR(INDEX(Pracownicy!$B$2:$B$2000,MATCH(F109,Pracownicy!$A$2:$A$2000,0))&amp;"",""))</f>
        <v/>
      </c>
      <c r="H109" s="25" t="n"/>
      <c r="I109" s="25" t="n"/>
      <c r="J109" s="25" t="n"/>
      <c r="K109" s="27" t="n"/>
      <c r="L109" s="25" t="n"/>
      <c r="M109" s="25" t="n"/>
      <c r="N109" s="27" t="n"/>
      <c r="O109" s="24">
        <f>IF(B109="","",IF(M109="","TAK",IFERROR(INDEX(Ustawienia!$K$4:$K$8,MATCH(M109,Ustawienia!$J$4:$J$8,0)),"TAK")))</f>
        <v/>
      </c>
      <c r="P109" s="28">
        <f>IF(OR(B109="",D109=""),"",IFERROR(INDEX('Dane rozpisek'!$B$2:$B$2600,MATCH(S109,'Dane rozpisek'!$H$2:$H$2600,0))&amp;": "&amp;INDEX('Dane rozpisek'!$E$2:$E$2600,MATCH(S109,'Dane rozpisek'!$H$2:$H$2600,0))&amp;IF(COUNTIF('Dane rozpisek'!$H$2:$H$2600,S109)&gt;1," (+"&amp;(COUNTIF('Dane rozpisek'!$H$2:$H$2600,S109)-1)&amp;")",""),"—"))</f>
        <v/>
      </c>
      <c r="Q109" s="24">
        <f>IF(AND(B109&lt;&gt;"",D109&lt;&gt;"",OR('Historia wózka'!$B$4="",B109='Historia wózka'!$B$4),D109&gt;='Historia wózka'!$B$5,D109&lt;='Historia wózka'!$B$6),D109+ROW()/1000000,0)</f>
        <v/>
      </c>
      <c r="R109" s="24">
        <f>IF(O109="TAK",IF(D109="",0,D109)+ROW()/1000000,0)</f>
        <v/>
      </c>
      <c r="S109" s="24">
        <f>IF(OR(B109="",D109=""),"",B109&amp;"|"&amp;D109)</f>
        <v/>
      </c>
    </row>
    <row r="110">
      <c r="A110" s="24">
        <f>IF(B110="","",ROW()-4)</f>
        <v/>
      </c>
      <c r="B110" s="25" t="n"/>
      <c r="C110" s="24">
        <f>IF(B110="","",IFERROR(INDEX('Wózki'!$B$2:$B$500,MATCH(B110,'Wózki'!$A$2:$A$500,0))&amp;"",""))</f>
        <v/>
      </c>
      <c r="D110" s="26" t="n"/>
      <c r="E110" s="25" t="n"/>
      <c r="F110" s="25" t="n"/>
      <c r="G110" s="24">
        <f>IF(F110="","",IFERROR(INDEX(Pracownicy!$B$2:$B$2000,MATCH(F110,Pracownicy!$A$2:$A$2000,0))&amp;"",""))</f>
        <v/>
      </c>
      <c r="H110" s="25" t="n"/>
      <c r="I110" s="25" t="n"/>
      <c r="J110" s="25" t="n"/>
      <c r="K110" s="27" t="n"/>
      <c r="L110" s="25" t="n"/>
      <c r="M110" s="25" t="n"/>
      <c r="N110" s="27" t="n"/>
      <c r="O110" s="24">
        <f>IF(B110="","",IF(M110="","TAK",IFERROR(INDEX(Ustawienia!$K$4:$K$8,MATCH(M110,Ustawienia!$J$4:$J$8,0)),"TAK")))</f>
        <v/>
      </c>
      <c r="P110" s="28">
        <f>IF(OR(B110="",D110=""),"",IFERROR(INDEX('Dane rozpisek'!$B$2:$B$2600,MATCH(S110,'Dane rozpisek'!$H$2:$H$2600,0))&amp;": "&amp;INDEX('Dane rozpisek'!$E$2:$E$2600,MATCH(S110,'Dane rozpisek'!$H$2:$H$2600,0))&amp;IF(COUNTIF('Dane rozpisek'!$H$2:$H$2600,S110)&gt;1," (+"&amp;(COUNTIF('Dane rozpisek'!$H$2:$H$2600,S110)-1)&amp;")",""),"—"))</f>
        <v/>
      </c>
      <c r="Q110" s="24">
        <f>IF(AND(B110&lt;&gt;"",D110&lt;&gt;"",OR('Historia wózka'!$B$4="",B110='Historia wózka'!$B$4),D110&gt;='Historia wózka'!$B$5,D110&lt;='Historia wózka'!$B$6),D110+ROW()/1000000,0)</f>
        <v/>
      </c>
      <c r="R110" s="24">
        <f>IF(O110="TAK",IF(D110="",0,D110)+ROW()/1000000,0)</f>
        <v/>
      </c>
      <c r="S110" s="24">
        <f>IF(OR(B110="",D110=""),"",B110&amp;"|"&amp;D110)</f>
        <v/>
      </c>
    </row>
    <row r="111">
      <c r="A111" s="24">
        <f>IF(B111="","",ROW()-4)</f>
        <v/>
      </c>
      <c r="B111" s="25" t="n"/>
      <c r="C111" s="24">
        <f>IF(B111="","",IFERROR(INDEX('Wózki'!$B$2:$B$500,MATCH(B111,'Wózki'!$A$2:$A$500,0))&amp;"",""))</f>
        <v/>
      </c>
      <c r="D111" s="26" t="n"/>
      <c r="E111" s="25" t="n"/>
      <c r="F111" s="25" t="n"/>
      <c r="G111" s="24">
        <f>IF(F111="","",IFERROR(INDEX(Pracownicy!$B$2:$B$2000,MATCH(F111,Pracownicy!$A$2:$A$2000,0))&amp;"",""))</f>
        <v/>
      </c>
      <c r="H111" s="25" t="n"/>
      <c r="I111" s="25" t="n"/>
      <c r="J111" s="25" t="n"/>
      <c r="K111" s="27" t="n"/>
      <c r="L111" s="25" t="n"/>
      <c r="M111" s="25" t="n"/>
      <c r="N111" s="27" t="n"/>
      <c r="O111" s="24">
        <f>IF(B111="","",IF(M111="","TAK",IFERROR(INDEX(Ustawienia!$K$4:$K$8,MATCH(M111,Ustawienia!$J$4:$J$8,0)),"TAK")))</f>
        <v/>
      </c>
      <c r="P111" s="28">
        <f>IF(OR(B111="",D111=""),"",IFERROR(INDEX('Dane rozpisek'!$B$2:$B$2600,MATCH(S111,'Dane rozpisek'!$H$2:$H$2600,0))&amp;": "&amp;INDEX('Dane rozpisek'!$E$2:$E$2600,MATCH(S111,'Dane rozpisek'!$H$2:$H$2600,0))&amp;IF(COUNTIF('Dane rozpisek'!$H$2:$H$2600,S111)&gt;1," (+"&amp;(COUNTIF('Dane rozpisek'!$H$2:$H$2600,S111)-1)&amp;")",""),"—"))</f>
        <v/>
      </c>
      <c r="Q111" s="24">
        <f>IF(AND(B111&lt;&gt;"",D111&lt;&gt;"",OR('Historia wózka'!$B$4="",B111='Historia wózka'!$B$4),D111&gt;='Historia wózka'!$B$5,D111&lt;='Historia wózka'!$B$6),D111+ROW()/1000000,0)</f>
        <v/>
      </c>
      <c r="R111" s="24">
        <f>IF(O111="TAK",IF(D111="",0,D111)+ROW()/1000000,0)</f>
        <v/>
      </c>
      <c r="S111" s="24">
        <f>IF(OR(B111="",D111=""),"",B111&amp;"|"&amp;D111)</f>
        <v/>
      </c>
    </row>
    <row r="112">
      <c r="A112" s="24">
        <f>IF(B112="","",ROW()-4)</f>
        <v/>
      </c>
      <c r="B112" s="25" t="n"/>
      <c r="C112" s="24">
        <f>IF(B112="","",IFERROR(INDEX('Wózki'!$B$2:$B$500,MATCH(B112,'Wózki'!$A$2:$A$500,0))&amp;"",""))</f>
        <v/>
      </c>
      <c r="D112" s="26" t="n"/>
      <c r="E112" s="25" t="n"/>
      <c r="F112" s="25" t="n"/>
      <c r="G112" s="24">
        <f>IF(F112="","",IFERROR(INDEX(Pracownicy!$B$2:$B$2000,MATCH(F112,Pracownicy!$A$2:$A$2000,0))&amp;"",""))</f>
        <v/>
      </c>
      <c r="H112" s="25" t="n"/>
      <c r="I112" s="25" t="n"/>
      <c r="J112" s="25" t="n"/>
      <c r="K112" s="27" t="n"/>
      <c r="L112" s="25" t="n"/>
      <c r="M112" s="25" t="n"/>
      <c r="N112" s="27" t="n"/>
      <c r="O112" s="24">
        <f>IF(B112="","",IF(M112="","TAK",IFERROR(INDEX(Ustawienia!$K$4:$K$8,MATCH(M112,Ustawienia!$J$4:$J$8,0)),"TAK")))</f>
        <v/>
      </c>
      <c r="P112" s="28">
        <f>IF(OR(B112="",D112=""),"",IFERROR(INDEX('Dane rozpisek'!$B$2:$B$2600,MATCH(S112,'Dane rozpisek'!$H$2:$H$2600,0))&amp;": "&amp;INDEX('Dane rozpisek'!$E$2:$E$2600,MATCH(S112,'Dane rozpisek'!$H$2:$H$2600,0))&amp;IF(COUNTIF('Dane rozpisek'!$H$2:$H$2600,S112)&gt;1," (+"&amp;(COUNTIF('Dane rozpisek'!$H$2:$H$2600,S112)-1)&amp;")",""),"—"))</f>
        <v/>
      </c>
      <c r="Q112" s="24">
        <f>IF(AND(B112&lt;&gt;"",D112&lt;&gt;"",OR('Historia wózka'!$B$4="",B112='Historia wózka'!$B$4),D112&gt;='Historia wózka'!$B$5,D112&lt;='Historia wózka'!$B$6),D112+ROW()/1000000,0)</f>
        <v/>
      </c>
      <c r="R112" s="24">
        <f>IF(O112="TAK",IF(D112="",0,D112)+ROW()/1000000,0)</f>
        <v/>
      </c>
      <c r="S112" s="24">
        <f>IF(OR(B112="",D112=""),"",B112&amp;"|"&amp;D112)</f>
        <v/>
      </c>
    </row>
    <row r="113">
      <c r="A113" s="24">
        <f>IF(B113="","",ROW()-4)</f>
        <v/>
      </c>
      <c r="B113" s="25" t="n"/>
      <c r="C113" s="24">
        <f>IF(B113="","",IFERROR(INDEX('Wózki'!$B$2:$B$500,MATCH(B113,'Wózki'!$A$2:$A$500,0))&amp;"",""))</f>
        <v/>
      </c>
      <c r="D113" s="26" t="n"/>
      <c r="E113" s="25" t="n"/>
      <c r="F113" s="25" t="n"/>
      <c r="G113" s="24">
        <f>IF(F113="","",IFERROR(INDEX(Pracownicy!$B$2:$B$2000,MATCH(F113,Pracownicy!$A$2:$A$2000,0))&amp;"",""))</f>
        <v/>
      </c>
      <c r="H113" s="25" t="n"/>
      <c r="I113" s="25" t="n"/>
      <c r="J113" s="25" t="n"/>
      <c r="K113" s="27" t="n"/>
      <c r="L113" s="25" t="n"/>
      <c r="M113" s="25" t="n"/>
      <c r="N113" s="27" t="n"/>
      <c r="O113" s="24">
        <f>IF(B113="","",IF(M113="","TAK",IFERROR(INDEX(Ustawienia!$K$4:$K$8,MATCH(M113,Ustawienia!$J$4:$J$8,0)),"TAK")))</f>
        <v/>
      </c>
      <c r="P113" s="28">
        <f>IF(OR(B113="",D113=""),"",IFERROR(INDEX('Dane rozpisek'!$B$2:$B$2600,MATCH(S113,'Dane rozpisek'!$H$2:$H$2600,0))&amp;": "&amp;INDEX('Dane rozpisek'!$E$2:$E$2600,MATCH(S113,'Dane rozpisek'!$H$2:$H$2600,0))&amp;IF(COUNTIF('Dane rozpisek'!$H$2:$H$2600,S113)&gt;1," (+"&amp;(COUNTIF('Dane rozpisek'!$H$2:$H$2600,S113)-1)&amp;")",""),"—"))</f>
        <v/>
      </c>
      <c r="Q113" s="24">
        <f>IF(AND(B113&lt;&gt;"",D113&lt;&gt;"",OR('Historia wózka'!$B$4="",B113='Historia wózka'!$B$4),D113&gt;='Historia wózka'!$B$5,D113&lt;='Historia wózka'!$B$6),D113+ROW()/1000000,0)</f>
        <v/>
      </c>
      <c r="R113" s="24">
        <f>IF(O113="TAK",IF(D113="",0,D113)+ROW()/1000000,0)</f>
        <v/>
      </c>
      <c r="S113" s="24">
        <f>IF(OR(B113="",D113=""),"",B113&amp;"|"&amp;D113)</f>
        <v/>
      </c>
    </row>
    <row r="114">
      <c r="A114" s="24">
        <f>IF(B114="","",ROW()-4)</f>
        <v/>
      </c>
      <c r="B114" s="25" t="n"/>
      <c r="C114" s="24">
        <f>IF(B114="","",IFERROR(INDEX('Wózki'!$B$2:$B$500,MATCH(B114,'Wózki'!$A$2:$A$500,0))&amp;"",""))</f>
        <v/>
      </c>
      <c r="D114" s="26" t="n"/>
      <c r="E114" s="25" t="n"/>
      <c r="F114" s="25" t="n"/>
      <c r="G114" s="24">
        <f>IF(F114="","",IFERROR(INDEX(Pracownicy!$B$2:$B$2000,MATCH(F114,Pracownicy!$A$2:$A$2000,0))&amp;"",""))</f>
        <v/>
      </c>
      <c r="H114" s="25" t="n"/>
      <c r="I114" s="25" t="n"/>
      <c r="J114" s="25" t="n"/>
      <c r="K114" s="27" t="n"/>
      <c r="L114" s="25" t="n"/>
      <c r="M114" s="25" t="n"/>
      <c r="N114" s="27" t="n"/>
      <c r="O114" s="24">
        <f>IF(B114="","",IF(M114="","TAK",IFERROR(INDEX(Ustawienia!$K$4:$K$8,MATCH(M114,Ustawienia!$J$4:$J$8,0)),"TAK")))</f>
        <v/>
      </c>
      <c r="P114" s="28">
        <f>IF(OR(B114="",D114=""),"",IFERROR(INDEX('Dane rozpisek'!$B$2:$B$2600,MATCH(S114,'Dane rozpisek'!$H$2:$H$2600,0))&amp;": "&amp;INDEX('Dane rozpisek'!$E$2:$E$2600,MATCH(S114,'Dane rozpisek'!$H$2:$H$2600,0))&amp;IF(COUNTIF('Dane rozpisek'!$H$2:$H$2600,S114)&gt;1," (+"&amp;(COUNTIF('Dane rozpisek'!$H$2:$H$2600,S114)-1)&amp;")",""),"—"))</f>
        <v/>
      </c>
      <c r="Q114" s="24">
        <f>IF(AND(B114&lt;&gt;"",D114&lt;&gt;"",OR('Historia wózka'!$B$4="",B114='Historia wózka'!$B$4),D114&gt;='Historia wózka'!$B$5,D114&lt;='Historia wózka'!$B$6),D114+ROW()/1000000,0)</f>
        <v/>
      </c>
      <c r="R114" s="24">
        <f>IF(O114="TAK",IF(D114="",0,D114)+ROW()/1000000,0)</f>
        <v/>
      </c>
      <c r="S114" s="24">
        <f>IF(OR(B114="",D114=""),"",B114&amp;"|"&amp;D114)</f>
        <v/>
      </c>
    </row>
    <row r="115">
      <c r="A115" s="24">
        <f>IF(B115="","",ROW()-4)</f>
        <v/>
      </c>
      <c r="B115" s="25" t="n"/>
      <c r="C115" s="24">
        <f>IF(B115="","",IFERROR(INDEX('Wózki'!$B$2:$B$500,MATCH(B115,'Wózki'!$A$2:$A$500,0))&amp;"",""))</f>
        <v/>
      </c>
      <c r="D115" s="26" t="n"/>
      <c r="E115" s="25" t="n"/>
      <c r="F115" s="25" t="n"/>
      <c r="G115" s="24">
        <f>IF(F115="","",IFERROR(INDEX(Pracownicy!$B$2:$B$2000,MATCH(F115,Pracownicy!$A$2:$A$2000,0))&amp;"",""))</f>
        <v/>
      </c>
      <c r="H115" s="25" t="n"/>
      <c r="I115" s="25" t="n"/>
      <c r="J115" s="25" t="n"/>
      <c r="K115" s="27" t="n"/>
      <c r="L115" s="25" t="n"/>
      <c r="M115" s="25" t="n"/>
      <c r="N115" s="27" t="n"/>
      <c r="O115" s="24">
        <f>IF(B115="","",IF(M115="","TAK",IFERROR(INDEX(Ustawienia!$K$4:$K$8,MATCH(M115,Ustawienia!$J$4:$J$8,0)),"TAK")))</f>
        <v/>
      </c>
      <c r="P115" s="28">
        <f>IF(OR(B115="",D115=""),"",IFERROR(INDEX('Dane rozpisek'!$B$2:$B$2600,MATCH(S115,'Dane rozpisek'!$H$2:$H$2600,0))&amp;": "&amp;INDEX('Dane rozpisek'!$E$2:$E$2600,MATCH(S115,'Dane rozpisek'!$H$2:$H$2600,0))&amp;IF(COUNTIF('Dane rozpisek'!$H$2:$H$2600,S115)&gt;1," (+"&amp;(COUNTIF('Dane rozpisek'!$H$2:$H$2600,S115)-1)&amp;")",""),"—"))</f>
        <v/>
      </c>
      <c r="Q115" s="24">
        <f>IF(AND(B115&lt;&gt;"",D115&lt;&gt;"",OR('Historia wózka'!$B$4="",B115='Historia wózka'!$B$4),D115&gt;='Historia wózka'!$B$5,D115&lt;='Historia wózka'!$B$6),D115+ROW()/1000000,0)</f>
        <v/>
      </c>
      <c r="R115" s="24">
        <f>IF(O115="TAK",IF(D115="",0,D115)+ROW()/1000000,0)</f>
        <v/>
      </c>
      <c r="S115" s="24">
        <f>IF(OR(B115="",D115=""),"",B115&amp;"|"&amp;D115)</f>
        <v/>
      </c>
    </row>
    <row r="116">
      <c r="A116" s="24">
        <f>IF(B116="","",ROW()-4)</f>
        <v/>
      </c>
      <c r="B116" s="25" t="n"/>
      <c r="C116" s="24">
        <f>IF(B116="","",IFERROR(INDEX('Wózki'!$B$2:$B$500,MATCH(B116,'Wózki'!$A$2:$A$500,0))&amp;"",""))</f>
        <v/>
      </c>
      <c r="D116" s="26" t="n"/>
      <c r="E116" s="25" t="n"/>
      <c r="F116" s="25" t="n"/>
      <c r="G116" s="24">
        <f>IF(F116="","",IFERROR(INDEX(Pracownicy!$B$2:$B$2000,MATCH(F116,Pracownicy!$A$2:$A$2000,0))&amp;"",""))</f>
        <v/>
      </c>
      <c r="H116" s="25" t="n"/>
      <c r="I116" s="25" t="n"/>
      <c r="J116" s="25" t="n"/>
      <c r="K116" s="27" t="n"/>
      <c r="L116" s="25" t="n"/>
      <c r="M116" s="25" t="n"/>
      <c r="N116" s="27" t="n"/>
      <c r="O116" s="24">
        <f>IF(B116="","",IF(M116="","TAK",IFERROR(INDEX(Ustawienia!$K$4:$K$8,MATCH(M116,Ustawienia!$J$4:$J$8,0)),"TAK")))</f>
        <v/>
      </c>
      <c r="P116" s="28">
        <f>IF(OR(B116="",D116=""),"",IFERROR(INDEX('Dane rozpisek'!$B$2:$B$2600,MATCH(S116,'Dane rozpisek'!$H$2:$H$2600,0))&amp;": "&amp;INDEX('Dane rozpisek'!$E$2:$E$2600,MATCH(S116,'Dane rozpisek'!$H$2:$H$2600,0))&amp;IF(COUNTIF('Dane rozpisek'!$H$2:$H$2600,S116)&gt;1," (+"&amp;(COUNTIF('Dane rozpisek'!$H$2:$H$2600,S116)-1)&amp;")",""),"—"))</f>
        <v/>
      </c>
      <c r="Q116" s="24">
        <f>IF(AND(B116&lt;&gt;"",D116&lt;&gt;"",OR('Historia wózka'!$B$4="",B116='Historia wózka'!$B$4),D116&gt;='Historia wózka'!$B$5,D116&lt;='Historia wózka'!$B$6),D116+ROW()/1000000,0)</f>
        <v/>
      </c>
      <c r="R116" s="24">
        <f>IF(O116="TAK",IF(D116="",0,D116)+ROW()/1000000,0)</f>
        <v/>
      </c>
      <c r="S116" s="24">
        <f>IF(OR(B116="",D116=""),"",B116&amp;"|"&amp;D116)</f>
        <v/>
      </c>
    </row>
    <row r="117">
      <c r="A117" s="24">
        <f>IF(B117="","",ROW()-4)</f>
        <v/>
      </c>
      <c r="B117" s="25" t="n"/>
      <c r="C117" s="24">
        <f>IF(B117="","",IFERROR(INDEX('Wózki'!$B$2:$B$500,MATCH(B117,'Wózki'!$A$2:$A$500,0))&amp;"",""))</f>
        <v/>
      </c>
      <c r="D117" s="26" t="n"/>
      <c r="E117" s="25" t="n"/>
      <c r="F117" s="25" t="n"/>
      <c r="G117" s="24">
        <f>IF(F117="","",IFERROR(INDEX(Pracownicy!$B$2:$B$2000,MATCH(F117,Pracownicy!$A$2:$A$2000,0))&amp;"",""))</f>
        <v/>
      </c>
      <c r="H117" s="25" t="n"/>
      <c r="I117" s="25" t="n"/>
      <c r="J117" s="25" t="n"/>
      <c r="K117" s="27" t="n"/>
      <c r="L117" s="25" t="n"/>
      <c r="M117" s="25" t="n"/>
      <c r="N117" s="27" t="n"/>
      <c r="O117" s="24">
        <f>IF(B117="","",IF(M117="","TAK",IFERROR(INDEX(Ustawienia!$K$4:$K$8,MATCH(M117,Ustawienia!$J$4:$J$8,0)),"TAK")))</f>
        <v/>
      </c>
      <c r="P117" s="28">
        <f>IF(OR(B117="",D117=""),"",IFERROR(INDEX('Dane rozpisek'!$B$2:$B$2600,MATCH(S117,'Dane rozpisek'!$H$2:$H$2600,0))&amp;": "&amp;INDEX('Dane rozpisek'!$E$2:$E$2600,MATCH(S117,'Dane rozpisek'!$H$2:$H$2600,0))&amp;IF(COUNTIF('Dane rozpisek'!$H$2:$H$2600,S117)&gt;1," (+"&amp;(COUNTIF('Dane rozpisek'!$H$2:$H$2600,S117)-1)&amp;")",""),"—"))</f>
        <v/>
      </c>
      <c r="Q117" s="24">
        <f>IF(AND(B117&lt;&gt;"",D117&lt;&gt;"",OR('Historia wózka'!$B$4="",B117='Historia wózka'!$B$4),D117&gt;='Historia wózka'!$B$5,D117&lt;='Historia wózka'!$B$6),D117+ROW()/1000000,0)</f>
        <v/>
      </c>
      <c r="R117" s="24">
        <f>IF(O117="TAK",IF(D117="",0,D117)+ROW()/1000000,0)</f>
        <v/>
      </c>
      <c r="S117" s="24">
        <f>IF(OR(B117="",D117=""),"",B117&amp;"|"&amp;D117)</f>
        <v/>
      </c>
    </row>
    <row r="118">
      <c r="A118" s="24">
        <f>IF(B118="","",ROW()-4)</f>
        <v/>
      </c>
      <c r="B118" s="25" t="n"/>
      <c r="C118" s="24">
        <f>IF(B118="","",IFERROR(INDEX('Wózki'!$B$2:$B$500,MATCH(B118,'Wózki'!$A$2:$A$500,0))&amp;"",""))</f>
        <v/>
      </c>
      <c r="D118" s="26" t="n"/>
      <c r="E118" s="25" t="n"/>
      <c r="F118" s="25" t="n"/>
      <c r="G118" s="24">
        <f>IF(F118="","",IFERROR(INDEX(Pracownicy!$B$2:$B$2000,MATCH(F118,Pracownicy!$A$2:$A$2000,0))&amp;"",""))</f>
        <v/>
      </c>
      <c r="H118" s="25" t="n"/>
      <c r="I118" s="25" t="n"/>
      <c r="J118" s="25" t="n"/>
      <c r="K118" s="27" t="n"/>
      <c r="L118" s="25" t="n"/>
      <c r="M118" s="25" t="n"/>
      <c r="N118" s="27" t="n"/>
      <c r="O118" s="24">
        <f>IF(B118="","",IF(M118="","TAK",IFERROR(INDEX(Ustawienia!$K$4:$K$8,MATCH(M118,Ustawienia!$J$4:$J$8,0)),"TAK")))</f>
        <v/>
      </c>
      <c r="P118" s="28">
        <f>IF(OR(B118="",D118=""),"",IFERROR(INDEX('Dane rozpisek'!$B$2:$B$2600,MATCH(S118,'Dane rozpisek'!$H$2:$H$2600,0))&amp;": "&amp;INDEX('Dane rozpisek'!$E$2:$E$2600,MATCH(S118,'Dane rozpisek'!$H$2:$H$2600,0))&amp;IF(COUNTIF('Dane rozpisek'!$H$2:$H$2600,S118)&gt;1," (+"&amp;(COUNTIF('Dane rozpisek'!$H$2:$H$2600,S118)-1)&amp;")",""),"—"))</f>
        <v/>
      </c>
      <c r="Q118" s="24">
        <f>IF(AND(B118&lt;&gt;"",D118&lt;&gt;"",OR('Historia wózka'!$B$4="",B118='Historia wózka'!$B$4),D118&gt;='Historia wózka'!$B$5,D118&lt;='Historia wózka'!$B$6),D118+ROW()/1000000,0)</f>
        <v/>
      </c>
      <c r="R118" s="24">
        <f>IF(O118="TAK",IF(D118="",0,D118)+ROW()/1000000,0)</f>
        <v/>
      </c>
      <c r="S118" s="24">
        <f>IF(OR(B118="",D118=""),"",B118&amp;"|"&amp;D118)</f>
        <v/>
      </c>
    </row>
    <row r="119">
      <c r="A119" s="24">
        <f>IF(B119="","",ROW()-4)</f>
        <v/>
      </c>
      <c r="B119" s="25" t="n"/>
      <c r="C119" s="24">
        <f>IF(B119="","",IFERROR(INDEX('Wózki'!$B$2:$B$500,MATCH(B119,'Wózki'!$A$2:$A$500,0))&amp;"",""))</f>
        <v/>
      </c>
      <c r="D119" s="26" t="n"/>
      <c r="E119" s="25" t="n"/>
      <c r="F119" s="25" t="n"/>
      <c r="G119" s="24">
        <f>IF(F119="","",IFERROR(INDEX(Pracownicy!$B$2:$B$2000,MATCH(F119,Pracownicy!$A$2:$A$2000,0))&amp;"",""))</f>
        <v/>
      </c>
      <c r="H119" s="25" t="n"/>
      <c r="I119" s="25" t="n"/>
      <c r="J119" s="25" t="n"/>
      <c r="K119" s="27" t="n"/>
      <c r="L119" s="25" t="n"/>
      <c r="M119" s="25" t="n"/>
      <c r="N119" s="27" t="n"/>
      <c r="O119" s="24">
        <f>IF(B119="","",IF(M119="","TAK",IFERROR(INDEX(Ustawienia!$K$4:$K$8,MATCH(M119,Ustawienia!$J$4:$J$8,0)),"TAK")))</f>
        <v/>
      </c>
      <c r="P119" s="28">
        <f>IF(OR(B119="",D119=""),"",IFERROR(INDEX('Dane rozpisek'!$B$2:$B$2600,MATCH(S119,'Dane rozpisek'!$H$2:$H$2600,0))&amp;": "&amp;INDEX('Dane rozpisek'!$E$2:$E$2600,MATCH(S119,'Dane rozpisek'!$H$2:$H$2600,0))&amp;IF(COUNTIF('Dane rozpisek'!$H$2:$H$2600,S119)&gt;1," (+"&amp;(COUNTIF('Dane rozpisek'!$H$2:$H$2600,S119)-1)&amp;")",""),"—"))</f>
        <v/>
      </c>
      <c r="Q119" s="24">
        <f>IF(AND(B119&lt;&gt;"",D119&lt;&gt;"",OR('Historia wózka'!$B$4="",B119='Historia wózka'!$B$4),D119&gt;='Historia wózka'!$B$5,D119&lt;='Historia wózka'!$B$6),D119+ROW()/1000000,0)</f>
        <v/>
      </c>
      <c r="R119" s="24">
        <f>IF(O119="TAK",IF(D119="",0,D119)+ROW()/1000000,0)</f>
        <v/>
      </c>
      <c r="S119" s="24">
        <f>IF(OR(B119="",D119=""),"",B119&amp;"|"&amp;D119)</f>
        <v/>
      </c>
    </row>
    <row r="120">
      <c r="A120" s="24">
        <f>IF(B120="","",ROW()-4)</f>
        <v/>
      </c>
      <c r="B120" s="25" t="n"/>
      <c r="C120" s="24">
        <f>IF(B120="","",IFERROR(INDEX('Wózki'!$B$2:$B$500,MATCH(B120,'Wózki'!$A$2:$A$500,0))&amp;"",""))</f>
        <v/>
      </c>
      <c r="D120" s="26" t="n"/>
      <c r="E120" s="25" t="n"/>
      <c r="F120" s="25" t="n"/>
      <c r="G120" s="24">
        <f>IF(F120="","",IFERROR(INDEX(Pracownicy!$B$2:$B$2000,MATCH(F120,Pracownicy!$A$2:$A$2000,0))&amp;"",""))</f>
        <v/>
      </c>
      <c r="H120" s="25" t="n"/>
      <c r="I120" s="25" t="n"/>
      <c r="J120" s="25" t="n"/>
      <c r="K120" s="27" t="n"/>
      <c r="L120" s="25" t="n"/>
      <c r="M120" s="25" t="n"/>
      <c r="N120" s="27" t="n"/>
      <c r="O120" s="24">
        <f>IF(B120="","",IF(M120="","TAK",IFERROR(INDEX(Ustawienia!$K$4:$K$8,MATCH(M120,Ustawienia!$J$4:$J$8,0)),"TAK")))</f>
        <v/>
      </c>
      <c r="P120" s="28">
        <f>IF(OR(B120="",D120=""),"",IFERROR(INDEX('Dane rozpisek'!$B$2:$B$2600,MATCH(S120,'Dane rozpisek'!$H$2:$H$2600,0))&amp;": "&amp;INDEX('Dane rozpisek'!$E$2:$E$2600,MATCH(S120,'Dane rozpisek'!$H$2:$H$2600,0))&amp;IF(COUNTIF('Dane rozpisek'!$H$2:$H$2600,S120)&gt;1," (+"&amp;(COUNTIF('Dane rozpisek'!$H$2:$H$2600,S120)-1)&amp;")",""),"—"))</f>
        <v/>
      </c>
      <c r="Q120" s="24">
        <f>IF(AND(B120&lt;&gt;"",D120&lt;&gt;"",OR('Historia wózka'!$B$4="",B120='Historia wózka'!$B$4),D120&gt;='Historia wózka'!$B$5,D120&lt;='Historia wózka'!$B$6),D120+ROW()/1000000,0)</f>
        <v/>
      </c>
      <c r="R120" s="24">
        <f>IF(O120="TAK",IF(D120="",0,D120)+ROW()/1000000,0)</f>
        <v/>
      </c>
      <c r="S120" s="24">
        <f>IF(OR(B120="",D120=""),"",B120&amp;"|"&amp;D120)</f>
        <v/>
      </c>
    </row>
    <row r="121">
      <c r="A121" s="24">
        <f>IF(B121="","",ROW()-4)</f>
        <v/>
      </c>
      <c r="B121" s="25" t="n"/>
      <c r="C121" s="24">
        <f>IF(B121="","",IFERROR(INDEX('Wózki'!$B$2:$B$500,MATCH(B121,'Wózki'!$A$2:$A$500,0))&amp;"",""))</f>
        <v/>
      </c>
      <c r="D121" s="26" t="n"/>
      <c r="E121" s="25" t="n"/>
      <c r="F121" s="25" t="n"/>
      <c r="G121" s="24">
        <f>IF(F121="","",IFERROR(INDEX(Pracownicy!$B$2:$B$2000,MATCH(F121,Pracownicy!$A$2:$A$2000,0))&amp;"",""))</f>
        <v/>
      </c>
      <c r="H121" s="25" t="n"/>
      <c r="I121" s="25" t="n"/>
      <c r="J121" s="25" t="n"/>
      <c r="K121" s="27" t="n"/>
      <c r="L121" s="25" t="n"/>
      <c r="M121" s="25" t="n"/>
      <c r="N121" s="27" t="n"/>
      <c r="O121" s="24">
        <f>IF(B121="","",IF(M121="","TAK",IFERROR(INDEX(Ustawienia!$K$4:$K$8,MATCH(M121,Ustawienia!$J$4:$J$8,0)),"TAK")))</f>
        <v/>
      </c>
      <c r="P121" s="28">
        <f>IF(OR(B121="",D121=""),"",IFERROR(INDEX('Dane rozpisek'!$B$2:$B$2600,MATCH(S121,'Dane rozpisek'!$H$2:$H$2600,0))&amp;": "&amp;INDEX('Dane rozpisek'!$E$2:$E$2600,MATCH(S121,'Dane rozpisek'!$H$2:$H$2600,0))&amp;IF(COUNTIF('Dane rozpisek'!$H$2:$H$2600,S121)&gt;1," (+"&amp;(COUNTIF('Dane rozpisek'!$H$2:$H$2600,S121)-1)&amp;")",""),"—"))</f>
        <v/>
      </c>
      <c r="Q121" s="24">
        <f>IF(AND(B121&lt;&gt;"",D121&lt;&gt;"",OR('Historia wózka'!$B$4="",B121='Historia wózka'!$B$4),D121&gt;='Historia wózka'!$B$5,D121&lt;='Historia wózka'!$B$6),D121+ROW()/1000000,0)</f>
        <v/>
      </c>
      <c r="R121" s="24">
        <f>IF(O121="TAK",IF(D121="",0,D121)+ROW()/1000000,0)</f>
        <v/>
      </c>
      <c r="S121" s="24">
        <f>IF(OR(B121="",D121=""),"",B121&amp;"|"&amp;D121)</f>
        <v/>
      </c>
    </row>
    <row r="122">
      <c r="A122" s="24">
        <f>IF(B122="","",ROW()-4)</f>
        <v/>
      </c>
      <c r="B122" s="25" t="n"/>
      <c r="C122" s="24">
        <f>IF(B122="","",IFERROR(INDEX('Wózki'!$B$2:$B$500,MATCH(B122,'Wózki'!$A$2:$A$500,0))&amp;"",""))</f>
        <v/>
      </c>
      <c r="D122" s="26" t="n"/>
      <c r="E122" s="25" t="n"/>
      <c r="F122" s="25" t="n"/>
      <c r="G122" s="24">
        <f>IF(F122="","",IFERROR(INDEX(Pracownicy!$B$2:$B$2000,MATCH(F122,Pracownicy!$A$2:$A$2000,0))&amp;"",""))</f>
        <v/>
      </c>
      <c r="H122" s="25" t="n"/>
      <c r="I122" s="25" t="n"/>
      <c r="J122" s="25" t="n"/>
      <c r="K122" s="27" t="n"/>
      <c r="L122" s="25" t="n"/>
      <c r="M122" s="25" t="n"/>
      <c r="N122" s="27" t="n"/>
      <c r="O122" s="24">
        <f>IF(B122="","",IF(M122="","TAK",IFERROR(INDEX(Ustawienia!$K$4:$K$8,MATCH(M122,Ustawienia!$J$4:$J$8,0)),"TAK")))</f>
        <v/>
      </c>
      <c r="P122" s="28">
        <f>IF(OR(B122="",D122=""),"",IFERROR(INDEX('Dane rozpisek'!$B$2:$B$2600,MATCH(S122,'Dane rozpisek'!$H$2:$H$2600,0))&amp;": "&amp;INDEX('Dane rozpisek'!$E$2:$E$2600,MATCH(S122,'Dane rozpisek'!$H$2:$H$2600,0))&amp;IF(COUNTIF('Dane rozpisek'!$H$2:$H$2600,S122)&gt;1," (+"&amp;(COUNTIF('Dane rozpisek'!$H$2:$H$2600,S122)-1)&amp;")",""),"—"))</f>
        <v/>
      </c>
      <c r="Q122" s="24">
        <f>IF(AND(B122&lt;&gt;"",D122&lt;&gt;"",OR('Historia wózka'!$B$4="",B122='Historia wózka'!$B$4),D122&gt;='Historia wózka'!$B$5,D122&lt;='Historia wózka'!$B$6),D122+ROW()/1000000,0)</f>
        <v/>
      </c>
      <c r="R122" s="24">
        <f>IF(O122="TAK",IF(D122="",0,D122)+ROW()/1000000,0)</f>
        <v/>
      </c>
      <c r="S122" s="24">
        <f>IF(OR(B122="",D122=""),"",B122&amp;"|"&amp;D122)</f>
        <v/>
      </c>
    </row>
    <row r="123">
      <c r="A123" s="24">
        <f>IF(B123="","",ROW()-4)</f>
        <v/>
      </c>
      <c r="B123" s="25" t="n"/>
      <c r="C123" s="24">
        <f>IF(B123="","",IFERROR(INDEX('Wózki'!$B$2:$B$500,MATCH(B123,'Wózki'!$A$2:$A$500,0))&amp;"",""))</f>
        <v/>
      </c>
      <c r="D123" s="26" t="n"/>
      <c r="E123" s="25" t="n"/>
      <c r="F123" s="25" t="n"/>
      <c r="G123" s="24">
        <f>IF(F123="","",IFERROR(INDEX(Pracownicy!$B$2:$B$2000,MATCH(F123,Pracownicy!$A$2:$A$2000,0))&amp;"",""))</f>
        <v/>
      </c>
      <c r="H123" s="25" t="n"/>
      <c r="I123" s="25" t="n"/>
      <c r="J123" s="25" t="n"/>
      <c r="K123" s="27" t="n"/>
      <c r="L123" s="25" t="n"/>
      <c r="M123" s="25" t="n"/>
      <c r="N123" s="27" t="n"/>
      <c r="O123" s="24">
        <f>IF(B123="","",IF(M123="","TAK",IFERROR(INDEX(Ustawienia!$K$4:$K$8,MATCH(M123,Ustawienia!$J$4:$J$8,0)),"TAK")))</f>
        <v/>
      </c>
      <c r="P123" s="28">
        <f>IF(OR(B123="",D123=""),"",IFERROR(INDEX('Dane rozpisek'!$B$2:$B$2600,MATCH(S123,'Dane rozpisek'!$H$2:$H$2600,0))&amp;": "&amp;INDEX('Dane rozpisek'!$E$2:$E$2600,MATCH(S123,'Dane rozpisek'!$H$2:$H$2600,0))&amp;IF(COUNTIF('Dane rozpisek'!$H$2:$H$2600,S123)&gt;1," (+"&amp;(COUNTIF('Dane rozpisek'!$H$2:$H$2600,S123)-1)&amp;")",""),"—"))</f>
        <v/>
      </c>
      <c r="Q123" s="24">
        <f>IF(AND(B123&lt;&gt;"",D123&lt;&gt;"",OR('Historia wózka'!$B$4="",B123='Historia wózka'!$B$4),D123&gt;='Historia wózka'!$B$5,D123&lt;='Historia wózka'!$B$6),D123+ROW()/1000000,0)</f>
        <v/>
      </c>
      <c r="R123" s="24">
        <f>IF(O123="TAK",IF(D123="",0,D123)+ROW()/1000000,0)</f>
        <v/>
      </c>
      <c r="S123" s="24">
        <f>IF(OR(B123="",D123=""),"",B123&amp;"|"&amp;D123)</f>
        <v/>
      </c>
    </row>
    <row r="124">
      <c r="A124" s="24">
        <f>IF(B124="","",ROW()-4)</f>
        <v/>
      </c>
      <c r="B124" s="25" t="n"/>
      <c r="C124" s="24">
        <f>IF(B124="","",IFERROR(INDEX('Wózki'!$B$2:$B$500,MATCH(B124,'Wózki'!$A$2:$A$500,0))&amp;"",""))</f>
        <v/>
      </c>
      <c r="D124" s="26" t="n"/>
      <c r="E124" s="25" t="n"/>
      <c r="F124" s="25" t="n"/>
      <c r="G124" s="24">
        <f>IF(F124="","",IFERROR(INDEX(Pracownicy!$B$2:$B$2000,MATCH(F124,Pracownicy!$A$2:$A$2000,0))&amp;"",""))</f>
        <v/>
      </c>
      <c r="H124" s="25" t="n"/>
      <c r="I124" s="25" t="n"/>
      <c r="J124" s="25" t="n"/>
      <c r="K124" s="27" t="n"/>
      <c r="L124" s="25" t="n"/>
      <c r="M124" s="25" t="n"/>
      <c r="N124" s="27" t="n"/>
      <c r="O124" s="24">
        <f>IF(B124="","",IF(M124="","TAK",IFERROR(INDEX(Ustawienia!$K$4:$K$8,MATCH(M124,Ustawienia!$J$4:$J$8,0)),"TAK")))</f>
        <v/>
      </c>
      <c r="P124" s="28">
        <f>IF(OR(B124="",D124=""),"",IFERROR(INDEX('Dane rozpisek'!$B$2:$B$2600,MATCH(S124,'Dane rozpisek'!$H$2:$H$2600,0))&amp;": "&amp;INDEX('Dane rozpisek'!$E$2:$E$2600,MATCH(S124,'Dane rozpisek'!$H$2:$H$2600,0))&amp;IF(COUNTIF('Dane rozpisek'!$H$2:$H$2600,S124)&gt;1," (+"&amp;(COUNTIF('Dane rozpisek'!$H$2:$H$2600,S124)-1)&amp;")",""),"—"))</f>
        <v/>
      </c>
      <c r="Q124" s="24">
        <f>IF(AND(B124&lt;&gt;"",D124&lt;&gt;"",OR('Historia wózka'!$B$4="",B124='Historia wózka'!$B$4),D124&gt;='Historia wózka'!$B$5,D124&lt;='Historia wózka'!$B$6),D124+ROW()/1000000,0)</f>
        <v/>
      </c>
      <c r="R124" s="24">
        <f>IF(O124="TAK",IF(D124="",0,D124)+ROW()/1000000,0)</f>
        <v/>
      </c>
      <c r="S124" s="24">
        <f>IF(OR(B124="",D124=""),"",B124&amp;"|"&amp;D124)</f>
        <v/>
      </c>
    </row>
    <row r="125">
      <c r="A125" s="24">
        <f>IF(B125="","",ROW()-4)</f>
        <v/>
      </c>
      <c r="B125" s="25" t="n"/>
      <c r="C125" s="24">
        <f>IF(B125="","",IFERROR(INDEX('Wózki'!$B$2:$B$500,MATCH(B125,'Wózki'!$A$2:$A$500,0))&amp;"",""))</f>
        <v/>
      </c>
      <c r="D125" s="26" t="n"/>
      <c r="E125" s="25" t="n"/>
      <c r="F125" s="25" t="n"/>
      <c r="G125" s="24">
        <f>IF(F125="","",IFERROR(INDEX(Pracownicy!$B$2:$B$2000,MATCH(F125,Pracownicy!$A$2:$A$2000,0))&amp;"",""))</f>
        <v/>
      </c>
      <c r="H125" s="25" t="n"/>
      <c r="I125" s="25" t="n"/>
      <c r="J125" s="25" t="n"/>
      <c r="K125" s="27" t="n"/>
      <c r="L125" s="25" t="n"/>
      <c r="M125" s="25" t="n"/>
      <c r="N125" s="27" t="n"/>
      <c r="O125" s="24">
        <f>IF(B125="","",IF(M125="","TAK",IFERROR(INDEX(Ustawienia!$K$4:$K$8,MATCH(M125,Ustawienia!$J$4:$J$8,0)),"TAK")))</f>
        <v/>
      </c>
      <c r="P125" s="28">
        <f>IF(OR(B125="",D125=""),"",IFERROR(INDEX('Dane rozpisek'!$B$2:$B$2600,MATCH(S125,'Dane rozpisek'!$H$2:$H$2600,0))&amp;": "&amp;INDEX('Dane rozpisek'!$E$2:$E$2600,MATCH(S125,'Dane rozpisek'!$H$2:$H$2600,0))&amp;IF(COUNTIF('Dane rozpisek'!$H$2:$H$2600,S125)&gt;1," (+"&amp;(COUNTIF('Dane rozpisek'!$H$2:$H$2600,S125)-1)&amp;")",""),"—"))</f>
        <v/>
      </c>
      <c r="Q125" s="24">
        <f>IF(AND(B125&lt;&gt;"",D125&lt;&gt;"",OR('Historia wózka'!$B$4="",B125='Historia wózka'!$B$4),D125&gt;='Historia wózka'!$B$5,D125&lt;='Historia wózka'!$B$6),D125+ROW()/1000000,0)</f>
        <v/>
      </c>
      <c r="R125" s="24">
        <f>IF(O125="TAK",IF(D125="",0,D125)+ROW()/1000000,0)</f>
        <v/>
      </c>
      <c r="S125" s="24">
        <f>IF(OR(B125="",D125=""),"",B125&amp;"|"&amp;D125)</f>
        <v/>
      </c>
    </row>
    <row r="126">
      <c r="A126" s="24">
        <f>IF(B126="","",ROW()-4)</f>
        <v/>
      </c>
      <c r="B126" s="25" t="n"/>
      <c r="C126" s="24">
        <f>IF(B126="","",IFERROR(INDEX('Wózki'!$B$2:$B$500,MATCH(B126,'Wózki'!$A$2:$A$500,0))&amp;"",""))</f>
        <v/>
      </c>
      <c r="D126" s="26" t="n"/>
      <c r="E126" s="25" t="n"/>
      <c r="F126" s="25" t="n"/>
      <c r="G126" s="24">
        <f>IF(F126="","",IFERROR(INDEX(Pracownicy!$B$2:$B$2000,MATCH(F126,Pracownicy!$A$2:$A$2000,0))&amp;"",""))</f>
        <v/>
      </c>
      <c r="H126" s="25" t="n"/>
      <c r="I126" s="25" t="n"/>
      <c r="J126" s="25" t="n"/>
      <c r="K126" s="27" t="n"/>
      <c r="L126" s="25" t="n"/>
      <c r="M126" s="25" t="n"/>
      <c r="N126" s="27" t="n"/>
      <c r="O126" s="24">
        <f>IF(B126="","",IF(M126="","TAK",IFERROR(INDEX(Ustawienia!$K$4:$K$8,MATCH(M126,Ustawienia!$J$4:$J$8,0)),"TAK")))</f>
        <v/>
      </c>
      <c r="P126" s="28">
        <f>IF(OR(B126="",D126=""),"",IFERROR(INDEX('Dane rozpisek'!$B$2:$B$2600,MATCH(S126,'Dane rozpisek'!$H$2:$H$2600,0))&amp;": "&amp;INDEX('Dane rozpisek'!$E$2:$E$2600,MATCH(S126,'Dane rozpisek'!$H$2:$H$2600,0))&amp;IF(COUNTIF('Dane rozpisek'!$H$2:$H$2600,S126)&gt;1," (+"&amp;(COUNTIF('Dane rozpisek'!$H$2:$H$2600,S126)-1)&amp;")",""),"—"))</f>
        <v/>
      </c>
      <c r="Q126" s="24">
        <f>IF(AND(B126&lt;&gt;"",D126&lt;&gt;"",OR('Historia wózka'!$B$4="",B126='Historia wózka'!$B$4),D126&gt;='Historia wózka'!$B$5,D126&lt;='Historia wózka'!$B$6),D126+ROW()/1000000,0)</f>
        <v/>
      </c>
      <c r="R126" s="24">
        <f>IF(O126="TAK",IF(D126="",0,D126)+ROW()/1000000,0)</f>
        <v/>
      </c>
      <c r="S126" s="24">
        <f>IF(OR(B126="",D126=""),"",B126&amp;"|"&amp;D126)</f>
        <v/>
      </c>
    </row>
    <row r="127">
      <c r="A127" s="24">
        <f>IF(B127="","",ROW()-4)</f>
        <v/>
      </c>
      <c r="B127" s="25" t="n"/>
      <c r="C127" s="24">
        <f>IF(B127="","",IFERROR(INDEX('Wózki'!$B$2:$B$500,MATCH(B127,'Wózki'!$A$2:$A$500,0))&amp;"",""))</f>
        <v/>
      </c>
      <c r="D127" s="26" t="n"/>
      <c r="E127" s="25" t="n"/>
      <c r="F127" s="25" t="n"/>
      <c r="G127" s="24">
        <f>IF(F127="","",IFERROR(INDEX(Pracownicy!$B$2:$B$2000,MATCH(F127,Pracownicy!$A$2:$A$2000,0))&amp;"",""))</f>
        <v/>
      </c>
      <c r="H127" s="25" t="n"/>
      <c r="I127" s="25" t="n"/>
      <c r="J127" s="25" t="n"/>
      <c r="K127" s="27" t="n"/>
      <c r="L127" s="25" t="n"/>
      <c r="M127" s="25" t="n"/>
      <c r="N127" s="27" t="n"/>
      <c r="O127" s="24">
        <f>IF(B127="","",IF(M127="","TAK",IFERROR(INDEX(Ustawienia!$K$4:$K$8,MATCH(M127,Ustawienia!$J$4:$J$8,0)),"TAK")))</f>
        <v/>
      </c>
      <c r="P127" s="28">
        <f>IF(OR(B127="",D127=""),"",IFERROR(INDEX('Dane rozpisek'!$B$2:$B$2600,MATCH(S127,'Dane rozpisek'!$H$2:$H$2600,0))&amp;": "&amp;INDEX('Dane rozpisek'!$E$2:$E$2600,MATCH(S127,'Dane rozpisek'!$H$2:$H$2600,0))&amp;IF(COUNTIF('Dane rozpisek'!$H$2:$H$2600,S127)&gt;1," (+"&amp;(COUNTIF('Dane rozpisek'!$H$2:$H$2600,S127)-1)&amp;")",""),"—"))</f>
        <v/>
      </c>
      <c r="Q127" s="24">
        <f>IF(AND(B127&lt;&gt;"",D127&lt;&gt;"",OR('Historia wózka'!$B$4="",B127='Historia wózka'!$B$4),D127&gt;='Historia wózka'!$B$5,D127&lt;='Historia wózka'!$B$6),D127+ROW()/1000000,0)</f>
        <v/>
      </c>
      <c r="R127" s="24">
        <f>IF(O127="TAK",IF(D127="",0,D127)+ROW()/1000000,0)</f>
        <v/>
      </c>
      <c r="S127" s="24">
        <f>IF(OR(B127="",D127=""),"",B127&amp;"|"&amp;D127)</f>
        <v/>
      </c>
    </row>
    <row r="128">
      <c r="A128" s="24">
        <f>IF(B128="","",ROW()-4)</f>
        <v/>
      </c>
      <c r="B128" s="25" t="n"/>
      <c r="C128" s="24">
        <f>IF(B128="","",IFERROR(INDEX('Wózki'!$B$2:$B$500,MATCH(B128,'Wózki'!$A$2:$A$500,0))&amp;"",""))</f>
        <v/>
      </c>
      <c r="D128" s="26" t="n"/>
      <c r="E128" s="25" t="n"/>
      <c r="F128" s="25" t="n"/>
      <c r="G128" s="24">
        <f>IF(F128="","",IFERROR(INDEX(Pracownicy!$B$2:$B$2000,MATCH(F128,Pracownicy!$A$2:$A$2000,0))&amp;"",""))</f>
        <v/>
      </c>
      <c r="H128" s="25" t="n"/>
      <c r="I128" s="25" t="n"/>
      <c r="J128" s="25" t="n"/>
      <c r="K128" s="27" t="n"/>
      <c r="L128" s="25" t="n"/>
      <c r="M128" s="25" t="n"/>
      <c r="N128" s="27" t="n"/>
      <c r="O128" s="24">
        <f>IF(B128="","",IF(M128="","TAK",IFERROR(INDEX(Ustawienia!$K$4:$K$8,MATCH(M128,Ustawienia!$J$4:$J$8,0)),"TAK")))</f>
        <v/>
      </c>
      <c r="P128" s="28">
        <f>IF(OR(B128="",D128=""),"",IFERROR(INDEX('Dane rozpisek'!$B$2:$B$2600,MATCH(S128,'Dane rozpisek'!$H$2:$H$2600,0))&amp;": "&amp;INDEX('Dane rozpisek'!$E$2:$E$2600,MATCH(S128,'Dane rozpisek'!$H$2:$H$2600,0))&amp;IF(COUNTIF('Dane rozpisek'!$H$2:$H$2600,S128)&gt;1," (+"&amp;(COUNTIF('Dane rozpisek'!$H$2:$H$2600,S128)-1)&amp;")",""),"—"))</f>
        <v/>
      </c>
      <c r="Q128" s="24">
        <f>IF(AND(B128&lt;&gt;"",D128&lt;&gt;"",OR('Historia wózka'!$B$4="",B128='Historia wózka'!$B$4),D128&gt;='Historia wózka'!$B$5,D128&lt;='Historia wózka'!$B$6),D128+ROW()/1000000,0)</f>
        <v/>
      </c>
      <c r="R128" s="24">
        <f>IF(O128="TAK",IF(D128="",0,D128)+ROW()/1000000,0)</f>
        <v/>
      </c>
      <c r="S128" s="24">
        <f>IF(OR(B128="",D128=""),"",B128&amp;"|"&amp;D128)</f>
        <v/>
      </c>
    </row>
    <row r="129">
      <c r="A129" s="24">
        <f>IF(B129="","",ROW()-4)</f>
        <v/>
      </c>
      <c r="B129" s="25" t="n"/>
      <c r="C129" s="24">
        <f>IF(B129="","",IFERROR(INDEX('Wózki'!$B$2:$B$500,MATCH(B129,'Wózki'!$A$2:$A$500,0))&amp;"",""))</f>
        <v/>
      </c>
      <c r="D129" s="26" t="n"/>
      <c r="E129" s="25" t="n"/>
      <c r="F129" s="25" t="n"/>
      <c r="G129" s="24">
        <f>IF(F129="","",IFERROR(INDEX(Pracownicy!$B$2:$B$2000,MATCH(F129,Pracownicy!$A$2:$A$2000,0))&amp;"",""))</f>
        <v/>
      </c>
      <c r="H129" s="25" t="n"/>
      <c r="I129" s="25" t="n"/>
      <c r="J129" s="25" t="n"/>
      <c r="K129" s="27" t="n"/>
      <c r="L129" s="25" t="n"/>
      <c r="M129" s="25" t="n"/>
      <c r="N129" s="27" t="n"/>
      <c r="O129" s="24">
        <f>IF(B129="","",IF(M129="","TAK",IFERROR(INDEX(Ustawienia!$K$4:$K$8,MATCH(M129,Ustawienia!$J$4:$J$8,0)),"TAK")))</f>
        <v/>
      </c>
      <c r="P129" s="28">
        <f>IF(OR(B129="",D129=""),"",IFERROR(INDEX('Dane rozpisek'!$B$2:$B$2600,MATCH(S129,'Dane rozpisek'!$H$2:$H$2600,0))&amp;": "&amp;INDEX('Dane rozpisek'!$E$2:$E$2600,MATCH(S129,'Dane rozpisek'!$H$2:$H$2600,0))&amp;IF(COUNTIF('Dane rozpisek'!$H$2:$H$2600,S129)&gt;1," (+"&amp;(COUNTIF('Dane rozpisek'!$H$2:$H$2600,S129)-1)&amp;")",""),"—"))</f>
        <v/>
      </c>
      <c r="Q129" s="24">
        <f>IF(AND(B129&lt;&gt;"",D129&lt;&gt;"",OR('Historia wózka'!$B$4="",B129='Historia wózka'!$B$4),D129&gt;='Historia wózka'!$B$5,D129&lt;='Historia wózka'!$B$6),D129+ROW()/1000000,0)</f>
        <v/>
      </c>
      <c r="R129" s="24">
        <f>IF(O129="TAK",IF(D129="",0,D129)+ROW()/1000000,0)</f>
        <v/>
      </c>
      <c r="S129" s="24">
        <f>IF(OR(B129="",D129=""),"",B129&amp;"|"&amp;D129)</f>
        <v/>
      </c>
    </row>
    <row r="130">
      <c r="A130" s="24">
        <f>IF(B130="","",ROW()-4)</f>
        <v/>
      </c>
      <c r="B130" s="25" t="n"/>
      <c r="C130" s="24">
        <f>IF(B130="","",IFERROR(INDEX('Wózki'!$B$2:$B$500,MATCH(B130,'Wózki'!$A$2:$A$500,0))&amp;"",""))</f>
        <v/>
      </c>
      <c r="D130" s="26" t="n"/>
      <c r="E130" s="25" t="n"/>
      <c r="F130" s="25" t="n"/>
      <c r="G130" s="24">
        <f>IF(F130="","",IFERROR(INDEX(Pracownicy!$B$2:$B$2000,MATCH(F130,Pracownicy!$A$2:$A$2000,0))&amp;"",""))</f>
        <v/>
      </c>
      <c r="H130" s="25" t="n"/>
      <c r="I130" s="25" t="n"/>
      <c r="J130" s="25" t="n"/>
      <c r="K130" s="27" t="n"/>
      <c r="L130" s="25" t="n"/>
      <c r="M130" s="25" t="n"/>
      <c r="N130" s="27" t="n"/>
      <c r="O130" s="24">
        <f>IF(B130="","",IF(M130="","TAK",IFERROR(INDEX(Ustawienia!$K$4:$K$8,MATCH(M130,Ustawienia!$J$4:$J$8,0)),"TAK")))</f>
        <v/>
      </c>
      <c r="P130" s="28">
        <f>IF(OR(B130="",D130=""),"",IFERROR(INDEX('Dane rozpisek'!$B$2:$B$2600,MATCH(S130,'Dane rozpisek'!$H$2:$H$2600,0))&amp;": "&amp;INDEX('Dane rozpisek'!$E$2:$E$2600,MATCH(S130,'Dane rozpisek'!$H$2:$H$2600,0))&amp;IF(COUNTIF('Dane rozpisek'!$H$2:$H$2600,S130)&gt;1," (+"&amp;(COUNTIF('Dane rozpisek'!$H$2:$H$2600,S130)-1)&amp;")",""),"—"))</f>
        <v/>
      </c>
      <c r="Q130" s="24">
        <f>IF(AND(B130&lt;&gt;"",D130&lt;&gt;"",OR('Historia wózka'!$B$4="",B130='Historia wózka'!$B$4),D130&gt;='Historia wózka'!$B$5,D130&lt;='Historia wózka'!$B$6),D130+ROW()/1000000,0)</f>
        <v/>
      </c>
      <c r="R130" s="24">
        <f>IF(O130="TAK",IF(D130="",0,D130)+ROW()/1000000,0)</f>
        <v/>
      </c>
      <c r="S130" s="24">
        <f>IF(OR(B130="",D130=""),"",B130&amp;"|"&amp;D130)</f>
        <v/>
      </c>
    </row>
    <row r="131">
      <c r="A131" s="24">
        <f>IF(B131="","",ROW()-4)</f>
        <v/>
      </c>
      <c r="B131" s="25" t="n"/>
      <c r="C131" s="24">
        <f>IF(B131="","",IFERROR(INDEX('Wózki'!$B$2:$B$500,MATCH(B131,'Wózki'!$A$2:$A$500,0))&amp;"",""))</f>
        <v/>
      </c>
      <c r="D131" s="26" t="n"/>
      <c r="E131" s="25" t="n"/>
      <c r="F131" s="25" t="n"/>
      <c r="G131" s="24">
        <f>IF(F131="","",IFERROR(INDEX(Pracownicy!$B$2:$B$2000,MATCH(F131,Pracownicy!$A$2:$A$2000,0))&amp;"",""))</f>
        <v/>
      </c>
      <c r="H131" s="25" t="n"/>
      <c r="I131" s="25" t="n"/>
      <c r="J131" s="25" t="n"/>
      <c r="K131" s="27" t="n"/>
      <c r="L131" s="25" t="n"/>
      <c r="M131" s="25" t="n"/>
      <c r="N131" s="27" t="n"/>
      <c r="O131" s="24">
        <f>IF(B131="","",IF(M131="","TAK",IFERROR(INDEX(Ustawienia!$K$4:$K$8,MATCH(M131,Ustawienia!$J$4:$J$8,0)),"TAK")))</f>
        <v/>
      </c>
      <c r="P131" s="28">
        <f>IF(OR(B131="",D131=""),"",IFERROR(INDEX('Dane rozpisek'!$B$2:$B$2600,MATCH(S131,'Dane rozpisek'!$H$2:$H$2600,0))&amp;": "&amp;INDEX('Dane rozpisek'!$E$2:$E$2600,MATCH(S131,'Dane rozpisek'!$H$2:$H$2600,0))&amp;IF(COUNTIF('Dane rozpisek'!$H$2:$H$2600,S131)&gt;1," (+"&amp;(COUNTIF('Dane rozpisek'!$H$2:$H$2600,S131)-1)&amp;")",""),"—"))</f>
        <v/>
      </c>
      <c r="Q131" s="24">
        <f>IF(AND(B131&lt;&gt;"",D131&lt;&gt;"",OR('Historia wózka'!$B$4="",B131='Historia wózka'!$B$4),D131&gt;='Historia wózka'!$B$5,D131&lt;='Historia wózka'!$B$6),D131+ROW()/1000000,0)</f>
        <v/>
      </c>
      <c r="R131" s="24">
        <f>IF(O131="TAK",IF(D131="",0,D131)+ROW()/1000000,0)</f>
        <v/>
      </c>
      <c r="S131" s="24">
        <f>IF(OR(B131="",D131=""),"",B131&amp;"|"&amp;D131)</f>
        <v/>
      </c>
    </row>
    <row r="132">
      <c r="A132" s="24">
        <f>IF(B132="","",ROW()-4)</f>
        <v/>
      </c>
      <c r="B132" s="25" t="n"/>
      <c r="C132" s="24">
        <f>IF(B132="","",IFERROR(INDEX('Wózki'!$B$2:$B$500,MATCH(B132,'Wózki'!$A$2:$A$500,0))&amp;"",""))</f>
        <v/>
      </c>
      <c r="D132" s="26" t="n"/>
      <c r="E132" s="25" t="n"/>
      <c r="F132" s="25" t="n"/>
      <c r="G132" s="24">
        <f>IF(F132="","",IFERROR(INDEX(Pracownicy!$B$2:$B$2000,MATCH(F132,Pracownicy!$A$2:$A$2000,0))&amp;"",""))</f>
        <v/>
      </c>
      <c r="H132" s="25" t="n"/>
      <c r="I132" s="25" t="n"/>
      <c r="J132" s="25" t="n"/>
      <c r="K132" s="27" t="n"/>
      <c r="L132" s="25" t="n"/>
      <c r="M132" s="25" t="n"/>
      <c r="N132" s="27" t="n"/>
      <c r="O132" s="24">
        <f>IF(B132="","",IF(M132="","TAK",IFERROR(INDEX(Ustawienia!$K$4:$K$8,MATCH(M132,Ustawienia!$J$4:$J$8,0)),"TAK")))</f>
        <v/>
      </c>
      <c r="P132" s="28">
        <f>IF(OR(B132="",D132=""),"",IFERROR(INDEX('Dane rozpisek'!$B$2:$B$2600,MATCH(S132,'Dane rozpisek'!$H$2:$H$2600,0))&amp;": "&amp;INDEX('Dane rozpisek'!$E$2:$E$2600,MATCH(S132,'Dane rozpisek'!$H$2:$H$2600,0))&amp;IF(COUNTIF('Dane rozpisek'!$H$2:$H$2600,S132)&gt;1," (+"&amp;(COUNTIF('Dane rozpisek'!$H$2:$H$2600,S132)-1)&amp;")",""),"—"))</f>
        <v/>
      </c>
      <c r="Q132" s="24">
        <f>IF(AND(B132&lt;&gt;"",D132&lt;&gt;"",OR('Historia wózka'!$B$4="",B132='Historia wózka'!$B$4),D132&gt;='Historia wózka'!$B$5,D132&lt;='Historia wózka'!$B$6),D132+ROW()/1000000,0)</f>
        <v/>
      </c>
      <c r="R132" s="24">
        <f>IF(O132="TAK",IF(D132="",0,D132)+ROW()/1000000,0)</f>
        <v/>
      </c>
      <c r="S132" s="24">
        <f>IF(OR(B132="",D132=""),"",B132&amp;"|"&amp;D132)</f>
        <v/>
      </c>
    </row>
    <row r="133">
      <c r="A133" s="24">
        <f>IF(B133="","",ROW()-4)</f>
        <v/>
      </c>
      <c r="B133" s="25" t="n"/>
      <c r="C133" s="24">
        <f>IF(B133="","",IFERROR(INDEX('Wózki'!$B$2:$B$500,MATCH(B133,'Wózki'!$A$2:$A$500,0))&amp;"",""))</f>
        <v/>
      </c>
      <c r="D133" s="26" t="n"/>
      <c r="E133" s="25" t="n"/>
      <c r="F133" s="25" t="n"/>
      <c r="G133" s="24">
        <f>IF(F133="","",IFERROR(INDEX(Pracownicy!$B$2:$B$2000,MATCH(F133,Pracownicy!$A$2:$A$2000,0))&amp;"",""))</f>
        <v/>
      </c>
      <c r="H133" s="25" t="n"/>
      <c r="I133" s="25" t="n"/>
      <c r="J133" s="25" t="n"/>
      <c r="K133" s="27" t="n"/>
      <c r="L133" s="25" t="n"/>
      <c r="M133" s="25" t="n"/>
      <c r="N133" s="27" t="n"/>
      <c r="O133" s="24">
        <f>IF(B133="","",IF(M133="","TAK",IFERROR(INDEX(Ustawienia!$K$4:$K$8,MATCH(M133,Ustawienia!$J$4:$J$8,0)),"TAK")))</f>
        <v/>
      </c>
      <c r="P133" s="28">
        <f>IF(OR(B133="",D133=""),"",IFERROR(INDEX('Dane rozpisek'!$B$2:$B$2600,MATCH(S133,'Dane rozpisek'!$H$2:$H$2600,0))&amp;": "&amp;INDEX('Dane rozpisek'!$E$2:$E$2600,MATCH(S133,'Dane rozpisek'!$H$2:$H$2600,0))&amp;IF(COUNTIF('Dane rozpisek'!$H$2:$H$2600,S133)&gt;1," (+"&amp;(COUNTIF('Dane rozpisek'!$H$2:$H$2600,S133)-1)&amp;")",""),"—"))</f>
        <v/>
      </c>
      <c r="Q133" s="24">
        <f>IF(AND(B133&lt;&gt;"",D133&lt;&gt;"",OR('Historia wózka'!$B$4="",B133='Historia wózka'!$B$4),D133&gt;='Historia wózka'!$B$5,D133&lt;='Historia wózka'!$B$6),D133+ROW()/1000000,0)</f>
        <v/>
      </c>
      <c r="R133" s="24">
        <f>IF(O133="TAK",IF(D133="",0,D133)+ROW()/1000000,0)</f>
        <v/>
      </c>
      <c r="S133" s="24">
        <f>IF(OR(B133="",D133=""),"",B133&amp;"|"&amp;D133)</f>
        <v/>
      </c>
    </row>
    <row r="134">
      <c r="A134" s="24">
        <f>IF(B134="","",ROW()-4)</f>
        <v/>
      </c>
      <c r="B134" s="25" t="n"/>
      <c r="C134" s="24">
        <f>IF(B134="","",IFERROR(INDEX('Wózki'!$B$2:$B$500,MATCH(B134,'Wózki'!$A$2:$A$500,0))&amp;"",""))</f>
        <v/>
      </c>
      <c r="D134" s="26" t="n"/>
      <c r="E134" s="25" t="n"/>
      <c r="F134" s="25" t="n"/>
      <c r="G134" s="24">
        <f>IF(F134="","",IFERROR(INDEX(Pracownicy!$B$2:$B$2000,MATCH(F134,Pracownicy!$A$2:$A$2000,0))&amp;"",""))</f>
        <v/>
      </c>
      <c r="H134" s="25" t="n"/>
      <c r="I134" s="25" t="n"/>
      <c r="J134" s="25" t="n"/>
      <c r="K134" s="27" t="n"/>
      <c r="L134" s="25" t="n"/>
      <c r="M134" s="25" t="n"/>
      <c r="N134" s="27" t="n"/>
      <c r="O134" s="24">
        <f>IF(B134="","",IF(M134="","TAK",IFERROR(INDEX(Ustawienia!$K$4:$K$8,MATCH(M134,Ustawienia!$J$4:$J$8,0)),"TAK")))</f>
        <v/>
      </c>
      <c r="P134" s="28">
        <f>IF(OR(B134="",D134=""),"",IFERROR(INDEX('Dane rozpisek'!$B$2:$B$2600,MATCH(S134,'Dane rozpisek'!$H$2:$H$2600,0))&amp;": "&amp;INDEX('Dane rozpisek'!$E$2:$E$2600,MATCH(S134,'Dane rozpisek'!$H$2:$H$2600,0))&amp;IF(COUNTIF('Dane rozpisek'!$H$2:$H$2600,S134)&gt;1," (+"&amp;(COUNTIF('Dane rozpisek'!$H$2:$H$2600,S134)-1)&amp;")",""),"—"))</f>
        <v/>
      </c>
      <c r="Q134" s="24">
        <f>IF(AND(B134&lt;&gt;"",D134&lt;&gt;"",OR('Historia wózka'!$B$4="",B134='Historia wózka'!$B$4),D134&gt;='Historia wózka'!$B$5,D134&lt;='Historia wózka'!$B$6),D134+ROW()/1000000,0)</f>
        <v/>
      </c>
      <c r="R134" s="24">
        <f>IF(O134="TAK",IF(D134="",0,D134)+ROW()/1000000,0)</f>
        <v/>
      </c>
      <c r="S134" s="24">
        <f>IF(OR(B134="",D134=""),"",B134&amp;"|"&amp;D134)</f>
        <v/>
      </c>
    </row>
    <row r="135">
      <c r="A135" s="24">
        <f>IF(B135="","",ROW()-4)</f>
        <v/>
      </c>
      <c r="B135" s="25" t="n"/>
      <c r="C135" s="24">
        <f>IF(B135="","",IFERROR(INDEX('Wózki'!$B$2:$B$500,MATCH(B135,'Wózki'!$A$2:$A$500,0))&amp;"",""))</f>
        <v/>
      </c>
      <c r="D135" s="26" t="n"/>
      <c r="E135" s="25" t="n"/>
      <c r="F135" s="25" t="n"/>
      <c r="G135" s="24">
        <f>IF(F135="","",IFERROR(INDEX(Pracownicy!$B$2:$B$2000,MATCH(F135,Pracownicy!$A$2:$A$2000,0))&amp;"",""))</f>
        <v/>
      </c>
      <c r="H135" s="25" t="n"/>
      <c r="I135" s="25" t="n"/>
      <c r="J135" s="25" t="n"/>
      <c r="K135" s="27" t="n"/>
      <c r="L135" s="25" t="n"/>
      <c r="M135" s="25" t="n"/>
      <c r="N135" s="27" t="n"/>
      <c r="O135" s="24">
        <f>IF(B135="","",IF(M135="","TAK",IFERROR(INDEX(Ustawienia!$K$4:$K$8,MATCH(M135,Ustawienia!$J$4:$J$8,0)),"TAK")))</f>
        <v/>
      </c>
      <c r="P135" s="28">
        <f>IF(OR(B135="",D135=""),"",IFERROR(INDEX('Dane rozpisek'!$B$2:$B$2600,MATCH(S135,'Dane rozpisek'!$H$2:$H$2600,0))&amp;": "&amp;INDEX('Dane rozpisek'!$E$2:$E$2600,MATCH(S135,'Dane rozpisek'!$H$2:$H$2600,0))&amp;IF(COUNTIF('Dane rozpisek'!$H$2:$H$2600,S135)&gt;1," (+"&amp;(COUNTIF('Dane rozpisek'!$H$2:$H$2600,S135)-1)&amp;")",""),"—"))</f>
        <v/>
      </c>
      <c r="Q135" s="24">
        <f>IF(AND(B135&lt;&gt;"",D135&lt;&gt;"",OR('Historia wózka'!$B$4="",B135='Historia wózka'!$B$4),D135&gt;='Historia wózka'!$B$5,D135&lt;='Historia wózka'!$B$6),D135+ROW()/1000000,0)</f>
        <v/>
      </c>
      <c r="R135" s="24">
        <f>IF(O135="TAK",IF(D135="",0,D135)+ROW()/1000000,0)</f>
        <v/>
      </c>
      <c r="S135" s="24">
        <f>IF(OR(B135="",D135=""),"",B135&amp;"|"&amp;D135)</f>
        <v/>
      </c>
    </row>
    <row r="136">
      <c r="A136" s="24">
        <f>IF(B136="","",ROW()-4)</f>
        <v/>
      </c>
      <c r="B136" s="25" t="n"/>
      <c r="C136" s="24">
        <f>IF(B136="","",IFERROR(INDEX('Wózki'!$B$2:$B$500,MATCH(B136,'Wózki'!$A$2:$A$500,0))&amp;"",""))</f>
        <v/>
      </c>
      <c r="D136" s="26" t="n"/>
      <c r="E136" s="25" t="n"/>
      <c r="F136" s="25" t="n"/>
      <c r="G136" s="24">
        <f>IF(F136="","",IFERROR(INDEX(Pracownicy!$B$2:$B$2000,MATCH(F136,Pracownicy!$A$2:$A$2000,0))&amp;"",""))</f>
        <v/>
      </c>
      <c r="H136" s="25" t="n"/>
      <c r="I136" s="25" t="n"/>
      <c r="J136" s="25" t="n"/>
      <c r="K136" s="27" t="n"/>
      <c r="L136" s="25" t="n"/>
      <c r="M136" s="25" t="n"/>
      <c r="N136" s="27" t="n"/>
      <c r="O136" s="24">
        <f>IF(B136="","",IF(M136="","TAK",IFERROR(INDEX(Ustawienia!$K$4:$K$8,MATCH(M136,Ustawienia!$J$4:$J$8,0)),"TAK")))</f>
        <v/>
      </c>
      <c r="P136" s="28">
        <f>IF(OR(B136="",D136=""),"",IFERROR(INDEX('Dane rozpisek'!$B$2:$B$2600,MATCH(S136,'Dane rozpisek'!$H$2:$H$2600,0))&amp;": "&amp;INDEX('Dane rozpisek'!$E$2:$E$2600,MATCH(S136,'Dane rozpisek'!$H$2:$H$2600,0))&amp;IF(COUNTIF('Dane rozpisek'!$H$2:$H$2600,S136)&gt;1," (+"&amp;(COUNTIF('Dane rozpisek'!$H$2:$H$2600,S136)-1)&amp;")",""),"—"))</f>
        <v/>
      </c>
      <c r="Q136" s="24">
        <f>IF(AND(B136&lt;&gt;"",D136&lt;&gt;"",OR('Historia wózka'!$B$4="",B136='Historia wózka'!$B$4),D136&gt;='Historia wózka'!$B$5,D136&lt;='Historia wózka'!$B$6),D136+ROW()/1000000,0)</f>
        <v/>
      </c>
      <c r="R136" s="24">
        <f>IF(O136="TAK",IF(D136="",0,D136)+ROW()/1000000,0)</f>
        <v/>
      </c>
      <c r="S136" s="24">
        <f>IF(OR(B136="",D136=""),"",B136&amp;"|"&amp;D136)</f>
        <v/>
      </c>
    </row>
    <row r="137">
      <c r="A137" s="24">
        <f>IF(B137="","",ROW()-4)</f>
        <v/>
      </c>
      <c r="B137" s="25" t="n"/>
      <c r="C137" s="24">
        <f>IF(B137="","",IFERROR(INDEX('Wózki'!$B$2:$B$500,MATCH(B137,'Wózki'!$A$2:$A$500,0))&amp;"",""))</f>
        <v/>
      </c>
      <c r="D137" s="26" t="n"/>
      <c r="E137" s="25" t="n"/>
      <c r="F137" s="25" t="n"/>
      <c r="G137" s="24">
        <f>IF(F137="","",IFERROR(INDEX(Pracownicy!$B$2:$B$2000,MATCH(F137,Pracownicy!$A$2:$A$2000,0))&amp;"",""))</f>
        <v/>
      </c>
      <c r="H137" s="25" t="n"/>
      <c r="I137" s="25" t="n"/>
      <c r="J137" s="25" t="n"/>
      <c r="K137" s="27" t="n"/>
      <c r="L137" s="25" t="n"/>
      <c r="M137" s="25" t="n"/>
      <c r="N137" s="27" t="n"/>
      <c r="O137" s="24">
        <f>IF(B137="","",IF(M137="","TAK",IFERROR(INDEX(Ustawienia!$K$4:$K$8,MATCH(M137,Ustawienia!$J$4:$J$8,0)),"TAK")))</f>
        <v/>
      </c>
      <c r="P137" s="28">
        <f>IF(OR(B137="",D137=""),"",IFERROR(INDEX('Dane rozpisek'!$B$2:$B$2600,MATCH(S137,'Dane rozpisek'!$H$2:$H$2600,0))&amp;": "&amp;INDEX('Dane rozpisek'!$E$2:$E$2600,MATCH(S137,'Dane rozpisek'!$H$2:$H$2600,0))&amp;IF(COUNTIF('Dane rozpisek'!$H$2:$H$2600,S137)&gt;1," (+"&amp;(COUNTIF('Dane rozpisek'!$H$2:$H$2600,S137)-1)&amp;")",""),"—"))</f>
        <v/>
      </c>
      <c r="Q137" s="24">
        <f>IF(AND(B137&lt;&gt;"",D137&lt;&gt;"",OR('Historia wózka'!$B$4="",B137='Historia wózka'!$B$4),D137&gt;='Historia wózka'!$B$5,D137&lt;='Historia wózka'!$B$6),D137+ROW()/1000000,0)</f>
        <v/>
      </c>
      <c r="R137" s="24">
        <f>IF(O137="TAK",IF(D137="",0,D137)+ROW()/1000000,0)</f>
        <v/>
      </c>
      <c r="S137" s="24">
        <f>IF(OR(B137="",D137=""),"",B137&amp;"|"&amp;D137)</f>
        <v/>
      </c>
    </row>
    <row r="138">
      <c r="A138" s="24">
        <f>IF(B138="","",ROW()-4)</f>
        <v/>
      </c>
      <c r="B138" s="25" t="n"/>
      <c r="C138" s="24">
        <f>IF(B138="","",IFERROR(INDEX('Wózki'!$B$2:$B$500,MATCH(B138,'Wózki'!$A$2:$A$500,0))&amp;"",""))</f>
        <v/>
      </c>
      <c r="D138" s="26" t="n"/>
      <c r="E138" s="25" t="n"/>
      <c r="F138" s="25" t="n"/>
      <c r="G138" s="24">
        <f>IF(F138="","",IFERROR(INDEX(Pracownicy!$B$2:$B$2000,MATCH(F138,Pracownicy!$A$2:$A$2000,0))&amp;"",""))</f>
        <v/>
      </c>
      <c r="H138" s="25" t="n"/>
      <c r="I138" s="25" t="n"/>
      <c r="J138" s="25" t="n"/>
      <c r="K138" s="27" t="n"/>
      <c r="L138" s="25" t="n"/>
      <c r="M138" s="25" t="n"/>
      <c r="N138" s="27" t="n"/>
      <c r="O138" s="24">
        <f>IF(B138="","",IF(M138="","TAK",IFERROR(INDEX(Ustawienia!$K$4:$K$8,MATCH(M138,Ustawienia!$J$4:$J$8,0)),"TAK")))</f>
        <v/>
      </c>
      <c r="P138" s="28">
        <f>IF(OR(B138="",D138=""),"",IFERROR(INDEX('Dane rozpisek'!$B$2:$B$2600,MATCH(S138,'Dane rozpisek'!$H$2:$H$2600,0))&amp;": "&amp;INDEX('Dane rozpisek'!$E$2:$E$2600,MATCH(S138,'Dane rozpisek'!$H$2:$H$2600,0))&amp;IF(COUNTIF('Dane rozpisek'!$H$2:$H$2600,S138)&gt;1," (+"&amp;(COUNTIF('Dane rozpisek'!$H$2:$H$2600,S138)-1)&amp;")",""),"—"))</f>
        <v/>
      </c>
      <c r="Q138" s="24">
        <f>IF(AND(B138&lt;&gt;"",D138&lt;&gt;"",OR('Historia wózka'!$B$4="",B138='Historia wózka'!$B$4),D138&gt;='Historia wózka'!$B$5,D138&lt;='Historia wózka'!$B$6),D138+ROW()/1000000,0)</f>
        <v/>
      </c>
      <c r="R138" s="24">
        <f>IF(O138="TAK",IF(D138="",0,D138)+ROW()/1000000,0)</f>
        <v/>
      </c>
      <c r="S138" s="24">
        <f>IF(OR(B138="",D138=""),"",B138&amp;"|"&amp;D138)</f>
        <v/>
      </c>
    </row>
    <row r="139">
      <c r="A139" s="24">
        <f>IF(B139="","",ROW()-4)</f>
        <v/>
      </c>
      <c r="B139" s="25" t="n"/>
      <c r="C139" s="24">
        <f>IF(B139="","",IFERROR(INDEX('Wózki'!$B$2:$B$500,MATCH(B139,'Wózki'!$A$2:$A$500,0))&amp;"",""))</f>
        <v/>
      </c>
      <c r="D139" s="26" t="n"/>
      <c r="E139" s="25" t="n"/>
      <c r="F139" s="25" t="n"/>
      <c r="G139" s="24">
        <f>IF(F139="","",IFERROR(INDEX(Pracownicy!$B$2:$B$2000,MATCH(F139,Pracownicy!$A$2:$A$2000,0))&amp;"",""))</f>
        <v/>
      </c>
      <c r="H139" s="25" t="n"/>
      <c r="I139" s="25" t="n"/>
      <c r="J139" s="25" t="n"/>
      <c r="K139" s="27" t="n"/>
      <c r="L139" s="25" t="n"/>
      <c r="M139" s="25" t="n"/>
      <c r="N139" s="27" t="n"/>
      <c r="O139" s="24">
        <f>IF(B139="","",IF(M139="","TAK",IFERROR(INDEX(Ustawienia!$K$4:$K$8,MATCH(M139,Ustawienia!$J$4:$J$8,0)),"TAK")))</f>
        <v/>
      </c>
      <c r="P139" s="28">
        <f>IF(OR(B139="",D139=""),"",IFERROR(INDEX('Dane rozpisek'!$B$2:$B$2600,MATCH(S139,'Dane rozpisek'!$H$2:$H$2600,0))&amp;": "&amp;INDEX('Dane rozpisek'!$E$2:$E$2600,MATCH(S139,'Dane rozpisek'!$H$2:$H$2600,0))&amp;IF(COUNTIF('Dane rozpisek'!$H$2:$H$2600,S139)&gt;1," (+"&amp;(COUNTIF('Dane rozpisek'!$H$2:$H$2600,S139)-1)&amp;")",""),"—"))</f>
        <v/>
      </c>
      <c r="Q139" s="24">
        <f>IF(AND(B139&lt;&gt;"",D139&lt;&gt;"",OR('Historia wózka'!$B$4="",B139='Historia wózka'!$B$4),D139&gt;='Historia wózka'!$B$5,D139&lt;='Historia wózka'!$B$6),D139+ROW()/1000000,0)</f>
        <v/>
      </c>
      <c r="R139" s="24">
        <f>IF(O139="TAK",IF(D139="",0,D139)+ROW()/1000000,0)</f>
        <v/>
      </c>
      <c r="S139" s="24">
        <f>IF(OR(B139="",D139=""),"",B139&amp;"|"&amp;D139)</f>
        <v/>
      </c>
    </row>
    <row r="140">
      <c r="A140" s="24">
        <f>IF(B140="","",ROW()-4)</f>
        <v/>
      </c>
      <c r="B140" s="25" t="n"/>
      <c r="C140" s="24">
        <f>IF(B140="","",IFERROR(INDEX('Wózki'!$B$2:$B$500,MATCH(B140,'Wózki'!$A$2:$A$500,0))&amp;"",""))</f>
        <v/>
      </c>
      <c r="D140" s="26" t="n"/>
      <c r="E140" s="25" t="n"/>
      <c r="F140" s="25" t="n"/>
      <c r="G140" s="24">
        <f>IF(F140="","",IFERROR(INDEX(Pracownicy!$B$2:$B$2000,MATCH(F140,Pracownicy!$A$2:$A$2000,0))&amp;"",""))</f>
        <v/>
      </c>
      <c r="H140" s="25" t="n"/>
      <c r="I140" s="25" t="n"/>
      <c r="J140" s="25" t="n"/>
      <c r="K140" s="27" t="n"/>
      <c r="L140" s="25" t="n"/>
      <c r="M140" s="25" t="n"/>
      <c r="N140" s="27" t="n"/>
      <c r="O140" s="24">
        <f>IF(B140="","",IF(M140="","TAK",IFERROR(INDEX(Ustawienia!$K$4:$K$8,MATCH(M140,Ustawienia!$J$4:$J$8,0)),"TAK")))</f>
        <v/>
      </c>
      <c r="P140" s="28">
        <f>IF(OR(B140="",D140=""),"",IFERROR(INDEX('Dane rozpisek'!$B$2:$B$2600,MATCH(S140,'Dane rozpisek'!$H$2:$H$2600,0))&amp;": "&amp;INDEX('Dane rozpisek'!$E$2:$E$2600,MATCH(S140,'Dane rozpisek'!$H$2:$H$2600,0))&amp;IF(COUNTIF('Dane rozpisek'!$H$2:$H$2600,S140)&gt;1," (+"&amp;(COUNTIF('Dane rozpisek'!$H$2:$H$2600,S140)-1)&amp;")",""),"—"))</f>
        <v/>
      </c>
      <c r="Q140" s="24">
        <f>IF(AND(B140&lt;&gt;"",D140&lt;&gt;"",OR('Historia wózka'!$B$4="",B140='Historia wózka'!$B$4),D140&gt;='Historia wózka'!$B$5,D140&lt;='Historia wózka'!$B$6),D140+ROW()/1000000,0)</f>
        <v/>
      </c>
      <c r="R140" s="24">
        <f>IF(O140="TAK",IF(D140="",0,D140)+ROW()/1000000,0)</f>
        <v/>
      </c>
      <c r="S140" s="24">
        <f>IF(OR(B140="",D140=""),"",B140&amp;"|"&amp;D140)</f>
        <v/>
      </c>
    </row>
    <row r="141">
      <c r="A141" s="24">
        <f>IF(B141="","",ROW()-4)</f>
        <v/>
      </c>
      <c r="B141" s="25" t="n"/>
      <c r="C141" s="24">
        <f>IF(B141="","",IFERROR(INDEX('Wózki'!$B$2:$B$500,MATCH(B141,'Wózki'!$A$2:$A$500,0))&amp;"",""))</f>
        <v/>
      </c>
      <c r="D141" s="26" t="n"/>
      <c r="E141" s="25" t="n"/>
      <c r="F141" s="25" t="n"/>
      <c r="G141" s="24">
        <f>IF(F141="","",IFERROR(INDEX(Pracownicy!$B$2:$B$2000,MATCH(F141,Pracownicy!$A$2:$A$2000,0))&amp;"",""))</f>
        <v/>
      </c>
      <c r="H141" s="25" t="n"/>
      <c r="I141" s="25" t="n"/>
      <c r="J141" s="25" t="n"/>
      <c r="K141" s="27" t="n"/>
      <c r="L141" s="25" t="n"/>
      <c r="M141" s="25" t="n"/>
      <c r="N141" s="27" t="n"/>
      <c r="O141" s="24">
        <f>IF(B141="","",IF(M141="","TAK",IFERROR(INDEX(Ustawienia!$K$4:$K$8,MATCH(M141,Ustawienia!$J$4:$J$8,0)),"TAK")))</f>
        <v/>
      </c>
      <c r="P141" s="28">
        <f>IF(OR(B141="",D141=""),"",IFERROR(INDEX('Dane rozpisek'!$B$2:$B$2600,MATCH(S141,'Dane rozpisek'!$H$2:$H$2600,0))&amp;": "&amp;INDEX('Dane rozpisek'!$E$2:$E$2600,MATCH(S141,'Dane rozpisek'!$H$2:$H$2600,0))&amp;IF(COUNTIF('Dane rozpisek'!$H$2:$H$2600,S141)&gt;1," (+"&amp;(COUNTIF('Dane rozpisek'!$H$2:$H$2600,S141)-1)&amp;")",""),"—"))</f>
        <v/>
      </c>
      <c r="Q141" s="24">
        <f>IF(AND(B141&lt;&gt;"",D141&lt;&gt;"",OR('Historia wózka'!$B$4="",B141='Historia wózka'!$B$4),D141&gt;='Historia wózka'!$B$5,D141&lt;='Historia wózka'!$B$6),D141+ROW()/1000000,0)</f>
        <v/>
      </c>
      <c r="R141" s="24">
        <f>IF(O141="TAK",IF(D141="",0,D141)+ROW()/1000000,0)</f>
        <v/>
      </c>
      <c r="S141" s="24">
        <f>IF(OR(B141="",D141=""),"",B141&amp;"|"&amp;D141)</f>
        <v/>
      </c>
    </row>
    <row r="142">
      <c r="A142" s="24">
        <f>IF(B142="","",ROW()-4)</f>
        <v/>
      </c>
      <c r="B142" s="25" t="n"/>
      <c r="C142" s="24">
        <f>IF(B142="","",IFERROR(INDEX('Wózki'!$B$2:$B$500,MATCH(B142,'Wózki'!$A$2:$A$500,0))&amp;"",""))</f>
        <v/>
      </c>
      <c r="D142" s="26" t="n"/>
      <c r="E142" s="25" t="n"/>
      <c r="F142" s="25" t="n"/>
      <c r="G142" s="24">
        <f>IF(F142="","",IFERROR(INDEX(Pracownicy!$B$2:$B$2000,MATCH(F142,Pracownicy!$A$2:$A$2000,0))&amp;"",""))</f>
        <v/>
      </c>
      <c r="H142" s="25" t="n"/>
      <c r="I142" s="25" t="n"/>
      <c r="J142" s="25" t="n"/>
      <c r="K142" s="27" t="n"/>
      <c r="L142" s="25" t="n"/>
      <c r="M142" s="25" t="n"/>
      <c r="N142" s="27" t="n"/>
      <c r="O142" s="24">
        <f>IF(B142="","",IF(M142="","TAK",IFERROR(INDEX(Ustawienia!$K$4:$K$8,MATCH(M142,Ustawienia!$J$4:$J$8,0)),"TAK")))</f>
        <v/>
      </c>
      <c r="P142" s="28">
        <f>IF(OR(B142="",D142=""),"",IFERROR(INDEX('Dane rozpisek'!$B$2:$B$2600,MATCH(S142,'Dane rozpisek'!$H$2:$H$2600,0))&amp;": "&amp;INDEX('Dane rozpisek'!$E$2:$E$2600,MATCH(S142,'Dane rozpisek'!$H$2:$H$2600,0))&amp;IF(COUNTIF('Dane rozpisek'!$H$2:$H$2600,S142)&gt;1," (+"&amp;(COUNTIF('Dane rozpisek'!$H$2:$H$2600,S142)-1)&amp;")",""),"—"))</f>
        <v/>
      </c>
      <c r="Q142" s="24">
        <f>IF(AND(B142&lt;&gt;"",D142&lt;&gt;"",OR('Historia wózka'!$B$4="",B142='Historia wózka'!$B$4),D142&gt;='Historia wózka'!$B$5,D142&lt;='Historia wózka'!$B$6),D142+ROW()/1000000,0)</f>
        <v/>
      </c>
      <c r="R142" s="24">
        <f>IF(O142="TAK",IF(D142="",0,D142)+ROW()/1000000,0)</f>
        <v/>
      </c>
      <c r="S142" s="24">
        <f>IF(OR(B142="",D142=""),"",B142&amp;"|"&amp;D142)</f>
        <v/>
      </c>
    </row>
    <row r="143">
      <c r="A143" s="24">
        <f>IF(B143="","",ROW()-4)</f>
        <v/>
      </c>
      <c r="B143" s="25" t="n"/>
      <c r="C143" s="24">
        <f>IF(B143="","",IFERROR(INDEX('Wózki'!$B$2:$B$500,MATCH(B143,'Wózki'!$A$2:$A$500,0))&amp;"",""))</f>
        <v/>
      </c>
      <c r="D143" s="26" t="n"/>
      <c r="E143" s="25" t="n"/>
      <c r="F143" s="25" t="n"/>
      <c r="G143" s="24">
        <f>IF(F143="","",IFERROR(INDEX(Pracownicy!$B$2:$B$2000,MATCH(F143,Pracownicy!$A$2:$A$2000,0))&amp;"",""))</f>
        <v/>
      </c>
      <c r="H143" s="25" t="n"/>
      <c r="I143" s="25" t="n"/>
      <c r="J143" s="25" t="n"/>
      <c r="K143" s="27" t="n"/>
      <c r="L143" s="25" t="n"/>
      <c r="M143" s="25" t="n"/>
      <c r="N143" s="27" t="n"/>
      <c r="O143" s="24">
        <f>IF(B143="","",IF(M143="","TAK",IFERROR(INDEX(Ustawienia!$K$4:$K$8,MATCH(M143,Ustawienia!$J$4:$J$8,0)),"TAK")))</f>
        <v/>
      </c>
      <c r="P143" s="28">
        <f>IF(OR(B143="",D143=""),"",IFERROR(INDEX('Dane rozpisek'!$B$2:$B$2600,MATCH(S143,'Dane rozpisek'!$H$2:$H$2600,0))&amp;": "&amp;INDEX('Dane rozpisek'!$E$2:$E$2600,MATCH(S143,'Dane rozpisek'!$H$2:$H$2600,0))&amp;IF(COUNTIF('Dane rozpisek'!$H$2:$H$2600,S143)&gt;1," (+"&amp;(COUNTIF('Dane rozpisek'!$H$2:$H$2600,S143)-1)&amp;")",""),"—"))</f>
        <v/>
      </c>
      <c r="Q143" s="24">
        <f>IF(AND(B143&lt;&gt;"",D143&lt;&gt;"",OR('Historia wózka'!$B$4="",B143='Historia wózka'!$B$4),D143&gt;='Historia wózka'!$B$5,D143&lt;='Historia wózka'!$B$6),D143+ROW()/1000000,0)</f>
        <v/>
      </c>
      <c r="R143" s="24">
        <f>IF(O143="TAK",IF(D143="",0,D143)+ROW()/1000000,0)</f>
        <v/>
      </c>
      <c r="S143" s="24">
        <f>IF(OR(B143="",D143=""),"",B143&amp;"|"&amp;D143)</f>
        <v/>
      </c>
    </row>
    <row r="144">
      <c r="A144" s="24">
        <f>IF(B144="","",ROW()-4)</f>
        <v/>
      </c>
      <c r="B144" s="25" t="n"/>
      <c r="C144" s="24">
        <f>IF(B144="","",IFERROR(INDEX('Wózki'!$B$2:$B$500,MATCH(B144,'Wózki'!$A$2:$A$500,0))&amp;"",""))</f>
        <v/>
      </c>
      <c r="D144" s="26" t="n"/>
      <c r="E144" s="25" t="n"/>
      <c r="F144" s="25" t="n"/>
      <c r="G144" s="24">
        <f>IF(F144="","",IFERROR(INDEX(Pracownicy!$B$2:$B$2000,MATCH(F144,Pracownicy!$A$2:$A$2000,0))&amp;"",""))</f>
        <v/>
      </c>
      <c r="H144" s="25" t="n"/>
      <c r="I144" s="25" t="n"/>
      <c r="J144" s="25" t="n"/>
      <c r="K144" s="27" t="n"/>
      <c r="L144" s="25" t="n"/>
      <c r="M144" s="25" t="n"/>
      <c r="N144" s="27" t="n"/>
      <c r="O144" s="24">
        <f>IF(B144="","",IF(M144="","TAK",IFERROR(INDEX(Ustawienia!$K$4:$K$8,MATCH(M144,Ustawienia!$J$4:$J$8,0)),"TAK")))</f>
        <v/>
      </c>
      <c r="P144" s="28">
        <f>IF(OR(B144="",D144=""),"",IFERROR(INDEX('Dane rozpisek'!$B$2:$B$2600,MATCH(S144,'Dane rozpisek'!$H$2:$H$2600,0))&amp;": "&amp;INDEX('Dane rozpisek'!$E$2:$E$2600,MATCH(S144,'Dane rozpisek'!$H$2:$H$2600,0))&amp;IF(COUNTIF('Dane rozpisek'!$H$2:$H$2600,S144)&gt;1," (+"&amp;(COUNTIF('Dane rozpisek'!$H$2:$H$2600,S144)-1)&amp;")",""),"—"))</f>
        <v/>
      </c>
      <c r="Q144" s="24">
        <f>IF(AND(B144&lt;&gt;"",D144&lt;&gt;"",OR('Historia wózka'!$B$4="",B144='Historia wózka'!$B$4),D144&gt;='Historia wózka'!$B$5,D144&lt;='Historia wózka'!$B$6),D144+ROW()/1000000,0)</f>
        <v/>
      </c>
      <c r="R144" s="24">
        <f>IF(O144="TAK",IF(D144="",0,D144)+ROW()/1000000,0)</f>
        <v/>
      </c>
      <c r="S144" s="24">
        <f>IF(OR(B144="",D144=""),"",B144&amp;"|"&amp;D144)</f>
        <v/>
      </c>
    </row>
    <row r="145">
      <c r="A145" s="24">
        <f>IF(B145="","",ROW()-4)</f>
        <v/>
      </c>
      <c r="B145" s="25" t="n"/>
      <c r="C145" s="24">
        <f>IF(B145="","",IFERROR(INDEX('Wózki'!$B$2:$B$500,MATCH(B145,'Wózki'!$A$2:$A$500,0))&amp;"",""))</f>
        <v/>
      </c>
      <c r="D145" s="26" t="n"/>
      <c r="E145" s="25" t="n"/>
      <c r="F145" s="25" t="n"/>
      <c r="G145" s="24">
        <f>IF(F145="","",IFERROR(INDEX(Pracownicy!$B$2:$B$2000,MATCH(F145,Pracownicy!$A$2:$A$2000,0))&amp;"",""))</f>
        <v/>
      </c>
      <c r="H145" s="25" t="n"/>
      <c r="I145" s="25" t="n"/>
      <c r="J145" s="25" t="n"/>
      <c r="K145" s="27" t="n"/>
      <c r="L145" s="25" t="n"/>
      <c r="M145" s="25" t="n"/>
      <c r="N145" s="27" t="n"/>
      <c r="O145" s="24">
        <f>IF(B145="","",IF(M145="","TAK",IFERROR(INDEX(Ustawienia!$K$4:$K$8,MATCH(M145,Ustawienia!$J$4:$J$8,0)),"TAK")))</f>
        <v/>
      </c>
      <c r="P145" s="28">
        <f>IF(OR(B145="",D145=""),"",IFERROR(INDEX('Dane rozpisek'!$B$2:$B$2600,MATCH(S145,'Dane rozpisek'!$H$2:$H$2600,0))&amp;": "&amp;INDEX('Dane rozpisek'!$E$2:$E$2600,MATCH(S145,'Dane rozpisek'!$H$2:$H$2600,0))&amp;IF(COUNTIF('Dane rozpisek'!$H$2:$H$2600,S145)&gt;1," (+"&amp;(COUNTIF('Dane rozpisek'!$H$2:$H$2600,S145)-1)&amp;")",""),"—"))</f>
        <v/>
      </c>
      <c r="Q145" s="24">
        <f>IF(AND(B145&lt;&gt;"",D145&lt;&gt;"",OR('Historia wózka'!$B$4="",B145='Historia wózka'!$B$4),D145&gt;='Historia wózka'!$B$5,D145&lt;='Historia wózka'!$B$6),D145+ROW()/1000000,0)</f>
        <v/>
      </c>
      <c r="R145" s="24">
        <f>IF(O145="TAK",IF(D145="",0,D145)+ROW()/1000000,0)</f>
        <v/>
      </c>
      <c r="S145" s="24">
        <f>IF(OR(B145="",D145=""),"",B145&amp;"|"&amp;D145)</f>
        <v/>
      </c>
    </row>
    <row r="146">
      <c r="A146" s="24">
        <f>IF(B146="","",ROW()-4)</f>
        <v/>
      </c>
      <c r="B146" s="25" t="n"/>
      <c r="C146" s="24">
        <f>IF(B146="","",IFERROR(INDEX('Wózki'!$B$2:$B$500,MATCH(B146,'Wózki'!$A$2:$A$500,0))&amp;"",""))</f>
        <v/>
      </c>
      <c r="D146" s="26" t="n"/>
      <c r="E146" s="25" t="n"/>
      <c r="F146" s="25" t="n"/>
      <c r="G146" s="24">
        <f>IF(F146="","",IFERROR(INDEX(Pracownicy!$B$2:$B$2000,MATCH(F146,Pracownicy!$A$2:$A$2000,0))&amp;"",""))</f>
        <v/>
      </c>
      <c r="H146" s="25" t="n"/>
      <c r="I146" s="25" t="n"/>
      <c r="J146" s="25" t="n"/>
      <c r="K146" s="27" t="n"/>
      <c r="L146" s="25" t="n"/>
      <c r="M146" s="25" t="n"/>
      <c r="N146" s="27" t="n"/>
      <c r="O146" s="24">
        <f>IF(B146="","",IF(M146="","TAK",IFERROR(INDEX(Ustawienia!$K$4:$K$8,MATCH(M146,Ustawienia!$J$4:$J$8,0)),"TAK")))</f>
        <v/>
      </c>
      <c r="P146" s="28">
        <f>IF(OR(B146="",D146=""),"",IFERROR(INDEX('Dane rozpisek'!$B$2:$B$2600,MATCH(S146,'Dane rozpisek'!$H$2:$H$2600,0))&amp;": "&amp;INDEX('Dane rozpisek'!$E$2:$E$2600,MATCH(S146,'Dane rozpisek'!$H$2:$H$2600,0))&amp;IF(COUNTIF('Dane rozpisek'!$H$2:$H$2600,S146)&gt;1," (+"&amp;(COUNTIF('Dane rozpisek'!$H$2:$H$2600,S146)-1)&amp;")",""),"—"))</f>
        <v/>
      </c>
      <c r="Q146" s="24">
        <f>IF(AND(B146&lt;&gt;"",D146&lt;&gt;"",OR('Historia wózka'!$B$4="",B146='Historia wózka'!$B$4),D146&gt;='Historia wózka'!$B$5,D146&lt;='Historia wózka'!$B$6),D146+ROW()/1000000,0)</f>
        <v/>
      </c>
      <c r="R146" s="24">
        <f>IF(O146="TAK",IF(D146="",0,D146)+ROW()/1000000,0)</f>
        <v/>
      </c>
      <c r="S146" s="24">
        <f>IF(OR(B146="",D146=""),"",B146&amp;"|"&amp;D146)</f>
        <v/>
      </c>
    </row>
    <row r="147">
      <c r="A147" s="24">
        <f>IF(B147="","",ROW()-4)</f>
        <v/>
      </c>
      <c r="B147" s="25" t="n"/>
      <c r="C147" s="24">
        <f>IF(B147="","",IFERROR(INDEX('Wózki'!$B$2:$B$500,MATCH(B147,'Wózki'!$A$2:$A$500,0))&amp;"",""))</f>
        <v/>
      </c>
      <c r="D147" s="26" t="n"/>
      <c r="E147" s="25" t="n"/>
      <c r="F147" s="25" t="n"/>
      <c r="G147" s="24">
        <f>IF(F147="","",IFERROR(INDEX(Pracownicy!$B$2:$B$2000,MATCH(F147,Pracownicy!$A$2:$A$2000,0))&amp;"",""))</f>
        <v/>
      </c>
      <c r="H147" s="25" t="n"/>
      <c r="I147" s="25" t="n"/>
      <c r="J147" s="25" t="n"/>
      <c r="K147" s="27" t="n"/>
      <c r="L147" s="25" t="n"/>
      <c r="M147" s="25" t="n"/>
      <c r="N147" s="27" t="n"/>
      <c r="O147" s="24">
        <f>IF(B147="","",IF(M147="","TAK",IFERROR(INDEX(Ustawienia!$K$4:$K$8,MATCH(M147,Ustawienia!$J$4:$J$8,0)),"TAK")))</f>
        <v/>
      </c>
      <c r="P147" s="28">
        <f>IF(OR(B147="",D147=""),"",IFERROR(INDEX('Dane rozpisek'!$B$2:$B$2600,MATCH(S147,'Dane rozpisek'!$H$2:$H$2600,0))&amp;": "&amp;INDEX('Dane rozpisek'!$E$2:$E$2600,MATCH(S147,'Dane rozpisek'!$H$2:$H$2600,0))&amp;IF(COUNTIF('Dane rozpisek'!$H$2:$H$2600,S147)&gt;1," (+"&amp;(COUNTIF('Dane rozpisek'!$H$2:$H$2600,S147)-1)&amp;")",""),"—"))</f>
        <v/>
      </c>
      <c r="Q147" s="24">
        <f>IF(AND(B147&lt;&gt;"",D147&lt;&gt;"",OR('Historia wózka'!$B$4="",B147='Historia wózka'!$B$4),D147&gt;='Historia wózka'!$B$5,D147&lt;='Historia wózka'!$B$6),D147+ROW()/1000000,0)</f>
        <v/>
      </c>
      <c r="R147" s="24">
        <f>IF(O147="TAK",IF(D147="",0,D147)+ROW()/1000000,0)</f>
        <v/>
      </c>
      <c r="S147" s="24">
        <f>IF(OR(B147="",D147=""),"",B147&amp;"|"&amp;D147)</f>
        <v/>
      </c>
    </row>
    <row r="148">
      <c r="A148" s="24">
        <f>IF(B148="","",ROW()-4)</f>
        <v/>
      </c>
      <c r="B148" s="25" t="n"/>
      <c r="C148" s="24">
        <f>IF(B148="","",IFERROR(INDEX('Wózki'!$B$2:$B$500,MATCH(B148,'Wózki'!$A$2:$A$500,0))&amp;"",""))</f>
        <v/>
      </c>
      <c r="D148" s="26" t="n"/>
      <c r="E148" s="25" t="n"/>
      <c r="F148" s="25" t="n"/>
      <c r="G148" s="24">
        <f>IF(F148="","",IFERROR(INDEX(Pracownicy!$B$2:$B$2000,MATCH(F148,Pracownicy!$A$2:$A$2000,0))&amp;"",""))</f>
        <v/>
      </c>
      <c r="H148" s="25" t="n"/>
      <c r="I148" s="25" t="n"/>
      <c r="J148" s="25" t="n"/>
      <c r="K148" s="27" t="n"/>
      <c r="L148" s="25" t="n"/>
      <c r="M148" s="25" t="n"/>
      <c r="N148" s="27" t="n"/>
      <c r="O148" s="24">
        <f>IF(B148="","",IF(M148="","TAK",IFERROR(INDEX(Ustawienia!$K$4:$K$8,MATCH(M148,Ustawienia!$J$4:$J$8,0)),"TAK")))</f>
        <v/>
      </c>
      <c r="P148" s="28">
        <f>IF(OR(B148="",D148=""),"",IFERROR(INDEX('Dane rozpisek'!$B$2:$B$2600,MATCH(S148,'Dane rozpisek'!$H$2:$H$2600,0))&amp;": "&amp;INDEX('Dane rozpisek'!$E$2:$E$2600,MATCH(S148,'Dane rozpisek'!$H$2:$H$2600,0))&amp;IF(COUNTIF('Dane rozpisek'!$H$2:$H$2600,S148)&gt;1," (+"&amp;(COUNTIF('Dane rozpisek'!$H$2:$H$2600,S148)-1)&amp;")",""),"—"))</f>
        <v/>
      </c>
      <c r="Q148" s="24">
        <f>IF(AND(B148&lt;&gt;"",D148&lt;&gt;"",OR('Historia wózka'!$B$4="",B148='Historia wózka'!$B$4),D148&gt;='Historia wózka'!$B$5,D148&lt;='Historia wózka'!$B$6),D148+ROW()/1000000,0)</f>
        <v/>
      </c>
      <c r="R148" s="24">
        <f>IF(O148="TAK",IF(D148="",0,D148)+ROW()/1000000,0)</f>
        <v/>
      </c>
      <c r="S148" s="24">
        <f>IF(OR(B148="",D148=""),"",B148&amp;"|"&amp;D148)</f>
        <v/>
      </c>
    </row>
    <row r="149">
      <c r="A149" s="24">
        <f>IF(B149="","",ROW()-4)</f>
        <v/>
      </c>
      <c r="B149" s="25" t="n"/>
      <c r="C149" s="24">
        <f>IF(B149="","",IFERROR(INDEX('Wózki'!$B$2:$B$500,MATCH(B149,'Wózki'!$A$2:$A$500,0))&amp;"",""))</f>
        <v/>
      </c>
      <c r="D149" s="26" t="n"/>
      <c r="E149" s="25" t="n"/>
      <c r="F149" s="25" t="n"/>
      <c r="G149" s="24">
        <f>IF(F149="","",IFERROR(INDEX(Pracownicy!$B$2:$B$2000,MATCH(F149,Pracownicy!$A$2:$A$2000,0))&amp;"",""))</f>
        <v/>
      </c>
      <c r="H149" s="25" t="n"/>
      <c r="I149" s="25" t="n"/>
      <c r="J149" s="25" t="n"/>
      <c r="K149" s="27" t="n"/>
      <c r="L149" s="25" t="n"/>
      <c r="M149" s="25" t="n"/>
      <c r="N149" s="27" t="n"/>
      <c r="O149" s="24">
        <f>IF(B149="","",IF(M149="","TAK",IFERROR(INDEX(Ustawienia!$K$4:$K$8,MATCH(M149,Ustawienia!$J$4:$J$8,0)),"TAK")))</f>
        <v/>
      </c>
      <c r="P149" s="28">
        <f>IF(OR(B149="",D149=""),"",IFERROR(INDEX('Dane rozpisek'!$B$2:$B$2600,MATCH(S149,'Dane rozpisek'!$H$2:$H$2600,0))&amp;": "&amp;INDEX('Dane rozpisek'!$E$2:$E$2600,MATCH(S149,'Dane rozpisek'!$H$2:$H$2600,0))&amp;IF(COUNTIF('Dane rozpisek'!$H$2:$H$2600,S149)&gt;1," (+"&amp;(COUNTIF('Dane rozpisek'!$H$2:$H$2600,S149)-1)&amp;")",""),"—"))</f>
        <v/>
      </c>
      <c r="Q149" s="24">
        <f>IF(AND(B149&lt;&gt;"",D149&lt;&gt;"",OR('Historia wózka'!$B$4="",B149='Historia wózka'!$B$4),D149&gt;='Historia wózka'!$B$5,D149&lt;='Historia wózka'!$B$6),D149+ROW()/1000000,0)</f>
        <v/>
      </c>
      <c r="R149" s="24">
        <f>IF(O149="TAK",IF(D149="",0,D149)+ROW()/1000000,0)</f>
        <v/>
      </c>
      <c r="S149" s="24">
        <f>IF(OR(B149="",D149=""),"",B149&amp;"|"&amp;D149)</f>
        <v/>
      </c>
    </row>
    <row r="150">
      <c r="A150" s="24">
        <f>IF(B150="","",ROW()-4)</f>
        <v/>
      </c>
      <c r="B150" s="25" t="n"/>
      <c r="C150" s="24">
        <f>IF(B150="","",IFERROR(INDEX('Wózki'!$B$2:$B$500,MATCH(B150,'Wózki'!$A$2:$A$500,0))&amp;"",""))</f>
        <v/>
      </c>
      <c r="D150" s="26" t="n"/>
      <c r="E150" s="25" t="n"/>
      <c r="F150" s="25" t="n"/>
      <c r="G150" s="24">
        <f>IF(F150="","",IFERROR(INDEX(Pracownicy!$B$2:$B$2000,MATCH(F150,Pracownicy!$A$2:$A$2000,0))&amp;"",""))</f>
        <v/>
      </c>
      <c r="H150" s="25" t="n"/>
      <c r="I150" s="25" t="n"/>
      <c r="J150" s="25" t="n"/>
      <c r="K150" s="27" t="n"/>
      <c r="L150" s="25" t="n"/>
      <c r="M150" s="25" t="n"/>
      <c r="N150" s="27" t="n"/>
      <c r="O150" s="24">
        <f>IF(B150="","",IF(M150="","TAK",IFERROR(INDEX(Ustawienia!$K$4:$K$8,MATCH(M150,Ustawienia!$J$4:$J$8,0)),"TAK")))</f>
        <v/>
      </c>
      <c r="P150" s="28">
        <f>IF(OR(B150="",D150=""),"",IFERROR(INDEX('Dane rozpisek'!$B$2:$B$2600,MATCH(S150,'Dane rozpisek'!$H$2:$H$2600,0))&amp;": "&amp;INDEX('Dane rozpisek'!$E$2:$E$2600,MATCH(S150,'Dane rozpisek'!$H$2:$H$2600,0))&amp;IF(COUNTIF('Dane rozpisek'!$H$2:$H$2600,S150)&gt;1," (+"&amp;(COUNTIF('Dane rozpisek'!$H$2:$H$2600,S150)-1)&amp;")",""),"—"))</f>
        <v/>
      </c>
      <c r="Q150" s="24">
        <f>IF(AND(B150&lt;&gt;"",D150&lt;&gt;"",OR('Historia wózka'!$B$4="",B150='Historia wózka'!$B$4),D150&gt;='Historia wózka'!$B$5,D150&lt;='Historia wózka'!$B$6),D150+ROW()/1000000,0)</f>
        <v/>
      </c>
      <c r="R150" s="24">
        <f>IF(O150="TAK",IF(D150="",0,D150)+ROW()/1000000,0)</f>
        <v/>
      </c>
      <c r="S150" s="24">
        <f>IF(OR(B150="",D150=""),"",B150&amp;"|"&amp;D150)</f>
        <v/>
      </c>
    </row>
    <row r="151">
      <c r="A151" s="24">
        <f>IF(B151="","",ROW()-4)</f>
        <v/>
      </c>
      <c r="B151" s="25" t="n"/>
      <c r="C151" s="24">
        <f>IF(B151="","",IFERROR(INDEX('Wózki'!$B$2:$B$500,MATCH(B151,'Wózki'!$A$2:$A$500,0))&amp;"",""))</f>
        <v/>
      </c>
      <c r="D151" s="26" t="n"/>
      <c r="E151" s="25" t="n"/>
      <c r="F151" s="25" t="n"/>
      <c r="G151" s="24">
        <f>IF(F151="","",IFERROR(INDEX(Pracownicy!$B$2:$B$2000,MATCH(F151,Pracownicy!$A$2:$A$2000,0))&amp;"",""))</f>
        <v/>
      </c>
      <c r="H151" s="25" t="n"/>
      <c r="I151" s="25" t="n"/>
      <c r="J151" s="25" t="n"/>
      <c r="K151" s="27" t="n"/>
      <c r="L151" s="25" t="n"/>
      <c r="M151" s="25" t="n"/>
      <c r="N151" s="27" t="n"/>
      <c r="O151" s="24">
        <f>IF(B151="","",IF(M151="","TAK",IFERROR(INDEX(Ustawienia!$K$4:$K$8,MATCH(M151,Ustawienia!$J$4:$J$8,0)),"TAK")))</f>
        <v/>
      </c>
      <c r="P151" s="28">
        <f>IF(OR(B151="",D151=""),"",IFERROR(INDEX('Dane rozpisek'!$B$2:$B$2600,MATCH(S151,'Dane rozpisek'!$H$2:$H$2600,0))&amp;": "&amp;INDEX('Dane rozpisek'!$E$2:$E$2600,MATCH(S151,'Dane rozpisek'!$H$2:$H$2600,0))&amp;IF(COUNTIF('Dane rozpisek'!$H$2:$H$2600,S151)&gt;1," (+"&amp;(COUNTIF('Dane rozpisek'!$H$2:$H$2600,S151)-1)&amp;")",""),"—"))</f>
        <v/>
      </c>
      <c r="Q151" s="24">
        <f>IF(AND(B151&lt;&gt;"",D151&lt;&gt;"",OR('Historia wózka'!$B$4="",B151='Historia wózka'!$B$4),D151&gt;='Historia wózka'!$B$5,D151&lt;='Historia wózka'!$B$6),D151+ROW()/1000000,0)</f>
        <v/>
      </c>
      <c r="R151" s="24">
        <f>IF(O151="TAK",IF(D151="",0,D151)+ROW()/1000000,0)</f>
        <v/>
      </c>
      <c r="S151" s="24">
        <f>IF(OR(B151="",D151=""),"",B151&amp;"|"&amp;D151)</f>
        <v/>
      </c>
    </row>
    <row r="152">
      <c r="A152" s="24">
        <f>IF(B152="","",ROW()-4)</f>
        <v/>
      </c>
      <c r="B152" s="25" t="n"/>
      <c r="C152" s="24">
        <f>IF(B152="","",IFERROR(INDEX('Wózki'!$B$2:$B$500,MATCH(B152,'Wózki'!$A$2:$A$500,0))&amp;"",""))</f>
        <v/>
      </c>
      <c r="D152" s="26" t="n"/>
      <c r="E152" s="25" t="n"/>
      <c r="F152" s="25" t="n"/>
      <c r="G152" s="24">
        <f>IF(F152="","",IFERROR(INDEX(Pracownicy!$B$2:$B$2000,MATCH(F152,Pracownicy!$A$2:$A$2000,0))&amp;"",""))</f>
        <v/>
      </c>
      <c r="H152" s="25" t="n"/>
      <c r="I152" s="25" t="n"/>
      <c r="J152" s="25" t="n"/>
      <c r="K152" s="27" t="n"/>
      <c r="L152" s="25" t="n"/>
      <c r="M152" s="25" t="n"/>
      <c r="N152" s="27" t="n"/>
      <c r="O152" s="24">
        <f>IF(B152="","",IF(M152="","TAK",IFERROR(INDEX(Ustawienia!$K$4:$K$8,MATCH(M152,Ustawienia!$J$4:$J$8,0)),"TAK")))</f>
        <v/>
      </c>
      <c r="P152" s="28">
        <f>IF(OR(B152="",D152=""),"",IFERROR(INDEX('Dane rozpisek'!$B$2:$B$2600,MATCH(S152,'Dane rozpisek'!$H$2:$H$2600,0))&amp;": "&amp;INDEX('Dane rozpisek'!$E$2:$E$2600,MATCH(S152,'Dane rozpisek'!$H$2:$H$2600,0))&amp;IF(COUNTIF('Dane rozpisek'!$H$2:$H$2600,S152)&gt;1," (+"&amp;(COUNTIF('Dane rozpisek'!$H$2:$H$2600,S152)-1)&amp;")",""),"—"))</f>
        <v/>
      </c>
      <c r="Q152" s="24">
        <f>IF(AND(B152&lt;&gt;"",D152&lt;&gt;"",OR('Historia wózka'!$B$4="",B152='Historia wózka'!$B$4),D152&gt;='Historia wózka'!$B$5,D152&lt;='Historia wózka'!$B$6),D152+ROW()/1000000,0)</f>
        <v/>
      </c>
      <c r="R152" s="24">
        <f>IF(O152="TAK",IF(D152="",0,D152)+ROW()/1000000,0)</f>
        <v/>
      </c>
      <c r="S152" s="24">
        <f>IF(OR(B152="",D152=""),"",B152&amp;"|"&amp;D152)</f>
        <v/>
      </c>
    </row>
    <row r="153">
      <c r="A153" s="24">
        <f>IF(B153="","",ROW()-4)</f>
        <v/>
      </c>
      <c r="B153" s="25" t="n"/>
      <c r="C153" s="24">
        <f>IF(B153="","",IFERROR(INDEX('Wózki'!$B$2:$B$500,MATCH(B153,'Wózki'!$A$2:$A$500,0))&amp;"",""))</f>
        <v/>
      </c>
      <c r="D153" s="26" t="n"/>
      <c r="E153" s="25" t="n"/>
      <c r="F153" s="25" t="n"/>
      <c r="G153" s="24">
        <f>IF(F153="","",IFERROR(INDEX(Pracownicy!$B$2:$B$2000,MATCH(F153,Pracownicy!$A$2:$A$2000,0))&amp;"",""))</f>
        <v/>
      </c>
      <c r="H153" s="25" t="n"/>
      <c r="I153" s="25" t="n"/>
      <c r="J153" s="25" t="n"/>
      <c r="K153" s="27" t="n"/>
      <c r="L153" s="25" t="n"/>
      <c r="M153" s="25" t="n"/>
      <c r="N153" s="27" t="n"/>
      <c r="O153" s="24">
        <f>IF(B153="","",IF(M153="","TAK",IFERROR(INDEX(Ustawienia!$K$4:$K$8,MATCH(M153,Ustawienia!$J$4:$J$8,0)),"TAK")))</f>
        <v/>
      </c>
      <c r="P153" s="28">
        <f>IF(OR(B153="",D153=""),"",IFERROR(INDEX('Dane rozpisek'!$B$2:$B$2600,MATCH(S153,'Dane rozpisek'!$H$2:$H$2600,0))&amp;": "&amp;INDEX('Dane rozpisek'!$E$2:$E$2600,MATCH(S153,'Dane rozpisek'!$H$2:$H$2600,0))&amp;IF(COUNTIF('Dane rozpisek'!$H$2:$H$2600,S153)&gt;1," (+"&amp;(COUNTIF('Dane rozpisek'!$H$2:$H$2600,S153)-1)&amp;")",""),"—"))</f>
        <v/>
      </c>
      <c r="Q153" s="24">
        <f>IF(AND(B153&lt;&gt;"",D153&lt;&gt;"",OR('Historia wózka'!$B$4="",B153='Historia wózka'!$B$4),D153&gt;='Historia wózka'!$B$5,D153&lt;='Historia wózka'!$B$6),D153+ROW()/1000000,0)</f>
        <v/>
      </c>
      <c r="R153" s="24">
        <f>IF(O153="TAK",IF(D153="",0,D153)+ROW()/1000000,0)</f>
        <v/>
      </c>
      <c r="S153" s="24">
        <f>IF(OR(B153="",D153=""),"",B153&amp;"|"&amp;D153)</f>
        <v/>
      </c>
    </row>
    <row r="154">
      <c r="A154" s="24">
        <f>IF(B154="","",ROW()-4)</f>
        <v/>
      </c>
      <c r="B154" s="25" t="n"/>
      <c r="C154" s="24">
        <f>IF(B154="","",IFERROR(INDEX('Wózki'!$B$2:$B$500,MATCH(B154,'Wózki'!$A$2:$A$500,0))&amp;"",""))</f>
        <v/>
      </c>
      <c r="D154" s="26" t="n"/>
      <c r="E154" s="25" t="n"/>
      <c r="F154" s="25" t="n"/>
      <c r="G154" s="24">
        <f>IF(F154="","",IFERROR(INDEX(Pracownicy!$B$2:$B$2000,MATCH(F154,Pracownicy!$A$2:$A$2000,0))&amp;"",""))</f>
        <v/>
      </c>
      <c r="H154" s="25" t="n"/>
      <c r="I154" s="25" t="n"/>
      <c r="J154" s="25" t="n"/>
      <c r="K154" s="27" t="n"/>
      <c r="L154" s="25" t="n"/>
      <c r="M154" s="25" t="n"/>
      <c r="N154" s="27" t="n"/>
      <c r="O154" s="24">
        <f>IF(B154="","",IF(M154="","TAK",IFERROR(INDEX(Ustawienia!$K$4:$K$8,MATCH(M154,Ustawienia!$J$4:$J$8,0)),"TAK")))</f>
        <v/>
      </c>
      <c r="P154" s="28">
        <f>IF(OR(B154="",D154=""),"",IFERROR(INDEX('Dane rozpisek'!$B$2:$B$2600,MATCH(S154,'Dane rozpisek'!$H$2:$H$2600,0))&amp;": "&amp;INDEX('Dane rozpisek'!$E$2:$E$2600,MATCH(S154,'Dane rozpisek'!$H$2:$H$2600,0))&amp;IF(COUNTIF('Dane rozpisek'!$H$2:$H$2600,S154)&gt;1," (+"&amp;(COUNTIF('Dane rozpisek'!$H$2:$H$2600,S154)-1)&amp;")",""),"—"))</f>
        <v/>
      </c>
      <c r="Q154" s="24">
        <f>IF(AND(B154&lt;&gt;"",D154&lt;&gt;"",OR('Historia wózka'!$B$4="",B154='Historia wózka'!$B$4),D154&gt;='Historia wózka'!$B$5,D154&lt;='Historia wózka'!$B$6),D154+ROW()/1000000,0)</f>
        <v/>
      </c>
      <c r="R154" s="24">
        <f>IF(O154="TAK",IF(D154="",0,D154)+ROW()/1000000,0)</f>
        <v/>
      </c>
      <c r="S154" s="24">
        <f>IF(OR(B154="",D154=""),"",B154&amp;"|"&amp;D154)</f>
        <v/>
      </c>
    </row>
    <row r="155">
      <c r="A155" s="24">
        <f>IF(B155="","",ROW()-4)</f>
        <v/>
      </c>
      <c r="B155" s="25" t="n"/>
      <c r="C155" s="24">
        <f>IF(B155="","",IFERROR(INDEX('Wózki'!$B$2:$B$500,MATCH(B155,'Wózki'!$A$2:$A$500,0))&amp;"",""))</f>
        <v/>
      </c>
      <c r="D155" s="26" t="n"/>
      <c r="E155" s="25" t="n"/>
      <c r="F155" s="25" t="n"/>
      <c r="G155" s="24">
        <f>IF(F155="","",IFERROR(INDEX(Pracownicy!$B$2:$B$2000,MATCH(F155,Pracownicy!$A$2:$A$2000,0))&amp;"",""))</f>
        <v/>
      </c>
      <c r="H155" s="25" t="n"/>
      <c r="I155" s="25" t="n"/>
      <c r="J155" s="25" t="n"/>
      <c r="K155" s="27" t="n"/>
      <c r="L155" s="25" t="n"/>
      <c r="M155" s="25" t="n"/>
      <c r="N155" s="27" t="n"/>
      <c r="O155" s="24">
        <f>IF(B155="","",IF(M155="","TAK",IFERROR(INDEX(Ustawienia!$K$4:$K$8,MATCH(M155,Ustawienia!$J$4:$J$8,0)),"TAK")))</f>
        <v/>
      </c>
      <c r="P155" s="28">
        <f>IF(OR(B155="",D155=""),"",IFERROR(INDEX('Dane rozpisek'!$B$2:$B$2600,MATCH(S155,'Dane rozpisek'!$H$2:$H$2600,0))&amp;": "&amp;INDEX('Dane rozpisek'!$E$2:$E$2600,MATCH(S155,'Dane rozpisek'!$H$2:$H$2600,0))&amp;IF(COUNTIF('Dane rozpisek'!$H$2:$H$2600,S155)&gt;1," (+"&amp;(COUNTIF('Dane rozpisek'!$H$2:$H$2600,S155)-1)&amp;")",""),"—"))</f>
        <v/>
      </c>
      <c r="Q155" s="24">
        <f>IF(AND(B155&lt;&gt;"",D155&lt;&gt;"",OR('Historia wózka'!$B$4="",B155='Historia wózka'!$B$4),D155&gt;='Historia wózka'!$B$5,D155&lt;='Historia wózka'!$B$6),D155+ROW()/1000000,0)</f>
        <v/>
      </c>
      <c r="R155" s="24">
        <f>IF(O155="TAK",IF(D155="",0,D155)+ROW()/1000000,0)</f>
        <v/>
      </c>
      <c r="S155" s="24">
        <f>IF(OR(B155="",D155=""),"",B155&amp;"|"&amp;D155)</f>
        <v/>
      </c>
    </row>
    <row r="156">
      <c r="A156" s="24">
        <f>IF(B156="","",ROW()-4)</f>
        <v/>
      </c>
      <c r="B156" s="25" t="n"/>
      <c r="C156" s="24">
        <f>IF(B156="","",IFERROR(INDEX('Wózki'!$B$2:$B$500,MATCH(B156,'Wózki'!$A$2:$A$500,0))&amp;"",""))</f>
        <v/>
      </c>
      <c r="D156" s="26" t="n"/>
      <c r="E156" s="25" t="n"/>
      <c r="F156" s="25" t="n"/>
      <c r="G156" s="24">
        <f>IF(F156="","",IFERROR(INDEX(Pracownicy!$B$2:$B$2000,MATCH(F156,Pracownicy!$A$2:$A$2000,0))&amp;"",""))</f>
        <v/>
      </c>
      <c r="H156" s="25" t="n"/>
      <c r="I156" s="25" t="n"/>
      <c r="J156" s="25" t="n"/>
      <c r="K156" s="27" t="n"/>
      <c r="L156" s="25" t="n"/>
      <c r="M156" s="25" t="n"/>
      <c r="N156" s="27" t="n"/>
      <c r="O156" s="24">
        <f>IF(B156="","",IF(M156="","TAK",IFERROR(INDEX(Ustawienia!$K$4:$K$8,MATCH(M156,Ustawienia!$J$4:$J$8,0)),"TAK")))</f>
        <v/>
      </c>
      <c r="P156" s="28">
        <f>IF(OR(B156="",D156=""),"",IFERROR(INDEX('Dane rozpisek'!$B$2:$B$2600,MATCH(S156,'Dane rozpisek'!$H$2:$H$2600,0))&amp;": "&amp;INDEX('Dane rozpisek'!$E$2:$E$2600,MATCH(S156,'Dane rozpisek'!$H$2:$H$2600,0))&amp;IF(COUNTIF('Dane rozpisek'!$H$2:$H$2600,S156)&gt;1," (+"&amp;(COUNTIF('Dane rozpisek'!$H$2:$H$2600,S156)-1)&amp;")",""),"—"))</f>
        <v/>
      </c>
      <c r="Q156" s="24">
        <f>IF(AND(B156&lt;&gt;"",D156&lt;&gt;"",OR('Historia wózka'!$B$4="",B156='Historia wózka'!$B$4),D156&gt;='Historia wózka'!$B$5,D156&lt;='Historia wózka'!$B$6),D156+ROW()/1000000,0)</f>
        <v/>
      </c>
      <c r="R156" s="24">
        <f>IF(O156="TAK",IF(D156="",0,D156)+ROW()/1000000,0)</f>
        <v/>
      </c>
      <c r="S156" s="24">
        <f>IF(OR(B156="",D156=""),"",B156&amp;"|"&amp;D156)</f>
        <v/>
      </c>
    </row>
    <row r="157">
      <c r="A157" s="24">
        <f>IF(B157="","",ROW()-4)</f>
        <v/>
      </c>
      <c r="B157" s="25" t="n"/>
      <c r="C157" s="24">
        <f>IF(B157="","",IFERROR(INDEX('Wózki'!$B$2:$B$500,MATCH(B157,'Wózki'!$A$2:$A$500,0))&amp;"",""))</f>
        <v/>
      </c>
      <c r="D157" s="26" t="n"/>
      <c r="E157" s="25" t="n"/>
      <c r="F157" s="25" t="n"/>
      <c r="G157" s="24">
        <f>IF(F157="","",IFERROR(INDEX(Pracownicy!$B$2:$B$2000,MATCH(F157,Pracownicy!$A$2:$A$2000,0))&amp;"",""))</f>
        <v/>
      </c>
      <c r="H157" s="25" t="n"/>
      <c r="I157" s="25" t="n"/>
      <c r="J157" s="25" t="n"/>
      <c r="K157" s="27" t="n"/>
      <c r="L157" s="25" t="n"/>
      <c r="M157" s="25" t="n"/>
      <c r="N157" s="27" t="n"/>
      <c r="O157" s="24">
        <f>IF(B157="","",IF(M157="","TAK",IFERROR(INDEX(Ustawienia!$K$4:$K$8,MATCH(M157,Ustawienia!$J$4:$J$8,0)),"TAK")))</f>
        <v/>
      </c>
      <c r="P157" s="28">
        <f>IF(OR(B157="",D157=""),"",IFERROR(INDEX('Dane rozpisek'!$B$2:$B$2600,MATCH(S157,'Dane rozpisek'!$H$2:$H$2600,0))&amp;": "&amp;INDEX('Dane rozpisek'!$E$2:$E$2600,MATCH(S157,'Dane rozpisek'!$H$2:$H$2600,0))&amp;IF(COUNTIF('Dane rozpisek'!$H$2:$H$2600,S157)&gt;1," (+"&amp;(COUNTIF('Dane rozpisek'!$H$2:$H$2600,S157)-1)&amp;")",""),"—"))</f>
        <v/>
      </c>
      <c r="Q157" s="24">
        <f>IF(AND(B157&lt;&gt;"",D157&lt;&gt;"",OR('Historia wózka'!$B$4="",B157='Historia wózka'!$B$4),D157&gt;='Historia wózka'!$B$5,D157&lt;='Historia wózka'!$B$6),D157+ROW()/1000000,0)</f>
        <v/>
      </c>
      <c r="R157" s="24">
        <f>IF(O157="TAK",IF(D157="",0,D157)+ROW()/1000000,0)</f>
        <v/>
      </c>
      <c r="S157" s="24">
        <f>IF(OR(B157="",D157=""),"",B157&amp;"|"&amp;D157)</f>
        <v/>
      </c>
    </row>
    <row r="158">
      <c r="A158" s="24">
        <f>IF(B158="","",ROW()-4)</f>
        <v/>
      </c>
      <c r="B158" s="25" t="n"/>
      <c r="C158" s="24">
        <f>IF(B158="","",IFERROR(INDEX('Wózki'!$B$2:$B$500,MATCH(B158,'Wózki'!$A$2:$A$500,0))&amp;"",""))</f>
        <v/>
      </c>
      <c r="D158" s="26" t="n"/>
      <c r="E158" s="25" t="n"/>
      <c r="F158" s="25" t="n"/>
      <c r="G158" s="24">
        <f>IF(F158="","",IFERROR(INDEX(Pracownicy!$B$2:$B$2000,MATCH(F158,Pracownicy!$A$2:$A$2000,0))&amp;"",""))</f>
        <v/>
      </c>
      <c r="H158" s="25" t="n"/>
      <c r="I158" s="25" t="n"/>
      <c r="J158" s="25" t="n"/>
      <c r="K158" s="27" t="n"/>
      <c r="L158" s="25" t="n"/>
      <c r="M158" s="25" t="n"/>
      <c r="N158" s="27" t="n"/>
      <c r="O158" s="24">
        <f>IF(B158="","",IF(M158="","TAK",IFERROR(INDEX(Ustawienia!$K$4:$K$8,MATCH(M158,Ustawienia!$J$4:$J$8,0)),"TAK")))</f>
        <v/>
      </c>
      <c r="P158" s="28">
        <f>IF(OR(B158="",D158=""),"",IFERROR(INDEX('Dane rozpisek'!$B$2:$B$2600,MATCH(S158,'Dane rozpisek'!$H$2:$H$2600,0))&amp;": "&amp;INDEX('Dane rozpisek'!$E$2:$E$2600,MATCH(S158,'Dane rozpisek'!$H$2:$H$2600,0))&amp;IF(COUNTIF('Dane rozpisek'!$H$2:$H$2600,S158)&gt;1," (+"&amp;(COUNTIF('Dane rozpisek'!$H$2:$H$2600,S158)-1)&amp;")",""),"—"))</f>
        <v/>
      </c>
      <c r="Q158" s="24">
        <f>IF(AND(B158&lt;&gt;"",D158&lt;&gt;"",OR('Historia wózka'!$B$4="",B158='Historia wózka'!$B$4),D158&gt;='Historia wózka'!$B$5,D158&lt;='Historia wózka'!$B$6),D158+ROW()/1000000,0)</f>
        <v/>
      </c>
      <c r="R158" s="24">
        <f>IF(O158="TAK",IF(D158="",0,D158)+ROW()/1000000,0)</f>
        <v/>
      </c>
      <c r="S158" s="24">
        <f>IF(OR(B158="",D158=""),"",B158&amp;"|"&amp;D158)</f>
        <v/>
      </c>
    </row>
    <row r="159">
      <c r="A159" s="24">
        <f>IF(B159="","",ROW()-4)</f>
        <v/>
      </c>
      <c r="B159" s="25" t="n"/>
      <c r="C159" s="24">
        <f>IF(B159="","",IFERROR(INDEX('Wózki'!$B$2:$B$500,MATCH(B159,'Wózki'!$A$2:$A$500,0))&amp;"",""))</f>
        <v/>
      </c>
      <c r="D159" s="26" t="n"/>
      <c r="E159" s="25" t="n"/>
      <c r="F159" s="25" t="n"/>
      <c r="G159" s="24">
        <f>IF(F159="","",IFERROR(INDEX(Pracownicy!$B$2:$B$2000,MATCH(F159,Pracownicy!$A$2:$A$2000,0))&amp;"",""))</f>
        <v/>
      </c>
      <c r="H159" s="25" t="n"/>
      <c r="I159" s="25" t="n"/>
      <c r="J159" s="25" t="n"/>
      <c r="K159" s="27" t="n"/>
      <c r="L159" s="25" t="n"/>
      <c r="M159" s="25" t="n"/>
      <c r="N159" s="27" t="n"/>
      <c r="O159" s="24">
        <f>IF(B159="","",IF(M159="","TAK",IFERROR(INDEX(Ustawienia!$K$4:$K$8,MATCH(M159,Ustawienia!$J$4:$J$8,0)),"TAK")))</f>
        <v/>
      </c>
      <c r="P159" s="28">
        <f>IF(OR(B159="",D159=""),"",IFERROR(INDEX('Dane rozpisek'!$B$2:$B$2600,MATCH(S159,'Dane rozpisek'!$H$2:$H$2600,0))&amp;": "&amp;INDEX('Dane rozpisek'!$E$2:$E$2600,MATCH(S159,'Dane rozpisek'!$H$2:$H$2600,0))&amp;IF(COUNTIF('Dane rozpisek'!$H$2:$H$2600,S159)&gt;1," (+"&amp;(COUNTIF('Dane rozpisek'!$H$2:$H$2600,S159)-1)&amp;")",""),"—"))</f>
        <v/>
      </c>
      <c r="Q159" s="24">
        <f>IF(AND(B159&lt;&gt;"",D159&lt;&gt;"",OR('Historia wózka'!$B$4="",B159='Historia wózka'!$B$4),D159&gt;='Historia wózka'!$B$5,D159&lt;='Historia wózka'!$B$6),D159+ROW()/1000000,0)</f>
        <v/>
      </c>
      <c r="R159" s="24">
        <f>IF(O159="TAK",IF(D159="",0,D159)+ROW()/1000000,0)</f>
        <v/>
      </c>
      <c r="S159" s="24">
        <f>IF(OR(B159="",D159=""),"",B159&amp;"|"&amp;D159)</f>
        <v/>
      </c>
    </row>
    <row r="160">
      <c r="A160" s="24">
        <f>IF(B160="","",ROW()-4)</f>
        <v/>
      </c>
      <c r="B160" s="25" t="n"/>
      <c r="C160" s="24">
        <f>IF(B160="","",IFERROR(INDEX('Wózki'!$B$2:$B$500,MATCH(B160,'Wózki'!$A$2:$A$500,0))&amp;"",""))</f>
        <v/>
      </c>
      <c r="D160" s="26" t="n"/>
      <c r="E160" s="25" t="n"/>
      <c r="F160" s="25" t="n"/>
      <c r="G160" s="24">
        <f>IF(F160="","",IFERROR(INDEX(Pracownicy!$B$2:$B$2000,MATCH(F160,Pracownicy!$A$2:$A$2000,0))&amp;"",""))</f>
        <v/>
      </c>
      <c r="H160" s="25" t="n"/>
      <c r="I160" s="25" t="n"/>
      <c r="J160" s="25" t="n"/>
      <c r="K160" s="27" t="n"/>
      <c r="L160" s="25" t="n"/>
      <c r="M160" s="25" t="n"/>
      <c r="N160" s="27" t="n"/>
      <c r="O160" s="24">
        <f>IF(B160="","",IF(M160="","TAK",IFERROR(INDEX(Ustawienia!$K$4:$K$8,MATCH(M160,Ustawienia!$J$4:$J$8,0)),"TAK")))</f>
        <v/>
      </c>
      <c r="P160" s="28">
        <f>IF(OR(B160="",D160=""),"",IFERROR(INDEX('Dane rozpisek'!$B$2:$B$2600,MATCH(S160,'Dane rozpisek'!$H$2:$H$2600,0))&amp;": "&amp;INDEX('Dane rozpisek'!$E$2:$E$2600,MATCH(S160,'Dane rozpisek'!$H$2:$H$2600,0))&amp;IF(COUNTIF('Dane rozpisek'!$H$2:$H$2600,S160)&gt;1," (+"&amp;(COUNTIF('Dane rozpisek'!$H$2:$H$2600,S160)-1)&amp;")",""),"—"))</f>
        <v/>
      </c>
      <c r="Q160" s="24">
        <f>IF(AND(B160&lt;&gt;"",D160&lt;&gt;"",OR('Historia wózka'!$B$4="",B160='Historia wózka'!$B$4),D160&gt;='Historia wózka'!$B$5,D160&lt;='Historia wózka'!$B$6),D160+ROW()/1000000,0)</f>
        <v/>
      </c>
      <c r="R160" s="24">
        <f>IF(O160="TAK",IF(D160="",0,D160)+ROW()/1000000,0)</f>
        <v/>
      </c>
      <c r="S160" s="24">
        <f>IF(OR(B160="",D160=""),"",B160&amp;"|"&amp;D160)</f>
        <v/>
      </c>
    </row>
    <row r="161">
      <c r="A161" s="24">
        <f>IF(B161="","",ROW()-4)</f>
        <v/>
      </c>
      <c r="B161" s="25" t="n"/>
      <c r="C161" s="24">
        <f>IF(B161="","",IFERROR(INDEX('Wózki'!$B$2:$B$500,MATCH(B161,'Wózki'!$A$2:$A$500,0))&amp;"",""))</f>
        <v/>
      </c>
      <c r="D161" s="26" t="n"/>
      <c r="E161" s="25" t="n"/>
      <c r="F161" s="25" t="n"/>
      <c r="G161" s="24">
        <f>IF(F161="","",IFERROR(INDEX(Pracownicy!$B$2:$B$2000,MATCH(F161,Pracownicy!$A$2:$A$2000,0))&amp;"",""))</f>
        <v/>
      </c>
      <c r="H161" s="25" t="n"/>
      <c r="I161" s="25" t="n"/>
      <c r="J161" s="25" t="n"/>
      <c r="K161" s="27" t="n"/>
      <c r="L161" s="25" t="n"/>
      <c r="M161" s="25" t="n"/>
      <c r="N161" s="27" t="n"/>
      <c r="O161" s="24">
        <f>IF(B161="","",IF(M161="","TAK",IFERROR(INDEX(Ustawienia!$K$4:$K$8,MATCH(M161,Ustawienia!$J$4:$J$8,0)),"TAK")))</f>
        <v/>
      </c>
      <c r="P161" s="28">
        <f>IF(OR(B161="",D161=""),"",IFERROR(INDEX('Dane rozpisek'!$B$2:$B$2600,MATCH(S161,'Dane rozpisek'!$H$2:$H$2600,0))&amp;": "&amp;INDEX('Dane rozpisek'!$E$2:$E$2600,MATCH(S161,'Dane rozpisek'!$H$2:$H$2600,0))&amp;IF(COUNTIF('Dane rozpisek'!$H$2:$H$2600,S161)&gt;1," (+"&amp;(COUNTIF('Dane rozpisek'!$H$2:$H$2600,S161)-1)&amp;")",""),"—"))</f>
        <v/>
      </c>
      <c r="Q161" s="24">
        <f>IF(AND(B161&lt;&gt;"",D161&lt;&gt;"",OR('Historia wózka'!$B$4="",B161='Historia wózka'!$B$4),D161&gt;='Historia wózka'!$B$5,D161&lt;='Historia wózka'!$B$6),D161+ROW()/1000000,0)</f>
        <v/>
      </c>
      <c r="R161" s="24">
        <f>IF(O161="TAK",IF(D161="",0,D161)+ROW()/1000000,0)</f>
        <v/>
      </c>
      <c r="S161" s="24">
        <f>IF(OR(B161="",D161=""),"",B161&amp;"|"&amp;D161)</f>
        <v/>
      </c>
    </row>
    <row r="162">
      <c r="A162" s="24">
        <f>IF(B162="","",ROW()-4)</f>
        <v/>
      </c>
      <c r="B162" s="25" t="n"/>
      <c r="C162" s="24">
        <f>IF(B162="","",IFERROR(INDEX('Wózki'!$B$2:$B$500,MATCH(B162,'Wózki'!$A$2:$A$500,0))&amp;"",""))</f>
        <v/>
      </c>
      <c r="D162" s="26" t="n"/>
      <c r="E162" s="25" t="n"/>
      <c r="F162" s="25" t="n"/>
      <c r="G162" s="24">
        <f>IF(F162="","",IFERROR(INDEX(Pracownicy!$B$2:$B$2000,MATCH(F162,Pracownicy!$A$2:$A$2000,0))&amp;"",""))</f>
        <v/>
      </c>
      <c r="H162" s="25" t="n"/>
      <c r="I162" s="25" t="n"/>
      <c r="J162" s="25" t="n"/>
      <c r="K162" s="27" t="n"/>
      <c r="L162" s="25" t="n"/>
      <c r="M162" s="25" t="n"/>
      <c r="N162" s="27" t="n"/>
      <c r="O162" s="24">
        <f>IF(B162="","",IF(M162="","TAK",IFERROR(INDEX(Ustawienia!$K$4:$K$8,MATCH(M162,Ustawienia!$J$4:$J$8,0)),"TAK")))</f>
        <v/>
      </c>
      <c r="P162" s="28">
        <f>IF(OR(B162="",D162=""),"",IFERROR(INDEX('Dane rozpisek'!$B$2:$B$2600,MATCH(S162,'Dane rozpisek'!$H$2:$H$2600,0))&amp;": "&amp;INDEX('Dane rozpisek'!$E$2:$E$2600,MATCH(S162,'Dane rozpisek'!$H$2:$H$2600,0))&amp;IF(COUNTIF('Dane rozpisek'!$H$2:$H$2600,S162)&gt;1," (+"&amp;(COUNTIF('Dane rozpisek'!$H$2:$H$2600,S162)-1)&amp;")",""),"—"))</f>
        <v/>
      </c>
      <c r="Q162" s="24">
        <f>IF(AND(B162&lt;&gt;"",D162&lt;&gt;"",OR('Historia wózka'!$B$4="",B162='Historia wózka'!$B$4),D162&gt;='Historia wózka'!$B$5,D162&lt;='Historia wózka'!$B$6),D162+ROW()/1000000,0)</f>
        <v/>
      </c>
      <c r="R162" s="24">
        <f>IF(O162="TAK",IF(D162="",0,D162)+ROW()/1000000,0)</f>
        <v/>
      </c>
      <c r="S162" s="24">
        <f>IF(OR(B162="",D162=""),"",B162&amp;"|"&amp;D162)</f>
        <v/>
      </c>
    </row>
    <row r="163">
      <c r="A163" s="24">
        <f>IF(B163="","",ROW()-4)</f>
        <v/>
      </c>
      <c r="B163" s="25" t="n"/>
      <c r="C163" s="24">
        <f>IF(B163="","",IFERROR(INDEX('Wózki'!$B$2:$B$500,MATCH(B163,'Wózki'!$A$2:$A$500,0))&amp;"",""))</f>
        <v/>
      </c>
      <c r="D163" s="26" t="n"/>
      <c r="E163" s="25" t="n"/>
      <c r="F163" s="25" t="n"/>
      <c r="G163" s="24">
        <f>IF(F163="","",IFERROR(INDEX(Pracownicy!$B$2:$B$2000,MATCH(F163,Pracownicy!$A$2:$A$2000,0))&amp;"",""))</f>
        <v/>
      </c>
      <c r="H163" s="25" t="n"/>
      <c r="I163" s="25" t="n"/>
      <c r="J163" s="25" t="n"/>
      <c r="K163" s="27" t="n"/>
      <c r="L163" s="25" t="n"/>
      <c r="M163" s="25" t="n"/>
      <c r="N163" s="27" t="n"/>
      <c r="O163" s="24">
        <f>IF(B163="","",IF(M163="","TAK",IFERROR(INDEX(Ustawienia!$K$4:$K$8,MATCH(M163,Ustawienia!$J$4:$J$8,0)),"TAK")))</f>
        <v/>
      </c>
      <c r="P163" s="28">
        <f>IF(OR(B163="",D163=""),"",IFERROR(INDEX('Dane rozpisek'!$B$2:$B$2600,MATCH(S163,'Dane rozpisek'!$H$2:$H$2600,0))&amp;": "&amp;INDEX('Dane rozpisek'!$E$2:$E$2600,MATCH(S163,'Dane rozpisek'!$H$2:$H$2600,0))&amp;IF(COUNTIF('Dane rozpisek'!$H$2:$H$2600,S163)&gt;1," (+"&amp;(COUNTIF('Dane rozpisek'!$H$2:$H$2600,S163)-1)&amp;")",""),"—"))</f>
        <v/>
      </c>
      <c r="Q163" s="24">
        <f>IF(AND(B163&lt;&gt;"",D163&lt;&gt;"",OR('Historia wózka'!$B$4="",B163='Historia wózka'!$B$4),D163&gt;='Historia wózka'!$B$5,D163&lt;='Historia wózka'!$B$6),D163+ROW()/1000000,0)</f>
        <v/>
      </c>
      <c r="R163" s="24">
        <f>IF(O163="TAK",IF(D163="",0,D163)+ROW()/1000000,0)</f>
        <v/>
      </c>
      <c r="S163" s="24">
        <f>IF(OR(B163="",D163=""),"",B163&amp;"|"&amp;D163)</f>
        <v/>
      </c>
    </row>
    <row r="164">
      <c r="A164" s="24">
        <f>IF(B164="","",ROW()-4)</f>
        <v/>
      </c>
      <c r="B164" s="25" t="n"/>
      <c r="C164" s="24">
        <f>IF(B164="","",IFERROR(INDEX('Wózki'!$B$2:$B$500,MATCH(B164,'Wózki'!$A$2:$A$500,0))&amp;"",""))</f>
        <v/>
      </c>
      <c r="D164" s="26" t="n"/>
      <c r="E164" s="25" t="n"/>
      <c r="F164" s="25" t="n"/>
      <c r="G164" s="24">
        <f>IF(F164="","",IFERROR(INDEX(Pracownicy!$B$2:$B$2000,MATCH(F164,Pracownicy!$A$2:$A$2000,0))&amp;"",""))</f>
        <v/>
      </c>
      <c r="H164" s="25" t="n"/>
      <c r="I164" s="25" t="n"/>
      <c r="J164" s="25" t="n"/>
      <c r="K164" s="27" t="n"/>
      <c r="L164" s="25" t="n"/>
      <c r="M164" s="25" t="n"/>
      <c r="N164" s="27" t="n"/>
      <c r="O164" s="24">
        <f>IF(B164="","",IF(M164="","TAK",IFERROR(INDEX(Ustawienia!$K$4:$K$8,MATCH(M164,Ustawienia!$J$4:$J$8,0)),"TAK")))</f>
        <v/>
      </c>
      <c r="P164" s="28">
        <f>IF(OR(B164="",D164=""),"",IFERROR(INDEX('Dane rozpisek'!$B$2:$B$2600,MATCH(S164,'Dane rozpisek'!$H$2:$H$2600,0))&amp;": "&amp;INDEX('Dane rozpisek'!$E$2:$E$2600,MATCH(S164,'Dane rozpisek'!$H$2:$H$2600,0))&amp;IF(COUNTIF('Dane rozpisek'!$H$2:$H$2600,S164)&gt;1," (+"&amp;(COUNTIF('Dane rozpisek'!$H$2:$H$2600,S164)-1)&amp;")",""),"—"))</f>
        <v/>
      </c>
      <c r="Q164" s="24">
        <f>IF(AND(B164&lt;&gt;"",D164&lt;&gt;"",OR('Historia wózka'!$B$4="",B164='Historia wózka'!$B$4),D164&gt;='Historia wózka'!$B$5,D164&lt;='Historia wózka'!$B$6),D164+ROW()/1000000,0)</f>
        <v/>
      </c>
      <c r="R164" s="24">
        <f>IF(O164="TAK",IF(D164="",0,D164)+ROW()/1000000,0)</f>
        <v/>
      </c>
      <c r="S164" s="24">
        <f>IF(OR(B164="",D164=""),"",B164&amp;"|"&amp;D164)</f>
        <v/>
      </c>
    </row>
    <row r="165">
      <c r="A165" s="24">
        <f>IF(B165="","",ROW()-4)</f>
        <v/>
      </c>
      <c r="B165" s="25" t="n"/>
      <c r="C165" s="24">
        <f>IF(B165="","",IFERROR(INDEX('Wózki'!$B$2:$B$500,MATCH(B165,'Wózki'!$A$2:$A$500,0))&amp;"",""))</f>
        <v/>
      </c>
      <c r="D165" s="26" t="n"/>
      <c r="E165" s="25" t="n"/>
      <c r="F165" s="25" t="n"/>
      <c r="G165" s="24">
        <f>IF(F165="","",IFERROR(INDEX(Pracownicy!$B$2:$B$2000,MATCH(F165,Pracownicy!$A$2:$A$2000,0))&amp;"",""))</f>
        <v/>
      </c>
      <c r="H165" s="25" t="n"/>
      <c r="I165" s="25" t="n"/>
      <c r="J165" s="25" t="n"/>
      <c r="K165" s="27" t="n"/>
      <c r="L165" s="25" t="n"/>
      <c r="M165" s="25" t="n"/>
      <c r="N165" s="27" t="n"/>
      <c r="O165" s="24">
        <f>IF(B165="","",IF(M165="","TAK",IFERROR(INDEX(Ustawienia!$K$4:$K$8,MATCH(M165,Ustawienia!$J$4:$J$8,0)),"TAK")))</f>
        <v/>
      </c>
      <c r="P165" s="28">
        <f>IF(OR(B165="",D165=""),"",IFERROR(INDEX('Dane rozpisek'!$B$2:$B$2600,MATCH(S165,'Dane rozpisek'!$H$2:$H$2600,0))&amp;": "&amp;INDEX('Dane rozpisek'!$E$2:$E$2600,MATCH(S165,'Dane rozpisek'!$H$2:$H$2600,0))&amp;IF(COUNTIF('Dane rozpisek'!$H$2:$H$2600,S165)&gt;1," (+"&amp;(COUNTIF('Dane rozpisek'!$H$2:$H$2600,S165)-1)&amp;")",""),"—"))</f>
        <v/>
      </c>
      <c r="Q165" s="24">
        <f>IF(AND(B165&lt;&gt;"",D165&lt;&gt;"",OR('Historia wózka'!$B$4="",B165='Historia wózka'!$B$4),D165&gt;='Historia wózka'!$B$5,D165&lt;='Historia wózka'!$B$6),D165+ROW()/1000000,0)</f>
        <v/>
      </c>
      <c r="R165" s="24">
        <f>IF(O165="TAK",IF(D165="",0,D165)+ROW()/1000000,0)</f>
        <v/>
      </c>
      <c r="S165" s="24">
        <f>IF(OR(B165="",D165=""),"",B165&amp;"|"&amp;D165)</f>
        <v/>
      </c>
    </row>
    <row r="166">
      <c r="A166" s="24">
        <f>IF(B166="","",ROW()-4)</f>
        <v/>
      </c>
      <c r="B166" s="25" t="n"/>
      <c r="C166" s="24">
        <f>IF(B166="","",IFERROR(INDEX('Wózki'!$B$2:$B$500,MATCH(B166,'Wózki'!$A$2:$A$500,0))&amp;"",""))</f>
        <v/>
      </c>
      <c r="D166" s="26" t="n"/>
      <c r="E166" s="25" t="n"/>
      <c r="F166" s="25" t="n"/>
      <c r="G166" s="24">
        <f>IF(F166="","",IFERROR(INDEX(Pracownicy!$B$2:$B$2000,MATCH(F166,Pracownicy!$A$2:$A$2000,0))&amp;"",""))</f>
        <v/>
      </c>
      <c r="H166" s="25" t="n"/>
      <c r="I166" s="25" t="n"/>
      <c r="J166" s="25" t="n"/>
      <c r="K166" s="27" t="n"/>
      <c r="L166" s="25" t="n"/>
      <c r="M166" s="25" t="n"/>
      <c r="N166" s="27" t="n"/>
      <c r="O166" s="24">
        <f>IF(B166="","",IF(M166="","TAK",IFERROR(INDEX(Ustawienia!$K$4:$K$8,MATCH(M166,Ustawienia!$J$4:$J$8,0)),"TAK")))</f>
        <v/>
      </c>
      <c r="P166" s="28">
        <f>IF(OR(B166="",D166=""),"",IFERROR(INDEX('Dane rozpisek'!$B$2:$B$2600,MATCH(S166,'Dane rozpisek'!$H$2:$H$2600,0))&amp;": "&amp;INDEX('Dane rozpisek'!$E$2:$E$2600,MATCH(S166,'Dane rozpisek'!$H$2:$H$2600,0))&amp;IF(COUNTIF('Dane rozpisek'!$H$2:$H$2600,S166)&gt;1," (+"&amp;(COUNTIF('Dane rozpisek'!$H$2:$H$2600,S166)-1)&amp;")",""),"—"))</f>
        <v/>
      </c>
      <c r="Q166" s="24">
        <f>IF(AND(B166&lt;&gt;"",D166&lt;&gt;"",OR('Historia wózka'!$B$4="",B166='Historia wózka'!$B$4),D166&gt;='Historia wózka'!$B$5,D166&lt;='Historia wózka'!$B$6),D166+ROW()/1000000,0)</f>
        <v/>
      </c>
      <c r="R166" s="24">
        <f>IF(O166="TAK",IF(D166="",0,D166)+ROW()/1000000,0)</f>
        <v/>
      </c>
      <c r="S166" s="24">
        <f>IF(OR(B166="",D166=""),"",B166&amp;"|"&amp;D166)</f>
        <v/>
      </c>
    </row>
    <row r="167">
      <c r="A167" s="24">
        <f>IF(B167="","",ROW()-4)</f>
        <v/>
      </c>
      <c r="B167" s="25" t="n"/>
      <c r="C167" s="24">
        <f>IF(B167="","",IFERROR(INDEX('Wózki'!$B$2:$B$500,MATCH(B167,'Wózki'!$A$2:$A$500,0))&amp;"",""))</f>
        <v/>
      </c>
      <c r="D167" s="26" t="n"/>
      <c r="E167" s="25" t="n"/>
      <c r="F167" s="25" t="n"/>
      <c r="G167" s="24">
        <f>IF(F167="","",IFERROR(INDEX(Pracownicy!$B$2:$B$2000,MATCH(F167,Pracownicy!$A$2:$A$2000,0))&amp;"",""))</f>
        <v/>
      </c>
      <c r="H167" s="25" t="n"/>
      <c r="I167" s="25" t="n"/>
      <c r="J167" s="25" t="n"/>
      <c r="K167" s="27" t="n"/>
      <c r="L167" s="25" t="n"/>
      <c r="M167" s="25" t="n"/>
      <c r="N167" s="27" t="n"/>
      <c r="O167" s="24">
        <f>IF(B167="","",IF(M167="","TAK",IFERROR(INDEX(Ustawienia!$K$4:$K$8,MATCH(M167,Ustawienia!$J$4:$J$8,0)),"TAK")))</f>
        <v/>
      </c>
      <c r="P167" s="28">
        <f>IF(OR(B167="",D167=""),"",IFERROR(INDEX('Dane rozpisek'!$B$2:$B$2600,MATCH(S167,'Dane rozpisek'!$H$2:$H$2600,0))&amp;": "&amp;INDEX('Dane rozpisek'!$E$2:$E$2600,MATCH(S167,'Dane rozpisek'!$H$2:$H$2600,0))&amp;IF(COUNTIF('Dane rozpisek'!$H$2:$H$2600,S167)&gt;1," (+"&amp;(COUNTIF('Dane rozpisek'!$H$2:$H$2600,S167)-1)&amp;")",""),"—"))</f>
        <v/>
      </c>
      <c r="Q167" s="24">
        <f>IF(AND(B167&lt;&gt;"",D167&lt;&gt;"",OR('Historia wózka'!$B$4="",B167='Historia wózka'!$B$4),D167&gt;='Historia wózka'!$B$5,D167&lt;='Historia wózka'!$B$6),D167+ROW()/1000000,0)</f>
        <v/>
      </c>
      <c r="R167" s="24">
        <f>IF(O167="TAK",IF(D167="",0,D167)+ROW()/1000000,0)</f>
        <v/>
      </c>
      <c r="S167" s="24">
        <f>IF(OR(B167="",D167=""),"",B167&amp;"|"&amp;D167)</f>
        <v/>
      </c>
    </row>
    <row r="168">
      <c r="A168" s="24">
        <f>IF(B168="","",ROW()-4)</f>
        <v/>
      </c>
      <c r="B168" s="25" t="n"/>
      <c r="C168" s="24">
        <f>IF(B168="","",IFERROR(INDEX('Wózki'!$B$2:$B$500,MATCH(B168,'Wózki'!$A$2:$A$500,0))&amp;"",""))</f>
        <v/>
      </c>
      <c r="D168" s="26" t="n"/>
      <c r="E168" s="25" t="n"/>
      <c r="F168" s="25" t="n"/>
      <c r="G168" s="24">
        <f>IF(F168="","",IFERROR(INDEX(Pracownicy!$B$2:$B$2000,MATCH(F168,Pracownicy!$A$2:$A$2000,0))&amp;"",""))</f>
        <v/>
      </c>
      <c r="H168" s="25" t="n"/>
      <c r="I168" s="25" t="n"/>
      <c r="J168" s="25" t="n"/>
      <c r="K168" s="27" t="n"/>
      <c r="L168" s="25" t="n"/>
      <c r="M168" s="25" t="n"/>
      <c r="N168" s="27" t="n"/>
      <c r="O168" s="24">
        <f>IF(B168="","",IF(M168="","TAK",IFERROR(INDEX(Ustawienia!$K$4:$K$8,MATCH(M168,Ustawienia!$J$4:$J$8,0)),"TAK")))</f>
        <v/>
      </c>
      <c r="P168" s="28">
        <f>IF(OR(B168="",D168=""),"",IFERROR(INDEX('Dane rozpisek'!$B$2:$B$2600,MATCH(S168,'Dane rozpisek'!$H$2:$H$2600,0))&amp;": "&amp;INDEX('Dane rozpisek'!$E$2:$E$2600,MATCH(S168,'Dane rozpisek'!$H$2:$H$2600,0))&amp;IF(COUNTIF('Dane rozpisek'!$H$2:$H$2600,S168)&gt;1," (+"&amp;(COUNTIF('Dane rozpisek'!$H$2:$H$2600,S168)-1)&amp;")",""),"—"))</f>
        <v/>
      </c>
      <c r="Q168" s="24">
        <f>IF(AND(B168&lt;&gt;"",D168&lt;&gt;"",OR('Historia wózka'!$B$4="",B168='Historia wózka'!$B$4),D168&gt;='Historia wózka'!$B$5,D168&lt;='Historia wózka'!$B$6),D168+ROW()/1000000,0)</f>
        <v/>
      </c>
      <c r="R168" s="24">
        <f>IF(O168="TAK",IF(D168="",0,D168)+ROW()/1000000,0)</f>
        <v/>
      </c>
      <c r="S168" s="24">
        <f>IF(OR(B168="",D168=""),"",B168&amp;"|"&amp;D168)</f>
        <v/>
      </c>
    </row>
    <row r="169">
      <c r="A169" s="24">
        <f>IF(B169="","",ROW()-4)</f>
        <v/>
      </c>
      <c r="B169" s="25" t="n"/>
      <c r="C169" s="24">
        <f>IF(B169="","",IFERROR(INDEX('Wózki'!$B$2:$B$500,MATCH(B169,'Wózki'!$A$2:$A$500,0))&amp;"",""))</f>
        <v/>
      </c>
      <c r="D169" s="26" t="n"/>
      <c r="E169" s="25" t="n"/>
      <c r="F169" s="25" t="n"/>
      <c r="G169" s="24">
        <f>IF(F169="","",IFERROR(INDEX(Pracownicy!$B$2:$B$2000,MATCH(F169,Pracownicy!$A$2:$A$2000,0))&amp;"",""))</f>
        <v/>
      </c>
      <c r="H169" s="25" t="n"/>
      <c r="I169" s="25" t="n"/>
      <c r="J169" s="25" t="n"/>
      <c r="K169" s="27" t="n"/>
      <c r="L169" s="25" t="n"/>
      <c r="M169" s="25" t="n"/>
      <c r="N169" s="27" t="n"/>
      <c r="O169" s="24">
        <f>IF(B169="","",IF(M169="","TAK",IFERROR(INDEX(Ustawienia!$K$4:$K$8,MATCH(M169,Ustawienia!$J$4:$J$8,0)),"TAK")))</f>
        <v/>
      </c>
      <c r="P169" s="28">
        <f>IF(OR(B169="",D169=""),"",IFERROR(INDEX('Dane rozpisek'!$B$2:$B$2600,MATCH(S169,'Dane rozpisek'!$H$2:$H$2600,0))&amp;": "&amp;INDEX('Dane rozpisek'!$E$2:$E$2600,MATCH(S169,'Dane rozpisek'!$H$2:$H$2600,0))&amp;IF(COUNTIF('Dane rozpisek'!$H$2:$H$2600,S169)&gt;1," (+"&amp;(COUNTIF('Dane rozpisek'!$H$2:$H$2600,S169)-1)&amp;")",""),"—"))</f>
        <v/>
      </c>
      <c r="Q169" s="24">
        <f>IF(AND(B169&lt;&gt;"",D169&lt;&gt;"",OR('Historia wózka'!$B$4="",B169='Historia wózka'!$B$4),D169&gt;='Historia wózka'!$B$5,D169&lt;='Historia wózka'!$B$6),D169+ROW()/1000000,0)</f>
        <v/>
      </c>
      <c r="R169" s="24">
        <f>IF(O169="TAK",IF(D169="",0,D169)+ROW()/1000000,0)</f>
        <v/>
      </c>
      <c r="S169" s="24">
        <f>IF(OR(B169="",D169=""),"",B169&amp;"|"&amp;D169)</f>
        <v/>
      </c>
    </row>
    <row r="170">
      <c r="A170" s="24">
        <f>IF(B170="","",ROW()-4)</f>
        <v/>
      </c>
      <c r="B170" s="25" t="n"/>
      <c r="C170" s="24">
        <f>IF(B170="","",IFERROR(INDEX('Wózki'!$B$2:$B$500,MATCH(B170,'Wózki'!$A$2:$A$500,0))&amp;"",""))</f>
        <v/>
      </c>
      <c r="D170" s="26" t="n"/>
      <c r="E170" s="25" t="n"/>
      <c r="F170" s="25" t="n"/>
      <c r="G170" s="24">
        <f>IF(F170="","",IFERROR(INDEX(Pracownicy!$B$2:$B$2000,MATCH(F170,Pracownicy!$A$2:$A$2000,0))&amp;"",""))</f>
        <v/>
      </c>
      <c r="H170" s="25" t="n"/>
      <c r="I170" s="25" t="n"/>
      <c r="J170" s="25" t="n"/>
      <c r="K170" s="27" t="n"/>
      <c r="L170" s="25" t="n"/>
      <c r="M170" s="25" t="n"/>
      <c r="N170" s="27" t="n"/>
      <c r="O170" s="24">
        <f>IF(B170="","",IF(M170="","TAK",IFERROR(INDEX(Ustawienia!$K$4:$K$8,MATCH(M170,Ustawienia!$J$4:$J$8,0)),"TAK")))</f>
        <v/>
      </c>
      <c r="P170" s="28">
        <f>IF(OR(B170="",D170=""),"",IFERROR(INDEX('Dane rozpisek'!$B$2:$B$2600,MATCH(S170,'Dane rozpisek'!$H$2:$H$2600,0))&amp;": "&amp;INDEX('Dane rozpisek'!$E$2:$E$2600,MATCH(S170,'Dane rozpisek'!$H$2:$H$2600,0))&amp;IF(COUNTIF('Dane rozpisek'!$H$2:$H$2600,S170)&gt;1," (+"&amp;(COUNTIF('Dane rozpisek'!$H$2:$H$2600,S170)-1)&amp;")",""),"—"))</f>
        <v/>
      </c>
      <c r="Q170" s="24">
        <f>IF(AND(B170&lt;&gt;"",D170&lt;&gt;"",OR('Historia wózka'!$B$4="",B170='Historia wózka'!$B$4),D170&gt;='Historia wózka'!$B$5,D170&lt;='Historia wózka'!$B$6),D170+ROW()/1000000,0)</f>
        <v/>
      </c>
      <c r="R170" s="24">
        <f>IF(O170="TAK",IF(D170="",0,D170)+ROW()/1000000,0)</f>
        <v/>
      </c>
      <c r="S170" s="24">
        <f>IF(OR(B170="",D170=""),"",B170&amp;"|"&amp;D170)</f>
        <v/>
      </c>
    </row>
    <row r="171">
      <c r="A171" s="24">
        <f>IF(B171="","",ROW()-4)</f>
        <v/>
      </c>
      <c r="B171" s="25" t="n"/>
      <c r="C171" s="24">
        <f>IF(B171="","",IFERROR(INDEX('Wózki'!$B$2:$B$500,MATCH(B171,'Wózki'!$A$2:$A$500,0))&amp;"",""))</f>
        <v/>
      </c>
      <c r="D171" s="26" t="n"/>
      <c r="E171" s="25" t="n"/>
      <c r="F171" s="25" t="n"/>
      <c r="G171" s="24">
        <f>IF(F171="","",IFERROR(INDEX(Pracownicy!$B$2:$B$2000,MATCH(F171,Pracownicy!$A$2:$A$2000,0))&amp;"",""))</f>
        <v/>
      </c>
      <c r="H171" s="25" t="n"/>
      <c r="I171" s="25" t="n"/>
      <c r="J171" s="25" t="n"/>
      <c r="K171" s="27" t="n"/>
      <c r="L171" s="25" t="n"/>
      <c r="M171" s="25" t="n"/>
      <c r="N171" s="27" t="n"/>
      <c r="O171" s="24">
        <f>IF(B171="","",IF(M171="","TAK",IFERROR(INDEX(Ustawienia!$K$4:$K$8,MATCH(M171,Ustawienia!$J$4:$J$8,0)),"TAK")))</f>
        <v/>
      </c>
      <c r="P171" s="28">
        <f>IF(OR(B171="",D171=""),"",IFERROR(INDEX('Dane rozpisek'!$B$2:$B$2600,MATCH(S171,'Dane rozpisek'!$H$2:$H$2600,0))&amp;": "&amp;INDEX('Dane rozpisek'!$E$2:$E$2600,MATCH(S171,'Dane rozpisek'!$H$2:$H$2600,0))&amp;IF(COUNTIF('Dane rozpisek'!$H$2:$H$2600,S171)&gt;1," (+"&amp;(COUNTIF('Dane rozpisek'!$H$2:$H$2600,S171)-1)&amp;")",""),"—"))</f>
        <v/>
      </c>
      <c r="Q171" s="24">
        <f>IF(AND(B171&lt;&gt;"",D171&lt;&gt;"",OR('Historia wózka'!$B$4="",B171='Historia wózka'!$B$4),D171&gt;='Historia wózka'!$B$5,D171&lt;='Historia wózka'!$B$6),D171+ROW()/1000000,0)</f>
        <v/>
      </c>
      <c r="R171" s="24">
        <f>IF(O171="TAK",IF(D171="",0,D171)+ROW()/1000000,0)</f>
        <v/>
      </c>
      <c r="S171" s="24">
        <f>IF(OR(B171="",D171=""),"",B171&amp;"|"&amp;D171)</f>
        <v/>
      </c>
    </row>
    <row r="172">
      <c r="A172" s="24">
        <f>IF(B172="","",ROW()-4)</f>
        <v/>
      </c>
      <c r="B172" s="25" t="n"/>
      <c r="C172" s="24">
        <f>IF(B172="","",IFERROR(INDEX('Wózki'!$B$2:$B$500,MATCH(B172,'Wózki'!$A$2:$A$500,0))&amp;"",""))</f>
        <v/>
      </c>
      <c r="D172" s="26" t="n"/>
      <c r="E172" s="25" t="n"/>
      <c r="F172" s="25" t="n"/>
      <c r="G172" s="24">
        <f>IF(F172="","",IFERROR(INDEX(Pracownicy!$B$2:$B$2000,MATCH(F172,Pracownicy!$A$2:$A$2000,0))&amp;"",""))</f>
        <v/>
      </c>
      <c r="H172" s="25" t="n"/>
      <c r="I172" s="25" t="n"/>
      <c r="J172" s="25" t="n"/>
      <c r="K172" s="27" t="n"/>
      <c r="L172" s="25" t="n"/>
      <c r="M172" s="25" t="n"/>
      <c r="N172" s="27" t="n"/>
      <c r="O172" s="24">
        <f>IF(B172="","",IF(M172="","TAK",IFERROR(INDEX(Ustawienia!$K$4:$K$8,MATCH(M172,Ustawienia!$J$4:$J$8,0)),"TAK")))</f>
        <v/>
      </c>
      <c r="P172" s="28">
        <f>IF(OR(B172="",D172=""),"",IFERROR(INDEX('Dane rozpisek'!$B$2:$B$2600,MATCH(S172,'Dane rozpisek'!$H$2:$H$2600,0))&amp;": "&amp;INDEX('Dane rozpisek'!$E$2:$E$2600,MATCH(S172,'Dane rozpisek'!$H$2:$H$2600,0))&amp;IF(COUNTIF('Dane rozpisek'!$H$2:$H$2600,S172)&gt;1," (+"&amp;(COUNTIF('Dane rozpisek'!$H$2:$H$2600,S172)-1)&amp;")",""),"—"))</f>
        <v/>
      </c>
      <c r="Q172" s="24">
        <f>IF(AND(B172&lt;&gt;"",D172&lt;&gt;"",OR('Historia wózka'!$B$4="",B172='Historia wózka'!$B$4),D172&gt;='Historia wózka'!$B$5,D172&lt;='Historia wózka'!$B$6),D172+ROW()/1000000,0)</f>
        <v/>
      </c>
      <c r="R172" s="24">
        <f>IF(O172="TAK",IF(D172="",0,D172)+ROW()/1000000,0)</f>
        <v/>
      </c>
      <c r="S172" s="24">
        <f>IF(OR(B172="",D172=""),"",B172&amp;"|"&amp;D172)</f>
        <v/>
      </c>
    </row>
    <row r="173">
      <c r="A173" s="24">
        <f>IF(B173="","",ROW()-4)</f>
        <v/>
      </c>
      <c r="B173" s="25" t="n"/>
      <c r="C173" s="24">
        <f>IF(B173="","",IFERROR(INDEX('Wózki'!$B$2:$B$500,MATCH(B173,'Wózki'!$A$2:$A$500,0))&amp;"",""))</f>
        <v/>
      </c>
      <c r="D173" s="26" t="n"/>
      <c r="E173" s="25" t="n"/>
      <c r="F173" s="25" t="n"/>
      <c r="G173" s="24">
        <f>IF(F173="","",IFERROR(INDEX(Pracownicy!$B$2:$B$2000,MATCH(F173,Pracownicy!$A$2:$A$2000,0))&amp;"",""))</f>
        <v/>
      </c>
      <c r="H173" s="25" t="n"/>
      <c r="I173" s="25" t="n"/>
      <c r="J173" s="25" t="n"/>
      <c r="K173" s="27" t="n"/>
      <c r="L173" s="25" t="n"/>
      <c r="M173" s="25" t="n"/>
      <c r="N173" s="27" t="n"/>
      <c r="O173" s="24">
        <f>IF(B173="","",IF(M173="","TAK",IFERROR(INDEX(Ustawienia!$K$4:$K$8,MATCH(M173,Ustawienia!$J$4:$J$8,0)),"TAK")))</f>
        <v/>
      </c>
      <c r="P173" s="28">
        <f>IF(OR(B173="",D173=""),"",IFERROR(INDEX('Dane rozpisek'!$B$2:$B$2600,MATCH(S173,'Dane rozpisek'!$H$2:$H$2600,0))&amp;": "&amp;INDEX('Dane rozpisek'!$E$2:$E$2600,MATCH(S173,'Dane rozpisek'!$H$2:$H$2600,0))&amp;IF(COUNTIF('Dane rozpisek'!$H$2:$H$2600,S173)&gt;1," (+"&amp;(COUNTIF('Dane rozpisek'!$H$2:$H$2600,S173)-1)&amp;")",""),"—"))</f>
        <v/>
      </c>
      <c r="Q173" s="24">
        <f>IF(AND(B173&lt;&gt;"",D173&lt;&gt;"",OR('Historia wózka'!$B$4="",B173='Historia wózka'!$B$4),D173&gt;='Historia wózka'!$B$5,D173&lt;='Historia wózka'!$B$6),D173+ROW()/1000000,0)</f>
        <v/>
      </c>
      <c r="R173" s="24">
        <f>IF(O173="TAK",IF(D173="",0,D173)+ROW()/1000000,0)</f>
        <v/>
      </c>
      <c r="S173" s="24">
        <f>IF(OR(B173="",D173=""),"",B173&amp;"|"&amp;D173)</f>
        <v/>
      </c>
    </row>
    <row r="174">
      <c r="A174" s="24">
        <f>IF(B174="","",ROW()-4)</f>
        <v/>
      </c>
      <c r="B174" s="25" t="n"/>
      <c r="C174" s="24">
        <f>IF(B174="","",IFERROR(INDEX('Wózki'!$B$2:$B$500,MATCH(B174,'Wózki'!$A$2:$A$500,0))&amp;"",""))</f>
        <v/>
      </c>
      <c r="D174" s="26" t="n"/>
      <c r="E174" s="25" t="n"/>
      <c r="F174" s="25" t="n"/>
      <c r="G174" s="24">
        <f>IF(F174="","",IFERROR(INDEX(Pracownicy!$B$2:$B$2000,MATCH(F174,Pracownicy!$A$2:$A$2000,0))&amp;"",""))</f>
        <v/>
      </c>
      <c r="H174" s="25" t="n"/>
      <c r="I174" s="25" t="n"/>
      <c r="J174" s="25" t="n"/>
      <c r="K174" s="27" t="n"/>
      <c r="L174" s="25" t="n"/>
      <c r="M174" s="25" t="n"/>
      <c r="N174" s="27" t="n"/>
      <c r="O174" s="24">
        <f>IF(B174="","",IF(M174="","TAK",IFERROR(INDEX(Ustawienia!$K$4:$K$8,MATCH(M174,Ustawienia!$J$4:$J$8,0)),"TAK")))</f>
        <v/>
      </c>
      <c r="P174" s="28">
        <f>IF(OR(B174="",D174=""),"",IFERROR(INDEX('Dane rozpisek'!$B$2:$B$2600,MATCH(S174,'Dane rozpisek'!$H$2:$H$2600,0))&amp;": "&amp;INDEX('Dane rozpisek'!$E$2:$E$2600,MATCH(S174,'Dane rozpisek'!$H$2:$H$2600,0))&amp;IF(COUNTIF('Dane rozpisek'!$H$2:$H$2600,S174)&gt;1," (+"&amp;(COUNTIF('Dane rozpisek'!$H$2:$H$2600,S174)-1)&amp;")",""),"—"))</f>
        <v/>
      </c>
      <c r="Q174" s="24">
        <f>IF(AND(B174&lt;&gt;"",D174&lt;&gt;"",OR('Historia wózka'!$B$4="",B174='Historia wózka'!$B$4),D174&gt;='Historia wózka'!$B$5,D174&lt;='Historia wózka'!$B$6),D174+ROW()/1000000,0)</f>
        <v/>
      </c>
      <c r="R174" s="24">
        <f>IF(O174="TAK",IF(D174="",0,D174)+ROW()/1000000,0)</f>
        <v/>
      </c>
      <c r="S174" s="24">
        <f>IF(OR(B174="",D174=""),"",B174&amp;"|"&amp;D174)</f>
        <v/>
      </c>
    </row>
    <row r="175">
      <c r="A175" s="24">
        <f>IF(B175="","",ROW()-4)</f>
        <v/>
      </c>
      <c r="B175" s="25" t="n"/>
      <c r="C175" s="24">
        <f>IF(B175="","",IFERROR(INDEX('Wózki'!$B$2:$B$500,MATCH(B175,'Wózki'!$A$2:$A$500,0))&amp;"",""))</f>
        <v/>
      </c>
      <c r="D175" s="26" t="n"/>
      <c r="E175" s="25" t="n"/>
      <c r="F175" s="25" t="n"/>
      <c r="G175" s="24">
        <f>IF(F175="","",IFERROR(INDEX(Pracownicy!$B$2:$B$2000,MATCH(F175,Pracownicy!$A$2:$A$2000,0))&amp;"",""))</f>
        <v/>
      </c>
      <c r="H175" s="25" t="n"/>
      <c r="I175" s="25" t="n"/>
      <c r="J175" s="25" t="n"/>
      <c r="K175" s="27" t="n"/>
      <c r="L175" s="25" t="n"/>
      <c r="M175" s="25" t="n"/>
      <c r="N175" s="27" t="n"/>
      <c r="O175" s="24">
        <f>IF(B175="","",IF(M175="","TAK",IFERROR(INDEX(Ustawienia!$K$4:$K$8,MATCH(M175,Ustawienia!$J$4:$J$8,0)),"TAK")))</f>
        <v/>
      </c>
      <c r="P175" s="28">
        <f>IF(OR(B175="",D175=""),"",IFERROR(INDEX('Dane rozpisek'!$B$2:$B$2600,MATCH(S175,'Dane rozpisek'!$H$2:$H$2600,0))&amp;": "&amp;INDEX('Dane rozpisek'!$E$2:$E$2600,MATCH(S175,'Dane rozpisek'!$H$2:$H$2600,0))&amp;IF(COUNTIF('Dane rozpisek'!$H$2:$H$2600,S175)&gt;1," (+"&amp;(COUNTIF('Dane rozpisek'!$H$2:$H$2600,S175)-1)&amp;")",""),"—"))</f>
        <v/>
      </c>
      <c r="Q175" s="24">
        <f>IF(AND(B175&lt;&gt;"",D175&lt;&gt;"",OR('Historia wózka'!$B$4="",B175='Historia wózka'!$B$4),D175&gt;='Historia wózka'!$B$5,D175&lt;='Historia wózka'!$B$6),D175+ROW()/1000000,0)</f>
        <v/>
      </c>
      <c r="R175" s="24">
        <f>IF(O175="TAK",IF(D175="",0,D175)+ROW()/1000000,0)</f>
        <v/>
      </c>
      <c r="S175" s="24">
        <f>IF(OR(B175="",D175=""),"",B175&amp;"|"&amp;D175)</f>
        <v/>
      </c>
    </row>
    <row r="176">
      <c r="A176" s="24">
        <f>IF(B176="","",ROW()-4)</f>
        <v/>
      </c>
      <c r="B176" s="25" t="n"/>
      <c r="C176" s="24">
        <f>IF(B176="","",IFERROR(INDEX('Wózki'!$B$2:$B$500,MATCH(B176,'Wózki'!$A$2:$A$500,0))&amp;"",""))</f>
        <v/>
      </c>
      <c r="D176" s="26" t="n"/>
      <c r="E176" s="25" t="n"/>
      <c r="F176" s="25" t="n"/>
      <c r="G176" s="24">
        <f>IF(F176="","",IFERROR(INDEX(Pracownicy!$B$2:$B$2000,MATCH(F176,Pracownicy!$A$2:$A$2000,0))&amp;"",""))</f>
        <v/>
      </c>
      <c r="H176" s="25" t="n"/>
      <c r="I176" s="25" t="n"/>
      <c r="J176" s="25" t="n"/>
      <c r="K176" s="27" t="n"/>
      <c r="L176" s="25" t="n"/>
      <c r="M176" s="25" t="n"/>
      <c r="N176" s="27" t="n"/>
      <c r="O176" s="24">
        <f>IF(B176="","",IF(M176="","TAK",IFERROR(INDEX(Ustawienia!$K$4:$K$8,MATCH(M176,Ustawienia!$J$4:$J$8,0)),"TAK")))</f>
        <v/>
      </c>
      <c r="P176" s="28">
        <f>IF(OR(B176="",D176=""),"",IFERROR(INDEX('Dane rozpisek'!$B$2:$B$2600,MATCH(S176,'Dane rozpisek'!$H$2:$H$2600,0))&amp;": "&amp;INDEX('Dane rozpisek'!$E$2:$E$2600,MATCH(S176,'Dane rozpisek'!$H$2:$H$2600,0))&amp;IF(COUNTIF('Dane rozpisek'!$H$2:$H$2600,S176)&gt;1," (+"&amp;(COUNTIF('Dane rozpisek'!$H$2:$H$2600,S176)-1)&amp;")",""),"—"))</f>
        <v/>
      </c>
      <c r="Q176" s="24">
        <f>IF(AND(B176&lt;&gt;"",D176&lt;&gt;"",OR('Historia wózka'!$B$4="",B176='Historia wózka'!$B$4),D176&gt;='Historia wózka'!$B$5,D176&lt;='Historia wózka'!$B$6),D176+ROW()/1000000,0)</f>
        <v/>
      </c>
      <c r="R176" s="24">
        <f>IF(O176="TAK",IF(D176="",0,D176)+ROW()/1000000,0)</f>
        <v/>
      </c>
      <c r="S176" s="24">
        <f>IF(OR(B176="",D176=""),"",B176&amp;"|"&amp;D176)</f>
        <v/>
      </c>
    </row>
    <row r="177">
      <c r="A177" s="24">
        <f>IF(B177="","",ROW()-4)</f>
        <v/>
      </c>
      <c r="B177" s="25" t="n"/>
      <c r="C177" s="24">
        <f>IF(B177="","",IFERROR(INDEX('Wózki'!$B$2:$B$500,MATCH(B177,'Wózki'!$A$2:$A$500,0))&amp;"",""))</f>
        <v/>
      </c>
      <c r="D177" s="26" t="n"/>
      <c r="E177" s="25" t="n"/>
      <c r="F177" s="25" t="n"/>
      <c r="G177" s="24">
        <f>IF(F177="","",IFERROR(INDEX(Pracownicy!$B$2:$B$2000,MATCH(F177,Pracownicy!$A$2:$A$2000,0))&amp;"",""))</f>
        <v/>
      </c>
      <c r="H177" s="25" t="n"/>
      <c r="I177" s="25" t="n"/>
      <c r="J177" s="25" t="n"/>
      <c r="K177" s="27" t="n"/>
      <c r="L177" s="25" t="n"/>
      <c r="M177" s="25" t="n"/>
      <c r="N177" s="27" t="n"/>
      <c r="O177" s="24">
        <f>IF(B177="","",IF(M177="","TAK",IFERROR(INDEX(Ustawienia!$K$4:$K$8,MATCH(M177,Ustawienia!$J$4:$J$8,0)),"TAK")))</f>
        <v/>
      </c>
      <c r="P177" s="28">
        <f>IF(OR(B177="",D177=""),"",IFERROR(INDEX('Dane rozpisek'!$B$2:$B$2600,MATCH(S177,'Dane rozpisek'!$H$2:$H$2600,0))&amp;": "&amp;INDEX('Dane rozpisek'!$E$2:$E$2600,MATCH(S177,'Dane rozpisek'!$H$2:$H$2600,0))&amp;IF(COUNTIF('Dane rozpisek'!$H$2:$H$2600,S177)&gt;1," (+"&amp;(COUNTIF('Dane rozpisek'!$H$2:$H$2600,S177)-1)&amp;")",""),"—"))</f>
        <v/>
      </c>
      <c r="Q177" s="24">
        <f>IF(AND(B177&lt;&gt;"",D177&lt;&gt;"",OR('Historia wózka'!$B$4="",B177='Historia wózka'!$B$4),D177&gt;='Historia wózka'!$B$5,D177&lt;='Historia wózka'!$B$6),D177+ROW()/1000000,0)</f>
        <v/>
      </c>
      <c r="R177" s="24">
        <f>IF(O177="TAK",IF(D177="",0,D177)+ROW()/1000000,0)</f>
        <v/>
      </c>
      <c r="S177" s="24">
        <f>IF(OR(B177="",D177=""),"",B177&amp;"|"&amp;D177)</f>
        <v/>
      </c>
    </row>
    <row r="178">
      <c r="A178" s="24">
        <f>IF(B178="","",ROW()-4)</f>
        <v/>
      </c>
      <c r="B178" s="25" t="n"/>
      <c r="C178" s="24">
        <f>IF(B178="","",IFERROR(INDEX('Wózki'!$B$2:$B$500,MATCH(B178,'Wózki'!$A$2:$A$500,0))&amp;"",""))</f>
        <v/>
      </c>
      <c r="D178" s="26" t="n"/>
      <c r="E178" s="25" t="n"/>
      <c r="F178" s="25" t="n"/>
      <c r="G178" s="24">
        <f>IF(F178="","",IFERROR(INDEX(Pracownicy!$B$2:$B$2000,MATCH(F178,Pracownicy!$A$2:$A$2000,0))&amp;"",""))</f>
        <v/>
      </c>
      <c r="H178" s="25" t="n"/>
      <c r="I178" s="25" t="n"/>
      <c r="J178" s="25" t="n"/>
      <c r="K178" s="27" t="n"/>
      <c r="L178" s="25" t="n"/>
      <c r="M178" s="25" t="n"/>
      <c r="N178" s="27" t="n"/>
      <c r="O178" s="24">
        <f>IF(B178="","",IF(M178="","TAK",IFERROR(INDEX(Ustawienia!$K$4:$K$8,MATCH(M178,Ustawienia!$J$4:$J$8,0)),"TAK")))</f>
        <v/>
      </c>
      <c r="P178" s="28">
        <f>IF(OR(B178="",D178=""),"",IFERROR(INDEX('Dane rozpisek'!$B$2:$B$2600,MATCH(S178,'Dane rozpisek'!$H$2:$H$2600,0))&amp;": "&amp;INDEX('Dane rozpisek'!$E$2:$E$2600,MATCH(S178,'Dane rozpisek'!$H$2:$H$2600,0))&amp;IF(COUNTIF('Dane rozpisek'!$H$2:$H$2600,S178)&gt;1," (+"&amp;(COUNTIF('Dane rozpisek'!$H$2:$H$2600,S178)-1)&amp;")",""),"—"))</f>
        <v/>
      </c>
      <c r="Q178" s="24">
        <f>IF(AND(B178&lt;&gt;"",D178&lt;&gt;"",OR('Historia wózka'!$B$4="",B178='Historia wózka'!$B$4),D178&gt;='Historia wózka'!$B$5,D178&lt;='Historia wózka'!$B$6),D178+ROW()/1000000,0)</f>
        <v/>
      </c>
      <c r="R178" s="24">
        <f>IF(O178="TAK",IF(D178="",0,D178)+ROW()/1000000,0)</f>
        <v/>
      </c>
      <c r="S178" s="24">
        <f>IF(OR(B178="",D178=""),"",B178&amp;"|"&amp;D178)</f>
        <v/>
      </c>
    </row>
    <row r="179">
      <c r="A179" s="24">
        <f>IF(B179="","",ROW()-4)</f>
        <v/>
      </c>
      <c r="B179" s="25" t="n"/>
      <c r="C179" s="24">
        <f>IF(B179="","",IFERROR(INDEX('Wózki'!$B$2:$B$500,MATCH(B179,'Wózki'!$A$2:$A$500,0))&amp;"",""))</f>
        <v/>
      </c>
      <c r="D179" s="26" t="n"/>
      <c r="E179" s="25" t="n"/>
      <c r="F179" s="25" t="n"/>
      <c r="G179" s="24">
        <f>IF(F179="","",IFERROR(INDEX(Pracownicy!$B$2:$B$2000,MATCH(F179,Pracownicy!$A$2:$A$2000,0))&amp;"",""))</f>
        <v/>
      </c>
      <c r="H179" s="25" t="n"/>
      <c r="I179" s="25" t="n"/>
      <c r="J179" s="25" t="n"/>
      <c r="K179" s="27" t="n"/>
      <c r="L179" s="25" t="n"/>
      <c r="M179" s="25" t="n"/>
      <c r="N179" s="27" t="n"/>
      <c r="O179" s="24">
        <f>IF(B179="","",IF(M179="","TAK",IFERROR(INDEX(Ustawienia!$K$4:$K$8,MATCH(M179,Ustawienia!$J$4:$J$8,0)),"TAK")))</f>
        <v/>
      </c>
      <c r="P179" s="28">
        <f>IF(OR(B179="",D179=""),"",IFERROR(INDEX('Dane rozpisek'!$B$2:$B$2600,MATCH(S179,'Dane rozpisek'!$H$2:$H$2600,0))&amp;": "&amp;INDEX('Dane rozpisek'!$E$2:$E$2600,MATCH(S179,'Dane rozpisek'!$H$2:$H$2600,0))&amp;IF(COUNTIF('Dane rozpisek'!$H$2:$H$2600,S179)&gt;1," (+"&amp;(COUNTIF('Dane rozpisek'!$H$2:$H$2600,S179)-1)&amp;")",""),"—"))</f>
        <v/>
      </c>
      <c r="Q179" s="24">
        <f>IF(AND(B179&lt;&gt;"",D179&lt;&gt;"",OR('Historia wózka'!$B$4="",B179='Historia wózka'!$B$4),D179&gt;='Historia wózka'!$B$5,D179&lt;='Historia wózka'!$B$6),D179+ROW()/1000000,0)</f>
        <v/>
      </c>
      <c r="R179" s="24">
        <f>IF(O179="TAK",IF(D179="",0,D179)+ROW()/1000000,0)</f>
        <v/>
      </c>
      <c r="S179" s="24">
        <f>IF(OR(B179="",D179=""),"",B179&amp;"|"&amp;D179)</f>
        <v/>
      </c>
    </row>
    <row r="180">
      <c r="A180" s="24">
        <f>IF(B180="","",ROW()-4)</f>
        <v/>
      </c>
      <c r="B180" s="25" t="n"/>
      <c r="C180" s="24">
        <f>IF(B180="","",IFERROR(INDEX('Wózki'!$B$2:$B$500,MATCH(B180,'Wózki'!$A$2:$A$500,0))&amp;"",""))</f>
        <v/>
      </c>
      <c r="D180" s="26" t="n"/>
      <c r="E180" s="25" t="n"/>
      <c r="F180" s="25" t="n"/>
      <c r="G180" s="24">
        <f>IF(F180="","",IFERROR(INDEX(Pracownicy!$B$2:$B$2000,MATCH(F180,Pracownicy!$A$2:$A$2000,0))&amp;"",""))</f>
        <v/>
      </c>
      <c r="H180" s="25" t="n"/>
      <c r="I180" s="25" t="n"/>
      <c r="J180" s="25" t="n"/>
      <c r="K180" s="27" t="n"/>
      <c r="L180" s="25" t="n"/>
      <c r="M180" s="25" t="n"/>
      <c r="N180" s="27" t="n"/>
      <c r="O180" s="24">
        <f>IF(B180="","",IF(M180="","TAK",IFERROR(INDEX(Ustawienia!$K$4:$K$8,MATCH(M180,Ustawienia!$J$4:$J$8,0)),"TAK")))</f>
        <v/>
      </c>
      <c r="P180" s="28">
        <f>IF(OR(B180="",D180=""),"",IFERROR(INDEX('Dane rozpisek'!$B$2:$B$2600,MATCH(S180,'Dane rozpisek'!$H$2:$H$2600,0))&amp;": "&amp;INDEX('Dane rozpisek'!$E$2:$E$2600,MATCH(S180,'Dane rozpisek'!$H$2:$H$2600,0))&amp;IF(COUNTIF('Dane rozpisek'!$H$2:$H$2600,S180)&gt;1," (+"&amp;(COUNTIF('Dane rozpisek'!$H$2:$H$2600,S180)-1)&amp;")",""),"—"))</f>
        <v/>
      </c>
      <c r="Q180" s="24">
        <f>IF(AND(B180&lt;&gt;"",D180&lt;&gt;"",OR('Historia wózka'!$B$4="",B180='Historia wózka'!$B$4),D180&gt;='Historia wózka'!$B$5,D180&lt;='Historia wózka'!$B$6),D180+ROW()/1000000,0)</f>
        <v/>
      </c>
      <c r="R180" s="24">
        <f>IF(O180="TAK",IF(D180="",0,D180)+ROW()/1000000,0)</f>
        <v/>
      </c>
      <c r="S180" s="24">
        <f>IF(OR(B180="",D180=""),"",B180&amp;"|"&amp;D180)</f>
        <v/>
      </c>
    </row>
    <row r="181">
      <c r="A181" s="24">
        <f>IF(B181="","",ROW()-4)</f>
        <v/>
      </c>
      <c r="B181" s="25" t="n"/>
      <c r="C181" s="24">
        <f>IF(B181="","",IFERROR(INDEX('Wózki'!$B$2:$B$500,MATCH(B181,'Wózki'!$A$2:$A$500,0))&amp;"",""))</f>
        <v/>
      </c>
      <c r="D181" s="26" t="n"/>
      <c r="E181" s="25" t="n"/>
      <c r="F181" s="25" t="n"/>
      <c r="G181" s="24">
        <f>IF(F181="","",IFERROR(INDEX(Pracownicy!$B$2:$B$2000,MATCH(F181,Pracownicy!$A$2:$A$2000,0))&amp;"",""))</f>
        <v/>
      </c>
      <c r="H181" s="25" t="n"/>
      <c r="I181" s="25" t="n"/>
      <c r="J181" s="25" t="n"/>
      <c r="K181" s="27" t="n"/>
      <c r="L181" s="25" t="n"/>
      <c r="M181" s="25" t="n"/>
      <c r="N181" s="27" t="n"/>
      <c r="O181" s="24">
        <f>IF(B181="","",IF(M181="","TAK",IFERROR(INDEX(Ustawienia!$K$4:$K$8,MATCH(M181,Ustawienia!$J$4:$J$8,0)),"TAK")))</f>
        <v/>
      </c>
      <c r="P181" s="28">
        <f>IF(OR(B181="",D181=""),"",IFERROR(INDEX('Dane rozpisek'!$B$2:$B$2600,MATCH(S181,'Dane rozpisek'!$H$2:$H$2600,0))&amp;": "&amp;INDEX('Dane rozpisek'!$E$2:$E$2600,MATCH(S181,'Dane rozpisek'!$H$2:$H$2600,0))&amp;IF(COUNTIF('Dane rozpisek'!$H$2:$H$2600,S181)&gt;1," (+"&amp;(COUNTIF('Dane rozpisek'!$H$2:$H$2600,S181)-1)&amp;")",""),"—"))</f>
        <v/>
      </c>
      <c r="Q181" s="24">
        <f>IF(AND(B181&lt;&gt;"",D181&lt;&gt;"",OR('Historia wózka'!$B$4="",B181='Historia wózka'!$B$4),D181&gt;='Historia wózka'!$B$5,D181&lt;='Historia wózka'!$B$6),D181+ROW()/1000000,0)</f>
        <v/>
      </c>
      <c r="R181" s="24">
        <f>IF(O181="TAK",IF(D181="",0,D181)+ROW()/1000000,0)</f>
        <v/>
      </c>
      <c r="S181" s="24">
        <f>IF(OR(B181="",D181=""),"",B181&amp;"|"&amp;D181)</f>
        <v/>
      </c>
    </row>
    <row r="182">
      <c r="A182" s="24">
        <f>IF(B182="","",ROW()-4)</f>
        <v/>
      </c>
      <c r="B182" s="25" t="n"/>
      <c r="C182" s="24">
        <f>IF(B182="","",IFERROR(INDEX('Wózki'!$B$2:$B$500,MATCH(B182,'Wózki'!$A$2:$A$500,0))&amp;"",""))</f>
        <v/>
      </c>
      <c r="D182" s="26" t="n"/>
      <c r="E182" s="25" t="n"/>
      <c r="F182" s="25" t="n"/>
      <c r="G182" s="24">
        <f>IF(F182="","",IFERROR(INDEX(Pracownicy!$B$2:$B$2000,MATCH(F182,Pracownicy!$A$2:$A$2000,0))&amp;"",""))</f>
        <v/>
      </c>
      <c r="H182" s="25" t="n"/>
      <c r="I182" s="25" t="n"/>
      <c r="J182" s="25" t="n"/>
      <c r="K182" s="27" t="n"/>
      <c r="L182" s="25" t="n"/>
      <c r="M182" s="25" t="n"/>
      <c r="N182" s="27" t="n"/>
      <c r="O182" s="24">
        <f>IF(B182="","",IF(M182="","TAK",IFERROR(INDEX(Ustawienia!$K$4:$K$8,MATCH(M182,Ustawienia!$J$4:$J$8,0)),"TAK")))</f>
        <v/>
      </c>
      <c r="P182" s="28">
        <f>IF(OR(B182="",D182=""),"",IFERROR(INDEX('Dane rozpisek'!$B$2:$B$2600,MATCH(S182,'Dane rozpisek'!$H$2:$H$2600,0))&amp;": "&amp;INDEX('Dane rozpisek'!$E$2:$E$2600,MATCH(S182,'Dane rozpisek'!$H$2:$H$2600,0))&amp;IF(COUNTIF('Dane rozpisek'!$H$2:$H$2600,S182)&gt;1," (+"&amp;(COUNTIF('Dane rozpisek'!$H$2:$H$2600,S182)-1)&amp;")",""),"—"))</f>
        <v/>
      </c>
      <c r="Q182" s="24">
        <f>IF(AND(B182&lt;&gt;"",D182&lt;&gt;"",OR('Historia wózka'!$B$4="",B182='Historia wózka'!$B$4),D182&gt;='Historia wózka'!$B$5,D182&lt;='Historia wózka'!$B$6),D182+ROW()/1000000,0)</f>
        <v/>
      </c>
      <c r="R182" s="24">
        <f>IF(O182="TAK",IF(D182="",0,D182)+ROW()/1000000,0)</f>
        <v/>
      </c>
      <c r="S182" s="24">
        <f>IF(OR(B182="",D182=""),"",B182&amp;"|"&amp;D182)</f>
        <v/>
      </c>
    </row>
    <row r="183">
      <c r="A183" s="24">
        <f>IF(B183="","",ROW()-4)</f>
        <v/>
      </c>
      <c r="B183" s="25" t="n"/>
      <c r="C183" s="24">
        <f>IF(B183="","",IFERROR(INDEX('Wózki'!$B$2:$B$500,MATCH(B183,'Wózki'!$A$2:$A$500,0))&amp;"",""))</f>
        <v/>
      </c>
      <c r="D183" s="26" t="n"/>
      <c r="E183" s="25" t="n"/>
      <c r="F183" s="25" t="n"/>
      <c r="G183" s="24">
        <f>IF(F183="","",IFERROR(INDEX(Pracownicy!$B$2:$B$2000,MATCH(F183,Pracownicy!$A$2:$A$2000,0))&amp;"",""))</f>
        <v/>
      </c>
      <c r="H183" s="25" t="n"/>
      <c r="I183" s="25" t="n"/>
      <c r="J183" s="25" t="n"/>
      <c r="K183" s="27" t="n"/>
      <c r="L183" s="25" t="n"/>
      <c r="M183" s="25" t="n"/>
      <c r="N183" s="27" t="n"/>
      <c r="O183" s="24">
        <f>IF(B183="","",IF(M183="","TAK",IFERROR(INDEX(Ustawienia!$K$4:$K$8,MATCH(M183,Ustawienia!$J$4:$J$8,0)),"TAK")))</f>
        <v/>
      </c>
      <c r="P183" s="28">
        <f>IF(OR(B183="",D183=""),"",IFERROR(INDEX('Dane rozpisek'!$B$2:$B$2600,MATCH(S183,'Dane rozpisek'!$H$2:$H$2600,0))&amp;": "&amp;INDEX('Dane rozpisek'!$E$2:$E$2600,MATCH(S183,'Dane rozpisek'!$H$2:$H$2600,0))&amp;IF(COUNTIF('Dane rozpisek'!$H$2:$H$2600,S183)&gt;1," (+"&amp;(COUNTIF('Dane rozpisek'!$H$2:$H$2600,S183)-1)&amp;")",""),"—"))</f>
        <v/>
      </c>
      <c r="Q183" s="24">
        <f>IF(AND(B183&lt;&gt;"",D183&lt;&gt;"",OR('Historia wózka'!$B$4="",B183='Historia wózka'!$B$4),D183&gt;='Historia wózka'!$B$5,D183&lt;='Historia wózka'!$B$6),D183+ROW()/1000000,0)</f>
        <v/>
      </c>
      <c r="R183" s="24">
        <f>IF(O183="TAK",IF(D183="",0,D183)+ROW()/1000000,0)</f>
        <v/>
      </c>
      <c r="S183" s="24">
        <f>IF(OR(B183="",D183=""),"",B183&amp;"|"&amp;D183)</f>
        <v/>
      </c>
    </row>
    <row r="184">
      <c r="A184" s="24">
        <f>IF(B184="","",ROW()-4)</f>
        <v/>
      </c>
      <c r="B184" s="25" t="n"/>
      <c r="C184" s="24">
        <f>IF(B184="","",IFERROR(INDEX('Wózki'!$B$2:$B$500,MATCH(B184,'Wózki'!$A$2:$A$500,0))&amp;"",""))</f>
        <v/>
      </c>
      <c r="D184" s="26" t="n"/>
      <c r="E184" s="25" t="n"/>
      <c r="F184" s="25" t="n"/>
      <c r="G184" s="24">
        <f>IF(F184="","",IFERROR(INDEX(Pracownicy!$B$2:$B$2000,MATCH(F184,Pracownicy!$A$2:$A$2000,0))&amp;"",""))</f>
        <v/>
      </c>
      <c r="H184" s="25" t="n"/>
      <c r="I184" s="25" t="n"/>
      <c r="J184" s="25" t="n"/>
      <c r="K184" s="27" t="n"/>
      <c r="L184" s="25" t="n"/>
      <c r="M184" s="25" t="n"/>
      <c r="N184" s="27" t="n"/>
      <c r="O184" s="24">
        <f>IF(B184="","",IF(M184="","TAK",IFERROR(INDEX(Ustawienia!$K$4:$K$8,MATCH(M184,Ustawienia!$J$4:$J$8,0)),"TAK")))</f>
        <v/>
      </c>
      <c r="P184" s="28">
        <f>IF(OR(B184="",D184=""),"",IFERROR(INDEX('Dane rozpisek'!$B$2:$B$2600,MATCH(S184,'Dane rozpisek'!$H$2:$H$2600,0))&amp;": "&amp;INDEX('Dane rozpisek'!$E$2:$E$2600,MATCH(S184,'Dane rozpisek'!$H$2:$H$2600,0))&amp;IF(COUNTIF('Dane rozpisek'!$H$2:$H$2600,S184)&gt;1," (+"&amp;(COUNTIF('Dane rozpisek'!$H$2:$H$2600,S184)-1)&amp;")",""),"—"))</f>
        <v/>
      </c>
      <c r="Q184" s="24">
        <f>IF(AND(B184&lt;&gt;"",D184&lt;&gt;"",OR('Historia wózka'!$B$4="",B184='Historia wózka'!$B$4),D184&gt;='Historia wózka'!$B$5,D184&lt;='Historia wózka'!$B$6),D184+ROW()/1000000,0)</f>
        <v/>
      </c>
      <c r="R184" s="24">
        <f>IF(O184="TAK",IF(D184="",0,D184)+ROW()/1000000,0)</f>
        <v/>
      </c>
      <c r="S184" s="24">
        <f>IF(OR(B184="",D184=""),"",B184&amp;"|"&amp;D184)</f>
        <v/>
      </c>
    </row>
    <row r="185">
      <c r="A185" s="24">
        <f>IF(B185="","",ROW()-4)</f>
        <v/>
      </c>
      <c r="B185" s="25" t="n"/>
      <c r="C185" s="24">
        <f>IF(B185="","",IFERROR(INDEX('Wózki'!$B$2:$B$500,MATCH(B185,'Wózki'!$A$2:$A$500,0))&amp;"",""))</f>
        <v/>
      </c>
      <c r="D185" s="26" t="n"/>
      <c r="E185" s="25" t="n"/>
      <c r="F185" s="25" t="n"/>
      <c r="G185" s="24">
        <f>IF(F185="","",IFERROR(INDEX(Pracownicy!$B$2:$B$2000,MATCH(F185,Pracownicy!$A$2:$A$2000,0))&amp;"",""))</f>
        <v/>
      </c>
      <c r="H185" s="25" t="n"/>
      <c r="I185" s="25" t="n"/>
      <c r="J185" s="25" t="n"/>
      <c r="K185" s="27" t="n"/>
      <c r="L185" s="25" t="n"/>
      <c r="M185" s="25" t="n"/>
      <c r="N185" s="27" t="n"/>
      <c r="O185" s="24">
        <f>IF(B185="","",IF(M185="","TAK",IFERROR(INDEX(Ustawienia!$K$4:$K$8,MATCH(M185,Ustawienia!$J$4:$J$8,0)),"TAK")))</f>
        <v/>
      </c>
      <c r="P185" s="28">
        <f>IF(OR(B185="",D185=""),"",IFERROR(INDEX('Dane rozpisek'!$B$2:$B$2600,MATCH(S185,'Dane rozpisek'!$H$2:$H$2600,0))&amp;": "&amp;INDEX('Dane rozpisek'!$E$2:$E$2600,MATCH(S185,'Dane rozpisek'!$H$2:$H$2600,0))&amp;IF(COUNTIF('Dane rozpisek'!$H$2:$H$2600,S185)&gt;1," (+"&amp;(COUNTIF('Dane rozpisek'!$H$2:$H$2600,S185)-1)&amp;")",""),"—"))</f>
        <v/>
      </c>
      <c r="Q185" s="24">
        <f>IF(AND(B185&lt;&gt;"",D185&lt;&gt;"",OR('Historia wózka'!$B$4="",B185='Historia wózka'!$B$4),D185&gt;='Historia wózka'!$B$5,D185&lt;='Historia wózka'!$B$6),D185+ROW()/1000000,0)</f>
        <v/>
      </c>
      <c r="R185" s="24">
        <f>IF(O185="TAK",IF(D185="",0,D185)+ROW()/1000000,0)</f>
        <v/>
      </c>
      <c r="S185" s="24">
        <f>IF(OR(B185="",D185=""),"",B185&amp;"|"&amp;D185)</f>
        <v/>
      </c>
    </row>
    <row r="186">
      <c r="A186" s="24">
        <f>IF(B186="","",ROW()-4)</f>
        <v/>
      </c>
      <c r="B186" s="25" t="n"/>
      <c r="C186" s="24">
        <f>IF(B186="","",IFERROR(INDEX('Wózki'!$B$2:$B$500,MATCH(B186,'Wózki'!$A$2:$A$500,0))&amp;"",""))</f>
        <v/>
      </c>
      <c r="D186" s="26" t="n"/>
      <c r="E186" s="25" t="n"/>
      <c r="F186" s="25" t="n"/>
      <c r="G186" s="24">
        <f>IF(F186="","",IFERROR(INDEX(Pracownicy!$B$2:$B$2000,MATCH(F186,Pracownicy!$A$2:$A$2000,0))&amp;"",""))</f>
        <v/>
      </c>
      <c r="H186" s="25" t="n"/>
      <c r="I186" s="25" t="n"/>
      <c r="J186" s="25" t="n"/>
      <c r="K186" s="27" t="n"/>
      <c r="L186" s="25" t="n"/>
      <c r="M186" s="25" t="n"/>
      <c r="N186" s="27" t="n"/>
      <c r="O186" s="24">
        <f>IF(B186="","",IF(M186="","TAK",IFERROR(INDEX(Ustawienia!$K$4:$K$8,MATCH(M186,Ustawienia!$J$4:$J$8,0)),"TAK")))</f>
        <v/>
      </c>
      <c r="P186" s="28">
        <f>IF(OR(B186="",D186=""),"",IFERROR(INDEX('Dane rozpisek'!$B$2:$B$2600,MATCH(S186,'Dane rozpisek'!$H$2:$H$2600,0))&amp;": "&amp;INDEX('Dane rozpisek'!$E$2:$E$2600,MATCH(S186,'Dane rozpisek'!$H$2:$H$2600,0))&amp;IF(COUNTIF('Dane rozpisek'!$H$2:$H$2600,S186)&gt;1," (+"&amp;(COUNTIF('Dane rozpisek'!$H$2:$H$2600,S186)-1)&amp;")",""),"—"))</f>
        <v/>
      </c>
      <c r="Q186" s="24">
        <f>IF(AND(B186&lt;&gt;"",D186&lt;&gt;"",OR('Historia wózka'!$B$4="",B186='Historia wózka'!$B$4),D186&gt;='Historia wózka'!$B$5,D186&lt;='Historia wózka'!$B$6),D186+ROW()/1000000,0)</f>
        <v/>
      </c>
      <c r="R186" s="24">
        <f>IF(O186="TAK",IF(D186="",0,D186)+ROW()/1000000,0)</f>
        <v/>
      </c>
      <c r="S186" s="24">
        <f>IF(OR(B186="",D186=""),"",B186&amp;"|"&amp;D186)</f>
        <v/>
      </c>
    </row>
    <row r="187">
      <c r="A187" s="24">
        <f>IF(B187="","",ROW()-4)</f>
        <v/>
      </c>
      <c r="B187" s="25" t="n"/>
      <c r="C187" s="24">
        <f>IF(B187="","",IFERROR(INDEX('Wózki'!$B$2:$B$500,MATCH(B187,'Wózki'!$A$2:$A$500,0))&amp;"",""))</f>
        <v/>
      </c>
      <c r="D187" s="26" t="n"/>
      <c r="E187" s="25" t="n"/>
      <c r="F187" s="25" t="n"/>
      <c r="G187" s="24">
        <f>IF(F187="","",IFERROR(INDEX(Pracownicy!$B$2:$B$2000,MATCH(F187,Pracownicy!$A$2:$A$2000,0))&amp;"",""))</f>
        <v/>
      </c>
      <c r="H187" s="25" t="n"/>
      <c r="I187" s="25" t="n"/>
      <c r="J187" s="25" t="n"/>
      <c r="K187" s="27" t="n"/>
      <c r="L187" s="25" t="n"/>
      <c r="M187" s="25" t="n"/>
      <c r="N187" s="27" t="n"/>
      <c r="O187" s="24">
        <f>IF(B187="","",IF(M187="","TAK",IFERROR(INDEX(Ustawienia!$K$4:$K$8,MATCH(M187,Ustawienia!$J$4:$J$8,0)),"TAK")))</f>
        <v/>
      </c>
      <c r="P187" s="28">
        <f>IF(OR(B187="",D187=""),"",IFERROR(INDEX('Dane rozpisek'!$B$2:$B$2600,MATCH(S187,'Dane rozpisek'!$H$2:$H$2600,0))&amp;": "&amp;INDEX('Dane rozpisek'!$E$2:$E$2600,MATCH(S187,'Dane rozpisek'!$H$2:$H$2600,0))&amp;IF(COUNTIF('Dane rozpisek'!$H$2:$H$2600,S187)&gt;1," (+"&amp;(COUNTIF('Dane rozpisek'!$H$2:$H$2600,S187)-1)&amp;")",""),"—"))</f>
        <v/>
      </c>
      <c r="Q187" s="24">
        <f>IF(AND(B187&lt;&gt;"",D187&lt;&gt;"",OR('Historia wózka'!$B$4="",B187='Historia wózka'!$B$4),D187&gt;='Historia wózka'!$B$5,D187&lt;='Historia wózka'!$B$6),D187+ROW()/1000000,0)</f>
        <v/>
      </c>
      <c r="R187" s="24">
        <f>IF(O187="TAK",IF(D187="",0,D187)+ROW()/1000000,0)</f>
        <v/>
      </c>
      <c r="S187" s="24">
        <f>IF(OR(B187="",D187=""),"",B187&amp;"|"&amp;D187)</f>
        <v/>
      </c>
    </row>
    <row r="188">
      <c r="A188" s="24">
        <f>IF(B188="","",ROW()-4)</f>
        <v/>
      </c>
      <c r="B188" s="25" t="n"/>
      <c r="C188" s="24">
        <f>IF(B188="","",IFERROR(INDEX('Wózki'!$B$2:$B$500,MATCH(B188,'Wózki'!$A$2:$A$500,0))&amp;"",""))</f>
        <v/>
      </c>
      <c r="D188" s="26" t="n"/>
      <c r="E188" s="25" t="n"/>
      <c r="F188" s="25" t="n"/>
      <c r="G188" s="24">
        <f>IF(F188="","",IFERROR(INDEX(Pracownicy!$B$2:$B$2000,MATCH(F188,Pracownicy!$A$2:$A$2000,0))&amp;"",""))</f>
        <v/>
      </c>
      <c r="H188" s="25" t="n"/>
      <c r="I188" s="25" t="n"/>
      <c r="J188" s="25" t="n"/>
      <c r="K188" s="27" t="n"/>
      <c r="L188" s="25" t="n"/>
      <c r="M188" s="25" t="n"/>
      <c r="N188" s="27" t="n"/>
      <c r="O188" s="24">
        <f>IF(B188="","",IF(M188="","TAK",IFERROR(INDEX(Ustawienia!$K$4:$K$8,MATCH(M188,Ustawienia!$J$4:$J$8,0)),"TAK")))</f>
        <v/>
      </c>
      <c r="P188" s="28">
        <f>IF(OR(B188="",D188=""),"",IFERROR(INDEX('Dane rozpisek'!$B$2:$B$2600,MATCH(S188,'Dane rozpisek'!$H$2:$H$2600,0))&amp;": "&amp;INDEX('Dane rozpisek'!$E$2:$E$2600,MATCH(S188,'Dane rozpisek'!$H$2:$H$2600,0))&amp;IF(COUNTIF('Dane rozpisek'!$H$2:$H$2600,S188)&gt;1," (+"&amp;(COUNTIF('Dane rozpisek'!$H$2:$H$2600,S188)-1)&amp;")",""),"—"))</f>
        <v/>
      </c>
      <c r="Q188" s="24">
        <f>IF(AND(B188&lt;&gt;"",D188&lt;&gt;"",OR('Historia wózka'!$B$4="",B188='Historia wózka'!$B$4),D188&gt;='Historia wózka'!$B$5,D188&lt;='Historia wózka'!$B$6),D188+ROW()/1000000,0)</f>
        <v/>
      </c>
      <c r="R188" s="24">
        <f>IF(O188="TAK",IF(D188="",0,D188)+ROW()/1000000,0)</f>
        <v/>
      </c>
      <c r="S188" s="24">
        <f>IF(OR(B188="",D188=""),"",B188&amp;"|"&amp;D188)</f>
        <v/>
      </c>
    </row>
    <row r="189">
      <c r="A189" s="24">
        <f>IF(B189="","",ROW()-4)</f>
        <v/>
      </c>
      <c r="B189" s="25" t="n"/>
      <c r="C189" s="24">
        <f>IF(B189="","",IFERROR(INDEX('Wózki'!$B$2:$B$500,MATCH(B189,'Wózki'!$A$2:$A$500,0))&amp;"",""))</f>
        <v/>
      </c>
      <c r="D189" s="26" t="n"/>
      <c r="E189" s="25" t="n"/>
      <c r="F189" s="25" t="n"/>
      <c r="G189" s="24">
        <f>IF(F189="","",IFERROR(INDEX(Pracownicy!$B$2:$B$2000,MATCH(F189,Pracownicy!$A$2:$A$2000,0))&amp;"",""))</f>
        <v/>
      </c>
      <c r="H189" s="25" t="n"/>
      <c r="I189" s="25" t="n"/>
      <c r="J189" s="25" t="n"/>
      <c r="K189" s="27" t="n"/>
      <c r="L189" s="25" t="n"/>
      <c r="M189" s="25" t="n"/>
      <c r="N189" s="27" t="n"/>
      <c r="O189" s="24">
        <f>IF(B189="","",IF(M189="","TAK",IFERROR(INDEX(Ustawienia!$K$4:$K$8,MATCH(M189,Ustawienia!$J$4:$J$8,0)),"TAK")))</f>
        <v/>
      </c>
      <c r="P189" s="28">
        <f>IF(OR(B189="",D189=""),"",IFERROR(INDEX('Dane rozpisek'!$B$2:$B$2600,MATCH(S189,'Dane rozpisek'!$H$2:$H$2600,0))&amp;": "&amp;INDEX('Dane rozpisek'!$E$2:$E$2600,MATCH(S189,'Dane rozpisek'!$H$2:$H$2600,0))&amp;IF(COUNTIF('Dane rozpisek'!$H$2:$H$2600,S189)&gt;1," (+"&amp;(COUNTIF('Dane rozpisek'!$H$2:$H$2600,S189)-1)&amp;")",""),"—"))</f>
        <v/>
      </c>
      <c r="Q189" s="24">
        <f>IF(AND(B189&lt;&gt;"",D189&lt;&gt;"",OR('Historia wózka'!$B$4="",B189='Historia wózka'!$B$4),D189&gt;='Historia wózka'!$B$5,D189&lt;='Historia wózka'!$B$6),D189+ROW()/1000000,0)</f>
        <v/>
      </c>
      <c r="R189" s="24">
        <f>IF(O189="TAK",IF(D189="",0,D189)+ROW()/1000000,0)</f>
        <v/>
      </c>
      <c r="S189" s="24">
        <f>IF(OR(B189="",D189=""),"",B189&amp;"|"&amp;D189)</f>
        <v/>
      </c>
    </row>
    <row r="190">
      <c r="A190" s="24">
        <f>IF(B190="","",ROW()-4)</f>
        <v/>
      </c>
      <c r="B190" s="25" t="n"/>
      <c r="C190" s="24">
        <f>IF(B190="","",IFERROR(INDEX('Wózki'!$B$2:$B$500,MATCH(B190,'Wózki'!$A$2:$A$500,0))&amp;"",""))</f>
        <v/>
      </c>
      <c r="D190" s="26" t="n"/>
      <c r="E190" s="25" t="n"/>
      <c r="F190" s="25" t="n"/>
      <c r="G190" s="24">
        <f>IF(F190="","",IFERROR(INDEX(Pracownicy!$B$2:$B$2000,MATCH(F190,Pracownicy!$A$2:$A$2000,0))&amp;"",""))</f>
        <v/>
      </c>
      <c r="H190" s="25" t="n"/>
      <c r="I190" s="25" t="n"/>
      <c r="J190" s="25" t="n"/>
      <c r="K190" s="27" t="n"/>
      <c r="L190" s="25" t="n"/>
      <c r="M190" s="25" t="n"/>
      <c r="N190" s="27" t="n"/>
      <c r="O190" s="24">
        <f>IF(B190="","",IF(M190="","TAK",IFERROR(INDEX(Ustawienia!$K$4:$K$8,MATCH(M190,Ustawienia!$J$4:$J$8,0)),"TAK")))</f>
        <v/>
      </c>
      <c r="P190" s="28">
        <f>IF(OR(B190="",D190=""),"",IFERROR(INDEX('Dane rozpisek'!$B$2:$B$2600,MATCH(S190,'Dane rozpisek'!$H$2:$H$2600,0))&amp;": "&amp;INDEX('Dane rozpisek'!$E$2:$E$2600,MATCH(S190,'Dane rozpisek'!$H$2:$H$2600,0))&amp;IF(COUNTIF('Dane rozpisek'!$H$2:$H$2600,S190)&gt;1," (+"&amp;(COUNTIF('Dane rozpisek'!$H$2:$H$2600,S190)-1)&amp;")",""),"—"))</f>
        <v/>
      </c>
      <c r="Q190" s="24">
        <f>IF(AND(B190&lt;&gt;"",D190&lt;&gt;"",OR('Historia wózka'!$B$4="",B190='Historia wózka'!$B$4),D190&gt;='Historia wózka'!$B$5,D190&lt;='Historia wózka'!$B$6),D190+ROW()/1000000,0)</f>
        <v/>
      </c>
      <c r="R190" s="24">
        <f>IF(O190="TAK",IF(D190="",0,D190)+ROW()/1000000,0)</f>
        <v/>
      </c>
      <c r="S190" s="24">
        <f>IF(OR(B190="",D190=""),"",B190&amp;"|"&amp;D190)</f>
        <v/>
      </c>
    </row>
    <row r="191">
      <c r="A191" s="24">
        <f>IF(B191="","",ROW()-4)</f>
        <v/>
      </c>
      <c r="B191" s="25" t="n"/>
      <c r="C191" s="24">
        <f>IF(B191="","",IFERROR(INDEX('Wózki'!$B$2:$B$500,MATCH(B191,'Wózki'!$A$2:$A$500,0))&amp;"",""))</f>
        <v/>
      </c>
      <c r="D191" s="26" t="n"/>
      <c r="E191" s="25" t="n"/>
      <c r="F191" s="25" t="n"/>
      <c r="G191" s="24">
        <f>IF(F191="","",IFERROR(INDEX(Pracownicy!$B$2:$B$2000,MATCH(F191,Pracownicy!$A$2:$A$2000,0))&amp;"",""))</f>
        <v/>
      </c>
      <c r="H191" s="25" t="n"/>
      <c r="I191" s="25" t="n"/>
      <c r="J191" s="25" t="n"/>
      <c r="K191" s="27" t="n"/>
      <c r="L191" s="25" t="n"/>
      <c r="M191" s="25" t="n"/>
      <c r="N191" s="27" t="n"/>
      <c r="O191" s="24">
        <f>IF(B191="","",IF(M191="","TAK",IFERROR(INDEX(Ustawienia!$K$4:$K$8,MATCH(M191,Ustawienia!$J$4:$J$8,0)),"TAK")))</f>
        <v/>
      </c>
      <c r="P191" s="28">
        <f>IF(OR(B191="",D191=""),"",IFERROR(INDEX('Dane rozpisek'!$B$2:$B$2600,MATCH(S191,'Dane rozpisek'!$H$2:$H$2600,0))&amp;": "&amp;INDEX('Dane rozpisek'!$E$2:$E$2600,MATCH(S191,'Dane rozpisek'!$H$2:$H$2600,0))&amp;IF(COUNTIF('Dane rozpisek'!$H$2:$H$2600,S191)&gt;1," (+"&amp;(COUNTIF('Dane rozpisek'!$H$2:$H$2600,S191)-1)&amp;")",""),"—"))</f>
        <v/>
      </c>
      <c r="Q191" s="24">
        <f>IF(AND(B191&lt;&gt;"",D191&lt;&gt;"",OR('Historia wózka'!$B$4="",B191='Historia wózka'!$B$4),D191&gt;='Historia wózka'!$B$5,D191&lt;='Historia wózka'!$B$6),D191+ROW()/1000000,0)</f>
        <v/>
      </c>
      <c r="R191" s="24">
        <f>IF(O191="TAK",IF(D191="",0,D191)+ROW()/1000000,0)</f>
        <v/>
      </c>
      <c r="S191" s="24">
        <f>IF(OR(B191="",D191=""),"",B191&amp;"|"&amp;D191)</f>
        <v/>
      </c>
    </row>
    <row r="192">
      <c r="A192" s="24">
        <f>IF(B192="","",ROW()-4)</f>
        <v/>
      </c>
      <c r="B192" s="25" t="n"/>
      <c r="C192" s="24">
        <f>IF(B192="","",IFERROR(INDEX('Wózki'!$B$2:$B$500,MATCH(B192,'Wózki'!$A$2:$A$500,0))&amp;"",""))</f>
        <v/>
      </c>
      <c r="D192" s="26" t="n"/>
      <c r="E192" s="25" t="n"/>
      <c r="F192" s="25" t="n"/>
      <c r="G192" s="24">
        <f>IF(F192="","",IFERROR(INDEX(Pracownicy!$B$2:$B$2000,MATCH(F192,Pracownicy!$A$2:$A$2000,0))&amp;"",""))</f>
        <v/>
      </c>
      <c r="H192" s="25" t="n"/>
      <c r="I192" s="25" t="n"/>
      <c r="J192" s="25" t="n"/>
      <c r="K192" s="27" t="n"/>
      <c r="L192" s="25" t="n"/>
      <c r="M192" s="25" t="n"/>
      <c r="N192" s="27" t="n"/>
      <c r="O192" s="24">
        <f>IF(B192="","",IF(M192="","TAK",IFERROR(INDEX(Ustawienia!$K$4:$K$8,MATCH(M192,Ustawienia!$J$4:$J$8,0)),"TAK")))</f>
        <v/>
      </c>
      <c r="P192" s="28">
        <f>IF(OR(B192="",D192=""),"",IFERROR(INDEX('Dane rozpisek'!$B$2:$B$2600,MATCH(S192,'Dane rozpisek'!$H$2:$H$2600,0))&amp;": "&amp;INDEX('Dane rozpisek'!$E$2:$E$2600,MATCH(S192,'Dane rozpisek'!$H$2:$H$2600,0))&amp;IF(COUNTIF('Dane rozpisek'!$H$2:$H$2600,S192)&gt;1," (+"&amp;(COUNTIF('Dane rozpisek'!$H$2:$H$2600,S192)-1)&amp;")",""),"—"))</f>
        <v/>
      </c>
      <c r="Q192" s="24">
        <f>IF(AND(B192&lt;&gt;"",D192&lt;&gt;"",OR('Historia wózka'!$B$4="",B192='Historia wózka'!$B$4),D192&gt;='Historia wózka'!$B$5,D192&lt;='Historia wózka'!$B$6),D192+ROW()/1000000,0)</f>
        <v/>
      </c>
      <c r="R192" s="24">
        <f>IF(O192="TAK",IF(D192="",0,D192)+ROW()/1000000,0)</f>
        <v/>
      </c>
      <c r="S192" s="24">
        <f>IF(OR(B192="",D192=""),"",B192&amp;"|"&amp;D192)</f>
        <v/>
      </c>
    </row>
    <row r="193">
      <c r="A193" s="24">
        <f>IF(B193="","",ROW()-4)</f>
        <v/>
      </c>
      <c r="B193" s="25" t="n"/>
      <c r="C193" s="24">
        <f>IF(B193="","",IFERROR(INDEX('Wózki'!$B$2:$B$500,MATCH(B193,'Wózki'!$A$2:$A$500,0))&amp;"",""))</f>
        <v/>
      </c>
      <c r="D193" s="26" t="n"/>
      <c r="E193" s="25" t="n"/>
      <c r="F193" s="25" t="n"/>
      <c r="G193" s="24">
        <f>IF(F193="","",IFERROR(INDEX(Pracownicy!$B$2:$B$2000,MATCH(F193,Pracownicy!$A$2:$A$2000,0))&amp;"",""))</f>
        <v/>
      </c>
      <c r="H193" s="25" t="n"/>
      <c r="I193" s="25" t="n"/>
      <c r="J193" s="25" t="n"/>
      <c r="K193" s="27" t="n"/>
      <c r="L193" s="25" t="n"/>
      <c r="M193" s="25" t="n"/>
      <c r="N193" s="27" t="n"/>
      <c r="O193" s="24">
        <f>IF(B193="","",IF(M193="","TAK",IFERROR(INDEX(Ustawienia!$K$4:$K$8,MATCH(M193,Ustawienia!$J$4:$J$8,0)),"TAK")))</f>
        <v/>
      </c>
      <c r="P193" s="28">
        <f>IF(OR(B193="",D193=""),"",IFERROR(INDEX('Dane rozpisek'!$B$2:$B$2600,MATCH(S193,'Dane rozpisek'!$H$2:$H$2600,0))&amp;": "&amp;INDEX('Dane rozpisek'!$E$2:$E$2600,MATCH(S193,'Dane rozpisek'!$H$2:$H$2600,0))&amp;IF(COUNTIF('Dane rozpisek'!$H$2:$H$2600,S193)&gt;1," (+"&amp;(COUNTIF('Dane rozpisek'!$H$2:$H$2600,S193)-1)&amp;")",""),"—"))</f>
        <v/>
      </c>
      <c r="Q193" s="24">
        <f>IF(AND(B193&lt;&gt;"",D193&lt;&gt;"",OR('Historia wózka'!$B$4="",B193='Historia wózka'!$B$4),D193&gt;='Historia wózka'!$B$5,D193&lt;='Historia wózka'!$B$6),D193+ROW()/1000000,0)</f>
        <v/>
      </c>
      <c r="R193" s="24">
        <f>IF(O193="TAK",IF(D193="",0,D193)+ROW()/1000000,0)</f>
        <v/>
      </c>
      <c r="S193" s="24">
        <f>IF(OR(B193="",D193=""),"",B193&amp;"|"&amp;D193)</f>
        <v/>
      </c>
    </row>
    <row r="194">
      <c r="A194" s="24">
        <f>IF(B194="","",ROW()-4)</f>
        <v/>
      </c>
      <c r="B194" s="25" t="n"/>
      <c r="C194" s="24">
        <f>IF(B194="","",IFERROR(INDEX('Wózki'!$B$2:$B$500,MATCH(B194,'Wózki'!$A$2:$A$500,0))&amp;"",""))</f>
        <v/>
      </c>
      <c r="D194" s="26" t="n"/>
      <c r="E194" s="25" t="n"/>
      <c r="F194" s="25" t="n"/>
      <c r="G194" s="24">
        <f>IF(F194="","",IFERROR(INDEX(Pracownicy!$B$2:$B$2000,MATCH(F194,Pracownicy!$A$2:$A$2000,0))&amp;"",""))</f>
        <v/>
      </c>
      <c r="H194" s="25" t="n"/>
      <c r="I194" s="25" t="n"/>
      <c r="J194" s="25" t="n"/>
      <c r="K194" s="27" t="n"/>
      <c r="L194" s="25" t="n"/>
      <c r="M194" s="25" t="n"/>
      <c r="N194" s="27" t="n"/>
      <c r="O194" s="24">
        <f>IF(B194="","",IF(M194="","TAK",IFERROR(INDEX(Ustawienia!$K$4:$K$8,MATCH(M194,Ustawienia!$J$4:$J$8,0)),"TAK")))</f>
        <v/>
      </c>
      <c r="P194" s="28">
        <f>IF(OR(B194="",D194=""),"",IFERROR(INDEX('Dane rozpisek'!$B$2:$B$2600,MATCH(S194,'Dane rozpisek'!$H$2:$H$2600,0))&amp;": "&amp;INDEX('Dane rozpisek'!$E$2:$E$2600,MATCH(S194,'Dane rozpisek'!$H$2:$H$2600,0))&amp;IF(COUNTIF('Dane rozpisek'!$H$2:$H$2600,S194)&gt;1," (+"&amp;(COUNTIF('Dane rozpisek'!$H$2:$H$2600,S194)-1)&amp;")",""),"—"))</f>
        <v/>
      </c>
      <c r="Q194" s="24">
        <f>IF(AND(B194&lt;&gt;"",D194&lt;&gt;"",OR('Historia wózka'!$B$4="",B194='Historia wózka'!$B$4),D194&gt;='Historia wózka'!$B$5,D194&lt;='Historia wózka'!$B$6),D194+ROW()/1000000,0)</f>
        <v/>
      </c>
      <c r="R194" s="24">
        <f>IF(O194="TAK",IF(D194="",0,D194)+ROW()/1000000,0)</f>
        <v/>
      </c>
      <c r="S194" s="24">
        <f>IF(OR(B194="",D194=""),"",B194&amp;"|"&amp;D194)</f>
        <v/>
      </c>
    </row>
    <row r="195">
      <c r="A195" s="24">
        <f>IF(B195="","",ROW()-4)</f>
        <v/>
      </c>
      <c r="B195" s="25" t="n"/>
      <c r="C195" s="24">
        <f>IF(B195="","",IFERROR(INDEX('Wózki'!$B$2:$B$500,MATCH(B195,'Wózki'!$A$2:$A$500,0))&amp;"",""))</f>
        <v/>
      </c>
      <c r="D195" s="26" t="n"/>
      <c r="E195" s="25" t="n"/>
      <c r="F195" s="25" t="n"/>
      <c r="G195" s="24">
        <f>IF(F195="","",IFERROR(INDEX(Pracownicy!$B$2:$B$2000,MATCH(F195,Pracownicy!$A$2:$A$2000,0))&amp;"",""))</f>
        <v/>
      </c>
      <c r="H195" s="25" t="n"/>
      <c r="I195" s="25" t="n"/>
      <c r="J195" s="25" t="n"/>
      <c r="K195" s="27" t="n"/>
      <c r="L195" s="25" t="n"/>
      <c r="M195" s="25" t="n"/>
      <c r="N195" s="27" t="n"/>
      <c r="O195" s="24">
        <f>IF(B195="","",IF(M195="","TAK",IFERROR(INDEX(Ustawienia!$K$4:$K$8,MATCH(M195,Ustawienia!$J$4:$J$8,0)),"TAK")))</f>
        <v/>
      </c>
      <c r="P195" s="28">
        <f>IF(OR(B195="",D195=""),"",IFERROR(INDEX('Dane rozpisek'!$B$2:$B$2600,MATCH(S195,'Dane rozpisek'!$H$2:$H$2600,0))&amp;": "&amp;INDEX('Dane rozpisek'!$E$2:$E$2600,MATCH(S195,'Dane rozpisek'!$H$2:$H$2600,0))&amp;IF(COUNTIF('Dane rozpisek'!$H$2:$H$2600,S195)&gt;1," (+"&amp;(COUNTIF('Dane rozpisek'!$H$2:$H$2600,S195)-1)&amp;")",""),"—"))</f>
        <v/>
      </c>
      <c r="Q195" s="24">
        <f>IF(AND(B195&lt;&gt;"",D195&lt;&gt;"",OR('Historia wózka'!$B$4="",B195='Historia wózka'!$B$4),D195&gt;='Historia wózka'!$B$5,D195&lt;='Historia wózka'!$B$6),D195+ROW()/1000000,0)</f>
        <v/>
      </c>
      <c r="R195" s="24">
        <f>IF(O195="TAK",IF(D195="",0,D195)+ROW()/1000000,0)</f>
        <v/>
      </c>
      <c r="S195" s="24">
        <f>IF(OR(B195="",D195=""),"",B195&amp;"|"&amp;D195)</f>
        <v/>
      </c>
    </row>
    <row r="196">
      <c r="A196" s="24">
        <f>IF(B196="","",ROW()-4)</f>
        <v/>
      </c>
      <c r="B196" s="25" t="n"/>
      <c r="C196" s="24">
        <f>IF(B196="","",IFERROR(INDEX('Wózki'!$B$2:$B$500,MATCH(B196,'Wózki'!$A$2:$A$500,0))&amp;"",""))</f>
        <v/>
      </c>
      <c r="D196" s="26" t="n"/>
      <c r="E196" s="25" t="n"/>
      <c r="F196" s="25" t="n"/>
      <c r="G196" s="24">
        <f>IF(F196="","",IFERROR(INDEX(Pracownicy!$B$2:$B$2000,MATCH(F196,Pracownicy!$A$2:$A$2000,0))&amp;"",""))</f>
        <v/>
      </c>
      <c r="H196" s="25" t="n"/>
      <c r="I196" s="25" t="n"/>
      <c r="J196" s="25" t="n"/>
      <c r="K196" s="27" t="n"/>
      <c r="L196" s="25" t="n"/>
      <c r="M196" s="25" t="n"/>
      <c r="N196" s="27" t="n"/>
      <c r="O196" s="24">
        <f>IF(B196="","",IF(M196="","TAK",IFERROR(INDEX(Ustawienia!$K$4:$K$8,MATCH(M196,Ustawienia!$J$4:$J$8,0)),"TAK")))</f>
        <v/>
      </c>
      <c r="P196" s="28">
        <f>IF(OR(B196="",D196=""),"",IFERROR(INDEX('Dane rozpisek'!$B$2:$B$2600,MATCH(S196,'Dane rozpisek'!$H$2:$H$2600,0))&amp;": "&amp;INDEX('Dane rozpisek'!$E$2:$E$2600,MATCH(S196,'Dane rozpisek'!$H$2:$H$2600,0))&amp;IF(COUNTIF('Dane rozpisek'!$H$2:$H$2600,S196)&gt;1," (+"&amp;(COUNTIF('Dane rozpisek'!$H$2:$H$2600,S196)-1)&amp;")",""),"—"))</f>
        <v/>
      </c>
      <c r="Q196" s="24">
        <f>IF(AND(B196&lt;&gt;"",D196&lt;&gt;"",OR('Historia wózka'!$B$4="",B196='Historia wózka'!$B$4),D196&gt;='Historia wózka'!$B$5,D196&lt;='Historia wózka'!$B$6),D196+ROW()/1000000,0)</f>
        <v/>
      </c>
      <c r="R196" s="24">
        <f>IF(O196="TAK",IF(D196="",0,D196)+ROW()/1000000,0)</f>
        <v/>
      </c>
      <c r="S196" s="24">
        <f>IF(OR(B196="",D196=""),"",B196&amp;"|"&amp;D196)</f>
        <v/>
      </c>
    </row>
    <row r="197">
      <c r="A197" s="24">
        <f>IF(B197="","",ROW()-4)</f>
        <v/>
      </c>
      <c r="B197" s="25" t="n"/>
      <c r="C197" s="24">
        <f>IF(B197="","",IFERROR(INDEX('Wózki'!$B$2:$B$500,MATCH(B197,'Wózki'!$A$2:$A$500,0))&amp;"",""))</f>
        <v/>
      </c>
      <c r="D197" s="26" t="n"/>
      <c r="E197" s="25" t="n"/>
      <c r="F197" s="25" t="n"/>
      <c r="G197" s="24">
        <f>IF(F197="","",IFERROR(INDEX(Pracownicy!$B$2:$B$2000,MATCH(F197,Pracownicy!$A$2:$A$2000,0))&amp;"",""))</f>
        <v/>
      </c>
      <c r="H197" s="25" t="n"/>
      <c r="I197" s="25" t="n"/>
      <c r="J197" s="25" t="n"/>
      <c r="K197" s="27" t="n"/>
      <c r="L197" s="25" t="n"/>
      <c r="M197" s="25" t="n"/>
      <c r="N197" s="27" t="n"/>
      <c r="O197" s="24">
        <f>IF(B197="","",IF(M197="","TAK",IFERROR(INDEX(Ustawienia!$K$4:$K$8,MATCH(M197,Ustawienia!$J$4:$J$8,0)),"TAK")))</f>
        <v/>
      </c>
      <c r="P197" s="28">
        <f>IF(OR(B197="",D197=""),"",IFERROR(INDEX('Dane rozpisek'!$B$2:$B$2600,MATCH(S197,'Dane rozpisek'!$H$2:$H$2600,0))&amp;": "&amp;INDEX('Dane rozpisek'!$E$2:$E$2600,MATCH(S197,'Dane rozpisek'!$H$2:$H$2600,0))&amp;IF(COUNTIF('Dane rozpisek'!$H$2:$H$2600,S197)&gt;1," (+"&amp;(COUNTIF('Dane rozpisek'!$H$2:$H$2600,S197)-1)&amp;")",""),"—"))</f>
        <v/>
      </c>
      <c r="Q197" s="24">
        <f>IF(AND(B197&lt;&gt;"",D197&lt;&gt;"",OR('Historia wózka'!$B$4="",B197='Historia wózka'!$B$4),D197&gt;='Historia wózka'!$B$5,D197&lt;='Historia wózka'!$B$6),D197+ROW()/1000000,0)</f>
        <v/>
      </c>
      <c r="R197" s="24">
        <f>IF(O197="TAK",IF(D197="",0,D197)+ROW()/1000000,0)</f>
        <v/>
      </c>
      <c r="S197" s="24">
        <f>IF(OR(B197="",D197=""),"",B197&amp;"|"&amp;D197)</f>
        <v/>
      </c>
    </row>
    <row r="198">
      <c r="A198" s="24">
        <f>IF(B198="","",ROW()-4)</f>
        <v/>
      </c>
      <c r="B198" s="25" t="n"/>
      <c r="C198" s="24">
        <f>IF(B198="","",IFERROR(INDEX('Wózki'!$B$2:$B$500,MATCH(B198,'Wózki'!$A$2:$A$500,0))&amp;"",""))</f>
        <v/>
      </c>
      <c r="D198" s="26" t="n"/>
      <c r="E198" s="25" t="n"/>
      <c r="F198" s="25" t="n"/>
      <c r="G198" s="24">
        <f>IF(F198="","",IFERROR(INDEX(Pracownicy!$B$2:$B$2000,MATCH(F198,Pracownicy!$A$2:$A$2000,0))&amp;"",""))</f>
        <v/>
      </c>
      <c r="H198" s="25" t="n"/>
      <c r="I198" s="25" t="n"/>
      <c r="J198" s="25" t="n"/>
      <c r="K198" s="27" t="n"/>
      <c r="L198" s="25" t="n"/>
      <c r="M198" s="25" t="n"/>
      <c r="N198" s="27" t="n"/>
      <c r="O198" s="24">
        <f>IF(B198="","",IF(M198="","TAK",IFERROR(INDEX(Ustawienia!$K$4:$K$8,MATCH(M198,Ustawienia!$J$4:$J$8,0)),"TAK")))</f>
        <v/>
      </c>
      <c r="P198" s="28">
        <f>IF(OR(B198="",D198=""),"",IFERROR(INDEX('Dane rozpisek'!$B$2:$B$2600,MATCH(S198,'Dane rozpisek'!$H$2:$H$2600,0))&amp;": "&amp;INDEX('Dane rozpisek'!$E$2:$E$2600,MATCH(S198,'Dane rozpisek'!$H$2:$H$2600,0))&amp;IF(COUNTIF('Dane rozpisek'!$H$2:$H$2600,S198)&gt;1," (+"&amp;(COUNTIF('Dane rozpisek'!$H$2:$H$2600,S198)-1)&amp;")",""),"—"))</f>
        <v/>
      </c>
      <c r="Q198" s="24">
        <f>IF(AND(B198&lt;&gt;"",D198&lt;&gt;"",OR('Historia wózka'!$B$4="",B198='Historia wózka'!$B$4),D198&gt;='Historia wózka'!$B$5,D198&lt;='Historia wózka'!$B$6),D198+ROW()/1000000,0)</f>
        <v/>
      </c>
      <c r="R198" s="24">
        <f>IF(O198="TAK",IF(D198="",0,D198)+ROW()/1000000,0)</f>
        <v/>
      </c>
      <c r="S198" s="24">
        <f>IF(OR(B198="",D198=""),"",B198&amp;"|"&amp;D198)</f>
        <v/>
      </c>
    </row>
    <row r="199">
      <c r="A199" s="24">
        <f>IF(B199="","",ROW()-4)</f>
        <v/>
      </c>
      <c r="B199" s="25" t="n"/>
      <c r="C199" s="24">
        <f>IF(B199="","",IFERROR(INDEX('Wózki'!$B$2:$B$500,MATCH(B199,'Wózki'!$A$2:$A$500,0))&amp;"",""))</f>
        <v/>
      </c>
      <c r="D199" s="26" t="n"/>
      <c r="E199" s="25" t="n"/>
      <c r="F199" s="25" t="n"/>
      <c r="G199" s="24">
        <f>IF(F199="","",IFERROR(INDEX(Pracownicy!$B$2:$B$2000,MATCH(F199,Pracownicy!$A$2:$A$2000,0))&amp;"",""))</f>
        <v/>
      </c>
      <c r="H199" s="25" t="n"/>
      <c r="I199" s="25" t="n"/>
      <c r="J199" s="25" t="n"/>
      <c r="K199" s="27" t="n"/>
      <c r="L199" s="25" t="n"/>
      <c r="M199" s="25" t="n"/>
      <c r="N199" s="27" t="n"/>
      <c r="O199" s="24">
        <f>IF(B199="","",IF(M199="","TAK",IFERROR(INDEX(Ustawienia!$K$4:$K$8,MATCH(M199,Ustawienia!$J$4:$J$8,0)),"TAK")))</f>
        <v/>
      </c>
      <c r="P199" s="28">
        <f>IF(OR(B199="",D199=""),"",IFERROR(INDEX('Dane rozpisek'!$B$2:$B$2600,MATCH(S199,'Dane rozpisek'!$H$2:$H$2600,0))&amp;": "&amp;INDEX('Dane rozpisek'!$E$2:$E$2600,MATCH(S199,'Dane rozpisek'!$H$2:$H$2600,0))&amp;IF(COUNTIF('Dane rozpisek'!$H$2:$H$2600,S199)&gt;1," (+"&amp;(COUNTIF('Dane rozpisek'!$H$2:$H$2600,S199)-1)&amp;")",""),"—"))</f>
        <v/>
      </c>
      <c r="Q199" s="24">
        <f>IF(AND(B199&lt;&gt;"",D199&lt;&gt;"",OR('Historia wózka'!$B$4="",B199='Historia wózka'!$B$4),D199&gt;='Historia wózka'!$B$5,D199&lt;='Historia wózka'!$B$6),D199+ROW()/1000000,0)</f>
        <v/>
      </c>
      <c r="R199" s="24">
        <f>IF(O199="TAK",IF(D199="",0,D199)+ROW()/1000000,0)</f>
        <v/>
      </c>
      <c r="S199" s="24">
        <f>IF(OR(B199="",D199=""),"",B199&amp;"|"&amp;D199)</f>
        <v/>
      </c>
    </row>
    <row r="200">
      <c r="A200" s="24">
        <f>IF(B200="","",ROW()-4)</f>
        <v/>
      </c>
      <c r="B200" s="25" t="n"/>
      <c r="C200" s="24">
        <f>IF(B200="","",IFERROR(INDEX('Wózki'!$B$2:$B$500,MATCH(B200,'Wózki'!$A$2:$A$500,0))&amp;"",""))</f>
        <v/>
      </c>
      <c r="D200" s="26" t="n"/>
      <c r="E200" s="25" t="n"/>
      <c r="F200" s="25" t="n"/>
      <c r="G200" s="24">
        <f>IF(F200="","",IFERROR(INDEX(Pracownicy!$B$2:$B$2000,MATCH(F200,Pracownicy!$A$2:$A$2000,0))&amp;"",""))</f>
        <v/>
      </c>
      <c r="H200" s="25" t="n"/>
      <c r="I200" s="25" t="n"/>
      <c r="J200" s="25" t="n"/>
      <c r="K200" s="27" t="n"/>
      <c r="L200" s="25" t="n"/>
      <c r="M200" s="25" t="n"/>
      <c r="N200" s="27" t="n"/>
      <c r="O200" s="24">
        <f>IF(B200="","",IF(M200="","TAK",IFERROR(INDEX(Ustawienia!$K$4:$K$8,MATCH(M200,Ustawienia!$J$4:$J$8,0)),"TAK")))</f>
        <v/>
      </c>
      <c r="P200" s="28">
        <f>IF(OR(B200="",D200=""),"",IFERROR(INDEX('Dane rozpisek'!$B$2:$B$2600,MATCH(S200,'Dane rozpisek'!$H$2:$H$2600,0))&amp;": "&amp;INDEX('Dane rozpisek'!$E$2:$E$2600,MATCH(S200,'Dane rozpisek'!$H$2:$H$2600,0))&amp;IF(COUNTIF('Dane rozpisek'!$H$2:$H$2600,S200)&gt;1," (+"&amp;(COUNTIF('Dane rozpisek'!$H$2:$H$2600,S200)-1)&amp;")",""),"—"))</f>
        <v/>
      </c>
      <c r="Q200" s="24">
        <f>IF(AND(B200&lt;&gt;"",D200&lt;&gt;"",OR('Historia wózka'!$B$4="",B200='Historia wózka'!$B$4),D200&gt;='Historia wózka'!$B$5,D200&lt;='Historia wózka'!$B$6),D200+ROW()/1000000,0)</f>
        <v/>
      </c>
      <c r="R200" s="24">
        <f>IF(O200="TAK",IF(D200="",0,D200)+ROW()/1000000,0)</f>
        <v/>
      </c>
      <c r="S200" s="24">
        <f>IF(OR(B200="",D200=""),"",B200&amp;"|"&amp;D200)</f>
        <v/>
      </c>
    </row>
    <row r="201">
      <c r="A201" s="24">
        <f>IF(B201="","",ROW()-4)</f>
        <v/>
      </c>
      <c r="B201" s="25" t="n"/>
      <c r="C201" s="24">
        <f>IF(B201="","",IFERROR(INDEX('Wózki'!$B$2:$B$500,MATCH(B201,'Wózki'!$A$2:$A$500,0))&amp;"",""))</f>
        <v/>
      </c>
      <c r="D201" s="26" t="n"/>
      <c r="E201" s="25" t="n"/>
      <c r="F201" s="25" t="n"/>
      <c r="G201" s="24">
        <f>IF(F201="","",IFERROR(INDEX(Pracownicy!$B$2:$B$2000,MATCH(F201,Pracownicy!$A$2:$A$2000,0))&amp;"",""))</f>
        <v/>
      </c>
      <c r="H201" s="25" t="n"/>
      <c r="I201" s="25" t="n"/>
      <c r="J201" s="25" t="n"/>
      <c r="K201" s="27" t="n"/>
      <c r="L201" s="25" t="n"/>
      <c r="M201" s="25" t="n"/>
      <c r="N201" s="27" t="n"/>
      <c r="O201" s="24">
        <f>IF(B201="","",IF(M201="","TAK",IFERROR(INDEX(Ustawienia!$K$4:$K$8,MATCH(M201,Ustawienia!$J$4:$J$8,0)),"TAK")))</f>
        <v/>
      </c>
      <c r="P201" s="28">
        <f>IF(OR(B201="",D201=""),"",IFERROR(INDEX('Dane rozpisek'!$B$2:$B$2600,MATCH(S201,'Dane rozpisek'!$H$2:$H$2600,0))&amp;": "&amp;INDEX('Dane rozpisek'!$E$2:$E$2600,MATCH(S201,'Dane rozpisek'!$H$2:$H$2600,0))&amp;IF(COUNTIF('Dane rozpisek'!$H$2:$H$2600,S201)&gt;1," (+"&amp;(COUNTIF('Dane rozpisek'!$H$2:$H$2600,S201)-1)&amp;")",""),"—"))</f>
        <v/>
      </c>
      <c r="Q201" s="24">
        <f>IF(AND(B201&lt;&gt;"",D201&lt;&gt;"",OR('Historia wózka'!$B$4="",B201='Historia wózka'!$B$4),D201&gt;='Historia wózka'!$B$5,D201&lt;='Historia wózka'!$B$6),D201+ROW()/1000000,0)</f>
        <v/>
      </c>
      <c r="R201" s="24">
        <f>IF(O201="TAK",IF(D201="",0,D201)+ROW()/1000000,0)</f>
        <v/>
      </c>
      <c r="S201" s="24">
        <f>IF(OR(B201="",D201=""),"",B201&amp;"|"&amp;D201)</f>
        <v/>
      </c>
    </row>
    <row r="202">
      <c r="A202" s="24">
        <f>IF(B202="","",ROW()-4)</f>
        <v/>
      </c>
      <c r="B202" s="25" t="n"/>
      <c r="C202" s="24">
        <f>IF(B202="","",IFERROR(INDEX('Wózki'!$B$2:$B$500,MATCH(B202,'Wózki'!$A$2:$A$500,0))&amp;"",""))</f>
        <v/>
      </c>
      <c r="D202" s="26" t="n"/>
      <c r="E202" s="25" t="n"/>
      <c r="F202" s="25" t="n"/>
      <c r="G202" s="24">
        <f>IF(F202="","",IFERROR(INDEX(Pracownicy!$B$2:$B$2000,MATCH(F202,Pracownicy!$A$2:$A$2000,0))&amp;"",""))</f>
        <v/>
      </c>
      <c r="H202" s="25" t="n"/>
      <c r="I202" s="25" t="n"/>
      <c r="J202" s="25" t="n"/>
      <c r="K202" s="27" t="n"/>
      <c r="L202" s="25" t="n"/>
      <c r="M202" s="25" t="n"/>
      <c r="N202" s="27" t="n"/>
      <c r="O202" s="24">
        <f>IF(B202="","",IF(M202="","TAK",IFERROR(INDEX(Ustawienia!$K$4:$K$8,MATCH(M202,Ustawienia!$J$4:$J$8,0)),"TAK")))</f>
        <v/>
      </c>
      <c r="P202" s="28">
        <f>IF(OR(B202="",D202=""),"",IFERROR(INDEX('Dane rozpisek'!$B$2:$B$2600,MATCH(S202,'Dane rozpisek'!$H$2:$H$2600,0))&amp;": "&amp;INDEX('Dane rozpisek'!$E$2:$E$2600,MATCH(S202,'Dane rozpisek'!$H$2:$H$2600,0))&amp;IF(COUNTIF('Dane rozpisek'!$H$2:$H$2600,S202)&gt;1," (+"&amp;(COUNTIF('Dane rozpisek'!$H$2:$H$2600,S202)-1)&amp;")",""),"—"))</f>
        <v/>
      </c>
      <c r="Q202" s="24">
        <f>IF(AND(B202&lt;&gt;"",D202&lt;&gt;"",OR('Historia wózka'!$B$4="",B202='Historia wózka'!$B$4),D202&gt;='Historia wózka'!$B$5,D202&lt;='Historia wózka'!$B$6),D202+ROW()/1000000,0)</f>
        <v/>
      </c>
      <c r="R202" s="24">
        <f>IF(O202="TAK",IF(D202="",0,D202)+ROW()/1000000,0)</f>
        <v/>
      </c>
      <c r="S202" s="24">
        <f>IF(OR(B202="",D202=""),"",B202&amp;"|"&amp;D202)</f>
        <v/>
      </c>
    </row>
    <row r="203">
      <c r="A203" s="24">
        <f>IF(B203="","",ROW()-4)</f>
        <v/>
      </c>
      <c r="B203" s="25" t="n"/>
      <c r="C203" s="24">
        <f>IF(B203="","",IFERROR(INDEX('Wózki'!$B$2:$B$500,MATCH(B203,'Wózki'!$A$2:$A$500,0))&amp;"",""))</f>
        <v/>
      </c>
      <c r="D203" s="26" t="n"/>
      <c r="E203" s="25" t="n"/>
      <c r="F203" s="25" t="n"/>
      <c r="G203" s="24">
        <f>IF(F203="","",IFERROR(INDEX(Pracownicy!$B$2:$B$2000,MATCH(F203,Pracownicy!$A$2:$A$2000,0))&amp;"",""))</f>
        <v/>
      </c>
      <c r="H203" s="25" t="n"/>
      <c r="I203" s="25" t="n"/>
      <c r="J203" s="25" t="n"/>
      <c r="K203" s="27" t="n"/>
      <c r="L203" s="25" t="n"/>
      <c r="M203" s="25" t="n"/>
      <c r="N203" s="27" t="n"/>
      <c r="O203" s="24">
        <f>IF(B203="","",IF(M203="","TAK",IFERROR(INDEX(Ustawienia!$K$4:$K$8,MATCH(M203,Ustawienia!$J$4:$J$8,0)),"TAK")))</f>
        <v/>
      </c>
      <c r="P203" s="28">
        <f>IF(OR(B203="",D203=""),"",IFERROR(INDEX('Dane rozpisek'!$B$2:$B$2600,MATCH(S203,'Dane rozpisek'!$H$2:$H$2600,0))&amp;": "&amp;INDEX('Dane rozpisek'!$E$2:$E$2600,MATCH(S203,'Dane rozpisek'!$H$2:$H$2600,0))&amp;IF(COUNTIF('Dane rozpisek'!$H$2:$H$2600,S203)&gt;1," (+"&amp;(COUNTIF('Dane rozpisek'!$H$2:$H$2600,S203)-1)&amp;")",""),"—"))</f>
        <v/>
      </c>
      <c r="Q203" s="24">
        <f>IF(AND(B203&lt;&gt;"",D203&lt;&gt;"",OR('Historia wózka'!$B$4="",B203='Historia wózka'!$B$4),D203&gt;='Historia wózka'!$B$5,D203&lt;='Historia wózka'!$B$6),D203+ROW()/1000000,0)</f>
        <v/>
      </c>
      <c r="R203" s="24">
        <f>IF(O203="TAK",IF(D203="",0,D203)+ROW()/1000000,0)</f>
        <v/>
      </c>
      <c r="S203" s="24">
        <f>IF(OR(B203="",D203=""),"",B203&amp;"|"&amp;D203)</f>
        <v/>
      </c>
    </row>
    <row r="204">
      <c r="A204" s="24">
        <f>IF(B204="","",ROW()-4)</f>
        <v/>
      </c>
      <c r="B204" s="25" t="n"/>
      <c r="C204" s="24">
        <f>IF(B204="","",IFERROR(INDEX('Wózki'!$B$2:$B$500,MATCH(B204,'Wózki'!$A$2:$A$500,0))&amp;"",""))</f>
        <v/>
      </c>
      <c r="D204" s="26" t="n"/>
      <c r="E204" s="25" t="n"/>
      <c r="F204" s="25" t="n"/>
      <c r="G204" s="24">
        <f>IF(F204="","",IFERROR(INDEX(Pracownicy!$B$2:$B$2000,MATCH(F204,Pracownicy!$A$2:$A$2000,0))&amp;"",""))</f>
        <v/>
      </c>
      <c r="H204" s="25" t="n"/>
      <c r="I204" s="25" t="n"/>
      <c r="J204" s="25" t="n"/>
      <c r="K204" s="27" t="n"/>
      <c r="L204" s="25" t="n"/>
      <c r="M204" s="25" t="n"/>
      <c r="N204" s="27" t="n"/>
      <c r="O204" s="24">
        <f>IF(B204="","",IF(M204="","TAK",IFERROR(INDEX(Ustawienia!$K$4:$K$8,MATCH(M204,Ustawienia!$J$4:$J$8,0)),"TAK")))</f>
        <v/>
      </c>
      <c r="P204" s="28">
        <f>IF(OR(B204="",D204=""),"",IFERROR(INDEX('Dane rozpisek'!$B$2:$B$2600,MATCH(S204,'Dane rozpisek'!$H$2:$H$2600,0))&amp;": "&amp;INDEX('Dane rozpisek'!$E$2:$E$2600,MATCH(S204,'Dane rozpisek'!$H$2:$H$2600,0))&amp;IF(COUNTIF('Dane rozpisek'!$H$2:$H$2600,S204)&gt;1," (+"&amp;(COUNTIF('Dane rozpisek'!$H$2:$H$2600,S204)-1)&amp;")",""),"—"))</f>
        <v/>
      </c>
      <c r="Q204" s="24">
        <f>IF(AND(B204&lt;&gt;"",D204&lt;&gt;"",OR('Historia wózka'!$B$4="",B204='Historia wózka'!$B$4),D204&gt;='Historia wózka'!$B$5,D204&lt;='Historia wózka'!$B$6),D204+ROW()/1000000,0)</f>
        <v/>
      </c>
      <c r="R204" s="24">
        <f>IF(O204="TAK",IF(D204="",0,D204)+ROW()/1000000,0)</f>
        <v/>
      </c>
      <c r="S204" s="24">
        <f>IF(OR(B204="",D204=""),"",B204&amp;"|"&amp;D204)</f>
        <v/>
      </c>
    </row>
    <row r="205">
      <c r="A205" s="24">
        <f>IF(B205="","",ROW()-4)</f>
        <v/>
      </c>
      <c r="B205" s="25" t="n"/>
      <c r="C205" s="24">
        <f>IF(B205="","",IFERROR(INDEX('Wózki'!$B$2:$B$500,MATCH(B205,'Wózki'!$A$2:$A$500,0))&amp;"",""))</f>
        <v/>
      </c>
      <c r="D205" s="26" t="n"/>
      <c r="E205" s="25" t="n"/>
      <c r="F205" s="25" t="n"/>
      <c r="G205" s="24">
        <f>IF(F205="","",IFERROR(INDEX(Pracownicy!$B$2:$B$2000,MATCH(F205,Pracownicy!$A$2:$A$2000,0))&amp;"",""))</f>
        <v/>
      </c>
      <c r="H205" s="25" t="n"/>
      <c r="I205" s="25" t="n"/>
      <c r="J205" s="25" t="n"/>
      <c r="K205" s="27" t="n"/>
      <c r="L205" s="25" t="n"/>
      <c r="M205" s="25" t="n"/>
      <c r="N205" s="27" t="n"/>
      <c r="O205" s="24">
        <f>IF(B205="","",IF(M205="","TAK",IFERROR(INDEX(Ustawienia!$K$4:$K$8,MATCH(M205,Ustawienia!$J$4:$J$8,0)),"TAK")))</f>
        <v/>
      </c>
      <c r="P205" s="28">
        <f>IF(OR(B205="",D205=""),"",IFERROR(INDEX('Dane rozpisek'!$B$2:$B$2600,MATCH(S205,'Dane rozpisek'!$H$2:$H$2600,0))&amp;": "&amp;INDEX('Dane rozpisek'!$E$2:$E$2600,MATCH(S205,'Dane rozpisek'!$H$2:$H$2600,0))&amp;IF(COUNTIF('Dane rozpisek'!$H$2:$H$2600,S205)&gt;1," (+"&amp;(COUNTIF('Dane rozpisek'!$H$2:$H$2600,S205)-1)&amp;")",""),"—"))</f>
        <v/>
      </c>
      <c r="Q205" s="24">
        <f>IF(AND(B205&lt;&gt;"",D205&lt;&gt;"",OR('Historia wózka'!$B$4="",B205='Historia wózka'!$B$4),D205&gt;='Historia wózka'!$B$5,D205&lt;='Historia wózka'!$B$6),D205+ROW()/1000000,0)</f>
        <v/>
      </c>
      <c r="R205" s="24">
        <f>IF(O205="TAK",IF(D205="",0,D205)+ROW()/1000000,0)</f>
        <v/>
      </c>
      <c r="S205" s="24">
        <f>IF(OR(B205="",D205=""),"",B205&amp;"|"&amp;D205)</f>
        <v/>
      </c>
    </row>
    <row r="206">
      <c r="A206" s="24">
        <f>IF(B206="","",ROW()-4)</f>
        <v/>
      </c>
      <c r="B206" s="25" t="n"/>
      <c r="C206" s="24">
        <f>IF(B206="","",IFERROR(INDEX('Wózki'!$B$2:$B$500,MATCH(B206,'Wózki'!$A$2:$A$500,0))&amp;"",""))</f>
        <v/>
      </c>
      <c r="D206" s="26" t="n"/>
      <c r="E206" s="25" t="n"/>
      <c r="F206" s="25" t="n"/>
      <c r="G206" s="24">
        <f>IF(F206="","",IFERROR(INDEX(Pracownicy!$B$2:$B$2000,MATCH(F206,Pracownicy!$A$2:$A$2000,0))&amp;"",""))</f>
        <v/>
      </c>
      <c r="H206" s="25" t="n"/>
      <c r="I206" s="25" t="n"/>
      <c r="J206" s="25" t="n"/>
      <c r="K206" s="27" t="n"/>
      <c r="L206" s="25" t="n"/>
      <c r="M206" s="25" t="n"/>
      <c r="N206" s="27" t="n"/>
      <c r="O206" s="24">
        <f>IF(B206="","",IF(M206="","TAK",IFERROR(INDEX(Ustawienia!$K$4:$K$8,MATCH(M206,Ustawienia!$J$4:$J$8,0)),"TAK")))</f>
        <v/>
      </c>
      <c r="P206" s="28">
        <f>IF(OR(B206="",D206=""),"",IFERROR(INDEX('Dane rozpisek'!$B$2:$B$2600,MATCH(S206,'Dane rozpisek'!$H$2:$H$2600,0))&amp;": "&amp;INDEX('Dane rozpisek'!$E$2:$E$2600,MATCH(S206,'Dane rozpisek'!$H$2:$H$2600,0))&amp;IF(COUNTIF('Dane rozpisek'!$H$2:$H$2600,S206)&gt;1," (+"&amp;(COUNTIF('Dane rozpisek'!$H$2:$H$2600,S206)-1)&amp;")",""),"—"))</f>
        <v/>
      </c>
      <c r="Q206" s="24">
        <f>IF(AND(B206&lt;&gt;"",D206&lt;&gt;"",OR('Historia wózka'!$B$4="",B206='Historia wózka'!$B$4),D206&gt;='Historia wózka'!$B$5,D206&lt;='Historia wózka'!$B$6),D206+ROW()/1000000,0)</f>
        <v/>
      </c>
      <c r="R206" s="24">
        <f>IF(O206="TAK",IF(D206="",0,D206)+ROW()/1000000,0)</f>
        <v/>
      </c>
      <c r="S206" s="24">
        <f>IF(OR(B206="",D206=""),"",B206&amp;"|"&amp;D206)</f>
        <v/>
      </c>
    </row>
    <row r="207">
      <c r="A207" s="24">
        <f>IF(B207="","",ROW()-4)</f>
        <v/>
      </c>
      <c r="B207" s="25" t="n"/>
      <c r="C207" s="24">
        <f>IF(B207="","",IFERROR(INDEX('Wózki'!$B$2:$B$500,MATCH(B207,'Wózki'!$A$2:$A$500,0))&amp;"",""))</f>
        <v/>
      </c>
      <c r="D207" s="26" t="n"/>
      <c r="E207" s="25" t="n"/>
      <c r="F207" s="25" t="n"/>
      <c r="G207" s="24">
        <f>IF(F207="","",IFERROR(INDEX(Pracownicy!$B$2:$B$2000,MATCH(F207,Pracownicy!$A$2:$A$2000,0))&amp;"",""))</f>
        <v/>
      </c>
      <c r="H207" s="25" t="n"/>
      <c r="I207" s="25" t="n"/>
      <c r="J207" s="25" t="n"/>
      <c r="K207" s="27" t="n"/>
      <c r="L207" s="25" t="n"/>
      <c r="M207" s="25" t="n"/>
      <c r="N207" s="27" t="n"/>
      <c r="O207" s="24">
        <f>IF(B207="","",IF(M207="","TAK",IFERROR(INDEX(Ustawienia!$K$4:$K$8,MATCH(M207,Ustawienia!$J$4:$J$8,0)),"TAK")))</f>
        <v/>
      </c>
      <c r="P207" s="28">
        <f>IF(OR(B207="",D207=""),"",IFERROR(INDEX('Dane rozpisek'!$B$2:$B$2600,MATCH(S207,'Dane rozpisek'!$H$2:$H$2600,0))&amp;": "&amp;INDEX('Dane rozpisek'!$E$2:$E$2600,MATCH(S207,'Dane rozpisek'!$H$2:$H$2600,0))&amp;IF(COUNTIF('Dane rozpisek'!$H$2:$H$2600,S207)&gt;1," (+"&amp;(COUNTIF('Dane rozpisek'!$H$2:$H$2600,S207)-1)&amp;")",""),"—"))</f>
        <v/>
      </c>
      <c r="Q207" s="24">
        <f>IF(AND(B207&lt;&gt;"",D207&lt;&gt;"",OR('Historia wózka'!$B$4="",B207='Historia wózka'!$B$4),D207&gt;='Historia wózka'!$B$5,D207&lt;='Historia wózka'!$B$6),D207+ROW()/1000000,0)</f>
        <v/>
      </c>
      <c r="R207" s="24">
        <f>IF(O207="TAK",IF(D207="",0,D207)+ROW()/1000000,0)</f>
        <v/>
      </c>
      <c r="S207" s="24">
        <f>IF(OR(B207="",D207=""),"",B207&amp;"|"&amp;D207)</f>
        <v/>
      </c>
    </row>
    <row r="208">
      <c r="A208" s="24">
        <f>IF(B208="","",ROW()-4)</f>
        <v/>
      </c>
      <c r="B208" s="25" t="n"/>
      <c r="C208" s="24">
        <f>IF(B208="","",IFERROR(INDEX('Wózki'!$B$2:$B$500,MATCH(B208,'Wózki'!$A$2:$A$500,0))&amp;"",""))</f>
        <v/>
      </c>
      <c r="D208" s="26" t="n"/>
      <c r="E208" s="25" t="n"/>
      <c r="F208" s="25" t="n"/>
      <c r="G208" s="24">
        <f>IF(F208="","",IFERROR(INDEX(Pracownicy!$B$2:$B$2000,MATCH(F208,Pracownicy!$A$2:$A$2000,0))&amp;"",""))</f>
        <v/>
      </c>
      <c r="H208" s="25" t="n"/>
      <c r="I208" s="25" t="n"/>
      <c r="J208" s="25" t="n"/>
      <c r="K208" s="27" t="n"/>
      <c r="L208" s="25" t="n"/>
      <c r="M208" s="25" t="n"/>
      <c r="N208" s="27" t="n"/>
      <c r="O208" s="24">
        <f>IF(B208="","",IF(M208="","TAK",IFERROR(INDEX(Ustawienia!$K$4:$K$8,MATCH(M208,Ustawienia!$J$4:$J$8,0)),"TAK")))</f>
        <v/>
      </c>
      <c r="P208" s="28">
        <f>IF(OR(B208="",D208=""),"",IFERROR(INDEX('Dane rozpisek'!$B$2:$B$2600,MATCH(S208,'Dane rozpisek'!$H$2:$H$2600,0))&amp;": "&amp;INDEX('Dane rozpisek'!$E$2:$E$2600,MATCH(S208,'Dane rozpisek'!$H$2:$H$2600,0))&amp;IF(COUNTIF('Dane rozpisek'!$H$2:$H$2600,S208)&gt;1," (+"&amp;(COUNTIF('Dane rozpisek'!$H$2:$H$2600,S208)-1)&amp;")",""),"—"))</f>
        <v/>
      </c>
      <c r="Q208" s="24">
        <f>IF(AND(B208&lt;&gt;"",D208&lt;&gt;"",OR('Historia wózka'!$B$4="",B208='Historia wózka'!$B$4),D208&gt;='Historia wózka'!$B$5,D208&lt;='Historia wózka'!$B$6),D208+ROW()/1000000,0)</f>
        <v/>
      </c>
      <c r="R208" s="24">
        <f>IF(O208="TAK",IF(D208="",0,D208)+ROW()/1000000,0)</f>
        <v/>
      </c>
      <c r="S208" s="24">
        <f>IF(OR(B208="",D208=""),"",B208&amp;"|"&amp;D208)</f>
        <v/>
      </c>
    </row>
    <row r="209">
      <c r="A209" s="24">
        <f>IF(B209="","",ROW()-4)</f>
        <v/>
      </c>
      <c r="B209" s="25" t="n"/>
      <c r="C209" s="24">
        <f>IF(B209="","",IFERROR(INDEX('Wózki'!$B$2:$B$500,MATCH(B209,'Wózki'!$A$2:$A$500,0))&amp;"",""))</f>
        <v/>
      </c>
      <c r="D209" s="26" t="n"/>
      <c r="E209" s="25" t="n"/>
      <c r="F209" s="25" t="n"/>
      <c r="G209" s="24">
        <f>IF(F209="","",IFERROR(INDEX(Pracownicy!$B$2:$B$2000,MATCH(F209,Pracownicy!$A$2:$A$2000,0))&amp;"",""))</f>
        <v/>
      </c>
      <c r="H209" s="25" t="n"/>
      <c r="I209" s="25" t="n"/>
      <c r="J209" s="25" t="n"/>
      <c r="K209" s="27" t="n"/>
      <c r="L209" s="25" t="n"/>
      <c r="M209" s="25" t="n"/>
      <c r="N209" s="27" t="n"/>
      <c r="O209" s="24">
        <f>IF(B209="","",IF(M209="","TAK",IFERROR(INDEX(Ustawienia!$K$4:$K$8,MATCH(M209,Ustawienia!$J$4:$J$8,0)),"TAK")))</f>
        <v/>
      </c>
      <c r="P209" s="28">
        <f>IF(OR(B209="",D209=""),"",IFERROR(INDEX('Dane rozpisek'!$B$2:$B$2600,MATCH(S209,'Dane rozpisek'!$H$2:$H$2600,0))&amp;": "&amp;INDEX('Dane rozpisek'!$E$2:$E$2600,MATCH(S209,'Dane rozpisek'!$H$2:$H$2600,0))&amp;IF(COUNTIF('Dane rozpisek'!$H$2:$H$2600,S209)&gt;1," (+"&amp;(COUNTIF('Dane rozpisek'!$H$2:$H$2600,S209)-1)&amp;")",""),"—"))</f>
        <v/>
      </c>
      <c r="Q209" s="24">
        <f>IF(AND(B209&lt;&gt;"",D209&lt;&gt;"",OR('Historia wózka'!$B$4="",B209='Historia wózka'!$B$4),D209&gt;='Historia wózka'!$B$5,D209&lt;='Historia wózka'!$B$6),D209+ROW()/1000000,0)</f>
        <v/>
      </c>
      <c r="R209" s="24">
        <f>IF(O209="TAK",IF(D209="",0,D209)+ROW()/1000000,0)</f>
        <v/>
      </c>
      <c r="S209" s="24">
        <f>IF(OR(B209="",D209=""),"",B209&amp;"|"&amp;D209)</f>
        <v/>
      </c>
    </row>
    <row r="210">
      <c r="A210" s="24">
        <f>IF(B210="","",ROW()-4)</f>
        <v/>
      </c>
      <c r="B210" s="25" t="n"/>
      <c r="C210" s="24">
        <f>IF(B210="","",IFERROR(INDEX('Wózki'!$B$2:$B$500,MATCH(B210,'Wózki'!$A$2:$A$500,0))&amp;"",""))</f>
        <v/>
      </c>
      <c r="D210" s="26" t="n"/>
      <c r="E210" s="25" t="n"/>
      <c r="F210" s="25" t="n"/>
      <c r="G210" s="24">
        <f>IF(F210="","",IFERROR(INDEX(Pracownicy!$B$2:$B$2000,MATCH(F210,Pracownicy!$A$2:$A$2000,0))&amp;"",""))</f>
        <v/>
      </c>
      <c r="H210" s="25" t="n"/>
      <c r="I210" s="25" t="n"/>
      <c r="J210" s="25" t="n"/>
      <c r="K210" s="27" t="n"/>
      <c r="L210" s="25" t="n"/>
      <c r="M210" s="25" t="n"/>
      <c r="N210" s="27" t="n"/>
      <c r="O210" s="24">
        <f>IF(B210="","",IF(M210="","TAK",IFERROR(INDEX(Ustawienia!$K$4:$K$8,MATCH(M210,Ustawienia!$J$4:$J$8,0)),"TAK")))</f>
        <v/>
      </c>
      <c r="P210" s="28">
        <f>IF(OR(B210="",D210=""),"",IFERROR(INDEX('Dane rozpisek'!$B$2:$B$2600,MATCH(S210,'Dane rozpisek'!$H$2:$H$2600,0))&amp;": "&amp;INDEX('Dane rozpisek'!$E$2:$E$2600,MATCH(S210,'Dane rozpisek'!$H$2:$H$2600,0))&amp;IF(COUNTIF('Dane rozpisek'!$H$2:$H$2600,S210)&gt;1," (+"&amp;(COUNTIF('Dane rozpisek'!$H$2:$H$2600,S210)-1)&amp;")",""),"—"))</f>
        <v/>
      </c>
      <c r="Q210" s="24">
        <f>IF(AND(B210&lt;&gt;"",D210&lt;&gt;"",OR('Historia wózka'!$B$4="",B210='Historia wózka'!$B$4),D210&gt;='Historia wózka'!$B$5,D210&lt;='Historia wózka'!$B$6),D210+ROW()/1000000,0)</f>
        <v/>
      </c>
      <c r="R210" s="24">
        <f>IF(O210="TAK",IF(D210="",0,D210)+ROW()/1000000,0)</f>
        <v/>
      </c>
      <c r="S210" s="24">
        <f>IF(OR(B210="",D210=""),"",B210&amp;"|"&amp;D210)</f>
        <v/>
      </c>
    </row>
    <row r="211">
      <c r="A211" s="24">
        <f>IF(B211="","",ROW()-4)</f>
        <v/>
      </c>
      <c r="B211" s="25" t="n"/>
      <c r="C211" s="24">
        <f>IF(B211="","",IFERROR(INDEX('Wózki'!$B$2:$B$500,MATCH(B211,'Wózki'!$A$2:$A$500,0))&amp;"",""))</f>
        <v/>
      </c>
      <c r="D211" s="26" t="n"/>
      <c r="E211" s="25" t="n"/>
      <c r="F211" s="25" t="n"/>
      <c r="G211" s="24">
        <f>IF(F211="","",IFERROR(INDEX(Pracownicy!$B$2:$B$2000,MATCH(F211,Pracownicy!$A$2:$A$2000,0))&amp;"",""))</f>
        <v/>
      </c>
      <c r="H211" s="25" t="n"/>
      <c r="I211" s="25" t="n"/>
      <c r="J211" s="25" t="n"/>
      <c r="K211" s="27" t="n"/>
      <c r="L211" s="25" t="n"/>
      <c r="M211" s="25" t="n"/>
      <c r="N211" s="27" t="n"/>
      <c r="O211" s="24">
        <f>IF(B211="","",IF(M211="","TAK",IFERROR(INDEX(Ustawienia!$K$4:$K$8,MATCH(M211,Ustawienia!$J$4:$J$8,0)),"TAK")))</f>
        <v/>
      </c>
      <c r="P211" s="28">
        <f>IF(OR(B211="",D211=""),"",IFERROR(INDEX('Dane rozpisek'!$B$2:$B$2600,MATCH(S211,'Dane rozpisek'!$H$2:$H$2600,0))&amp;": "&amp;INDEX('Dane rozpisek'!$E$2:$E$2600,MATCH(S211,'Dane rozpisek'!$H$2:$H$2600,0))&amp;IF(COUNTIF('Dane rozpisek'!$H$2:$H$2600,S211)&gt;1," (+"&amp;(COUNTIF('Dane rozpisek'!$H$2:$H$2600,S211)-1)&amp;")",""),"—"))</f>
        <v/>
      </c>
      <c r="Q211" s="24">
        <f>IF(AND(B211&lt;&gt;"",D211&lt;&gt;"",OR('Historia wózka'!$B$4="",B211='Historia wózka'!$B$4),D211&gt;='Historia wózka'!$B$5,D211&lt;='Historia wózka'!$B$6),D211+ROW()/1000000,0)</f>
        <v/>
      </c>
      <c r="R211" s="24">
        <f>IF(O211="TAK",IF(D211="",0,D211)+ROW()/1000000,0)</f>
        <v/>
      </c>
      <c r="S211" s="24">
        <f>IF(OR(B211="",D211=""),"",B211&amp;"|"&amp;D211)</f>
        <v/>
      </c>
    </row>
    <row r="212">
      <c r="A212" s="24">
        <f>IF(B212="","",ROW()-4)</f>
        <v/>
      </c>
      <c r="B212" s="25" t="n"/>
      <c r="C212" s="24">
        <f>IF(B212="","",IFERROR(INDEX('Wózki'!$B$2:$B$500,MATCH(B212,'Wózki'!$A$2:$A$500,0))&amp;"",""))</f>
        <v/>
      </c>
      <c r="D212" s="26" t="n"/>
      <c r="E212" s="25" t="n"/>
      <c r="F212" s="25" t="n"/>
      <c r="G212" s="24">
        <f>IF(F212="","",IFERROR(INDEX(Pracownicy!$B$2:$B$2000,MATCH(F212,Pracownicy!$A$2:$A$2000,0))&amp;"",""))</f>
        <v/>
      </c>
      <c r="H212" s="25" t="n"/>
      <c r="I212" s="25" t="n"/>
      <c r="J212" s="25" t="n"/>
      <c r="K212" s="27" t="n"/>
      <c r="L212" s="25" t="n"/>
      <c r="M212" s="25" t="n"/>
      <c r="N212" s="27" t="n"/>
      <c r="O212" s="24">
        <f>IF(B212="","",IF(M212="","TAK",IFERROR(INDEX(Ustawienia!$K$4:$K$8,MATCH(M212,Ustawienia!$J$4:$J$8,0)),"TAK")))</f>
        <v/>
      </c>
      <c r="P212" s="28">
        <f>IF(OR(B212="",D212=""),"",IFERROR(INDEX('Dane rozpisek'!$B$2:$B$2600,MATCH(S212,'Dane rozpisek'!$H$2:$H$2600,0))&amp;": "&amp;INDEX('Dane rozpisek'!$E$2:$E$2600,MATCH(S212,'Dane rozpisek'!$H$2:$H$2600,0))&amp;IF(COUNTIF('Dane rozpisek'!$H$2:$H$2600,S212)&gt;1," (+"&amp;(COUNTIF('Dane rozpisek'!$H$2:$H$2600,S212)-1)&amp;")",""),"—"))</f>
        <v/>
      </c>
      <c r="Q212" s="24">
        <f>IF(AND(B212&lt;&gt;"",D212&lt;&gt;"",OR('Historia wózka'!$B$4="",B212='Historia wózka'!$B$4),D212&gt;='Historia wózka'!$B$5,D212&lt;='Historia wózka'!$B$6),D212+ROW()/1000000,0)</f>
        <v/>
      </c>
      <c r="R212" s="24">
        <f>IF(O212="TAK",IF(D212="",0,D212)+ROW()/1000000,0)</f>
        <v/>
      </c>
      <c r="S212" s="24">
        <f>IF(OR(B212="",D212=""),"",B212&amp;"|"&amp;D212)</f>
        <v/>
      </c>
    </row>
    <row r="213">
      <c r="A213" s="24">
        <f>IF(B213="","",ROW()-4)</f>
        <v/>
      </c>
      <c r="B213" s="25" t="n"/>
      <c r="C213" s="24">
        <f>IF(B213="","",IFERROR(INDEX('Wózki'!$B$2:$B$500,MATCH(B213,'Wózki'!$A$2:$A$500,0))&amp;"",""))</f>
        <v/>
      </c>
      <c r="D213" s="26" t="n"/>
      <c r="E213" s="25" t="n"/>
      <c r="F213" s="25" t="n"/>
      <c r="G213" s="24">
        <f>IF(F213="","",IFERROR(INDEX(Pracownicy!$B$2:$B$2000,MATCH(F213,Pracownicy!$A$2:$A$2000,0))&amp;"",""))</f>
        <v/>
      </c>
      <c r="H213" s="25" t="n"/>
      <c r="I213" s="25" t="n"/>
      <c r="J213" s="25" t="n"/>
      <c r="K213" s="27" t="n"/>
      <c r="L213" s="25" t="n"/>
      <c r="M213" s="25" t="n"/>
      <c r="N213" s="27" t="n"/>
      <c r="O213" s="24">
        <f>IF(B213="","",IF(M213="","TAK",IFERROR(INDEX(Ustawienia!$K$4:$K$8,MATCH(M213,Ustawienia!$J$4:$J$8,0)),"TAK")))</f>
        <v/>
      </c>
      <c r="P213" s="28">
        <f>IF(OR(B213="",D213=""),"",IFERROR(INDEX('Dane rozpisek'!$B$2:$B$2600,MATCH(S213,'Dane rozpisek'!$H$2:$H$2600,0))&amp;": "&amp;INDEX('Dane rozpisek'!$E$2:$E$2600,MATCH(S213,'Dane rozpisek'!$H$2:$H$2600,0))&amp;IF(COUNTIF('Dane rozpisek'!$H$2:$H$2600,S213)&gt;1," (+"&amp;(COUNTIF('Dane rozpisek'!$H$2:$H$2600,S213)-1)&amp;")",""),"—"))</f>
        <v/>
      </c>
      <c r="Q213" s="24">
        <f>IF(AND(B213&lt;&gt;"",D213&lt;&gt;"",OR('Historia wózka'!$B$4="",B213='Historia wózka'!$B$4),D213&gt;='Historia wózka'!$B$5,D213&lt;='Historia wózka'!$B$6),D213+ROW()/1000000,0)</f>
        <v/>
      </c>
      <c r="R213" s="24">
        <f>IF(O213="TAK",IF(D213="",0,D213)+ROW()/1000000,0)</f>
        <v/>
      </c>
      <c r="S213" s="24">
        <f>IF(OR(B213="",D213=""),"",B213&amp;"|"&amp;D213)</f>
        <v/>
      </c>
    </row>
    <row r="214">
      <c r="A214" s="24">
        <f>IF(B214="","",ROW()-4)</f>
        <v/>
      </c>
      <c r="B214" s="25" t="n"/>
      <c r="C214" s="24">
        <f>IF(B214="","",IFERROR(INDEX('Wózki'!$B$2:$B$500,MATCH(B214,'Wózki'!$A$2:$A$500,0))&amp;"",""))</f>
        <v/>
      </c>
      <c r="D214" s="26" t="n"/>
      <c r="E214" s="25" t="n"/>
      <c r="F214" s="25" t="n"/>
      <c r="G214" s="24">
        <f>IF(F214="","",IFERROR(INDEX(Pracownicy!$B$2:$B$2000,MATCH(F214,Pracownicy!$A$2:$A$2000,0))&amp;"",""))</f>
        <v/>
      </c>
      <c r="H214" s="25" t="n"/>
      <c r="I214" s="25" t="n"/>
      <c r="J214" s="25" t="n"/>
      <c r="K214" s="27" t="n"/>
      <c r="L214" s="25" t="n"/>
      <c r="M214" s="25" t="n"/>
      <c r="N214" s="27" t="n"/>
      <c r="O214" s="24">
        <f>IF(B214="","",IF(M214="","TAK",IFERROR(INDEX(Ustawienia!$K$4:$K$8,MATCH(M214,Ustawienia!$J$4:$J$8,0)),"TAK")))</f>
        <v/>
      </c>
      <c r="P214" s="28">
        <f>IF(OR(B214="",D214=""),"",IFERROR(INDEX('Dane rozpisek'!$B$2:$B$2600,MATCH(S214,'Dane rozpisek'!$H$2:$H$2600,0))&amp;": "&amp;INDEX('Dane rozpisek'!$E$2:$E$2600,MATCH(S214,'Dane rozpisek'!$H$2:$H$2600,0))&amp;IF(COUNTIF('Dane rozpisek'!$H$2:$H$2600,S214)&gt;1," (+"&amp;(COUNTIF('Dane rozpisek'!$H$2:$H$2600,S214)-1)&amp;")",""),"—"))</f>
        <v/>
      </c>
      <c r="Q214" s="24">
        <f>IF(AND(B214&lt;&gt;"",D214&lt;&gt;"",OR('Historia wózka'!$B$4="",B214='Historia wózka'!$B$4),D214&gt;='Historia wózka'!$B$5,D214&lt;='Historia wózka'!$B$6),D214+ROW()/1000000,0)</f>
        <v/>
      </c>
      <c r="R214" s="24">
        <f>IF(O214="TAK",IF(D214="",0,D214)+ROW()/1000000,0)</f>
        <v/>
      </c>
      <c r="S214" s="24">
        <f>IF(OR(B214="",D214=""),"",B214&amp;"|"&amp;D214)</f>
        <v/>
      </c>
    </row>
    <row r="215">
      <c r="A215" s="24">
        <f>IF(B215="","",ROW()-4)</f>
        <v/>
      </c>
      <c r="B215" s="25" t="n"/>
      <c r="C215" s="24">
        <f>IF(B215="","",IFERROR(INDEX('Wózki'!$B$2:$B$500,MATCH(B215,'Wózki'!$A$2:$A$500,0))&amp;"",""))</f>
        <v/>
      </c>
      <c r="D215" s="26" t="n"/>
      <c r="E215" s="25" t="n"/>
      <c r="F215" s="25" t="n"/>
      <c r="G215" s="24">
        <f>IF(F215="","",IFERROR(INDEX(Pracownicy!$B$2:$B$2000,MATCH(F215,Pracownicy!$A$2:$A$2000,0))&amp;"",""))</f>
        <v/>
      </c>
      <c r="H215" s="25" t="n"/>
      <c r="I215" s="25" t="n"/>
      <c r="J215" s="25" t="n"/>
      <c r="K215" s="27" t="n"/>
      <c r="L215" s="25" t="n"/>
      <c r="M215" s="25" t="n"/>
      <c r="N215" s="27" t="n"/>
      <c r="O215" s="24">
        <f>IF(B215="","",IF(M215="","TAK",IFERROR(INDEX(Ustawienia!$K$4:$K$8,MATCH(M215,Ustawienia!$J$4:$J$8,0)),"TAK")))</f>
        <v/>
      </c>
      <c r="P215" s="28">
        <f>IF(OR(B215="",D215=""),"",IFERROR(INDEX('Dane rozpisek'!$B$2:$B$2600,MATCH(S215,'Dane rozpisek'!$H$2:$H$2600,0))&amp;": "&amp;INDEX('Dane rozpisek'!$E$2:$E$2600,MATCH(S215,'Dane rozpisek'!$H$2:$H$2600,0))&amp;IF(COUNTIF('Dane rozpisek'!$H$2:$H$2600,S215)&gt;1," (+"&amp;(COUNTIF('Dane rozpisek'!$H$2:$H$2600,S215)-1)&amp;")",""),"—"))</f>
        <v/>
      </c>
      <c r="Q215" s="24">
        <f>IF(AND(B215&lt;&gt;"",D215&lt;&gt;"",OR('Historia wózka'!$B$4="",B215='Historia wózka'!$B$4),D215&gt;='Historia wózka'!$B$5,D215&lt;='Historia wózka'!$B$6),D215+ROW()/1000000,0)</f>
        <v/>
      </c>
      <c r="R215" s="24">
        <f>IF(O215="TAK",IF(D215="",0,D215)+ROW()/1000000,0)</f>
        <v/>
      </c>
      <c r="S215" s="24">
        <f>IF(OR(B215="",D215=""),"",B215&amp;"|"&amp;D215)</f>
        <v/>
      </c>
    </row>
    <row r="216">
      <c r="A216" s="24">
        <f>IF(B216="","",ROW()-4)</f>
        <v/>
      </c>
      <c r="B216" s="25" t="n"/>
      <c r="C216" s="24">
        <f>IF(B216="","",IFERROR(INDEX('Wózki'!$B$2:$B$500,MATCH(B216,'Wózki'!$A$2:$A$500,0))&amp;"",""))</f>
        <v/>
      </c>
      <c r="D216" s="26" t="n"/>
      <c r="E216" s="25" t="n"/>
      <c r="F216" s="25" t="n"/>
      <c r="G216" s="24">
        <f>IF(F216="","",IFERROR(INDEX(Pracownicy!$B$2:$B$2000,MATCH(F216,Pracownicy!$A$2:$A$2000,0))&amp;"",""))</f>
        <v/>
      </c>
      <c r="H216" s="25" t="n"/>
      <c r="I216" s="25" t="n"/>
      <c r="J216" s="25" t="n"/>
      <c r="K216" s="27" t="n"/>
      <c r="L216" s="25" t="n"/>
      <c r="M216" s="25" t="n"/>
      <c r="N216" s="27" t="n"/>
      <c r="O216" s="24">
        <f>IF(B216="","",IF(M216="","TAK",IFERROR(INDEX(Ustawienia!$K$4:$K$8,MATCH(M216,Ustawienia!$J$4:$J$8,0)),"TAK")))</f>
        <v/>
      </c>
      <c r="P216" s="28">
        <f>IF(OR(B216="",D216=""),"",IFERROR(INDEX('Dane rozpisek'!$B$2:$B$2600,MATCH(S216,'Dane rozpisek'!$H$2:$H$2600,0))&amp;": "&amp;INDEX('Dane rozpisek'!$E$2:$E$2600,MATCH(S216,'Dane rozpisek'!$H$2:$H$2600,0))&amp;IF(COUNTIF('Dane rozpisek'!$H$2:$H$2600,S216)&gt;1," (+"&amp;(COUNTIF('Dane rozpisek'!$H$2:$H$2600,S216)-1)&amp;")",""),"—"))</f>
        <v/>
      </c>
      <c r="Q216" s="24">
        <f>IF(AND(B216&lt;&gt;"",D216&lt;&gt;"",OR('Historia wózka'!$B$4="",B216='Historia wózka'!$B$4),D216&gt;='Historia wózka'!$B$5,D216&lt;='Historia wózka'!$B$6),D216+ROW()/1000000,0)</f>
        <v/>
      </c>
      <c r="R216" s="24">
        <f>IF(O216="TAK",IF(D216="",0,D216)+ROW()/1000000,0)</f>
        <v/>
      </c>
      <c r="S216" s="24">
        <f>IF(OR(B216="",D216=""),"",B216&amp;"|"&amp;D216)</f>
        <v/>
      </c>
    </row>
    <row r="217">
      <c r="A217" s="24">
        <f>IF(B217="","",ROW()-4)</f>
        <v/>
      </c>
      <c r="B217" s="25" t="n"/>
      <c r="C217" s="24">
        <f>IF(B217="","",IFERROR(INDEX('Wózki'!$B$2:$B$500,MATCH(B217,'Wózki'!$A$2:$A$500,0))&amp;"",""))</f>
        <v/>
      </c>
      <c r="D217" s="26" t="n"/>
      <c r="E217" s="25" t="n"/>
      <c r="F217" s="25" t="n"/>
      <c r="G217" s="24">
        <f>IF(F217="","",IFERROR(INDEX(Pracownicy!$B$2:$B$2000,MATCH(F217,Pracownicy!$A$2:$A$2000,0))&amp;"",""))</f>
        <v/>
      </c>
      <c r="H217" s="25" t="n"/>
      <c r="I217" s="25" t="n"/>
      <c r="J217" s="25" t="n"/>
      <c r="K217" s="27" t="n"/>
      <c r="L217" s="25" t="n"/>
      <c r="M217" s="25" t="n"/>
      <c r="N217" s="27" t="n"/>
      <c r="O217" s="24">
        <f>IF(B217="","",IF(M217="","TAK",IFERROR(INDEX(Ustawienia!$K$4:$K$8,MATCH(M217,Ustawienia!$J$4:$J$8,0)),"TAK")))</f>
        <v/>
      </c>
      <c r="P217" s="28">
        <f>IF(OR(B217="",D217=""),"",IFERROR(INDEX('Dane rozpisek'!$B$2:$B$2600,MATCH(S217,'Dane rozpisek'!$H$2:$H$2600,0))&amp;": "&amp;INDEX('Dane rozpisek'!$E$2:$E$2600,MATCH(S217,'Dane rozpisek'!$H$2:$H$2600,0))&amp;IF(COUNTIF('Dane rozpisek'!$H$2:$H$2600,S217)&gt;1," (+"&amp;(COUNTIF('Dane rozpisek'!$H$2:$H$2600,S217)-1)&amp;")",""),"—"))</f>
        <v/>
      </c>
      <c r="Q217" s="24">
        <f>IF(AND(B217&lt;&gt;"",D217&lt;&gt;"",OR('Historia wózka'!$B$4="",B217='Historia wózka'!$B$4),D217&gt;='Historia wózka'!$B$5,D217&lt;='Historia wózka'!$B$6),D217+ROW()/1000000,0)</f>
        <v/>
      </c>
      <c r="R217" s="24">
        <f>IF(O217="TAK",IF(D217="",0,D217)+ROW()/1000000,0)</f>
        <v/>
      </c>
      <c r="S217" s="24">
        <f>IF(OR(B217="",D217=""),"",B217&amp;"|"&amp;D217)</f>
        <v/>
      </c>
    </row>
    <row r="218">
      <c r="A218" s="24">
        <f>IF(B218="","",ROW()-4)</f>
        <v/>
      </c>
      <c r="B218" s="25" t="n"/>
      <c r="C218" s="24">
        <f>IF(B218="","",IFERROR(INDEX('Wózki'!$B$2:$B$500,MATCH(B218,'Wózki'!$A$2:$A$500,0))&amp;"",""))</f>
        <v/>
      </c>
      <c r="D218" s="26" t="n"/>
      <c r="E218" s="25" t="n"/>
      <c r="F218" s="25" t="n"/>
      <c r="G218" s="24">
        <f>IF(F218="","",IFERROR(INDEX(Pracownicy!$B$2:$B$2000,MATCH(F218,Pracownicy!$A$2:$A$2000,0))&amp;"",""))</f>
        <v/>
      </c>
      <c r="H218" s="25" t="n"/>
      <c r="I218" s="25" t="n"/>
      <c r="J218" s="25" t="n"/>
      <c r="K218" s="27" t="n"/>
      <c r="L218" s="25" t="n"/>
      <c r="M218" s="25" t="n"/>
      <c r="N218" s="27" t="n"/>
      <c r="O218" s="24">
        <f>IF(B218="","",IF(M218="","TAK",IFERROR(INDEX(Ustawienia!$K$4:$K$8,MATCH(M218,Ustawienia!$J$4:$J$8,0)),"TAK")))</f>
        <v/>
      </c>
      <c r="P218" s="28">
        <f>IF(OR(B218="",D218=""),"",IFERROR(INDEX('Dane rozpisek'!$B$2:$B$2600,MATCH(S218,'Dane rozpisek'!$H$2:$H$2600,0))&amp;": "&amp;INDEX('Dane rozpisek'!$E$2:$E$2600,MATCH(S218,'Dane rozpisek'!$H$2:$H$2600,0))&amp;IF(COUNTIF('Dane rozpisek'!$H$2:$H$2600,S218)&gt;1," (+"&amp;(COUNTIF('Dane rozpisek'!$H$2:$H$2600,S218)-1)&amp;")",""),"—"))</f>
        <v/>
      </c>
      <c r="Q218" s="24">
        <f>IF(AND(B218&lt;&gt;"",D218&lt;&gt;"",OR('Historia wózka'!$B$4="",B218='Historia wózka'!$B$4),D218&gt;='Historia wózka'!$B$5,D218&lt;='Historia wózka'!$B$6),D218+ROW()/1000000,0)</f>
        <v/>
      </c>
      <c r="R218" s="24">
        <f>IF(O218="TAK",IF(D218="",0,D218)+ROW()/1000000,0)</f>
        <v/>
      </c>
      <c r="S218" s="24">
        <f>IF(OR(B218="",D218=""),"",B218&amp;"|"&amp;D218)</f>
        <v/>
      </c>
    </row>
    <row r="219">
      <c r="A219" s="24">
        <f>IF(B219="","",ROW()-4)</f>
        <v/>
      </c>
      <c r="B219" s="25" t="n"/>
      <c r="C219" s="24">
        <f>IF(B219="","",IFERROR(INDEX('Wózki'!$B$2:$B$500,MATCH(B219,'Wózki'!$A$2:$A$500,0))&amp;"",""))</f>
        <v/>
      </c>
      <c r="D219" s="26" t="n"/>
      <c r="E219" s="25" t="n"/>
      <c r="F219" s="25" t="n"/>
      <c r="G219" s="24">
        <f>IF(F219="","",IFERROR(INDEX(Pracownicy!$B$2:$B$2000,MATCH(F219,Pracownicy!$A$2:$A$2000,0))&amp;"",""))</f>
        <v/>
      </c>
      <c r="H219" s="25" t="n"/>
      <c r="I219" s="25" t="n"/>
      <c r="J219" s="25" t="n"/>
      <c r="K219" s="27" t="n"/>
      <c r="L219" s="25" t="n"/>
      <c r="M219" s="25" t="n"/>
      <c r="N219" s="27" t="n"/>
      <c r="O219" s="24">
        <f>IF(B219="","",IF(M219="","TAK",IFERROR(INDEX(Ustawienia!$K$4:$K$8,MATCH(M219,Ustawienia!$J$4:$J$8,0)),"TAK")))</f>
        <v/>
      </c>
      <c r="P219" s="28">
        <f>IF(OR(B219="",D219=""),"",IFERROR(INDEX('Dane rozpisek'!$B$2:$B$2600,MATCH(S219,'Dane rozpisek'!$H$2:$H$2600,0))&amp;": "&amp;INDEX('Dane rozpisek'!$E$2:$E$2600,MATCH(S219,'Dane rozpisek'!$H$2:$H$2600,0))&amp;IF(COUNTIF('Dane rozpisek'!$H$2:$H$2600,S219)&gt;1," (+"&amp;(COUNTIF('Dane rozpisek'!$H$2:$H$2600,S219)-1)&amp;")",""),"—"))</f>
        <v/>
      </c>
      <c r="Q219" s="24">
        <f>IF(AND(B219&lt;&gt;"",D219&lt;&gt;"",OR('Historia wózka'!$B$4="",B219='Historia wózka'!$B$4),D219&gt;='Historia wózka'!$B$5,D219&lt;='Historia wózka'!$B$6),D219+ROW()/1000000,0)</f>
        <v/>
      </c>
      <c r="R219" s="24">
        <f>IF(O219="TAK",IF(D219="",0,D219)+ROW()/1000000,0)</f>
        <v/>
      </c>
      <c r="S219" s="24">
        <f>IF(OR(B219="",D219=""),"",B219&amp;"|"&amp;D219)</f>
        <v/>
      </c>
    </row>
    <row r="220">
      <c r="A220" s="24">
        <f>IF(B220="","",ROW()-4)</f>
        <v/>
      </c>
      <c r="B220" s="25" t="n"/>
      <c r="C220" s="24">
        <f>IF(B220="","",IFERROR(INDEX('Wózki'!$B$2:$B$500,MATCH(B220,'Wózki'!$A$2:$A$500,0))&amp;"",""))</f>
        <v/>
      </c>
      <c r="D220" s="26" t="n"/>
      <c r="E220" s="25" t="n"/>
      <c r="F220" s="25" t="n"/>
      <c r="G220" s="24">
        <f>IF(F220="","",IFERROR(INDEX(Pracownicy!$B$2:$B$2000,MATCH(F220,Pracownicy!$A$2:$A$2000,0))&amp;"",""))</f>
        <v/>
      </c>
      <c r="H220" s="25" t="n"/>
      <c r="I220" s="25" t="n"/>
      <c r="J220" s="25" t="n"/>
      <c r="K220" s="27" t="n"/>
      <c r="L220" s="25" t="n"/>
      <c r="M220" s="25" t="n"/>
      <c r="N220" s="27" t="n"/>
      <c r="O220" s="24">
        <f>IF(B220="","",IF(M220="","TAK",IFERROR(INDEX(Ustawienia!$K$4:$K$8,MATCH(M220,Ustawienia!$J$4:$J$8,0)),"TAK")))</f>
        <v/>
      </c>
      <c r="P220" s="28">
        <f>IF(OR(B220="",D220=""),"",IFERROR(INDEX('Dane rozpisek'!$B$2:$B$2600,MATCH(S220,'Dane rozpisek'!$H$2:$H$2600,0))&amp;": "&amp;INDEX('Dane rozpisek'!$E$2:$E$2600,MATCH(S220,'Dane rozpisek'!$H$2:$H$2600,0))&amp;IF(COUNTIF('Dane rozpisek'!$H$2:$H$2600,S220)&gt;1," (+"&amp;(COUNTIF('Dane rozpisek'!$H$2:$H$2600,S220)-1)&amp;")",""),"—"))</f>
        <v/>
      </c>
      <c r="Q220" s="24">
        <f>IF(AND(B220&lt;&gt;"",D220&lt;&gt;"",OR('Historia wózka'!$B$4="",B220='Historia wózka'!$B$4),D220&gt;='Historia wózka'!$B$5,D220&lt;='Historia wózka'!$B$6),D220+ROW()/1000000,0)</f>
        <v/>
      </c>
      <c r="R220" s="24">
        <f>IF(O220="TAK",IF(D220="",0,D220)+ROW()/1000000,0)</f>
        <v/>
      </c>
      <c r="S220" s="24">
        <f>IF(OR(B220="",D220=""),"",B220&amp;"|"&amp;D220)</f>
        <v/>
      </c>
    </row>
    <row r="221">
      <c r="A221" s="24">
        <f>IF(B221="","",ROW()-4)</f>
        <v/>
      </c>
      <c r="B221" s="25" t="n"/>
      <c r="C221" s="24">
        <f>IF(B221="","",IFERROR(INDEX('Wózki'!$B$2:$B$500,MATCH(B221,'Wózki'!$A$2:$A$500,0))&amp;"",""))</f>
        <v/>
      </c>
      <c r="D221" s="26" t="n"/>
      <c r="E221" s="25" t="n"/>
      <c r="F221" s="25" t="n"/>
      <c r="G221" s="24">
        <f>IF(F221="","",IFERROR(INDEX(Pracownicy!$B$2:$B$2000,MATCH(F221,Pracownicy!$A$2:$A$2000,0))&amp;"",""))</f>
        <v/>
      </c>
      <c r="H221" s="25" t="n"/>
      <c r="I221" s="25" t="n"/>
      <c r="J221" s="25" t="n"/>
      <c r="K221" s="27" t="n"/>
      <c r="L221" s="25" t="n"/>
      <c r="M221" s="25" t="n"/>
      <c r="N221" s="27" t="n"/>
      <c r="O221" s="24">
        <f>IF(B221="","",IF(M221="","TAK",IFERROR(INDEX(Ustawienia!$K$4:$K$8,MATCH(M221,Ustawienia!$J$4:$J$8,0)),"TAK")))</f>
        <v/>
      </c>
      <c r="P221" s="28">
        <f>IF(OR(B221="",D221=""),"",IFERROR(INDEX('Dane rozpisek'!$B$2:$B$2600,MATCH(S221,'Dane rozpisek'!$H$2:$H$2600,0))&amp;": "&amp;INDEX('Dane rozpisek'!$E$2:$E$2600,MATCH(S221,'Dane rozpisek'!$H$2:$H$2600,0))&amp;IF(COUNTIF('Dane rozpisek'!$H$2:$H$2600,S221)&gt;1," (+"&amp;(COUNTIF('Dane rozpisek'!$H$2:$H$2600,S221)-1)&amp;")",""),"—"))</f>
        <v/>
      </c>
      <c r="Q221" s="24">
        <f>IF(AND(B221&lt;&gt;"",D221&lt;&gt;"",OR('Historia wózka'!$B$4="",B221='Historia wózka'!$B$4),D221&gt;='Historia wózka'!$B$5,D221&lt;='Historia wózka'!$B$6),D221+ROW()/1000000,0)</f>
        <v/>
      </c>
      <c r="R221" s="24">
        <f>IF(O221="TAK",IF(D221="",0,D221)+ROW()/1000000,0)</f>
        <v/>
      </c>
      <c r="S221" s="24">
        <f>IF(OR(B221="",D221=""),"",B221&amp;"|"&amp;D221)</f>
        <v/>
      </c>
    </row>
    <row r="222">
      <c r="A222" s="24">
        <f>IF(B222="","",ROW()-4)</f>
        <v/>
      </c>
      <c r="B222" s="25" t="n"/>
      <c r="C222" s="24">
        <f>IF(B222="","",IFERROR(INDEX('Wózki'!$B$2:$B$500,MATCH(B222,'Wózki'!$A$2:$A$500,0))&amp;"",""))</f>
        <v/>
      </c>
      <c r="D222" s="26" t="n"/>
      <c r="E222" s="25" t="n"/>
      <c r="F222" s="25" t="n"/>
      <c r="G222" s="24">
        <f>IF(F222="","",IFERROR(INDEX(Pracownicy!$B$2:$B$2000,MATCH(F222,Pracownicy!$A$2:$A$2000,0))&amp;"",""))</f>
        <v/>
      </c>
      <c r="H222" s="25" t="n"/>
      <c r="I222" s="25" t="n"/>
      <c r="J222" s="25" t="n"/>
      <c r="K222" s="27" t="n"/>
      <c r="L222" s="25" t="n"/>
      <c r="M222" s="25" t="n"/>
      <c r="N222" s="27" t="n"/>
      <c r="O222" s="24">
        <f>IF(B222="","",IF(M222="","TAK",IFERROR(INDEX(Ustawienia!$K$4:$K$8,MATCH(M222,Ustawienia!$J$4:$J$8,0)),"TAK")))</f>
        <v/>
      </c>
      <c r="P222" s="28">
        <f>IF(OR(B222="",D222=""),"",IFERROR(INDEX('Dane rozpisek'!$B$2:$B$2600,MATCH(S222,'Dane rozpisek'!$H$2:$H$2600,0))&amp;": "&amp;INDEX('Dane rozpisek'!$E$2:$E$2600,MATCH(S222,'Dane rozpisek'!$H$2:$H$2600,0))&amp;IF(COUNTIF('Dane rozpisek'!$H$2:$H$2600,S222)&gt;1," (+"&amp;(COUNTIF('Dane rozpisek'!$H$2:$H$2600,S222)-1)&amp;")",""),"—"))</f>
        <v/>
      </c>
      <c r="Q222" s="24">
        <f>IF(AND(B222&lt;&gt;"",D222&lt;&gt;"",OR('Historia wózka'!$B$4="",B222='Historia wózka'!$B$4),D222&gt;='Historia wózka'!$B$5,D222&lt;='Historia wózka'!$B$6),D222+ROW()/1000000,0)</f>
        <v/>
      </c>
      <c r="R222" s="24">
        <f>IF(O222="TAK",IF(D222="",0,D222)+ROW()/1000000,0)</f>
        <v/>
      </c>
      <c r="S222" s="24">
        <f>IF(OR(B222="",D222=""),"",B222&amp;"|"&amp;D222)</f>
        <v/>
      </c>
    </row>
    <row r="223">
      <c r="A223" s="24">
        <f>IF(B223="","",ROW()-4)</f>
        <v/>
      </c>
      <c r="B223" s="25" t="n"/>
      <c r="C223" s="24">
        <f>IF(B223="","",IFERROR(INDEX('Wózki'!$B$2:$B$500,MATCH(B223,'Wózki'!$A$2:$A$500,0))&amp;"",""))</f>
        <v/>
      </c>
      <c r="D223" s="26" t="n"/>
      <c r="E223" s="25" t="n"/>
      <c r="F223" s="25" t="n"/>
      <c r="G223" s="24">
        <f>IF(F223="","",IFERROR(INDEX(Pracownicy!$B$2:$B$2000,MATCH(F223,Pracownicy!$A$2:$A$2000,0))&amp;"",""))</f>
        <v/>
      </c>
      <c r="H223" s="25" t="n"/>
      <c r="I223" s="25" t="n"/>
      <c r="J223" s="25" t="n"/>
      <c r="K223" s="27" t="n"/>
      <c r="L223" s="25" t="n"/>
      <c r="M223" s="25" t="n"/>
      <c r="N223" s="27" t="n"/>
      <c r="O223" s="24">
        <f>IF(B223="","",IF(M223="","TAK",IFERROR(INDEX(Ustawienia!$K$4:$K$8,MATCH(M223,Ustawienia!$J$4:$J$8,0)),"TAK")))</f>
        <v/>
      </c>
      <c r="P223" s="28">
        <f>IF(OR(B223="",D223=""),"",IFERROR(INDEX('Dane rozpisek'!$B$2:$B$2600,MATCH(S223,'Dane rozpisek'!$H$2:$H$2600,0))&amp;": "&amp;INDEX('Dane rozpisek'!$E$2:$E$2600,MATCH(S223,'Dane rozpisek'!$H$2:$H$2600,0))&amp;IF(COUNTIF('Dane rozpisek'!$H$2:$H$2600,S223)&gt;1," (+"&amp;(COUNTIF('Dane rozpisek'!$H$2:$H$2600,S223)-1)&amp;")",""),"—"))</f>
        <v/>
      </c>
      <c r="Q223" s="24">
        <f>IF(AND(B223&lt;&gt;"",D223&lt;&gt;"",OR('Historia wózka'!$B$4="",B223='Historia wózka'!$B$4),D223&gt;='Historia wózka'!$B$5,D223&lt;='Historia wózka'!$B$6),D223+ROW()/1000000,0)</f>
        <v/>
      </c>
      <c r="R223" s="24">
        <f>IF(O223="TAK",IF(D223="",0,D223)+ROW()/1000000,0)</f>
        <v/>
      </c>
      <c r="S223" s="24">
        <f>IF(OR(B223="",D223=""),"",B223&amp;"|"&amp;D223)</f>
        <v/>
      </c>
    </row>
    <row r="224">
      <c r="A224" s="24">
        <f>IF(B224="","",ROW()-4)</f>
        <v/>
      </c>
      <c r="B224" s="25" t="n"/>
      <c r="C224" s="24">
        <f>IF(B224="","",IFERROR(INDEX('Wózki'!$B$2:$B$500,MATCH(B224,'Wózki'!$A$2:$A$500,0))&amp;"",""))</f>
        <v/>
      </c>
      <c r="D224" s="26" t="n"/>
      <c r="E224" s="25" t="n"/>
      <c r="F224" s="25" t="n"/>
      <c r="G224" s="24">
        <f>IF(F224="","",IFERROR(INDEX(Pracownicy!$B$2:$B$2000,MATCH(F224,Pracownicy!$A$2:$A$2000,0))&amp;"",""))</f>
        <v/>
      </c>
      <c r="H224" s="25" t="n"/>
      <c r="I224" s="25" t="n"/>
      <c r="J224" s="25" t="n"/>
      <c r="K224" s="27" t="n"/>
      <c r="L224" s="25" t="n"/>
      <c r="M224" s="25" t="n"/>
      <c r="N224" s="27" t="n"/>
      <c r="O224" s="24">
        <f>IF(B224="","",IF(M224="","TAK",IFERROR(INDEX(Ustawienia!$K$4:$K$8,MATCH(M224,Ustawienia!$J$4:$J$8,0)),"TAK")))</f>
        <v/>
      </c>
      <c r="P224" s="28">
        <f>IF(OR(B224="",D224=""),"",IFERROR(INDEX('Dane rozpisek'!$B$2:$B$2600,MATCH(S224,'Dane rozpisek'!$H$2:$H$2600,0))&amp;": "&amp;INDEX('Dane rozpisek'!$E$2:$E$2600,MATCH(S224,'Dane rozpisek'!$H$2:$H$2600,0))&amp;IF(COUNTIF('Dane rozpisek'!$H$2:$H$2600,S224)&gt;1," (+"&amp;(COUNTIF('Dane rozpisek'!$H$2:$H$2600,S224)-1)&amp;")",""),"—"))</f>
        <v/>
      </c>
      <c r="Q224" s="24">
        <f>IF(AND(B224&lt;&gt;"",D224&lt;&gt;"",OR('Historia wózka'!$B$4="",B224='Historia wózka'!$B$4),D224&gt;='Historia wózka'!$B$5,D224&lt;='Historia wózka'!$B$6),D224+ROW()/1000000,0)</f>
        <v/>
      </c>
      <c r="R224" s="24">
        <f>IF(O224="TAK",IF(D224="",0,D224)+ROW()/1000000,0)</f>
        <v/>
      </c>
      <c r="S224" s="24">
        <f>IF(OR(B224="",D224=""),"",B224&amp;"|"&amp;D224)</f>
        <v/>
      </c>
    </row>
    <row r="225">
      <c r="A225" s="24">
        <f>IF(B225="","",ROW()-4)</f>
        <v/>
      </c>
      <c r="B225" s="25" t="n"/>
      <c r="C225" s="24">
        <f>IF(B225="","",IFERROR(INDEX('Wózki'!$B$2:$B$500,MATCH(B225,'Wózki'!$A$2:$A$500,0))&amp;"",""))</f>
        <v/>
      </c>
      <c r="D225" s="26" t="n"/>
      <c r="E225" s="25" t="n"/>
      <c r="F225" s="25" t="n"/>
      <c r="G225" s="24">
        <f>IF(F225="","",IFERROR(INDEX(Pracownicy!$B$2:$B$2000,MATCH(F225,Pracownicy!$A$2:$A$2000,0))&amp;"",""))</f>
        <v/>
      </c>
      <c r="H225" s="25" t="n"/>
      <c r="I225" s="25" t="n"/>
      <c r="J225" s="25" t="n"/>
      <c r="K225" s="27" t="n"/>
      <c r="L225" s="25" t="n"/>
      <c r="M225" s="25" t="n"/>
      <c r="N225" s="27" t="n"/>
      <c r="O225" s="24">
        <f>IF(B225="","",IF(M225="","TAK",IFERROR(INDEX(Ustawienia!$K$4:$K$8,MATCH(M225,Ustawienia!$J$4:$J$8,0)),"TAK")))</f>
        <v/>
      </c>
      <c r="P225" s="28">
        <f>IF(OR(B225="",D225=""),"",IFERROR(INDEX('Dane rozpisek'!$B$2:$B$2600,MATCH(S225,'Dane rozpisek'!$H$2:$H$2600,0))&amp;": "&amp;INDEX('Dane rozpisek'!$E$2:$E$2600,MATCH(S225,'Dane rozpisek'!$H$2:$H$2600,0))&amp;IF(COUNTIF('Dane rozpisek'!$H$2:$H$2600,S225)&gt;1," (+"&amp;(COUNTIF('Dane rozpisek'!$H$2:$H$2600,S225)-1)&amp;")",""),"—"))</f>
        <v/>
      </c>
      <c r="Q225" s="24">
        <f>IF(AND(B225&lt;&gt;"",D225&lt;&gt;"",OR('Historia wózka'!$B$4="",B225='Historia wózka'!$B$4),D225&gt;='Historia wózka'!$B$5,D225&lt;='Historia wózka'!$B$6),D225+ROW()/1000000,0)</f>
        <v/>
      </c>
      <c r="R225" s="24">
        <f>IF(O225="TAK",IF(D225="",0,D225)+ROW()/1000000,0)</f>
        <v/>
      </c>
      <c r="S225" s="24">
        <f>IF(OR(B225="",D225=""),"",B225&amp;"|"&amp;D225)</f>
        <v/>
      </c>
    </row>
    <row r="226">
      <c r="A226" s="24">
        <f>IF(B226="","",ROW()-4)</f>
        <v/>
      </c>
      <c r="B226" s="25" t="n"/>
      <c r="C226" s="24">
        <f>IF(B226="","",IFERROR(INDEX('Wózki'!$B$2:$B$500,MATCH(B226,'Wózki'!$A$2:$A$500,0))&amp;"",""))</f>
        <v/>
      </c>
      <c r="D226" s="26" t="n"/>
      <c r="E226" s="25" t="n"/>
      <c r="F226" s="25" t="n"/>
      <c r="G226" s="24">
        <f>IF(F226="","",IFERROR(INDEX(Pracownicy!$B$2:$B$2000,MATCH(F226,Pracownicy!$A$2:$A$2000,0))&amp;"",""))</f>
        <v/>
      </c>
      <c r="H226" s="25" t="n"/>
      <c r="I226" s="25" t="n"/>
      <c r="J226" s="25" t="n"/>
      <c r="K226" s="27" t="n"/>
      <c r="L226" s="25" t="n"/>
      <c r="M226" s="25" t="n"/>
      <c r="N226" s="27" t="n"/>
      <c r="O226" s="24">
        <f>IF(B226="","",IF(M226="","TAK",IFERROR(INDEX(Ustawienia!$K$4:$K$8,MATCH(M226,Ustawienia!$J$4:$J$8,0)),"TAK")))</f>
        <v/>
      </c>
      <c r="P226" s="28">
        <f>IF(OR(B226="",D226=""),"",IFERROR(INDEX('Dane rozpisek'!$B$2:$B$2600,MATCH(S226,'Dane rozpisek'!$H$2:$H$2600,0))&amp;": "&amp;INDEX('Dane rozpisek'!$E$2:$E$2600,MATCH(S226,'Dane rozpisek'!$H$2:$H$2600,0))&amp;IF(COUNTIF('Dane rozpisek'!$H$2:$H$2600,S226)&gt;1," (+"&amp;(COUNTIF('Dane rozpisek'!$H$2:$H$2600,S226)-1)&amp;")",""),"—"))</f>
        <v/>
      </c>
      <c r="Q226" s="24">
        <f>IF(AND(B226&lt;&gt;"",D226&lt;&gt;"",OR('Historia wózka'!$B$4="",B226='Historia wózka'!$B$4),D226&gt;='Historia wózka'!$B$5,D226&lt;='Historia wózka'!$B$6),D226+ROW()/1000000,0)</f>
        <v/>
      </c>
      <c r="R226" s="24">
        <f>IF(O226="TAK",IF(D226="",0,D226)+ROW()/1000000,0)</f>
        <v/>
      </c>
      <c r="S226" s="24">
        <f>IF(OR(B226="",D226=""),"",B226&amp;"|"&amp;D226)</f>
        <v/>
      </c>
    </row>
    <row r="227">
      <c r="A227" s="24">
        <f>IF(B227="","",ROW()-4)</f>
        <v/>
      </c>
      <c r="B227" s="25" t="n"/>
      <c r="C227" s="24">
        <f>IF(B227="","",IFERROR(INDEX('Wózki'!$B$2:$B$500,MATCH(B227,'Wózki'!$A$2:$A$500,0))&amp;"",""))</f>
        <v/>
      </c>
      <c r="D227" s="26" t="n"/>
      <c r="E227" s="25" t="n"/>
      <c r="F227" s="25" t="n"/>
      <c r="G227" s="24">
        <f>IF(F227="","",IFERROR(INDEX(Pracownicy!$B$2:$B$2000,MATCH(F227,Pracownicy!$A$2:$A$2000,0))&amp;"",""))</f>
        <v/>
      </c>
      <c r="H227" s="25" t="n"/>
      <c r="I227" s="25" t="n"/>
      <c r="J227" s="25" t="n"/>
      <c r="K227" s="27" t="n"/>
      <c r="L227" s="25" t="n"/>
      <c r="M227" s="25" t="n"/>
      <c r="N227" s="27" t="n"/>
      <c r="O227" s="24">
        <f>IF(B227="","",IF(M227="","TAK",IFERROR(INDEX(Ustawienia!$K$4:$K$8,MATCH(M227,Ustawienia!$J$4:$J$8,0)),"TAK")))</f>
        <v/>
      </c>
      <c r="P227" s="28">
        <f>IF(OR(B227="",D227=""),"",IFERROR(INDEX('Dane rozpisek'!$B$2:$B$2600,MATCH(S227,'Dane rozpisek'!$H$2:$H$2600,0))&amp;": "&amp;INDEX('Dane rozpisek'!$E$2:$E$2600,MATCH(S227,'Dane rozpisek'!$H$2:$H$2600,0))&amp;IF(COUNTIF('Dane rozpisek'!$H$2:$H$2600,S227)&gt;1," (+"&amp;(COUNTIF('Dane rozpisek'!$H$2:$H$2600,S227)-1)&amp;")",""),"—"))</f>
        <v/>
      </c>
      <c r="Q227" s="24">
        <f>IF(AND(B227&lt;&gt;"",D227&lt;&gt;"",OR('Historia wózka'!$B$4="",B227='Historia wózka'!$B$4),D227&gt;='Historia wózka'!$B$5,D227&lt;='Historia wózka'!$B$6),D227+ROW()/1000000,0)</f>
        <v/>
      </c>
      <c r="R227" s="24">
        <f>IF(O227="TAK",IF(D227="",0,D227)+ROW()/1000000,0)</f>
        <v/>
      </c>
      <c r="S227" s="24">
        <f>IF(OR(B227="",D227=""),"",B227&amp;"|"&amp;D227)</f>
        <v/>
      </c>
    </row>
    <row r="228">
      <c r="A228" s="24">
        <f>IF(B228="","",ROW()-4)</f>
        <v/>
      </c>
      <c r="B228" s="25" t="n"/>
      <c r="C228" s="24">
        <f>IF(B228="","",IFERROR(INDEX('Wózki'!$B$2:$B$500,MATCH(B228,'Wózki'!$A$2:$A$500,0))&amp;"",""))</f>
        <v/>
      </c>
      <c r="D228" s="26" t="n"/>
      <c r="E228" s="25" t="n"/>
      <c r="F228" s="25" t="n"/>
      <c r="G228" s="24">
        <f>IF(F228="","",IFERROR(INDEX(Pracownicy!$B$2:$B$2000,MATCH(F228,Pracownicy!$A$2:$A$2000,0))&amp;"",""))</f>
        <v/>
      </c>
      <c r="H228" s="25" t="n"/>
      <c r="I228" s="25" t="n"/>
      <c r="J228" s="25" t="n"/>
      <c r="K228" s="27" t="n"/>
      <c r="L228" s="25" t="n"/>
      <c r="M228" s="25" t="n"/>
      <c r="N228" s="27" t="n"/>
      <c r="O228" s="24">
        <f>IF(B228="","",IF(M228="","TAK",IFERROR(INDEX(Ustawienia!$K$4:$K$8,MATCH(M228,Ustawienia!$J$4:$J$8,0)),"TAK")))</f>
        <v/>
      </c>
      <c r="P228" s="28">
        <f>IF(OR(B228="",D228=""),"",IFERROR(INDEX('Dane rozpisek'!$B$2:$B$2600,MATCH(S228,'Dane rozpisek'!$H$2:$H$2600,0))&amp;": "&amp;INDEX('Dane rozpisek'!$E$2:$E$2600,MATCH(S228,'Dane rozpisek'!$H$2:$H$2600,0))&amp;IF(COUNTIF('Dane rozpisek'!$H$2:$H$2600,S228)&gt;1," (+"&amp;(COUNTIF('Dane rozpisek'!$H$2:$H$2600,S228)-1)&amp;")",""),"—"))</f>
        <v/>
      </c>
      <c r="Q228" s="24">
        <f>IF(AND(B228&lt;&gt;"",D228&lt;&gt;"",OR('Historia wózka'!$B$4="",B228='Historia wózka'!$B$4),D228&gt;='Historia wózka'!$B$5,D228&lt;='Historia wózka'!$B$6),D228+ROW()/1000000,0)</f>
        <v/>
      </c>
      <c r="R228" s="24">
        <f>IF(O228="TAK",IF(D228="",0,D228)+ROW()/1000000,0)</f>
        <v/>
      </c>
      <c r="S228" s="24">
        <f>IF(OR(B228="",D228=""),"",B228&amp;"|"&amp;D228)</f>
        <v/>
      </c>
    </row>
    <row r="229">
      <c r="A229" s="24">
        <f>IF(B229="","",ROW()-4)</f>
        <v/>
      </c>
      <c r="B229" s="25" t="n"/>
      <c r="C229" s="24">
        <f>IF(B229="","",IFERROR(INDEX('Wózki'!$B$2:$B$500,MATCH(B229,'Wózki'!$A$2:$A$500,0))&amp;"",""))</f>
        <v/>
      </c>
      <c r="D229" s="26" t="n"/>
      <c r="E229" s="25" t="n"/>
      <c r="F229" s="25" t="n"/>
      <c r="G229" s="24">
        <f>IF(F229="","",IFERROR(INDEX(Pracownicy!$B$2:$B$2000,MATCH(F229,Pracownicy!$A$2:$A$2000,0))&amp;"",""))</f>
        <v/>
      </c>
      <c r="H229" s="25" t="n"/>
      <c r="I229" s="25" t="n"/>
      <c r="J229" s="25" t="n"/>
      <c r="K229" s="27" t="n"/>
      <c r="L229" s="25" t="n"/>
      <c r="M229" s="25" t="n"/>
      <c r="N229" s="27" t="n"/>
      <c r="O229" s="24">
        <f>IF(B229="","",IF(M229="","TAK",IFERROR(INDEX(Ustawienia!$K$4:$K$8,MATCH(M229,Ustawienia!$J$4:$J$8,0)),"TAK")))</f>
        <v/>
      </c>
      <c r="P229" s="28">
        <f>IF(OR(B229="",D229=""),"",IFERROR(INDEX('Dane rozpisek'!$B$2:$B$2600,MATCH(S229,'Dane rozpisek'!$H$2:$H$2600,0))&amp;": "&amp;INDEX('Dane rozpisek'!$E$2:$E$2600,MATCH(S229,'Dane rozpisek'!$H$2:$H$2600,0))&amp;IF(COUNTIF('Dane rozpisek'!$H$2:$H$2600,S229)&gt;1," (+"&amp;(COUNTIF('Dane rozpisek'!$H$2:$H$2600,S229)-1)&amp;")",""),"—"))</f>
        <v/>
      </c>
      <c r="Q229" s="24">
        <f>IF(AND(B229&lt;&gt;"",D229&lt;&gt;"",OR('Historia wózka'!$B$4="",B229='Historia wózka'!$B$4),D229&gt;='Historia wózka'!$B$5,D229&lt;='Historia wózka'!$B$6),D229+ROW()/1000000,0)</f>
        <v/>
      </c>
      <c r="R229" s="24">
        <f>IF(O229="TAK",IF(D229="",0,D229)+ROW()/1000000,0)</f>
        <v/>
      </c>
      <c r="S229" s="24">
        <f>IF(OR(B229="",D229=""),"",B229&amp;"|"&amp;D229)</f>
        <v/>
      </c>
    </row>
    <row r="230">
      <c r="A230" s="24">
        <f>IF(B230="","",ROW()-4)</f>
        <v/>
      </c>
      <c r="B230" s="25" t="n"/>
      <c r="C230" s="24">
        <f>IF(B230="","",IFERROR(INDEX('Wózki'!$B$2:$B$500,MATCH(B230,'Wózki'!$A$2:$A$500,0))&amp;"",""))</f>
        <v/>
      </c>
      <c r="D230" s="26" t="n"/>
      <c r="E230" s="25" t="n"/>
      <c r="F230" s="25" t="n"/>
      <c r="G230" s="24">
        <f>IF(F230="","",IFERROR(INDEX(Pracownicy!$B$2:$B$2000,MATCH(F230,Pracownicy!$A$2:$A$2000,0))&amp;"",""))</f>
        <v/>
      </c>
      <c r="H230" s="25" t="n"/>
      <c r="I230" s="25" t="n"/>
      <c r="J230" s="25" t="n"/>
      <c r="K230" s="27" t="n"/>
      <c r="L230" s="25" t="n"/>
      <c r="M230" s="25" t="n"/>
      <c r="N230" s="27" t="n"/>
      <c r="O230" s="24">
        <f>IF(B230="","",IF(M230="","TAK",IFERROR(INDEX(Ustawienia!$K$4:$K$8,MATCH(M230,Ustawienia!$J$4:$J$8,0)),"TAK")))</f>
        <v/>
      </c>
      <c r="P230" s="28">
        <f>IF(OR(B230="",D230=""),"",IFERROR(INDEX('Dane rozpisek'!$B$2:$B$2600,MATCH(S230,'Dane rozpisek'!$H$2:$H$2600,0))&amp;": "&amp;INDEX('Dane rozpisek'!$E$2:$E$2600,MATCH(S230,'Dane rozpisek'!$H$2:$H$2600,0))&amp;IF(COUNTIF('Dane rozpisek'!$H$2:$H$2600,S230)&gt;1," (+"&amp;(COUNTIF('Dane rozpisek'!$H$2:$H$2600,S230)-1)&amp;")",""),"—"))</f>
        <v/>
      </c>
      <c r="Q230" s="24">
        <f>IF(AND(B230&lt;&gt;"",D230&lt;&gt;"",OR('Historia wózka'!$B$4="",B230='Historia wózka'!$B$4),D230&gt;='Historia wózka'!$B$5,D230&lt;='Historia wózka'!$B$6),D230+ROW()/1000000,0)</f>
        <v/>
      </c>
      <c r="R230" s="24">
        <f>IF(O230="TAK",IF(D230="",0,D230)+ROW()/1000000,0)</f>
        <v/>
      </c>
      <c r="S230" s="24">
        <f>IF(OR(B230="",D230=""),"",B230&amp;"|"&amp;D230)</f>
        <v/>
      </c>
    </row>
    <row r="231">
      <c r="A231" s="24">
        <f>IF(B231="","",ROW()-4)</f>
        <v/>
      </c>
      <c r="B231" s="25" t="n"/>
      <c r="C231" s="24">
        <f>IF(B231="","",IFERROR(INDEX('Wózki'!$B$2:$B$500,MATCH(B231,'Wózki'!$A$2:$A$500,0))&amp;"",""))</f>
        <v/>
      </c>
      <c r="D231" s="26" t="n"/>
      <c r="E231" s="25" t="n"/>
      <c r="F231" s="25" t="n"/>
      <c r="G231" s="24">
        <f>IF(F231="","",IFERROR(INDEX(Pracownicy!$B$2:$B$2000,MATCH(F231,Pracownicy!$A$2:$A$2000,0))&amp;"",""))</f>
        <v/>
      </c>
      <c r="H231" s="25" t="n"/>
      <c r="I231" s="25" t="n"/>
      <c r="J231" s="25" t="n"/>
      <c r="K231" s="27" t="n"/>
      <c r="L231" s="25" t="n"/>
      <c r="M231" s="25" t="n"/>
      <c r="N231" s="27" t="n"/>
      <c r="O231" s="24">
        <f>IF(B231="","",IF(M231="","TAK",IFERROR(INDEX(Ustawienia!$K$4:$K$8,MATCH(M231,Ustawienia!$J$4:$J$8,0)),"TAK")))</f>
        <v/>
      </c>
      <c r="P231" s="28">
        <f>IF(OR(B231="",D231=""),"",IFERROR(INDEX('Dane rozpisek'!$B$2:$B$2600,MATCH(S231,'Dane rozpisek'!$H$2:$H$2600,0))&amp;": "&amp;INDEX('Dane rozpisek'!$E$2:$E$2600,MATCH(S231,'Dane rozpisek'!$H$2:$H$2600,0))&amp;IF(COUNTIF('Dane rozpisek'!$H$2:$H$2600,S231)&gt;1," (+"&amp;(COUNTIF('Dane rozpisek'!$H$2:$H$2600,S231)-1)&amp;")",""),"—"))</f>
        <v/>
      </c>
      <c r="Q231" s="24">
        <f>IF(AND(B231&lt;&gt;"",D231&lt;&gt;"",OR('Historia wózka'!$B$4="",B231='Historia wózka'!$B$4),D231&gt;='Historia wózka'!$B$5,D231&lt;='Historia wózka'!$B$6),D231+ROW()/1000000,0)</f>
        <v/>
      </c>
      <c r="R231" s="24">
        <f>IF(O231="TAK",IF(D231="",0,D231)+ROW()/1000000,0)</f>
        <v/>
      </c>
      <c r="S231" s="24">
        <f>IF(OR(B231="",D231=""),"",B231&amp;"|"&amp;D231)</f>
        <v/>
      </c>
    </row>
    <row r="232">
      <c r="A232" s="24">
        <f>IF(B232="","",ROW()-4)</f>
        <v/>
      </c>
      <c r="B232" s="25" t="n"/>
      <c r="C232" s="24">
        <f>IF(B232="","",IFERROR(INDEX('Wózki'!$B$2:$B$500,MATCH(B232,'Wózki'!$A$2:$A$500,0))&amp;"",""))</f>
        <v/>
      </c>
      <c r="D232" s="26" t="n"/>
      <c r="E232" s="25" t="n"/>
      <c r="F232" s="25" t="n"/>
      <c r="G232" s="24">
        <f>IF(F232="","",IFERROR(INDEX(Pracownicy!$B$2:$B$2000,MATCH(F232,Pracownicy!$A$2:$A$2000,0))&amp;"",""))</f>
        <v/>
      </c>
      <c r="H232" s="25" t="n"/>
      <c r="I232" s="25" t="n"/>
      <c r="J232" s="25" t="n"/>
      <c r="K232" s="27" t="n"/>
      <c r="L232" s="25" t="n"/>
      <c r="M232" s="25" t="n"/>
      <c r="N232" s="27" t="n"/>
      <c r="O232" s="24">
        <f>IF(B232="","",IF(M232="","TAK",IFERROR(INDEX(Ustawienia!$K$4:$K$8,MATCH(M232,Ustawienia!$J$4:$J$8,0)),"TAK")))</f>
        <v/>
      </c>
      <c r="P232" s="28">
        <f>IF(OR(B232="",D232=""),"",IFERROR(INDEX('Dane rozpisek'!$B$2:$B$2600,MATCH(S232,'Dane rozpisek'!$H$2:$H$2600,0))&amp;": "&amp;INDEX('Dane rozpisek'!$E$2:$E$2600,MATCH(S232,'Dane rozpisek'!$H$2:$H$2600,0))&amp;IF(COUNTIF('Dane rozpisek'!$H$2:$H$2600,S232)&gt;1," (+"&amp;(COUNTIF('Dane rozpisek'!$H$2:$H$2600,S232)-1)&amp;")",""),"—"))</f>
        <v/>
      </c>
      <c r="Q232" s="24">
        <f>IF(AND(B232&lt;&gt;"",D232&lt;&gt;"",OR('Historia wózka'!$B$4="",B232='Historia wózka'!$B$4),D232&gt;='Historia wózka'!$B$5,D232&lt;='Historia wózka'!$B$6),D232+ROW()/1000000,0)</f>
        <v/>
      </c>
      <c r="R232" s="24">
        <f>IF(O232="TAK",IF(D232="",0,D232)+ROW()/1000000,0)</f>
        <v/>
      </c>
      <c r="S232" s="24">
        <f>IF(OR(B232="",D232=""),"",B232&amp;"|"&amp;D232)</f>
        <v/>
      </c>
    </row>
    <row r="233">
      <c r="A233" s="24">
        <f>IF(B233="","",ROW()-4)</f>
        <v/>
      </c>
      <c r="B233" s="25" t="n"/>
      <c r="C233" s="24">
        <f>IF(B233="","",IFERROR(INDEX('Wózki'!$B$2:$B$500,MATCH(B233,'Wózki'!$A$2:$A$500,0))&amp;"",""))</f>
        <v/>
      </c>
      <c r="D233" s="26" t="n"/>
      <c r="E233" s="25" t="n"/>
      <c r="F233" s="25" t="n"/>
      <c r="G233" s="24">
        <f>IF(F233="","",IFERROR(INDEX(Pracownicy!$B$2:$B$2000,MATCH(F233,Pracownicy!$A$2:$A$2000,0))&amp;"",""))</f>
        <v/>
      </c>
      <c r="H233" s="25" t="n"/>
      <c r="I233" s="25" t="n"/>
      <c r="J233" s="25" t="n"/>
      <c r="K233" s="27" t="n"/>
      <c r="L233" s="25" t="n"/>
      <c r="M233" s="25" t="n"/>
      <c r="N233" s="27" t="n"/>
      <c r="O233" s="24">
        <f>IF(B233="","",IF(M233="","TAK",IFERROR(INDEX(Ustawienia!$K$4:$K$8,MATCH(M233,Ustawienia!$J$4:$J$8,0)),"TAK")))</f>
        <v/>
      </c>
      <c r="P233" s="28">
        <f>IF(OR(B233="",D233=""),"",IFERROR(INDEX('Dane rozpisek'!$B$2:$B$2600,MATCH(S233,'Dane rozpisek'!$H$2:$H$2600,0))&amp;": "&amp;INDEX('Dane rozpisek'!$E$2:$E$2600,MATCH(S233,'Dane rozpisek'!$H$2:$H$2600,0))&amp;IF(COUNTIF('Dane rozpisek'!$H$2:$H$2600,S233)&gt;1," (+"&amp;(COUNTIF('Dane rozpisek'!$H$2:$H$2600,S233)-1)&amp;")",""),"—"))</f>
        <v/>
      </c>
      <c r="Q233" s="24">
        <f>IF(AND(B233&lt;&gt;"",D233&lt;&gt;"",OR('Historia wózka'!$B$4="",B233='Historia wózka'!$B$4),D233&gt;='Historia wózka'!$B$5,D233&lt;='Historia wózka'!$B$6),D233+ROW()/1000000,0)</f>
        <v/>
      </c>
      <c r="R233" s="24">
        <f>IF(O233="TAK",IF(D233="",0,D233)+ROW()/1000000,0)</f>
        <v/>
      </c>
      <c r="S233" s="24">
        <f>IF(OR(B233="",D233=""),"",B233&amp;"|"&amp;D233)</f>
        <v/>
      </c>
    </row>
    <row r="234">
      <c r="A234" s="24">
        <f>IF(B234="","",ROW()-4)</f>
        <v/>
      </c>
      <c r="B234" s="25" t="n"/>
      <c r="C234" s="24">
        <f>IF(B234="","",IFERROR(INDEX('Wózki'!$B$2:$B$500,MATCH(B234,'Wózki'!$A$2:$A$500,0))&amp;"",""))</f>
        <v/>
      </c>
      <c r="D234" s="26" t="n"/>
      <c r="E234" s="25" t="n"/>
      <c r="F234" s="25" t="n"/>
      <c r="G234" s="24">
        <f>IF(F234="","",IFERROR(INDEX(Pracownicy!$B$2:$B$2000,MATCH(F234,Pracownicy!$A$2:$A$2000,0))&amp;"",""))</f>
        <v/>
      </c>
      <c r="H234" s="25" t="n"/>
      <c r="I234" s="25" t="n"/>
      <c r="J234" s="25" t="n"/>
      <c r="K234" s="27" t="n"/>
      <c r="L234" s="25" t="n"/>
      <c r="M234" s="25" t="n"/>
      <c r="N234" s="27" t="n"/>
      <c r="O234" s="24">
        <f>IF(B234="","",IF(M234="","TAK",IFERROR(INDEX(Ustawienia!$K$4:$K$8,MATCH(M234,Ustawienia!$J$4:$J$8,0)),"TAK")))</f>
        <v/>
      </c>
      <c r="P234" s="28">
        <f>IF(OR(B234="",D234=""),"",IFERROR(INDEX('Dane rozpisek'!$B$2:$B$2600,MATCH(S234,'Dane rozpisek'!$H$2:$H$2600,0))&amp;": "&amp;INDEX('Dane rozpisek'!$E$2:$E$2600,MATCH(S234,'Dane rozpisek'!$H$2:$H$2600,0))&amp;IF(COUNTIF('Dane rozpisek'!$H$2:$H$2600,S234)&gt;1," (+"&amp;(COUNTIF('Dane rozpisek'!$H$2:$H$2600,S234)-1)&amp;")",""),"—"))</f>
        <v/>
      </c>
      <c r="Q234" s="24">
        <f>IF(AND(B234&lt;&gt;"",D234&lt;&gt;"",OR('Historia wózka'!$B$4="",B234='Historia wózka'!$B$4),D234&gt;='Historia wózka'!$B$5,D234&lt;='Historia wózka'!$B$6),D234+ROW()/1000000,0)</f>
        <v/>
      </c>
      <c r="R234" s="24">
        <f>IF(O234="TAK",IF(D234="",0,D234)+ROW()/1000000,0)</f>
        <v/>
      </c>
      <c r="S234" s="24">
        <f>IF(OR(B234="",D234=""),"",B234&amp;"|"&amp;D234)</f>
        <v/>
      </c>
    </row>
    <row r="235">
      <c r="A235" s="24">
        <f>IF(B235="","",ROW()-4)</f>
        <v/>
      </c>
      <c r="B235" s="25" t="n"/>
      <c r="C235" s="24">
        <f>IF(B235="","",IFERROR(INDEX('Wózki'!$B$2:$B$500,MATCH(B235,'Wózki'!$A$2:$A$500,0))&amp;"",""))</f>
        <v/>
      </c>
      <c r="D235" s="26" t="n"/>
      <c r="E235" s="25" t="n"/>
      <c r="F235" s="25" t="n"/>
      <c r="G235" s="24">
        <f>IF(F235="","",IFERROR(INDEX(Pracownicy!$B$2:$B$2000,MATCH(F235,Pracownicy!$A$2:$A$2000,0))&amp;"",""))</f>
        <v/>
      </c>
      <c r="H235" s="25" t="n"/>
      <c r="I235" s="25" t="n"/>
      <c r="J235" s="25" t="n"/>
      <c r="K235" s="27" t="n"/>
      <c r="L235" s="25" t="n"/>
      <c r="M235" s="25" t="n"/>
      <c r="N235" s="27" t="n"/>
      <c r="O235" s="24">
        <f>IF(B235="","",IF(M235="","TAK",IFERROR(INDEX(Ustawienia!$K$4:$K$8,MATCH(M235,Ustawienia!$J$4:$J$8,0)),"TAK")))</f>
        <v/>
      </c>
      <c r="P235" s="28">
        <f>IF(OR(B235="",D235=""),"",IFERROR(INDEX('Dane rozpisek'!$B$2:$B$2600,MATCH(S235,'Dane rozpisek'!$H$2:$H$2600,0))&amp;": "&amp;INDEX('Dane rozpisek'!$E$2:$E$2600,MATCH(S235,'Dane rozpisek'!$H$2:$H$2600,0))&amp;IF(COUNTIF('Dane rozpisek'!$H$2:$H$2600,S235)&gt;1," (+"&amp;(COUNTIF('Dane rozpisek'!$H$2:$H$2600,S235)-1)&amp;")",""),"—"))</f>
        <v/>
      </c>
      <c r="Q235" s="24">
        <f>IF(AND(B235&lt;&gt;"",D235&lt;&gt;"",OR('Historia wózka'!$B$4="",B235='Historia wózka'!$B$4),D235&gt;='Historia wózka'!$B$5,D235&lt;='Historia wózka'!$B$6),D235+ROW()/1000000,0)</f>
        <v/>
      </c>
      <c r="R235" s="24">
        <f>IF(O235="TAK",IF(D235="",0,D235)+ROW()/1000000,0)</f>
        <v/>
      </c>
      <c r="S235" s="24">
        <f>IF(OR(B235="",D235=""),"",B235&amp;"|"&amp;D235)</f>
        <v/>
      </c>
    </row>
    <row r="236">
      <c r="A236" s="24">
        <f>IF(B236="","",ROW()-4)</f>
        <v/>
      </c>
      <c r="B236" s="25" t="n"/>
      <c r="C236" s="24">
        <f>IF(B236="","",IFERROR(INDEX('Wózki'!$B$2:$B$500,MATCH(B236,'Wózki'!$A$2:$A$500,0))&amp;"",""))</f>
        <v/>
      </c>
      <c r="D236" s="26" t="n"/>
      <c r="E236" s="25" t="n"/>
      <c r="F236" s="25" t="n"/>
      <c r="G236" s="24">
        <f>IF(F236="","",IFERROR(INDEX(Pracownicy!$B$2:$B$2000,MATCH(F236,Pracownicy!$A$2:$A$2000,0))&amp;"",""))</f>
        <v/>
      </c>
      <c r="H236" s="25" t="n"/>
      <c r="I236" s="25" t="n"/>
      <c r="J236" s="25" t="n"/>
      <c r="K236" s="27" t="n"/>
      <c r="L236" s="25" t="n"/>
      <c r="M236" s="25" t="n"/>
      <c r="N236" s="27" t="n"/>
      <c r="O236" s="24">
        <f>IF(B236="","",IF(M236="","TAK",IFERROR(INDEX(Ustawienia!$K$4:$K$8,MATCH(M236,Ustawienia!$J$4:$J$8,0)),"TAK")))</f>
        <v/>
      </c>
      <c r="P236" s="28">
        <f>IF(OR(B236="",D236=""),"",IFERROR(INDEX('Dane rozpisek'!$B$2:$B$2600,MATCH(S236,'Dane rozpisek'!$H$2:$H$2600,0))&amp;": "&amp;INDEX('Dane rozpisek'!$E$2:$E$2600,MATCH(S236,'Dane rozpisek'!$H$2:$H$2600,0))&amp;IF(COUNTIF('Dane rozpisek'!$H$2:$H$2600,S236)&gt;1," (+"&amp;(COUNTIF('Dane rozpisek'!$H$2:$H$2600,S236)-1)&amp;")",""),"—"))</f>
        <v/>
      </c>
      <c r="Q236" s="24">
        <f>IF(AND(B236&lt;&gt;"",D236&lt;&gt;"",OR('Historia wózka'!$B$4="",B236='Historia wózka'!$B$4),D236&gt;='Historia wózka'!$B$5,D236&lt;='Historia wózka'!$B$6),D236+ROW()/1000000,0)</f>
        <v/>
      </c>
      <c r="R236" s="24">
        <f>IF(O236="TAK",IF(D236="",0,D236)+ROW()/1000000,0)</f>
        <v/>
      </c>
      <c r="S236" s="24">
        <f>IF(OR(B236="",D236=""),"",B236&amp;"|"&amp;D236)</f>
        <v/>
      </c>
    </row>
    <row r="237">
      <c r="A237" s="24">
        <f>IF(B237="","",ROW()-4)</f>
        <v/>
      </c>
      <c r="B237" s="25" t="n"/>
      <c r="C237" s="24">
        <f>IF(B237="","",IFERROR(INDEX('Wózki'!$B$2:$B$500,MATCH(B237,'Wózki'!$A$2:$A$500,0))&amp;"",""))</f>
        <v/>
      </c>
      <c r="D237" s="26" t="n"/>
      <c r="E237" s="25" t="n"/>
      <c r="F237" s="25" t="n"/>
      <c r="G237" s="24">
        <f>IF(F237="","",IFERROR(INDEX(Pracownicy!$B$2:$B$2000,MATCH(F237,Pracownicy!$A$2:$A$2000,0))&amp;"",""))</f>
        <v/>
      </c>
      <c r="H237" s="25" t="n"/>
      <c r="I237" s="25" t="n"/>
      <c r="J237" s="25" t="n"/>
      <c r="K237" s="27" t="n"/>
      <c r="L237" s="25" t="n"/>
      <c r="M237" s="25" t="n"/>
      <c r="N237" s="27" t="n"/>
      <c r="O237" s="24">
        <f>IF(B237="","",IF(M237="","TAK",IFERROR(INDEX(Ustawienia!$K$4:$K$8,MATCH(M237,Ustawienia!$J$4:$J$8,0)),"TAK")))</f>
        <v/>
      </c>
      <c r="P237" s="28">
        <f>IF(OR(B237="",D237=""),"",IFERROR(INDEX('Dane rozpisek'!$B$2:$B$2600,MATCH(S237,'Dane rozpisek'!$H$2:$H$2600,0))&amp;": "&amp;INDEX('Dane rozpisek'!$E$2:$E$2600,MATCH(S237,'Dane rozpisek'!$H$2:$H$2600,0))&amp;IF(COUNTIF('Dane rozpisek'!$H$2:$H$2600,S237)&gt;1," (+"&amp;(COUNTIF('Dane rozpisek'!$H$2:$H$2600,S237)-1)&amp;")",""),"—"))</f>
        <v/>
      </c>
      <c r="Q237" s="24">
        <f>IF(AND(B237&lt;&gt;"",D237&lt;&gt;"",OR('Historia wózka'!$B$4="",B237='Historia wózka'!$B$4),D237&gt;='Historia wózka'!$B$5,D237&lt;='Historia wózka'!$B$6),D237+ROW()/1000000,0)</f>
        <v/>
      </c>
      <c r="R237" s="24">
        <f>IF(O237="TAK",IF(D237="",0,D237)+ROW()/1000000,0)</f>
        <v/>
      </c>
      <c r="S237" s="24">
        <f>IF(OR(B237="",D237=""),"",B237&amp;"|"&amp;D237)</f>
        <v/>
      </c>
    </row>
    <row r="238">
      <c r="A238" s="24">
        <f>IF(B238="","",ROW()-4)</f>
        <v/>
      </c>
      <c r="B238" s="25" t="n"/>
      <c r="C238" s="24">
        <f>IF(B238="","",IFERROR(INDEX('Wózki'!$B$2:$B$500,MATCH(B238,'Wózki'!$A$2:$A$500,0))&amp;"",""))</f>
        <v/>
      </c>
      <c r="D238" s="26" t="n"/>
      <c r="E238" s="25" t="n"/>
      <c r="F238" s="25" t="n"/>
      <c r="G238" s="24">
        <f>IF(F238="","",IFERROR(INDEX(Pracownicy!$B$2:$B$2000,MATCH(F238,Pracownicy!$A$2:$A$2000,0))&amp;"",""))</f>
        <v/>
      </c>
      <c r="H238" s="25" t="n"/>
      <c r="I238" s="25" t="n"/>
      <c r="J238" s="25" t="n"/>
      <c r="K238" s="27" t="n"/>
      <c r="L238" s="25" t="n"/>
      <c r="M238" s="25" t="n"/>
      <c r="N238" s="27" t="n"/>
      <c r="O238" s="24">
        <f>IF(B238="","",IF(M238="","TAK",IFERROR(INDEX(Ustawienia!$K$4:$K$8,MATCH(M238,Ustawienia!$J$4:$J$8,0)),"TAK")))</f>
        <v/>
      </c>
      <c r="P238" s="28">
        <f>IF(OR(B238="",D238=""),"",IFERROR(INDEX('Dane rozpisek'!$B$2:$B$2600,MATCH(S238,'Dane rozpisek'!$H$2:$H$2600,0))&amp;": "&amp;INDEX('Dane rozpisek'!$E$2:$E$2600,MATCH(S238,'Dane rozpisek'!$H$2:$H$2600,0))&amp;IF(COUNTIF('Dane rozpisek'!$H$2:$H$2600,S238)&gt;1," (+"&amp;(COUNTIF('Dane rozpisek'!$H$2:$H$2600,S238)-1)&amp;")",""),"—"))</f>
        <v/>
      </c>
      <c r="Q238" s="24">
        <f>IF(AND(B238&lt;&gt;"",D238&lt;&gt;"",OR('Historia wózka'!$B$4="",B238='Historia wózka'!$B$4),D238&gt;='Historia wózka'!$B$5,D238&lt;='Historia wózka'!$B$6),D238+ROW()/1000000,0)</f>
        <v/>
      </c>
      <c r="R238" s="24">
        <f>IF(O238="TAK",IF(D238="",0,D238)+ROW()/1000000,0)</f>
        <v/>
      </c>
      <c r="S238" s="24">
        <f>IF(OR(B238="",D238=""),"",B238&amp;"|"&amp;D238)</f>
        <v/>
      </c>
    </row>
    <row r="239">
      <c r="A239" s="24">
        <f>IF(B239="","",ROW()-4)</f>
        <v/>
      </c>
      <c r="B239" s="25" t="n"/>
      <c r="C239" s="24">
        <f>IF(B239="","",IFERROR(INDEX('Wózki'!$B$2:$B$500,MATCH(B239,'Wózki'!$A$2:$A$500,0))&amp;"",""))</f>
        <v/>
      </c>
      <c r="D239" s="26" t="n"/>
      <c r="E239" s="25" t="n"/>
      <c r="F239" s="25" t="n"/>
      <c r="G239" s="24">
        <f>IF(F239="","",IFERROR(INDEX(Pracownicy!$B$2:$B$2000,MATCH(F239,Pracownicy!$A$2:$A$2000,0))&amp;"",""))</f>
        <v/>
      </c>
      <c r="H239" s="25" t="n"/>
      <c r="I239" s="25" t="n"/>
      <c r="J239" s="25" t="n"/>
      <c r="K239" s="27" t="n"/>
      <c r="L239" s="25" t="n"/>
      <c r="M239" s="25" t="n"/>
      <c r="N239" s="27" t="n"/>
      <c r="O239" s="24">
        <f>IF(B239="","",IF(M239="","TAK",IFERROR(INDEX(Ustawienia!$K$4:$K$8,MATCH(M239,Ustawienia!$J$4:$J$8,0)),"TAK")))</f>
        <v/>
      </c>
      <c r="P239" s="28">
        <f>IF(OR(B239="",D239=""),"",IFERROR(INDEX('Dane rozpisek'!$B$2:$B$2600,MATCH(S239,'Dane rozpisek'!$H$2:$H$2600,0))&amp;": "&amp;INDEX('Dane rozpisek'!$E$2:$E$2600,MATCH(S239,'Dane rozpisek'!$H$2:$H$2600,0))&amp;IF(COUNTIF('Dane rozpisek'!$H$2:$H$2600,S239)&gt;1," (+"&amp;(COUNTIF('Dane rozpisek'!$H$2:$H$2600,S239)-1)&amp;")",""),"—"))</f>
        <v/>
      </c>
      <c r="Q239" s="24">
        <f>IF(AND(B239&lt;&gt;"",D239&lt;&gt;"",OR('Historia wózka'!$B$4="",B239='Historia wózka'!$B$4),D239&gt;='Historia wózka'!$B$5,D239&lt;='Historia wózka'!$B$6),D239+ROW()/1000000,0)</f>
        <v/>
      </c>
      <c r="R239" s="24">
        <f>IF(O239="TAK",IF(D239="",0,D239)+ROW()/1000000,0)</f>
        <v/>
      </c>
      <c r="S239" s="24">
        <f>IF(OR(B239="",D239=""),"",B239&amp;"|"&amp;D239)</f>
        <v/>
      </c>
    </row>
    <row r="240">
      <c r="A240" s="24">
        <f>IF(B240="","",ROW()-4)</f>
        <v/>
      </c>
      <c r="B240" s="25" t="n"/>
      <c r="C240" s="24">
        <f>IF(B240="","",IFERROR(INDEX('Wózki'!$B$2:$B$500,MATCH(B240,'Wózki'!$A$2:$A$500,0))&amp;"",""))</f>
        <v/>
      </c>
      <c r="D240" s="26" t="n"/>
      <c r="E240" s="25" t="n"/>
      <c r="F240" s="25" t="n"/>
      <c r="G240" s="24">
        <f>IF(F240="","",IFERROR(INDEX(Pracownicy!$B$2:$B$2000,MATCH(F240,Pracownicy!$A$2:$A$2000,0))&amp;"",""))</f>
        <v/>
      </c>
      <c r="H240" s="25" t="n"/>
      <c r="I240" s="25" t="n"/>
      <c r="J240" s="25" t="n"/>
      <c r="K240" s="27" t="n"/>
      <c r="L240" s="25" t="n"/>
      <c r="M240" s="25" t="n"/>
      <c r="N240" s="27" t="n"/>
      <c r="O240" s="24">
        <f>IF(B240="","",IF(M240="","TAK",IFERROR(INDEX(Ustawienia!$K$4:$K$8,MATCH(M240,Ustawienia!$J$4:$J$8,0)),"TAK")))</f>
        <v/>
      </c>
      <c r="P240" s="28">
        <f>IF(OR(B240="",D240=""),"",IFERROR(INDEX('Dane rozpisek'!$B$2:$B$2600,MATCH(S240,'Dane rozpisek'!$H$2:$H$2600,0))&amp;": "&amp;INDEX('Dane rozpisek'!$E$2:$E$2600,MATCH(S240,'Dane rozpisek'!$H$2:$H$2600,0))&amp;IF(COUNTIF('Dane rozpisek'!$H$2:$H$2600,S240)&gt;1," (+"&amp;(COUNTIF('Dane rozpisek'!$H$2:$H$2600,S240)-1)&amp;")",""),"—"))</f>
        <v/>
      </c>
      <c r="Q240" s="24">
        <f>IF(AND(B240&lt;&gt;"",D240&lt;&gt;"",OR('Historia wózka'!$B$4="",B240='Historia wózka'!$B$4),D240&gt;='Historia wózka'!$B$5,D240&lt;='Historia wózka'!$B$6),D240+ROW()/1000000,0)</f>
        <v/>
      </c>
      <c r="R240" s="24">
        <f>IF(O240="TAK",IF(D240="",0,D240)+ROW()/1000000,0)</f>
        <v/>
      </c>
      <c r="S240" s="24">
        <f>IF(OR(B240="",D240=""),"",B240&amp;"|"&amp;D240)</f>
        <v/>
      </c>
    </row>
    <row r="241">
      <c r="A241" s="24">
        <f>IF(B241="","",ROW()-4)</f>
        <v/>
      </c>
      <c r="B241" s="25" t="n"/>
      <c r="C241" s="24">
        <f>IF(B241="","",IFERROR(INDEX('Wózki'!$B$2:$B$500,MATCH(B241,'Wózki'!$A$2:$A$500,0))&amp;"",""))</f>
        <v/>
      </c>
      <c r="D241" s="26" t="n"/>
      <c r="E241" s="25" t="n"/>
      <c r="F241" s="25" t="n"/>
      <c r="G241" s="24">
        <f>IF(F241="","",IFERROR(INDEX(Pracownicy!$B$2:$B$2000,MATCH(F241,Pracownicy!$A$2:$A$2000,0))&amp;"",""))</f>
        <v/>
      </c>
      <c r="H241" s="25" t="n"/>
      <c r="I241" s="25" t="n"/>
      <c r="J241" s="25" t="n"/>
      <c r="K241" s="27" t="n"/>
      <c r="L241" s="25" t="n"/>
      <c r="M241" s="25" t="n"/>
      <c r="N241" s="27" t="n"/>
      <c r="O241" s="24">
        <f>IF(B241="","",IF(M241="","TAK",IFERROR(INDEX(Ustawienia!$K$4:$K$8,MATCH(M241,Ustawienia!$J$4:$J$8,0)),"TAK")))</f>
        <v/>
      </c>
      <c r="P241" s="28">
        <f>IF(OR(B241="",D241=""),"",IFERROR(INDEX('Dane rozpisek'!$B$2:$B$2600,MATCH(S241,'Dane rozpisek'!$H$2:$H$2600,0))&amp;": "&amp;INDEX('Dane rozpisek'!$E$2:$E$2600,MATCH(S241,'Dane rozpisek'!$H$2:$H$2600,0))&amp;IF(COUNTIF('Dane rozpisek'!$H$2:$H$2600,S241)&gt;1," (+"&amp;(COUNTIF('Dane rozpisek'!$H$2:$H$2600,S241)-1)&amp;")",""),"—"))</f>
        <v/>
      </c>
      <c r="Q241" s="24">
        <f>IF(AND(B241&lt;&gt;"",D241&lt;&gt;"",OR('Historia wózka'!$B$4="",B241='Historia wózka'!$B$4),D241&gt;='Historia wózka'!$B$5,D241&lt;='Historia wózka'!$B$6),D241+ROW()/1000000,0)</f>
        <v/>
      </c>
      <c r="R241" s="24">
        <f>IF(O241="TAK",IF(D241="",0,D241)+ROW()/1000000,0)</f>
        <v/>
      </c>
      <c r="S241" s="24">
        <f>IF(OR(B241="",D241=""),"",B241&amp;"|"&amp;D241)</f>
        <v/>
      </c>
    </row>
    <row r="242">
      <c r="A242" s="24">
        <f>IF(B242="","",ROW()-4)</f>
        <v/>
      </c>
      <c r="B242" s="25" t="n"/>
      <c r="C242" s="24">
        <f>IF(B242="","",IFERROR(INDEX('Wózki'!$B$2:$B$500,MATCH(B242,'Wózki'!$A$2:$A$500,0))&amp;"",""))</f>
        <v/>
      </c>
      <c r="D242" s="26" t="n"/>
      <c r="E242" s="25" t="n"/>
      <c r="F242" s="25" t="n"/>
      <c r="G242" s="24">
        <f>IF(F242="","",IFERROR(INDEX(Pracownicy!$B$2:$B$2000,MATCH(F242,Pracownicy!$A$2:$A$2000,0))&amp;"",""))</f>
        <v/>
      </c>
      <c r="H242" s="25" t="n"/>
      <c r="I242" s="25" t="n"/>
      <c r="J242" s="25" t="n"/>
      <c r="K242" s="27" t="n"/>
      <c r="L242" s="25" t="n"/>
      <c r="M242" s="25" t="n"/>
      <c r="N242" s="27" t="n"/>
      <c r="O242" s="24">
        <f>IF(B242="","",IF(M242="","TAK",IFERROR(INDEX(Ustawienia!$K$4:$K$8,MATCH(M242,Ustawienia!$J$4:$J$8,0)),"TAK")))</f>
        <v/>
      </c>
      <c r="P242" s="28">
        <f>IF(OR(B242="",D242=""),"",IFERROR(INDEX('Dane rozpisek'!$B$2:$B$2600,MATCH(S242,'Dane rozpisek'!$H$2:$H$2600,0))&amp;": "&amp;INDEX('Dane rozpisek'!$E$2:$E$2600,MATCH(S242,'Dane rozpisek'!$H$2:$H$2600,0))&amp;IF(COUNTIF('Dane rozpisek'!$H$2:$H$2600,S242)&gt;1," (+"&amp;(COUNTIF('Dane rozpisek'!$H$2:$H$2600,S242)-1)&amp;")",""),"—"))</f>
        <v/>
      </c>
      <c r="Q242" s="24">
        <f>IF(AND(B242&lt;&gt;"",D242&lt;&gt;"",OR('Historia wózka'!$B$4="",B242='Historia wózka'!$B$4),D242&gt;='Historia wózka'!$B$5,D242&lt;='Historia wózka'!$B$6),D242+ROW()/1000000,0)</f>
        <v/>
      </c>
      <c r="R242" s="24">
        <f>IF(O242="TAK",IF(D242="",0,D242)+ROW()/1000000,0)</f>
        <v/>
      </c>
      <c r="S242" s="24">
        <f>IF(OR(B242="",D242=""),"",B242&amp;"|"&amp;D242)</f>
        <v/>
      </c>
    </row>
    <row r="243">
      <c r="A243" s="24">
        <f>IF(B243="","",ROW()-4)</f>
        <v/>
      </c>
      <c r="B243" s="25" t="n"/>
      <c r="C243" s="24">
        <f>IF(B243="","",IFERROR(INDEX('Wózki'!$B$2:$B$500,MATCH(B243,'Wózki'!$A$2:$A$500,0))&amp;"",""))</f>
        <v/>
      </c>
      <c r="D243" s="26" t="n"/>
      <c r="E243" s="25" t="n"/>
      <c r="F243" s="25" t="n"/>
      <c r="G243" s="24">
        <f>IF(F243="","",IFERROR(INDEX(Pracownicy!$B$2:$B$2000,MATCH(F243,Pracownicy!$A$2:$A$2000,0))&amp;"",""))</f>
        <v/>
      </c>
      <c r="H243" s="25" t="n"/>
      <c r="I243" s="25" t="n"/>
      <c r="J243" s="25" t="n"/>
      <c r="K243" s="27" t="n"/>
      <c r="L243" s="25" t="n"/>
      <c r="M243" s="25" t="n"/>
      <c r="N243" s="27" t="n"/>
      <c r="O243" s="24">
        <f>IF(B243="","",IF(M243="","TAK",IFERROR(INDEX(Ustawienia!$K$4:$K$8,MATCH(M243,Ustawienia!$J$4:$J$8,0)),"TAK")))</f>
        <v/>
      </c>
      <c r="P243" s="28">
        <f>IF(OR(B243="",D243=""),"",IFERROR(INDEX('Dane rozpisek'!$B$2:$B$2600,MATCH(S243,'Dane rozpisek'!$H$2:$H$2600,0))&amp;": "&amp;INDEX('Dane rozpisek'!$E$2:$E$2600,MATCH(S243,'Dane rozpisek'!$H$2:$H$2600,0))&amp;IF(COUNTIF('Dane rozpisek'!$H$2:$H$2600,S243)&gt;1," (+"&amp;(COUNTIF('Dane rozpisek'!$H$2:$H$2600,S243)-1)&amp;")",""),"—"))</f>
        <v/>
      </c>
      <c r="Q243" s="24">
        <f>IF(AND(B243&lt;&gt;"",D243&lt;&gt;"",OR('Historia wózka'!$B$4="",B243='Historia wózka'!$B$4),D243&gt;='Historia wózka'!$B$5,D243&lt;='Historia wózka'!$B$6),D243+ROW()/1000000,0)</f>
        <v/>
      </c>
      <c r="R243" s="24">
        <f>IF(O243="TAK",IF(D243="",0,D243)+ROW()/1000000,0)</f>
        <v/>
      </c>
      <c r="S243" s="24">
        <f>IF(OR(B243="",D243=""),"",B243&amp;"|"&amp;D243)</f>
        <v/>
      </c>
    </row>
    <row r="244">
      <c r="A244" s="24">
        <f>IF(B244="","",ROW()-4)</f>
        <v/>
      </c>
      <c r="B244" s="25" t="n"/>
      <c r="C244" s="24">
        <f>IF(B244="","",IFERROR(INDEX('Wózki'!$B$2:$B$500,MATCH(B244,'Wózki'!$A$2:$A$500,0))&amp;"",""))</f>
        <v/>
      </c>
      <c r="D244" s="26" t="n"/>
      <c r="E244" s="25" t="n"/>
      <c r="F244" s="25" t="n"/>
      <c r="G244" s="24">
        <f>IF(F244="","",IFERROR(INDEX(Pracownicy!$B$2:$B$2000,MATCH(F244,Pracownicy!$A$2:$A$2000,0))&amp;"",""))</f>
        <v/>
      </c>
      <c r="H244" s="25" t="n"/>
      <c r="I244" s="25" t="n"/>
      <c r="J244" s="25" t="n"/>
      <c r="K244" s="27" t="n"/>
      <c r="L244" s="25" t="n"/>
      <c r="M244" s="25" t="n"/>
      <c r="N244" s="27" t="n"/>
      <c r="O244" s="24">
        <f>IF(B244="","",IF(M244="","TAK",IFERROR(INDEX(Ustawienia!$K$4:$K$8,MATCH(M244,Ustawienia!$J$4:$J$8,0)),"TAK")))</f>
        <v/>
      </c>
      <c r="P244" s="28">
        <f>IF(OR(B244="",D244=""),"",IFERROR(INDEX('Dane rozpisek'!$B$2:$B$2600,MATCH(S244,'Dane rozpisek'!$H$2:$H$2600,0))&amp;": "&amp;INDEX('Dane rozpisek'!$E$2:$E$2600,MATCH(S244,'Dane rozpisek'!$H$2:$H$2600,0))&amp;IF(COUNTIF('Dane rozpisek'!$H$2:$H$2600,S244)&gt;1," (+"&amp;(COUNTIF('Dane rozpisek'!$H$2:$H$2600,S244)-1)&amp;")",""),"—"))</f>
        <v/>
      </c>
      <c r="Q244" s="24">
        <f>IF(AND(B244&lt;&gt;"",D244&lt;&gt;"",OR('Historia wózka'!$B$4="",B244='Historia wózka'!$B$4),D244&gt;='Historia wózka'!$B$5,D244&lt;='Historia wózka'!$B$6),D244+ROW()/1000000,0)</f>
        <v/>
      </c>
      <c r="R244" s="24">
        <f>IF(O244="TAK",IF(D244="",0,D244)+ROW()/1000000,0)</f>
        <v/>
      </c>
      <c r="S244" s="24">
        <f>IF(OR(B244="",D244=""),"",B244&amp;"|"&amp;D244)</f>
        <v/>
      </c>
    </row>
    <row r="245">
      <c r="A245" s="24">
        <f>IF(B245="","",ROW()-4)</f>
        <v/>
      </c>
      <c r="B245" s="25" t="n"/>
      <c r="C245" s="24">
        <f>IF(B245="","",IFERROR(INDEX('Wózki'!$B$2:$B$500,MATCH(B245,'Wózki'!$A$2:$A$500,0))&amp;"",""))</f>
        <v/>
      </c>
      <c r="D245" s="26" t="n"/>
      <c r="E245" s="25" t="n"/>
      <c r="F245" s="25" t="n"/>
      <c r="G245" s="24">
        <f>IF(F245="","",IFERROR(INDEX(Pracownicy!$B$2:$B$2000,MATCH(F245,Pracownicy!$A$2:$A$2000,0))&amp;"",""))</f>
        <v/>
      </c>
      <c r="H245" s="25" t="n"/>
      <c r="I245" s="25" t="n"/>
      <c r="J245" s="25" t="n"/>
      <c r="K245" s="27" t="n"/>
      <c r="L245" s="25" t="n"/>
      <c r="M245" s="25" t="n"/>
      <c r="N245" s="27" t="n"/>
      <c r="O245" s="24">
        <f>IF(B245="","",IF(M245="","TAK",IFERROR(INDEX(Ustawienia!$K$4:$K$8,MATCH(M245,Ustawienia!$J$4:$J$8,0)),"TAK")))</f>
        <v/>
      </c>
      <c r="P245" s="28">
        <f>IF(OR(B245="",D245=""),"",IFERROR(INDEX('Dane rozpisek'!$B$2:$B$2600,MATCH(S245,'Dane rozpisek'!$H$2:$H$2600,0))&amp;": "&amp;INDEX('Dane rozpisek'!$E$2:$E$2600,MATCH(S245,'Dane rozpisek'!$H$2:$H$2600,0))&amp;IF(COUNTIF('Dane rozpisek'!$H$2:$H$2600,S245)&gt;1," (+"&amp;(COUNTIF('Dane rozpisek'!$H$2:$H$2600,S245)-1)&amp;")",""),"—"))</f>
        <v/>
      </c>
      <c r="Q245" s="24">
        <f>IF(AND(B245&lt;&gt;"",D245&lt;&gt;"",OR('Historia wózka'!$B$4="",B245='Historia wózka'!$B$4),D245&gt;='Historia wózka'!$B$5,D245&lt;='Historia wózka'!$B$6),D245+ROW()/1000000,0)</f>
        <v/>
      </c>
      <c r="R245" s="24">
        <f>IF(O245="TAK",IF(D245="",0,D245)+ROW()/1000000,0)</f>
        <v/>
      </c>
      <c r="S245" s="24">
        <f>IF(OR(B245="",D245=""),"",B245&amp;"|"&amp;D245)</f>
        <v/>
      </c>
    </row>
    <row r="246">
      <c r="A246" s="24">
        <f>IF(B246="","",ROW()-4)</f>
        <v/>
      </c>
      <c r="B246" s="25" t="n"/>
      <c r="C246" s="24">
        <f>IF(B246="","",IFERROR(INDEX('Wózki'!$B$2:$B$500,MATCH(B246,'Wózki'!$A$2:$A$500,0))&amp;"",""))</f>
        <v/>
      </c>
      <c r="D246" s="26" t="n"/>
      <c r="E246" s="25" t="n"/>
      <c r="F246" s="25" t="n"/>
      <c r="G246" s="24">
        <f>IF(F246="","",IFERROR(INDEX(Pracownicy!$B$2:$B$2000,MATCH(F246,Pracownicy!$A$2:$A$2000,0))&amp;"",""))</f>
        <v/>
      </c>
      <c r="H246" s="25" t="n"/>
      <c r="I246" s="25" t="n"/>
      <c r="J246" s="25" t="n"/>
      <c r="K246" s="27" t="n"/>
      <c r="L246" s="25" t="n"/>
      <c r="M246" s="25" t="n"/>
      <c r="N246" s="27" t="n"/>
      <c r="O246" s="24">
        <f>IF(B246="","",IF(M246="","TAK",IFERROR(INDEX(Ustawienia!$K$4:$K$8,MATCH(M246,Ustawienia!$J$4:$J$8,0)),"TAK")))</f>
        <v/>
      </c>
      <c r="P246" s="28">
        <f>IF(OR(B246="",D246=""),"",IFERROR(INDEX('Dane rozpisek'!$B$2:$B$2600,MATCH(S246,'Dane rozpisek'!$H$2:$H$2600,0))&amp;": "&amp;INDEX('Dane rozpisek'!$E$2:$E$2600,MATCH(S246,'Dane rozpisek'!$H$2:$H$2600,0))&amp;IF(COUNTIF('Dane rozpisek'!$H$2:$H$2600,S246)&gt;1," (+"&amp;(COUNTIF('Dane rozpisek'!$H$2:$H$2600,S246)-1)&amp;")",""),"—"))</f>
        <v/>
      </c>
      <c r="Q246" s="24">
        <f>IF(AND(B246&lt;&gt;"",D246&lt;&gt;"",OR('Historia wózka'!$B$4="",B246='Historia wózka'!$B$4),D246&gt;='Historia wózka'!$B$5,D246&lt;='Historia wózka'!$B$6),D246+ROW()/1000000,0)</f>
        <v/>
      </c>
      <c r="R246" s="24">
        <f>IF(O246="TAK",IF(D246="",0,D246)+ROW()/1000000,0)</f>
        <v/>
      </c>
      <c r="S246" s="24">
        <f>IF(OR(B246="",D246=""),"",B246&amp;"|"&amp;D246)</f>
        <v/>
      </c>
    </row>
    <row r="247">
      <c r="A247" s="24">
        <f>IF(B247="","",ROW()-4)</f>
        <v/>
      </c>
      <c r="B247" s="25" t="n"/>
      <c r="C247" s="24">
        <f>IF(B247="","",IFERROR(INDEX('Wózki'!$B$2:$B$500,MATCH(B247,'Wózki'!$A$2:$A$500,0))&amp;"",""))</f>
        <v/>
      </c>
      <c r="D247" s="26" t="n"/>
      <c r="E247" s="25" t="n"/>
      <c r="F247" s="25" t="n"/>
      <c r="G247" s="24">
        <f>IF(F247="","",IFERROR(INDEX(Pracownicy!$B$2:$B$2000,MATCH(F247,Pracownicy!$A$2:$A$2000,0))&amp;"",""))</f>
        <v/>
      </c>
      <c r="H247" s="25" t="n"/>
      <c r="I247" s="25" t="n"/>
      <c r="J247" s="25" t="n"/>
      <c r="K247" s="27" t="n"/>
      <c r="L247" s="25" t="n"/>
      <c r="M247" s="25" t="n"/>
      <c r="N247" s="27" t="n"/>
      <c r="O247" s="24">
        <f>IF(B247="","",IF(M247="","TAK",IFERROR(INDEX(Ustawienia!$K$4:$K$8,MATCH(M247,Ustawienia!$J$4:$J$8,0)),"TAK")))</f>
        <v/>
      </c>
      <c r="P247" s="28">
        <f>IF(OR(B247="",D247=""),"",IFERROR(INDEX('Dane rozpisek'!$B$2:$B$2600,MATCH(S247,'Dane rozpisek'!$H$2:$H$2600,0))&amp;": "&amp;INDEX('Dane rozpisek'!$E$2:$E$2600,MATCH(S247,'Dane rozpisek'!$H$2:$H$2600,0))&amp;IF(COUNTIF('Dane rozpisek'!$H$2:$H$2600,S247)&gt;1," (+"&amp;(COUNTIF('Dane rozpisek'!$H$2:$H$2600,S247)-1)&amp;")",""),"—"))</f>
        <v/>
      </c>
      <c r="Q247" s="24">
        <f>IF(AND(B247&lt;&gt;"",D247&lt;&gt;"",OR('Historia wózka'!$B$4="",B247='Historia wózka'!$B$4),D247&gt;='Historia wózka'!$B$5,D247&lt;='Historia wózka'!$B$6),D247+ROW()/1000000,0)</f>
        <v/>
      </c>
      <c r="R247" s="24">
        <f>IF(O247="TAK",IF(D247="",0,D247)+ROW()/1000000,0)</f>
        <v/>
      </c>
      <c r="S247" s="24">
        <f>IF(OR(B247="",D247=""),"",B247&amp;"|"&amp;D247)</f>
        <v/>
      </c>
    </row>
    <row r="248">
      <c r="A248" s="24">
        <f>IF(B248="","",ROW()-4)</f>
        <v/>
      </c>
      <c r="B248" s="25" t="n"/>
      <c r="C248" s="24">
        <f>IF(B248="","",IFERROR(INDEX('Wózki'!$B$2:$B$500,MATCH(B248,'Wózki'!$A$2:$A$500,0))&amp;"",""))</f>
        <v/>
      </c>
      <c r="D248" s="26" t="n"/>
      <c r="E248" s="25" t="n"/>
      <c r="F248" s="25" t="n"/>
      <c r="G248" s="24">
        <f>IF(F248="","",IFERROR(INDEX(Pracownicy!$B$2:$B$2000,MATCH(F248,Pracownicy!$A$2:$A$2000,0))&amp;"",""))</f>
        <v/>
      </c>
      <c r="H248" s="25" t="n"/>
      <c r="I248" s="25" t="n"/>
      <c r="J248" s="25" t="n"/>
      <c r="K248" s="27" t="n"/>
      <c r="L248" s="25" t="n"/>
      <c r="M248" s="25" t="n"/>
      <c r="N248" s="27" t="n"/>
      <c r="O248" s="24">
        <f>IF(B248="","",IF(M248="","TAK",IFERROR(INDEX(Ustawienia!$K$4:$K$8,MATCH(M248,Ustawienia!$J$4:$J$8,0)),"TAK")))</f>
        <v/>
      </c>
      <c r="P248" s="28">
        <f>IF(OR(B248="",D248=""),"",IFERROR(INDEX('Dane rozpisek'!$B$2:$B$2600,MATCH(S248,'Dane rozpisek'!$H$2:$H$2600,0))&amp;": "&amp;INDEX('Dane rozpisek'!$E$2:$E$2600,MATCH(S248,'Dane rozpisek'!$H$2:$H$2600,0))&amp;IF(COUNTIF('Dane rozpisek'!$H$2:$H$2600,S248)&gt;1," (+"&amp;(COUNTIF('Dane rozpisek'!$H$2:$H$2600,S248)-1)&amp;")",""),"—"))</f>
        <v/>
      </c>
      <c r="Q248" s="24">
        <f>IF(AND(B248&lt;&gt;"",D248&lt;&gt;"",OR('Historia wózka'!$B$4="",B248='Historia wózka'!$B$4),D248&gt;='Historia wózka'!$B$5,D248&lt;='Historia wózka'!$B$6),D248+ROW()/1000000,0)</f>
        <v/>
      </c>
      <c r="R248" s="24">
        <f>IF(O248="TAK",IF(D248="",0,D248)+ROW()/1000000,0)</f>
        <v/>
      </c>
      <c r="S248" s="24">
        <f>IF(OR(B248="",D248=""),"",B248&amp;"|"&amp;D248)</f>
        <v/>
      </c>
    </row>
    <row r="249">
      <c r="A249" s="24">
        <f>IF(B249="","",ROW()-4)</f>
        <v/>
      </c>
      <c r="B249" s="25" t="n"/>
      <c r="C249" s="24">
        <f>IF(B249="","",IFERROR(INDEX('Wózki'!$B$2:$B$500,MATCH(B249,'Wózki'!$A$2:$A$500,0))&amp;"",""))</f>
        <v/>
      </c>
      <c r="D249" s="26" t="n"/>
      <c r="E249" s="25" t="n"/>
      <c r="F249" s="25" t="n"/>
      <c r="G249" s="24">
        <f>IF(F249="","",IFERROR(INDEX(Pracownicy!$B$2:$B$2000,MATCH(F249,Pracownicy!$A$2:$A$2000,0))&amp;"",""))</f>
        <v/>
      </c>
      <c r="H249" s="25" t="n"/>
      <c r="I249" s="25" t="n"/>
      <c r="J249" s="25" t="n"/>
      <c r="K249" s="27" t="n"/>
      <c r="L249" s="25" t="n"/>
      <c r="M249" s="25" t="n"/>
      <c r="N249" s="27" t="n"/>
      <c r="O249" s="24">
        <f>IF(B249="","",IF(M249="","TAK",IFERROR(INDEX(Ustawienia!$K$4:$K$8,MATCH(M249,Ustawienia!$J$4:$J$8,0)),"TAK")))</f>
        <v/>
      </c>
      <c r="P249" s="28">
        <f>IF(OR(B249="",D249=""),"",IFERROR(INDEX('Dane rozpisek'!$B$2:$B$2600,MATCH(S249,'Dane rozpisek'!$H$2:$H$2600,0))&amp;": "&amp;INDEX('Dane rozpisek'!$E$2:$E$2600,MATCH(S249,'Dane rozpisek'!$H$2:$H$2600,0))&amp;IF(COUNTIF('Dane rozpisek'!$H$2:$H$2600,S249)&gt;1," (+"&amp;(COUNTIF('Dane rozpisek'!$H$2:$H$2600,S249)-1)&amp;")",""),"—"))</f>
        <v/>
      </c>
      <c r="Q249" s="24">
        <f>IF(AND(B249&lt;&gt;"",D249&lt;&gt;"",OR('Historia wózka'!$B$4="",B249='Historia wózka'!$B$4),D249&gt;='Historia wózka'!$B$5,D249&lt;='Historia wózka'!$B$6),D249+ROW()/1000000,0)</f>
        <v/>
      </c>
      <c r="R249" s="24">
        <f>IF(O249="TAK",IF(D249="",0,D249)+ROW()/1000000,0)</f>
        <v/>
      </c>
      <c r="S249" s="24">
        <f>IF(OR(B249="",D249=""),"",B249&amp;"|"&amp;D249)</f>
        <v/>
      </c>
    </row>
    <row r="250">
      <c r="A250" s="24">
        <f>IF(B250="","",ROW()-4)</f>
        <v/>
      </c>
      <c r="B250" s="25" t="n"/>
      <c r="C250" s="24">
        <f>IF(B250="","",IFERROR(INDEX('Wózki'!$B$2:$B$500,MATCH(B250,'Wózki'!$A$2:$A$500,0))&amp;"",""))</f>
        <v/>
      </c>
      <c r="D250" s="26" t="n"/>
      <c r="E250" s="25" t="n"/>
      <c r="F250" s="25" t="n"/>
      <c r="G250" s="24">
        <f>IF(F250="","",IFERROR(INDEX(Pracownicy!$B$2:$B$2000,MATCH(F250,Pracownicy!$A$2:$A$2000,0))&amp;"",""))</f>
        <v/>
      </c>
      <c r="H250" s="25" t="n"/>
      <c r="I250" s="25" t="n"/>
      <c r="J250" s="25" t="n"/>
      <c r="K250" s="27" t="n"/>
      <c r="L250" s="25" t="n"/>
      <c r="M250" s="25" t="n"/>
      <c r="N250" s="27" t="n"/>
      <c r="O250" s="24">
        <f>IF(B250="","",IF(M250="","TAK",IFERROR(INDEX(Ustawienia!$K$4:$K$8,MATCH(M250,Ustawienia!$J$4:$J$8,0)),"TAK")))</f>
        <v/>
      </c>
      <c r="P250" s="28">
        <f>IF(OR(B250="",D250=""),"",IFERROR(INDEX('Dane rozpisek'!$B$2:$B$2600,MATCH(S250,'Dane rozpisek'!$H$2:$H$2600,0))&amp;": "&amp;INDEX('Dane rozpisek'!$E$2:$E$2600,MATCH(S250,'Dane rozpisek'!$H$2:$H$2600,0))&amp;IF(COUNTIF('Dane rozpisek'!$H$2:$H$2600,S250)&gt;1," (+"&amp;(COUNTIF('Dane rozpisek'!$H$2:$H$2600,S250)-1)&amp;")",""),"—"))</f>
        <v/>
      </c>
      <c r="Q250" s="24">
        <f>IF(AND(B250&lt;&gt;"",D250&lt;&gt;"",OR('Historia wózka'!$B$4="",B250='Historia wózka'!$B$4),D250&gt;='Historia wózka'!$B$5,D250&lt;='Historia wózka'!$B$6),D250+ROW()/1000000,0)</f>
        <v/>
      </c>
      <c r="R250" s="24">
        <f>IF(O250="TAK",IF(D250="",0,D250)+ROW()/1000000,0)</f>
        <v/>
      </c>
      <c r="S250" s="24">
        <f>IF(OR(B250="",D250=""),"",B250&amp;"|"&amp;D250)</f>
        <v/>
      </c>
    </row>
    <row r="251">
      <c r="A251" s="24">
        <f>IF(B251="","",ROW()-4)</f>
        <v/>
      </c>
      <c r="B251" s="25" t="n"/>
      <c r="C251" s="24">
        <f>IF(B251="","",IFERROR(INDEX('Wózki'!$B$2:$B$500,MATCH(B251,'Wózki'!$A$2:$A$500,0))&amp;"",""))</f>
        <v/>
      </c>
      <c r="D251" s="26" t="n"/>
      <c r="E251" s="25" t="n"/>
      <c r="F251" s="25" t="n"/>
      <c r="G251" s="24">
        <f>IF(F251="","",IFERROR(INDEX(Pracownicy!$B$2:$B$2000,MATCH(F251,Pracownicy!$A$2:$A$2000,0))&amp;"",""))</f>
        <v/>
      </c>
      <c r="H251" s="25" t="n"/>
      <c r="I251" s="25" t="n"/>
      <c r="J251" s="25" t="n"/>
      <c r="K251" s="27" t="n"/>
      <c r="L251" s="25" t="n"/>
      <c r="M251" s="25" t="n"/>
      <c r="N251" s="27" t="n"/>
      <c r="O251" s="24">
        <f>IF(B251="","",IF(M251="","TAK",IFERROR(INDEX(Ustawienia!$K$4:$K$8,MATCH(M251,Ustawienia!$J$4:$J$8,0)),"TAK")))</f>
        <v/>
      </c>
      <c r="P251" s="28">
        <f>IF(OR(B251="",D251=""),"",IFERROR(INDEX('Dane rozpisek'!$B$2:$B$2600,MATCH(S251,'Dane rozpisek'!$H$2:$H$2600,0))&amp;": "&amp;INDEX('Dane rozpisek'!$E$2:$E$2600,MATCH(S251,'Dane rozpisek'!$H$2:$H$2600,0))&amp;IF(COUNTIF('Dane rozpisek'!$H$2:$H$2600,S251)&gt;1," (+"&amp;(COUNTIF('Dane rozpisek'!$H$2:$H$2600,S251)-1)&amp;")",""),"—"))</f>
        <v/>
      </c>
      <c r="Q251" s="24">
        <f>IF(AND(B251&lt;&gt;"",D251&lt;&gt;"",OR('Historia wózka'!$B$4="",B251='Historia wózka'!$B$4),D251&gt;='Historia wózka'!$B$5,D251&lt;='Historia wózka'!$B$6),D251+ROW()/1000000,0)</f>
        <v/>
      </c>
      <c r="R251" s="24">
        <f>IF(O251="TAK",IF(D251="",0,D251)+ROW()/1000000,0)</f>
        <v/>
      </c>
      <c r="S251" s="24">
        <f>IF(OR(B251="",D251=""),"",B251&amp;"|"&amp;D251)</f>
        <v/>
      </c>
    </row>
    <row r="252">
      <c r="A252" s="24">
        <f>IF(B252="","",ROW()-4)</f>
        <v/>
      </c>
      <c r="B252" s="25" t="n"/>
      <c r="C252" s="24">
        <f>IF(B252="","",IFERROR(INDEX('Wózki'!$B$2:$B$500,MATCH(B252,'Wózki'!$A$2:$A$500,0))&amp;"",""))</f>
        <v/>
      </c>
      <c r="D252" s="26" t="n"/>
      <c r="E252" s="25" t="n"/>
      <c r="F252" s="25" t="n"/>
      <c r="G252" s="24">
        <f>IF(F252="","",IFERROR(INDEX(Pracownicy!$B$2:$B$2000,MATCH(F252,Pracownicy!$A$2:$A$2000,0))&amp;"",""))</f>
        <v/>
      </c>
      <c r="H252" s="25" t="n"/>
      <c r="I252" s="25" t="n"/>
      <c r="J252" s="25" t="n"/>
      <c r="K252" s="27" t="n"/>
      <c r="L252" s="25" t="n"/>
      <c r="M252" s="25" t="n"/>
      <c r="N252" s="27" t="n"/>
      <c r="O252" s="24">
        <f>IF(B252="","",IF(M252="","TAK",IFERROR(INDEX(Ustawienia!$K$4:$K$8,MATCH(M252,Ustawienia!$J$4:$J$8,0)),"TAK")))</f>
        <v/>
      </c>
      <c r="P252" s="28">
        <f>IF(OR(B252="",D252=""),"",IFERROR(INDEX('Dane rozpisek'!$B$2:$B$2600,MATCH(S252,'Dane rozpisek'!$H$2:$H$2600,0))&amp;": "&amp;INDEX('Dane rozpisek'!$E$2:$E$2600,MATCH(S252,'Dane rozpisek'!$H$2:$H$2600,0))&amp;IF(COUNTIF('Dane rozpisek'!$H$2:$H$2600,S252)&gt;1," (+"&amp;(COUNTIF('Dane rozpisek'!$H$2:$H$2600,S252)-1)&amp;")",""),"—"))</f>
        <v/>
      </c>
      <c r="Q252" s="24">
        <f>IF(AND(B252&lt;&gt;"",D252&lt;&gt;"",OR('Historia wózka'!$B$4="",B252='Historia wózka'!$B$4),D252&gt;='Historia wózka'!$B$5,D252&lt;='Historia wózka'!$B$6),D252+ROW()/1000000,0)</f>
        <v/>
      </c>
      <c r="R252" s="24">
        <f>IF(O252="TAK",IF(D252="",0,D252)+ROW()/1000000,0)</f>
        <v/>
      </c>
      <c r="S252" s="24">
        <f>IF(OR(B252="",D252=""),"",B252&amp;"|"&amp;D252)</f>
        <v/>
      </c>
    </row>
    <row r="253">
      <c r="A253" s="24">
        <f>IF(B253="","",ROW()-4)</f>
        <v/>
      </c>
      <c r="B253" s="25" t="n"/>
      <c r="C253" s="24">
        <f>IF(B253="","",IFERROR(INDEX('Wózki'!$B$2:$B$500,MATCH(B253,'Wózki'!$A$2:$A$500,0))&amp;"",""))</f>
        <v/>
      </c>
      <c r="D253" s="26" t="n"/>
      <c r="E253" s="25" t="n"/>
      <c r="F253" s="25" t="n"/>
      <c r="G253" s="24">
        <f>IF(F253="","",IFERROR(INDEX(Pracownicy!$B$2:$B$2000,MATCH(F253,Pracownicy!$A$2:$A$2000,0))&amp;"",""))</f>
        <v/>
      </c>
      <c r="H253" s="25" t="n"/>
      <c r="I253" s="25" t="n"/>
      <c r="J253" s="25" t="n"/>
      <c r="K253" s="27" t="n"/>
      <c r="L253" s="25" t="n"/>
      <c r="M253" s="25" t="n"/>
      <c r="N253" s="27" t="n"/>
      <c r="O253" s="24">
        <f>IF(B253="","",IF(M253="","TAK",IFERROR(INDEX(Ustawienia!$K$4:$K$8,MATCH(M253,Ustawienia!$J$4:$J$8,0)),"TAK")))</f>
        <v/>
      </c>
      <c r="P253" s="28">
        <f>IF(OR(B253="",D253=""),"",IFERROR(INDEX('Dane rozpisek'!$B$2:$B$2600,MATCH(S253,'Dane rozpisek'!$H$2:$H$2600,0))&amp;": "&amp;INDEX('Dane rozpisek'!$E$2:$E$2600,MATCH(S253,'Dane rozpisek'!$H$2:$H$2600,0))&amp;IF(COUNTIF('Dane rozpisek'!$H$2:$H$2600,S253)&gt;1," (+"&amp;(COUNTIF('Dane rozpisek'!$H$2:$H$2600,S253)-1)&amp;")",""),"—"))</f>
        <v/>
      </c>
      <c r="Q253" s="24">
        <f>IF(AND(B253&lt;&gt;"",D253&lt;&gt;"",OR('Historia wózka'!$B$4="",B253='Historia wózka'!$B$4),D253&gt;='Historia wózka'!$B$5,D253&lt;='Historia wózka'!$B$6),D253+ROW()/1000000,0)</f>
        <v/>
      </c>
      <c r="R253" s="24">
        <f>IF(O253="TAK",IF(D253="",0,D253)+ROW()/1000000,0)</f>
        <v/>
      </c>
      <c r="S253" s="24">
        <f>IF(OR(B253="",D253=""),"",B253&amp;"|"&amp;D253)</f>
        <v/>
      </c>
    </row>
    <row r="254">
      <c r="A254" s="24">
        <f>IF(B254="","",ROW()-4)</f>
        <v/>
      </c>
      <c r="B254" s="25" t="n"/>
      <c r="C254" s="24">
        <f>IF(B254="","",IFERROR(INDEX('Wózki'!$B$2:$B$500,MATCH(B254,'Wózki'!$A$2:$A$500,0))&amp;"",""))</f>
        <v/>
      </c>
      <c r="D254" s="26" t="n"/>
      <c r="E254" s="25" t="n"/>
      <c r="F254" s="25" t="n"/>
      <c r="G254" s="24">
        <f>IF(F254="","",IFERROR(INDEX(Pracownicy!$B$2:$B$2000,MATCH(F254,Pracownicy!$A$2:$A$2000,0))&amp;"",""))</f>
        <v/>
      </c>
      <c r="H254" s="25" t="n"/>
      <c r="I254" s="25" t="n"/>
      <c r="J254" s="25" t="n"/>
      <c r="K254" s="27" t="n"/>
      <c r="L254" s="25" t="n"/>
      <c r="M254" s="25" t="n"/>
      <c r="N254" s="27" t="n"/>
      <c r="O254" s="24">
        <f>IF(B254="","",IF(M254="","TAK",IFERROR(INDEX(Ustawienia!$K$4:$K$8,MATCH(M254,Ustawienia!$J$4:$J$8,0)),"TAK")))</f>
        <v/>
      </c>
      <c r="P254" s="28">
        <f>IF(OR(B254="",D254=""),"",IFERROR(INDEX('Dane rozpisek'!$B$2:$B$2600,MATCH(S254,'Dane rozpisek'!$H$2:$H$2600,0))&amp;": "&amp;INDEX('Dane rozpisek'!$E$2:$E$2600,MATCH(S254,'Dane rozpisek'!$H$2:$H$2600,0))&amp;IF(COUNTIF('Dane rozpisek'!$H$2:$H$2600,S254)&gt;1," (+"&amp;(COUNTIF('Dane rozpisek'!$H$2:$H$2600,S254)-1)&amp;")",""),"—"))</f>
        <v/>
      </c>
      <c r="Q254" s="24">
        <f>IF(AND(B254&lt;&gt;"",D254&lt;&gt;"",OR('Historia wózka'!$B$4="",B254='Historia wózka'!$B$4),D254&gt;='Historia wózka'!$B$5,D254&lt;='Historia wózka'!$B$6),D254+ROW()/1000000,0)</f>
        <v/>
      </c>
      <c r="R254" s="24">
        <f>IF(O254="TAK",IF(D254="",0,D254)+ROW()/1000000,0)</f>
        <v/>
      </c>
      <c r="S254" s="24">
        <f>IF(OR(B254="",D254=""),"",B254&amp;"|"&amp;D254)</f>
        <v/>
      </c>
    </row>
    <row r="255">
      <c r="A255" s="24">
        <f>IF(B255="","",ROW()-4)</f>
        <v/>
      </c>
      <c r="B255" s="25" t="n"/>
      <c r="C255" s="24">
        <f>IF(B255="","",IFERROR(INDEX('Wózki'!$B$2:$B$500,MATCH(B255,'Wózki'!$A$2:$A$500,0))&amp;"",""))</f>
        <v/>
      </c>
      <c r="D255" s="26" t="n"/>
      <c r="E255" s="25" t="n"/>
      <c r="F255" s="25" t="n"/>
      <c r="G255" s="24">
        <f>IF(F255="","",IFERROR(INDEX(Pracownicy!$B$2:$B$2000,MATCH(F255,Pracownicy!$A$2:$A$2000,0))&amp;"",""))</f>
        <v/>
      </c>
      <c r="H255" s="25" t="n"/>
      <c r="I255" s="25" t="n"/>
      <c r="J255" s="25" t="n"/>
      <c r="K255" s="27" t="n"/>
      <c r="L255" s="25" t="n"/>
      <c r="M255" s="25" t="n"/>
      <c r="N255" s="27" t="n"/>
      <c r="O255" s="24">
        <f>IF(B255="","",IF(M255="","TAK",IFERROR(INDEX(Ustawienia!$K$4:$K$8,MATCH(M255,Ustawienia!$J$4:$J$8,0)),"TAK")))</f>
        <v/>
      </c>
      <c r="P255" s="28">
        <f>IF(OR(B255="",D255=""),"",IFERROR(INDEX('Dane rozpisek'!$B$2:$B$2600,MATCH(S255,'Dane rozpisek'!$H$2:$H$2600,0))&amp;": "&amp;INDEX('Dane rozpisek'!$E$2:$E$2600,MATCH(S255,'Dane rozpisek'!$H$2:$H$2600,0))&amp;IF(COUNTIF('Dane rozpisek'!$H$2:$H$2600,S255)&gt;1," (+"&amp;(COUNTIF('Dane rozpisek'!$H$2:$H$2600,S255)-1)&amp;")",""),"—"))</f>
        <v/>
      </c>
      <c r="Q255" s="24">
        <f>IF(AND(B255&lt;&gt;"",D255&lt;&gt;"",OR('Historia wózka'!$B$4="",B255='Historia wózka'!$B$4),D255&gt;='Historia wózka'!$B$5,D255&lt;='Historia wózka'!$B$6),D255+ROW()/1000000,0)</f>
        <v/>
      </c>
      <c r="R255" s="24">
        <f>IF(O255="TAK",IF(D255="",0,D255)+ROW()/1000000,0)</f>
        <v/>
      </c>
      <c r="S255" s="24">
        <f>IF(OR(B255="",D255=""),"",B255&amp;"|"&amp;D255)</f>
        <v/>
      </c>
    </row>
    <row r="256">
      <c r="A256" s="24">
        <f>IF(B256="","",ROW()-4)</f>
        <v/>
      </c>
      <c r="B256" s="25" t="n"/>
      <c r="C256" s="24">
        <f>IF(B256="","",IFERROR(INDEX('Wózki'!$B$2:$B$500,MATCH(B256,'Wózki'!$A$2:$A$500,0))&amp;"",""))</f>
        <v/>
      </c>
      <c r="D256" s="26" t="n"/>
      <c r="E256" s="25" t="n"/>
      <c r="F256" s="25" t="n"/>
      <c r="G256" s="24">
        <f>IF(F256="","",IFERROR(INDEX(Pracownicy!$B$2:$B$2000,MATCH(F256,Pracownicy!$A$2:$A$2000,0))&amp;"",""))</f>
        <v/>
      </c>
      <c r="H256" s="25" t="n"/>
      <c r="I256" s="25" t="n"/>
      <c r="J256" s="25" t="n"/>
      <c r="K256" s="27" t="n"/>
      <c r="L256" s="25" t="n"/>
      <c r="M256" s="25" t="n"/>
      <c r="N256" s="27" t="n"/>
      <c r="O256" s="24">
        <f>IF(B256="","",IF(M256="","TAK",IFERROR(INDEX(Ustawienia!$K$4:$K$8,MATCH(M256,Ustawienia!$J$4:$J$8,0)),"TAK")))</f>
        <v/>
      </c>
      <c r="P256" s="28">
        <f>IF(OR(B256="",D256=""),"",IFERROR(INDEX('Dane rozpisek'!$B$2:$B$2600,MATCH(S256,'Dane rozpisek'!$H$2:$H$2600,0))&amp;": "&amp;INDEX('Dane rozpisek'!$E$2:$E$2600,MATCH(S256,'Dane rozpisek'!$H$2:$H$2600,0))&amp;IF(COUNTIF('Dane rozpisek'!$H$2:$H$2600,S256)&gt;1," (+"&amp;(COUNTIF('Dane rozpisek'!$H$2:$H$2600,S256)-1)&amp;")",""),"—"))</f>
        <v/>
      </c>
      <c r="Q256" s="24">
        <f>IF(AND(B256&lt;&gt;"",D256&lt;&gt;"",OR('Historia wózka'!$B$4="",B256='Historia wózka'!$B$4),D256&gt;='Historia wózka'!$B$5,D256&lt;='Historia wózka'!$B$6),D256+ROW()/1000000,0)</f>
        <v/>
      </c>
      <c r="R256" s="24">
        <f>IF(O256="TAK",IF(D256="",0,D256)+ROW()/1000000,0)</f>
        <v/>
      </c>
      <c r="S256" s="24">
        <f>IF(OR(B256="",D256=""),"",B256&amp;"|"&amp;D256)</f>
        <v/>
      </c>
    </row>
    <row r="257">
      <c r="A257" s="24">
        <f>IF(B257="","",ROW()-4)</f>
        <v/>
      </c>
      <c r="B257" s="25" t="n"/>
      <c r="C257" s="24">
        <f>IF(B257="","",IFERROR(INDEX('Wózki'!$B$2:$B$500,MATCH(B257,'Wózki'!$A$2:$A$500,0))&amp;"",""))</f>
        <v/>
      </c>
      <c r="D257" s="26" t="n"/>
      <c r="E257" s="25" t="n"/>
      <c r="F257" s="25" t="n"/>
      <c r="G257" s="24">
        <f>IF(F257="","",IFERROR(INDEX(Pracownicy!$B$2:$B$2000,MATCH(F257,Pracownicy!$A$2:$A$2000,0))&amp;"",""))</f>
        <v/>
      </c>
      <c r="H257" s="25" t="n"/>
      <c r="I257" s="25" t="n"/>
      <c r="J257" s="25" t="n"/>
      <c r="K257" s="27" t="n"/>
      <c r="L257" s="25" t="n"/>
      <c r="M257" s="25" t="n"/>
      <c r="N257" s="27" t="n"/>
      <c r="O257" s="24">
        <f>IF(B257="","",IF(M257="","TAK",IFERROR(INDEX(Ustawienia!$K$4:$K$8,MATCH(M257,Ustawienia!$J$4:$J$8,0)),"TAK")))</f>
        <v/>
      </c>
      <c r="P257" s="28">
        <f>IF(OR(B257="",D257=""),"",IFERROR(INDEX('Dane rozpisek'!$B$2:$B$2600,MATCH(S257,'Dane rozpisek'!$H$2:$H$2600,0))&amp;": "&amp;INDEX('Dane rozpisek'!$E$2:$E$2600,MATCH(S257,'Dane rozpisek'!$H$2:$H$2600,0))&amp;IF(COUNTIF('Dane rozpisek'!$H$2:$H$2600,S257)&gt;1," (+"&amp;(COUNTIF('Dane rozpisek'!$H$2:$H$2600,S257)-1)&amp;")",""),"—"))</f>
        <v/>
      </c>
      <c r="Q257" s="24">
        <f>IF(AND(B257&lt;&gt;"",D257&lt;&gt;"",OR('Historia wózka'!$B$4="",B257='Historia wózka'!$B$4),D257&gt;='Historia wózka'!$B$5,D257&lt;='Historia wózka'!$B$6),D257+ROW()/1000000,0)</f>
        <v/>
      </c>
      <c r="R257" s="24">
        <f>IF(O257="TAK",IF(D257="",0,D257)+ROW()/1000000,0)</f>
        <v/>
      </c>
      <c r="S257" s="24">
        <f>IF(OR(B257="",D257=""),"",B257&amp;"|"&amp;D257)</f>
        <v/>
      </c>
    </row>
    <row r="258">
      <c r="A258" s="24">
        <f>IF(B258="","",ROW()-4)</f>
        <v/>
      </c>
      <c r="B258" s="25" t="n"/>
      <c r="C258" s="24">
        <f>IF(B258="","",IFERROR(INDEX('Wózki'!$B$2:$B$500,MATCH(B258,'Wózki'!$A$2:$A$500,0))&amp;"",""))</f>
        <v/>
      </c>
      <c r="D258" s="26" t="n"/>
      <c r="E258" s="25" t="n"/>
      <c r="F258" s="25" t="n"/>
      <c r="G258" s="24">
        <f>IF(F258="","",IFERROR(INDEX(Pracownicy!$B$2:$B$2000,MATCH(F258,Pracownicy!$A$2:$A$2000,0))&amp;"",""))</f>
        <v/>
      </c>
      <c r="H258" s="25" t="n"/>
      <c r="I258" s="25" t="n"/>
      <c r="J258" s="25" t="n"/>
      <c r="K258" s="27" t="n"/>
      <c r="L258" s="25" t="n"/>
      <c r="M258" s="25" t="n"/>
      <c r="N258" s="27" t="n"/>
      <c r="O258" s="24">
        <f>IF(B258="","",IF(M258="","TAK",IFERROR(INDEX(Ustawienia!$K$4:$K$8,MATCH(M258,Ustawienia!$J$4:$J$8,0)),"TAK")))</f>
        <v/>
      </c>
      <c r="P258" s="28">
        <f>IF(OR(B258="",D258=""),"",IFERROR(INDEX('Dane rozpisek'!$B$2:$B$2600,MATCH(S258,'Dane rozpisek'!$H$2:$H$2600,0))&amp;": "&amp;INDEX('Dane rozpisek'!$E$2:$E$2600,MATCH(S258,'Dane rozpisek'!$H$2:$H$2600,0))&amp;IF(COUNTIF('Dane rozpisek'!$H$2:$H$2600,S258)&gt;1," (+"&amp;(COUNTIF('Dane rozpisek'!$H$2:$H$2600,S258)-1)&amp;")",""),"—"))</f>
        <v/>
      </c>
      <c r="Q258" s="24">
        <f>IF(AND(B258&lt;&gt;"",D258&lt;&gt;"",OR('Historia wózka'!$B$4="",B258='Historia wózka'!$B$4),D258&gt;='Historia wózka'!$B$5,D258&lt;='Historia wózka'!$B$6),D258+ROW()/1000000,0)</f>
        <v/>
      </c>
      <c r="R258" s="24">
        <f>IF(O258="TAK",IF(D258="",0,D258)+ROW()/1000000,0)</f>
        <v/>
      </c>
      <c r="S258" s="24">
        <f>IF(OR(B258="",D258=""),"",B258&amp;"|"&amp;D258)</f>
        <v/>
      </c>
    </row>
    <row r="259">
      <c r="A259" s="24">
        <f>IF(B259="","",ROW()-4)</f>
        <v/>
      </c>
      <c r="B259" s="25" t="n"/>
      <c r="C259" s="24">
        <f>IF(B259="","",IFERROR(INDEX('Wózki'!$B$2:$B$500,MATCH(B259,'Wózki'!$A$2:$A$500,0))&amp;"",""))</f>
        <v/>
      </c>
      <c r="D259" s="26" t="n"/>
      <c r="E259" s="25" t="n"/>
      <c r="F259" s="25" t="n"/>
      <c r="G259" s="24">
        <f>IF(F259="","",IFERROR(INDEX(Pracownicy!$B$2:$B$2000,MATCH(F259,Pracownicy!$A$2:$A$2000,0))&amp;"",""))</f>
        <v/>
      </c>
      <c r="H259" s="25" t="n"/>
      <c r="I259" s="25" t="n"/>
      <c r="J259" s="25" t="n"/>
      <c r="K259" s="27" t="n"/>
      <c r="L259" s="25" t="n"/>
      <c r="M259" s="25" t="n"/>
      <c r="N259" s="27" t="n"/>
      <c r="O259" s="24">
        <f>IF(B259="","",IF(M259="","TAK",IFERROR(INDEX(Ustawienia!$K$4:$K$8,MATCH(M259,Ustawienia!$J$4:$J$8,0)),"TAK")))</f>
        <v/>
      </c>
      <c r="P259" s="28">
        <f>IF(OR(B259="",D259=""),"",IFERROR(INDEX('Dane rozpisek'!$B$2:$B$2600,MATCH(S259,'Dane rozpisek'!$H$2:$H$2600,0))&amp;": "&amp;INDEX('Dane rozpisek'!$E$2:$E$2600,MATCH(S259,'Dane rozpisek'!$H$2:$H$2600,0))&amp;IF(COUNTIF('Dane rozpisek'!$H$2:$H$2600,S259)&gt;1," (+"&amp;(COUNTIF('Dane rozpisek'!$H$2:$H$2600,S259)-1)&amp;")",""),"—"))</f>
        <v/>
      </c>
      <c r="Q259" s="24">
        <f>IF(AND(B259&lt;&gt;"",D259&lt;&gt;"",OR('Historia wózka'!$B$4="",B259='Historia wózka'!$B$4),D259&gt;='Historia wózka'!$B$5,D259&lt;='Historia wózka'!$B$6),D259+ROW()/1000000,0)</f>
        <v/>
      </c>
      <c r="R259" s="24">
        <f>IF(O259="TAK",IF(D259="",0,D259)+ROW()/1000000,0)</f>
        <v/>
      </c>
      <c r="S259" s="24">
        <f>IF(OR(B259="",D259=""),"",B259&amp;"|"&amp;D259)</f>
        <v/>
      </c>
    </row>
    <row r="260">
      <c r="A260" s="24">
        <f>IF(B260="","",ROW()-4)</f>
        <v/>
      </c>
      <c r="B260" s="25" t="n"/>
      <c r="C260" s="24">
        <f>IF(B260="","",IFERROR(INDEX('Wózki'!$B$2:$B$500,MATCH(B260,'Wózki'!$A$2:$A$500,0))&amp;"",""))</f>
        <v/>
      </c>
      <c r="D260" s="26" t="n"/>
      <c r="E260" s="25" t="n"/>
      <c r="F260" s="25" t="n"/>
      <c r="G260" s="24">
        <f>IF(F260="","",IFERROR(INDEX(Pracownicy!$B$2:$B$2000,MATCH(F260,Pracownicy!$A$2:$A$2000,0))&amp;"",""))</f>
        <v/>
      </c>
      <c r="H260" s="25" t="n"/>
      <c r="I260" s="25" t="n"/>
      <c r="J260" s="25" t="n"/>
      <c r="K260" s="27" t="n"/>
      <c r="L260" s="25" t="n"/>
      <c r="M260" s="25" t="n"/>
      <c r="N260" s="27" t="n"/>
      <c r="O260" s="24">
        <f>IF(B260="","",IF(M260="","TAK",IFERROR(INDEX(Ustawienia!$K$4:$K$8,MATCH(M260,Ustawienia!$J$4:$J$8,0)),"TAK")))</f>
        <v/>
      </c>
      <c r="P260" s="28">
        <f>IF(OR(B260="",D260=""),"",IFERROR(INDEX('Dane rozpisek'!$B$2:$B$2600,MATCH(S260,'Dane rozpisek'!$H$2:$H$2600,0))&amp;": "&amp;INDEX('Dane rozpisek'!$E$2:$E$2600,MATCH(S260,'Dane rozpisek'!$H$2:$H$2600,0))&amp;IF(COUNTIF('Dane rozpisek'!$H$2:$H$2600,S260)&gt;1," (+"&amp;(COUNTIF('Dane rozpisek'!$H$2:$H$2600,S260)-1)&amp;")",""),"—"))</f>
        <v/>
      </c>
      <c r="Q260" s="24">
        <f>IF(AND(B260&lt;&gt;"",D260&lt;&gt;"",OR('Historia wózka'!$B$4="",B260='Historia wózka'!$B$4),D260&gt;='Historia wózka'!$B$5,D260&lt;='Historia wózka'!$B$6),D260+ROW()/1000000,0)</f>
        <v/>
      </c>
      <c r="R260" s="24">
        <f>IF(O260="TAK",IF(D260="",0,D260)+ROW()/1000000,0)</f>
        <v/>
      </c>
      <c r="S260" s="24">
        <f>IF(OR(B260="",D260=""),"",B260&amp;"|"&amp;D260)</f>
        <v/>
      </c>
    </row>
    <row r="261">
      <c r="A261" s="24">
        <f>IF(B261="","",ROW()-4)</f>
        <v/>
      </c>
      <c r="B261" s="25" t="n"/>
      <c r="C261" s="24">
        <f>IF(B261="","",IFERROR(INDEX('Wózki'!$B$2:$B$500,MATCH(B261,'Wózki'!$A$2:$A$500,0))&amp;"",""))</f>
        <v/>
      </c>
      <c r="D261" s="26" t="n"/>
      <c r="E261" s="25" t="n"/>
      <c r="F261" s="25" t="n"/>
      <c r="G261" s="24">
        <f>IF(F261="","",IFERROR(INDEX(Pracownicy!$B$2:$B$2000,MATCH(F261,Pracownicy!$A$2:$A$2000,0))&amp;"",""))</f>
        <v/>
      </c>
      <c r="H261" s="25" t="n"/>
      <c r="I261" s="25" t="n"/>
      <c r="J261" s="25" t="n"/>
      <c r="K261" s="27" t="n"/>
      <c r="L261" s="25" t="n"/>
      <c r="M261" s="25" t="n"/>
      <c r="N261" s="27" t="n"/>
      <c r="O261" s="24">
        <f>IF(B261="","",IF(M261="","TAK",IFERROR(INDEX(Ustawienia!$K$4:$K$8,MATCH(M261,Ustawienia!$J$4:$J$8,0)),"TAK")))</f>
        <v/>
      </c>
      <c r="P261" s="28">
        <f>IF(OR(B261="",D261=""),"",IFERROR(INDEX('Dane rozpisek'!$B$2:$B$2600,MATCH(S261,'Dane rozpisek'!$H$2:$H$2600,0))&amp;": "&amp;INDEX('Dane rozpisek'!$E$2:$E$2600,MATCH(S261,'Dane rozpisek'!$H$2:$H$2600,0))&amp;IF(COUNTIF('Dane rozpisek'!$H$2:$H$2600,S261)&gt;1," (+"&amp;(COUNTIF('Dane rozpisek'!$H$2:$H$2600,S261)-1)&amp;")",""),"—"))</f>
        <v/>
      </c>
      <c r="Q261" s="24">
        <f>IF(AND(B261&lt;&gt;"",D261&lt;&gt;"",OR('Historia wózka'!$B$4="",B261='Historia wózka'!$B$4),D261&gt;='Historia wózka'!$B$5,D261&lt;='Historia wózka'!$B$6),D261+ROW()/1000000,0)</f>
        <v/>
      </c>
      <c r="R261" s="24">
        <f>IF(O261="TAK",IF(D261="",0,D261)+ROW()/1000000,0)</f>
        <v/>
      </c>
      <c r="S261" s="24">
        <f>IF(OR(B261="",D261=""),"",B261&amp;"|"&amp;D261)</f>
        <v/>
      </c>
    </row>
    <row r="262">
      <c r="A262" s="24">
        <f>IF(B262="","",ROW()-4)</f>
        <v/>
      </c>
      <c r="B262" s="25" t="n"/>
      <c r="C262" s="24">
        <f>IF(B262="","",IFERROR(INDEX('Wózki'!$B$2:$B$500,MATCH(B262,'Wózki'!$A$2:$A$500,0))&amp;"",""))</f>
        <v/>
      </c>
      <c r="D262" s="26" t="n"/>
      <c r="E262" s="25" t="n"/>
      <c r="F262" s="25" t="n"/>
      <c r="G262" s="24">
        <f>IF(F262="","",IFERROR(INDEX(Pracownicy!$B$2:$B$2000,MATCH(F262,Pracownicy!$A$2:$A$2000,0))&amp;"",""))</f>
        <v/>
      </c>
      <c r="H262" s="25" t="n"/>
      <c r="I262" s="25" t="n"/>
      <c r="J262" s="25" t="n"/>
      <c r="K262" s="27" t="n"/>
      <c r="L262" s="25" t="n"/>
      <c r="M262" s="25" t="n"/>
      <c r="N262" s="27" t="n"/>
      <c r="O262" s="24">
        <f>IF(B262="","",IF(M262="","TAK",IFERROR(INDEX(Ustawienia!$K$4:$K$8,MATCH(M262,Ustawienia!$J$4:$J$8,0)),"TAK")))</f>
        <v/>
      </c>
      <c r="P262" s="28">
        <f>IF(OR(B262="",D262=""),"",IFERROR(INDEX('Dane rozpisek'!$B$2:$B$2600,MATCH(S262,'Dane rozpisek'!$H$2:$H$2600,0))&amp;": "&amp;INDEX('Dane rozpisek'!$E$2:$E$2600,MATCH(S262,'Dane rozpisek'!$H$2:$H$2600,0))&amp;IF(COUNTIF('Dane rozpisek'!$H$2:$H$2600,S262)&gt;1," (+"&amp;(COUNTIF('Dane rozpisek'!$H$2:$H$2600,S262)-1)&amp;")",""),"—"))</f>
        <v/>
      </c>
      <c r="Q262" s="24">
        <f>IF(AND(B262&lt;&gt;"",D262&lt;&gt;"",OR('Historia wózka'!$B$4="",B262='Historia wózka'!$B$4),D262&gt;='Historia wózka'!$B$5,D262&lt;='Historia wózka'!$B$6),D262+ROW()/1000000,0)</f>
        <v/>
      </c>
      <c r="R262" s="24">
        <f>IF(O262="TAK",IF(D262="",0,D262)+ROW()/1000000,0)</f>
        <v/>
      </c>
      <c r="S262" s="24">
        <f>IF(OR(B262="",D262=""),"",B262&amp;"|"&amp;D262)</f>
        <v/>
      </c>
    </row>
    <row r="263">
      <c r="A263" s="24">
        <f>IF(B263="","",ROW()-4)</f>
        <v/>
      </c>
      <c r="B263" s="25" t="n"/>
      <c r="C263" s="24">
        <f>IF(B263="","",IFERROR(INDEX('Wózki'!$B$2:$B$500,MATCH(B263,'Wózki'!$A$2:$A$500,0))&amp;"",""))</f>
        <v/>
      </c>
      <c r="D263" s="26" t="n"/>
      <c r="E263" s="25" t="n"/>
      <c r="F263" s="25" t="n"/>
      <c r="G263" s="24">
        <f>IF(F263="","",IFERROR(INDEX(Pracownicy!$B$2:$B$2000,MATCH(F263,Pracownicy!$A$2:$A$2000,0))&amp;"",""))</f>
        <v/>
      </c>
      <c r="H263" s="25" t="n"/>
      <c r="I263" s="25" t="n"/>
      <c r="J263" s="25" t="n"/>
      <c r="K263" s="27" t="n"/>
      <c r="L263" s="25" t="n"/>
      <c r="M263" s="25" t="n"/>
      <c r="N263" s="27" t="n"/>
      <c r="O263" s="24">
        <f>IF(B263="","",IF(M263="","TAK",IFERROR(INDEX(Ustawienia!$K$4:$K$8,MATCH(M263,Ustawienia!$J$4:$J$8,0)),"TAK")))</f>
        <v/>
      </c>
      <c r="P263" s="28">
        <f>IF(OR(B263="",D263=""),"",IFERROR(INDEX('Dane rozpisek'!$B$2:$B$2600,MATCH(S263,'Dane rozpisek'!$H$2:$H$2600,0))&amp;": "&amp;INDEX('Dane rozpisek'!$E$2:$E$2600,MATCH(S263,'Dane rozpisek'!$H$2:$H$2600,0))&amp;IF(COUNTIF('Dane rozpisek'!$H$2:$H$2600,S263)&gt;1," (+"&amp;(COUNTIF('Dane rozpisek'!$H$2:$H$2600,S263)-1)&amp;")",""),"—"))</f>
        <v/>
      </c>
      <c r="Q263" s="24">
        <f>IF(AND(B263&lt;&gt;"",D263&lt;&gt;"",OR('Historia wózka'!$B$4="",B263='Historia wózka'!$B$4),D263&gt;='Historia wózka'!$B$5,D263&lt;='Historia wózka'!$B$6),D263+ROW()/1000000,0)</f>
        <v/>
      </c>
      <c r="R263" s="24">
        <f>IF(O263="TAK",IF(D263="",0,D263)+ROW()/1000000,0)</f>
        <v/>
      </c>
      <c r="S263" s="24">
        <f>IF(OR(B263="",D263=""),"",B263&amp;"|"&amp;D263)</f>
        <v/>
      </c>
    </row>
    <row r="264">
      <c r="A264" s="24">
        <f>IF(B264="","",ROW()-4)</f>
        <v/>
      </c>
      <c r="B264" s="25" t="n"/>
      <c r="C264" s="24">
        <f>IF(B264="","",IFERROR(INDEX('Wózki'!$B$2:$B$500,MATCH(B264,'Wózki'!$A$2:$A$500,0))&amp;"",""))</f>
        <v/>
      </c>
      <c r="D264" s="26" t="n"/>
      <c r="E264" s="25" t="n"/>
      <c r="F264" s="25" t="n"/>
      <c r="G264" s="24">
        <f>IF(F264="","",IFERROR(INDEX(Pracownicy!$B$2:$B$2000,MATCH(F264,Pracownicy!$A$2:$A$2000,0))&amp;"",""))</f>
        <v/>
      </c>
      <c r="H264" s="25" t="n"/>
      <c r="I264" s="25" t="n"/>
      <c r="J264" s="25" t="n"/>
      <c r="K264" s="27" t="n"/>
      <c r="L264" s="25" t="n"/>
      <c r="M264" s="25" t="n"/>
      <c r="N264" s="27" t="n"/>
      <c r="O264" s="24">
        <f>IF(B264="","",IF(M264="","TAK",IFERROR(INDEX(Ustawienia!$K$4:$K$8,MATCH(M264,Ustawienia!$J$4:$J$8,0)),"TAK")))</f>
        <v/>
      </c>
      <c r="P264" s="28">
        <f>IF(OR(B264="",D264=""),"",IFERROR(INDEX('Dane rozpisek'!$B$2:$B$2600,MATCH(S264,'Dane rozpisek'!$H$2:$H$2600,0))&amp;": "&amp;INDEX('Dane rozpisek'!$E$2:$E$2600,MATCH(S264,'Dane rozpisek'!$H$2:$H$2600,0))&amp;IF(COUNTIF('Dane rozpisek'!$H$2:$H$2600,S264)&gt;1," (+"&amp;(COUNTIF('Dane rozpisek'!$H$2:$H$2600,S264)-1)&amp;")",""),"—"))</f>
        <v/>
      </c>
      <c r="Q264" s="24">
        <f>IF(AND(B264&lt;&gt;"",D264&lt;&gt;"",OR('Historia wózka'!$B$4="",B264='Historia wózka'!$B$4),D264&gt;='Historia wózka'!$B$5,D264&lt;='Historia wózka'!$B$6),D264+ROW()/1000000,0)</f>
        <v/>
      </c>
      <c r="R264" s="24">
        <f>IF(O264="TAK",IF(D264="",0,D264)+ROW()/1000000,0)</f>
        <v/>
      </c>
      <c r="S264" s="24">
        <f>IF(OR(B264="",D264=""),"",B264&amp;"|"&amp;D264)</f>
        <v/>
      </c>
    </row>
    <row r="265">
      <c r="A265" s="24">
        <f>IF(B265="","",ROW()-4)</f>
        <v/>
      </c>
      <c r="B265" s="25" t="n"/>
      <c r="C265" s="24">
        <f>IF(B265="","",IFERROR(INDEX('Wózki'!$B$2:$B$500,MATCH(B265,'Wózki'!$A$2:$A$500,0))&amp;"",""))</f>
        <v/>
      </c>
      <c r="D265" s="26" t="n"/>
      <c r="E265" s="25" t="n"/>
      <c r="F265" s="25" t="n"/>
      <c r="G265" s="24">
        <f>IF(F265="","",IFERROR(INDEX(Pracownicy!$B$2:$B$2000,MATCH(F265,Pracownicy!$A$2:$A$2000,0))&amp;"",""))</f>
        <v/>
      </c>
      <c r="H265" s="25" t="n"/>
      <c r="I265" s="25" t="n"/>
      <c r="J265" s="25" t="n"/>
      <c r="K265" s="27" t="n"/>
      <c r="L265" s="25" t="n"/>
      <c r="M265" s="25" t="n"/>
      <c r="N265" s="27" t="n"/>
      <c r="O265" s="24">
        <f>IF(B265="","",IF(M265="","TAK",IFERROR(INDEX(Ustawienia!$K$4:$K$8,MATCH(M265,Ustawienia!$J$4:$J$8,0)),"TAK")))</f>
        <v/>
      </c>
      <c r="P265" s="28">
        <f>IF(OR(B265="",D265=""),"",IFERROR(INDEX('Dane rozpisek'!$B$2:$B$2600,MATCH(S265,'Dane rozpisek'!$H$2:$H$2600,0))&amp;": "&amp;INDEX('Dane rozpisek'!$E$2:$E$2600,MATCH(S265,'Dane rozpisek'!$H$2:$H$2600,0))&amp;IF(COUNTIF('Dane rozpisek'!$H$2:$H$2600,S265)&gt;1," (+"&amp;(COUNTIF('Dane rozpisek'!$H$2:$H$2600,S265)-1)&amp;")",""),"—"))</f>
        <v/>
      </c>
      <c r="Q265" s="24">
        <f>IF(AND(B265&lt;&gt;"",D265&lt;&gt;"",OR('Historia wózka'!$B$4="",B265='Historia wózka'!$B$4),D265&gt;='Historia wózka'!$B$5,D265&lt;='Historia wózka'!$B$6),D265+ROW()/1000000,0)</f>
        <v/>
      </c>
      <c r="R265" s="24">
        <f>IF(O265="TAK",IF(D265="",0,D265)+ROW()/1000000,0)</f>
        <v/>
      </c>
      <c r="S265" s="24">
        <f>IF(OR(B265="",D265=""),"",B265&amp;"|"&amp;D265)</f>
        <v/>
      </c>
    </row>
    <row r="266">
      <c r="A266" s="24">
        <f>IF(B266="","",ROW()-4)</f>
        <v/>
      </c>
      <c r="B266" s="25" t="n"/>
      <c r="C266" s="24">
        <f>IF(B266="","",IFERROR(INDEX('Wózki'!$B$2:$B$500,MATCH(B266,'Wózki'!$A$2:$A$500,0))&amp;"",""))</f>
        <v/>
      </c>
      <c r="D266" s="26" t="n"/>
      <c r="E266" s="25" t="n"/>
      <c r="F266" s="25" t="n"/>
      <c r="G266" s="24">
        <f>IF(F266="","",IFERROR(INDEX(Pracownicy!$B$2:$B$2000,MATCH(F266,Pracownicy!$A$2:$A$2000,0))&amp;"",""))</f>
        <v/>
      </c>
      <c r="H266" s="25" t="n"/>
      <c r="I266" s="25" t="n"/>
      <c r="J266" s="25" t="n"/>
      <c r="K266" s="27" t="n"/>
      <c r="L266" s="25" t="n"/>
      <c r="M266" s="25" t="n"/>
      <c r="N266" s="27" t="n"/>
      <c r="O266" s="24">
        <f>IF(B266="","",IF(M266="","TAK",IFERROR(INDEX(Ustawienia!$K$4:$K$8,MATCH(M266,Ustawienia!$J$4:$J$8,0)),"TAK")))</f>
        <v/>
      </c>
      <c r="P266" s="28">
        <f>IF(OR(B266="",D266=""),"",IFERROR(INDEX('Dane rozpisek'!$B$2:$B$2600,MATCH(S266,'Dane rozpisek'!$H$2:$H$2600,0))&amp;": "&amp;INDEX('Dane rozpisek'!$E$2:$E$2600,MATCH(S266,'Dane rozpisek'!$H$2:$H$2600,0))&amp;IF(COUNTIF('Dane rozpisek'!$H$2:$H$2600,S266)&gt;1," (+"&amp;(COUNTIF('Dane rozpisek'!$H$2:$H$2600,S266)-1)&amp;")",""),"—"))</f>
        <v/>
      </c>
      <c r="Q266" s="24">
        <f>IF(AND(B266&lt;&gt;"",D266&lt;&gt;"",OR('Historia wózka'!$B$4="",B266='Historia wózka'!$B$4),D266&gt;='Historia wózka'!$B$5,D266&lt;='Historia wózka'!$B$6),D266+ROW()/1000000,0)</f>
        <v/>
      </c>
      <c r="R266" s="24">
        <f>IF(O266="TAK",IF(D266="",0,D266)+ROW()/1000000,0)</f>
        <v/>
      </c>
      <c r="S266" s="24">
        <f>IF(OR(B266="",D266=""),"",B266&amp;"|"&amp;D266)</f>
        <v/>
      </c>
    </row>
    <row r="267">
      <c r="A267" s="24">
        <f>IF(B267="","",ROW()-4)</f>
        <v/>
      </c>
      <c r="B267" s="25" t="n"/>
      <c r="C267" s="24">
        <f>IF(B267="","",IFERROR(INDEX('Wózki'!$B$2:$B$500,MATCH(B267,'Wózki'!$A$2:$A$500,0))&amp;"",""))</f>
        <v/>
      </c>
      <c r="D267" s="26" t="n"/>
      <c r="E267" s="25" t="n"/>
      <c r="F267" s="25" t="n"/>
      <c r="G267" s="24">
        <f>IF(F267="","",IFERROR(INDEX(Pracownicy!$B$2:$B$2000,MATCH(F267,Pracownicy!$A$2:$A$2000,0))&amp;"",""))</f>
        <v/>
      </c>
      <c r="H267" s="25" t="n"/>
      <c r="I267" s="25" t="n"/>
      <c r="J267" s="25" t="n"/>
      <c r="K267" s="27" t="n"/>
      <c r="L267" s="25" t="n"/>
      <c r="M267" s="25" t="n"/>
      <c r="N267" s="27" t="n"/>
      <c r="O267" s="24">
        <f>IF(B267="","",IF(M267="","TAK",IFERROR(INDEX(Ustawienia!$K$4:$K$8,MATCH(M267,Ustawienia!$J$4:$J$8,0)),"TAK")))</f>
        <v/>
      </c>
      <c r="P267" s="28">
        <f>IF(OR(B267="",D267=""),"",IFERROR(INDEX('Dane rozpisek'!$B$2:$B$2600,MATCH(S267,'Dane rozpisek'!$H$2:$H$2600,0))&amp;": "&amp;INDEX('Dane rozpisek'!$E$2:$E$2600,MATCH(S267,'Dane rozpisek'!$H$2:$H$2600,0))&amp;IF(COUNTIF('Dane rozpisek'!$H$2:$H$2600,S267)&gt;1," (+"&amp;(COUNTIF('Dane rozpisek'!$H$2:$H$2600,S267)-1)&amp;")",""),"—"))</f>
        <v/>
      </c>
      <c r="Q267" s="24">
        <f>IF(AND(B267&lt;&gt;"",D267&lt;&gt;"",OR('Historia wózka'!$B$4="",B267='Historia wózka'!$B$4),D267&gt;='Historia wózka'!$B$5,D267&lt;='Historia wózka'!$B$6),D267+ROW()/1000000,0)</f>
        <v/>
      </c>
      <c r="R267" s="24">
        <f>IF(O267="TAK",IF(D267="",0,D267)+ROW()/1000000,0)</f>
        <v/>
      </c>
      <c r="S267" s="24">
        <f>IF(OR(B267="",D267=""),"",B267&amp;"|"&amp;D267)</f>
        <v/>
      </c>
    </row>
    <row r="268">
      <c r="A268" s="24">
        <f>IF(B268="","",ROW()-4)</f>
        <v/>
      </c>
      <c r="B268" s="25" t="n"/>
      <c r="C268" s="24">
        <f>IF(B268="","",IFERROR(INDEX('Wózki'!$B$2:$B$500,MATCH(B268,'Wózki'!$A$2:$A$500,0))&amp;"",""))</f>
        <v/>
      </c>
      <c r="D268" s="26" t="n"/>
      <c r="E268" s="25" t="n"/>
      <c r="F268" s="25" t="n"/>
      <c r="G268" s="24">
        <f>IF(F268="","",IFERROR(INDEX(Pracownicy!$B$2:$B$2000,MATCH(F268,Pracownicy!$A$2:$A$2000,0))&amp;"",""))</f>
        <v/>
      </c>
      <c r="H268" s="25" t="n"/>
      <c r="I268" s="25" t="n"/>
      <c r="J268" s="25" t="n"/>
      <c r="K268" s="27" t="n"/>
      <c r="L268" s="25" t="n"/>
      <c r="M268" s="25" t="n"/>
      <c r="N268" s="27" t="n"/>
      <c r="O268" s="24">
        <f>IF(B268="","",IF(M268="","TAK",IFERROR(INDEX(Ustawienia!$K$4:$K$8,MATCH(M268,Ustawienia!$J$4:$J$8,0)),"TAK")))</f>
        <v/>
      </c>
      <c r="P268" s="28">
        <f>IF(OR(B268="",D268=""),"",IFERROR(INDEX('Dane rozpisek'!$B$2:$B$2600,MATCH(S268,'Dane rozpisek'!$H$2:$H$2600,0))&amp;": "&amp;INDEX('Dane rozpisek'!$E$2:$E$2600,MATCH(S268,'Dane rozpisek'!$H$2:$H$2600,0))&amp;IF(COUNTIF('Dane rozpisek'!$H$2:$H$2600,S268)&gt;1," (+"&amp;(COUNTIF('Dane rozpisek'!$H$2:$H$2600,S268)-1)&amp;")",""),"—"))</f>
        <v/>
      </c>
      <c r="Q268" s="24">
        <f>IF(AND(B268&lt;&gt;"",D268&lt;&gt;"",OR('Historia wózka'!$B$4="",B268='Historia wózka'!$B$4),D268&gt;='Historia wózka'!$B$5,D268&lt;='Historia wózka'!$B$6),D268+ROW()/1000000,0)</f>
        <v/>
      </c>
      <c r="R268" s="24">
        <f>IF(O268="TAK",IF(D268="",0,D268)+ROW()/1000000,0)</f>
        <v/>
      </c>
      <c r="S268" s="24">
        <f>IF(OR(B268="",D268=""),"",B268&amp;"|"&amp;D268)</f>
        <v/>
      </c>
    </row>
    <row r="269">
      <c r="A269" s="24">
        <f>IF(B269="","",ROW()-4)</f>
        <v/>
      </c>
      <c r="B269" s="25" t="n"/>
      <c r="C269" s="24">
        <f>IF(B269="","",IFERROR(INDEX('Wózki'!$B$2:$B$500,MATCH(B269,'Wózki'!$A$2:$A$500,0))&amp;"",""))</f>
        <v/>
      </c>
      <c r="D269" s="26" t="n"/>
      <c r="E269" s="25" t="n"/>
      <c r="F269" s="25" t="n"/>
      <c r="G269" s="24">
        <f>IF(F269="","",IFERROR(INDEX(Pracownicy!$B$2:$B$2000,MATCH(F269,Pracownicy!$A$2:$A$2000,0))&amp;"",""))</f>
        <v/>
      </c>
      <c r="H269" s="25" t="n"/>
      <c r="I269" s="25" t="n"/>
      <c r="J269" s="25" t="n"/>
      <c r="K269" s="27" t="n"/>
      <c r="L269" s="25" t="n"/>
      <c r="M269" s="25" t="n"/>
      <c r="N269" s="27" t="n"/>
      <c r="O269" s="24">
        <f>IF(B269="","",IF(M269="","TAK",IFERROR(INDEX(Ustawienia!$K$4:$K$8,MATCH(M269,Ustawienia!$J$4:$J$8,0)),"TAK")))</f>
        <v/>
      </c>
      <c r="P269" s="28">
        <f>IF(OR(B269="",D269=""),"",IFERROR(INDEX('Dane rozpisek'!$B$2:$B$2600,MATCH(S269,'Dane rozpisek'!$H$2:$H$2600,0))&amp;": "&amp;INDEX('Dane rozpisek'!$E$2:$E$2600,MATCH(S269,'Dane rozpisek'!$H$2:$H$2600,0))&amp;IF(COUNTIF('Dane rozpisek'!$H$2:$H$2600,S269)&gt;1," (+"&amp;(COUNTIF('Dane rozpisek'!$H$2:$H$2600,S269)-1)&amp;")",""),"—"))</f>
        <v/>
      </c>
      <c r="Q269" s="24">
        <f>IF(AND(B269&lt;&gt;"",D269&lt;&gt;"",OR('Historia wózka'!$B$4="",B269='Historia wózka'!$B$4),D269&gt;='Historia wózka'!$B$5,D269&lt;='Historia wózka'!$B$6),D269+ROW()/1000000,0)</f>
        <v/>
      </c>
      <c r="R269" s="24">
        <f>IF(O269="TAK",IF(D269="",0,D269)+ROW()/1000000,0)</f>
        <v/>
      </c>
      <c r="S269" s="24">
        <f>IF(OR(B269="",D269=""),"",B269&amp;"|"&amp;D269)</f>
        <v/>
      </c>
    </row>
    <row r="270">
      <c r="A270" s="24">
        <f>IF(B270="","",ROW()-4)</f>
        <v/>
      </c>
      <c r="B270" s="25" t="n"/>
      <c r="C270" s="24">
        <f>IF(B270="","",IFERROR(INDEX('Wózki'!$B$2:$B$500,MATCH(B270,'Wózki'!$A$2:$A$500,0))&amp;"",""))</f>
        <v/>
      </c>
      <c r="D270" s="26" t="n"/>
      <c r="E270" s="25" t="n"/>
      <c r="F270" s="25" t="n"/>
      <c r="G270" s="24">
        <f>IF(F270="","",IFERROR(INDEX(Pracownicy!$B$2:$B$2000,MATCH(F270,Pracownicy!$A$2:$A$2000,0))&amp;"",""))</f>
        <v/>
      </c>
      <c r="H270" s="25" t="n"/>
      <c r="I270" s="25" t="n"/>
      <c r="J270" s="25" t="n"/>
      <c r="K270" s="27" t="n"/>
      <c r="L270" s="25" t="n"/>
      <c r="M270" s="25" t="n"/>
      <c r="N270" s="27" t="n"/>
      <c r="O270" s="24">
        <f>IF(B270="","",IF(M270="","TAK",IFERROR(INDEX(Ustawienia!$K$4:$K$8,MATCH(M270,Ustawienia!$J$4:$J$8,0)),"TAK")))</f>
        <v/>
      </c>
      <c r="P270" s="28">
        <f>IF(OR(B270="",D270=""),"",IFERROR(INDEX('Dane rozpisek'!$B$2:$B$2600,MATCH(S270,'Dane rozpisek'!$H$2:$H$2600,0))&amp;": "&amp;INDEX('Dane rozpisek'!$E$2:$E$2600,MATCH(S270,'Dane rozpisek'!$H$2:$H$2600,0))&amp;IF(COUNTIF('Dane rozpisek'!$H$2:$H$2600,S270)&gt;1," (+"&amp;(COUNTIF('Dane rozpisek'!$H$2:$H$2600,S270)-1)&amp;")",""),"—"))</f>
        <v/>
      </c>
      <c r="Q270" s="24">
        <f>IF(AND(B270&lt;&gt;"",D270&lt;&gt;"",OR('Historia wózka'!$B$4="",B270='Historia wózka'!$B$4),D270&gt;='Historia wózka'!$B$5,D270&lt;='Historia wózka'!$B$6),D270+ROW()/1000000,0)</f>
        <v/>
      </c>
      <c r="R270" s="24">
        <f>IF(O270="TAK",IF(D270="",0,D270)+ROW()/1000000,0)</f>
        <v/>
      </c>
      <c r="S270" s="24">
        <f>IF(OR(B270="",D270=""),"",B270&amp;"|"&amp;D270)</f>
        <v/>
      </c>
    </row>
    <row r="271">
      <c r="A271" s="24">
        <f>IF(B271="","",ROW()-4)</f>
        <v/>
      </c>
      <c r="B271" s="25" t="n"/>
      <c r="C271" s="24">
        <f>IF(B271="","",IFERROR(INDEX('Wózki'!$B$2:$B$500,MATCH(B271,'Wózki'!$A$2:$A$500,0))&amp;"",""))</f>
        <v/>
      </c>
      <c r="D271" s="26" t="n"/>
      <c r="E271" s="25" t="n"/>
      <c r="F271" s="25" t="n"/>
      <c r="G271" s="24">
        <f>IF(F271="","",IFERROR(INDEX(Pracownicy!$B$2:$B$2000,MATCH(F271,Pracownicy!$A$2:$A$2000,0))&amp;"",""))</f>
        <v/>
      </c>
      <c r="H271" s="25" t="n"/>
      <c r="I271" s="25" t="n"/>
      <c r="J271" s="25" t="n"/>
      <c r="K271" s="27" t="n"/>
      <c r="L271" s="25" t="n"/>
      <c r="M271" s="25" t="n"/>
      <c r="N271" s="27" t="n"/>
      <c r="O271" s="24">
        <f>IF(B271="","",IF(M271="","TAK",IFERROR(INDEX(Ustawienia!$K$4:$K$8,MATCH(M271,Ustawienia!$J$4:$J$8,0)),"TAK")))</f>
        <v/>
      </c>
      <c r="P271" s="28">
        <f>IF(OR(B271="",D271=""),"",IFERROR(INDEX('Dane rozpisek'!$B$2:$B$2600,MATCH(S271,'Dane rozpisek'!$H$2:$H$2600,0))&amp;": "&amp;INDEX('Dane rozpisek'!$E$2:$E$2600,MATCH(S271,'Dane rozpisek'!$H$2:$H$2600,0))&amp;IF(COUNTIF('Dane rozpisek'!$H$2:$H$2600,S271)&gt;1," (+"&amp;(COUNTIF('Dane rozpisek'!$H$2:$H$2600,S271)-1)&amp;")",""),"—"))</f>
        <v/>
      </c>
      <c r="Q271" s="24">
        <f>IF(AND(B271&lt;&gt;"",D271&lt;&gt;"",OR('Historia wózka'!$B$4="",B271='Historia wózka'!$B$4),D271&gt;='Historia wózka'!$B$5,D271&lt;='Historia wózka'!$B$6),D271+ROW()/1000000,0)</f>
        <v/>
      </c>
      <c r="R271" s="24">
        <f>IF(O271="TAK",IF(D271="",0,D271)+ROW()/1000000,0)</f>
        <v/>
      </c>
      <c r="S271" s="24">
        <f>IF(OR(B271="",D271=""),"",B271&amp;"|"&amp;D271)</f>
        <v/>
      </c>
    </row>
    <row r="272">
      <c r="A272" s="24">
        <f>IF(B272="","",ROW()-4)</f>
        <v/>
      </c>
      <c r="B272" s="25" t="n"/>
      <c r="C272" s="24">
        <f>IF(B272="","",IFERROR(INDEX('Wózki'!$B$2:$B$500,MATCH(B272,'Wózki'!$A$2:$A$500,0))&amp;"",""))</f>
        <v/>
      </c>
      <c r="D272" s="26" t="n"/>
      <c r="E272" s="25" t="n"/>
      <c r="F272" s="25" t="n"/>
      <c r="G272" s="24">
        <f>IF(F272="","",IFERROR(INDEX(Pracownicy!$B$2:$B$2000,MATCH(F272,Pracownicy!$A$2:$A$2000,0))&amp;"",""))</f>
        <v/>
      </c>
      <c r="H272" s="25" t="n"/>
      <c r="I272" s="25" t="n"/>
      <c r="J272" s="25" t="n"/>
      <c r="K272" s="27" t="n"/>
      <c r="L272" s="25" t="n"/>
      <c r="M272" s="25" t="n"/>
      <c r="N272" s="27" t="n"/>
      <c r="O272" s="24">
        <f>IF(B272="","",IF(M272="","TAK",IFERROR(INDEX(Ustawienia!$K$4:$K$8,MATCH(M272,Ustawienia!$J$4:$J$8,0)),"TAK")))</f>
        <v/>
      </c>
      <c r="P272" s="28">
        <f>IF(OR(B272="",D272=""),"",IFERROR(INDEX('Dane rozpisek'!$B$2:$B$2600,MATCH(S272,'Dane rozpisek'!$H$2:$H$2600,0))&amp;": "&amp;INDEX('Dane rozpisek'!$E$2:$E$2600,MATCH(S272,'Dane rozpisek'!$H$2:$H$2600,0))&amp;IF(COUNTIF('Dane rozpisek'!$H$2:$H$2600,S272)&gt;1," (+"&amp;(COUNTIF('Dane rozpisek'!$H$2:$H$2600,S272)-1)&amp;")",""),"—"))</f>
        <v/>
      </c>
      <c r="Q272" s="24">
        <f>IF(AND(B272&lt;&gt;"",D272&lt;&gt;"",OR('Historia wózka'!$B$4="",B272='Historia wózka'!$B$4),D272&gt;='Historia wózka'!$B$5,D272&lt;='Historia wózka'!$B$6),D272+ROW()/1000000,0)</f>
        <v/>
      </c>
      <c r="R272" s="24">
        <f>IF(O272="TAK",IF(D272="",0,D272)+ROW()/1000000,0)</f>
        <v/>
      </c>
      <c r="S272" s="24">
        <f>IF(OR(B272="",D272=""),"",B272&amp;"|"&amp;D272)</f>
        <v/>
      </c>
    </row>
    <row r="273">
      <c r="A273" s="24">
        <f>IF(B273="","",ROW()-4)</f>
        <v/>
      </c>
      <c r="B273" s="25" t="n"/>
      <c r="C273" s="24">
        <f>IF(B273="","",IFERROR(INDEX('Wózki'!$B$2:$B$500,MATCH(B273,'Wózki'!$A$2:$A$500,0))&amp;"",""))</f>
        <v/>
      </c>
      <c r="D273" s="26" t="n"/>
      <c r="E273" s="25" t="n"/>
      <c r="F273" s="25" t="n"/>
      <c r="G273" s="24">
        <f>IF(F273="","",IFERROR(INDEX(Pracownicy!$B$2:$B$2000,MATCH(F273,Pracownicy!$A$2:$A$2000,0))&amp;"",""))</f>
        <v/>
      </c>
      <c r="H273" s="25" t="n"/>
      <c r="I273" s="25" t="n"/>
      <c r="J273" s="25" t="n"/>
      <c r="K273" s="27" t="n"/>
      <c r="L273" s="25" t="n"/>
      <c r="M273" s="25" t="n"/>
      <c r="N273" s="27" t="n"/>
      <c r="O273" s="24">
        <f>IF(B273="","",IF(M273="","TAK",IFERROR(INDEX(Ustawienia!$K$4:$K$8,MATCH(M273,Ustawienia!$J$4:$J$8,0)),"TAK")))</f>
        <v/>
      </c>
      <c r="P273" s="28">
        <f>IF(OR(B273="",D273=""),"",IFERROR(INDEX('Dane rozpisek'!$B$2:$B$2600,MATCH(S273,'Dane rozpisek'!$H$2:$H$2600,0))&amp;": "&amp;INDEX('Dane rozpisek'!$E$2:$E$2600,MATCH(S273,'Dane rozpisek'!$H$2:$H$2600,0))&amp;IF(COUNTIF('Dane rozpisek'!$H$2:$H$2600,S273)&gt;1," (+"&amp;(COUNTIF('Dane rozpisek'!$H$2:$H$2600,S273)-1)&amp;")",""),"—"))</f>
        <v/>
      </c>
      <c r="Q273" s="24">
        <f>IF(AND(B273&lt;&gt;"",D273&lt;&gt;"",OR('Historia wózka'!$B$4="",B273='Historia wózka'!$B$4),D273&gt;='Historia wózka'!$B$5,D273&lt;='Historia wózka'!$B$6),D273+ROW()/1000000,0)</f>
        <v/>
      </c>
      <c r="R273" s="24">
        <f>IF(O273="TAK",IF(D273="",0,D273)+ROW()/1000000,0)</f>
        <v/>
      </c>
      <c r="S273" s="24">
        <f>IF(OR(B273="",D273=""),"",B273&amp;"|"&amp;D273)</f>
        <v/>
      </c>
    </row>
    <row r="274">
      <c r="A274" s="24">
        <f>IF(B274="","",ROW()-4)</f>
        <v/>
      </c>
      <c r="B274" s="25" t="n"/>
      <c r="C274" s="24">
        <f>IF(B274="","",IFERROR(INDEX('Wózki'!$B$2:$B$500,MATCH(B274,'Wózki'!$A$2:$A$500,0))&amp;"",""))</f>
        <v/>
      </c>
      <c r="D274" s="26" t="n"/>
      <c r="E274" s="25" t="n"/>
      <c r="F274" s="25" t="n"/>
      <c r="G274" s="24">
        <f>IF(F274="","",IFERROR(INDEX(Pracownicy!$B$2:$B$2000,MATCH(F274,Pracownicy!$A$2:$A$2000,0))&amp;"",""))</f>
        <v/>
      </c>
      <c r="H274" s="25" t="n"/>
      <c r="I274" s="25" t="n"/>
      <c r="J274" s="25" t="n"/>
      <c r="K274" s="27" t="n"/>
      <c r="L274" s="25" t="n"/>
      <c r="M274" s="25" t="n"/>
      <c r="N274" s="27" t="n"/>
      <c r="O274" s="24">
        <f>IF(B274="","",IF(M274="","TAK",IFERROR(INDEX(Ustawienia!$K$4:$K$8,MATCH(M274,Ustawienia!$J$4:$J$8,0)),"TAK")))</f>
        <v/>
      </c>
      <c r="P274" s="28">
        <f>IF(OR(B274="",D274=""),"",IFERROR(INDEX('Dane rozpisek'!$B$2:$B$2600,MATCH(S274,'Dane rozpisek'!$H$2:$H$2600,0))&amp;": "&amp;INDEX('Dane rozpisek'!$E$2:$E$2600,MATCH(S274,'Dane rozpisek'!$H$2:$H$2600,0))&amp;IF(COUNTIF('Dane rozpisek'!$H$2:$H$2600,S274)&gt;1," (+"&amp;(COUNTIF('Dane rozpisek'!$H$2:$H$2600,S274)-1)&amp;")",""),"—"))</f>
        <v/>
      </c>
      <c r="Q274" s="24">
        <f>IF(AND(B274&lt;&gt;"",D274&lt;&gt;"",OR('Historia wózka'!$B$4="",B274='Historia wózka'!$B$4),D274&gt;='Historia wózka'!$B$5,D274&lt;='Historia wózka'!$B$6),D274+ROW()/1000000,0)</f>
        <v/>
      </c>
      <c r="R274" s="24">
        <f>IF(O274="TAK",IF(D274="",0,D274)+ROW()/1000000,0)</f>
        <v/>
      </c>
      <c r="S274" s="24">
        <f>IF(OR(B274="",D274=""),"",B274&amp;"|"&amp;D274)</f>
        <v/>
      </c>
    </row>
    <row r="275">
      <c r="A275" s="24">
        <f>IF(B275="","",ROW()-4)</f>
        <v/>
      </c>
      <c r="B275" s="25" t="n"/>
      <c r="C275" s="24">
        <f>IF(B275="","",IFERROR(INDEX('Wózki'!$B$2:$B$500,MATCH(B275,'Wózki'!$A$2:$A$500,0))&amp;"",""))</f>
        <v/>
      </c>
      <c r="D275" s="26" t="n"/>
      <c r="E275" s="25" t="n"/>
      <c r="F275" s="25" t="n"/>
      <c r="G275" s="24">
        <f>IF(F275="","",IFERROR(INDEX(Pracownicy!$B$2:$B$2000,MATCH(F275,Pracownicy!$A$2:$A$2000,0))&amp;"",""))</f>
        <v/>
      </c>
      <c r="H275" s="25" t="n"/>
      <c r="I275" s="25" t="n"/>
      <c r="J275" s="25" t="n"/>
      <c r="K275" s="27" t="n"/>
      <c r="L275" s="25" t="n"/>
      <c r="M275" s="25" t="n"/>
      <c r="N275" s="27" t="n"/>
      <c r="O275" s="24">
        <f>IF(B275="","",IF(M275="","TAK",IFERROR(INDEX(Ustawienia!$K$4:$K$8,MATCH(M275,Ustawienia!$J$4:$J$8,0)),"TAK")))</f>
        <v/>
      </c>
      <c r="P275" s="28">
        <f>IF(OR(B275="",D275=""),"",IFERROR(INDEX('Dane rozpisek'!$B$2:$B$2600,MATCH(S275,'Dane rozpisek'!$H$2:$H$2600,0))&amp;": "&amp;INDEX('Dane rozpisek'!$E$2:$E$2600,MATCH(S275,'Dane rozpisek'!$H$2:$H$2600,0))&amp;IF(COUNTIF('Dane rozpisek'!$H$2:$H$2600,S275)&gt;1," (+"&amp;(COUNTIF('Dane rozpisek'!$H$2:$H$2600,S275)-1)&amp;")",""),"—"))</f>
        <v/>
      </c>
      <c r="Q275" s="24">
        <f>IF(AND(B275&lt;&gt;"",D275&lt;&gt;"",OR('Historia wózka'!$B$4="",B275='Historia wózka'!$B$4),D275&gt;='Historia wózka'!$B$5,D275&lt;='Historia wózka'!$B$6),D275+ROW()/1000000,0)</f>
        <v/>
      </c>
      <c r="R275" s="24">
        <f>IF(O275="TAK",IF(D275="",0,D275)+ROW()/1000000,0)</f>
        <v/>
      </c>
      <c r="S275" s="24">
        <f>IF(OR(B275="",D275=""),"",B275&amp;"|"&amp;D275)</f>
        <v/>
      </c>
    </row>
    <row r="276">
      <c r="A276" s="24">
        <f>IF(B276="","",ROW()-4)</f>
        <v/>
      </c>
      <c r="B276" s="25" t="n"/>
      <c r="C276" s="24">
        <f>IF(B276="","",IFERROR(INDEX('Wózki'!$B$2:$B$500,MATCH(B276,'Wózki'!$A$2:$A$500,0))&amp;"",""))</f>
        <v/>
      </c>
      <c r="D276" s="26" t="n"/>
      <c r="E276" s="25" t="n"/>
      <c r="F276" s="25" t="n"/>
      <c r="G276" s="24">
        <f>IF(F276="","",IFERROR(INDEX(Pracownicy!$B$2:$B$2000,MATCH(F276,Pracownicy!$A$2:$A$2000,0))&amp;"",""))</f>
        <v/>
      </c>
      <c r="H276" s="25" t="n"/>
      <c r="I276" s="25" t="n"/>
      <c r="J276" s="25" t="n"/>
      <c r="K276" s="27" t="n"/>
      <c r="L276" s="25" t="n"/>
      <c r="M276" s="25" t="n"/>
      <c r="N276" s="27" t="n"/>
      <c r="O276" s="24">
        <f>IF(B276="","",IF(M276="","TAK",IFERROR(INDEX(Ustawienia!$K$4:$K$8,MATCH(M276,Ustawienia!$J$4:$J$8,0)),"TAK")))</f>
        <v/>
      </c>
      <c r="P276" s="28">
        <f>IF(OR(B276="",D276=""),"",IFERROR(INDEX('Dane rozpisek'!$B$2:$B$2600,MATCH(S276,'Dane rozpisek'!$H$2:$H$2600,0))&amp;": "&amp;INDEX('Dane rozpisek'!$E$2:$E$2600,MATCH(S276,'Dane rozpisek'!$H$2:$H$2600,0))&amp;IF(COUNTIF('Dane rozpisek'!$H$2:$H$2600,S276)&gt;1," (+"&amp;(COUNTIF('Dane rozpisek'!$H$2:$H$2600,S276)-1)&amp;")",""),"—"))</f>
        <v/>
      </c>
      <c r="Q276" s="24">
        <f>IF(AND(B276&lt;&gt;"",D276&lt;&gt;"",OR('Historia wózka'!$B$4="",B276='Historia wózka'!$B$4),D276&gt;='Historia wózka'!$B$5,D276&lt;='Historia wózka'!$B$6),D276+ROW()/1000000,0)</f>
        <v/>
      </c>
      <c r="R276" s="24">
        <f>IF(O276="TAK",IF(D276="",0,D276)+ROW()/1000000,0)</f>
        <v/>
      </c>
      <c r="S276" s="24">
        <f>IF(OR(B276="",D276=""),"",B276&amp;"|"&amp;D276)</f>
        <v/>
      </c>
    </row>
    <row r="277">
      <c r="A277" s="24">
        <f>IF(B277="","",ROW()-4)</f>
        <v/>
      </c>
      <c r="B277" s="25" t="n"/>
      <c r="C277" s="24">
        <f>IF(B277="","",IFERROR(INDEX('Wózki'!$B$2:$B$500,MATCH(B277,'Wózki'!$A$2:$A$500,0))&amp;"",""))</f>
        <v/>
      </c>
      <c r="D277" s="26" t="n"/>
      <c r="E277" s="25" t="n"/>
      <c r="F277" s="25" t="n"/>
      <c r="G277" s="24">
        <f>IF(F277="","",IFERROR(INDEX(Pracownicy!$B$2:$B$2000,MATCH(F277,Pracownicy!$A$2:$A$2000,0))&amp;"",""))</f>
        <v/>
      </c>
      <c r="H277" s="25" t="n"/>
      <c r="I277" s="25" t="n"/>
      <c r="J277" s="25" t="n"/>
      <c r="K277" s="27" t="n"/>
      <c r="L277" s="25" t="n"/>
      <c r="M277" s="25" t="n"/>
      <c r="N277" s="27" t="n"/>
      <c r="O277" s="24">
        <f>IF(B277="","",IF(M277="","TAK",IFERROR(INDEX(Ustawienia!$K$4:$K$8,MATCH(M277,Ustawienia!$J$4:$J$8,0)),"TAK")))</f>
        <v/>
      </c>
      <c r="P277" s="28">
        <f>IF(OR(B277="",D277=""),"",IFERROR(INDEX('Dane rozpisek'!$B$2:$B$2600,MATCH(S277,'Dane rozpisek'!$H$2:$H$2600,0))&amp;": "&amp;INDEX('Dane rozpisek'!$E$2:$E$2600,MATCH(S277,'Dane rozpisek'!$H$2:$H$2600,0))&amp;IF(COUNTIF('Dane rozpisek'!$H$2:$H$2600,S277)&gt;1," (+"&amp;(COUNTIF('Dane rozpisek'!$H$2:$H$2600,S277)-1)&amp;")",""),"—"))</f>
        <v/>
      </c>
      <c r="Q277" s="24">
        <f>IF(AND(B277&lt;&gt;"",D277&lt;&gt;"",OR('Historia wózka'!$B$4="",B277='Historia wózka'!$B$4),D277&gt;='Historia wózka'!$B$5,D277&lt;='Historia wózka'!$B$6),D277+ROW()/1000000,0)</f>
        <v/>
      </c>
      <c r="R277" s="24">
        <f>IF(O277="TAK",IF(D277="",0,D277)+ROW()/1000000,0)</f>
        <v/>
      </c>
      <c r="S277" s="24">
        <f>IF(OR(B277="",D277=""),"",B277&amp;"|"&amp;D277)</f>
        <v/>
      </c>
    </row>
    <row r="278">
      <c r="A278" s="24">
        <f>IF(B278="","",ROW()-4)</f>
        <v/>
      </c>
      <c r="B278" s="25" t="n"/>
      <c r="C278" s="24">
        <f>IF(B278="","",IFERROR(INDEX('Wózki'!$B$2:$B$500,MATCH(B278,'Wózki'!$A$2:$A$500,0))&amp;"",""))</f>
        <v/>
      </c>
      <c r="D278" s="26" t="n"/>
      <c r="E278" s="25" t="n"/>
      <c r="F278" s="25" t="n"/>
      <c r="G278" s="24">
        <f>IF(F278="","",IFERROR(INDEX(Pracownicy!$B$2:$B$2000,MATCH(F278,Pracownicy!$A$2:$A$2000,0))&amp;"",""))</f>
        <v/>
      </c>
      <c r="H278" s="25" t="n"/>
      <c r="I278" s="25" t="n"/>
      <c r="J278" s="25" t="n"/>
      <c r="K278" s="27" t="n"/>
      <c r="L278" s="25" t="n"/>
      <c r="M278" s="25" t="n"/>
      <c r="N278" s="27" t="n"/>
      <c r="O278" s="24">
        <f>IF(B278="","",IF(M278="","TAK",IFERROR(INDEX(Ustawienia!$K$4:$K$8,MATCH(M278,Ustawienia!$J$4:$J$8,0)),"TAK")))</f>
        <v/>
      </c>
      <c r="P278" s="28">
        <f>IF(OR(B278="",D278=""),"",IFERROR(INDEX('Dane rozpisek'!$B$2:$B$2600,MATCH(S278,'Dane rozpisek'!$H$2:$H$2600,0))&amp;": "&amp;INDEX('Dane rozpisek'!$E$2:$E$2600,MATCH(S278,'Dane rozpisek'!$H$2:$H$2600,0))&amp;IF(COUNTIF('Dane rozpisek'!$H$2:$H$2600,S278)&gt;1," (+"&amp;(COUNTIF('Dane rozpisek'!$H$2:$H$2600,S278)-1)&amp;")",""),"—"))</f>
        <v/>
      </c>
      <c r="Q278" s="24">
        <f>IF(AND(B278&lt;&gt;"",D278&lt;&gt;"",OR('Historia wózka'!$B$4="",B278='Historia wózka'!$B$4),D278&gt;='Historia wózka'!$B$5,D278&lt;='Historia wózka'!$B$6),D278+ROW()/1000000,0)</f>
        <v/>
      </c>
      <c r="R278" s="24">
        <f>IF(O278="TAK",IF(D278="",0,D278)+ROW()/1000000,0)</f>
        <v/>
      </c>
      <c r="S278" s="24">
        <f>IF(OR(B278="",D278=""),"",B278&amp;"|"&amp;D278)</f>
        <v/>
      </c>
    </row>
    <row r="279">
      <c r="A279" s="24">
        <f>IF(B279="","",ROW()-4)</f>
        <v/>
      </c>
      <c r="B279" s="25" t="n"/>
      <c r="C279" s="24">
        <f>IF(B279="","",IFERROR(INDEX('Wózki'!$B$2:$B$500,MATCH(B279,'Wózki'!$A$2:$A$500,0))&amp;"",""))</f>
        <v/>
      </c>
      <c r="D279" s="26" t="n"/>
      <c r="E279" s="25" t="n"/>
      <c r="F279" s="25" t="n"/>
      <c r="G279" s="24">
        <f>IF(F279="","",IFERROR(INDEX(Pracownicy!$B$2:$B$2000,MATCH(F279,Pracownicy!$A$2:$A$2000,0))&amp;"",""))</f>
        <v/>
      </c>
      <c r="H279" s="25" t="n"/>
      <c r="I279" s="25" t="n"/>
      <c r="J279" s="25" t="n"/>
      <c r="K279" s="27" t="n"/>
      <c r="L279" s="25" t="n"/>
      <c r="M279" s="25" t="n"/>
      <c r="N279" s="27" t="n"/>
      <c r="O279" s="24">
        <f>IF(B279="","",IF(M279="","TAK",IFERROR(INDEX(Ustawienia!$K$4:$K$8,MATCH(M279,Ustawienia!$J$4:$J$8,0)),"TAK")))</f>
        <v/>
      </c>
      <c r="P279" s="28">
        <f>IF(OR(B279="",D279=""),"",IFERROR(INDEX('Dane rozpisek'!$B$2:$B$2600,MATCH(S279,'Dane rozpisek'!$H$2:$H$2600,0))&amp;": "&amp;INDEX('Dane rozpisek'!$E$2:$E$2600,MATCH(S279,'Dane rozpisek'!$H$2:$H$2600,0))&amp;IF(COUNTIF('Dane rozpisek'!$H$2:$H$2600,S279)&gt;1," (+"&amp;(COUNTIF('Dane rozpisek'!$H$2:$H$2600,S279)-1)&amp;")",""),"—"))</f>
        <v/>
      </c>
      <c r="Q279" s="24">
        <f>IF(AND(B279&lt;&gt;"",D279&lt;&gt;"",OR('Historia wózka'!$B$4="",B279='Historia wózka'!$B$4),D279&gt;='Historia wózka'!$B$5,D279&lt;='Historia wózka'!$B$6),D279+ROW()/1000000,0)</f>
        <v/>
      </c>
      <c r="R279" s="24">
        <f>IF(O279="TAK",IF(D279="",0,D279)+ROW()/1000000,0)</f>
        <v/>
      </c>
      <c r="S279" s="24">
        <f>IF(OR(B279="",D279=""),"",B279&amp;"|"&amp;D279)</f>
        <v/>
      </c>
    </row>
    <row r="280">
      <c r="A280" s="24">
        <f>IF(B280="","",ROW()-4)</f>
        <v/>
      </c>
      <c r="B280" s="25" t="n"/>
      <c r="C280" s="24">
        <f>IF(B280="","",IFERROR(INDEX('Wózki'!$B$2:$B$500,MATCH(B280,'Wózki'!$A$2:$A$500,0))&amp;"",""))</f>
        <v/>
      </c>
      <c r="D280" s="26" t="n"/>
      <c r="E280" s="25" t="n"/>
      <c r="F280" s="25" t="n"/>
      <c r="G280" s="24">
        <f>IF(F280="","",IFERROR(INDEX(Pracownicy!$B$2:$B$2000,MATCH(F280,Pracownicy!$A$2:$A$2000,0))&amp;"",""))</f>
        <v/>
      </c>
      <c r="H280" s="25" t="n"/>
      <c r="I280" s="25" t="n"/>
      <c r="J280" s="25" t="n"/>
      <c r="K280" s="27" t="n"/>
      <c r="L280" s="25" t="n"/>
      <c r="M280" s="25" t="n"/>
      <c r="N280" s="27" t="n"/>
      <c r="O280" s="24">
        <f>IF(B280="","",IF(M280="","TAK",IFERROR(INDEX(Ustawienia!$K$4:$K$8,MATCH(M280,Ustawienia!$J$4:$J$8,0)),"TAK")))</f>
        <v/>
      </c>
      <c r="P280" s="28">
        <f>IF(OR(B280="",D280=""),"",IFERROR(INDEX('Dane rozpisek'!$B$2:$B$2600,MATCH(S280,'Dane rozpisek'!$H$2:$H$2600,0))&amp;": "&amp;INDEX('Dane rozpisek'!$E$2:$E$2600,MATCH(S280,'Dane rozpisek'!$H$2:$H$2600,0))&amp;IF(COUNTIF('Dane rozpisek'!$H$2:$H$2600,S280)&gt;1," (+"&amp;(COUNTIF('Dane rozpisek'!$H$2:$H$2600,S280)-1)&amp;")",""),"—"))</f>
        <v/>
      </c>
      <c r="Q280" s="24">
        <f>IF(AND(B280&lt;&gt;"",D280&lt;&gt;"",OR('Historia wózka'!$B$4="",B280='Historia wózka'!$B$4),D280&gt;='Historia wózka'!$B$5,D280&lt;='Historia wózka'!$B$6),D280+ROW()/1000000,0)</f>
        <v/>
      </c>
      <c r="R280" s="24">
        <f>IF(O280="TAK",IF(D280="",0,D280)+ROW()/1000000,0)</f>
        <v/>
      </c>
      <c r="S280" s="24">
        <f>IF(OR(B280="",D280=""),"",B280&amp;"|"&amp;D280)</f>
        <v/>
      </c>
    </row>
    <row r="281">
      <c r="A281" s="24">
        <f>IF(B281="","",ROW()-4)</f>
        <v/>
      </c>
      <c r="B281" s="25" t="n"/>
      <c r="C281" s="24">
        <f>IF(B281="","",IFERROR(INDEX('Wózki'!$B$2:$B$500,MATCH(B281,'Wózki'!$A$2:$A$500,0))&amp;"",""))</f>
        <v/>
      </c>
      <c r="D281" s="26" t="n"/>
      <c r="E281" s="25" t="n"/>
      <c r="F281" s="25" t="n"/>
      <c r="G281" s="24">
        <f>IF(F281="","",IFERROR(INDEX(Pracownicy!$B$2:$B$2000,MATCH(F281,Pracownicy!$A$2:$A$2000,0))&amp;"",""))</f>
        <v/>
      </c>
      <c r="H281" s="25" t="n"/>
      <c r="I281" s="25" t="n"/>
      <c r="J281" s="25" t="n"/>
      <c r="K281" s="27" t="n"/>
      <c r="L281" s="25" t="n"/>
      <c r="M281" s="25" t="n"/>
      <c r="N281" s="27" t="n"/>
      <c r="O281" s="24">
        <f>IF(B281="","",IF(M281="","TAK",IFERROR(INDEX(Ustawienia!$K$4:$K$8,MATCH(M281,Ustawienia!$J$4:$J$8,0)),"TAK")))</f>
        <v/>
      </c>
      <c r="P281" s="28">
        <f>IF(OR(B281="",D281=""),"",IFERROR(INDEX('Dane rozpisek'!$B$2:$B$2600,MATCH(S281,'Dane rozpisek'!$H$2:$H$2600,0))&amp;": "&amp;INDEX('Dane rozpisek'!$E$2:$E$2600,MATCH(S281,'Dane rozpisek'!$H$2:$H$2600,0))&amp;IF(COUNTIF('Dane rozpisek'!$H$2:$H$2600,S281)&gt;1," (+"&amp;(COUNTIF('Dane rozpisek'!$H$2:$H$2600,S281)-1)&amp;")",""),"—"))</f>
        <v/>
      </c>
      <c r="Q281" s="24">
        <f>IF(AND(B281&lt;&gt;"",D281&lt;&gt;"",OR('Historia wózka'!$B$4="",B281='Historia wózka'!$B$4),D281&gt;='Historia wózka'!$B$5,D281&lt;='Historia wózka'!$B$6),D281+ROW()/1000000,0)</f>
        <v/>
      </c>
      <c r="R281" s="24">
        <f>IF(O281="TAK",IF(D281="",0,D281)+ROW()/1000000,0)</f>
        <v/>
      </c>
      <c r="S281" s="24">
        <f>IF(OR(B281="",D281=""),"",B281&amp;"|"&amp;D281)</f>
        <v/>
      </c>
    </row>
    <row r="282">
      <c r="A282" s="24">
        <f>IF(B282="","",ROW()-4)</f>
        <v/>
      </c>
      <c r="B282" s="25" t="n"/>
      <c r="C282" s="24">
        <f>IF(B282="","",IFERROR(INDEX('Wózki'!$B$2:$B$500,MATCH(B282,'Wózki'!$A$2:$A$500,0))&amp;"",""))</f>
        <v/>
      </c>
      <c r="D282" s="26" t="n"/>
      <c r="E282" s="25" t="n"/>
      <c r="F282" s="25" t="n"/>
      <c r="G282" s="24">
        <f>IF(F282="","",IFERROR(INDEX(Pracownicy!$B$2:$B$2000,MATCH(F282,Pracownicy!$A$2:$A$2000,0))&amp;"",""))</f>
        <v/>
      </c>
      <c r="H282" s="25" t="n"/>
      <c r="I282" s="25" t="n"/>
      <c r="J282" s="25" t="n"/>
      <c r="K282" s="27" t="n"/>
      <c r="L282" s="25" t="n"/>
      <c r="M282" s="25" t="n"/>
      <c r="N282" s="27" t="n"/>
      <c r="O282" s="24">
        <f>IF(B282="","",IF(M282="","TAK",IFERROR(INDEX(Ustawienia!$K$4:$K$8,MATCH(M282,Ustawienia!$J$4:$J$8,0)),"TAK")))</f>
        <v/>
      </c>
      <c r="P282" s="28">
        <f>IF(OR(B282="",D282=""),"",IFERROR(INDEX('Dane rozpisek'!$B$2:$B$2600,MATCH(S282,'Dane rozpisek'!$H$2:$H$2600,0))&amp;": "&amp;INDEX('Dane rozpisek'!$E$2:$E$2600,MATCH(S282,'Dane rozpisek'!$H$2:$H$2600,0))&amp;IF(COUNTIF('Dane rozpisek'!$H$2:$H$2600,S282)&gt;1," (+"&amp;(COUNTIF('Dane rozpisek'!$H$2:$H$2600,S282)-1)&amp;")",""),"—"))</f>
        <v/>
      </c>
      <c r="Q282" s="24">
        <f>IF(AND(B282&lt;&gt;"",D282&lt;&gt;"",OR('Historia wózka'!$B$4="",B282='Historia wózka'!$B$4),D282&gt;='Historia wózka'!$B$5,D282&lt;='Historia wózka'!$B$6),D282+ROW()/1000000,0)</f>
        <v/>
      </c>
      <c r="R282" s="24">
        <f>IF(O282="TAK",IF(D282="",0,D282)+ROW()/1000000,0)</f>
        <v/>
      </c>
      <c r="S282" s="24">
        <f>IF(OR(B282="",D282=""),"",B282&amp;"|"&amp;D282)</f>
        <v/>
      </c>
    </row>
    <row r="283">
      <c r="A283" s="24">
        <f>IF(B283="","",ROW()-4)</f>
        <v/>
      </c>
      <c r="B283" s="25" t="n"/>
      <c r="C283" s="24">
        <f>IF(B283="","",IFERROR(INDEX('Wózki'!$B$2:$B$500,MATCH(B283,'Wózki'!$A$2:$A$500,0))&amp;"",""))</f>
        <v/>
      </c>
      <c r="D283" s="26" t="n"/>
      <c r="E283" s="25" t="n"/>
      <c r="F283" s="25" t="n"/>
      <c r="G283" s="24">
        <f>IF(F283="","",IFERROR(INDEX(Pracownicy!$B$2:$B$2000,MATCH(F283,Pracownicy!$A$2:$A$2000,0))&amp;"",""))</f>
        <v/>
      </c>
      <c r="H283" s="25" t="n"/>
      <c r="I283" s="25" t="n"/>
      <c r="J283" s="25" t="n"/>
      <c r="K283" s="27" t="n"/>
      <c r="L283" s="25" t="n"/>
      <c r="M283" s="25" t="n"/>
      <c r="N283" s="27" t="n"/>
      <c r="O283" s="24">
        <f>IF(B283="","",IF(M283="","TAK",IFERROR(INDEX(Ustawienia!$K$4:$K$8,MATCH(M283,Ustawienia!$J$4:$J$8,0)),"TAK")))</f>
        <v/>
      </c>
      <c r="P283" s="28">
        <f>IF(OR(B283="",D283=""),"",IFERROR(INDEX('Dane rozpisek'!$B$2:$B$2600,MATCH(S283,'Dane rozpisek'!$H$2:$H$2600,0))&amp;": "&amp;INDEX('Dane rozpisek'!$E$2:$E$2600,MATCH(S283,'Dane rozpisek'!$H$2:$H$2600,0))&amp;IF(COUNTIF('Dane rozpisek'!$H$2:$H$2600,S283)&gt;1," (+"&amp;(COUNTIF('Dane rozpisek'!$H$2:$H$2600,S283)-1)&amp;")",""),"—"))</f>
        <v/>
      </c>
      <c r="Q283" s="24">
        <f>IF(AND(B283&lt;&gt;"",D283&lt;&gt;"",OR('Historia wózka'!$B$4="",B283='Historia wózka'!$B$4),D283&gt;='Historia wózka'!$B$5,D283&lt;='Historia wózka'!$B$6),D283+ROW()/1000000,0)</f>
        <v/>
      </c>
      <c r="R283" s="24">
        <f>IF(O283="TAK",IF(D283="",0,D283)+ROW()/1000000,0)</f>
        <v/>
      </c>
      <c r="S283" s="24">
        <f>IF(OR(B283="",D283=""),"",B283&amp;"|"&amp;D283)</f>
        <v/>
      </c>
    </row>
    <row r="284">
      <c r="A284" s="24">
        <f>IF(B284="","",ROW()-4)</f>
        <v/>
      </c>
      <c r="B284" s="25" t="n"/>
      <c r="C284" s="24">
        <f>IF(B284="","",IFERROR(INDEX('Wózki'!$B$2:$B$500,MATCH(B284,'Wózki'!$A$2:$A$500,0))&amp;"",""))</f>
        <v/>
      </c>
      <c r="D284" s="26" t="n"/>
      <c r="E284" s="25" t="n"/>
      <c r="F284" s="25" t="n"/>
      <c r="G284" s="24">
        <f>IF(F284="","",IFERROR(INDEX(Pracownicy!$B$2:$B$2000,MATCH(F284,Pracownicy!$A$2:$A$2000,0))&amp;"",""))</f>
        <v/>
      </c>
      <c r="H284" s="25" t="n"/>
      <c r="I284" s="25" t="n"/>
      <c r="J284" s="25" t="n"/>
      <c r="K284" s="27" t="n"/>
      <c r="L284" s="25" t="n"/>
      <c r="M284" s="25" t="n"/>
      <c r="N284" s="27" t="n"/>
      <c r="O284" s="24">
        <f>IF(B284="","",IF(M284="","TAK",IFERROR(INDEX(Ustawienia!$K$4:$K$8,MATCH(M284,Ustawienia!$J$4:$J$8,0)),"TAK")))</f>
        <v/>
      </c>
      <c r="P284" s="28">
        <f>IF(OR(B284="",D284=""),"",IFERROR(INDEX('Dane rozpisek'!$B$2:$B$2600,MATCH(S284,'Dane rozpisek'!$H$2:$H$2600,0))&amp;": "&amp;INDEX('Dane rozpisek'!$E$2:$E$2600,MATCH(S284,'Dane rozpisek'!$H$2:$H$2600,0))&amp;IF(COUNTIF('Dane rozpisek'!$H$2:$H$2600,S284)&gt;1," (+"&amp;(COUNTIF('Dane rozpisek'!$H$2:$H$2600,S284)-1)&amp;")",""),"—"))</f>
        <v/>
      </c>
      <c r="Q284" s="24">
        <f>IF(AND(B284&lt;&gt;"",D284&lt;&gt;"",OR('Historia wózka'!$B$4="",B284='Historia wózka'!$B$4),D284&gt;='Historia wózka'!$B$5,D284&lt;='Historia wózka'!$B$6),D284+ROW()/1000000,0)</f>
        <v/>
      </c>
      <c r="R284" s="24">
        <f>IF(O284="TAK",IF(D284="",0,D284)+ROW()/1000000,0)</f>
        <v/>
      </c>
      <c r="S284" s="24">
        <f>IF(OR(B284="",D284=""),"",B284&amp;"|"&amp;D284)</f>
        <v/>
      </c>
    </row>
    <row r="285">
      <c r="A285" s="24">
        <f>IF(B285="","",ROW()-4)</f>
        <v/>
      </c>
      <c r="B285" s="25" t="n"/>
      <c r="C285" s="24">
        <f>IF(B285="","",IFERROR(INDEX('Wózki'!$B$2:$B$500,MATCH(B285,'Wózki'!$A$2:$A$500,0))&amp;"",""))</f>
        <v/>
      </c>
      <c r="D285" s="26" t="n"/>
      <c r="E285" s="25" t="n"/>
      <c r="F285" s="25" t="n"/>
      <c r="G285" s="24">
        <f>IF(F285="","",IFERROR(INDEX(Pracownicy!$B$2:$B$2000,MATCH(F285,Pracownicy!$A$2:$A$2000,0))&amp;"",""))</f>
        <v/>
      </c>
      <c r="H285" s="25" t="n"/>
      <c r="I285" s="25" t="n"/>
      <c r="J285" s="25" t="n"/>
      <c r="K285" s="27" t="n"/>
      <c r="L285" s="25" t="n"/>
      <c r="M285" s="25" t="n"/>
      <c r="N285" s="27" t="n"/>
      <c r="O285" s="24">
        <f>IF(B285="","",IF(M285="","TAK",IFERROR(INDEX(Ustawienia!$K$4:$K$8,MATCH(M285,Ustawienia!$J$4:$J$8,0)),"TAK")))</f>
        <v/>
      </c>
      <c r="P285" s="28">
        <f>IF(OR(B285="",D285=""),"",IFERROR(INDEX('Dane rozpisek'!$B$2:$B$2600,MATCH(S285,'Dane rozpisek'!$H$2:$H$2600,0))&amp;": "&amp;INDEX('Dane rozpisek'!$E$2:$E$2600,MATCH(S285,'Dane rozpisek'!$H$2:$H$2600,0))&amp;IF(COUNTIF('Dane rozpisek'!$H$2:$H$2600,S285)&gt;1," (+"&amp;(COUNTIF('Dane rozpisek'!$H$2:$H$2600,S285)-1)&amp;")",""),"—"))</f>
        <v/>
      </c>
      <c r="Q285" s="24">
        <f>IF(AND(B285&lt;&gt;"",D285&lt;&gt;"",OR('Historia wózka'!$B$4="",B285='Historia wózka'!$B$4),D285&gt;='Historia wózka'!$B$5,D285&lt;='Historia wózka'!$B$6),D285+ROW()/1000000,0)</f>
        <v/>
      </c>
      <c r="R285" s="24">
        <f>IF(O285="TAK",IF(D285="",0,D285)+ROW()/1000000,0)</f>
        <v/>
      </c>
      <c r="S285" s="24">
        <f>IF(OR(B285="",D285=""),"",B285&amp;"|"&amp;D285)</f>
        <v/>
      </c>
    </row>
    <row r="286">
      <c r="A286" s="24">
        <f>IF(B286="","",ROW()-4)</f>
        <v/>
      </c>
      <c r="B286" s="25" t="n"/>
      <c r="C286" s="24">
        <f>IF(B286="","",IFERROR(INDEX('Wózki'!$B$2:$B$500,MATCH(B286,'Wózki'!$A$2:$A$500,0))&amp;"",""))</f>
        <v/>
      </c>
      <c r="D286" s="26" t="n"/>
      <c r="E286" s="25" t="n"/>
      <c r="F286" s="25" t="n"/>
      <c r="G286" s="24">
        <f>IF(F286="","",IFERROR(INDEX(Pracownicy!$B$2:$B$2000,MATCH(F286,Pracownicy!$A$2:$A$2000,0))&amp;"",""))</f>
        <v/>
      </c>
      <c r="H286" s="25" t="n"/>
      <c r="I286" s="25" t="n"/>
      <c r="J286" s="25" t="n"/>
      <c r="K286" s="27" t="n"/>
      <c r="L286" s="25" t="n"/>
      <c r="M286" s="25" t="n"/>
      <c r="N286" s="27" t="n"/>
      <c r="O286" s="24">
        <f>IF(B286="","",IF(M286="","TAK",IFERROR(INDEX(Ustawienia!$K$4:$K$8,MATCH(M286,Ustawienia!$J$4:$J$8,0)),"TAK")))</f>
        <v/>
      </c>
      <c r="P286" s="28">
        <f>IF(OR(B286="",D286=""),"",IFERROR(INDEX('Dane rozpisek'!$B$2:$B$2600,MATCH(S286,'Dane rozpisek'!$H$2:$H$2600,0))&amp;": "&amp;INDEX('Dane rozpisek'!$E$2:$E$2600,MATCH(S286,'Dane rozpisek'!$H$2:$H$2600,0))&amp;IF(COUNTIF('Dane rozpisek'!$H$2:$H$2600,S286)&gt;1," (+"&amp;(COUNTIF('Dane rozpisek'!$H$2:$H$2600,S286)-1)&amp;")",""),"—"))</f>
        <v/>
      </c>
      <c r="Q286" s="24">
        <f>IF(AND(B286&lt;&gt;"",D286&lt;&gt;"",OR('Historia wózka'!$B$4="",B286='Historia wózka'!$B$4),D286&gt;='Historia wózka'!$B$5,D286&lt;='Historia wózka'!$B$6),D286+ROW()/1000000,0)</f>
        <v/>
      </c>
      <c r="R286" s="24">
        <f>IF(O286="TAK",IF(D286="",0,D286)+ROW()/1000000,0)</f>
        <v/>
      </c>
      <c r="S286" s="24">
        <f>IF(OR(B286="",D286=""),"",B286&amp;"|"&amp;D286)</f>
        <v/>
      </c>
    </row>
    <row r="287">
      <c r="A287" s="24">
        <f>IF(B287="","",ROW()-4)</f>
        <v/>
      </c>
      <c r="B287" s="25" t="n"/>
      <c r="C287" s="24">
        <f>IF(B287="","",IFERROR(INDEX('Wózki'!$B$2:$B$500,MATCH(B287,'Wózki'!$A$2:$A$500,0))&amp;"",""))</f>
        <v/>
      </c>
      <c r="D287" s="26" t="n"/>
      <c r="E287" s="25" t="n"/>
      <c r="F287" s="25" t="n"/>
      <c r="G287" s="24">
        <f>IF(F287="","",IFERROR(INDEX(Pracownicy!$B$2:$B$2000,MATCH(F287,Pracownicy!$A$2:$A$2000,0))&amp;"",""))</f>
        <v/>
      </c>
      <c r="H287" s="25" t="n"/>
      <c r="I287" s="25" t="n"/>
      <c r="J287" s="25" t="n"/>
      <c r="K287" s="27" t="n"/>
      <c r="L287" s="25" t="n"/>
      <c r="M287" s="25" t="n"/>
      <c r="N287" s="27" t="n"/>
      <c r="O287" s="24">
        <f>IF(B287="","",IF(M287="","TAK",IFERROR(INDEX(Ustawienia!$K$4:$K$8,MATCH(M287,Ustawienia!$J$4:$J$8,0)),"TAK")))</f>
        <v/>
      </c>
      <c r="P287" s="28">
        <f>IF(OR(B287="",D287=""),"",IFERROR(INDEX('Dane rozpisek'!$B$2:$B$2600,MATCH(S287,'Dane rozpisek'!$H$2:$H$2600,0))&amp;": "&amp;INDEX('Dane rozpisek'!$E$2:$E$2600,MATCH(S287,'Dane rozpisek'!$H$2:$H$2600,0))&amp;IF(COUNTIF('Dane rozpisek'!$H$2:$H$2600,S287)&gt;1," (+"&amp;(COUNTIF('Dane rozpisek'!$H$2:$H$2600,S287)-1)&amp;")",""),"—"))</f>
        <v/>
      </c>
      <c r="Q287" s="24">
        <f>IF(AND(B287&lt;&gt;"",D287&lt;&gt;"",OR('Historia wózka'!$B$4="",B287='Historia wózka'!$B$4),D287&gt;='Historia wózka'!$B$5,D287&lt;='Historia wózka'!$B$6),D287+ROW()/1000000,0)</f>
        <v/>
      </c>
      <c r="R287" s="24">
        <f>IF(O287="TAK",IF(D287="",0,D287)+ROW()/1000000,0)</f>
        <v/>
      </c>
      <c r="S287" s="24">
        <f>IF(OR(B287="",D287=""),"",B287&amp;"|"&amp;D287)</f>
        <v/>
      </c>
    </row>
    <row r="288">
      <c r="A288" s="24">
        <f>IF(B288="","",ROW()-4)</f>
        <v/>
      </c>
      <c r="B288" s="25" t="n"/>
      <c r="C288" s="24">
        <f>IF(B288="","",IFERROR(INDEX('Wózki'!$B$2:$B$500,MATCH(B288,'Wózki'!$A$2:$A$500,0))&amp;"",""))</f>
        <v/>
      </c>
      <c r="D288" s="26" t="n"/>
      <c r="E288" s="25" t="n"/>
      <c r="F288" s="25" t="n"/>
      <c r="G288" s="24">
        <f>IF(F288="","",IFERROR(INDEX(Pracownicy!$B$2:$B$2000,MATCH(F288,Pracownicy!$A$2:$A$2000,0))&amp;"",""))</f>
        <v/>
      </c>
      <c r="H288" s="25" t="n"/>
      <c r="I288" s="25" t="n"/>
      <c r="J288" s="25" t="n"/>
      <c r="K288" s="27" t="n"/>
      <c r="L288" s="25" t="n"/>
      <c r="M288" s="25" t="n"/>
      <c r="N288" s="27" t="n"/>
      <c r="O288" s="24">
        <f>IF(B288="","",IF(M288="","TAK",IFERROR(INDEX(Ustawienia!$K$4:$K$8,MATCH(M288,Ustawienia!$J$4:$J$8,0)),"TAK")))</f>
        <v/>
      </c>
      <c r="P288" s="28">
        <f>IF(OR(B288="",D288=""),"",IFERROR(INDEX('Dane rozpisek'!$B$2:$B$2600,MATCH(S288,'Dane rozpisek'!$H$2:$H$2600,0))&amp;": "&amp;INDEX('Dane rozpisek'!$E$2:$E$2600,MATCH(S288,'Dane rozpisek'!$H$2:$H$2600,0))&amp;IF(COUNTIF('Dane rozpisek'!$H$2:$H$2600,S288)&gt;1," (+"&amp;(COUNTIF('Dane rozpisek'!$H$2:$H$2600,S288)-1)&amp;")",""),"—"))</f>
        <v/>
      </c>
      <c r="Q288" s="24">
        <f>IF(AND(B288&lt;&gt;"",D288&lt;&gt;"",OR('Historia wózka'!$B$4="",B288='Historia wózka'!$B$4),D288&gt;='Historia wózka'!$B$5,D288&lt;='Historia wózka'!$B$6),D288+ROW()/1000000,0)</f>
        <v/>
      </c>
      <c r="R288" s="24">
        <f>IF(O288="TAK",IF(D288="",0,D288)+ROW()/1000000,0)</f>
        <v/>
      </c>
      <c r="S288" s="24">
        <f>IF(OR(B288="",D288=""),"",B288&amp;"|"&amp;D288)</f>
        <v/>
      </c>
    </row>
    <row r="289">
      <c r="A289" s="24">
        <f>IF(B289="","",ROW()-4)</f>
        <v/>
      </c>
      <c r="B289" s="25" t="n"/>
      <c r="C289" s="24">
        <f>IF(B289="","",IFERROR(INDEX('Wózki'!$B$2:$B$500,MATCH(B289,'Wózki'!$A$2:$A$500,0))&amp;"",""))</f>
        <v/>
      </c>
      <c r="D289" s="26" t="n"/>
      <c r="E289" s="25" t="n"/>
      <c r="F289" s="25" t="n"/>
      <c r="G289" s="24">
        <f>IF(F289="","",IFERROR(INDEX(Pracownicy!$B$2:$B$2000,MATCH(F289,Pracownicy!$A$2:$A$2000,0))&amp;"",""))</f>
        <v/>
      </c>
      <c r="H289" s="25" t="n"/>
      <c r="I289" s="25" t="n"/>
      <c r="J289" s="25" t="n"/>
      <c r="K289" s="27" t="n"/>
      <c r="L289" s="25" t="n"/>
      <c r="M289" s="25" t="n"/>
      <c r="N289" s="27" t="n"/>
      <c r="O289" s="24">
        <f>IF(B289="","",IF(M289="","TAK",IFERROR(INDEX(Ustawienia!$K$4:$K$8,MATCH(M289,Ustawienia!$J$4:$J$8,0)),"TAK")))</f>
        <v/>
      </c>
      <c r="P289" s="28">
        <f>IF(OR(B289="",D289=""),"",IFERROR(INDEX('Dane rozpisek'!$B$2:$B$2600,MATCH(S289,'Dane rozpisek'!$H$2:$H$2600,0))&amp;": "&amp;INDEX('Dane rozpisek'!$E$2:$E$2600,MATCH(S289,'Dane rozpisek'!$H$2:$H$2600,0))&amp;IF(COUNTIF('Dane rozpisek'!$H$2:$H$2600,S289)&gt;1," (+"&amp;(COUNTIF('Dane rozpisek'!$H$2:$H$2600,S289)-1)&amp;")",""),"—"))</f>
        <v/>
      </c>
      <c r="Q289" s="24">
        <f>IF(AND(B289&lt;&gt;"",D289&lt;&gt;"",OR('Historia wózka'!$B$4="",B289='Historia wózka'!$B$4),D289&gt;='Historia wózka'!$B$5,D289&lt;='Historia wózka'!$B$6),D289+ROW()/1000000,0)</f>
        <v/>
      </c>
      <c r="R289" s="24">
        <f>IF(O289="TAK",IF(D289="",0,D289)+ROW()/1000000,0)</f>
        <v/>
      </c>
      <c r="S289" s="24">
        <f>IF(OR(B289="",D289=""),"",B289&amp;"|"&amp;D289)</f>
        <v/>
      </c>
    </row>
    <row r="290">
      <c r="A290" s="24">
        <f>IF(B290="","",ROW()-4)</f>
        <v/>
      </c>
      <c r="B290" s="25" t="n"/>
      <c r="C290" s="24">
        <f>IF(B290="","",IFERROR(INDEX('Wózki'!$B$2:$B$500,MATCH(B290,'Wózki'!$A$2:$A$500,0))&amp;"",""))</f>
        <v/>
      </c>
      <c r="D290" s="26" t="n"/>
      <c r="E290" s="25" t="n"/>
      <c r="F290" s="25" t="n"/>
      <c r="G290" s="24">
        <f>IF(F290="","",IFERROR(INDEX(Pracownicy!$B$2:$B$2000,MATCH(F290,Pracownicy!$A$2:$A$2000,0))&amp;"",""))</f>
        <v/>
      </c>
      <c r="H290" s="25" t="n"/>
      <c r="I290" s="25" t="n"/>
      <c r="J290" s="25" t="n"/>
      <c r="K290" s="27" t="n"/>
      <c r="L290" s="25" t="n"/>
      <c r="M290" s="25" t="n"/>
      <c r="N290" s="27" t="n"/>
      <c r="O290" s="24">
        <f>IF(B290="","",IF(M290="","TAK",IFERROR(INDEX(Ustawienia!$K$4:$K$8,MATCH(M290,Ustawienia!$J$4:$J$8,0)),"TAK")))</f>
        <v/>
      </c>
      <c r="P290" s="28">
        <f>IF(OR(B290="",D290=""),"",IFERROR(INDEX('Dane rozpisek'!$B$2:$B$2600,MATCH(S290,'Dane rozpisek'!$H$2:$H$2600,0))&amp;": "&amp;INDEX('Dane rozpisek'!$E$2:$E$2600,MATCH(S290,'Dane rozpisek'!$H$2:$H$2600,0))&amp;IF(COUNTIF('Dane rozpisek'!$H$2:$H$2600,S290)&gt;1," (+"&amp;(COUNTIF('Dane rozpisek'!$H$2:$H$2600,S290)-1)&amp;")",""),"—"))</f>
        <v/>
      </c>
      <c r="Q290" s="24">
        <f>IF(AND(B290&lt;&gt;"",D290&lt;&gt;"",OR('Historia wózka'!$B$4="",B290='Historia wózka'!$B$4),D290&gt;='Historia wózka'!$B$5,D290&lt;='Historia wózka'!$B$6),D290+ROW()/1000000,0)</f>
        <v/>
      </c>
      <c r="R290" s="24">
        <f>IF(O290="TAK",IF(D290="",0,D290)+ROW()/1000000,0)</f>
        <v/>
      </c>
      <c r="S290" s="24">
        <f>IF(OR(B290="",D290=""),"",B290&amp;"|"&amp;D290)</f>
        <v/>
      </c>
    </row>
    <row r="291">
      <c r="A291" s="24">
        <f>IF(B291="","",ROW()-4)</f>
        <v/>
      </c>
      <c r="B291" s="25" t="n"/>
      <c r="C291" s="24">
        <f>IF(B291="","",IFERROR(INDEX('Wózki'!$B$2:$B$500,MATCH(B291,'Wózki'!$A$2:$A$500,0))&amp;"",""))</f>
        <v/>
      </c>
      <c r="D291" s="26" t="n"/>
      <c r="E291" s="25" t="n"/>
      <c r="F291" s="25" t="n"/>
      <c r="G291" s="24">
        <f>IF(F291="","",IFERROR(INDEX(Pracownicy!$B$2:$B$2000,MATCH(F291,Pracownicy!$A$2:$A$2000,0))&amp;"",""))</f>
        <v/>
      </c>
      <c r="H291" s="25" t="n"/>
      <c r="I291" s="25" t="n"/>
      <c r="J291" s="25" t="n"/>
      <c r="K291" s="27" t="n"/>
      <c r="L291" s="25" t="n"/>
      <c r="M291" s="25" t="n"/>
      <c r="N291" s="27" t="n"/>
      <c r="O291" s="24">
        <f>IF(B291="","",IF(M291="","TAK",IFERROR(INDEX(Ustawienia!$K$4:$K$8,MATCH(M291,Ustawienia!$J$4:$J$8,0)),"TAK")))</f>
        <v/>
      </c>
      <c r="P291" s="28">
        <f>IF(OR(B291="",D291=""),"",IFERROR(INDEX('Dane rozpisek'!$B$2:$B$2600,MATCH(S291,'Dane rozpisek'!$H$2:$H$2600,0))&amp;": "&amp;INDEX('Dane rozpisek'!$E$2:$E$2600,MATCH(S291,'Dane rozpisek'!$H$2:$H$2600,0))&amp;IF(COUNTIF('Dane rozpisek'!$H$2:$H$2600,S291)&gt;1," (+"&amp;(COUNTIF('Dane rozpisek'!$H$2:$H$2600,S291)-1)&amp;")",""),"—"))</f>
        <v/>
      </c>
      <c r="Q291" s="24">
        <f>IF(AND(B291&lt;&gt;"",D291&lt;&gt;"",OR('Historia wózka'!$B$4="",B291='Historia wózka'!$B$4),D291&gt;='Historia wózka'!$B$5,D291&lt;='Historia wózka'!$B$6),D291+ROW()/1000000,0)</f>
        <v/>
      </c>
      <c r="R291" s="24">
        <f>IF(O291="TAK",IF(D291="",0,D291)+ROW()/1000000,0)</f>
        <v/>
      </c>
      <c r="S291" s="24">
        <f>IF(OR(B291="",D291=""),"",B291&amp;"|"&amp;D291)</f>
        <v/>
      </c>
    </row>
    <row r="292">
      <c r="A292" s="24">
        <f>IF(B292="","",ROW()-4)</f>
        <v/>
      </c>
      <c r="B292" s="25" t="n"/>
      <c r="C292" s="24">
        <f>IF(B292="","",IFERROR(INDEX('Wózki'!$B$2:$B$500,MATCH(B292,'Wózki'!$A$2:$A$500,0))&amp;"",""))</f>
        <v/>
      </c>
      <c r="D292" s="26" t="n"/>
      <c r="E292" s="25" t="n"/>
      <c r="F292" s="25" t="n"/>
      <c r="G292" s="24">
        <f>IF(F292="","",IFERROR(INDEX(Pracownicy!$B$2:$B$2000,MATCH(F292,Pracownicy!$A$2:$A$2000,0))&amp;"",""))</f>
        <v/>
      </c>
      <c r="H292" s="25" t="n"/>
      <c r="I292" s="25" t="n"/>
      <c r="J292" s="25" t="n"/>
      <c r="K292" s="27" t="n"/>
      <c r="L292" s="25" t="n"/>
      <c r="M292" s="25" t="n"/>
      <c r="N292" s="27" t="n"/>
      <c r="O292" s="24">
        <f>IF(B292="","",IF(M292="","TAK",IFERROR(INDEX(Ustawienia!$K$4:$K$8,MATCH(M292,Ustawienia!$J$4:$J$8,0)),"TAK")))</f>
        <v/>
      </c>
      <c r="P292" s="28">
        <f>IF(OR(B292="",D292=""),"",IFERROR(INDEX('Dane rozpisek'!$B$2:$B$2600,MATCH(S292,'Dane rozpisek'!$H$2:$H$2600,0))&amp;": "&amp;INDEX('Dane rozpisek'!$E$2:$E$2600,MATCH(S292,'Dane rozpisek'!$H$2:$H$2600,0))&amp;IF(COUNTIF('Dane rozpisek'!$H$2:$H$2600,S292)&gt;1," (+"&amp;(COUNTIF('Dane rozpisek'!$H$2:$H$2600,S292)-1)&amp;")",""),"—"))</f>
        <v/>
      </c>
      <c r="Q292" s="24">
        <f>IF(AND(B292&lt;&gt;"",D292&lt;&gt;"",OR('Historia wózka'!$B$4="",B292='Historia wózka'!$B$4),D292&gt;='Historia wózka'!$B$5,D292&lt;='Historia wózka'!$B$6),D292+ROW()/1000000,0)</f>
        <v/>
      </c>
      <c r="R292" s="24">
        <f>IF(O292="TAK",IF(D292="",0,D292)+ROW()/1000000,0)</f>
        <v/>
      </c>
      <c r="S292" s="24">
        <f>IF(OR(B292="",D292=""),"",B292&amp;"|"&amp;D292)</f>
        <v/>
      </c>
    </row>
    <row r="293">
      <c r="A293" s="24">
        <f>IF(B293="","",ROW()-4)</f>
        <v/>
      </c>
      <c r="B293" s="25" t="n"/>
      <c r="C293" s="24">
        <f>IF(B293="","",IFERROR(INDEX('Wózki'!$B$2:$B$500,MATCH(B293,'Wózki'!$A$2:$A$500,0))&amp;"",""))</f>
        <v/>
      </c>
      <c r="D293" s="26" t="n"/>
      <c r="E293" s="25" t="n"/>
      <c r="F293" s="25" t="n"/>
      <c r="G293" s="24">
        <f>IF(F293="","",IFERROR(INDEX(Pracownicy!$B$2:$B$2000,MATCH(F293,Pracownicy!$A$2:$A$2000,0))&amp;"",""))</f>
        <v/>
      </c>
      <c r="H293" s="25" t="n"/>
      <c r="I293" s="25" t="n"/>
      <c r="J293" s="25" t="n"/>
      <c r="K293" s="27" t="n"/>
      <c r="L293" s="25" t="n"/>
      <c r="M293" s="25" t="n"/>
      <c r="N293" s="27" t="n"/>
      <c r="O293" s="24">
        <f>IF(B293="","",IF(M293="","TAK",IFERROR(INDEX(Ustawienia!$K$4:$K$8,MATCH(M293,Ustawienia!$J$4:$J$8,0)),"TAK")))</f>
        <v/>
      </c>
      <c r="P293" s="28">
        <f>IF(OR(B293="",D293=""),"",IFERROR(INDEX('Dane rozpisek'!$B$2:$B$2600,MATCH(S293,'Dane rozpisek'!$H$2:$H$2600,0))&amp;": "&amp;INDEX('Dane rozpisek'!$E$2:$E$2600,MATCH(S293,'Dane rozpisek'!$H$2:$H$2600,0))&amp;IF(COUNTIF('Dane rozpisek'!$H$2:$H$2600,S293)&gt;1," (+"&amp;(COUNTIF('Dane rozpisek'!$H$2:$H$2600,S293)-1)&amp;")",""),"—"))</f>
        <v/>
      </c>
      <c r="Q293" s="24">
        <f>IF(AND(B293&lt;&gt;"",D293&lt;&gt;"",OR('Historia wózka'!$B$4="",B293='Historia wózka'!$B$4),D293&gt;='Historia wózka'!$B$5,D293&lt;='Historia wózka'!$B$6),D293+ROW()/1000000,0)</f>
        <v/>
      </c>
      <c r="R293" s="24">
        <f>IF(O293="TAK",IF(D293="",0,D293)+ROW()/1000000,0)</f>
        <v/>
      </c>
      <c r="S293" s="24">
        <f>IF(OR(B293="",D293=""),"",B293&amp;"|"&amp;D293)</f>
        <v/>
      </c>
    </row>
    <row r="294">
      <c r="A294" s="24">
        <f>IF(B294="","",ROW()-4)</f>
        <v/>
      </c>
      <c r="B294" s="25" t="n"/>
      <c r="C294" s="24">
        <f>IF(B294="","",IFERROR(INDEX('Wózki'!$B$2:$B$500,MATCH(B294,'Wózki'!$A$2:$A$500,0))&amp;"",""))</f>
        <v/>
      </c>
      <c r="D294" s="26" t="n"/>
      <c r="E294" s="25" t="n"/>
      <c r="F294" s="25" t="n"/>
      <c r="G294" s="24">
        <f>IF(F294="","",IFERROR(INDEX(Pracownicy!$B$2:$B$2000,MATCH(F294,Pracownicy!$A$2:$A$2000,0))&amp;"",""))</f>
        <v/>
      </c>
      <c r="H294" s="25" t="n"/>
      <c r="I294" s="25" t="n"/>
      <c r="J294" s="25" t="n"/>
      <c r="K294" s="27" t="n"/>
      <c r="L294" s="25" t="n"/>
      <c r="M294" s="25" t="n"/>
      <c r="N294" s="27" t="n"/>
      <c r="O294" s="24">
        <f>IF(B294="","",IF(M294="","TAK",IFERROR(INDEX(Ustawienia!$K$4:$K$8,MATCH(M294,Ustawienia!$J$4:$J$8,0)),"TAK")))</f>
        <v/>
      </c>
      <c r="P294" s="28">
        <f>IF(OR(B294="",D294=""),"",IFERROR(INDEX('Dane rozpisek'!$B$2:$B$2600,MATCH(S294,'Dane rozpisek'!$H$2:$H$2600,0))&amp;": "&amp;INDEX('Dane rozpisek'!$E$2:$E$2600,MATCH(S294,'Dane rozpisek'!$H$2:$H$2600,0))&amp;IF(COUNTIF('Dane rozpisek'!$H$2:$H$2600,S294)&gt;1," (+"&amp;(COUNTIF('Dane rozpisek'!$H$2:$H$2600,S294)-1)&amp;")",""),"—"))</f>
        <v/>
      </c>
      <c r="Q294" s="24">
        <f>IF(AND(B294&lt;&gt;"",D294&lt;&gt;"",OR('Historia wózka'!$B$4="",B294='Historia wózka'!$B$4),D294&gt;='Historia wózka'!$B$5,D294&lt;='Historia wózka'!$B$6),D294+ROW()/1000000,0)</f>
        <v/>
      </c>
      <c r="R294" s="24">
        <f>IF(O294="TAK",IF(D294="",0,D294)+ROW()/1000000,0)</f>
        <v/>
      </c>
      <c r="S294" s="24">
        <f>IF(OR(B294="",D294=""),"",B294&amp;"|"&amp;D294)</f>
        <v/>
      </c>
    </row>
    <row r="295">
      <c r="A295" s="24">
        <f>IF(B295="","",ROW()-4)</f>
        <v/>
      </c>
      <c r="B295" s="25" t="n"/>
      <c r="C295" s="24">
        <f>IF(B295="","",IFERROR(INDEX('Wózki'!$B$2:$B$500,MATCH(B295,'Wózki'!$A$2:$A$500,0))&amp;"",""))</f>
        <v/>
      </c>
      <c r="D295" s="26" t="n"/>
      <c r="E295" s="25" t="n"/>
      <c r="F295" s="25" t="n"/>
      <c r="G295" s="24">
        <f>IF(F295="","",IFERROR(INDEX(Pracownicy!$B$2:$B$2000,MATCH(F295,Pracownicy!$A$2:$A$2000,0))&amp;"",""))</f>
        <v/>
      </c>
      <c r="H295" s="25" t="n"/>
      <c r="I295" s="25" t="n"/>
      <c r="J295" s="25" t="n"/>
      <c r="K295" s="27" t="n"/>
      <c r="L295" s="25" t="n"/>
      <c r="M295" s="25" t="n"/>
      <c r="N295" s="27" t="n"/>
      <c r="O295" s="24">
        <f>IF(B295="","",IF(M295="","TAK",IFERROR(INDEX(Ustawienia!$K$4:$K$8,MATCH(M295,Ustawienia!$J$4:$J$8,0)),"TAK")))</f>
        <v/>
      </c>
      <c r="P295" s="28">
        <f>IF(OR(B295="",D295=""),"",IFERROR(INDEX('Dane rozpisek'!$B$2:$B$2600,MATCH(S295,'Dane rozpisek'!$H$2:$H$2600,0))&amp;": "&amp;INDEX('Dane rozpisek'!$E$2:$E$2600,MATCH(S295,'Dane rozpisek'!$H$2:$H$2600,0))&amp;IF(COUNTIF('Dane rozpisek'!$H$2:$H$2600,S295)&gt;1," (+"&amp;(COUNTIF('Dane rozpisek'!$H$2:$H$2600,S295)-1)&amp;")",""),"—"))</f>
        <v/>
      </c>
      <c r="Q295" s="24">
        <f>IF(AND(B295&lt;&gt;"",D295&lt;&gt;"",OR('Historia wózka'!$B$4="",B295='Historia wózka'!$B$4),D295&gt;='Historia wózka'!$B$5,D295&lt;='Historia wózka'!$B$6),D295+ROW()/1000000,0)</f>
        <v/>
      </c>
      <c r="R295" s="24">
        <f>IF(O295="TAK",IF(D295="",0,D295)+ROW()/1000000,0)</f>
        <v/>
      </c>
      <c r="S295" s="24">
        <f>IF(OR(B295="",D295=""),"",B295&amp;"|"&amp;D295)</f>
        <v/>
      </c>
    </row>
    <row r="296">
      <c r="A296" s="24">
        <f>IF(B296="","",ROW()-4)</f>
        <v/>
      </c>
      <c r="B296" s="25" t="n"/>
      <c r="C296" s="24">
        <f>IF(B296="","",IFERROR(INDEX('Wózki'!$B$2:$B$500,MATCH(B296,'Wózki'!$A$2:$A$500,0))&amp;"",""))</f>
        <v/>
      </c>
      <c r="D296" s="26" t="n"/>
      <c r="E296" s="25" t="n"/>
      <c r="F296" s="25" t="n"/>
      <c r="G296" s="24">
        <f>IF(F296="","",IFERROR(INDEX(Pracownicy!$B$2:$B$2000,MATCH(F296,Pracownicy!$A$2:$A$2000,0))&amp;"",""))</f>
        <v/>
      </c>
      <c r="H296" s="25" t="n"/>
      <c r="I296" s="25" t="n"/>
      <c r="J296" s="25" t="n"/>
      <c r="K296" s="27" t="n"/>
      <c r="L296" s="25" t="n"/>
      <c r="M296" s="25" t="n"/>
      <c r="N296" s="27" t="n"/>
      <c r="O296" s="24">
        <f>IF(B296="","",IF(M296="","TAK",IFERROR(INDEX(Ustawienia!$K$4:$K$8,MATCH(M296,Ustawienia!$J$4:$J$8,0)),"TAK")))</f>
        <v/>
      </c>
      <c r="P296" s="28">
        <f>IF(OR(B296="",D296=""),"",IFERROR(INDEX('Dane rozpisek'!$B$2:$B$2600,MATCH(S296,'Dane rozpisek'!$H$2:$H$2600,0))&amp;": "&amp;INDEX('Dane rozpisek'!$E$2:$E$2600,MATCH(S296,'Dane rozpisek'!$H$2:$H$2600,0))&amp;IF(COUNTIF('Dane rozpisek'!$H$2:$H$2600,S296)&gt;1," (+"&amp;(COUNTIF('Dane rozpisek'!$H$2:$H$2600,S296)-1)&amp;")",""),"—"))</f>
        <v/>
      </c>
      <c r="Q296" s="24">
        <f>IF(AND(B296&lt;&gt;"",D296&lt;&gt;"",OR('Historia wózka'!$B$4="",B296='Historia wózka'!$B$4),D296&gt;='Historia wózka'!$B$5,D296&lt;='Historia wózka'!$B$6),D296+ROW()/1000000,0)</f>
        <v/>
      </c>
      <c r="R296" s="24">
        <f>IF(O296="TAK",IF(D296="",0,D296)+ROW()/1000000,0)</f>
        <v/>
      </c>
      <c r="S296" s="24">
        <f>IF(OR(B296="",D296=""),"",B296&amp;"|"&amp;D296)</f>
        <v/>
      </c>
    </row>
    <row r="297">
      <c r="A297" s="24">
        <f>IF(B297="","",ROW()-4)</f>
        <v/>
      </c>
      <c r="B297" s="25" t="n"/>
      <c r="C297" s="24">
        <f>IF(B297="","",IFERROR(INDEX('Wózki'!$B$2:$B$500,MATCH(B297,'Wózki'!$A$2:$A$500,0))&amp;"",""))</f>
        <v/>
      </c>
      <c r="D297" s="26" t="n"/>
      <c r="E297" s="25" t="n"/>
      <c r="F297" s="25" t="n"/>
      <c r="G297" s="24">
        <f>IF(F297="","",IFERROR(INDEX(Pracownicy!$B$2:$B$2000,MATCH(F297,Pracownicy!$A$2:$A$2000,0))&amp;"",""))</f>
        <v/>
      </c>
      <c r="H297" s="25" t="n"/>
      <c r="I297" s="25" t="n"/>
      <c r="J297" s="25" t="n"/>
      <c r="K297" s="27" t="n"/>
      <c r="L297" s="25" t="n"/>
      <c r="M297" s="25" t="n"/>
      <c r="N297" s="27" t="n"/>
      <c r="O297" s="24">
        <f>IF(B297="","",IF(M297="","TAK",IFERROR(INDEX(Ustawienia!$K$4:$K$8,MATCH(M297,Ustawienia!$J$4:$J$8,0)),"TAK")))</f>
        <v/>
      </c>
      <c r="P297" s="28">
        <f>IF(OR(B297="",D297=""),"",IFERROR(INDEX('Dane rozpisek'!$B$2:$B$2600,MATCH(S297,'Dane rozpisek'!$H$2:$H$2600,0))&amp;": "&amp;INDEX('Dane rozpisek'!$E$2:$E$2600,MATCH(S297,'Dane rozpisek'!$H$2:$H$2600,0))&amp;IF(COUNTIF('Dane rozpisek'!$H$2:$H$2600,S297)&gt;1," (+"&amp;(COUNTIF('Dane rozpisek'!$H$2:$H$2600,S297)-1)&amp;")",""),"—"))</f>
        <v/>
      </c>
      <c r="Q297" s="24">
        <f>IF(AND(B297&lt;&gt;"",D297&lt;&gt;"",OR('Historia wózka'!$B$4="",B297='Historia wózka'!$B$4),D297&gt;='Historia wózka'!$B$5,D297&lt;='Historia wózka'!$B$6),D297+ROW()/1000000,0)</f>
        <v/>
      </c>
      <c r="R297" s="24">
        <f>IF(O297="TAK",IF(D297="",0,D297)+ROW()/1000000,0)</f>
        <v/>
      </c>
      <c r="S297" s="24">
        <f>IF(OR(B297="",D297=""),"",B297&amp;"|"&amp;D297)</f>
        <v/>
      </c>
    </row>
    <row r="298">
      <c r="A298" s="24">
        <f>IF(B298="","",ROW()-4)</f>
        <v/>
      </c>
      <c r="B298" s="25" t="n"/>
      <c r="C298" s="24">
        <f>IF(B298="","",IFERROR(INDEX('Wózki'!$B$2:$B$500,MATCH(B298,'Wózki'!$A$2:$A$500,0))&amp;"",""))</f>
        <v/>
      </c>
      <c r="D298" s="26" t="n"/>
      <c r="E298" s="25" t="n"/>
      <c r="F298" s="25" t="n"/>
      <c r="G298" s="24">
        <f>IF(F298="","",IFERROR(INDEX(Pracownicy!$B$2:$B$2000,MATCH(F298,Pracownicy!$A$2:$A$2000,0))&amp;"",""))</f>
        <v/>
      </c>
      <c r="H298" s="25" t="n"/>
      <c r="I298" s="25" t="n"/>
      <c r="J298" s="25" t="n"/>
      <c r="K298" s="27" t="n"/>
      <c r="L298" s="25" t="n"/>
      <c r="M298" s="25" t="n"/>
      <c r="N298" s="27" t="n"/>
      <c r="O298" s="24">
        <f>IF(B298="","",IF(M298="","TAK",IFERROR(INDEX(Ustawienia!$K$4:$K$8,MATCH(M298,Ustawienia!$J$4:$J$8,0)),"TAK")))</f>
        <v/>
      </c>
      <c r="P298" s="28">
        <f>IF(OR(B298="",D298=""),"",IFERROR(INDEX('Dane rozpisek'!$B$2:$B$2600,MATCH(S298,'Dane rozpisek'!$H$2:$H$2600,0))&amp;": "&amp;INDEX('Dane rozpisek'!$E$2:$E$2600,MATCH(S298,'Dane rozpisek'!$H$2:$H$2600,0))&amp;IF(COUNTIF('Dane rozpisek'!$H$2:$H$2600,S298)&gt;1," (+"&amp;(COUNTIF('Dane rozpisek'!$H$2:$H$2600,S298)-1)&amp;")",""),"—"))</f>
        <v/>
      </c>
      <c r="Q298" s="24">
        <f>IF(AND(B298&lt;&gt;"",D298&lt;&gt;"",OR('Historia wózka'!$B$4="",B298='Historia wózka'!$B$4),D298&gt;='Historia wózka'!$B$5,D298&lt;='Historia wózka'!$B$6),D298+ROW()/1000000,0)</f>
        <v/>
      </c>
      <c r="R298" s="24">
        <f>IF(O298="TAK",IF(D298="",0,D298)+ROW()/1000000,0)</f>
        <v/>
      </c>
      <c r="S298" s="24">
        <f>IF(OR(B298="",D298=""),"",B298&amp;"|"&amp;D298)</f>
        <v/>
      </c>
    </row>
    <row r="299">
      <c r="A299" s="24">
        <f>IF(B299="","",ROW()-4)</f>
        <v/>
      </c>
      <c r="B299" s="25" t="n"/>
      <c r="C299" s="24">
        <f>IF(B299="","",IFERROR(INDEX('Wózki'!$B$2:$B$500,MATCH(B299,'Wózki'!$A$2:$A$500,0))&amp;"",""))</f>
        <v/>
      </c>
      <c r="D299" s="26" t="n"/>
      <c r="E299" s="25" t="n"/>
      <c r="F299" s="25" t="n"/>
      <c r="G299" s="24">
        <f>IF(F299="","",IFERROR(INDEX(Pracownicy!$B$2:$B$2000,MATCH(F299,Pracownicy!$A$2:$A$2000,0))&amp;"",""))</f>
        <v/>
      </c>
      <c r="H299" s="25" t="n"/>
      <c r="I299" s="25" t="n"/>
      <c r="J299" s="25" t="n"/>
      <c r="K299" s="27" t="n"/>
      <c r="L299" s="25" t="n"/>
      <c r="M299" s="25" t="n"/>
      <c r="N299" s="27" t="n"/>
      <c r="O299" s="24">
        <f>IF(B299="","",IF(M299="","TAK",IFERROR(INDEX(Ustawienia!$K$4:$K$8,MATCH(M299,Ustawienia!$J$4:$J$8,0)),"TAK")))</f>
        <v/>
      </c>
      <c r="P299" s="28">
        <f>IF(OR(B299="",D299=""),"",IFERROR(INDEX('Dane rozpisek'!$B$2:$B$2600,MATCH(S299,'Dane rozpisek'!$H$2:$H$2600,0))&amp;": "&amp;INDEX('Dane rozpisek'!$E$2:$E$2600,MATCH(S299,'Dane rozpisek'!$H$2:$H$2600,0))&amp;IF(COUNTIF('Dane rozpisek'!$H$2:$H$2600,S299)&gt;1," (+"&amp;(COUNTIF('Dane rozpisek'!$H$2:$H$2600,S299)-1)&amp;")",""),"—"))</f>
        <v/>
      </c>
      <c r="Q299" s="24">
        <f>IF(AND(B299&lt;&gt;"",D299&lt;&gt;"",OR('Historia wózka'!$B$4="",B299='Historia wózka'!$B$4),D299&gt;='Historia wózka'!$B$5,D299&lt;='Historia wózka'!$B$6),D299+ROW()/1000000,0)</f>
        <v/>
      </c>
      <c r="R299" s="24">
        <f>IF(O299="TAK",IF(D299="",0,D299)+ROW()/1000000,0)</f>
        <v/>
      </c>
      <c r="S299" s="24">
        <f>IF(OR(B299="",D299=""),"",B299&amp;"|"&amp;D299)</f>
        <v/>
      </c>
    </row>
    <row r="300">
      <c r="A300" s="24">
        <f>IF(B300="","",ROW()-4)</f>
        <v/>
      </c>
      <c r="B300" s="25" t="n"/>
      <c r="C300" s="24">
        <f>IF(B300="","",IFERROR(INDEX('Wózki'!$B$2:$B$500,MATCH(B300,'Wózki'!$A$2:$A$500,0))&amp;"",""))</f>
        <v/>
      </c>
      <c r="D300" s="26" t="n"/>
      <c r="E300" s="25" t="n"/>
      <c r="F300" s="25" t="n"/>
      <c r="G300" s="24">
        <f>IF(F300="","",IFERROR(INDEX(Pracownicy!$B$2:$B$2000,MATCH(F300,Pracownicy!$A$2:$A$2000,0))&amp;"",""))</f>
        <v/>
      </c>
      <c r="H300" s="25" t="n"/>
      <c r="I300" s="25" t="n"/>
      <c r="J300" s="25" t="n"/>
      <c r="K300" s="27" t="n"/>
      <c r="L300" s="25" t="n"/>
      <c r="M300" s="25" t="n"/>
      <c r="N300" s="27" t="n"/>
      <c r="O300" s="24">
        <f>IF(B300="","",IF(M300="","TAK",IFERROR(INDEX(Ustawienia!$K$4:$K$8,MATCH(M300,Ustawienia!$J$4:$J$8,0)),"TAK")))</f>
        <v/>
      </c>
      <c r="P300" s="28">
        <f>IF(OR(B300="",D300=""),"",IFERROR(INDEX('Dane rozpisek'!$B$2:$B$2600,MATCH(S300,'Dane rozpisek'!$H$2:$H$2600,0))&amp;": "&amp;INDEX('Dane rozpisek'!$E$2:$E$2600,MATCH(S300,'Dane rozpisek'!$H$2:$H$2600,0))&amp;IF(COUNTIF('Dane rozpisek'!$H$2:$H$2600,S300)&gt;1," (+"&amp;(COUNTIF('Dane rozpisek'!$H$2:$H$2600,S300)-1)&amp;")",""),"—"))</f>
        <v/>
      </c>
      <c r="Q300" s="24">
        <f>IF(AND(B300&lt;&gt;"",D300&lt;&gt;"",OR('Historia wózka'!$B$4="",B300='Historia wózka'!$B$4),D300&gt;='Historia wózka'!$B$5,D300&lt;='Historia wózka'!$B$6),D300+ROW()/1000000,0)</f>
        <v/>
      </c>
      <c r="R300" s="24">
        <f>IF(O300="TAK",IF(D300="",0,D300)+ROW()/1000000,0)</f>
        <v/>
      </c>
      <c r="S300" s="24">
        <f>IF(OR(B300="",D300=""),"",B300&amp;"|"&amp;D300)</f>
        <v/>
      </c>
    </row>
    <row r="301">
      <c r="A301" s="24">
        <f>IF(B301="","",ROW()-4)</f>
        <v/>
      </c>
      <c r="B301" s="25" t="n"/>
      <c r="C301" s="24">
        <f>IF(B301="","",IFERROR(INDEX('Wózki'!$B$2:$B$500,MATCH(B301,'Wózki'!$A$2:$A$500,0))&amp;"",""))</f>
        <v/>
      </c>
      <c r="D301" s="26" t="n"/>
      <c r="E301" s="25" t="n"/>
      <c r="F301" s="25" t="n"/>
      <c r="G301" s="24">
        <f>IF(F301="","",IFERROR(INDEX(Pracownicy!$B$2:$B$2000,MATCH(F301,Pracownicy!$A$2:$A$2000,0))&amp;"",""))</f>
        <v/>
      </c>
      <c r="H301" s="25" t="n"/>
      <c r="I301" s="25" t="n"/>
      <c r="J301" s="25" t="n"/>
      <c r="K301" s="27" t="n"/>
      <c r="L301" s="25" t="n"/>
      <c r="M301" s="25" t="n"/>
      <c r="N301" s="27" t="n"/>
      <c r="O301" s="24">
        <f>IF(B301="","",IF(M301="","TAK",IFERROR(INDEX(Ustawienia!$K$4:$K$8,MATCH(M301,Ustawienia!$J$4:$J$8,0)),"TAK")))</f>
        <v/>
      </c>
      <c r="P301" s="28">
        <f>IF(OR(B301="",D301=""),"",IFERROR(INDEX('Dane rozpisek'!$B$2:$B$2600,MATCH(S301,'Dane rozpisek'!$H$2:$H$2600,0))&amp;": "&amp;INDEX('Dane rozpisek'!$E$2:$E$2600,MATCH(S301,'Dane rozpisek'!$H$2:$H$2600,0))&amp;IF(COUNTIF('Dane rozpisek'!$H$2:$H$2600,S301)&gt;1," (+"&amp;(COUNTIF('Dane rozpisek'!$H$2:$H$2600,S301)-1)&amp;")",""),"—"))</f>
        <v/>
      </c>
      <c r="Q301" s="24">
        <f>IF(AND(B301&lt;&gt;"",D301&lt;&gt;"",OR('Historia wózka'!$B$4="",B301='Historia wózka'!$B$4),D301&gt;='Historia wózka'!$B$5,D301&lt;='Historia wózka'!$B$6),D301+ROW()/1000000,0)</f>
        <v/>
      </c>
      <c r="R301" s="24">
        <f>IF(O301="TAK",IF(D301="",0,D301)+ROW()/1000000,0)</f>
        <v/>
      </c>
      <c r="S301" s="24">
        <f>IF(OR(B301="",D301=""),"",B301&amp;"|"&amp;D301)</f>
        <v/>
      </c>
    </row>
    <row r="302">
      <c r="A302" s="24">
        <f>IF(B302="","",ROW()-4)</f>
        <v/>
      </c>
      <c r="B302" s="25" t="n"/>
      <c r="C302" s="24">
        <f>IF(B302="","",IFERROR(INDEX('Wózki'!$B$2:$B$500,MATCH(B302,'Wózki'!$A$2:$A$500,0))&amp;"",""))</f>
        <v/>
      </c>
      <c r="D302" s="26" t="n"/>
      <c r="E302" s="25" t="n"/>
      <c r="F302" s="25" t="n"/>
      <c r="G302" s="24">
        <f>IF(F302="","",IFERROR(INDEX(Pracownicy!$B$2:$B$2000,MATCH(F302,Pracownicy!$A$2:$A$2000,0))&amp;"",""))</f>
        <v/>
      </c>
      <c r="H302" s="25" t="n"/>
      <c r="I302" s="25" t="n"/>
      <c r="J302" s="25" t="n"/>
      <c r="K302" s="27" t="n"/>
      <c r="L302" s="25" t="n"/>
      <c r="M302" s="25" t="n"/>
      <c r="N302" s="27" t="n"/>
      <c r="O302" s="24">
        <f>IF(B302="","",IF(M302="","TAK",IFERROR(INDEX(Ustawienia!$K$4:$K$8,MATCH(M302,Ustawienia!$J$4:$J$8,0)),"TAK")))</f>
        <v/>
      </c>
      <c r="P302" s="28">
        <f>IF(OR(B302="",D302=""),"",IFERROR(INDEX('Dane rozpisek'!$B$2:$B$2600,MATCH(S302,'Dane rozpisek'!$H$2:$H$2600,0))&amp;": "&amp;INDEX('Dane rozpisek'!$E$2:$E$2600,MATCH(S302,'Dane rozpisek'!$H$2:$H$2600,0))&amp;IF(COUNTIF('Dane rozpisek'!$H$2:$H$2600,S302)&gt;1," (+"&amp;(COUNTIF('Dane rozpisek'!$H$2:$H$2600,S302)-1)&amp;")",""),"—"))</f>
        <v/>
      </c>
      <c r="Q302" s="24">
        <f>IF(AND(B302&lt;&gt;"",D302&lt;&gt;"",OR('Historia wózka'!$B$4="",B302='Historia wózka'!$B$4),D302&gt;='Historia wózka'!$B$5,D302&lt;='Historia wózka'!$B$6),D302+ROW()/1000000,0)</f>
        <v/>
      </c>
      <c r="R302" s="24">
        <f>IF(O302="TAK",IF(D302="",0,D302)+ROW()/1000000,0)</f>
        <v/>
      </c>
      <c r="S302" s="24">
        <f>IF(OR(B302="",D302=""),"",B302&amp;"|"&amp;D302)</f>
        <v/>
      </c>
    </row>
    <row r="303">
      <c r="A303" s="24">
        <f>IF(B303="","",ROW()-4)</f>
        <v/>
      </c>
      <c r="B303" s="25" t="n"/>
      <c r="C303" s="24">
        <f>IF(B303="","",IFERROR(INDEX('Wózki'!$B$2:$B$500,MATCH(B303,'Wózki'!$A$2:$A$500,0))&amp;"",""))</f>
        <v/>
      </c>
      <c r="D303" s="26" t="n"/>
      <c r="E303" s="25" t="n"/>
      <c r="F303" s="25" t="n"/>
      <c r="G303" s="24">
        <f>IF(F303="","",IFERROR(INDEX(Pracownicy!$B$2:$B$2000,MATCH(F303,Pracownicy!$A$2:$A$2000,0))&amp;"",""))</f>
        <v/>
      </c>
      <c r="H303" s="25" t="n"/>
      <c r="I303" s="25" t="n"/>
      <c r="J303" s="25" t="n"/>
      <c r="K303" s="27" t="n"/>
      <c r="L303" s="25" t="n"/>
      <c r="M303" s="25" t="n"/>
      <c r="N303" s="27" t="n"/>
      <c r="O303" s="24">
        <f>IF(B303="","",IF(M303="","TAK",IFERROR(INDEX(Ustawienia!$K$4:$K$8,MATCH(M303,Ustawienia!$J$4:$J$8,0)),"TAK")))</f>
        <v/>
      </c>
      <c r="P303" s="28">
        <f>IF(OR(B303="",D303=""),"",IFERROR(INDEX('Dane rozpisek'!$B$2:$B$2600,MATCH(S303,'Dane rozpisek'!$H$2:$H$2600,0))&amp;": "&amp;INDEX('Dane rozpisek'!$E$2:$E$2600,MATCH(S303,'Dane rozpisek'!$H$2:$H$2600,0))&amp;IF(COUNTIF('Dane rozpisek'!$H$2:$H$2600,S303)&gt;1," (+"&amp;(COUNTIF('Dane rozpisek'!$H$2:$H$2600,S303)-1)&amp;")",""),"—"))</f>
        <v/>
      </c>
      <c r="Q303" s="24">
        <f>IF(AND(B303&lt;&gt;"",D303&lt;&gt;"",OR('Historia wózka'!$B$4="",B303='Historia wózka'!$B$4),D303&gt;='Historia wózka'!$B$5,D303&lt;='Historia wózka'!$B$6),D303+ROW()/1000000,0)</f>
        <v/>
      </c>
      <c r="R303" s="24">
        <f>IF(O303="TAK",IF(D303="",0,D303)+ROW()/1000000,0)</f>
        <v/>
      </c>
      <c r="S303" s="24">
        <f>IF(OR(B303="",D303=""),"",B303&amp;"|"&amp;D303)</f>
        <v/>
      </c>
    </row>
    <row r="304">
      <c r="A304" s="24">
        <f>IF(B304="","",ROW()-4)</f>
        <v/>
      </c>
      <c r="B304" s="25" t="n"/>
      <c r="C304" s="24">
        <f>IF(B304="","",IFERROR(INDEX('Wózki'!$B$2:$B$500,MATCH(B304,'Wózki'!$A$2:$A$500,0))&amp;"",""))</f>
        <v/>
      </c>
      <c r="D304" s="26" t="n"/>
      <c r="E304" s="25" t="n"/>
      <c r="F304" s="25" t="n"/>
      <c r="G304" s="24">
        <f>IF(F304="","",IFERROR(INDEX(Pracownicy!$B$2:$B$2000,MATCH(F304,Pracownicy!$A$2:$A$2000,0))&amp;"",""))</f>
        <v/>
      </c>
      <c r="H304" s="25" t="n"/>
      <c r="I304" s="25" t="n"/>
      <c r="J304" s="25" t="n"/>
      <c r="K304" s="27" t="n"/>
      <c r="L304" s="25" t="n"/>
      <c r="M304" s="25" t="n"/>
      <c r="N304" s="27" t="n"/>
      <c r="O304" s="24">
        <f>IF(B304="","",IF(M304="","TAK",IFERROR(INDEX(Ustawienia!$K$4:$K$8,MATCH(M304,Ustawienia!$J$4:$J$8,0)),"TAK")))</f>
        <v/>
      </c>
      <c r="P304" s="28">
        <f>IF(OR(B304="",D304=""),"",IFERROR(INDEX('Dane rozpisek'!$B$2:$B$2600,MATCH(S304,'Dane rozpisek'!$H$2:$H$2600,0))&amp;": "&amp;INDEX('Dane rozpisek'!$E$2:$E$2600,MATCH(S304,'Dane rozpisek'!$H$2:$H$2600,0))&amp;IF(COUNTIF('Dane rozpisek'!$H$2:$H$2600,S304)&gt;1," (+"&amp;(COUNTIF('Dane rozpisek'!$H$2:$H$2600,S304)-1)&amp;")",""),"—"))</f>
        <v/>
      </c>
      <c r="Q304" s="24">
        <f>IF(AND(B304&lt;&gt;"",D304&lt;&gt;"",OR('Historia wózka'!$B$4="",B304='Historia wózka'!$B$4),D304&gt;='Historia wózka'!$B$5,D304&lt;='Historia wózka'!$B$6),D304+ROW()/1000000,0)</f>
        <v/>
      </c>
      <c r="R304" s="24">
        <f>IF(O304="TAK",IF(D304="",0,D304)+ROW()/1000000,0)</f>
        <v/>
      </c>
      <c r="S304" s="24">
        <f>IF(OR(B304="",D304=""),"",B304&amp;"|"&amp;D304)</f>
        <v/>
      </c>
    </row>
    <row r="305">
      <c r="A305" s="24">
        <f>IF(B305="","",ROW()-4)</f>
        <v/>
      </c>
      <c r="B305" s="25" t="n"/>
      <c r="C305" s="24">
        <f>IF(B305="","",IFERROR(INDEX('Wózki'!$B$2:$B$500,MATCH(B305,'Wózki'!$A$2:$A$500,0))&amp;"",""))</f>
        <v/>
      </c>
      <c r="D305" s="26" t="n"/>
      <c r="E305" s="25" t="n"/>
      <c r="F305" s="25" t="n"/>
      <c r="G305" s="24">
        <f>IF(F305="","",IFERROR(INDEX(Pracownicy!$B$2:$B$2000,MATCH(F305,Pracownicy!$A$2:$A$2000,0))&amp;"",""))</f>
        <v/>
      </c>
      <c r="H305" s="25" t="n"/>
      <c r="I305" s="25" t="n"/>
      <c r="J305" s="25" t="n"/>
      <c r="K305" s="27" t="n"/>
      <c r="L305" s="25" t="n"/>
      <c r="M305" s="25" t="n"/>
      <c r="N305" s="27" t="n"/>
      <c r="O305" s="24">
        <f>IF(B305="","",IF(M305="","TAK",IFERROR(INDEX(Ustawienia!$K$4:$K$8,MATCH(M305,Ustawienia!$J$4:$J$8,0)),"TAK")))</f>
        <v/>
      </c>
      <c r="P305" s="28">
        <f>IF(OR(B305="",D305=""),"",IFERROR(INDEX('Dane rozpisek'!$B$2:$B$2600,MATCH(S305,'Dane rozpisek'!$H$2:$H$2600,0))&amp;": "&amp;INDEX('Dane rozpisek'!$E$2:$E$2600,MATCH(S305,'Dane rozpisek'!$H$2:$H$2600,0))&amp;IF(COUNTIF('Dane rozpisek'!$H$2:$H$2600,S305)&gt;1," (+"&amp;(COUNTIF('Dane rozpisek'!$H$2:$H$2600,S305)-1)&amp;")",""),"—"))</f>
        <v/>
      </c>
      <c r="Q305" s="24">
        <f>IF(AND(B305&lt;&gt;"",D305&lt;&gt;"",OR('Historia wózka'!$B$4="",B305='Historia wózka'!$B$4),D305&gt;='Historia wózka'!$B$5,D305&lt;='Historia wózka'!$B$6),D305+ROW()/1000000,0)</f>
        <v/>
      </c>
      <c r="R305" s="24">
        <f>IF(O305="TAK",IF(D305="",0,D305)+ROW()/1000000,0)</f>
        <v/>
      </c>
      <c r="S305" s="24">
        <f>IF(OR(B305="",D305=""),"",B305&amp;"|"&amp;D305)</f>
        <v/>
      </c>
    </row>
    <row r="306">
      <c r="A306" s="24">
        <f>IF(B306="","",ROW()-4)</f>
        <v/>
      </c>
      <c r="B306" s="25" t="n"/>
      <c r="C306" s="24">
        <f>IF(B306="","",IFERROR(INDEX('Wózki'!$B$2:$B$500,MATCH(B306,'Wózki'!$A$2:$A$500,0))&amp;"",""))</f>
        <v/>
      </c>
      <c r="D306" s="26" t="n"/>
      <c r="E306" s="25" t="n"/>
      <c r="F306" s="25" t="n"/>
      <c r="G306" s="24">
        <f>IF(F306="","",IFERROR(INDEX(Pracownicy!$B$2:$B$2000,MATCH(F306,Pracownicy!$A$2:$A$2000,0))&amp;"",""))</f>
        <v/>
      </c>
      <c r="H306" s="25" t="n"/>
      <c r="I306" s="25" t="n"/>
      <c r="J306" s="25" t="n"/>
      <c r="K306" s="27" t="n"/>
      <c r="L306" s="25" t="n"/>
      <c r="M306" s="25" t="n"/>
      <c r="N306" s="27" t="n"/>
      <c r="O306" s="24">
        <f>IF(B306="","",IF(M306="","TAK",IFERROR(INDEX(Ustawienia!$K$4:$K$8,MATCH(M306,Ustawienia!$J$4:$J$8,0)),"TAK")))</f>
        <v/>
      </c>
      <c r="P306" s="28">
        <f>IF(OR(B306="",D306=""),"",IFERROR(INDEX('Dane rozpisek'!$B$2:$B$2600,MATCH(S306,'Dane rozpisek'!$H$2:$H$2600,0))&amp;": "&amp;INDEX('Dane rozpisek'!$E$2:$E$2600,MATCH(S306,'Dane rozpisek'!$H$2:$H$2600,0))&amp;IF(COUNTIF('Dane rozpisek'!$H$2:$H$2600,S306)&gt;1," (+"&amp;(COUNTIF('Dane rozpisek'!$H$2:$H$2600,S306)-1)&amp;")",""),"—"))</f>
        <v/>
      </c>
      <c r="Q306" s="24">
        <f>IF(AND(B306&lt;&gt;"",D306&lt;&gt;"",OR('Historia wózka'!$B$4="",B306='Historia wózka'!$B$4),D306&gt;='Historia wózka'!$B$5,D306&lt;='Historia wózka'!$B$6),D306+ROW()/1000000,0)</f>
        <v/>
      </c>
      <c r="R306" s="24">
        <f>IF(O306="TAK",IF(D306="",0,D306)+ROW()/1000000,0)</f>
        <v/>
      </c>
      <c r="S306" s="24">
        <f>IF(OR(B306="",D306=""),"",B306&amp;"|"&amp;D306)</f>
        <v/>
      </c>
    </row>
    <row r="307">
      <c r="A307" s="24">
        <f>IF(B307="","",ROW()-4)</f>
        <v/>
      </c>
      <c r="B307" s="25" t="n"/>
      <c r="C307" s="24">
        <f>IF(B307="","",IFERROR(INDEX('Wózki'!$B$2:$B$500,MATCH(B307,'Wózki'!$A$2:$A$500,0))&amp;"",""))</f>
        <v/>
      </c>
      <c r="D307" s="26" t="n"/>
      <c r="E307" s="25" t="n"/>
      <c r="F307" s="25" t="n"/>
      <c r="G307" s="24">
        <f>IF(F307="","",IFERROR(INDEX(Pracownicy!$B$2:$B$2000,MATCH(F307,Pracownicy!$A$2:$A$2000,0))&amp;"",""))</f>
        <v/>
      </c>
      <c r="H307" s="25" t="n"/>
      <c r="I307" s="25" t="n"/>
      <c r="J307" s="25" t="n"/>
      <c r="K307" s="27" t="n"/>
      <c r="L307" s="25" t="n"/>
      <c r="M307" s="25" t="n"/>
      <c r="N307" s="27" t="n"/>
      <c r="O307" s="24">
        <f>IF(B307="","",IF(M307="","TAK",IFERROR(INDEX(Ustawienia!$K$4:$K$8,MATCH(M307,Ustawienia!$J$4:$J$8,0)),"TAK")))</f>
        <v/>
      </c>
      <c r="P307" s="28">
        <f>IF(OR(B307="",D307=""),"",IFERROR(INDEX('Dane rozpisek'!$B$2:$B$2600,MATCH(S307,'Dane rozpisek'!$H$2:$H$2600,0))&amp;": "&amp;INDEX('Dane rozpisek'!$E$2:$E$2600,MATCH(S307,'Dane rozpisek'!$H$2:$H$2600,0))&amp;IF(COUNTIF('Dane rozpisek'!$H$2:$H$2600,S307)&gt;1," (+"&amp;(COUNTIF('Dane rozpisek'!$H$2:$H$2600,S307)-1)&amp;")",""),"—"))</f>
        <v/>
      </c>
      <c r="Q307" s="24">
        <f>IF(AND(B307&lt;&gt;"",D307&lt;&gt;"",OR('Historia wózka'!$B$4="",B307='Historia wózka'!$B$4),D307&gt;='Historia wózka'!$B$5,D307&lt;='Historia wózka'!$B$6),D307+ROW()/1000000,0)</f>
        <v/>
      </c>
      <c r="R307" s="24">
        <f>IF(O307="TAK",IF(D307="",0,D307)+ROW()/1000000,0)</f>
        <v/>
      </c>
      <c r="S307" s="24">
        <f>IF(OR(B307="",D307=""),"",B307&amp;"|"&amp;D307)</f>
        <v/>
      </c>
    </row>
    <row r="308">
      <c r="A308" s="24">
        <f>IF(B308="","",ROW()-4)</f>
        <v/>
      </c>
      <c r="B308" s="25" t="n"/>
      <c r="C308" s="24">
        <f>IF(B308="","",IFERROR(INDEX('Wózki'!$B$2:$B$500,MATCH(B308,'Wózki'!$A$2:$A$500,0))&amp;"",""))</f>
        <v/>
      </c>
      <c r="D308" s="26" t="n"/>
      <c r="E308" s="25" t="n"/>
      <c r="F308" s="25" t="n"/>
      <c r="G308" s="24">
        <f>IF(F308="","",IFERROR(INDEX(Pracownicy!$B$2:$B$2000,MATCH(F308,Pracownicy!$A$2:$A$2000,0))&amp;"",""))</f>
        <v/>
      </c>
      <c r="H308" s="25" t="n"/>
      <c r="I308" s="25" t="n"/>
      <c r="J308" s="25" t="n"/>
      <c r="K308" s="27" t="n"/>
      <c r="L308" s="25" t="n"/>
      <c r="M308" s="25" t="n"/>
      <c r="N308" s="27" t="n"/>
      <c r="O308" s="24">
        <f>IF(B308="","",IF(M308="","TAK",IFERROR(INDEX(Ustawienia!$K$4:$K$8,MATCH(M308,Ustawienia!$J$4:$J$8,0)),"TAK")))</f>
        <v/>
      </c>
      <c r="P308" s="28">
        <f>IF(OR(B308="",D308=""),"",IFERROR(INDEX('Dane rozpisek'!$B$2:$B$2600,MATCH(S308,'Dane rozpisek'!$H$2:$H$2600,0))&amp;": "&amp;INDEX('Dane rozpisek'!$E$2:$E$2600,MATCH(S308,'Dane rozpisek'!$H$2:$H$2600,0))&amp;IF(COUNTIF('Dane rozpisek'!$H$2:$H$2600,S308)&gt;1," (+"&amp;(COUNTIF('Dane rozpisek'!$H$2:$H$2600,S308)-1)&amp;")",""),"—"))</f>
        <v/>
      </c>
      <c r="Q308" s="24">
        <f>IF(AND(B308&lt;&gt;"",D308&lt;&gt;"",OR('Historia wózka'!$B$4="",B308='Historia wózka'!$B$4),D308&gt;='Historia wózka'!$B$5,D308&lt;='Historia wózka'!$B$6),D308+ROW()/1000000,0)</f>
        <v/>
      </c>
      <c r="R308" s="24">
        <f>IF(O308="TAK",IF(D308="",0,D308)+ROW()/1000000,0)</f>
        <v/>
      </c>
      <c r="S308" s="24">
        <f>IF(OR(B308="",D308=""),"",B308&amp;"|"&amp;D308)</f>
        <v/>
      </c>
    </row>
    <row r="309">
      <c r="A309" s="24">
        <f>IF(B309="","",ROW()-4)</f>
        <v/>
      </c>
      <c r="B309" s="25" t="n"/>
      <c r="C309" s="24">
        <f>IF(B309="","",IFERROR(INDEX('Wózki'!$B$2:$B$500,MATCH(B309,'Wózki'!$A$2:$A$500,0))&amp;"",""))</f>
        <v/>
      </c>
      <c r="D309" s="26" t="n"/>
      <c r="E309" s="25" t="n"/>
      <c r="F309" s="25" t="n"/>
      <c r="G309" s="24">
        <f>IF(F309="","",IFERROR(INDEX(Pracownicy!$B$2:$B$2000,MATCH(F309,Pracownicy!$A$2:$A$2000,0))&amp;"",""))</f>
        <v/>
      </c>
      <c r="H309" s="25" t="n"/>
      <c r="I309" s="25" t="n"/>
      <c r="J309" s="25" t="n"/>
      <c r="K309" s="27" t="n"/>
      <c r="L309" s="25" t="n"/>
      <c r="M309" s="25" t="n"/>
      <c r="N309" s="27" t="n"/>
      <c r="O309" s="24">
        <f>IF(B309="","",IF(M309="","TAK",IFERROR(INDEX(Ustawienia!$K$4:$K$8,MATCH(M309,Ustawienia!$J$4:$J$8,0)),"TAK")))</f>
        <v/>
      </c>
      <c r="P309" s="28">
        <f>IF(OR(B309="",D309=""),"",IFERROR(INDEX('Dane rozpisek'!$B$2:$B$2600,MATCH(S309,'Dane rozpisek'!$H$2:$H$2600,0))&amp;": "&amp;INDEX('Dane rozpisek'!$E$2:$E$2600,MATCH(S309,'Dane rozpisek'!$H$2:$H$2600,0))&amp;IF(COUNTIF('Dane rozpisek'!$H$2:$H$2600,S309)&gt;1," (+"&amp;(COUNTIF('Dane rozpisek'!$H$2:$H$2600,S309)-1)&amp;")",""),"—"))</f>
        <v/>
      </c>
      <c r="Q309" s="24">
        <f>IF(AND(B309&lt;&gt;"",D309&lt;&gt;"",OR('Historia wózka'!$B$4="",B309='Historia wózka'!$B$4),D309&gt;='Historia wózka'!$B$5,D309&lt;='Historia wózka'!$B$6),D309+ROW()/1000000,0)</f>
        <v/>
      </c>
      <c r="R309" s="24">
        <f>IF(O309="TAK",IF(D309="",0,D309)+ROW()/1000000,0)</f>
        <v/>
      </c>
      <c r="S309" s="24">
        <f>IF(OR(B309="",D309=""),"",B309&amp;"|"&amp;D309)</f>
        <v/>
      </c>
    </row>
    <row r="310">
      <c r="A310" s="24">
        <f>IF(B310="","",ROW()-4)</f>
        <v/>
      </c>
      <c r="B310" s="25" t="n"/>
      <c r="C310" s="24">
        <f>IF(B310="","",IFERROR(INDEX('Wózki'!$B$2:$B$500,MATCH(B310,'Wózki'!$A$2:$A$500,0))&amp;"",""))</f>
        <v/>
      </c>
      <c r="D310" s="26" t="n"/>
      <c r="E310" s="25" t="n"/>
      <c r="F310" s="25" t="n"/>
      <c r="G310" s="24">
        <f>IF(F310="","",IFERROR(INDEX(Pracownicy!$B$2:$B$2000,MATCH(F310,Pracownicy!$A$2:$A$2000,0))&amp;"",""))</f>
        <v/>
      </c>
      <c r="H310" s="25" t="n"/>
      <c r="I310" s="25" t="n"/>
      <c r="J310" s="25" t="n"/>
      <c r="K310" s="27" t="n"/>
      <c r="L310" s="25" t="n"/>
      <c r="M310" s="25" t="n"/>
      <c r="N310" s="27" t="n"/>
      <c r="O310" s="24">
        <f>IF(B310="","",IF(M310="","TAK",IFERROR(INDEX(Ustawienia!$K$4:$K$8,MATCH(M310,Ustawienia!$J$4:$J$8,0)),"TAK")))</f>
        <v/>
      </c>
      <c r="P310" s="28">
        <f>IF(OR(B310="",D310=""),"",IFERROR(INDEX('Dane rozpisek'!$B$2:$B$2600,MATCH(S310,'Dane rozpisek'!$H$2:$H$2600,0))&amp;": "&amp;INDEX('Dane rozpisek'!$E$2:$E$2600,MATCH(S310,'Dane rozpisek'!$H$2:$H$2600,0))&amp;IF(COUNTIF('Dane rozpisek'!$H$2:$H$2600,S310)&gt;1," (+"&amp;(COUNTIF('Dane rozpisek'!$H$2:$H$2600,S310)-1)&amp;")",""),"—"))</f>
        <v/>
      </c>
      <c r="Q310" s="24">
        <f>IF(AND(B310&lt;&gt;"",D310&lt;&gt;"",OR('Historia wózka'!$B$4="",B310='Historia wózka'!$B$4),D310&gt;='Historia wózka'!$B$5,D310&lt;='Historia wózka'!$B$6),D310+ROW()/1000000,0)</f>
        <v/>
      </c>
      <c r="R310" s="24">
        <f>IF(O310="TAK",IF(D310="",0,D310)+ROW()/1000000,0)</f>
        <v/>
      </c>
      <c r="S310" s="24">
        <f>IF(OR(B310="",D310=""),"",B310&amp;"|"&amp;D310)</f>
        <v/>
      </c>
    </row>
    <row r="311">
      <c r="A311" s="24">
        <f>IF(B311="","",ROW()-4)</f>
        <v/>
      </c>
      <c r="B311" s="25" t="n"/>
      <c r="C311" s="24">
        <f>IF(B311="","",IFERROR(INDEX('Wózki'!$B$2:$B$500,MATCH(B311,'Wózki'!$A$2:$A$500,0))&amp;"",""))</f>
        <v/>
      </c>
      <c r="D311" s="26" t="n"/>
      <c r="E311" s="25" t="n"/>
      <c r="F311" s="25" t="n"/>
      <c r="G311" s="24">
        <f>IF(F311="","",IFERROR(INDEX(Pracownicy!$B$2:$B$2000,MATCH(F311,Pracownicy!$A$2:$A$2000,0))&amp;"",""))</f>
        <v/>
      </c>
      <c r="H311" s="25" t="n"/>
      <c r="I311" s="25" t="n"/>
      <c r="J311" s="25" t="n"/>
      <c r="K311" s="27" t="n"/>
      <c r="L311" s="25" t="n"/>
      <c r="M311" s="25" t="n"/>
      <c r="N311" s="27" t="n"/>
      <c r="O311" s="24">
        <f>IF(B311="","",IF(M311="","TAK",IFERROR(INDEX(Ustawienia!$K$4:$K$8,MATCH(M311,Ustawienia!$J$4:$J$8,0)),"TAK")))</f>
        <v/>
      </c>
      <c r="P311" s="28">
        <f>IF(OR(B311="",D311=""),"",IFERROR(INDEX('Dane rozpisek'!$B$2:$B$2600,MATCH(S311,'Dane rozpisek'!$H$2:$H$2600,0))&amp;": "&amp;INDEX('Dane rozpisek'!$E$2:$E$2600,MATCH(S311,'Dane rozpisek'!$H$2:$H$2600,0))&amp;IF(COUNTIF('Dane rozpisek'!$H$2:$H$2600,S311)&gt;1," (+"&amp;(COUNTIF('Dane rozpisek'!$H$2:$H$2600,S311)-1)&amp;")",""),"—"))</f>
        <v/>
      </c>
      <c r="Q311" s="24">
        <f>IF(AND(B311&lt;&gt;"",D311&lt;&gt;"",OR('Historia wózka'!$B$4="",B311='Historia wózka'!$B$4),D311&gt;='Historia wózka'!$B$5,D311&lt;='Historia wózka'!$B$6),D311+ROW()/1000000,0)</f>
        <v/>
      </c>
      <c r="R311" s="24">
        <f>IF(O311="TAK",IF(D311="",0,D311)+ROW()/1000000,0)</f>
        <v/>
      </c>
      <c r="S311" s="24">
        <f>IF(OR(B311="",D311=""),"",B311&amp;"|"&amp;D311)</f>
        <v/>
      </c>
    </row>
    <row r="312">
      <c r="A312" s="24">
        <f>IF(B312="","",ROW()-4)</f>
        <v/>
      </c>
      <c r="B312" s="25" t="n"/>
      <c r="C312" s="24">
        <f>IF(B312="","",IFERROR(INDEX('Wózki'!$B$2:$B$500,MATCH(B312,'Wózki'!$A$2:$A$500,0))&amp;"",""))</f>
        <v/>
      </c>
      <c r="D312" s="26" t="n"/>
      <c r="E312" s="25" t="n"/>
      <c r="F312" s="25" t="n"/>
      <c r="G312" s="24">
        <f>IF(F312="","",IFERROR(INDEX(Pracownicy!$B$2:$B$2000,MATCH(F312,Pracownicy!$A$2:$A$2000,0))&amp;"",""))</f>
        <v/>
      </c>
      <c r="H312" s="25" t="n"/>
      <c r="I312" s="25" t="n"/>
      <c r="J312" s="25" t="n"/>
      <c r="K312" s="27" t="n"/>
      <c r="L312" s="25" t="n"/>
      <c r="M312" s="25" t="n"/>
      <c r="N312" s="27" t="n"/>
      <c r="O312" s="24">
        <f>IF(B312="","",IF(M312="","TAK",IFERROR(INDEX(Ustawienia!$K$4:$K$8,MATCH(M312,Ustawienia!$J$4:$J$8,0)),"TAK")))</f>
        <v/>
      </c>
      <c r="P312" s="28">
        <f>IF(OR(B312="",D312=""),"",IFERROR(INDEX('Dane rozpisek'!$B$2:$B$2600,MATCH(S312,'Dane rozpisek'!$H$2:$H$2600,0))&amp;": "&amp;INDEX('Dane rozpisek'!$E$2:$E$2600,MATCH(S312,'Dane rozpisek'!$H$2:$H$2600,0))&amp;IF(COUNTIF('Dane rozpisek'!$H$2:$H$2600,S312)&gt;1," (+"&amp;(COUNTIF('Dane rozpisek'!$H$2:$H$2600,S312)-1)&amp;")",""),"—"))</f>
        <v/>
      </c>
      <c r="Q312" s="24">
        <f>IF(AND(B312&lt;&gt;"",D312&lt;&gt;"",OR('Historia wózka'!$B$4="",B312='Historia wózka'!$B$4),D312&gt;='Historia wózka'!$B$5,D312&lt;='Historia wózka'!$B$6),D312+ROW()/1000000,0)</f>
        <v/>
      </c>
      <c r="R312" s="24">
        <f>IF(O312="TAK",IF(D312="",0,D312)+ROW()/1000000,0)</f>
        <v/>
      </c>
      <c r="S312" s="24">
        <f>IF(OR(B312="",D312=""),"",B312&amp;"|"&amp;D312)</f>
        <v/>
      </c>
    </row>
    <row r="313">
      <c r="A313" s="24">
        <f>IF(B313="","",ROW()-4)</f>
        <v/>
      </c>
      <c r="B313" s="25" t="n"/>
      <c r="C313" s="24">
        <f>IF(B313="","",IFERROR(INDEX('Wózki'!$B$2:$B$500,MATCH(B313,'Wózki'!$A$2:$A$500,0))&amp;"",""))</f>
        <v/>
      </c>
      <c r="D313" s="26" t="n"/>
      <c r="E313" s="25" t="n"/>
      <c r="F313" s="25" t="n"/>
      <c r="G313" s="24">
        <f>IF(F313="","",IFERROR(INDEX(Pracownicy!$B$2:$B$2000,MATCH(F313,Pracownicy!$A$2:$A$2000,0))&amp;"",""))</f>
        <v/>
      </c>
      <c r="H313" s="25" t="n"/>
      <c r="I313" s="25" t="n"/>
      <c r="J313" s="25" t="n"/>
      <c r="K313" s="27" t="n"/>
      <c r="L313" s="25" t="n"/>
      <c r="M313" s="25" t="n"/>
      <c r="N313" s="27" t="n"/>
      <c r="O313" s="24">
        <f>IF(B313="","",IF(M313="","TAK",IFERROR(INDEX(Ustawienia!$K$4:$K$8,MATCH(M313,Ustawienia!$J$4:$J$8,0)),"TAK")))</f>
        <v/>
      </c>
      <c r="P313" s="28">
        <f>IF(OR(B313="",D313=""),"",IFERROR(INDEX('Dane rozpisek'!$B$2:$B$2600,MATCH(S313,'Dane rozpisek'!$H$2:$H$2600,0))&amp;": "&amp;INDEX('Dane rozpisek'!$E$2:$E$2600,MATCH(S313,'Dane rozpisek'!$H$2:$H$2600,0))&amp;IF(COUNTIF('Dane rozpisek'!$H$2:$H$2600,S313)&gt;1," (+"&amp;(COUNTIF('Dane rozpisek'!$H$2:$H$2600,S313)-1)&amp;")",""),"—"))</f>
        <v/>
      </c>
      <c r="Q313" s="24">
        <f>IF(AND(B313&lt;&gt;"",D313&lt;&gt;"",OR('Historia wózka'!$B$4="",B313='Historia wózka'!$B$4),D313&gt;='Historia wózka'!$B$5,D313&lt;='Historia wózka'!$B$6),D313+ROW()/1000000,0)</f>
        <v/>
      </c>
      <c r="R313" s="24">
        <f>IF(O313="TAK",IF(D313="",0,D313)+ROW()/1000000,0)</f>
        <v/>
      </c>
      <c r="S313" s="24">
        <f>IF(OR(B313="",D313=""),"",B313&amp;"|"&amp;D313)</f>
        <v/>
      </c>
    </row>
    <row r="314">
      <c r="A314" s="24">
        <f>IF(B314="","",ROW()-4)</f>
        <v/>
      </c>
      <c r="B314" s="25" t="n"/>
      <c r="C314" s="24">
        <f>IF(B314="","",IFERROR(INDEX('Wózki'!$B$2:$B$500,MATCH(B314,'Wózki'!$A$2:$A$500,0))&amp;"",""))</f>
        <v/>
      </c>
      <c r="D314" s="26" t="n"/>
      <c r="E314" s="25" t="n"/>
      <c r="F314" s="25" t="n"/>
      <c r="G314" s="24">
        <f>IF(F314="","",IFERROR(INDEX(Pracownicy!$B$2:$B$2000,MATCH(F314,Pracownicy!$A$2:$A$2000,0))&amp;"",""))</f>
        <v/>
      </c>
      <c r="H314" s="25" t="n"/>
      <c r="I314" s="25" t="n"/>
      <c r="J314" s="25" t="n"/>
      <c r="K314" s="27" t="n"/>
      <c r="L314" s="25" t="n"/>
      <c r="M314" s="25" t="n"/>
      <c r="N314" s="27" t="n"/>
      <c r="O314" s="24">
        <f>IF(B314="","",IF(M314="","TAK",IFERROR(INDEX(Ustawienia!$K$4:$K$8,MATCH(M314,Ustawienia!$J$4:$J$8,0)),"TAK")))</f>
        <v/>
      </c>
      <c r="P314" s="28">
        <f>IF(OR(B314="",D314=""),"",IFERROR(INDEX('Dane rozpisek'!$B$2:$B$2600,MATCH(S314,'Dane rozpisek'!$H$2:$H$2600,0))&amp;": "&amp;INDEX('Dane rozpisek'!$E$2:$E$2600,MATCH(S314,'Dane rozpisek'!$H$2:$H$2600,0))&amp;IF(COUNTIF('Dane rozpisek'!$H$2:$H$2600,S314)&gt;1," (+"&amp;(COUNTIF('Dane rozpisek'!$H$2:$H$2600,S314)-1)&amp;")",""),"—"))</f>
        <v/>
      </c>
      <c r="Q314" s="24">
        <f>IF(AND(B314&lt;&gt;"",D314&lt;&gt;"",OR('Historia wózka'!$B$4="",B314='Historia wózka'!$B$4),D314&gt;='Historia wózka'!$B$5,D314&lt;='Historia wózka'!$B$6),D314+ROW()/1000000,0)</f>
        <v/>
      </c>
      <c r="R314" s="24">
        <f>IF(O314="TAK",IF(D314="",0,D314)+ROW()/1000000,0)</f>
        <v/>
      </c>
      <c r="S314" s="24">
        <f>IF(OR(B314="",D314=""),"",B314&amp;"|"&amp;D314)</f>
        <v/>
      </c>
    </row>
    <row r="315">
      <c r="A315" s="24">
        <f>IF(B315="","",ROW()-4)</f>
        <v/>
      </c>
      <c r="B315" s="25" t="n"/>
      <c r="C315" s="24">
        <f>IF(B315="","",IFERROR(INDEX('Wózki'!$B$2:$B$500,MATCH(B315,'Wózki'!$A$2:$A$500,0))&amp;"",""))</f>
        <v/>
      </c>
      <c r="D315" s="26" t="n"/>
      <c r="E315" s="25" t="n"/>
      <c r="F315" s="25" t="n"/>
      <c r="G315" s="24">
        <f>IF(F315="","",IFERROR(INDEX(Pracownicy!$B$2:$B$2000,MATCH(F315,Pracownicy!$A$2:$A$2000,0))&amp;"",""))</f>
        <v/>
      </c>
      <c r="H315" s="25" t="n"/>
      <c r="I315" s="25" t="n"/>
      <c r="J315" s="25" t="n"/>
      <c r="K315" s="27" t="n"/>
      <c r="L315" s="25" t="n"/>
      <c r="M315" s="25" t="n"/>
      <c r="N315" s="27" t="n"/>
      <c r="O315" s="24">
        <f>IF(B315="","",IF(M315="","TAK",IFERROR(INDEX(Ustawienia!$K$4:$K$8,MATCH(M315,Ustawienia!$J$4:$J$8,0)),"TAK")))</f>
        <v/>
      </c>
      <c r="P315" s="28">
        <f>IF(OR(B315="",D315=""),"",IFERROR(INDEX('Dane rozpisek'!$B$2:$B$2600,MATCH(S315,'Dane rozpisek'!$H$2:$H$2600,0))&amp;": "&amp;INDEX('Dane rozpisek'!$E$2:$E$2600,MATCH(S315,'Dane rozpisek'!$H$2:$H$2600,0))&amp;IF(COUNTIF('Dane rozpisek'!$H$2:$H$2600,S315)&gt;1," (+"&amp;(COUNTIF('Dane rozpisek'!$H$2:$H$2600,S315)-1)&amp;")",""),"—"))</f>
        <v/>
      </c>
      <c r="Q315" s="24">
        <f>IF(AND(B315&lt;&gt;"",D315&lt;&gt;"",OR('Historia wózka'!$B$4="",B315='Historia wózka'!$B$4),D315&gt;='Historia wózka'!$B$5,D315&lt;='Historia wózka'!$B$6),D315+ROW()/1000000,0)</f>
        <v/>
      </c>
      <c r="R315" s="24">
        <f>IF(O315="TAK",IF(D315="",0,D315)+ROW()/1000000,0)</f>
        <v/>
      </c>
      <c r="S315" s="24">
        <f>IF(OR(B315="",D315=""),"",B315&amp;"|"&amp;D315)</f>
        <v/>
      </c>
    </row>
    <row r="316">
      <c r="A316" s="24">
        <f>IF(B316="","",ROW()-4)</f>
        <v/>
      </c>
      <c r="B316" s="25" t="n"/>
      <c r="C316" s="24">
        <f>IF(B316="","",IFERROR(INDEX('Wózki'!$B$2:$B$500,MATCH(B316,'Wózki'!$A$2:$A$500,0))&amp;"",""))</f>
        <v/>
      </c>
      <c r="D316" s="26" t="n"/>
      <c r="E316" s="25" t="n"/>
      <c r="F316" s="25" t="n"/>
      <c r="G316" s="24">
        <f>IF(F316="","",IFERROR(INDEX(Pracownicy!$B$2:$B$2000,MATCH(F316,Pracownicy!$A$2:$A$2000,0))&amp;"",""))</f>
        <v/>
      </c>
      <c r="H316" s="25" t="n"/>
      <c r="I316" s="25" t="n"/>
      <c r="J316" s="25" t="n"/>
      <c r="K316" s="27" t="n"/>
      <c r="L316" s="25" t="n"/>
      <c r="M316" s="25" t="n"/>
      <c r="N316" s="27" t="n"/>
      <c r="O316" s="24">
        <f>IF(B316="","",IF(M316="","TAK",IFERROR(INDEX(Ustawienia!$K$4:$K$8,MATCH(M316,Ustawienia!$J$4:$J$8,0)),"TAK")))</f>
        <v/>
      </c>
      <c r="P316" s="28">
        <f>IF(OR(B316="",D316=""),"",IFERROR(INDEX('Dane rozpisek'!$B$2:$B$2600,MATCH(S316,'Dane rozpisek'!$H$2:$H$2600,0))&amp;": "&amp;INDEX('Dane rozpisek'!$E$2:$E$2600,MATCH(S316,'Dane rozpisek'!$H$2:$H$2600,0))&amp;IF(COUNTIF('Dane rozpisek'!$H$2:$H$2600,S316)&gt;1," (+"&amp;(COUNTIF('Dane rozpisek'!$H$2:$H$2600,S316)-1)&amp;")",""),"—"))</f>
        <v/>
      </c>
      <c r="Q316" s="24">
        <f>IF(AND(B316&lt;&gt;"",D316&lt;&gt;"",OR('Historia wózka'!$B$4="",B316='Historia wózka'!$B$4),D316&gt;='Historia wózka'!$B$5,D316&lt;='Historia wózka'!$B$6),D316+ROW()/1000000,0)</f>
        <v/>
      </c>
      <c r="R316" s="24">
        <f>IF(O316="TAK",IF(D316="",0,D316)+ROW()/1000000,0)</f>
        <v/>
      </c>
      <c r="S316" s="24">
        <f>IF(OR(B316="",D316=""),"",B316&amp;"|"&amp;D316)</f>
        <v/>
      </c>
    </row>
    <row r="317">
      <c r="A317" s="24">
        <f>IF(B317="","",ROW()-4)</f>
        <v/>
      </c>
      <c r="B317" s="25" t="n"/>
      <c r="C317" s="24">
        <f>IF(B317="","",IFERROR(INDEX('Wózki'!$B$2:$B$500,MATCH(B317,'Wózki'!$A$2:$A$500,0))&amp;"",""))</f>
        <v/>
      </c>
      <c r="D317" s="26" t="n"/>
      <c r="E317" s="25" t="n"/>
      <c r="F317" s="25" t="n"/>
      <c r="G317" s="24">
        <f>IF(F317="","",IFERROR(INDEX(Pracownicy!$B$2:$B$2000,MATCH(F317,Pracownicy!$A$2:$A$2000,0))&amp;"",""))</f>
        <v/>
      </c>
      <c r="H317" s="25" t="n"/>
      <c r="I317" s="25" t="n"/>
      <c r="J317" s="25" t="n"/>
      <c r="K317" s="27" t="n"/>
      <c r="L317" s="25" t="n"/>
      <c r="M317" s="25" t="n"/>
      <c r="N317" s="27" t="n"/>
      <c r="O317" s="24">
        <f>IF(B317="","",IF(M317="","TAK",IFERROR(INDEX(Ustawienia!$K$4:$K$8,MATCH(M317,Ustawienia!$J$4:$J$8,0)),"TAK")))</f>
        <v/>
      </c>
      <c r="P317" s="28">
        <f>IF(OR(B317="",D317=""),"",IFERROR(INDEX('Dane rozpisek'!$B$2:$B$2600,MATCH(S317,'Dane rozpisek'!$H$2:$H$2600,0))&amp;": "&amp;INDEX('Dane rozpisek'!$E$2:$E$2600,MATCH(S317,'Dane rozpisek'!$H$2:$H$2600,0))&amp;IF(COUNTIF('Dane rozpisek'!$H$2:$H$2600,S317)&gt;1," (+"&amp;(COUNTIF('Dane rozpisek'!$H$2:$H$2600,S317)-1)&amp;")",""),"—"))</f>
        <v/>
      </c>
      <c r="Q317" s="24">
        <f>IF(AND(B317&lt;&gt;"",D317&lt;&gt;"",OR('Historia wózka'!$B$4="",B317='Historia wózka'!$B$4),D317&gt;='Historia wózka'!$B$5,D317&lt;='Historia wózka'!$B$6),D317+ROW()/1000000,0)</f>
        <v/>
      </c>
      <c r="R317" s="24">
        <f>IF(O317="TAK",IF(D317="",0,D317)+ROW()/1000000,0)</f>
        <v/>
      </c>
      <c r="S317" s="24">
        <f>IF(OR(B317="",D317=""),"",B317&amp;"|"&amp;D317)</f>
        <v/>
      </c>
    </row>
    <row r="318">
      <c r="A318" s="24">
        <f>IF(B318="","",ROW()-4)</f>
        <v/>
      </c>
      <c r="B318" s="25" t="n"/>
      <c r="C318" s="24">
        <f>IF(B318="","",IFERROR(INDEX('Wózki'!$B$2:$B$500,MATCH(B318,'Wózki'!$A$2:$A$500,0))&amp;"",""))</f>
        <v/>
      </c>
      <c r="D318" s="26" t="n"/>
      <c r="E318" s="25" t="n"/>
      <c r="F318" s="25" t="n"/>
      <c r="G318" s="24">
        <f>IF(F318="","",IFERROR(INDEX(Pracownicy!$B$2:$B$2000,MATCH(F318,Pracownicy!$A$2:$A$2000,0))&amp;"",""))</f>
        <v/>
      </c>
      <c r="H318" s="25" t="n"/>
      <c r="I318" s="25" t="n"/>
      <c r="J318" s="25" t="n"/>
      <c r="K318" s="27" t="n"/>
      <c r="L318" s="25" t="n"/>
      <c r="M318" s="25" t="n"/>
      <c r="N318" s="27" t="n"/>
      <c r="O318" s="24">
        <f>IF(B318="","",IF(M318="","TAK",IFERROR(INDEX(Ustawienia!$K$4:$K$8,MATCH(M318,Ustawienia!$J$4:$J$8,0)),"TAK")))</f>
        <v/>
      </c>
      <c r="P318" s="28">
        <f>IF(OR(B318="",D318=""),"",IFERROR(INDEX('Dane rozpisek'!$B$2:$B$2600,MATCH(S318,'Dane rozpisek'!$H$2:$H$2600,0))&amp;": "&amp;INDEX('Dane rozpisek'!$E$2:$E$2600,MATCH(S318,'Dane rozpisek'!$H$2:$H$2600,0))&amp;IF(COUNTIF('Dane rozpisek'!$H$2:$H$2600,S318)&gt;1," (+"&amp;(COUNTIF('Dane rozpisek'!$H$2:$H$2600,S318)-1)&amp;")",""),"—"))</f>
        <v/>
      </c>
      <c r="Q318" s="24">
        <f>IF(AND(B318&lt;&gt;"",D318&lt;&gt;"",OR('Historia wózka'!$B$4="",B318='Historia wózka'!$B$4),D318&gt;='Historia wózka'!$B$5,D318&lt;='Historia wózka'!$B$6),D318+ROW()/1000000,0)</f>
        <v/>
      </c>
      <c r="R318" s="24">
        <f>IF(O318="TAK",IF(D318="",0,D318)+ROW()/1000000,0)</f>
        <v/>
      </c>
      <c r="S318" s="24">
        <f>IF(OR(B318="",D318=""),"",B318&amp;"|"&amp;D318)</f>
        <v/>
      </c>
    </row>
    <row r="319">
      <c r="A319" s="24">
        <f>IF(B319="","",ROW()-4)</f>
        <v/>
      </c>
      <c r="B319" s="25" t="n"/>
      <c r="C319" s="24">
        <f>IF(B319="","",IFERROR(INDEX('Wózki'!$B$2:$B$500,MATCH(B319,'Wózki'!$A$2:$A$500,0))&amp;"",""))</f>
        <v/>
      </c>
      <c r="D319" s="26" t="n"/>
      <c r="E319" s="25" t="n"/>
      <c r="F319" s="25" t="n"/>
      <c r="G319" s="24">
        <f>IF(F319="","",IFERROR(INDEX(Pracownicy!$B$2:$B$2000,MATCH(F319,Pracownicy!$A$2:$A$2000,0))&amp;"",""))</f>
        <v/>
      </c>
      <c r="H319" s="25" t="n"/>
      <c r="I319" s="25" t="n"/>
      <c r="J319" s="25" t="n"/>
      <c r="K319" s="27" t="n"/>
      <c r="L319" s="25" t="n"/>
      <c r="M319" s="25" t="n"/>
      <c r="N319" s="27" t="n"/>
      <c r="O319" s="24">
        <f>IF(B319="","",IF(M319="","TAK",IFERROR(INDEX(Ustawienia!$K$4:$K$8,MATCH(M319,Ustawienia!$J$4:$J$8,0)),"TAK")))</f>
        <v/>
      </c>
      <c r="P319" s="28">
        <f>IF(OR(B319="",D319=""),"",IFERROR(INDEX('Dane rozpisek'!$B$2:$B$2600,MATCH(S319,'Dane rozpisek'!$H$2:$H$2600,0))&amp;": "&amp;INDEX('Dane rozpisek'!$E$2:$E$2600,MATCH(S319,'Dane rozpisek'!$H$2:$H$2600,0))&amp;IF(COUNTIF('Dane rozpisek'!$H$2:$H$2600,S319)&gt;1," (+"&amp;(COUNTIF('Dane rozpisek'!$H$2:$H$2600,S319)-1)&amp;")",""),"—"))</f>
        <v/>
      </c>
      <c r="Q319" s="24">
        <f>IF(AND(B319&lt;&gt;"",D319&lt;&gt;"",OR('Historia wózka'!$B$4="",B319='Historia wózka'!$B$4),D319&gt;='Historia wózka'!$B$5,D319&lt;='Historia wózka'!$B$6),D319+ROW()/1000000,0)</f>
        <v/>
      </c>
      <c r="R319" s="24">
        <f>IF(O319="TAK",IF(D319="",0,D319)+ROW()/1000000,0)</f>
        <v/>
      </c>
      <c r="S319" s="24">
        <f>IF(OR(B319="",D319=""),"",B319&amp;"|"&amp;D319)</f>
        <v/>
      </c>
    </row>
    <row r="320">
      <c r="A320" s="24">
        <f>IF(B320="","",ROW()-4)</f>
        <v/>
      </c>
      <c r="B320" s="25" t="n"/>
      <c r="C320" s="24">
        <f>IF(B320="","",IFERROR(INDEX('Wózki'!$B$2:$B$500,MATCH(B320,'Wózki'!$A$2:$A$500,0))&amp;"",""))</f>
        <v/>
      </c>
      <c r="D320" s="26" t="n"/>
      <c r="E320" s="25" t="n"/>
      <c r="F320" s="25" t="n"/>
      <c r="G320" s="24">
        <f>IF(F320="","",IFERROR(INDEX(Pracownicy!$B$2:$B$2000,MATCH(F320,Pracownicy!$A$2:$A$2000,0))&amp;"",""))</f>
        <v/>
      </c>
      <c r="H320" s="25" t="n"/>
      <c r="I320" s="25" t="n"/>
      <c r="J320" s="25" t="n"/>
      <c r="K320" s="27" t="n"/>
      <c r="L320" s="25" t="n"/>
      <c r="M320" s="25" t="n"/>
      <c r="N320" s="27" t="n"/>
      <c r="O320" s="24">
        <f>IF(B320="","",IF(M320="","TAK",IFERROR(INDEX(Ustawienia!$K$4:$K$8,MATCH(M320,Ustawienia!$J$4:$J$8,0)),"TAK")))</f>
        <v/>
      </c>
      <c r="P320" s="28">
        <f>IF(OR(B320="",D320=""),"",IFERROR(INDEX('Dane rozpisek'!$B$2:$B$2600,MATCH(S320,'Dane rozpisek'!$H$2:$H$2600,0))&amp;": "&amp;INDEX('Dane rozpisek'!$E$2:$E$2600,MATCH(S320,'Dane rozpisek'!$H$2:$H$2600,0))&amp;IF(COUNTIF('Dane rozpisek'!$H$2:$H$2600,S320)&gt;1," (+"&amp;(COUNTIF('Dane rozpisek'!$H$2:$H$2600,S320)-1)&amp;")",""),"—"))</f>
        <v/>
      </c>
      <c r="Q320" s="24">
        <f>IF(AND(B320&lt;&gt;"",D320&lt;&gt;"",OR('Historia wózka'!$B$4="",B320='Historia wózka'!$B$4),D320&gt;='Historia wózka'!$B$5,D320&lt;='Historia wózka'!$B$6),D320+ROW()/1000000,0)</f>
        <v/>
      </c>
      <c r="R320" s="24">
        <f>IF(O320="TAK",IF(D320="",0,D320)+ROW()/1000000,0)</f>
        <v/>
      </c>
      <c r="S320" s="24">
        <f>IF(OR(B320="",D320=""),"",B320&amp;"|"&amp;D320)</f>
        <v/>
      </c>
    </row>
    <row r="321">
      <c r="A321" s="24">
        <f>IF(B321="","",ROW()-4)</f>
        <v/>
      </c>
      <c r="B321" s="25" t="n"/>
      <c r="C321" s="24">
        <f>IF(B321="","",IFERROR(INDEX('Wózki'!$B$2:$B$500,MATCH(B321,'Wózki'!$A$2:$A$500,0))&amp;"",""))</f>
        <v/>
      </c>
      <c r="D321" s="26" t="n"/>
      <c r="E321" s="25" t="n"/>
      <c r="F321" s="25" t="n"/>
      <c r="G321" s="24">
        <f>IF(F321="","",IFERROR(INDEX(Pracownicy!$B$2:$B$2000,MATCH(F321,Pracownicy!$A$2:$A$2000,0))&amp;"",""))</f>
        <v/>
      </c>
      <c r="H321" s="25" t="n"/>
      <c r="I321" s="25" t="n"/>
      <c r="J321" s="25" t="n"/>
      <c r="K321" s="27" t="n"/>
      <c r="L321" s="25" t="n"/>
      <c r="M321" s="25" t="n"/>
      <c r="N321" s="27" t="n"/>
      <c r="O321" s="24">
        <f>IF(B321="","",IF(M321="","TAK",IFERROR(INDEX(Ustawienia!$K$4:$K$8,MATCH(M321,Ustawienia!$J$4:$J$8,0)),"TAK")))</f>
        <v/>
      </c>
      <c r="P321" s="28">
        <f>IF(OR(B321="",D321=""),"",IFERROR(INDEX('Dane rozpisek'!$B$2:$B$2600,MATCH(S321,'Dane rozpisek'!$H$2:$H$2600,0))&amp;": "&amp;INDEX('Dane rozpisek'!$E$2:$E$2600,MATCH(S321,'Dane rozpisek'!$H$2:$H$2600,0))&amp;IF(COUNTIF('Dane rozpisek'!$H$2:$H$2600,S321)&gt;1," (+"&amp;(COUNTIF('Dane rozpisek'!$H$2:$H$2600,S321)-1)&amp;")",""),"—"))</f>
        <v/>
      </c>
      <c r="Q321" s="24">
        <f>IF(AND(B321&lt;&gt;"",D321&lt;&gt;"",OR('Historia wózka'!$B$4="",B321='Historia wózka'!$B$4),D321&gt;='Historia wózka'!$B$5,D321&lt;='Historia wózka'!$B$6),D321+ROW()/1000000,0)</f>
        <v/>
      </c>
      <c r="R321" s="24">
        <f>IF(O321="TAK",IF(D321="",0,D321)+ROW()/1000000,0)</f>
        <v/>
      </c>
      <c r="S321" s="24">
        <f>IF(OR(B321="",D321=""),"",B321&amp;"|"&amp;D321)</f>
        <v/>
      </c>
    </row>
    <row r="322">
      <c r="A322" s="24">
        <f>IF(B322="","",ROW()-4)</f>
        <v/>
      </c>
      <c r="B322" s="25" t="n"/>
      <c r="C322" s="24">
        <f>IF(B322="","",IFERROR(INDEX('Wózki'!$B$2:$B$500,MATCH(B322,'Wózki'!$A$2:$A$500,0))&amp;"",""))</f>
        <v/>
      </c>
      <c r="D322" s="26" t="n"/>
      <c r="E322" s="25" t="n"/>
      <c r="F322" s="25" t="n"/>
      <c r="G322" s="24">
        <f>IF(F322="","",IFERROR(INDEX(Pracownicy!$B$2:$B$2000,MATCH(F322,Pracownicy!$A$2:$A$2000,0))&amp;"",""))</f>
        <v/>
      </c>
      <c r="H322" s="25" t="n"/>
      <c r="I322" s="25" t="n"/>
      <c r="J322" s="25" t="n"/>
      <c r="K322" s="27" t="n"/>
      <c r="L322" s="25" t="n"/>
      <c r="M322" s="25" t="n"/>
      <c r="N322" s="27" t="n"/>
      <c r="O322" s="24">
        <f>IF(B322="","",IF(M322="","TAK",IFERROR(INDEX(Ustawienia!$K$4:$K$8,MATCH(M322,Ustawienia!$J$4:$J$8,0)),"TAK")))</f>
        <v/>
      </c>
      <c r="P322" s="28">
        <f>IF(OR(B322="",D322=""),"",IFERROR(INDEX('Dane rozpisek'!$B$2:$B$2600,MATCH(S322,'Dane rozpisek'!$H$2:$H$2600,0))&amp;": "&amp;INDEX('Dane rozpisek'!$E$2:$E$2600,MATCH(S322,'Dane rozpisek'!$H$2:$H$2600,0))&amp;IF(COUNTIF('Dane rozpisek'!$H$2:$H$2600,S322)&gt;1," (+"&amp;(COUNTIF('Dane rozpisek'!$H$2:$H$2600,S322)-1)&amp;")",""),"—"))</f>
        <v/>
      </c>
      <c r="Q322" s="24">
        <f>IF(AND(B322&lt;&gt;"",D322&lt;&gt;"",OR('Historia wózka'!$B$4="",B322='Historia wózka'!$B$4),D322&gt;='Historia wózka'!$B$5,D322&lt;='Historia wózka'!$B$6),D322+ROW()/1000000,0)</f>
        <v/>
      </c>
      <c r="R322" s="24">
        <f>IF(O322="TAK",IF(D322="",0,D322)+ROW()/1000000,0)</f>
        <v/>
      </c>
      <c r="S322" s="24">
        <f>IF(OR(B322="",D322=""),"",B322&amp;"|"&amp;D322)</f>
        <v/>
      </c>
    </row>
    <row r="323">
      <c r="A323" s="24">
        <f>IF(B323="","",ROW()-4)</f>
        <v/>
      </c>
      <c r="B323" s="25" t="n"/>
      <c r="C323" s="24">
        <f>IF(B323="","",IFERROR(INDEX('Wózki'!$B$2:$B$500,MATCH(B323,'Wózki'!$A$2:$A$500,0))&amp;"",""))</f>
        <v/>
      </c>
      <c r="D323" s="26" t="n"/>
      <c r="E323" s="25" t="n"/>
      <c r="F323" s="25" t="n"/>
      <c r="G323" s="24">
        <f>IF(F323="","",IFERROR(INDEX(Pracownicy!$B$2:$B$2000,MATCH(F323,Pracownicy!$A$2:$A$2000,0))&amp;"",""))</f>
        <v/>
      </c>
      <c r="H323" s="25" t="n"/>
      <c r="I323" s="25" t="n"/>
      <c r="J323" s="25" t="n"/>
      <c r="K323" s="27" t="n"/>
      <c r="L323" s="25" t="n"/>
      <c r="M323" s="25" t="n"/>
      <c r="N323" s="27" t="n"/>
      <c r="O323" s="24">
        <f>IF(B323="","",IF(M323="","TAK",IFERROR(INDEX(Ustawienia!$K$4:$K$8,MATCH(M323,Ustawienia!$J$4:$J$8,0)),"TAK")))</f>
        <v/>
      </c>
      <c r="P323" s="28">
        <f>IF(OR(B323="",D323=""),"",IFERROR(INDEX('Dane rozpisek'!$B$2:$B$2600,MATCH(S323,'Dane rozpisek'!$H$2:$H$2600,0))&amp;": "&amp;INDEX('Dane rozpisek'!$E$2:$E$2600,MATCH(S323,'Dane rozpisek'!$H$2:$H$2600,0))&amp;IF(COUNTIF('Dane rozpisek'!$H$2:$H$2600,S323)&gt;1," (+"&amp;(COUNTIF('Dane rozpisek'!$H$2:$H$2600,S323)-1)&amp;")",""),"—"))</f>
        <v/>
      </c>
      <c r="Q323" s="24">
        <f>IF(AND(B323&lt;&gt;"",D323&lt;&gt;"",OR('Historia wózka'!$B$4="",B323='Historia wózka'!$B$4),D323&gt;='Historia wózka'!$B$5,D323&lt;='Historia wózka'!$B$6),D323+ROW()/1000000,0)</f>
        <v/>
      </c>
      <c r="R323" s="24">
        <f>IF(O323="TAK",IF(D323="",0,D323)+ROW()/1000000,0)</f>
        <v/>
      </c>
      <c r="S323" s="24">
        <f>IF(OR(B323="",D323=""),"",B323&amp;"|"&amp;D323)</f>
        <v/>
      </c>
    </row>
    <row r="324">
      <c r="A324" s="24">
        <f>IF(B324="","",ROW()-4)</f>
        <v/>
      </c>
      <c r="B324" s="25" t="n"/>
      <c r="C324" s="24">
        <f>IF(B324="","",IFERROR(INDEX('Wózki'!$B$2:$B$500,MATCH(B324,'Wózki'!$A$2:$A$500,0))&amp;"",""))</f>
        <v/>
      </c>
      <c r="D324" s="26" t="n"/>
      <c r="E324" s="25" t="n"/>
      <c r="F324" s="25" t="n"/>
      <c r="G324" s="24">
        <f>IF(F324="","",IFERROR(INDEX(Pracownicy!$B$2:$B$2000,MATCH(F324,Pracownicy!$A$2:$A$2000,0))&amp;"",""))</f>
        <v/>
      </c>
      <c r="H324" s="25" t="n"/>
      <c r="I324" s="25" t="n"/>
      <c r="J324" s="25" t="n"/>
      <c r="K324" s="27" t="n"/>
      <c r="L324" s="25" t="n"/>
      <c r="M324" s="25" t="n"/>
      <c r="N324" s="27" t="n"/>
      <c r="O324" s="24">
        <f>IF(B324="","",IF(M324="","TAK",IFERROR(INDEX(Ustawienia!$K$4:$K$8,MATCH(M324,Ustawienia!$J$4:$J$8,0)),"TAK")))</f>
        <v/>
      </c>
      <c r="P324" s="28">
        <f>IF(OR(B324="",D324=""),"",IFERROR(INDEX('Dane rozpisek'!$B$2:$B$2600,MATCH(S324,'Dane rozpisek'!$H$2:$H$2600,0))&amp;": "&amp;INDEX('Dane rozpisek'!$E$2:$E$2600,MATCH(S324,'Dane rozpisek'!$H$2:$H$2600,0))&amp;IF(COUNTIF('Dane rozpisek'!$H$2:$H$2600,S324)&gt;1," (+"&amp;(COUNTIF('Dane rozpisek'!$H$2:$H$2600,S324)-1)&amp;")",""),"—"))</f>
        <v/>
      </c>
      <c r="Q324" s="24">
        <f>IF(AND(B324&lt;&gt;"",D324&lt;&gt;"",OR('Historia wózka'!$B$4="",B324='Historia wózka'!$B$4),D324&gt;='Historia wózka'!$B$5,D324&lt;='Historia wózka'!$B$6),D324+ROW()/1000000,0)</f>
        <v/>
      </c>
      <c r="R324" s="24">
        <f>IF(O324="TAK",IF(D324="",0,D324)+ROW()/1000000,0)</f>
        <v/>
      </c>
      <c r="S324" s="24">
        <f>IF(OR(B324="",D324=""),"",B324&amp;"|"&amp;D324)</f>
        <v/>
      </c>
    </row>
    <row r="325">
      <c r="A325" s="24">
        <f>IF(B325="","",ROW()-4)</f>
        <v/>
      </c>
      <c r="B325" s="25" t="n"/>
      <c r="C325" s="24">
        <f>IF(B325="","",IFERROR(INDEX('Wózki'!$B$2:$B$500,MATCH(B325,'Wózki'!$A$2:$A$500,0))&amp;"",""))</f>
        <v/>
      </c>
      <c r="D325" s="26" t="n"/>
      <c r="E325" s="25" t="n"/>
      <c r="F325" s="25" t="n"/>
      <c r="G325" s="24">
        <f>IF(F325="","",IFERROR(INDEX(Pracownicy!$B$2:$B$2000,MATCH(F325,Pracownicy!$A$2:$A$2000,0))&amp;"",""))</f>
        <v/>
      </c>
      <c r="H325" s="25" t="n"/>
      <c r="I325" s="25" t="n"/>
      <c r="J325" s="25" t="n"/>
      <c r="K325" s="27" t="n"/>
      <c r="L325" s="25" t="n"/>
      <c r="M325" s="25" t="n"/>
      <c r="N325" s="27" t="n"/>
      <c r="O325" s="24">
        <f>IF(B325="","",IF(M325="","TAK",IFERROR(INDEX(Ustawienia!$K$4:$K$8,MATCH(M325,Ustawienia!$J$4:$J$8,0)),"TAK")))</f>
        <v/>
      </c>
      <c r="P325" s="28">
        <f>IF(OR(B325="",D325=""),"",IFERROR(INDEX('Dane rozpisek'!$B$2:$B$2600,MATCH(S325,'Dane rozpisek'!$H$2:$H$2600,0))&amp;": "&amp;INDEX('Dane rozpisek'!$E$2:$E$2600,MATCH(S325,'Dane rozpisek'!$H$2:$H$2600,0))&amp;IF(COUNTIF('Dane rozpisek'!$H$2:$H$2600,S325)&gt;1," (+"&amp;(COUNTIF('Dane rozpisek'!$H$2:$H$2600,S325)-1)&amp;")",""),"—"))</f>
        <v/>
      </c>
      <c r="Q325" s="24">
        <f>IF(AND(B325&lt;&gt;"",D325&lt;&gt;"",OR('Historia wózka'!$B$4="",B325='Historia wózka'!$B$4),D325&gt;='Historia wózka'!$B$5,D325&lt;='Historia wózka'!$B$6),D325+ROW()/1000000,0)</f>
        <v/>
      </c>
      <c r="R325" s="24">
        <f>IF(O325="TAK",IF(D325="",0,D325)+ROW()/1000000,0)</f>
        <v/>
      </c>
      <c r="S325" s="24">
        <f>IF(OR(B325="",D325=""),"",B325&amp;"|"&amp;D325)</f>
        <v/>
      </c>
    </row>
    <row r="326">
      <c r="A326" s="24">
        <f>IF(B326="","",ROW()-4)</f>
        <v/>
      </c>
      <c r="B326" s="25" t="n"/>
      <c r="C326" s="24">
        <f>IF(B326="","",IFERROR(INDEX('Wózki'!$B$2:$B$500,MATCH(B326,'Wózki'!$A$2:$A$500,0))&amp;"",""))</f>
        <v/>
      </c>
      <c r="D326" s="26" t="n"/>
      <c r="E326" s="25" t="n"/>
      <c r="F326" s="25" t="n"/>
      <c r="G326" s="24">
        <f>IF(F326="","",IFERROR(INDEX(Pracownicy!$B$2:$B$2000,MATCH(F326,Pracownicy!$A$2:$A$2000,0))&amp;"",""))</f>
        <v/>
      </c>
      <c r="H326" s="25" t="n"/>
      <c r="I326" s="25" t="n"/>
      <c r="J326" s="25" t="n"/>
      <c r="K326" s="27" t="n"/>
      <c r="L326" s="25" t="n"/>
      <c r="M326" s="25" t="n"/>
      <c r="N326" s="27" t="n"/>
      <c r="O326" s="24">
        <f>IF(B326="","",IF(M326="","TAK",IFERROR(INDEX(Ustawienia!$K$4:$K$8,MATCH(M326,Ustawienia!$J$4:$J$8,0)),"TAK")))</f>
        <v/>
      </c>
      <c r="P326" s="28">
        <f>IF(OR(B326="",D326=""),"",IFERROR(INDEX('Dane rozpisek'!$B$2:$B$2600,MATCH(S326,'Dane rozpisek'!$H$2:$H$2600,0))&amp;": "&amp;INDEX('Dane rozpisek'!$E$2:$E$2600,MATCH(S326,'Dane rozpisek'!$H$2:$H$2600,0))&amp;IF(COUNTIF('Dane rozpisek'!$H$2:$H$2600,S326)&gt;1," (+"&amp;(COUNTIF('Dane rozpisek'!$H$2:$H$2600,S326)-1)&amp;")",""),"—"))</f>
        <v/>
      </c>
      <c r="Q326" s="24">
        <f>IF(AND(B326&lt;&gt;"",D326&lt;&gt;"",OR('Historia wózka'!$B$4="",B326='Historia wózka'!$B$4),D326&gt;='Historia wózka'!$B$5,D326&lt;='Historia wózka'!$B$6),D326+ROW()/1000000,0)</f>
        <v/>
      </c>
      <c r="R326" s="24">
        <f>IF(O326="TAK",IF(D326="",0,D326)+ROW()/1000000,0)</f>
        <v/>
      </c>
      <c r="S326" s="24">
        <f>IF(OR(B326="",D326=""),"",B326&amp;"|"&amp;D326)</f>
        <v/>
      </c>
    </row>
    <row r="327">
      <c r="A327" s="24">
        <f>IF(B327="","",ROW()-4)</f>
        <v/>
      </c>
      <c r="B327" s="25" t="n"/>
      <c r="C327" s="24">
        <f>IF(B327="","",IFERROR(INDEX('Wózki'!$B$2:$B$500,MATCH(B327,'Wózki'!$A$2:$A$500,0))&amp;"",""))</f>
        <v/>
      </c>
      <c r="D327" s="26" t="n"/>
      <c r="E327" s="25" t="n"/>
      <c r="F327" s="25" t="n"/>
      <c r="G327" s="24">
        <f>IF(F327="","",IFERROR(INDEX(Pracownicy!$B$2:$B$2000,MATCH(F327,Pracownicy!$A$2:$A$2000,0))&amp;"",""))</f>
        <v/>
      </c>
      <c r="H327" s="25" t="n"/>
      <c r="I327" s="25" t="n"/>
      <c r="J327" s="25" t="n"/>
      <c r="K327" s="27" t="n"/>
      <c r="L327" s="25" t="n"/>
      <c r="M327" s="25" t="n"/>
      <c r="N327" s="27" t="n"/>
      <c r="O327" s="24">
        <f>IF(B327="","",IF(M327="","TAK",IFERROR(INDEX(Ustawienia!$K$4:$K$8,MATCH(M327,Ustawienia!$J$4:$J$8,0)),"TAK")))</f>
        <v/>
      </c>
      <c r="P327" s="28">
        <f>IF(OR(B327="",D327=""),"",IFERROR(INDEX('Dane rozpisek'!$B$2:$B$2600,MATCH(S327,'Dane rozpisek'!$H$2:$H$2600,0))&amp;": "&amp;INDEX('Dane rozpisek'!$E$2:$E$2600,MATCH(S327,'Dane rozpisek'!$H$2:$H$2600,0))&amp;IF(COUNTIF('Dane rozpisek'!$H$2:$H$2600,S327)&gt;1," (+"&amp;(COUNTIF('Dane rozpisek'!$H$2:$H$2600,S327)-1)&amp;")",""),"—"))</f>
        <v/>
      </c>
      <c r="Q327" s="24">
        <f>IF(AND(B327&lt;&gt;"",D327&lt;&gt;"",OR('Historia wózka'!$B$4="",B327='Historia wózka'!$B$4),D327&gt;='Historia wózka'!$B$5,D327&lt;='Historia wózka'!$B$6),D327+ROW()/1000000,0)</f>
        <v/>
      </c>
      <c r="R327" s="24">
        <f>IF(O327="TAK",IF(D327="",0,D327)+ROW()/1000000,0)</f>
        <v/>
      </c>
      <c r="S327" s="24">
        <f>IF(OR(B327="",D327=""),"",B327&amp;"|"&amp;D327)</f>
        <v/>
      </c>
    </row>
    <row r="328">
      <c r="A328" s="24">
        <f>IF(B328="","",ROW()-4)</f>
        <v/>
      </c>
      <c r="B328" s="25" t="n"/>
      <c r="C328" s="24">
        <f>IF(B328="","",IFERROR(INDEX('Wózki'!$B$2:$B$500,MATCH(B328,'Wózki'!$A$2:$A$500,0))&amp;"",""))</f>
        <v/>
      </c>
      <c r="D328" s="26" t="n"/>
      <c r="E328" s="25" t="n"/>
      <c r="F328" s="25" t="n"/>
      <c r="G328" s="24">
        <f>IF(F328="","",IFERROR(INDEX(Pracownicy!$B$2:$B$2000,MATCH(F328,Pracownicy!$A$2:$A$2000,0))&amp;"",""))</f>
        <v/>
      </c>
      <c r="H328" s="25" t="n"/>
      <c r="I328" s="25" t="n"/>
      <c r="J328" s="25" t="n"/>
      <c r="K328" s="27" t="n"/>
      <c r="L328" s="25" t="n"/>
      <c r="M328" s="25" t="n"/>
      <c r="N328" s="27" t="n"/>
      <c r="O328" s="24">
        <f>IF(B328="","",IF(M328="","TAK",IFERROR(INDEX(Ustawienia!$K$4:$K$8,MATCH(M328,Ustawienia!$J$4:$J$8,0)),"TAK")))</f>
        <v/>
      </c>
      <c r="P328" s="28">
        <f>IF(OR(B328="",D328=""),"",IFERROR(INDEX('Dane rozpisek'!$B$2:$B$2600,MATCH(S328,'Dane rozpisek'!$H$2:$H$2600,0))&amp;": "&amp;INDEX('Dane rozpisek'!$E$2:$E$2600,MATCH(S328,'Dane rozpisek'!$H$2:$H$2600,0))&amp;IF(COUNTIF('Dane rozpisek'!$H$2:$H$2600,S328)&gt;1," (+"&amp;(COUNTIF('Dane rozpisek'!$H$2:$H$2600,S328)-1)&amp;")",""),"—"))</f>
        <v/>
      </c>
      <c r="Q328" s="24">
        <f>IF(AND(B328&lt;&gt;"",D328&lt;&gt;"",OR('Historia wózka'!$B$4="",B328='Historia wózka'!$B$4),D328&gt;='Historia wózka'!$B$5,D328&lt;='Historia wózka'!$B$6),D328+ROW()/1000000,0)</f>
        <v/>
      </c>
      <c r="R328" s="24">
        <f>IF(O328="TAK",IF(D328="",0,D328)+ROW()/1000000,0)</f>
        <v/>
      </c>
      <c r="S328" s="24">
        <f>IF(OR(B328="",D328=""),"",B328&amp;"|"&amp;D328)</f>
        <v/>
      </c>
    </row>
    <row r="329">
      <c r="A329" s="24">
        <f>IF(B329="","",ROW()-4)</f>
        <v/>
      </c>
      <c r="B329" s="25" t="n"/>
      <c r="C329" s="24">
        <f>IF(B329="","",IFERROR(INDEX('Wózki'!$B$2:$B$500,MATCH(B329,'Wózki'!$A$2:$A$500,0))&amp;"",""))</f>
        <v/>
      </c>
      <c r="D329" s="26" t="n"/>
      <c r="E329" s="25" t="n"/>
      <c r="F329" s="25" t="n"/>
      <c r="G329" s="24">
        <f>IF(F329="","",IFERROR(INDEX(Pracownicy!$B$2:$B$2000,MATCH(F329,Pracownicy!$A$2:$A$2000,0))&amp;"",""))</f>
        <v/>
      </c>
      <c r="H329" s="25" t="n"/>
      <c r="I329" s="25" t="n"/>
      <c r="J329" s="25" t="n"/>
      <c r="K329" s="27" t="n"/>
      <c r="L329" s="25" t="n"/>
      <c r="M329" s="25" t="n"/>
      <c r="N329" s="27" t="n"/>
      <c r="O329" s="24">
        <f>IF(B329="","",IF(M329="","TAK",IFERROR(INDEX(Ustawienia!$K$4:$K$8,MATCH(M329,Ustawienia!$J$4:$J$8,0)),"TAK")))</f>
        <v/>
      </c>
      <c r="P329" s="28">
        <f>IF(OR(B329="",D329=""),"",IFERROR(INDEX('Dane rozpisek'!$B$2:$B$2600,MATCH(S329,'Dane rozpisek'!$H$2:$H$2600,0))&amp;": "&amp;INDEX('Dane rozpisek'!$E$2:$E$2600,MATCH(S329,'Dane rozpisek'!$H$2:$H$2600,0))&amp;IF(COUNTIF('Dane rozpisek'!$H$2:$H$2600,S329)&gt;1," (+"&amp;(COUNTIF('Dane rozpisek'!$H$2:$H$2600,S329)-1)&amp;")",""),"—"))</f>
        <v/>
      </c>
      <c r="Q329" s="24">
        <f>IF(AND(B329&lt;&gt;"",D329&lt;&gt;"",OR('Historia wózka'!$B$4="",B329='Historia wózka'!$B$4),D329&gt;='Historia wózka'!$B$5,D329&lt;='Historia wózka'!$B$6),D329+ROW()/1000000,0)</f>
        <v/>
      </c>
      <c r="R329" s="24">
        <f>IF(O329="TAK",IF(D329="",0,D329)+ROW()/1000000,0)</f>
        <v/>
      </c>
      <c r="S329" s="24">
        <f>IF(OR(B329="",D329=""),"",B329&amp;"|"&amp;D329)</f>
        <v/>
      </c>
    </row>
    <row r="330">
      <c r="A330" s="24">
        <f>IF(B330="","",ROW()-4)</f>
        <v/>
      </c>
      <c r="B330" s="25" t="n"/>
      <c r="C330" s="24">
        <f>IF(B330="","",IFERROR(INDEX('Wózki'!$B$2:$B$500,MATCH(B330,'Wózki'!$A$2:$A$500,0))&amp;"",""))</f>
        <v/>
      </c>
      <c r="D330" s="26" t="n"/>
      <c r="E330" s="25" t="n"/>
      <c r="F330" s="25" t="n"/>
      <c r="G330" s="24">
        <f>IF(F330="","",IFERROR(INDEX(Pracownicy!$B$2:$B$2000,MATCH(F330,Pracownicy!$A$2:$A$2000,0))&amp;"",""))</f>
        <v/>
      </c>
      <c r="H330" s="25" t="n"/>
      <c r="I330" s="25" t="n"/>
      <c r="J330" s="25" t="n"/>
      <c r="K330" s="27" t="n"/>
      <c r="L330" s="25" t="n"/>
      <c r="M330" s="25" t="n"/>
      <c r="N330" s="27" t="n"/>
      <c r="O330" s="24">
        <f>IF(B330="","",IF(M330="","TAK",IFERROR(INDEX(Ustawienia!$K$4:$K$8,MATCH(M330,Ustawienia!$J$4:$J$8,0)),"TAK")))</f>
        <v/>
      </c>
      <c r="P330" s="28">
        <f>IF(OR(B330="",D330=""),"",IFERROR(INDEX('Dane rozpisek'!$B$2:$B$2600,MATCH(S330,'Dane rozpisek'!$H$2:$H$2600,0))&amp;": "&amp;INDEX('Dane rozpisek'!$E$2:$E$2600,MATCH(S330,'Dane rozpisek'!$H$2:$H$2600,0))&amp;IF(COUNTIF('Dane rozpisek'!$H$2:$H$2600,S330)&gt;1," (+"&amp;(COUNTIF('Dane rozpisek'!$H$2:$H$2600,S330)-1)&amp;")",""),"—"))</f>
        <v/>
      </c>
      <c r="Q330" s="24">
        <f>IF(AND(B330&lt;&gt;"",D330&lt;&gt;"",OR('Historia wózka'!$B$4="",B330='Historia wózka'!$B$4),D330&gt;='Historia wózka'!$B$5,D330&lt;='Historia wózka'!$B$6),D330+ROW()/1000000,0)</f>
        <v/>
      </c>
      <c r="R330" s="24">
        <f>IF(O330="TAK",IF(D330="",0,D330)+ROW()/1000000,0)</f>
        <v/>
      </c>
      <c r="S330" s="24">
        <f>IF(OR(B330="",D330=""),"",B330&amp;"|"&amp;D330)</f>
        <v/>
      </c>
    </row>
    <row r="331">
      <c r="A331" s="24">
        <f>IF(B331="","",ROW()-4)</f>
        <v/>
      </c>
      <c r="B331" s="25" t="n"/>
      <c r="C331" s="24">
        <f>IF(B331="","",IFERROR(INDEX('Wózki'!$B$2:$B$500,MATCH(B331,'Wózki'!$A$2:$A$500,0))&amp;"",""))</f>
        <v/>
      </c>
      <c r="D331" s="26" t="n"/>
      <c r="E331" s="25" t="n"/>
      <c r="F331" s="25" t="n"/>
      <c r="G331" s="24">
        <f>IF(F331="","",IFERROR(INDEX(Pracownicy!$B$2:$B$2000,MATCH(F331,Pracownicy!$A$2:$A$2000,0))&amp;"",""))</f>
        <v/>
      </c>
      <c r="H331" s="25" t="n"/>
      <c r="I331" s="25" t="n"/>
      <c r="J331" s="25" t="n"/>
      <c r="K331" s="27" t="n"/>
      <c r="L331" s="25" t="n"/>
      <c r="M331" s="25" t="n"/>
      <c r="N331" s="27" t="n"/>
      <c r="O331" s="24">
        <f>IF(B331="","",IF(M331="","TAK",IFERROR(INDEX(Ustawienia!$K$4:$K$8,MATCH(M331,Ustawienia!$J$4:$J$8,0)),"TAK")))</f>
        <v/>
      </c>
      <c r="P331" s="28">
        <f>IF(OR(B331="",D331=""),"",IFERROR(INDEX('Dane rozpisek'!$B$2:$B$2600,MATCH(S331,'Dane rozpisek'!$H$2:$H$2600,0))&amp;": "&amp;INDEX('Dane rozpisek'!$E$2:$E$2600,MATCH(S331,'Dane rozpisek'!$H$2:$H$2600,0))&amp;IF(COUNTIF('Dane rozpisek'!$H$2:$H$2600,S331)&gt;1," (+"&amp;(COUNTIF('Dane rozpisek'!$H$2:$H$2600,S331)-1)&amp;")",""),"—"))</f>
        <v/>
      </c>
      <c r="Q331" s="24">
        <f>IF(AND(B331&lt;&gt;"",D331&lt;&gt;"",OR('Historia wózka'!$B$4="",B331='Historia wózka'!$B$4),D331&gt;='Historia wózka'!$B$5,D331&lt;='Historia wózka'!$B$6),D331+ROW()/1000000,0)</f>
        <v/>
      </c>
      <c r="R331" s="24">
        <f>IF(O331="TAK",IF(D331="",0,D331)+ROW()/1000000,0)</f>
        <v/>
      </c>
      <c r="S331" s="24">
        <f>IF(OR(B331="",D331=""),"",B331&amp;"|"&amp;D331)</f>
        <v/>
      </c>
    </row>
    <row r="332">
      <c r="A332" s="24">
        <f>IF(B332="","",ROW()-4)</f>
        <v/>
      </c>
      <c r="B332" s="25" t="n"/>
      <c r="C332" s="24">
        <f>IF(B332="","",IFERROR(INDEX('Wózki'!$B$2:$B$500,MATCH(B332,'Wózki'!$A$2:$A$500,0))&amp;"",""))</f>
        <v/>
      </c>
      <c r="D332" s="26" t="n"/>
      <c r="E332" s="25" t="n"/>
      <c r="F332" s="25" t="n"/>
      <c r="G332" s="24">
        <f>IF(F332="","",IFERROR(INDEX(Pracownicy!$B$2:$B$2000,MATCH(F332,Pracownicy!$A$2:$A$2000,0))&amp;"",""))</f>
        <v/>
      </c>
      <c r="H332" s="25" t="n"/>
      <c r="I332" s="25" t="n"/>
      <c r="J332" s="25" t="n"/>
      <c r="K332" s="27" t="n"/>
      <c r="L332" s="25" t="n"/>
      <c r="M332" s="25" t="n"/>
      <c r="N332" s="27" t="n"/>
      <c r="O332" s="24">
        <f>IF(B332="","",IF(M332="","TAK",IFERROR(INDEX(Ustawienia!$K$4:$K$8,MATCH(M332,Ustawienia!$J$4:$J$8,0)),"TAK")))</f>
        <v/>
      </c>
      <c r="P332" s="28">
        <f>IF(OR(B332="",D332=""),"",IFERROR(INDEX('Dane rozpisek'!$B$2:$B$2600,MATCH(S332,'Dane rozpisek'!$H$2:$H$2600,0))&amp;": "&amp;INDEX('Dane rozpisek'!$E$2:$E$2600,MATCH(S332,'Dane rozpisek'!$H$2:$H$2600,0))&amp;IF(COUNTIF('Dane rozpisek'!$H$2:$H$2600,S332)&gt;1," (+"&amp;(COUNTIF('Dane rozpisek'!$H$2:$H$2600,S332)-1)&amp;")",""),"—"))</f>
        <v/>
      </c>
      <c r="Q332" s="24">
        <f>IF(AND(B332&lt;&gt;"",D332&lt;&gt;"",OR('Historia wózka'!$B$4="",B332='Historia wózka'!$B$4),D332&gt;='Historia wózka'!$B$5,D332&lt;='Historia wózka'!$B$6),D332+ROW()/1000000,0)</f>
        <v/>
      </c>
      <c r="R332" s="24">
        <f>IF(O332="TAK",IF(D332="",0,D332)+ROW()/1000000,0)</f>
        <v/>
      </c>
      <c r="S332" s="24">
        <f>IF(OR(B332="",D332=""),"",B332&amp;"|"&amp;D332)</f>
        <v/>
      </c>
    </row>
    <row r="333">
      <c r="A333" s="24">
        <f>IF(B333="","",ROW()-4)</f>
        <v/>
      </c>
      <c r="B333" s="25" t="n"/>
      <c r="C333" s="24">
        <f>IF(B333="","",IFERROR(INDEX('Wózki'!$B$2:$B$500,MATCH(B333,'Wózki'!$A$2:$A$500,0))&amp;"",""))</f>
        <v/>
      </c>
      <c r="D333" s="26" t="n"/>
      <c r="E333" s="25" t="n"/>
      <c r="F333" s="25" t="n"/>
      <c r="G333" s="24">
        <f>IF(F333="","",IFERROR(INDEX(Pracownicy!$B$2:$B$2000,MATCH(F333,Pracownicy!$A$2:$A$2000,0))&amp;"",""))</f>
        <v/>
      </c>
      <c r="H333" s="25" t="n"/>
      <c r="I333" s="25" t="n"/>
      <c r="J333" s="25" t="n"/>
      <c r="K333" s="27" t="n"/>
      <c r="L333" s="25" t="n"/>
      <c r="M333" s="25" t="n"/>
      <c r="N333" s="27" t="n"/>
      <c r="O333" s="24">
        <f>IF(B333="","",IF(M333="","TAK",IFERROR(INDEX(Ustawienia!$K$4:$K$8,MATCH(M333,Ustawienia!$J$4:$J$8,0)),"TAK")))</f>
        <v/>
      </c>
      <c r="P333" s="28">
        <f>IF(OR(B333="",D333=""),"",IFERROR(INDEX('Dane rozpisek'!$B$2:$B$2600,MATCH(S333,'Dane rozpisek'!$H$2:$H$2600,0))&amp;": "&amp;INDEX('Dane rozpisek'!$E$2:$E$2600,MATCH(S333,'Dane rozpisek'!$H$2:$H$2600,0))&amp;IF(COUNTIF('Dane rozpisek'!$H$2:$H$2600,S333)&gt;1," (+"&amp;(COUNTIF('Dane rozpisek'!$H$2:$H$2600,S333)-1)&amp;")",""),"—"))</f>
        <v/>
      </c>
      <c r="Q333" s="24">
        <f>IF(AND(B333&lt;&gt;"",D333&lt;&gt;"",OR('Historia wózka'!$B$4="",B333='Historia wózka'!$B$4),D333&gt;='Historia wózka'!$B$5,D333&lt;='Historia wózka'!$B$6),D333+ROW()/1000000,0)</f>
        <v/>
      </c>
      <c r="R333" s="24">
        <f>IF(O333="TAK",IF(D333="",0,D333)+ROW()/1000000,0)</f>
        <v/>
      </c>
      <c r="S333" s="24">
        <f>IF(OR(B333="",D333=""),"",B333&amp;"|"&amp;D333)</f>
        <v/>
      </c>
    </row>
    <row r="334">
      <c r="A334" s="24">
        <f>IF(B334="","",ROW()-4)</f>
        <v/>
      </c>
      <c r="B334" s="25" t="n"/>
      <c r="C334" s="24">
        <f>IF(B334="","",IFERROR(INDEX('Wózki'!$B$2:$B$500,MATCH(B334,'Wózki'!$A$2:$A$500,0))&amp;"",""))</f>
        <v/>
      </c>
      <c r="D334" s="26" t="n"/>
      <c r="E334" s="25" t="n"/>
      <c r="F334" s="25" t="n"/>
      <c r="G334" s="24">
        <f>IF(F334="","",IFERROR(INDEX(Pracownicy!$B$2:$B$2000,MATCH(F334,Pracownicy!$A$2:$A$2000,0))&amp;"",""))</f>
        <v/>
      </c>
      <c r="H334" s="25" t="n"/>
      <c r="I334" s="25" t="n"/>
      <c r="J334" s="25" t="n"/>
      <c r="K334" s="27" t="n"/>
      <c r="L334" s="25" t="n"/>
      <c r="M334" s="25" t="n"/>
      <c r="N334" s="27" t="n"/>
      <c r="O334" s="24">
        <f>IF(B334="","",IF(M334="","TAK",IFERROR(INDEX(Ustawienia!$K$4:$K$8,MATCH(M334,Ustawienia!$J$4:$J$8,0)),"TAK")))</f>
        <v/>
      </c>
      <c r="P334" s="28">
        <f>IF(OR(B334="",D334=""),"",IFERROR(INDEX('Dane rozpisek'!$B$2:$B$2600,MATCH(S334,'Dane rozpisek'!$H$2:$H$2600,0))&amp;": "&amp;INDEX('Dane rozpisek'!$E$2:$E$2600,MATCH(S334,'Dane rozpisek'!$H$2:$H$2600,0))&amp;IF(COUNTIF('Dane rozpisek'!$H$2:$H$2600,S334)&gt;1," (+"&amp;(COUNTIF('Dane rozpisek'!$H$2:$H$2600,S334)-1)&amp;")",""),"—"))</f>
        <v/>
      </c>
      <c r="Q334" s="24">
        <f>IF(AND(B334&lt;&gt;"",D334&lt;&gt;"",OR('Historia wózka'!$B$4="",B334='Historia wózka'!$B$4),D334&gt;='Historia wózka'!$B$5,D334&lt;='Historia wózka'!$B$6),D334+ROW()/1000000,0)</f>
        <v/>
      </c>
      <c r="R334" s="24">
        <f>IF(O334="TAK",IF(D334="",0,D334)+ROW()/1000000,0)</f>
        <v/>
      </c>
      <c r="S334" s="24">
        <f>IF(OR(B334="",D334=""),"",B334&amp;"|"&amp;D334)</f>
        <v/>
      </c>
    </row>
    <row r="335">
      <c r="A335" s="24">
        <f>IF(B335="","",ROW()-4)</f>
        <v/>
      </c>
      <c r="B335" s="25" t="n"/>
      <c r="C335" s="24">
        <f>IF(B335="","",IFERROR(INDEX('Wózki'!$B$2:$B$500,MATCH(B335,'Wózki'!$A$2:$A$500,0))&amp;"",""))</f>
        <v/>
      </c>
      <c r="D335" s="26" t="n"/>
      <c r="E335" s="25" t="n"/>
      <c r="F335" s="25" t="n"/>
      <c r="G335" s="24">
        <f>IF(F335="","",IFERROR(INDEX(Pracownicy!$B$2:$B$2000,MATCH(F335,Pracownicy!$A$2:$A$2000,0))&amp;"",""))</f>
        <v/>
      </c>
      <c r="H335" s="25" t="n"/>
      <c r="I335" s="25" t="n"/>
      <c r="J335" s="25" t="n"/>
      <c r="K335" s="27" t="n"/>
      <c r="L335" s="25" t="n"/>
      <c r="M335" s="25" t="n"/>
      <c r="N335" s="27" t="n"/>
      <c r="O335" s="24">
        <f>IF(B335="","",IF(M335="","TAK",IFERROR(INDEX(Ustawienia!$K$4:$K$8,MATCH(M335,Ustawienia!$J$4:$J$8,0)),"TAK")))</f>
        <v/>
      </c>
      <c r="P335" s="28">
        <f>IF(OR(B335="",D335=""),"",IFERROR(INDEX('Dane rozpisek'!$B$2:$B$2600,MATCH(S335,'Dane rozpisek'!$H$2:$H$2600,0))&amp;": "&amp;INDEX('Dane rozpisek'!$E$2:$E$2600,MATCH(S335,'Dane rozpisek'!$H$2:$H$2600,0))&amp;IF(COUNTIF('Dane rozpisek'!$H$2:$H$2600,S335)&gt;1," (+"&amp;(COUNTIF('Dane rozpisek'!$H$2:$H$2600,S335)-1)&amp;")",""),"—"))</f>
        <v/>
      </c>
      <c r="Q335" s="24">
        <f>IF(AND(B335&lt;&gt;"",D335&lt;&gt;"",OR('Historia wózka'!$B$4="",B335='Historia wózka'!$B$4),D335&gt;='Historia wózka'!$B$5,D335&lt;='Historia wózka'!$B$6),D335+ROW()/1000000,0)</f>
        <v/>
      </c>
      <c r="R335" s="24">
        <f>IF(O335="TAK",IF(D335="",0,D335)+ROW()/1000000,0)</f>
        <v/>
      </c>
      <c r="S335" s="24">
        <f>IF(OR(B335="",D335=""),"",B335&amp;"|"&amp;D335)</f>
        <v/>
      </c>
    </row>
    <row r="336">
      <c r="A336" s="24">
        <f>IF(B336="","",ROW()-4)</f>
        <v/>
      </c>
      <c r="B336" s="25" t="n"/>
      <c r="C336" s="24">
        <f>IF(B336="","",IFERROR(INDEX('Wózki'!$B$2:$B$500,MATCH(B336,'Wózki'!$A$2:$A$500,0))&amp;"",""))</f>
        <v/>
      </c>
      <c r="D336" s="26" t="n"/>
      <c r="E336" s="25" t="n"/>
      <c r="F336" s="25" t="n"/>
      <c r="G336" s="24">
        <f>IF(F336="","",IFERROR(INDEX(Pracownicy!$B$2:$B$2000,MATCH(F336,Pracownicy!$A$2:$A$2000,0))&amp;"",""))</f>
        <v/>
      </c>
      <c r="H336" s="25" t="n"/>
      <c r="I336" s="25" t="n"/>
      <c r="J336" s="25" t="n"/>
      <c r="K336" s="27" t="n"/>
      <c r="L336" s="25" t="n"/>
      <c r="M336" s="25" t="n"/>
      <c r="N336" s="27" t="n"/>
      <c r="O336" s="24">
        <f>IF(B336="","",IF(M336="","TAK",IFERROR(INDEX(Ustawienia!$K$4:$K$8,MATCH(M336,Ustawienia!$J$4:$J$8,0)),"TAK")))</f>
        <v/>
      </c>
      <c r="P336" s="28">
        <f>IF(OR(B336="",D336=""),"",IFERROR(INDEX('Dane rozpisek'!$B$2:$B$2600,MATCH(S336,'Dane rozpisek'!$H$2:$H$2600,0))&amp;": "&amp;INDEX('Dane rozpisek'!$E$2:$E$2600,MATCH(S336,'Dane rozpisek'!$H$2:$H$2600,0))&amp;IF(COUNTIF('Dane rozpisek'!$H$2:$H$2600,S336)&gt;1," (+"&amp;(COUNTIF('Dane rozpisek'!$H$2:$H$2600,S336)-1)&amp;")",""),"—"))</f>
        <v/>
      </c>
      <c r="Q336" s="24">
        <f>IF(AND(B336&lt;&gt;"",D336&lt;&gt;"",OR('Historia wózka'!$B$4="",B336='Historia wózka'!$B$4),D336&gt;='Historia wózka'!$B$5,D336&lt;='Historia wózka'!$B$6),D336+ROW()/1000000,0)</f>
        <v/>
      </c>
      <c r="R336" s="24">
        <f>IF(O336="TAK",IF(D336="",0,D336)+ROW()/1000000,0)</f>
        <v/>
      </c>
      <c r="S336" s="24">
        <f>IF(OR(B336="",D336=""),"",B336&amp;"|"&amp;D336)</f>
        <v/>
      </c>
    </row>
    <row r="337">
      <c r="A337" s="24">
        <f>IF(B337="","",ROW()-4)</f>
        <v/>
      </c>
      <c r="B337" s="25" t="n"/>
      <c r="C337" s="24">
        <f>IF(B337="","",IFERROR(INDEX('Wózki'!$B$2:$B$500,MATCH(B337,'Wózki'!$A$2:$A$500,0))&amp;"",""))</f>
        <v/>
      </c>
      <c r="D337" s="26" t="n"/>
      <c r="E337" s="25" t="n"/>
      <c r="F337" s="25" t="n"/>
      <c r="G337" s="24">
        <f>IF(F337="","",IFERROR(INDEX(Pracownicy!$B$2:$B$2000,MATCH(F337,Pracownicy!$A$2:$A$2000,0))&amp;"",""))</f>
        <v/>
      </c>
      <c r="H337" s="25" t="n"/>
      <c r="I337" s="25" t="n"/>
      <c r="J337" s="25" t="n"/>
      <c r="K337" s="27" t="n"/>
      <c r="L337" s="25" t="n"/>
      <c r="M337" s="25" t="n"/>
      <c r="N337" s="27" t="n"/>
      <c r="O337" s="24">
        <f>IF(B337="","",IF(M337="","TAK",IFERROR(INDEX(Ustawienia!$K$4:$K$8,MATCH(M337,Ustawienia!$J$4:$J$8,0)),"TAK")))</f>
        <v/>
      </c>
      <c r="P337" s="28">
        <f>IF(OR(B337="",D337=""),"",IFERROR(INDEX('Dane rozpisek'!$B$2:$B$2600,MATCH(S337,'Dane rozpisek'!$H$2:$H$2600,0))&amp;": "&amp;INDEX('Dane rozpisek'!$E$2:$E$2600,MATCH(S337,'Dane rozpisek'!$H$2:$H$2600,0))&amp;IF(COUNTIF('Dane rozpisek'!$H$2:$H$2600,S337)&gt;1," (+"&amp;(COUNTIF('Dane rozpisek'!$H$2:$H$2600,S337)-1)&amp;")",""),"—"))</f>
        <v/>
      </c>
      <c r="Q337" s="24">
        <f>IF(AND(B337&lt;&gt;"",D337&lt;&gt;"",OR('Historia wózka'!$B$4="",B337='Historia wózka'!$B$4),D337&gt;='Historia wózka'!$B$5,D337&lt;='Historia wózka'!$B$6),D337+ROW()/1000000,0)</f>
        <v/>
      </c>
      <c r="R337" s="24">
        <f>IF(O337="TAK",IF(D337="",0,D337)+ROW()/1000000,0)</f>
        <v/>
      </c>
      <c r="S337" s="24">
        <f>IF(OR(B337="",D337=""),"",B337&amp;"|"&amp;D337)</f>
        <v/>
      </c>
    </row>
    <row r="338">
      <c r="A338" s="24">
        <f>IF(B338="","",ROW()-4)</f>
        <v/>
      </c>
      <c r="B338" s="25" t="n"/>
      <c r="C338" s="24">
        <f>IF(B338="","",IFERROR(INDEX('Wózki'!$B$2:$B$500,MATCH(B338,'Wózki'!$A$2:$A$500,0))&amp;"",""))</f>
        <v/>
      </c>
      <c r="D338" s="26" t="n"/>
      <c r="E338" s="25" t="n"/>
      <c r="F338" s="25" t="n"/>
      <c r="G338" s="24">
        <f>IF(F338="","",IFERROR(INDEX(Pracownicy!$B$2:$B$2000,MATCH(F338,Pracownicy!$A$2:$A$2000,0))&amp;"",""))</f>
        <v/>
      </c>
      <c r="H338" s="25" t="n"/>
      <c r="I338" s="25" t="n"/>
      <c r="J338" s="25" t="n"/>
      <c r="K338" s="27" t="n"/>
      <c r="L338" s="25" t="n"/>
      <c r="M338" s="25" t="n"/>
      <c r="N338" s="27" t="n"/>
      <c r="O338" s="24">
        <f>IF(B338="","",IF(M338="","TAK",IFERROR(INDEX(Ustawienia!$K$4:$K$8,MATCH(M338,Ustawienia!$J$4:$J$8,0)),"TAK")))</f>
        <v/>
      </c>
      <c r="P338" s="28">
        <f>IF(OR(B338="",D338=""),"",IFERROR(INDEX('Dane rozpisek'!$B$2:$B$2600,MATCH(S338,'Dane rozpisek'!$H$2:$H$2600,0))&amp;": "&amp;INDEX('Dane rozpisek'!$E$2:$E$2600,MATCH(S338,'Dane rozpisek'!$H$2:$H$2600,0))&amp;IF(COUNTIF('Dane rozpisek'!$H$2:$H$2600,S338)&gt;1," (+"&amp;(COUNTIF('Dane rozpisek'!$H$2:$H$2600,S338)-1)&amp;")",""),"—"))</f>
        <v/>
      </c>
      <c r="Q338" s="24">
        <f>IF(AND(B338&lt;&gt;"",D338&lt;&gt;"",OR('Historia wózka'!$B$4="",B338='Historia wózka'!$B$4),D338&gt;='Historia wózka'!$B$5,D338&lt;='Historia wózka'!$B$6),D338+ROW()/1000000,0)</f>
        <v/>
      </c>
      <c r="R338" s="24">
        <f>IF(O338="TAK",IF(D338="",0,D338)+ROW()/1000000,0)</f>
        <v/>
      </c>
      <c r="S338" s="24">
        <f>IF(OR(B338="",D338=""),"",B338&amp;"|"&amp;D338)</f>
        <v/>
      </c>
    </row>
    <row r="339">
      <c r="A339" s="24">
        <f>IF(B339="","",ROW()-4)</f>
        <v/>
      </c>
      <c r="B339" s="25" t="n"/>
      <c r="C339" s="24">
        <f>IF(B339="","",IFERROR(INDEX('Wózki'!$B$2:$B$500,MATCH(B339,'Wózki'!$A$2:$A$500,0))&amp;"",""))</f>
        <v/>
      </c>
      <c r="D339" s="26" t="n"/>
      <c r="E339" s="25" t="n"/>
      <c r="F339" s="25" t="n"/>
      <c r="G339" s="24">
        <f>IF(F339="","",IFERROR(INDEX(Pracownicy!$B$2:$B$2000,MATCH(F339,Pracownicy!$A$2:$A$2000,0))&amp;"",""))</f>
        <v/>
      </c>
      <c r="H339" s="25" t="n"/>
      <c r="I339" s="25" t="n"/>
      <c r="J339" s="25" t="n"/>
      <c r="K339" s="27" t="n"/>
      <c r="L339" s="25" t="n"/>
      <c r="M339" s="25" t="n"/>
      <c r="N339" s="27" t="n"/>
      <c r="O339" s="24">
        <f>IF(B339="","",IF(M339="","TAK",IFERROR(INDEX(Ustawienia!$K$4:$K$8,MATCH(M339,Ustawienia!$J$4:$J$8,0)),"TAK")))</f>
        <v/>
      </c>
      <c r="P339" s="28">
        <f>IF(OR(B339="",D339=""),"",IFERROR(INDEX('Dane rozpisek'!$B$2:$B$2600,MATCH(S339,'Dane rozpisek'!$H$2:$H$2600,0))&amp;": "&amp;INDEX('Dane rozpisek'!$E$2:$E$2600,MATCH(S339,'Dane rozpisek'!$H$2:$H$2600,0))&amp;IF(COUNTIF('Dane rozpisek'!$H$2:$H$2600,S339)&gt;1," (+"&amp;(COUNTIF('Dane rozpisek'!$H$2:$H$2600,S339)-1)&amp;")",""),"—"))</f>
        <v/>
      </c>
      <c r="Q339" s="24">
        <f>IF(AND(B339&lt;&gt;"",D339&lt;&gt;"",OR('Historia wózka'!$B$4="",B339='Historia wózka'!$B$4),D339&gt;='Historia wózka'!$B$5,D339&lt;='Historia wózka'!$B$6),D339+ROW()/1000000,0)</f>
        <v/>
      </c>
      <c r="R339" s="24">
        <f>IF(O339="TAK",IF(D339="",0,D339)+ROW()/1000000,0)</f>
        <v/>
      </c>
      <c r="S339" s="24">
        <f>IF(OR(B339="",D339=""),"",B339&amp;"|"&amp;D339)</f>
        <v/>
      </c>
    </row>
    <row r="340">
      <c r="A340" s="24">
        <f>IF(B340="","",ROW()-4)</f>
        <v/>
      </c>
      <c r="B340" s="25" t="n"/>
      <c r="C340" s="24">
        <f>IF(B340="","",IFERROR(INDEX('Wózki'!$B$2:$B$500,MATCH(B340,'Wózki'!$A$2:$A$500,0))&amp;"",""))</f>
        <v/>
      </c>
      <c r="D340" s="26" t="n"/>
      <c r="E340" s="25" t="n"/>
      <c r="F340" s="25" t="n"/>
      <c r="G340" s="24">
        <f>IF(F340="","",IFERROR(INDEX(Pracownicy!$B$2:$B$2000,MATCH(F340,Pracownicy!$A$2:$A$2000,0))&amp;"",""))</f>
        <v/>
      </c>
      <c r="H340" s="25" t="n"/>
      <c r="I340" s="25" t="n"/>
      <c r="J340" s="25" t="n"/>
      <c r="K340" s="27" t="n"/>
      <c r="L340" s="25" t="n"/>
      <c r="M340" s="25" t="n"/>
      <c r="N340" s="27" t="n"/>
      <c r="O340" s="24">
        <f>IF(B340="","",IF(M340="","TAK",IFERROR(INDEX(Ustawienia!$K$4:$K$8,MATCH(M340,Ustawienia!$J$4:$J$8,0)),"TAK")))</f>
        <v/>
      </c>
      <c r="P340" s="28">
        <f>IF(OR(B340="",D340=""),"",IFERROR(INDEX('Dane rozpisek'!$B$2:$B$2600,MATCH(S340,'Dane rozpisek'!$H$2:$H$2600,0))&amp;": "&amp;INDEX('Dane rozpisek'!$E$2:$E$2600,MATCH(S340,'Dane rozpisek'!$H$2:$H$2600,0))&amp;IF(COUNTIF('Dane rozpisek'!$H$2:$H$2600,S340)&gt;1," (+"&amp;(COUNTIF('Dane rozpisek'!$H$2:$H$2600,S340)-1)&amp;")",""),"—"))</f>
        <v/>
      </c>
      <c r="Q340" s="24">
        <f>IF(AND(B340&lt;&gt;"",D340&lt;&gt;"",OR('Historia wózka'!$B$4="",B340='Historia wózka'!$B$4),D340&gt;='Historia wózka'!$B$5,D340&lt;='Historia wózka'!$B$6),D340+ROW()/1000000,0)</f>
        <v/>
      </c>
      <c r="R340" s="24">
        <f>IF(O340="TAK",IF(D340="",0,D340)+ROW()/1000000,0)</f>
        <v/>
      </c>
      <c r="S340" s="24">
        <f>IF(OR(B340="",D340=""),"",B340&amp;"|"&amp;D340)</f>
        <v/>
      </c>
    </row>
    <row r="341">
      <c r="A341" s="24">
        <f>IF(B341="","",ROW()-4)</f>
        <v/>
      </c>
      <c r="B341" s="25" t="n"/>
      <c r="C341" s="24">
        <f>IF(B341="","",IFERROR(INDEX('Wózki'!$B$2:$B$500,MATCH(B341,'Wózki'!$A$2:$A$500,0))&amp;"",""))</f>
        <v/>
      </c>
      <c r="D341" s="26" t="n"/>
      <c r="E341" s="25" t="n"/>
      <c r="F341" s="25" t="n"/>
      <c r="G341" s="24">
        <f>IF(F341="","",IFERROR(INDEX(Pracownicy!$B$2:$B$2000,MATCH(F341,Pracownicy!$A$2:$A$2000,0))&amp;"",""))</f>
        <v/>
      </c>
      <c r="H341" s="25" t="n"/>
      <c r="I341" s="25" t="n"/>
      <c r="J341" s="25" t="n"/>
      <c r="K341" s="27" t="n"/>
      <c r="L341" s="25" t="n"/>
      <c r="M341" s="25" t="n"/>
      <c r="N341" s="27" t="n"/>
      <c r="O341" s="24">
        <f>IF(B341="","",IF(M341="","TAK",IFERROR(INDEX(Ustawienia!$K$4:$K$8,MATCH(M341,Ustawienia!$J$4:$J$8,0)),"TAK")))</f>
        <v/>
      </c>
      <c r="P341" s="28">
        <f>IF(OR(B341="",D341=""),"",IFERROR(INDEX('Dane rozpisek'!$B$2:$B$2600,MATCH(S341,'Dane rozpisek'!$H$2:$H$2600,0))&amp;": "&amp;INDEX('Dane rozpisek'!$E$2:$E$2600,MATCH(S341,'Dane rozpisek'!$H$2:$H$2600,0))&amp;IF(COUNTIF('Dane rozpisek'!$H$2:$H$2600,S341)&gt;1," (+"&amp;(COUNTIF('Dane rozpisek'!$H$2:$H$2600,S341)-1)&amp;")",""),"—"))</f>
        <v/>
      </c>
      <c r="Q341" s="24">
        <f>IF(AND(B341&lt;&gt;"",D341&lt;&gt;"",OR('Historia wózka'!$B$4="",B341='Historia wózka'!$B$4),D341&gt;='Historia wózka'!$B$5,D341&lt;='Historia wózka'!$B$6),D341+ROW()/1000000,0)</f>
        <v/>
      </c>
      <c r="R341" s="24">
        <f>IF(O341="TAK",IF(D341="",0,D341)+ROW()/1000000,0)</f>
        <v/>
      </c>
      <c r="S341" s="24">
        <f>IF(OR(B341="",D341=""),"",B341&amp;"|"&amp;D341)</f>
        <v/>
      </c>
    </row>
    <row r="342">
      <c r="A342" s="24">
        <f>IF(B342="","",ROW()-4)</f>
        <v/>
      </c>
      <c r="B342" s="25" t="n"/>
      <c r="C342" s="24">
        <f>IF(B342="","",IFERROR(INDEX('Wózki'!$B$2:$B$500,MATCH(B342,'Wózki'!$A$2:$A$500,0))&amp;"",""))</f>
        <v/>
      </c>
      <c r="D342" s="26" t="n"/>
      <c r="E342" s="25" t="n"/>
      <c r="F342" s="25" t="n"/>
      <c r="G342" s="24">
        <f>IF(F342="","",IFERROR(INDEX(Pracownicy!$B$2:$B$2000,MATCH(F342,Pracownicy!$A$2:$A$2000,0))&amp;"",""))</f>
        <v/>
      </c>
      <c r="H342" s="25" t="n"/>
      <c r="I342" s="25" t="n"/>
      <c r="J342" s="25" t="n"/>
      <c r="K342" s="27" t="n"/>
      <c r="L342" s="25" t="n"/>
      <c r="M342" s="25" t="n"/>
      <c r="N342" s="27" t="n"/>
      <c r="O342" s="24">
        <f>IF(B342="","",IF(M342="","TAK",IFERROR(INDEX(Ustawienia!$K$4:$K$8,MATCH(M342,Ustawienia!$J$4:$J$8,0)),"TAK")))</f>
        <v/>
      </c>
      <c r="P342" s="28">
        <f>IF(OR(B342="",D342=""),"",IFERROR(INDEX('Dane rozpisek'!$B$2:$B$2600,MATCH(S342,'Dane rozpisek'!$H$2:$H$2600,0))&amp;": "&amp;INDEX('Dane rozpisek'!$E$2:$E$2600,MATCH(S342,'Dane rozpisek'!$H$2:$H$2600,0))&amp;IF(COUNTIF('Dane rozpisek'!$H$2:$H$2600,S342)&gt;1," (+"&amp;(COUNTIF('Dane rozpisek'!$H$2:$H$2600,S342)-1)&amp;")",""),"—"))</f>
        <v/>
      </c>
      <c r="Q342" s="24">
        <f>IF(AND(B342&lt;&gt;"",D342&lt;&gt;"",OR('Historia wózka'!$B$4="",B342='Historia wózka'!$B$4),D342&gt;='Historia wózka'!$B$5,D342&lt;='Historia wózka'!$B$6),D342+ROW()/1000000,0)</f>
        <v/>
      </c>
      <c r="R342" s="24">
        <f>IF(O342="TAK",IF(D342="",0,D342)+ROW()/1000000,0)</f>
        <v/>
      </c>
      <c r="S342" s="24">
        <f>IF(OR(B342="",D342=""),"",B342&amp;"|"&amp;D342)</f>
        <v/>
      </c>
    </row>
    <row r="343">
      <c r="A343" s="24">
        <f>IF(B343="","",ROW()-4)</f>
        <v/>
      </c>
      <c r="B343" s="25" t="n"/>
      <c r="C343" s="24">
        <f>IF(B343="","",IFERROR(INDEX('Wózki'!$B$2:$B$500,MATCH(B343,'Wózki'!$A$2:$A$500,0))&amp;"",""))</f>
        <v/>
      </c>
      <c r="D343" s="26" t="n"/>
      <c r="E343" s="25" t="n"/>
      <c r="F343" s="25" t="n"/>
      <c r="G343" s="24">
        <f>IF(F343="","",IFERROR(INDEX(Pracownicy!$B$2:$B$2000,MATCH(F343,Pracownicy!$A$2:$A$2000,0))&amp;"",""))</f>
        <v/>
      </c>
      <c r="H343" s="25" t="n"/>
      <c r="I343" s="25" t="n"/>
      <c r="J343" s="25" t="n"/>
      <c r="K343" s="27" t="n"/>
      <c r="L343" s="25" t="n"/>
      <c r="M343" s="25" t="n"/>
      <c r="N343" s="27" t="n"/>
      <c r="O343" s="24">
        <f>IF(B343="","",IF(M343="","TAK",IFERROR(INDEX(Ustawienia!$K$4:$K$8,MATCH(M343,Ustawienia!$J$4:$J$8,0)),"TAK")))</f>
        <v/>
      </c>
      <c r="P343" s="28">
        <f>IF(OR(B343="",D343=""),"",IFERROR(INDEX('Dane rozpisek'!$B$2:$B$2600,MATCH(S343,'Dane rozpisek'!$H$2:$H$2600,0))&amp;": "&amp;INDEX('Dane rozpisek'!$E$2:$E$2600,MATCH(S343,'Dane rozpisek'!$H$2:$H$2600,0))&amp;IF(COUNTIF('Dane rozpisek'!$H$2:$H$2600,S343)&gt;1," (+"&amp;(COUNTIF('Dane rozpisek'!$H$2:$H$2600,S343)-1)&amp;")",""),"—"))</f>
        <v/>
      </c>
      <c r="Q343" s="24">
        <f>IF(AND(B343&lt;&gt;"",D343&lt;&gt;"",OR('Historia wózka'!$B$4="",B343='Historia wózka'!$B$4),D343&gt;='Historia wózka'!$B$5,D343&lt;='Historia wózka'!$B$6),D343+ROW()/1000000,0)</f>
        <v/>
      </c>
      <c r="R343" s="24">
        <f>IF(O343="TAK",IF(D343="",0,D343)+ROW()/1000000,0)</f>
        <v/>
      </c>
      <c r="S343" s="24">
        <f>IF(OR(B343="",D343=""),"",B343&amp;"|"&amp;D343)</f>
        <v/>
      </c>
    </row>
    <row r="344">
      <c r="A344" s="24">
        <f>IF(B344="","",ROW()-4)</f>
        <v/>
      </c>
      <c r="B344" s="25" t="n"/>
      <c r="C344" s="24">
        <f>IF(B344="","",IFERROR(INDEX('Wózki'!$B$2:$B$500,MATCH(B344,'Wózki'!$A$2:$A$500,0))&amp;"",""))</f>
        <v/>
      </c>
      <c r="D344" s="26" t="n"/>
      <c r="E344" s="25" t="n"/>
      <c r="F344" s="25" t="n"/>
      <c r="G344" s="24">
        <f>IF(F344="","",IFERROR(INDEX(Pracownicy!$B$2:$B$2000,MATCH(F344,Pracownicy!$A$2:$A$2000,0))&amp;"",""))</f>
        <v/>
      </c>
      <c r="H344" s="25" t="n"/>
      <c r="I344" s="25" t="n"/>
      <c r="J344" s="25" t="n"/>
      <c r="K344" s="27" t="n"/>
      <c r="L344" s="25" t="n"/>
      <c r="M344" s="25" t="n"/>
      <c r="N344" s="27" t="n"/>
      <c r="O344" s="24">
        <f>IF(B344="","",IF(M344="","TAK",IFERROR(INDEX(Ustawienia!$K$4:$K$8,MATCH(M344,Ustawienia!$J$4:$J$8,0)),"TAK")))</f>
        <v/>
      </c>
      <c r="P344" s="28">
        <f>IF(OR(B344="",D344=""),"",IFERROR(INDEX('Dane rozpisek'!$B$2:$B$2600,MATCH(S344,'Dane rozpisek'!$H$2:$H$2600,0))&amp;": "&amp;INDEX('Dane rozpisek'!$E$2:$E$2600,MATCH(S344,'Dane rozpisek'!$H$2:$H$2600,0))&amp;IF(COUNTIF('Dane rozpisek'!$H$2:$H$2600,S344)&gt;1," (+"&amp;(COUNTIF('Dane rozpisek'!$H$2:$H$2600,S344)-1)&amp;")",""),"—"))</f>
        <v/>
      </c>
      <c r="Q344" s="24">
        <f>IF(AND(B344&lt;&gt;"",D344&lt;&gt;"",OR('Historia wózka'!$B$4="",B344='Historia wózka'!$B$4),D344&gt;='Historia wózka'!$B$5,D344&lt;='Historia wózka'!$B$6),D344+ROW()/1000000,0)</f>
        <v/>
      </c>
      <c r="R344" s="24">
        <f>IF(O344="TAK",IF(D344="",0,D344)+ROW()/1000000,0)</f>
        <v/>
      </c>
      <c r="S344" s="24">
        <f>IF(OR(B344="",D344=""),"",B344&amp;"|"&amp;D344)</f>
        <v/>
      </c>
    </row>
    <row r="345">
      <c r="A345" s="24">
        <f>IF(B345="","",ROW()-4)</f>
        <v/>
      </c>
      <c r="B345" s="25" t="n"/>
      <c r="C345" s="24">
        <f>IF(B345="","",IFERROR(INDEX('Wózki'!$B$2:$B$500,MATCH(B345,'Wózki'!$A$2:$A$500,0))&amp;"",""))</f>
        <v/>
      </c>
      <c r="D345" s="26" t="n"/>
      <c r="E345" s="25" t="n"/>
      <c r="F345" s="25" t="n"/>
      <c r="G345" s="24">
        <f>IF(F345="","",IFERROR(INDEX(Pracownicy!$B$2:$B$2000,MATCH(F345,Pracownicy!$A$2:$A$2000,0))&amp;"",""))</f>
        <v/>
      </c>
      <c r="H345" s="25" t="n"/>
      <c r="I345" s="25" t="n"/>
      <c r="J345" s="25" t="n"/>
      <c r="K345" s="27" t="n"/>
      <c r="L345" s="25" t="n"/>
      <c r="M345" s="25" t="n"/>
      <c r="N345" s="27" t="n"/>
      <c r="O345" s="24">
        <f>IF(B345="","",IF(M345="","TAK",IFERROR(INDEX(Ustawienia!$K$4:$K$8,MATCH(M345,Ustawienia!$J$4:$J$8,0)),"TAK")))</f>
        <v/>
      </c>
      <c r="P345" s="28">
        <f>IF(OR(B345="",D345=""),"",IFERROR(INDEX('Dane rozpisek'!$B$2:$B$2600,MATCH(S345,'Dane rozpisek'!$H$2:$H$2600,0))&amp;": "&amp;INDEX('Dane rozpisek'!$E$2:$E$2600,MATCH(S345,'Dane rozpisek'!$H$2:$H$2600,0))&amp;IF(COUNTIF('Dane rozpisek'!$H$2:$H$2600,S345)&gt;1," (+"&amp;(COUNTIF('Dane rozpisek'!$H$2:$H$2600,S345)-1)&amp;")",""),"—"))</f>
        <v/>
      </c>
      <c r="Q345" s="24">
        <f>IF(AND(B345&lt;&gt;"",D345&lt;&gt;"",OR('Historia wózka'!$B$4="",B345='Historia wózka'!$B$4),D345&gt;='Historia wózka'!$B$5,D345&lt;='Historia wózka'!$B$6),D345+ROW()/1000000,0)</f>
        <v/>
      </c>
      <c r="R345" s="24">
        <f>IF(O345="TAK",IF(D345="",0,D345)+ROW()/1000000,0)</f>
        <v/>
      </c>
      <c r="S345" s="24">
        <f>IF(OR(B345="",D345=""),"",B345&amp;"|"&amp;D345)</f>
        <v/>
      </c>
    </row>
    <row r="346">
      <c r="A346" s="24">
        <f>IF(B346="","",ROW()-4)</f>
        <v/>
      </c>
      <c r="B346" s="25" t="n"/>
      <c r="C346" s="24">
        <f>IF(B346="","",IFERROR(INDEX('Wózki'!$B$2:$B$500,MATCH(B346,'Wózki'!$A$2:$A$500,0))&amp;"",""))</f>
        <v/>
      </c>
      <c r="D346" s="26" t="n"/>
      <c r="E346" s="25" t="n"/>
      <c r="F346" s="25" t="n"/>
      <c r="G346" s="24">
        <f>IF(F346="","",IFERROR(INDEX(Pracownicy!$B$2:$B$2000,MATCH(F346,Pracownicy!$A$2:$A$2000,0))&amp;"",""))</f>
        <v/>
      </c>
      <c r="H346" s="25" t="n"/>
      <c r="I346" s="25" t="n"/>
      <c r="J346" s="25" t="n"/>
      <c r="K346" s="27" t="n"/>
      <c r="L346" s="25" t="n"/>
      <c r="M346" s="25" t="n"/>
      <c r="N346" s="27" t="n"/>
      <c r="O346" s="24">
        <f>IF(B346="","",IF(M346="","TAK",IFERROR(INDEX(Ustawienia!$K$4:$K$8,MATCH(M346,Ustawienia!$J$4:$J$8,0)),"TAK")))</f>
        <v/>
      </c>
      <c r="P346" s="28">
        <f>IF(OR(B346="",D346=""),"",IFERROR(INDEX('Dane rozpisek'!$B$2:$B$2600,MATCH(S346,'Dane rozpisek'!$H$2:$H$2600,0))&amp;": "&amp;INDEX('Dane rozpisek'!$E$2:$E$2600,MATCH(S346,'Dane rozpisek'!$H$2:$H$2600,0))&amp;IF(COUNTIF('Dane rozpisek'!$H$2:$H$2600,S346)&gt;1," (+"&amp;(COUNTIF('Dane rozpisek'!$H$2:$H$2600,S346)-1)&amp;")",""),"—"))</f>
        <v/>
      </c>
      <c r="Q346" s="24">
        <f>IF(AND(B346&lt;&gt;"",D346&lt;&gt;"",OR('Historia wózka'!$B$4="",B346='Historia wózka'!$B$4),D346&gt;='Historia wózka'!$B$5,D346&lt;='Historia wózka'!$B$6),D346+ROW()/1000000,0)</f>
        <v/>
      </c>
      <c r="R346" s="24">
        <f>IF(O346="TAK",IF(D346="",0,D346)+ROW()/1000000,0)</f>
        <v/>
      </c>
      <c r="S346" s="24">
        <f>IF(OR(B346="",D346=""),"",B346&amp;"|"&amp;D346)</f>
        <v/>
      </c>
    </row>
    <row r="347">
      <c r="A347" s="24">
        <f>IF(B347="","",ROW()-4)</f>
        <v/>
      </c>
      <c r="B347" s="25" t="n"/>
      <c r="C347" s="24">
        <f>IF(B347="","",IFERROR(INDEX('Wózki'!$B$2:$B$500,MATCH(B347,'Wózki'!$A$2:$A$500,0))&amp;"",""))</f>
        <v/>
      </c>
      <c r="D347" s="26" t="n"/>
      <c r="E347" s="25" t="n"/>
      <c r="F347" s="25" t="n"/>
      <c r="G347" s="24">
        <f>IF(F347="","",IFERROR(INDEX(Pracownicy!$B$2:$B$2000,MATCH(F347,Pracownicy!$A$2:$A$2000,0))&amp;"",""))</f>
        <v/>
      </c>
      <c r="H347" s="25" t="n"/>
      <c r="I347" s="25" t="n"/>
      <c r="J347" s="25" t="n"/>
      <c r="K347" s="27" t="n"/>
      <c r="L347" s="25" t="n"/>
      <c r="M347" s="25" t="n"/>
      <c r="N347" s="27" t="n"/>
      <c r="O347" s="24">
        <f>IF(B347="","",IF(M347="","TAK",IFERROR(INDEX(Ustawienia!$K$4:$K$8,MATCH(M347,Ustawienia!$J$4:$J$8,0)),"TAK")))</f>
        <v/>
      </c>
      <c r="P347" s="28">
        <f>IF(OR(B347="",D347=""),"",IFERROR(INDEX('Dane rozpisek'!$B$2:$B$2600,MATCH(S347,'Dane rozpisek'!$H$2:$H$2600,0))&amp;": "&amp;INDEX('Dane rozpisek'!$E$2:$E$2600,MATCH(S347,'Dane rozpisek'!$H$2:$H$2600,0))&amp;IF(COUNTIF('Dane rozpisek'!$H$2:$H$2600,S347)&gt;1," (+"&amp;(COUNTIF('Dane rozpisek'!$H$2:$H$2600,S347)-1)&amp;")",""),"—"))</f>
        <v/>
      </c>
      <c r="Q347" s="24">
        <f>IF(AND(B347&lt;&gt;"",D347&lt;&gt;"",OR('Historia wózka'!$B$4="",B347='Historia wózka'!$B$4),D347&gt;='Historia wózka'!$B$5,D347&lt;='Historia wózka'!$B$6),D347+ROW()/1000000,0)</f>
        <v/>
      </c>
      <c r="R347" s="24">
        <f>IF(O347="TAK",IF(D347="",0,D347)+ROW()/1000000,0)</f>
        <v/>
      </c>
      <c r="S347" s="24">
        <f>IF(OR(B347="",D347=""),"",B347&amp;"|"&amp;D347)</f>
        <v/>
      </c>
    </row>
    <row r="348">
      <c r="A348" s="24">
        <f>IF(B348="","",ROW()-4)</f>
        <v/>
      </c>
      <c r="B348" s="25" t="n"/>
      <c r="C348" s="24">
        <f>IF(B348="","",IFERROR(INDEX('Wózki'!$B$2:$B$500,MATCH(B348,'Wózki'!$A$2:$A$500,0))&amp;"",""))</f>
        <v/>
      </c>
      <c r="D348" s="26" t="n"/>
      <c r="E348" s="25" t="n"/>
      <c r="F348" s="25" t="n"/>
      <c r="G348" s="24">
        <f>IF(F348="","",IFERROR(INDEX(Pracownicy!$B$2:$B$2000,MATCH(F348,Pracownicy!$A$2:$A$2000,0))&amp;"",""))</f>
        <v/>
      </c>
      <c r="H348" s="25" t="n"/>
      <c r="I348" s="25" t="n"/>
      <c r="J348" s="25" t="n"/>
      <c r="K348" s="27" t="n"/>
      <c r="L348" s="25" t="n"/>
      <c r="M348" s="25" t="n"/>
      <c r="N348" s="27" t="n"/>
      <c r="O348" s="24">
        <f>IF(B348="","",IF(M348="","TAK",IFERROR(INDEX(Ustawienia!$K$4:$K$8,MATCH(M348,Ustawienia!$J$4:$J$8,0)),"TAK")))</f>
        <v/>
      </c>
      <c r="P348" s="28">
        <f>IF(OR(B348="",D348=""),"",IFERROR(INDEX('Dane rozpisek'!$B$2:$B$2600,MATCH(S348,'Dane rozpisek'!$H$2:$H$2600,0))&amp;": "&amp;INDEX('Dane rozpisek'!$E$2:$E$2600,MATCH(S348,'Dane rozpisek'!$H$2:$H$2600,0))&amp;IF(COUNTIF('Dane rozpisek'!$H$2:$H$2600,S348)&gt;1," (+"&amp;(COUNTIF('Dane rozpisek'!$H$2:$H$2600,S348)-1)&amp;")",""),"—"))</f>
        <v/>
      </c>
      <c r="Q348" s="24">
        <f>IF(AND(B348&lt;&gt;"",D348&lt;&gt;"",OR('Historia wózka'!$B$4="",B348='Historia wózka'!$B$4),D348&gt;='Historia wózka'!$B$5,D348&lt;='Historia wózka'!$B$6),D348+ROW()/1000000,0)</f>
        <v/>
      </c>
      <c r="R348" s="24">
        <f>IF(O348="TAK",IF(D348="",0,D348)+ROW()/1000000,0)</f>
        <v/>
      </c>
      <c r="S348" s="24">
        <f>IF(OR(B348="",D348=""),"",B348&amp;"|"&amp;D348)</f>
        <v/>
      </c>
    </row>
    <row r="349">
      <c r="A349" s="24">
        <f>IF(B349="","",ROW()-4)</f>
        <v/>
      </c>
      <c r="B349" s="25" t="n"/>
      <c r="C349" s="24">
        <f>IF(B349="","",IFERROR(INDEX('Wózki'!$B$2:$B$500,MATCH(B349,'Wózki'!$A$2:$A$500,0))&amp;"",""))</f>
        <v/>
      </c>
      <c r="D349" s="26" t="n"/>
      <c r="E349" s="25" t="n"/>
      <c r="F349" s="25" t="n"/>
      <c r="G349" s="24">
        <f>IF(F349="","",IFERROR(INDEX(Pracownicy!$B$2:$B$2000,MATCH(F349,Pracownicy!$A$2:$A$2000,0))&amp;"",""))</f>
        <v/>
      </c>
      <c r="H349" s="25" t="n"/>
      <c r="I349" s="25" t="n"/>
      <c r="J349" s="25" t="n"/>
      <c r="K349" s="27" t="n"/>
      <c r="L349" s="25" t="n"/>
      <c r="M349" s="25" t="n"/>
      <c r="N349" s="27" t="n"/>
      <c r="O349" s="24">
        <f>IF(B349="","",IF(M349="","TAK",IFERROR(INDEX(Ustawienia!$K$4:$K$8,MATCH(M349,Ustawienia!$J$4:$J$8,0)),"TAK")))</f>
        <v/>
      </c>
      <c r="P349" s="28">
        <f>IF(OR(B349="",D349=""),"",IFERROR(INDEX('Dane rozpisek'!$B$2:$B$2600,MATCH(S349,'Dane rozpisek'!$H$2:$H$2600,0))&amp;": "&amp;INDEX('Dane rozpisek'!$E$2:$E$2600,MATCH(S349,'Dane rozpisek'!$H$2:$H$2600,0))&amp;IF(COUNTIF('Dane rozpisek'!$H$2:$H$2600,S349)&gt;1," (+"&amp;(COUNTIF('Dane rozpisek'!$H$2:$H$2600,S349)-1)&amp;")",""),"—"))</f>
        <v/>
      </c>
      <c r="Q349" s="24">
        <f>IF(AND(B349&lt;&gt;"",D349&lt;&gt;"",OR('Historia wózka'!$B$4="",B349='Historia wózka'!$B$4),D349&gt;='Historia wózka'!$B$5,D349&lt;='Historia wózka'!$B$6),D349+ROW()/1000000,0)</f>
        <v/>
      </c>
      <c r="R349" s="24">
        <f>IF(O349="TAK",IF(D349="",0,D349)+ROW()/1000000,0)</f>
        <v/>
      </c>
      <c r="S349" s="24">
        <f>IF(OR(B349="",D349=""),"",B349&amp;"|"&amp;D349)</f>
        <v/>
      </c>
    </row>
    <row r="350">
      <c r="A350" s="24">
        <f>IF(B350="","",ROW()-4)</f>
        <v/>
      </c>
      <c r="B350" s="25" t="n"/>
      <c r="C350" s="24">
        <f>IF(B350="","",IFERROR(INDEX('Wózki'!$B$2:$B$500,MATCH(B350,'Wózki'!$A$2:$A$500,0))&amp;"",""))</f>
        <v/>
      </c>
      <c r="D350" s="26" t="n"/>
      <c r="E350" s="25" t="n"/>
      <c r="F350" s="25" t="n"/>
      <c r="G350" s="24">
        <f>IF(F350="","",IFERROR(INDEX(Pracownicy!$B$2:$B$2000,MATCH(F350,Pracownicy!$A$2:$A$2000,0))&amp;"",""))</f>
        <v/>
      </c>
      <c r="H350" s="25" t="n"/>
      <c r="I350" s="25" t="n"/>
      <c r="J350" s="25" t="n"/>
      <c r="K350" s="27" t="n"/>
      <c r="L350" s="25" t="n"/>
      <c r="M350" s="25" t="n"/>
      <c r="N350" s="27" t="n"/>
      <c r="O350" s="24">
        <f>IF(B350="","",IF(M350="","TAK",IFERROR(INDEX(Ustawienia!$K$4:$K$8,MATCH(M350,Ustawienia!$J$4:$J$8,0)),"TAK")))</f>
        <v/>
      </c>
      <c r="P350" s="28">
        <f>IF(OR(B350="",D350=""),"",IFERROR(INDEX('Dane rozpisek'!$B$2:$B$2600,MATCH(S350,'Dane rozpisek'!$H$2:$H$2600,0))&amp;": "&amp;INDEX('Dane rozpisek'!$E$2:$E$2600,MATCH(S350,'Dane rozpisek'!$H$2:$H$2600,0))&amp;IF(COUNTIF('Dane rozpisek'!$H$2:$H$2600,S350)&gt;1," (+"&amp;(COUNTIF('Dane rozpisek'!$H$2:$H$2600,S350)-1)&amp;")",""),"—"))</f>
        <v/>
      </c>
      <c r="Q350" s="24">
        <f>IF(AND(B350&lt;&gt;"",D350&lt;&gt;"",OR('Historia wózka'!$B$4="",B350='Historia wózka'!$B$4),D350&gt;='Historia wózka'!$B$5,D350&lt;='Historia wózka'!$B$6),D350+ROW()/1000000,0)</f>
        <v/>
      </c>
      <c r="R350" s="24">
        <f>IF(O350="TAK",IF(D350="",0,D350)+ROW()/1000000,0)</f>
        <v/>
      </c>
      <c r="S350" s="24">
        <f>IF(OR(B350="",D350=""),"",B350&amp;"|"&amp;D350)</f>
        <v/>
      </c>
    </row>
    <row r="351">
      <c r="A351" s="24">
        <f>IF(B351="","",ROW()-4)</f>
        <v/>
      </c>
      <c r="B351" s="25" t="n"/>
      <c r="C351" s="24">
        <f>IF(B351="","",IFERROR(INDEX('Wózki'!$B$2:$B$500,MATCH(B351,'Wózki'!$A$2:$A$500,0))&amp;"",""))</f>
        <v/>
      </c>
      <c r="D351" s="26" t="n"/>
      <c r="E351" s="25" t="n"/>
      <c r="F351" s="25" t="n"/>
      <c r="G351" s="24">
        <f>IF(F351="","",IFERROR(INDEX(Pracownicy!$B$2:$B$2000,MATCH(F351,Pracownicy!$A$2:$A$2000,0))&amp;"",""))</f>
        <v/>
      </c>
      <c r="H351" s="25" t="n"/>
      <c r="I351" s="25" t="n"/>
      <c r="J351" s="25" t="n"/>
      <c r="K351" s="27" t="n"/>
      <c r="L351" s="25" t="n"/>
      <c r="M351" s="25" t="n"/>
      <c r="N351" s="27" t="n"/>
      <c r="O351" s="24">
        <f>IF(B351="","",IF(M351="","TAK",IFERROR(INDEX(Ustawienia!$K$4:$K$8,MATCH(M351,Ustawienia!$J$4:$J$8,0)),"TAK")))</f>
        <v/>
      </c>
      <c r="P351" s="28">
        <f>IF(OR(B351="",D351=""),"",IFERROR(INDEX('Dane rozpisek'!$B$2:$B$2600,MATCH(S351,'Dane rozpisek'!$H$2:$H$2600,0))&amp;": "&amp;INDEX('Dane rozpisek'!$E$2:$E$2600,MATCH(S351,'Dane rozpisek'!$H$2:$H$2600,0))&amp;IF(COUNTIF('Dane rozpisek'!$H$2:$H$2600,S351)&gt;1," (+"&amp;(COUNTIF('Dane rozpisek'!$H$2:$H$2600,S351)-1)&amp;")",""),"—"))</f>
        <v/>
      </c>
      <c r="Q351" s="24">
        <f>IF(AND(B351&lt;&gt;"",D351&lt;&gt;"",OR('Historia wózka'!$B$4="",B351='Historia wózka'!$B$4),D351&gt;='Historia wózka'!$B$5,D351&lt;='Historia wózka'!$B$6),D351+ROW()/1000000,0)</f>
        <v/>
      </c>
      <c r="R351" s="24">
        <f>IF(O351="TAK",IF(D351="",0,D351)+ROW()/1000000,0)</f>
        <v/>
      </c>
      <c r="S351" s="24">
        <f>IF(OR(B351="",D351=""),"",B351&amp;"|"&amp;D351)</f>
        <v/>
      </c>
    </row>
    <row r="352">
      <c r="A352" s="24">
        <f>IF(B352="","",ROW()-4)</f>
        <v/>
      </c>
      <c r="B352" s="25" t="n"/>
      <c r="C352" s="24">
        <f>IF(B352="","",IFERROR(INDEX('Wózki'!$B$2:$B$500,MATCH(B352,'Wózki'!$A$2:$A$500,0))&amp;"",""))</f>
        <v/>
      </c>
      <c r="D352" s="26" t="n"/>
      <c r="E352" s="25" t="n"/>
      <c r="F352" s="25" t="n"/>
      <c r="G352" s="24">
        <f>IF(F352="","",IFERROR(INDEX(Pracownicy!$B$2:$B$2000,MATCH(F352,Pracownicy!$A$2:$A$2000,0))&amp;"",""))</f>
        <v/>
      </c>
      <c r="H352" s="25" t="n"/>
      <c r="I352" s="25" t="n"/>
      <c r="J352" s="25" t="n"/>
      <c r="K352" s="27" t="n"/>
      <c r="L352" s="25" t="n"/>
      <c r="M352" s="25" t="n"/>
      <c r="N352" s="27" t="n"/>
      <c r="O352" s="24">
        <f>IF(B352="","",IF(M352="","TAK",IFERROR(INDEX(Ustawienia!$K$4:$K$8,MATCH(M352,Ustawienia!$J$4:$J$8,0)),"TAK")))</f>
        <v/>
      </c>
      <c r="P352" s="28">
        <f>IF(OR(B352="",D352=""),"",IFERROR(INDEX('Dane rozpisek'!$B$2:$B$2600,MATCH(S352,'Dane rozpisek'!$H$2:$H$2600,0))&amp;": "&amp;INDEX('Dane rozpisek'!$E$2:$E$2600,MATCH(S352,'Dane rozpisek'!$H$2:$H$2600,0))&amp;IF(COUNTIF('Dane rozpisek'!$H$2:$H$2600,S352)&gt;1," (+"&amp;(COUNTIF('Dane rozpisek'!$H$2:$H$2600,S352)-1)&amp;")",""),"—"))</f>
        <v/>
      </c>
      <c r="Q352" s="24">
        <f>IF(AND(B352&lt;&gt;"",D352&lt;&gt;"",OR('Historia wózka'!$B$4="",B352='Historia wózka'!$B$4),D352&gt;='Historia wózka'!$B$5,D352&lt;='Historia wózka'!$B$6),D352+ROW()/1000000,0)</f>
        <v/>
      </c>
      <c r="R352" s="24">
        <f>IF(O352="TAK",IF(D352="",0,D352)+ROW()/1000000,0)</f>
        <v/>
      </c>
      <c r="S352" s="24">
        <f>IF(OR(B352="",D352=""),"",B352&amp;"|"&amp;D352)</f>
        <v/>
      </c>
    </row>
    <row r="353">
      <c r="A353" s="24">
        <f>IF(B353="","",ROW()-4)</f>
        <v/>
      </c>
      <c r="B353" s="25" t="n"/>
      <c r="C353" s="24">
        <f>IF(B353="","",IFERROR(INDEX('Wózki'!$B$2:$B$500,MATCH(B353,'Wózki'!$A$2:$A$500,0))&amp;"",""))</f>
        <v/>
      </c>
      <c r="D353" s="26" t="n"/>
      <c r="E353" s="25" t="n"/>
      <c r="F353" s="25" t="n"/>
      <c r="G353" s="24">
        <f>IF(F353="","",IFERROR(INDEX(Pracownicy!$B$2:$B$2000,MATCH(F353,Pracownicy!$A$2:$A$2000,0))&amp;"",""))</f>
        <v/>
      </c>
      <c r="H353" s="25" t="n"/>
      <c r="I353" s="25" t="n"/>
      <c r="J353" s="25" t="n"/>
      <c r="K353" s="27" t="n"/>
      <c r="L353" s="25" t="n"/>
      <c r="M353" s="25" t="n"/>
      <c r="N353" s="27" t="n"/>
      <c r="O353" s="24">
        <f>IF(B353="","",IF(M353="","TAK",IFERROR(INDEX(Ustawienia!$K$4:$K$8,MATCH(M353,Ustawienia!$J$4:$J$8,0)),"TAK")))</f>
        <v/>
      </c>
      <c r="P353" s="28">
        <f>IF(OR(B353="",D353=""),"",IFERROR(INDEX('Dane rozpisek'!$B$2:$B$2600,MATCH(S353,'Dane rozpisek'!$H$2:$H$2600,0))&amp;": "&amp;INDEX('Dane rozpisek'!$E$2:$E$2600,MATCH(S353,'Dane rozpisek'!$H$2:$H$2600,0))&amp;IF(COUNTIF('Dane rozpisek'!$H$2:$H$2600,S353)&gt;1," (+"&amp;(COUNTIF('Dane rozpisek'!$H$2:$H$2600,S353)-1)&amp;")",""),"—"))</f>
        <v/>
      </c>
      <c r="Q353" s="24">
        <f>IF(AND(B353&lt;&gt;"",D353&lt;&gt;"",OR('Historia wózka'!$B$4="",B353='Historia wózka'!$B$4),D353&gt;='Historia wózka'!$B$5,D353&lt;='Historia wózka'!$B$6),D353+ROW()/1000000,0)</f>
        <v/>
      </c>
      <c r="R353" s="24">
        <f>IF(O353="TAK",IF(D353="",0,D353)+ROW()/1000000,0)</f>
        <v/>
      </c>
      <c r="S353" s="24">
        <f>IF(OR(B353="",D353=""),"",B353&amp;"|"&amp;D353)</f>
        <v/>
      </c>
    </row>
    <row r="354">
      <c r="A354" s="24">
        <f>IF(B354="","",ROW()-4)</f>
        <v/>
      </c>
      <c r="B354" s="25" t="n"/>
      <c r="C354" s="24">
        <f>IF(B354="","",IFERROR(INDEX('Wózki'!$B$2:$B$500,MATCH(B354,'Wózki'!$A$2:$A$500,0))&amp;"",""))</f>
        <v/>
      </c>
      <c r="D354" s="26" t="n"/>
      <c r="E354" s="25" t="n"/>
      <c r="F354" s="25" t="n"/>
      <c r="G354" s="24">
        <f>IF(F354="","",IFERROR(INDEX(Pracownicy!$B$2:$B$2000,MATCH(F354,Pracownicy!$A$2:$A$2000,0))&amp;"",""))</f>
        <v/>
      </c>
      <c r="H354" s="25" t="n"/>
      <c r="I354" s="25" t="n"/>
      <c r="J354" s="25" t="n"/>
      <c r="K354" s="27" t="n"/>
      <c r="L354" s="25" t="n"/>
      <c r="M354" s="25" t="n"/>
      <c r="N354" s="27" t="n"/>
      <c r="O354" s="24">
        <f>IF(B354="","",IF(M354="","TAK",IFERROR(INDEX(Ustawienia!$K$4:$K$8,MATCH(M354,Ustawienia!$J$4:$J$8,0)),"TAK")))</f>
        <v/>
      </c>
      <c r="P354" s="28">
        <f>IF(OR(B354="",D354=""),"",IFERROR(INDEX('Dane rozpisek'!$B$2:$B$2600,MATCH(S354,'Dane rozpisek'!$H$2:$H$2600,0))&amp;": "&amp;INDEX('Dane rozpisek'!$E$2:$E$2600,MATCH(S354,'Dane rozpisek'!$H$2:$H$2600,0))&amp;IF(COUNTIF('Dane rozpisek'!$H$2:$H$2600,S354)&gt;1," (+"&amp;(COUNTIF('Dane rozpisek'!$H$2:$H$2600,S354)-1)&amp;")",""),"—"))</f>
        <v/>
      </c>
      <c r="Q354" s="24">
        <f>IF(AND(B354&lt;&gt;"",D354&lt;&gt;"",OR('Historia wózka'!$B$4="",B354='Historia wózka'!$B$4),D354&gt;='Historia wózka'!$B$5,D354&lt;='Historia wózka'!$B$6),D354+ROW()/1000000,0)</f>
        <v/>
      </c>
      <c r="R354" s="24">
        <f>IF(O354="TAK",IF(D354="",0,D354)+ROW()/1000000,0)</f>
        <v/>
      </c>
      <c r="S354" s="24">
        <f>IF(OR(B354="",D354=""),"",B354&amp;"|"&amp;D354)</f>
        <v/>
      </c>
    </row>
    <row r="355">
      <c r="A355" s="24">
        <f>IF(B355="","",ROW()-4)</f>
        <v/>
      </c>
      <c r="B355" s="25" t="n"/>
      <c r="C355" s="24">
        <f>IF(B355="","",IFERROR(INDEX('Wózki'!$B$2:$B$500,MATCH(B355,'Wózki'!$A$2:$A$500,0))&amp;"",""))</f>
        <v/>
      </c>
      <c r="D355" s="26" t="n"/>
      <c r="E355" s="25" t="n"/>
      <c r="F355" s="25" t="n"/>
      <c r="G355" s="24">
        <f>IF(F355="","",IFERROR(INDEX(Pracownicy!$B$2:$B$2000,MATCH(F355,Pracownicy!$A$2:$A$2000,0))&amp;"",""))</f>
        <v/>
      </c>
      <c r="H355" s="25" t="n"/>
      <c r="I355" s="25" t="n"/>
      <c r="J355" s="25" t="n"/>
      <c r="K355" s="27" t="n"/>
      <c r="L355" s="25" t="n"/>
      <c r="M355" s="25" t="n"/>
      <c r="N355" s="27" t="n"/>
      <c r="O355" s="24">
        <f>IF(B355="","",IF(M355="","TAK",IFERROR(INDEX(Ustawienia!$K$4:$K$8,MATCH(M355,Ustawienia!$J$4:$J$8,0)),"TAK")))</f>
        <v/>
      </c>
      <c r="P355" s="28">
        <f>IF(OR(B355="",D355=""),"",IFERROR(INDEX('Dane rozpisek'!$B$2:$B$2600,MATCH(S355,'Dane rozpisek'!$H$2:$H$2600,0))&amp;": "&amp;INDEX('Dane rozpisek'!$E$2:$E$2600,MATCH(S355,'Dane rozpisek'!$H$2:$H$2600,0))&amp;IF(COUNTIF('Dane rozpisek'!$H$2:$H$2600,S355)&gt;1," (+"&amp;(COUNTIF('Dane rozpisek'!$H$2:$H$2600,S355)-1)&amp;")",""),"—"))</f>
        <v/>
      </c>
      <c r="Q355" s="24">
        <f>IF(AND(B355&lt;&gt;"",D355&lt;&gt;"",OR('Historia wózka'!$B$4="",B355='Historia wózka'!$B$4),D355&gt;='Historia wózka'!$B$5,D355&lt;='Historia wózka'!$B$6),D355+ROW()/1000000,0)</f>
        <v/>
      </c>
      <c r="R355" s="24">
        <f>IF(O355="TAK",IF(D355="",0,D355)+ROW()/1000000,0)</f>
        <v/>
      </c>
      <c r="S355" s="24">
        <f>IF(OR(B355="",D355=""),"",B355&amp;"|"&amp;D355)</f>
        <v/>
      </c>
    </row>
    <row r="356">
      <c r="A356" s="24">
        <f>IF(B356="","",ROW()-4)</f>
        <v/>
      </c>
      <c r="B356" s="25" t="n"/>
      <c r="C356" s="24">
        <f>IF(B356="","",IFERROR(INDEX('Wózki'!$B$2:$B$500,MATCH(B356,'Wózki'!$A$2:$A$500,0))&amp;"",""))</f>
        <v/>
      </c>
      <c r="D356" s="26" t="n"/>
      <c r="E356" s="25" t="n"/>
      <c r="F356" s="25" t="n"/>
      <c r="G356" s="24">
        <f>IF(F356="","",IFERROR(INDEX(Pracownicy!$B$2:$B$2000,MATCH(F356,Pracownicy!$A$2:$A$2000,0))&amp;"",""))</f>
        <v/>
      </c>
      <c r="H356" s="25" t="n"/>
      <c r="I356" s="25" t="n"/>
      <c r="J356" s="25" t="n"/>
      <c r="K356" s="27" t="n"/>
      <c r="L356" s="25" t="n"/>
      <c r="M356" s="25" t="n"/>
      <c r="N356" s="27" t="n"/>
      <c r="O356" s="24">
        <f>IF(B356="","",IF(M356="","TAK",IFERROR(INDEX(Ustawienia!$K$4:$K$8,MATCH(M356,Ustawienia!$J$4:$J$8,0)),"TAK")))</f>
        <v/>
      </c>
      <c r="P356" s="28">
        <f>IF(OR(B356="",D356=""),"",IFERROR(INDEX('Dane rozpisek'!$B$2:$B$2600,MATCH(S356,'Dane rozpisek'!$H$2:$H$2600,0))&amp;": "&amp;INDEX('Dane rozpisek'!$E$2:$E$2600,MATCH(S356,'Dane rozpisek'!$H$2:$H$2600,0))&amp;IF(COUNTIF('Dane rozpisek'!$H$2:$H$2600,S356)&gt;1," (+"&amp;(COUNTIF('Dane rozpisek'!$H$2:$H$2600,S356)-1)&amp;")",""),"—"))</f>
        <v/>
      </c>
      <c r="Q356" s="24">
        <f>IF(AND(B356&lt;&gt;"",D356&lt;&gt;"",OR('Historia wózka'!$B$4="",B356='Historia wózka'!$B$4),D356&gt;='Historia wózka'!$B$5,D356&lt;='Historia wózka'!$B$6),D356+ROW()/1000000,0)</f>
        <v/>
      </c>
      <c r="R356" s="24">
        <f>IF(O356="TAK",IF(D356="",0,D356)+ROW()/1000000,0)</f>
        <v/>
      </c>
      <c r="S356" s="24">
        <f>IF(OR(B356="",D356=""),"",B356&amp;"|"&amp;D356)</f>
        <v/>
      </c>
    </row>
    <row r="357">
      <c r="A357" s="24">
        <f>IF(B357="","",ROW()-4)</f>
        <v/>
      </c>
      <c r="B357" s="25" t="n"/>
      <c r="C357" s="24">
        <f>IF(B357="","",IFERROR(INDEX('Wózki'!$B$2:$B$500,MATCH(B357,'Wózki'!$A$2:$A$500,0))&amp;"",""))</f>
        <v/>
      </c>
      <c r="D357" s="26" t="n"/>
      <c r="E357" s="25" t="n"/>
      <c r="F357" s="25" t="n"/>
      <c r="G357" s="24">
        <f>IF(F357="","",IFERROR(INDEX(Pracownicy!$B$2:$B$2000,MATCH(F357,Pracownicy!$A$2:$A$2000,0))&amp;"",""))</f>
        <v/>
      </c>
      <c r="H357" s="25" t="n"/>
      <c r="I357" s="25" t="n"/>
      <c r="J357" s="25" t="n"/>
      <c r="K357" s="27" t="n"/>
      <c r="L357" s="25" t="n"/>
      <c r="M357" s="25" t="n"/>
      <c r="N357" s="27" t="n"/>
      <c r="O357" s="24">
        <f>IF(B357="","",IF(M357="","TAK",IFERROR(INDEX(Ustawienia!$K$4:$K$8,MATCH(M357,Ustawienia!$J$4:$J$8,0)),"TAK")))</f>
        <v/>
      </c>
      <c r="P357" s="28">
        <f>IF(OR(B357="",D357=""),"",IFERROR(INDEX('Dane rozpisek'!$B$2:$B$2600,MATCH(S357,'Dane rozpisek'!$H$2:$H$2600,0))&amp;": "&amp;INDEX('Dane rozpisek'!$E$2:$E$2600,MATCH(S357,'Dane rozpisek'!$H$2:$H$2600,0))&amp;IF(COUNTIF('Dane rozpisek'!$H$2:$H$2600,S357)&gt;1," (+"&amp;(COUNTIF('Dane rozpisek'!$H$2:$H$2600,S357)-1)&amp;")",""),"—"))</f>
        <v/>
      </c>
      <c r="Q357" s="24">
        <f>IF(AND(B357&lt;&gt;"",D357&lt;&gt;"",OR('Historia wózka'!$B$4="",B357='Historia wózka'!$B$4),D357&gt;='Historia wózka'!$B$5,D357&lt;='Historia wózka'!$B$6),D357+ROW()/1000000,0)</f>
        <v/>
      </c>
      <c r="R357" s="24">
        <f>IF(O357="TAK",IF(D357="",0,D357)+ROW()/1000000,0)</f>
        <v/>
      </c>
      <c r="S357" s="24">
        <f>IF(OR(B357="",D357=""),"",B357&amp;"|"&amp;D357)</f>
        <v/>
      </c>
    </row>
    <row r="358">
      <c r="A358" s="24">
        <f>IF(B358="","",ROW()-4)</f>
        <v/>
      </c>
      <c r="B358" s="25" t="n"/>
      <c r="C358" s="24">
        <f>IF(B358="","",IFERROR(INDEX('Wózki'!$B$2:$B$500,MATCH(B358,'Wózki'!$A$2:$A$500,0))&amp;"",""))</f>
        <v/>
      </c>
      <c r="D358" s="26" t="n"/>
      <c r="E358" s="25" t="n"/>
      <c r="F358" s="25" t="n"/>
      <c r="G358" s="24">
        <f>IF(F358="","",IFERROR(INDEX(Pracownicy!$B$2:$B$2000,MATCH(F358,Pracownicy!$A$2:$A$2000,0))&amp;"",""))</f>
        <v/>
      </c>
      <c r="H358" s="25" t="n"/>
      <c r="I358" s="25" t="n"/>
      <c r="J358" s="25" t="n"/>
      <c r="K358" s="27" t="n"/>
      <c r="L358" s="25" t="n"/>
      <c r="M358" s="25" t="n"/>
      <c r="N358" s="27" t="n"/>
      <c r="O358" s="24">
        <f>IF(B358="","",IF(M358="","TAK",IFERROR(INDEX(Ustawienia!$K$4:$K$8,MATCH(M358,Ustawienia!$J$4:$J$8,0)),"TAK")))</f>
        <v/>
      </c>
      <c r="P358" s="28">
        <f>IF(OR(B358="",D358=""),"",IFERROR(INDEX('Dane rozpisek'!$B$2:$B$2600,MATCH(S358,'Dane rozpisek'!$H$2:$H$2600,0))&amp;": "&amp;INDEX('Dane rozpisek'!$E$2:$E$2600,MATCH(S358,'Dane rozpisek'!$H$2:$H$2600,0))&amp;IF(COUNTIF('Dane rozpisek'!$H$2:$H$2600,S358)&gt;1," (+"&amp;(COUNTIF('Dane rozpisek'!$H$2:$H$2600,S358)-1)&amp;")",""),"—"))</f>
        <v/>
      </c>
      <c r="Q358" s="24">
        <f>IF(AND(B358&lt;&gt;"",D358&lt;&gt;"",OR('Historia wózka'!$B$4="",B358='Historia wózka'!$B$4),D358&gt;='Historia wózka'!$B$5,D358&lt;='Historia wózka'!$B$6),D358+ROW()/1000000,0)</f>
        <v/>
      </c>
      <c r="R358" s="24">
        <f>IF(O358="TAK",IF(D358="",0,D358)+ROW()/1000000,0)</f>
        <v/>
      </c>
      <c r="S358" s="24">
        <f>IF(OR(B358="",D358=""),"",B358&amp;"|"&amp;D358)</f>
        <v/>
      </c>
    </row>
    <row r="359">
      <c r="A359" s="24">
        <f>IF(B359="","",ROW()-4)</f>
        <v/>
      </c>
      <c r="B359" s="25" t="n"/>
      <c r="C359" s="24">
        <f>IF(B359="","",IFERROR(INDEX('Wózki'!$B$2:$B$500,MATCH(B359,'Wózki'!$A$2:$A$500,0))&amp;"",""))</f>
        <v/>
      </c>
      <c r="D359" s="26" t="n"/>
      <c r="E359" s="25" t="n"/>
      <c r="F359" s="25" t="n"/>
      <c r="G359" s="24">
        <f>IF(F359="","",IFERROR(INDEX(Pracownicy!$B$2:$B$2000,MATCH(F359,Pracownicy!$A$2:$A$2000,0))&amp;"",""))</f>
        <v/>
      </c>
      <c r="H359" s="25" t="n"/>
      <c r="I359" s="25" t="n"/>
      <c r="J359" s="25" t="n"/>
      <c r="K359" s="27" t="n"/>
      <c r="L359" s="25" t="n"/>
      <c r="M359" s="25" t="n"/>
      <c r="N359" s="27" t="n"/>
      <c r="O359" s="24">
        <f>IF(B359="","",IF(M359="","TAK",IFERROR(INDEX(Ustawienia!$K$4:$K$8,MATCH(M359,Ustawienia!$J$4:$J$8,0)),"TAK")))</f>
        <v/>
      </c>
      <c r="P359" s="28">
        <f>IF(OR(B359="",D359=""),"",IFERROR(INDEX('Dane rozpisek'!$B$2:$B$2600,MATCH(S359,'Dane rozpisek'!$H$2:$H$2600,0))&amp;": "&amp;INDEX('Dane rozpisek'!$E$2:$E$2600,MATCH(S359,'Dane rozpisek'!$H$2:$H$2600,0))&amp;IF(COUNTIF('Dane rozpisek'!$H$2:$H$2600,S359)&gt;1," (+"&amp;(COUNTIF('Dane rozpisek'!$H$2:$H$2600,S359)-1)&amp;")",""),"—"))</f>
        <v/>
      </c>
      <c r="Q359" s="24">
        <f>IF(AND(B359&lt;&gt;"",D359&lt;&gt;"",OR('Historia wózka'!$B$4="",B359='Historia wózka'!$B$4),D359&gt;='Historia wózka'!$B$5,D359&lt;='Historia wózka'!$B$6),D359+ROW()/1000000,0)</f>
        <v/>
      </c>
      <c r="R359" s="24">
        <f>IF(O359="TAK",IF(D359="",0,D359)+ROW()/1000000,0)</f>
        <v/>
      </c>
      <c r="S359" s="24">
        <f>IF(OR(B359="",D359=""),"",B359&amp;"|"&amp;D359)</f>
        <v/>
      </c>
    </row>
    <row r="360">
      <c r="A360" s="24">
        <f>IF(B360="","",ROW()-4)</f>
        <v/>
      </c>
      <c r="B360" s="25" t="n"/>
      <c r="C360" s="24">
        <f>IF(B360="","",IFERROR(INDEX('Wózki'!$B$2:$B$500,MATCH(B360,'Wózki'!$A$2:$A$500,0))&amp;"",""))</f>
        <v/>
      </c>
      <c r="D360" s="26" t="n"/>
      <c r="E360" s="25" t="n"/>
      <c r="F360" s="25" t="n"/>
      <c r="G360" s="24">
        <f>IF(F360="","",IFERROR(INDEX(Pracownicy!$B$2:$B$2000,MATCH(F360,Pracownicy!$A$2:$A$2000,0))&amp;"",""))</f>
        <v/>
      </c>
      <c r="H360" s="25" t="n"/>
      <c r="I360" s="25" t="n"/>
      <c r="J360" s="25" t="n"/>
      <c r="K360" s="27" t="n"/>
      <c r="L360" s="25" t="n"/>
      <c r="M360" s="25" t="n"/>
      <c r="N360" s="27" t="n"/>
      <c r="O360" s="24">
        <f>IF(B360="","",IF(M360="","TAK",IFERROR(INDEX(Ustawienia!$K$4:$K$8,MATCH(M360,Ustawienia!$J$4:$J$8,0)),"TAK")))</f>
        <v/>
      </c>
      <c r="P360" s="28">
        <f>IF(OR(B360="",D360=""),"",IFERROR(INDEX('Dane rozpisek'!$B$2:$B$2600,MATCH(S360,'Dane rozpisek'!$H$2:$H$2600,0))&amp;": "&amp;INDEX('Dane rozpisek'!$E$2:$E$2600,MATCH(S360,'Dane rozpisek'!$H$2:$H$2600,0))&amp;IF(COUNTIF('Dane rozpisek'!$H$2:$H$2600,S360)&gt;1," (+"&amp;(COUNTIF('Dane rozpisek'!$H$2:$H$2600,S360)-1)&amp;")",""),"—"))</f>
        <v/>
      </c>
      <c r="Q360" s="24">
        <f>IF(AND(B360&lt;&gt;"",D360&lt;&gt;"",OR('Historia wózka'!$B$4="",B360='Historia wózka'!$B$4),D360&gt;='Historia wózka'!$B$5,D360&lt;='Historia wózka'!$B$6),D360+ROW()/1000000,0)</f>
        <v/>
      </c>
      <c r="R360" s="24">
        <f>IF(O360="TAK",IF(D360="",0,D360)+ROW()/1000000,0)</f>
        <v/>
      </c>
      <c r="S360" s="24">
        <f>IF(OR(B360="",D360=""),"",B360&amp;"|"&amp;D360)</f>
        <v/>
      </c>
    </row>
    <row r="361">
      <c r="A361" s="24">
        <f>IF(B361="","",ROW()-4)</f>
        <v/>
      </c>
      <c r="B361" s="25" t="n"/>
      <c r="C361" s="24">
        <f>IF(B361="","",IFERROR(INDEX('Wózki'!$B$2:$B$500,MATCH(B361,'Wózki'!$A$2:$A$500,0))&amp;"",""))</f>
        <v/>
      </c>
      <c r="D361" s="26" t="n"/>
      <c r="E361" s="25" t="n"/>
      <c r="F361" s="25" t="n"/>
      <c r="G361" s="24">
        <f>IF(F361="","",IFERROR(INDEX(Pracownicy!$B$2:$B$2000,MATCH(F361,Pracownicy!$A$2:$A$2000,0))&amp;"",""))</f>
        <v/>
      </c>
      <c r="H361" s="25" t="n"/>
      <c r="I361" s="25" t="n"/>
      <c r="J361" s="25" t="n"/>
      <c r="K361" s="27" t="n"/>
      <c r="L361" s="25" t="n"/>
      <c r="M361" s="25" t="n"/>
      <c r="N361" s="27" t="n"/>
      <c r="O361" s="24">
        <f>IF(B361="","",IF(M361="","TAK",IFERROR(INDEX(Ustawienia!$K$4:$K$8,MATCH(M361,Ustawienia!$J$4:$J$8,0)),"TAK")))</f>
        <v/>
      </c>
      <c r="P361" s="28">
        <f>IF(OR(B361="",D361=""),"",IFERROR(INDEX('Dane rozpisek'!$B$2:$B$2600,MATCH(S361,'Dane rozpisek'!$H$2:$H$2600,0))&amp;": "&amp;INDEX('Dane rozpisek'!$E$2:$E$2600,MATCH(S361,'Dane rozpisek'!$H$2:$H$2600,0))&amp;IF(COUNTIF('Dane rozpisek'!$H$2:$H$2600,S361)&gt;1," (+"&amp;(COUNTIF('Dane rozpisek'!$H$2:$H$2600,S361)-1)&amp;")",""),"—"))</f>
        <v/>
      </c>
      <c r="Q361" s="24">
        <f>IF(AND(B361&lt;&gt;"",D361&lt;&gt;"",OR('Historia wózka'!$B$4="",B361='Historia wózka'!$B$4),D361&gt;='Historia wózka'!$B$5,D361&lt;='Historia wózka'!$B$6),D361+ROW()/1000000,0)</f>
        <v/>
      </c>
      <c r="R361" s="24">
        <f>IF(O361="TAK",IF(D361="",0,D361)+ROW()/1000000,0)</f>
        <v/>
      </c>
      <c r="S361" s="24">
        <f>IF(OR(B361="",D361=""),"",B361&amp;"|"&amp;D361)</f>
        <v/>
      </c>
    </row>
    <row r="362">
      <c r="A362" s="24">
        <f>IF(B362="","",ROW()-4)</f>
        <v/>
      </c>
      <c r="B362" s="25" t="n"/>
      <c r="C362" s="24">
        <f>IF(B362="","",IFERROR(INDEX('Wózki'!$B$2:$B$500,MATCH(B362,'Wózki'!$A$2:$A$500,0))&amp;"",""))</f>
        <v/>
      </c>
      <c r="D362" s="26" t="n"/>
      <c r="E362" s="25" t="n"/>
      <c r="F362" s="25" t="n"/>
      <c r="G362" s="24">
        <f>IF(F362="","",IFERROR(INDEX(Pracownicy!$B$2:$B$2000,MATCH(F362,Pracownicy!$A$2:$A$2000,0))&amp;"",""))</f>
        <v/>
      </c>
      <c r="H362" s="25" t="n"/>
      <c r="I362" s="25" t="n"/>
      <c r="J362" s="25" t="n"/>
      <c r="K362" s="27" t="n"/>
      <c r="L362" s="25" t="n"/>
      <c r="M362" s="25" t="n"/>
      <c r="N362" s="27" t="n"/>
      <c r="O362" s="24">
        <f>IF(B362="","",IF(M362="","TAK",IFERROR(INDEX(Ustawienia!$K$4:$K$8,MATCH(M362,Ustawienia!$J$4:$J$8,0)),"TAK")))</f>
        <v/>
      </c>
      <c r="P362" s="28">
        <f>IF(OR(B362="",D362=""),"",IFERROR(INDEX('Dane rozpisek'!$B$2:$B$2600,MATCH(S362,'Dane rozpisek'!$H$2:$H$2600,0))&amp;": "&amp;INDEX('Dane rozpisek'!$E$2:$E$2600,MATCH(S362,'Dane rozpisek'!$H$2:$H$2600,0))&amp;IF(COUNTIF('Dane rozpisek'!$H$2:$H$2600,S362)&gt;1," (+"&amp;(COUNTIF('Dane rozpisek'!$H$2:$H$2600,S362)-1)&amp;")",""),"—"))</f>
        <v/>
      </c>
      <c r="Q362" s="24">
        <f>IF(AND(B362&lt;&gt;"",D362&lt;&gt;"",OR('Historia wózka'!$B$4="",B362='Historia wózka'!$B$4),D362&gt;='Historia wózka'!$B$5,D362&lt;='Historia wózka'!$B$6),D362+ROW()/1000000,0)</f>
        <v/>
      </c>
      <c r="R362" s="24">
        <f>IF(O362="TAK",IF(D362="",0,D362)+ROW()/1000000,0)</f>
        <v/>
      </c>
      <c r="S362" s="24">
        <f>IF(OR(B362="",D362=""),"",B362&amp;"|"&amp;D362)</f>
        <v/>
      </c>
    </row>
    <row r="363">
      <c r="A363" s="24">
        <f>IF(B363="","",ROW()-4)</f>
        <v/>
      </c>
      <c r="B363" s="25" t="n"/>
      <c r="C363" s="24">
        <f>IF(B363="","",IFERROR(INDEX('Wózki'!$B$2:$B$500,MATCH(B363,'Wózki'!$A$2:$A$500,0))&amp;"",""))</f>
        <v/>
      </c>
      <c r="D363" s="26" t="n"/>
      <c r="E363" s="25" t="n"/>
      <c r="F363" s="25" t="n"/>
      <c r="G363" s="24">
        <f>IF(F363="","",IFERROR(INDEX(Pracownicy!$B$2:$B$2000,MATCH(F363,Pracownicy!$A$2:$A$2000,0))&amp;"",""))</f>
        <v/>
      </c>
      <c r="H363" s="25" t="n"/>
      <c r="I363" s="25" t="n"/>
      <c r="J363" s="25" t="n"/>
      <c r="K363" s="27" t="n"/>
      <c r="L363" s="25" t="n"/>
      <c r="M363" s="25" t="n"/>
      <c r="N363" s="27" t="n"/>
      <c r="O363" s="24">
        <f>IF(B363="","",IF(M363="","TAK",IFERROR(INDEX(Ustawienia!$K$4:$K$8,MATCH(M363,Ustawienia!$J$4:$J$8,0)),"TAK")))</f>
        <v/>
      </c>
      <c r="P363" s="28">
        <f>IF(OR(B363="",D363=""),"",IFERROR(INDEX('Dane rozpisek'!$B$2:$B$2600,MATCH(S363,'Dane rozpisek'!$H$2:$H$2600,0))&amp;": "&amp;INDEX('Dane rozpisek'!$E$2:$E$2600,MATCH(S363,'Dane rozpisek'!$H$2:$H$2600,0))&amp;IF(COUNTIF('Dane rozpisek'!$H$2:$H$2600,S363)&gt;1," (+"&amp;(COUNTIF('Dane rozpisek'!$H$2:$H$2600,S363)-1)&amp;")",""),"—"))</f>
        <v/>
      </c>
      <c r="Q363" s="24">
        <f>IF(AND(B363&lt;&gt;"",D363&lt;&gt;"",OR('Historia wózka'!$B$4="",B363='Historia wózka'!$B$4),D363&gt;='Historia wózka'!$B$5,D363&lt;='Historia wózka'!$B$6),D363+ROW()/1000000,0)</f>
        <v/>
      </c>
      <c r="R363" s="24">
        <f>IF(O363="TAK",IF(D363="",0,D363)+ROW()/1000000,0)</f>
        <v/>
      </c>
      <c r="S363" s="24">
        <f>IF(OR(B363="",D363=""),"",B363&amp;"|"&amp;D363)</f>
        <v/>
      </c>
    </row>
    <row r="364">
      <c r="A364" s="24">
        <f>IF(B364="","",ROW()-4)</f>
        <v/>
      </c>
      <c r="B364" s="25" t="n"/>
      <c r="C364" s="24">
        <f>IF(B364="","",IFERROR(INDEX('Wózki'!$B$2:$B$500,MATCH(B364,'Wózki'!$A$2:$A$500,0))&amp;"",""))</f>
        <v/>
      </c>
      <c r="D364" s="26" t="n"/>
      <c r="E364" s="25" t="n"/>
      <c r="F364" s="25" t="n"/>
      <c r="G364" s="24">
        <f>IF(F364="","",IFERROR(INDEX(Pracownicy!$B$2:$B$2000,MATCH(F364,Pracownicy!$A$2:$A$2000,0))&amp;"",""))</f>
        <v/>
      </c>
      <c r="H364" s="25" t="n"/>
      <c r="I364" s="25" t="n"/>
      <c r="J364" s="25" t="n"/>
      <c r="K364" s="27" t="n"/>
      <c r="L364" s="25" t="n"/>
      <c r="M364" s="25" t="n"/>
      <c r="N364" s="27" t="n"/>
      <c r="O364" s="24">
        <f>IF(B364="","",IF(M364="","TAK",IFERROR(INDEX(Ustawienia!$K$4:$K$8,MATCH(M364,Ustawienia!$J$4:$J$8,0)),"TAK")))</f>
        <v/>
      </c>
      <c r="P364" s="28">
        <f>IF(OR(B364="",D364=""),"",IFERROR(INDEX('Dane rozpisek'!$B$2:$B$2600,MATCH(S364,'Dane rozpisek'!$H$2:$H$2600,0))&amp;": "&amp;INDEX('Dane rozpisek'!$E$2:$E$2600,MATCH(S364,'Dane rozpisek'!$H$2:$H$2600,0))&amp;IF(COUNTIF('Dane rozpisek'!$H$2:$H$2600,S364)&gt;1," (+"&amp;(COUNTIF('Dane rozpisek'!$H$2:$H$2600,S364)-1)&amp;")",""),"—"))</f>
        <v/>
      </c>
      <c r="Q364" s="24">
        <f>IF(AND(B364&lt;&gt;"",D364&lt;&gt;"",OR('Historia wózka'!$B$4="",B364='Historia wózka'!$B$4),D364&gt;='Historia wózka'!$B$5,D364&lt;='Historia wózka'!$B$6),D364+ROW()/1000000,0)</f>
        <v/>
      </c>
      <c r="R364" s="24">
        <f>IF(O364="TAK",IF(D364="",0,D364)+ROW()/1000000,0)</f>
        <v/>
      </c>
      <c r="S364" s="24">
        <f>IF(OR(B364="",D364=""),"",B364&amp;"|"&amp;D364)</f>
        <v/>
      </c>
    </row>
    <row r="365">
      <c r="A365" s="24">
        <f>IF(B365="","",ROW()-4)</f>
        <v/>
      </c>
      <c r="B365" s="25" t="n"/>
      <c r="C365" s="24">
        <f>IF(B365="","",IFERROR(INDEX('Wózki'!$B$2:$B$500,MATCH(B365,'Wózki'!$A$2:$A$500,0))&amp;"",""))</f>
        <v/>
      </c>
      <c r="D365" s="26" t="n"/>
      <c r="E365" s="25" t="n"/>
      <c r="F365" s="25" t="n"/>
      <c r="G365" s="24">
        <f>IF(F365="","",IFERROR(INDEX(Pracownicy!$B$2:$B$2000,MATCH(F365,Pracownicy!$A$2:$A$2000,0))&amp;"",""))</f>
        <v/>
      </c>
      <c r="H365" s="25" t="n"/>
      <c r="I365" s="25" t="n"/>
      <c r="J365" s="25" t="n"/>
      <c r="K365" s="27" t="n"/>
      <c r="L365" s="25" t="n"/>
      <c r="M365" s="25" t="n"/>
      <c r="N365" s="27" t="n"/>
      <c r="O365" s="24">
        <f>IF(B365="","",IF(M365="","TAK",IFERROR(INDEX(Ustawienia!$K$4:$K$8,MATCH(M365,Ustawienia!$J$4:$J$8,0)),"TAK")))</f>
        <v/>
      </c>
      <c r="P365" s="28">
        <f>IF(OR(B365="",D365=""),"",IFERROR(INDEX('Dane rozpisek'!$B$2:$B$2600,MATCH(S365,'Dane rozpisek'!$H$2:$H$2600,0))&amp;": "&amp;INDEX('Dane rozpisek'!$E$2:$E$2600,MATCH(S365,'Dane rozpisek'!$H$2:$H$2600,0))&amp;IF(COUNTIF('Dane rozpisek'!$H$2:$H$2600,S365)&gt;1," (+"&amp;(COUNTIF('Dane rozpisek'!$H$2:$H$2600,S365)-1)&amp;")",""),"—"))</f>
        <v/>
      </c>
      <c r="Q365" s="24">
        <f>IF(AND(B365&lt;&gt;"",D365&lt;&gt;"",OR('Historia wózka'!$B$4="",B365='Historia wózka'!$B$4),D365&gt;='Historia wózka'!$B$5,D365&lt;='Historia wózka'!$B$6),D365+ROW()/1000000,0)</f>
        <v/>
      </c>
      <c r="R365" s="24">
        <f>IF(O365="TAK",IF(D365="",0,D365)+ROW()/1000000,0)</f>
        <v/>
      </c>
      <c r="S365" s="24">
        <f>IF(OR(B365="",D365=""),"",B365&amp;"|"&amp;D365)</f>
        <v/>
      </c>
    </row>
    <row r="366">
      <c r="A366" s="24">
        <f>IF(B366="","",ROW()-4)</f>
        <v/>
      </c>
      <c r="B366" s="25" t="n"/>
      <c r="C366" s="24">
        <f>IF(B366="","",IFERROR(INDEX('Wózki'!$B$2:$B$500,MATCH(B366,'Wózki'!$A$2:$A$500,0))&amp;"",""))</f>
        <v/>
      </c>
      <c r="D366" s="26" t="n"/>
      <c r="E366" s="25" t="n"/>
      <c r="F366" s="25" t="n"/>
      <c r="G366" s="24">
        <f>IF(F366="","",IFERROR(INDEX(Pracownicy!$B$2:$B$2000,MATCH(F366,Pracownicy!$A$2:$A$2000,0))&amp;"",""))</f>
        <v/>
      </c>
      <c r="H366" s="25" t="n"/>
      <c r="I366" s="25" t="n"/>
      <c r="J366" s="25" t="n"/>
      <c r="K366" s="27" t="n"/>
      <c r="L366" s="25" t="n"/>
      <c r="M366" s="25" t="n"/>
      <c r="N366" s="27" t="n"/>
      <c r="O366" s="24">
        <f>IF(B366="","",IF(M366="","TAK",IFERROR(INDEX(Ustawienia!$K$4:$K$8,MATCH(M366,Ustawienia!$J$4:$J$8,0)),"TAK")))</f>
        <v/>
      </c>
      <c r="P366" s="28">
        <f>IF(OR(B366="",D366=""),"",IFERROR(INDEX('Dane rozpisek'!$B$2:$B$2600,MATCH(S366,'Dane rozpisek'!$H$2:$H$2600,0))&amp;": "&amp;INDEX('Dane rozpisek'!$E$2:$E$2600,MATCH(S366,'Dane rozpisek'!$H$2:$H$2600,0))&amp;IF(COUNTIF('Dane rozpisek'!$H$2:$H$2600,S366)&gt;1," (+"&amp;(COUNTIF('Dane rozpisek'!$H$2:$H$2600,S366)-1)&amp;")",""),"—"))</f>
        <v/>
      </c>
      <c r="Q366" s="24">
        <f>IF(AND(B366&lt;&gt;"",D366&lt;&gt;"",OR('Historia wózka'!$B$4="",B366='Historia wózka'!$B$4),D366&gt;='Historia wózka'!$B$5,D366&lt;='Historia wózka'!$B$6),D366+ROW()/1000000,0)</f>
        <v/>
      </c>
      <c r="R366" s="24">
        <f>IF(O366="TAK",IF(D366="",0,D366)+ROW()/1000000,0)</f>
        <v/>
      </c>
      <c r="S366" s="24">
        <f>IF(OR(B366="",D366=""),"",B366&amp;"|"&amp;D366)</f>
        <v/>
      </c>
    </row>
    <row r="367">
      <c r="A367" s="24">
        <f>IF(B367="","",ROW()-4)</f>
        <v/>
      </c>
      <c r="B367" s="25" t="n"/>
      <c r="C367" s="24">
        <f>IF(B367="","",IFERROR(INDEX('Wózki'!$B$2:$B$500,MATCH(B367,'Wózki'!$A$2:$A$500,0))&amp;"",""))</f>
        <v/>
      </c>
      <c r="D367" s="26" t="n"/>
      <c r="E367" s="25" t="n"/>
      <c r="F367" s="25" t="n"/>
      <c r="G367" s="24">
        <f>IF(F367="","",IFERROR(INDEX(Pracownicy!$B$2:$B$2000,MATCH(F367,Pracownicy!$A$2:$A$2000,0))&amp;"",""))</f>
        <v/>
      </c>
      <c r="H367" s="25" t="n"/>
      <c r="I367" s="25" t="n"/>
      <c r="J367" s="25" t="n"/>
      <c r="K367" s="27" t="n"/>
      <c r="L367" s="25" t="n"/>
      <c r="M367" s="25" t="n"/>
      <c r="N367" s="27" t="n"/>
      <c r="O367" s="24">
        <f>IF(B367="","",IF(M367="","TAK",IFERROR(INDEX(Ustawienia!$K$4:$K$8,MATCH(M367,Ustawienia!$J$4:$J$8,0)),"TAK")))</f>
        <v/>
      </c>
      <c r="P367" s="28">
        <f>IF(OR(B367="",D367=""),"",IFERROR(INDEX('Dane rozpisek'!$B$2:$B$2600,MATCH(S367,'Dane rozpisek'!$H$2:$H$2600,0))&amp;": "&amp;INDEX('Dane rozpisek'!$E$2:$E$2600,MATCH(S367,'Dane rozpisek'!$H$2:$H$2600,0))&amp;IF(COUNTIF('Dane rozpisek'!$H$2:$H$2600,S367)&gt;1," (+"&amp;(COUNTIF('Dane rozpisek'!$H$2:$H$2600,S367)-1)&amp;")",""),"—"))</f>
        <v/>
      </c>
      <c r="Q367" s="24">
        <f>IF(AND(B367&lt;&gt;"",D367&lt;&gt;"",OR('Historia wózka'!$B$4="",B367='Historia wózka'!$B$4),D367&gt;='Historia wózka'!$B$5,D367&lt;='Historia wózka'!$B$6),D367+ROW()/1000000,0)</f>
        <v/>
      </c>
      <c r="R367" s="24">
        <f>IF(O367="TAK",IF(D367="",0,D367)+ROW()/1000000,0)</f>
        <v/>
      </c>
      <c r="S367" s="24">
        <f>IF(OR(B367="",D367=""),"",B367&amp;"|"&amp;D367)</f>
        <v/>
      </c>
    </row>
    <row r="368">
      <c r="A368" s="24">
        <f>IF(B368="","",ROW()-4)</f>
        <v/>
      </c>
      <c r="B368" s="25" t="n"/>
      <c r="C368" s="24">
        <f>IF(B368="","",IFERROR(INDEX('Wózki'!$B$2:$B$500,MATCH(B368,'Wózki'!$A$2:$A$500,0))&amp;"",""))</f>
        <v/>
      </c>
      <c r="D368" s="26" t="n"/>
      <c r="E368" s="25" t="n"/>
      <c r="F368" s="25" t="n"/>
      <c r="G368" s="24">
        <f>IF(F368="","",IFERROR(INDEX(Pracownicy!$B$2:$B$2000,MATCH(F368,Pracownicy!$A$2:$A$2000,0))&amp;"",""))</f>
        <v/>
      </c>
      <c r="H368" s="25" t="n"/>
      <c r="I368" s="25" t="n"/>
      <c r="J368" s="25" t="n"/>
      <c r="K368" s="27" t="n"/>
      <c r="L368" s="25" t="n"/>
      <c r="M368" s="25" t="n"/>
      <c r="N368" s="27" t="n"/>
      <c r="O368" s="24">
        <f>IF(B368="","",IF(M368="","TAK",IFERROR(INDEX(Ustawienia!$K$4:$K$8,MATCH(M368,Ustawienia!$J$4:$J$8,0)),"TAK")))</f>
        <v/>
      </c>
      <c r="P368" s="28">
        <f>IF(OR(B368="",D368=""),"",IFERROR(INDEX('Dane rozpisek'!$B$2:$B$2600,MATCH(S368,'Dane rozpisek'!$H$2:$H$2600,0))&amp;": "&amp;INDEX('Dane rozpisek'!$E$2:$E$2600,MATCH(S368,'Dane rozpisek'!$H$2:$H$2600,0))&amp;IF(COUNTIF('Dane rozpisek'!$H$2:$H$2600,S368)&gt;1," (+"&amp;(COUNTIF('Dane rozpisek'!$H$2:$H$2600,S368)-1)&amp;")",""),"—"))</f>
        <v/>
      </c>
      <c r="Q368" s="24">
        <f>IF(AND(B368&lt;&gt;"",D368&lt;&gt;"",OR('Historia wózka'!$B$4="",B368='Historia wózka'!$B$4),D368&gt;='Historia wózka'!$B$5,D368&lt;='Historia wózka'!$B$6),D368+ROW()/1000000,0)</f>
        <v/>
      </c>
      <c r="R368" s="24">
        <f>IF(O368="TAK",IF(D368="",0,D368)+ROW()/1000000,0)</f>
        <v/>
      </c>
      <c r="S368" s="24">
        <f>IF(OR(B368="",D368=""),"",B368&amp;"|"&amp;D368)</f>
        <v/>
      </c>
    </row>
    <row r="369">
      <c r="A369" s="24">
        <f>IF(B369="","",ROW()-4)</f>
        <v/>
      </c>
      <c r="B369" s="25" t="n"/>
      <c r="C369" s="24">
        <f>IF(B369="","",IFERROR(INDEX('Wózki'!$B$2:$B$500,MATCH(B369,'Wózki'!$A$2:$A$500,0))&amp;"",""))</f>
        <v/>
      </c>
      <c r="D369" s="26" t="n"/>
      <c r="E369" s="25" t="n"/>
      <c r="F369" s="25" t="n"/>
      <c r="G369" s="24">
        <f>IF(F369="","",IFERROR(INDEX(Pracownicy!$B$2:$B$2000,MATCH(F369,Pracownicy!$A$2:$A$2000,0))&amp;"",""))</f>
        <v/>
      </c>
      <c r="H369" s="25" t="n"/>
      <c r="I369" s="25" t="n"/>
      <c r="J369" s="25" t="n"/>
      <c r="K369" s="27" t="n"/>
      <c r="L369" s="25" t="n"/>
      <c r="M369" s="25" t="n"/>
      <c r="N369" s="27" t="n"/>
      <c r="O369" s="24">
        <f>IF(B369="","",IF(M369="","TAK",IFERROR(INDEX(Ustawienia!$K$4:$K$8,MATCH(M369,Ustawienia!$J$4:$J$8,0)),"TAK")))</f>
        <v/>
      </c>
      <c r="P369" s="28">
        <f>IF(OR(B369="",D369=""),"",IFERROR(INDEX('Dane rozpisek'!$B$2:$B$2600,MATCH(S369,'Dane rozpisek'!$H$2:$H$2600,0))&amp;": "&amp;INDEX('Dane rozpisek'!$E$2:$E$2600,MATCH(S369,'Dane rozpisek'!$H$2:$H$2600,0))&amp;IF(COUNTIF('Dane rozpisek'!$H$2:$H$2600,S369)&gt;1," (+"&amp;(COUNTIF('Dane rozpisek'!$H$2:$H$2600,S369)-1)&amp;")",""),"—"))</f>
        <v/>
      </c>
      <c r="Q369" s="24">
        <f>IF(AND(B369&lt;&gt;"",D369&lt;&gt;"",OR('Historia wózka'!$B$4="",B369='Historia wózka'!$B$4),D369&gt;='Historia wózka'!$B$5,D369&lt;='Historia wózka'!$B$6),D369+ROW()/1000000,0)</f>
        <v/>
      </c>
      <c r="R369" s="24">
        <f>IF(O369="TAK",IF(D369="",0,D369)+ROW()/1000000,0)</f>
        <v/>
      </c>
      <c r="S369" s="24">
        <f>IF(OR(B369="",D369=""),"",B369&amp;"|"&amp;D369)</f>
        <v/>
      </c>
    </row>
    <row r="370">
      <c r="A370" s="24">
        <f>IF(B370="","",ROW()-4)</f>
        <v/>
      </c>
      <c r="B370" s="25" t="n"/>
      <c r="C370" s="24">
        <f>IF(B370="","",IFERROR(INDEX('Wózki'!$B$2:$B$500,MATCH(B370,'Wózki'!$A$2:$A$500,0))&amp;"",""))</f>
        <v/>
      </c>
      <c r="D370" s="26" t="n"/>
      <c r="E370" s="25" t="n"/>
      <c r="F370" s="25" t="n"/>
      <c r="G370" s="24">
        <f>IF(F370="","",IFERROR(INDEX(Pracownicy!$B$2:$B$2000,MATCH(F370,Pracownicy!$A$2:$A$2000,0))&amp;"",""))</f>
        <v/>
      </c>
      <c r="H370" s="25" t="n"/>
      <c r="I370" s="25" t="n"/>
      <c r="J370" s="25" t="n"/>
      <c r="K370" s="27" t="n"/>
      <c r="L370" s="25" t="n"/>
      <c r="M370" s="25" t="n"/>
      <c r="N370" s="27" t="n"/>
      <c r="O370" s="24">
        <f>IF(B370="","",IF(M370="","TAK",IFERROR(INDEX(Ustawienia!$K$4:$K$8,MATCH(M370,Ustawienia!$J$4:$J$8,0)),"TAK")))</f>
        <v/>
      </c>
      <c r="P370" s="28">
        <f>IF(OR(B370="",D370=""),"",IFERROR(INDEX('Dane rozpisek'!$B$2:$B$2600,MATCH(S370,'Dane rozpisek'!$H$2:$H$2600,0))&amp;": "&amp;INDEX('Dane rozpisek'!$E$2:$E$2600,MATCH(S370,'Dane rozpisek'!$H$2:$H$2600,0))&amp;IF(COUNTIF('Dane rozpisek'!$H$2:$H$2600,S370)&gt;1," (+"&amp;(COUNTIF('Dane rozpisek'!$H$2:$H$2600,S370)-1)&amp;")",""),"—"))</f>
        <v/>
      </c>
      <c r="Q370" s="24">
        <f>IF(AND(B370&lt;&gt;"",D370&lt;&gt;"",OR('Historia wózka'!$B$4="",B370='Historia wózka'!$B$4),D370&gt;='Historia wózka'!$B$5,D370&lt;='Historia wózka'!$B$6),D370+ROW()/1000000,0)</f>
        <v/>
      </c>
      <c r="R370" s="24">
        <f>IF(O370="TAK",IF(D370="",0,D370)+ROW()/1000000,0)</f>
        <v/>
      </c>
      <c r="S370" s="24">
        <f>IF(OR(B370="",D370=""),"",B370&amp;"|"&amp;D370)</f>
        <v/>
      </c>
    </row>
    <row r="371">
      <c r="A371" s="24">
        <f>IF(B371="","",ROW()-4)</f>
        <v/>
      </c>
      <c r="B371" s="25" t="n"/>
      <c r="C371" s="24">
        <f>IF(B371="","",IFERROR(INDEX('Wózki'!$B$2:$B$500,MATCH(B371,'Wózki'!$A$2:$A$500,0))&amp;"",""))</f>
        <v/>
      </c>
      <c r="D371" s="26" t="n"/>
      <c r="E371" s="25" t="n"/>
      <c r="F371" s="25" t="n"/>
      <c r="G371" s="24">
        <f>IF(F371="","",IFERROR(INDEX(Pracownicy!$B$2:$B$2000,MATCH(F371,Pracownicy!$A$2:$A$2000,0))&amp;"",""))</f>
        <v/>
      </c>
      <c r="H371" s="25" t="n"/>
      <c r="I371" s="25" t="n"/>
      <c r="J371" s="25" t="n"/>
      <c r="K371" s="27" t="n"/>
      <c r="L371" s="25" t="n"/>
      <c r="M371" s="25" t="n"/>
      <c r="N371" s="27" t="n"/>
      <c r="O371" s="24">
        <f>IF(B371="","",IF(M371="","TAK",IFERROR(INDEX(Ustawienia!$K$4:$K$8,MATCH(M371,Ustawienia!$J$4:$J$8,0)),"TAK")))</f>
        <v/>
      </c>
      <c r="P371" s="28">
        <f>IF(OR(B371="",D371=""),"",IFERROR(INDEX('Dane rozpisek'!$B$2:$B$2600,MATCH(S371,'Dane rozpisek'!$H$2:$H$2600,0))&amp;": "&amp;INDEX('Dane rozpisek'!$E$2:$E$2600,MATCH(S371,'Dane rozpisek'!$H$2:$H$2600,0))&amp;IF(COUNTIF('Dane rozpisek'!$H$2:$H$2600,S371)&gt;1," (+"&amp;(COUNTIF('Dane rozpisek'!$H$2:$H$2600,S371)-1)&amp;")",""),"—"))</f>
        <v/>
      </c>
      <c r="Q371" s="24">
        <f>IF(AND(B371&lt;&gt;"",D371&lt;&gt;"",OR('Historia wózka'!$B$4="",B371='Historia wózka'!$B$4),D371&gt;='Historia wózka'!$B$5,D371&lt;='Historia wózka'!$B$6),D371+ROW()/1000000,0)</f>
        <v/>
      </c>
      <c r="R371" s="24">
        <f>IF(O371="TAK",IF(D371="",0,D371)+ROW()/1000000,0)</f>
        <v/>
      </c>
      <c r="S371" s="24">
        <f>IF(OR(B371="",D371=""),"",B371&amp;"|"&amp;D371)</f>
        <v/>
      </c>
    </row>
    <row r="372">
      <c r="A372" s="24">
        <f>IF(B372="","",ROW()-4)</f>
        <v/>
      </c>
      <c r="B372" s="25" t="n"/>
      <c r="C372" s="24">
        <f>IF(B372="","",IFERROR(INDEX('Wózki'!$B$2:$B$500,MATCH(B372,'Wózki'!$A$2:$A$500,0))&amp;"",""))</f>
        <v/>
      </c>
      <c r="D372" s="26" t="n"/>
      <c r="E372" s="25" t="n"/>
      <c r="F372" s="25" t="n"/>
      <c r="G372" s="24">
        <f>IF(F372="","",IFERROR(INDEX(Pracownicy!$B$2:$B$2000,MATCH(F372,Pracownicy!$A$2:$A$2000,0))&amp;"",""))</f>
        <v/>
      </c>
      <c r="H372" s="25" t="n"/>
      <c r="I372" s="25" t="n"/>
      <c r="J372" s="25" t="n"/>
      <c r="K372" s="27" t="n"/>
      <c r="L372" s="25" t="n"/>
      <c r="M372" s="25" t="n"/>
      <c r="N372" s="27" t="n"/>
      <c r="O372" s="24">
        <f>IF(B372="","",IF(M372="","TAK",IFERROR(INDEX(Ustawienia!$K$4:$K$8,MATCH(M372,Ustawienia!$J$4:$J$8,0)),"TAK")))</f>
        <v/>
      </c>
      <c r="P372" s="28">
        <f>IF(OR(B372="",D372=""),"",IFERROR(INDEX('Dane rozpisek'!$B$2:$B$2600,MATCH(S372,'Dane rozpisek'!$H$2:$H$2600,0))&amp;": "&amp;INDEX('Dane rozpisek'!$E$2:$E$2600,MATCH(S372,'Dane rozpisek'!$H$2:$H$2600,0))&amp;IF(COUNTIF('Dane rozpisek'!$H$2:$H$2600,S372)&gt;1," (+"&amp;(COUNTIF('Dane rozpisek'!$H$2:$H$2600,S372)-1)&amp;")",""),"—"))</f>
        <v/>
      </c>
      <c r="Q372" s="24">
        <f>IF(AND(B372&lt;&gt;"",D372&lt;&gt;"",OR('Historia wózka'!$B$4="",B372='Historia wózka'!$B$4),D372&gt;='Historia wózka'!$B$5,D372&lt;='Historia wózka'!$B$6),D372+ROW()/1000000,0)</f>
        <v/>
      </c>
      <c r="R372" s="24">
        <f>IF(O372="TAK",IF(D372="",0,D372)+ROW()/1000000,0)</f>
        <v/>
      </c>
      <c r="S372" s="24">
        <f>IF(OR(B372="",D372=""),"",B372&amp;"|"&amp;D372)</f>
        <v/>
      </c>
    </row>
    <row r="373">
      <c r="A373" s="24">
        <f>IF(B373="","",ROW()-4)</f>
        <v/>
      </c>
      <c r="B373" s="25" t="n"/>
      <c r="C373" s="24">
        <f>IF(B373="","",IFERROR(INDEX('Wózki'!$B$2:$B$500,MATCH(B373,'Wózki'!$A$2:$A$500,0))&amp;"",""))</f>
        <v/>
      </c>
      <c r="D373" s="26" t="n"/>
      <c r="E373" s="25" t="n"/>
      <c r="F373" s="25" t="n"/>
      <c r="G373" s="24">
        <f>IF(F373="","",IFERROR(INDEX(Pracownicy!$B$2:$B$2000,MATCH(F373,Pracownicy!$A$2:$A$2000,0))&amp;"",""))</f>
        <v/>
      </c>
      <c r="H373" s="25" t="n"/>
      <c r="I373" s="25" t="n"/>
      <c r="J373" s="25" t="n"/>
      <c r="K373" s="27" t="n"/>
      <c r="L373" s="25" t="n"/>
      <c r="M373" s="25" t="n"/>
      <c r="N373" s="27" t="n"/>
      <c r="O373" s="24">
        <f>IF(B373="","",IF(M373="","TAK",IFERROR(INDEX(Ustawienia!$K$4:$K$8,MATCH(M373,Ustawienia!$J$4:$J$8,0)),"TAK")))</f>
        <v/>
      </c>
      <c r="P373" s="28">
        <f>IF(OR(B373="",D373=""),"",IFERROR(INDEX('Dane rozpisek'!$B$2:$B$2600,MATCH(S373,'Dane rozpisek'!$H$2:$H$2600,0))&amp;": "&amp;INDEX('Dane rozpisek'!$E$2:$E$2600,MATCH(S373,'Dane rozpisek'!$H$2:$H$2600,0))&amp;IF(COUNTIF('Dane rozpisek'!$H$2:$H$2600,S373)&gt;1," (+"&amp;(COUNTIF('Dane rozpisek'!$H$2:$H$2600,S373)-1)&amp;")",""),"—"))</f>
        <v/>
      </c>
      <c r="Q373" s="24">
        <f>IF(AND(B373&lt;&gt;"",D373&lt;&gt;"",OR('Historia wózka'!$B$4="",B373='Historia wózka'!$B$4),D373&gt;='Historia wózka'!$B$5,D373&lt;='Historia wózka'!$B$6),D373+ROW()/1000000,0)</f>
        <v/>
      </c>
      <c r="R373" s="24">
        <f>IF(O373="TAK",IF(D373="",0,D373)+ROW()/1000000,0)</f>
        <v/>
      </c>
      <c r="S373" s="24">
        <f>IF(OR(B373="",D373=""),"",B373&amp;"|"&amp;D373)</f>
        <v/>
      </c>
    </row>
    <row r="374">
      <c r="A374" s="24">
        <f>IF(B374="","",ROW()-4)</f>
        <v/>
      </c>
      <c r="B374" s="25" t="n"/>
      <c r="C374" s="24">
        <f>IF(B374="","",IFERROR(INDEX('Wózki'!$B$2:$B$500,MATCH(B374,'Wózki'!$A$2:$A$500,0))&amp;"",""))</f>
        <v/>
      </c>
      <c r="D374" s="26" t="n"/>
      <c r="E374" s="25" t="n"/>
      <c r="F374" s="25" t="n"/>
      <c r="G374" s="24">
        <f>IF(F374="","",IFERROR(INDEX(Pracownicy!$B$2:$B$2000,MATCH(F374,Pracownicy!$A$2:$A$2000,0))&amp;"",""))</f>
        <v/>
      </c>
      <c r="H374" s="25" t="n"/>
      <c r="I374" s="25" t="n"/>
      <c r="J374" s="25" t="n"/>
      <c r="K374" s="27" t="n"/>
      <c r="L374" s="25" t="n"/>
      <c r="M374" s="25" t="n"/>
      <c r="N374" s="27" t="n"/>
      <c r="O374" s="24">
        <f>IF(B374="","",IF(M374="","TAK",IFERROR(INDEX(Ustawienia!$K$4:$K$8,MATCH(M374,Ustawienia!$J$4:$J$8,0)),"TAK")))</f>
        <v/>
      </c>
      <c r="P374" s="28">
        <f>IF(OR(B374="",D374=""),"",IFERROR(INDEX('Dane rozpisek'!$B$2:$B$2600,MATCH(S374,'Dane rozpisek'!$H$2:$H$2600,0))&amp;": "&amp;INDEX('Dane rozpisek'!$E$2:$E$2600,MATCH(S374,'Dane rozpisek'!$H$2:$H$2600,0))&amp;IF(COUNTIF('Dane rozpisek'!$H$2:$H$2600,S374)&gt;1," (+"&amp;(COUNTIF('Dane rozpisek'!$H$2:$H$2600,S374)-1)&amp;")",""),"—"))</f>
        <v/>
      </c>
      <c r="Q374" s="24">
        <f>IF(AND(B374&lt;&gt;"",D374&lt;&gt;"",OR('Historia wózka'!$B$4="",B374='Historia wózka'!$B$4),D374&gt;='Historia wózka'!$B$5,D374&lt;='Historia wózka'!$B$6),D374+ROW()/1000000,0)</f>
        <v/>
      </c>
      <c r="R374" s="24">
        <f>IF(O374="TAK",IF(D374="",0,D374)+ROW()/1000000,0)</f>
        <v/>
      </c>
      <c r="S374" s="24">
        <f>IF(OR(B374="",D374=""),"",B374&amp;"|"&amp;D374)</f>
        <v/>
      </c>
    </row>
    <row r="375">
      <c r="A375" s="24">
        <f>IF(B375="","",ROW()-4)</f>
        <v/>
      </c>
      <c r="B375" s="25" t="n"/>
      <c r="C375" s="24">
        <f>IF(B375="","",IFERROR(INDEX('Wózki'!$B$2:$B$500,MATCH(B375,'Wózki'!$A$2:$A$500,0))&amp;"",""))</f>
        <v/>
      </c>
      <c r="D375" s="26" t="n"/>
      <c r="E375" s="25" t="n"/>
      <c r="F375" s="25" t="n"/>
      <c r="G375" s="24">
        <f>IF(F375="","",IFERROR(INDEX(Pracownicy!$B$2:$B$2000,MATCH(F375,Pracownicy!$A$2:$A$2000,0))&amp;"",""))</f>
        <v/>
      </c>
      <c r="H375" s="25" t="n"/>
      <c r="I375" s="25" t="n"/>
      <c r="J375" s="25" t="n"/>
      <c r="K375" s="27" t="n"/>
      <c r="L375" s="25" t="n"/>
      <c r="M375" s="25" t="n"/>
      <c r="N375" s="27" t="n"/>
      <c r="O375" s="24">
        <f>IF(B375="","",IF(M375="","TAK",IFERROR(INDEX(Ustawienia!$K$4:$K$8,MATCH(M375,Ustawienia!$J$4:$J$8,0)),"TAK")))</f>
        <v/>
      </c>
      <c r="P375" s="28">
        <f>IF(OR(B375="",D375=""),"",IFERROR(INDEX('Dane rozpisek'!$B$2:$B$2600,MATCH(S375,'Dane rozpisek'!$H$2:$H$2600,0))&amp;": "&amp;INDEX('Dane rozpisek'!$E$2:$E$2600,MATCH(S375,'Dane rozpisek'!$H$2:$H$2600,0))&amp;IF(COUNTIF('Dane rozpisek'!$H$2:$H$2600,S375)&gt;1," (+"&amp;(COUNTIF('Dane rozpisek'!$H$2:$H$2600,S375)-1)&amp;")",""),"—"))</f>
        <v/>
      </c>
      <c r="Q375" s="24">
        <f>IF(AND(B375&lt;&gt;"",D375&lt;&gt;"",OR('Historia wózka'!$B$4="",B375='Historia wózka'!$B$4),D375&gt;='Historia wózka'!$B$5,D375&lt;='Historia wózka'!$B$6),D375+ROW()/1000000,0)</f>
        <v/>
      </c>
      <c r="R375" s="24">
        <f>IF(O375="TAK",IF(D375="",0,D375)+ROW()/1000000,0)</f>
        <v/>
      </c>
      <c r="S375" s="24">
        <f>IF(OR(B375="",D375=""),"",B375&amp;"|"&amp;D375)</f>
        <v/>
      </c>
    </row>
    <row r="376">
      <c r="A376" s="24">
        <f>IF(B376="","",ROW()-4)</f>
        <v/>
      </c>
      <c r="B376" s="25" t="n"/>
      <c r="C376" s="24">
        <f>IF(B376="","",IFERROR(INDEX('Wózki'!$B$2:$B$500,MATCH(B376,'Wózki'!$A$2:$A$500,0))&amp;"",""))</f>
        <v/>
      </c>
      <c r="D376" s="26" t="n"/>
      <c r="E376" s="25" t="n"/>
      <c r="F376" s="25" t="n"/>
      <c r="G376" s="24">
        <f>IF(F376="","",IFERROR(INDEX(Pracownicy!$B$2:$B$2000,MATCH(F376,Pracownicy!$A$2:$A$2000,0))&amp;"",""))</f>
        <v/>
      </c>
      <c r="H376" s="25" t="n"/>
      <c r="I376" s="25" t="n"/>
      <c r="J376" s="25" t="n"/>
      <c r="K376" s="27" t="n"/>
      <c r="L376" s="25" t="n"/>
      <c r="M376" s="25" t="n"/>
      <c r="N376" s="27" t="n"/>
      <c r="O376" s="24">
        <f>IF(B376="","",IF(M376="","TAK",IFERROR(INDEX(Ustawienia!$K$4:$K$8,MATCH(M376,Ustawienia!$J$4:$J$8,0)),"TAK")))</f>
        <v/>
      </c>
      <c r="P376" s="28">
        <f>IF(OR(B376="",D376=""),"",IFERROR(INDEX('Dane rozpisek'!$B$2:$B$2600,MATCH(S376,'Dane rozpisek'!$H$2:$H$2600,0))&amp;": "&amp;INDEX('Dane rozpisek'!$E$2:$E$2600,MATCH(S376,'Dane rozpisek'!$H$2:$H$2600,0))&amp;IF(COUNTIF('Dane rozpisek'!$H$2:$H$2600,S376)&gt;1," (+"&amp;(COUNTIF('Dane rozpisek'!$H$2:$H$2600,S376)-1)&amp;")",""),"—"))</f>
        <v/>
      </c>
      <c r="Q376" s="24">
        <f>IF(AND(B376&lt;&gt;"",D376&lt;&gt;"",OR('Historia wózka'!$B$4="",B376='Historia wózka'!$B$4),D376&gt;='Historia wózka'!$B$5,D376&lt;='Historia wózka'!$B$6),D376+ROW()/1000000,0)</f>
        <v/>
      </c>
      <c r="R376" s="24">
        <f>IF(O376="TAK",IF(D376="",0,D376)+ROW()/1000000,0)</f>
        <v/>
      </c>
      <c r="S376" s="24">
        <f>IF(OR(B376="",D376=""),"",B376&amp;"|"&amp;D376)</f>
        <v/>
      </c>
    </row>
    <row r="377">
      <c r="A377" s="24">
        <f>IF(B377="","",ROW()-4)</f>
        <v/>
      </c>
      <c r="B377" s="25" t="n"/>
      <c r="C377" s="24">
        <f>IF(B377="","",IFERROR(INDEX('Wózki'!$B$2:$B$500,MATCH(B377,'Wózki'!$A$2:$A$500,0))&amp;"",""))</f>
        <v/>
      </c>
      <c r="D377" s="26" t="n"/>
      <c r="E377" s="25" t="n"/>
      <c r="F377" s="25" t="n"/>
      <c r="G377" s="24">
        <f>IF(F377="","",IFERROR(INDEX(Pracownicy!$B$2:$B$2000,MATCH(F377,Pracownicy!$A$2:$A$2000,0))&amp;"",""))</f>
        <v/>
      </c>
      <c r="H377" s="25" t="n"/>
      <c r="I377" s="25" t="n"/>
      <c r="J377" s="25" t="n"/>
      <c r="K377" s="27" t="n"/>
      <c r="L377" s="25" t="n"/>
      <c r="M377" s="25" t="n"/>
      <c r="N377" s="27" t="n"/>
      <c r="O377" s="24">
        <f>IF(B377="","",IF(M377="","TAK",IFERROR(INDEX(Ustawienia!$K$4:$K$8,MATCH(M377,Ustawienia!$J$4:$J$8,0)),"TAK")))</f>
        <v/>
      </c>
      <c r="P377" s="28">
        <f>IF(OR(B377="",D377=""),"",IFERROR(INDEX('Dane rozpisek'!$B$2:$B$2600,MATCH(S377,'Dane rozpisek'!$H$2:$H$2600,0))&amp;": "&amp;INDEX('Dane rozpisek'!$E$2:$E$2600,MATCH(S377,'Dane rozpisek'!$H$2:$H$2600,0))&amp;IF(COUNTIF('Dane rozpisek'!$H$2:$H$2600,S377)&gt;1," (+"&amp;(COUNTIF('Dane rozpisek'!$H$2:$H$2600,S377)-1)&amp;")",""),"—"))</f>
        <v/>
      </c>
      <c r="Q377" s="24">
        <f>IF(AND(B377&lt;&gt;"",D377&lt;&gt;"",OR('Historia wózka'!$B$4="",B377='Historia wózka'!$B$4),D377&gt;='Historia wózka'!$B$5,D377&lt;='Historia wózka'!$B$6),D377+ROW()/1000000,0)</f>
        <v/>
      </c>
      <c r="R377" s="24">
        <f>IF(O377="TAK",IF(D377="",0,D377)+ROW()/1000000,0)</f>
        <v/>
      </c>
      <c r="S377" s="24">
        <f>IF(OR(B377="",D377=""),"",B377&amp;"|"&amp;D377)</f>
        <v/>
      </c>
    </row>
    <row r="378">
      <c r="A378" s="24">
        <f>IF(B378="","",ROW()-4)</f>
        <v/>
      </c>
      <c r="B378" s="25" t="n"/>
      <c r="C378" s="24">
        <f>IF(B378="","",IFERROR(INDEX('Wózki'!$B$2:$B$500,MATCH(B378,'Wózki'!$A$2:$A$500,0))&amp;"",""))</f>
        <v/>
      </c>
      <c r="D378" s="26" t="n"/>
      <c r="E378" s="25" t="n"/>
      <c r="F378" s="25" t="n"/>
      <c r="G378" s="24">
        <f>IF(F378="","",IFERROR(INDEX(Pracownicy!$B$2:$B$2000,MATCH(F378,Pracownicy!$A$2:$A$2000,0))&amp;"",""))</f>
        <v/>
      </c>
      <c r="H378" s="25" t="n"/>
      <c r="I378" s="25" t="n"/>
      <c r="J378" s="25" t="n"/>
      <c r="K378" s="27" t="n"/>
      <c r="L378" s="25" t="n"/>
      <c r="M378" s="25" t="n"/>
      <c r="N378" s="27" t="n"/>
      <c r="O378" s="24">
        <f>IF(B378="","",IF(M378="","TAK",IFERROR(INDEX(Ustawienia!$K$4:$K$8,MATCH(M378,Ustawienia!$J$4:$J$8,0)),"TAK")))</f>
        <v/>
      </c>
      <c r="P378" s="28">
        <f>IF(OR(B378="",D378=""),"",IFERROR(INDEX('Dane rozpisek'!$B$2:$B$2600,MATCH(S378,'Dane rozpisek'!$H$2:$H$2600,0))&amp;": "&amp;INDEX('Dane rozpisek'!$E$2:$E$2600,MATCH(S378,'Dane rozpisek'!$H$2:$H$2600,0))&amp;IF(COUNTIF('Dane rozpisek'!$H$2:$H$2600,S378)&gt;1," (+"&amp;(COUNTIF('Dane rozpisek'!$H$2:$H$2600,S378)-1)&amp;")",""),"—"))</f>
        <v/>
      </c>
      <c r="Q378" s="24">
        <f>IF(AND(B378&lt;&gt;"",D378&lt;&gt;"",OR('Historia wózka'!$B$4="",B378='Historia wózka'!$B$4),D378&gt;='Historia wózka'!$B$5,D378&lt;='Historia wózka'!$B$6),D378+ROW()/1000000,0)</f>
        <v/>
      </c>
      <c r="R378" s="24">
        <f>IF(O378="TAK",IF(D378="",0,D378)+ROW()/1000000,0)</f>
        <v/>
      </c>
      <c r="S378" s="24">
        <f>IF(OR(B378="",D378=""),"",B378&amp;"|"&amp;D378)</f>
        <v/>
      </c>
    </row>
    <row r="379">
      <c r="A379" s="24">
        <f>IF(B379="","",ROW()-4)</f>
        <v/>
      </c>
      <c r="B379" s="25" t="n"/>
      <c r="C379" s="24">
        <f>IF(B379="","",IFERROR(INDEX('Wózki'!$B$2:$B$500,MATCH(B379,'Wózki'!$A$2:$A$500,0))&amp;"",""))</f>
        <v/>
      </c>
      <c r="D379" s="26" t="n"/>
      <c r="E379" s="25" t="n"/>
      <c r="F379" s="25" t="n"/>
      <c r="G379" s="24">
        <f>IF(F379="","",IFERROR(INDEX(Pracownicy!$B$2:$B$2000,MATCH(F379,Pracownicy!$A$2:$A$2000,0))&amp;"",""))</f>
        <v/>
      </c>
      <c r="H379" s="25" t="n"/>
      <c r="I379" s="25" t="n"/>
      <c r="J379" s="25" t="n"/>
      <c r="K379" s="27" t="n"/>
      <c r="L379" s="25" t="n"/>
      <c r="M379" s="25" t="n"/>
      <c r="N379" s="27" t="n"/>
      <c r="O379" s="24">
        <f>IF(B379="","",IF(M379="","TAK",IFERROR(INDEX(Ustawienia!$K$4:$K$8,MATCH(M379,Ustawienia!$J$4:$J$8,0)),"TAK")))</f>
        <v/>
      </c>
      <c r="P379" s="28">
        <f>IF(OR(B379="",D379=""),"",IFERROR(INDEX('Dane rozpisek'!$B$2:$B$2600,MATCH(S379,'Dane rozpisek'!$H$2:$H$2600,0))&amp;": "&amp;INDEX('Dane rozpisek'!$E$2:$E$2600,MATCH(S379,'Dane rozpisek'!$H$2:$H$2600,0))&amp;IF(COUNTIF('Dane rozpisek'!$H$2:$H$2600,S379)&gt;1," (+"&amp;(COUNTIF('Dane rozpisek'!$H$2:$H$2600,S379)-1)&amp;")",""),"—"))</f>
        <v/>
      </c>
      <c r="Q379" s="24">
        <f>IF(AND(B379&lt;&gt;"",D379&lt;&gt;"",OR('Historia wózka'!$B$4="",B379='Historia wózka'!$B$4),D379&gt;='Historia wózka'!$B$5,D379&lt;='Historia wózka'!$B$6),D379+ROW()/1000000,0)</f>
        <v/>
      </c>
      <c r="R379" s="24">
        <f>IF(O379="TAK",IF(D379="",0,D379)+ROW()/1000000,0)</f>
        <v/>
      </c>
      <c r="S379" s="24">
        <f>IF(OR(B379="",D379=""),"",B379&amp;"|"&amp;D379)</f>
        <v/>
      </c>
    </row>
    <row r="380">
      <c r="A380" s="24">
        <f>IF(B380="","",ROW()-4)</f>
        <v/>
      </c>
      <c r="B380" s="25" t="n"/>
      <c r="C380" s="24">
        <f>IF(B380="","",IFERROR(INDEX('Wózki'!$B$2:$B$500,MATCH(B380,'Wózki'!$A$2:$A$500,0))&amp;"",""))</f>
        <v/>
      </c>
      <c r="D380" s="26" t="n"/>
      <c r="E380" s="25" t="n"/>
      <c r="F380" s="25" t="n"/>
      <c r="G380" s="24">
        <f>IF(F380="","",IFERROR(INDEX(Pracownicy!$B$2:$B$2000,MATCH(F380,Pracownicy!$A$2:$A$2000,0))&amp;"",""))</f>
        <v/>
      </c>
      <c r="H380" s="25" t="n"/>
      <c r="I380" s="25" t="n"/>
      <c r="J380" s="25" t="n"/>
      <c r="K380" s="27" t="n"/>
      <c r="L380" s="25" t="n"/>
      <c r="M380" s="25" t="n"/>
      <c r="N380" s="27" t="n"/>
      <c r="O380" s="24">
        <f>IF(B380="","",IF(M380="","TAK",IFERROR(INDEX(Ustawienia!$K$4:$K$8,MATCH(M380,Ustawienia!$J$4:$J$8,0)),"TAK")))</f>
        <v/>
      </c>
      <c r="P380" s="28">
        <f>IF(OR(B380="",D380=""),"",IFERROR(INDEX('Dane rozpisek'!$B$2:$B$2600,MATCH(S380,'Dane rozpisek'!$H$2:$H$2600,0))&amp;": "&amp;INDEX('Dane rozpisek'!$E$2:$E$2600,MATCH(S380,'Dane rozpisek'!$H$2:$H$2600,0))&amp;IF(COUNTIF('Dane rozpisek'!$H$2:$H$2600,S380)&gt;1," (+"&amp;(COUNTIF('Dane rozpisek'!$H$2:$H$2600,S380)-1)&amp;")",""),"—"))</f>
        <v/>
      </c>
      <c r="Q380" s="24">
        <f>IF(AND(B380&lt;&gt;"",D380&lt;&gt;"",OR('Historia wózka'!$B$4="",B380='Historia wózka'!$B$4),D380&gt;='Historia wózka'!$B$5,D380&lt;='Historia wózka'!$B$6),D380+ROW()/1000000,0)</f>
        <v/>
      </c>
      <c r="R380" s="24">
        <f>IF(O380="TAK",IF(D380="",0,D380)+ROW()/1000000,0)</f>
        <v/>
      </c>
      <c r="S380" s="24">
        <f>IF(OR(B380="",D380=""),"",B380&amp;"|"&amp;D380)</f>
        <v/>
      </c>
    </row>
    <row r="381">
      <c r="A381" s="24">
        <f>IF(B381="","",ROW()-4)</f>
        <v/>
      </c>
      <c r="B381" s="25" t="n"/>
      <c r="C381" s="24">
        <f>IF(B381="","",IFERROR(INDEX('Wózki'!$B$2:$B$500,MATCH(B381,'Wózki'!$A$2:$A$500,0))&amp;"",""))</f>
        <v/>
      </c>
      <c r="D381" s="26" t="n"/>
      <c r="E381" s="25" t="n"/>
      <c r="F381" s="25" t="n"/>
      <c r="G381" s="24">
        <f>IF(F381="","",IFERROR(INDEX(Pracownicy!$B$2:$B$2000,MATCH(F381,Pracownicy!$A$2:$A$2000,0))&amp;"",""))</f>
        <v/>
      </c>
      <c r="H381" s="25" t="n"/>
      <c r="I381" s="25" t="n"/>
      <c r="J381" s="25" t="n"/>
      <c r="K381" s="27" t="n"/>
      <c r="L381" s="25" t="n"/>
      <c r="M381" s="25" t="n"/>
      <c r="N381" s="27" t="n"/>
      <c r="O381" s="24">
        <f>IF(B381="","",IF(M381="","TAK",IFERROR(INDEX(Ustawienia!$K$4:$K$8,MATCH(M381,Ustawienia!$J$4:$J$8,0)),"TAK")))</f>
        <v/>
      </c>
      <c r="P381" s="28">
        <f>IF(OR(B381="",D381=""),"",IFERROR(INDEX('Dane rozpisek'!$B$2:$B$2600,MATCH(S381,'Dane rozpisek'!$H$2:$H$2600,0))&amp;": "&amp;INDEX('Dane rozpisek'!$E$2:$E$2600,MATCH(S381,'Dane rozpisek'!$H$2:$H$2600,0))&amp;IF(COUNTIF('Dane rozpisek'!$H$2:$H$2600,S381)&gt;1," (+"&amp;(COUNTIF('Dane rozpisek'!$H$2:$H$2600,S381)-1)&amp;")",""),"—"))</f>
        <v/>
      </c>
      <c r="Q381" s="24">
        <f>IF(AND(B381&lt;&gt;"",D381&lt;&gt;"",OR('Historia wózka'!$B$4="",B381='Historia wózka'!$B$4),D381&gt;='Historia wózka'!$B$5,D381&lt;='Historia wózka'!$B$6),D381+ROW()/1000000,0)</f>
        <v/>
      </c>
      <c r="R381" s="24">
        <f>IF(O381="TAK",IF(D381="",0,D381)+ROW()/1000000,0)</f>
        <v/>
      </c>
      <c r="S381" s="24">
        <f>IF(OR(B381="",D381=""),"",B381&amp;"|"&amp;D381)</f>
        <v/>
      </c>
    </row>
    <row r="382">
      <c r="A382" s="24">
        <f>IF(B382="","",ROW()-4)</f>
        <v/>
      </c>
      <c r="B382" s="25" t="n"/>
      <c r="C382" s="24">
        <f>IF(B382="","",IFERROR(INDEX('Wózki'!$B$2:$B$500,MATCH(B382,'Wózki'!$A$2:$A$500,0))&amp;"",""))</f>
        <v/>
      </c>
      <c r="D382" s="26" t="n"/>
      <c r="E382" s="25" t="n"/>
      <c r="F382" s="25" t="n"/>
      <c r="G382" s="24">
        <f>IF(F382="","",IFERROR(INDEX(Pracownicy!$B$2:$B$2000,MATCH(F382,Pracownicy!$A$2:$A$2000,0))&amp;"",""))</f>
        <v/>
      </c>
      <c r="H382" s="25" t="n"/>
      <c r="I382" s="25" t="n"/>
      <c r="J382" s="25" t="n"/>
      <c r="K382" s="27" t="n"/>
      <c r="L382" s="25" t="n"/>
      <c r="M382" s="25" t="n"/>
      <c r="N382" s="27" t="n"/>
      <c r="O382" s="24">
        <f>IF(B382="","",IF(M382="","TAK",IFERROR(INDEX(Ustawienia!$K$4:$K$8,MATCH(M382,Ustawienia!$J$4:$J$8,0)),"TAK")))</f>
        <v/>
      </c>
      <c r="P382" s="28">
        <f>IF(OR(B382="",D382=""),"",IFERROR(INDEX('Dane rozpisek'!$B$2:$B$2600,MATCH(S382,'Dane rozpisek'!$H$2:$H$2600,0))&amp;": "&amp;INDEX('Dane rozpisek'!$E$2:$E$2600,MATCH(S382,'Dane rozpisek'!$H$2:$H$2600,0))&amp;IF(COUNTIF('Dane rozpisek'!$H$2:$H$2600,S382)&gt;1," (+"&amp;(COUNTIF('Dane rozpisek'!$H$2:$H$2600,S382)-1)&amp;")",""),"—"))</f>
        <v/>
      </c>
      <c r="Q382" s="24">
        <f>IF(AND(B382&lt;&gt;"",D382&lt;&gt;"",OR('Historia wózka'!$B$4="",B382='Historia wózka'!$B$4),D382&gt;='Historia wózka'!$B$5,D382&lt;='Historia wózka'!$B$6),D382+ROW()/1000000,0)</f>
        <v/>
      </c>
      <c r="R382" s="24">
        <f>IF(O382="TAK",IF(D382="",0,D382)+ROW()/1000000,0)</f>
        <v/>
      </c>
      <c r="S382" s="24">
        <f>IF(OR(B382="",D382=""),"",B382&amp;"|"&amp;D382)</f>
        <v/>
      </c>
    </row>
    <row r="383">
      <c r="A383" s="24">
        <f>IF(B383="","",ROW()-4)</f>
        <v/>
      </c>
      <c r="B383" s="25" t="n"/>
      <c r="C383" s="24">
        <f>IF(B383="","",IFERROR(INDEX('Wózki'!$B$2:$B$500,MATCH(B383,'Wózki'!$A$2:$A$500,0))&amp;"",""))</f>
        <v/>
      </c>
      <c r="D383" s="26" t="n"/>
      <c r="E383" s="25" t="n"/>
      <c r="F383" s="25" t="n"/>
      <c r="G383" s="24">
        <f>IF(F383="","",IFERROR(INDEX(Pracownicy!$B$2:$B$2000,MATCH(F383,Pracownicy!$A$2:$A$2000,0))&amp;"",""))</f>
        <v/>
      </c>
      <c r="H383" s="25" t="n"/>
      <c r="I383" s="25" t="n"/>
      <c r="J383" s="25" t="n"/>
      <c r="K383" s="27" t="n"/>
      <c r="L383" s="25" t="n"/>
      <c r="M383" s="25" t="n"/>
      <c r="N383" s="27" t="n"/>
      <c r="O383" s="24">
        <f>IF(B383="","",IF(M383="","TAK",IFERROR(INDEX(Ustawienia!$K$4:$K$8,MATCH(M383,Ustawienia!$J$4:$J$8,0)),"TAK")))</f>
        <v/>
      </c>
      <c r="P383" s="28">
        <f>IF(OR(B383="",D383=""),"",IFERROR(INDEX('Dane rozpisek'!$B$2:$B$2600,MATCH(S383,'Dane rozpisek'!$H$2:$H$2600,0))&amp;": "&amp;INDEX('Dane rozpisek'!$E$2:$E$2600,MATCH(S383,'Dane rozpisek'!$H$2:$H$2600,0))&amp;IF(COUNTIF('Dane rozpisek'!$H$2:$H$2600,S383)&gt;1," (+"&amp;(COUNTIF('Dane rozpisek'!$H$2:$H$2600,S383)-1)&amp;")",""),"—"))</f>
        <v/>
      </c>
      <c r="Q383" s="24">
        <f>IF(AND(B383&lt;&gt;"",D383&lt;&gt;"",OR('Historia wózka'!$B$4="",B383='Historia wózka'!$B$4),D383&gt;='Historia wózka'!$B$5,D383&lt;='Historia wózka'!$B$6),D383+ROW()/1000000,0)</f>
        <v/>
      </c>
      <c r="R383" s="24">
        <f>IF(O383="TAK",IF(D383="",0,D383)+ROW()/1000000,0)</f>
        <v/>
      </c>
      <c r="S383" s="24">
        <f>IF(OR(B383="",D383=""),"",B383&amp;"|"&amp;D383)</f>
        <v/>
      </c>
    </row>
    <row r="384">
      <c r="A384" s="24">
        <f>IF(B384="","",ROW()-4)</f>
        <v/>
      </c>
      <c r="B384" s="25" t="n"/>
      <c r="C384" s="24">
        <f>IF(B384="","",IFERROR(INDEX('Wózki'!$B$2:$B$500,MATCH(B384,'Wózki'!$A$2:$A$500,0))&amp;"",""))</f>
        <v/>
      </c>
      <c r="D384" s="26" t="n"/>
      <c r="E384" s="25" t="n"/>
      <c r="F384" s="25" t="n"/>
      <c r="G384" s="24">
        <f>IF(F384="","",IFERROR(INDEX(Pracownicy!$B$2:$B$2000,MATCH(F384,Pracownicy!$A$2:$A$2000,0))&amp;"",""))</f>
        <v/>
      </c>
      <c r="H384" s="25" t="n"/>
      <c r="I384" s="25" t="n"/>
      <c r="J384" s="25" t="n"/>
      <c r="K384" s="27" t="n"/>
      <c r="L384" s="25" t="n"/>
      <c r="M384" s="25" t="n"/>
      <c r="N384" s="27" t="n"/>
      <c r="O384" s="24">
        <f>IF(B384="","",IF(M384="","TAK",IFERROR(INDEX(Ustawienia!$K$4:$K$8,MATCH(M384,Ustawienia!$J$4:$J$8,0)),"TAK")))</f>
        <v/>
      </c>
      <c r="P384" s="28">
        <f>IF(OR(B384="",D384=""),"",IFERROR(INDEX('Dane rozpisek'!$B$2:$B$2600,MATCH(S384,'Dane rozpisek'!$H$2:$H$2600,0))&amp;": "&amp;INDEX('Dane rozpisek'!$E$2:$E$2600,MATCH(S384,'Dane rozpisek'!$H$2:$H$2600,0))&amp;IF(COUNTIF('Dane rozpisek'!$H$2:$H$2600,S384)&gt;1," (+"&amp;(COUNTIF('Dane rozpisek'!$H$2:$H$2600,S384)-1)&amp;")",""),"—"))</f>
        <v/>
      </c>
      <c r="Q384" s="24">
        <f>IF(AND(B384&lt;&gt;"",D384&lt;&gt;"",OR('Historia wózka'!$B$4="",B384='Historia wózka'!$B$4),D384&gt;='Historia wózka'!$B$5,D384&lt;='Historia wózka'!$B$6),D384+ROW()/1000000,0)</f>
        <v/>
      </c>
      <c r="R384" s="24">
        <f>IF(O384="TAK",IF(D384="",0,D384)+ROW()/1000000,0)</f>
        <v/>
      </c>
      <c r="S384" s="24">
        <f>IF(OR(B384="",D384=""),"",B384&amp;"|"&amp;D384)</f>
        <v/>
      </c>
    </row>
    <row r="385">
      <c r="A385" s="24">
        <f>IF(B385="","",ROW()-4)</f>
        <v/>
      </c>
      <c r="B385" s="25" t="n"/>
      <c r="C385" s="24">
        <f>IF(B385="","",IFERROR(INDEX('Wózki'!$B$2:$B$500,MATCH(B385,'Wózki'!$A$2:$A$500,0))&amp;"",""))</f>
        <v/>
      </c>
      <c r="D385" s="26" t="n"/>
      <c r="E385" s="25" t="n"/>
      <c r="F385" s="25" t="n"/>
      <c r="G385" s="24">
        <f>IF(F385="","",IFERROR(INDEX(Pracownicy!$B$2:$B$2000,MATCH(F385,Pracownicy!$A$2:$A$2000,0))&amp;"",""))</f>
        <v/>
      </c>
      <c r="H385" s="25" t="n"/>
      <c r="I385" s="25" t="n"/>
      <c r="J385" s="25" t="n"/>
      <c r="K385" s="27" t="n"/>
      <c r="L385" s="25" t="n"/>
      <c r="M385" s="25" t="n"/>
      <c r="N385" s="27" t="n"/>
      <c r="O385" s="24">
        <f>IF(B385="","",IF(M385="","TAK",IFERROR(INDEX(Ustawienia!$K$4:$K$8,MATCH(M385,Ustawienia!$J$4:$J$8,0)),"TAK")))</f>
        <v/>
      </c>
      <c r="P385" s="28">
        <f>IF(OR(B385="",D385=""),"",IFERROR(INDEX('Dane rozpisek'!$B$2:$B$2600,MATCH(S385,'Dane rozpisek'!$H$2:$H$2600,0))&amp;": "&amp;INDEX('Dane rozpisek'!$E$2:$E$2600,MATCH(S385,'Dane rozpisek'!$H$2:$H$2600,0))&amp;IF(COUNTIF('Dane rozpisek'!$H$2:$H$2600,S385)&gt;1," (+"&amp;(COUNTIF('Dane rozpisek'!$H$2:$H$2600,S385)-1)&amp;")",""),"—"))</f>
        <v/>
      </c>
      <c r="Q385" s="24">
        <f>IF(AND(B385&lt;&gt;"",D385&lt;&gt;"",OR('Historia wózka'!$B$4="",B385='Historia wózka'!$B$4),D385&gt;='Historia wózka'!$B$5,D385&lt;='Historia wózka'!$B$6),D385+ROW()/1000000,0)</f>
        <v/>
      </c>
      <c r="R385" s="24">
        <f>IF(O385="TAK",IF(D385="",0,D385)+ROW()/1000000,0)</f>
        <v/>
      </c>
      <c r="S385" s="24">
        <f>IF(OR(B385="",D385=""),"",B385&amp;"|"&amp;D385)</f>
        <v/>
      </c>
    </row>
    <row r="386">
      <c r="A386" s="24">
        <f>IF(B386="","",ROW()-4)</f>
        <v/>
      </c>
      <c r="B386" s="25" t="n"/>
      <c r="C386" s="24">
        <f>IF(B386="","",IFERROR(INDEX('Wózki'!$B$2:$B$500,MATCH(B386,'Wózki'!$A$2:$A$500,0))&amp;"",""))</f>
        <v/>
      </c>
      <c r="D386" s="26" t="n"/>
      <c r="E386" s="25" t="n"/>
      <c r="F386" s="25" t="n"/>
      <c r="G386" s="24">
        <f>IF(F386="","",IFERROR(INDEX(Pracownicy!$B$2:$B$2000,MATCH(F386,Pracownicy!$A$2:$A$2000,0))&amp;"",""))</f>
        <v/>
      </c>
      <c r="H386" s="25" t="n"/>
      <c r="I386" s="25" t="n"/>
      <c r="J386" s="25" t="n"/>
      <c r="K386" s="27" t="n"/>
      <c r="L386" s="25" t="n"/>
      <c r="M386" s="25" t="n"/>
      <c r="N386" s="27" t="n"/>
      <c r="O386" s="24">
        <f>IF(B386="","",IF(M386="","TAK",IFERROR(INDEX(Ustawienia!$K$4:$K$8,MATCH(M386,Ustawienia!$J$4:$J$8,0)),"TAK")))</f>
        <v/>
      </c>
      <c r="P386" s="28">
        <f>IF(OR(B386="",D386=""),"",IFERROR(INDEX('Dane rozpisek'!$B$2:$B$2600,MATCH(S386,'Dane rozpisek'!$H$2:$H$2600,0))&amp;": "&amp;INDEX('Dane rozpisek'!$E$2:$E$2600,MATCH(S386,'Dane rozpisek'!$H$2:$H$2600,0))&amp;IF(COUNTIF('Dane rozpisek'!$H$2:$H$2600,S386)&gt;1," (+"&amp;(COUNTIF('Dane rozpisek'!$H$2:$H$2600,S386)-1)&amp;")",""),"—"))</f>
        <v/>
      </c>
      <c r="Q386" s="24">
        <f>IF(AND(B386&lt;&gt;"",D386&lt;&gt;"",OR('Historia wózka'!$B$4="",B386='Historia wózka'!$B$4),D386&gt;='Historia wózka'!$B$5,D386&lt;='Historia wózka'!$B$6),D386+ROW()/1000000,0)</f>
        <v/>
      </c>
      <c r="R386" s="24">
        <f>IF(O386="TAK",IF(D386="",0,D386)+ROW()/1000000,0)</f>
        <v/>
      </c>
      <c r="S386" s="24">
        <f>IF(OR(B386="",D386=""),"",B386&amp;"|"&amp;D386)</f>
        <v/>
      </c>
    </row>
    <row r="387">
      <c r="A387" s="24">
        <f>IF(B387="","",ROW()-4)</f>
        <v/>
      </c>
      <c r="B387" s="25" t="n"/>
      <c r="C387" s="24">
        <f>IF(B387="","",IFERROR(INDEX('Wózki'!$B$2:$B$500,MATCH(B387,'Wózki'!$A$2:$A$500,0))&amp;"",""))</f>
        <v/>
      </c>
      <c r="D387" s="26" t="n"/>
      <c r="E387" s="25" t="n"/>
      <c r="F387" s="25" t="n"/>
      <c r="G387" s="24">
        <f>IF(F387="","",IFERROR(INDEX(Pracownicy!$B$2:$B$2000,MATCH(F387,Pracownicy!$A$2:$A$2000,0))&amp;"",""))</f>
        <v/>
      </c>
      <c r="H387" s="25" t="n"/>
      <c r="I387" s="25" t="n"/>
      <c r="J387" s="25" t="n"/>
      <c r="K387" s="27" t="n"/>
      <c r="L387" s="25" t="n"/>
      <c r="M387" s="25" t="n"/>
      <c r="N387" s="27" t="n"/>
      <c r="O387" s="24">
        <f>IF(B387="","",IF(M387="","TAK",IFERROR(INDEX(Ustawienia!$K$4:$K$8,MATCH(M387,Ustawienia!$J$4:$J$8,0)),"TAK")))</f>
        <v/>
      </c>
      <c r="P387" s="28">
        <f>IF(OR(B387="",D387=""),"",IFERROR(INDEX('Dane rozpisek'!$B$2:$B$2600,MATCH(S387,'Dane rozpisek'!$H$2:$H$2600,0))&amp;": "&amp;INDEX('Dane rozpisek'!$E$2:$E$2600,MATCH(S387,'Dane rozpisek'!$H$2:$H$2600,0))&amp;IF(COUNTIF('Dane rozpisek'!$H$2:$H$2600,S387)&gt;1," (+"&amp;(COUNTIF('Dane rozpisek'!$H$2:$H$2600,S387)-1)&amp;")",""),"—"))</f>
        <v/>
      </c>
      <c r="Q387" s="24">
        <f>IF(AND(B387&lt;&gt;"",D387&lt;&gt;"",OR('Historia wózka'!$B$4="",B387='Historia wózka'!$B$4),D387&gt;='Historia wózka'!$B$5,D387&lt;='Historia wózka'!$B$6),D387+ROW()/1000000,0)</f>
        <v/>
      </c>
      <c r="R387" s="24">
        <f>IF(O387="TAK",IF(D387="",0,D387)+ROW()/1000000,0)</f>
        <v/>
      </c>
      <c r="S387" s="24">
        <f>IF(OR(B387="",D387=""),"",B387&amp;"|"&amp;D387)</f>
        <v/>
      </c>
    </row>
    <row r="388">
      <c r="A388" s="24">
        <f>IF(B388="","",ROW()-4)</f>
        <v/>
      </c>
      <c r="B388" s="25" t="n"/>
      <c r="C388" s="24">
        <f>IF(B388="","",IFERROR(INDEX('Wózki'!$B$2:$B$500,MATCH(B388,'Wózki'!$A$2:$A$500,0))&amp;"",""))</f>
        <v/>
      </c>
      <c r="D388" s="26" t="n"/>
      <c r="E388" s="25" t="n"/>
      <c r="F388" s="25" t="n"/>
      <c r="G388" s="24">
        <f>IF(F388="","",IFERROR(INDEX(Pracownicy!$B$2:$B$2000,MATCH(F388,Pracownicy!$A$2:$A$2000,0))&amp;"",""))</f>
        <v/>
      </c>
      <c r="H388" s="25" t="n"/>
      <c r="I388" s="25" t="n"/>
      <c r="J388" s="25" t="n"/>
      <c r="K388" s="27" t="n"/>
      <c r="L388" s="25" t="n"/>
      <c r="M388" s="25" t="n"/>
      <c r="N388" s="27" t="n"/>
      <c r="O388" s="24">
        <f>IF(B388="","",IF(M388="","TAK",IFERROR(INDEX(Ustawienia!$K$4:$K$8,MATCH(M388,Ustawienia!$J$4:$J$8,0)),"TAK")))</f>
        <v/>
      </c>
      <c r="P388" s="28">
        <f>IF(OR(B388="",D388=""),"",IFERROR(INDEX('Dane rozpisek'!$B$2:$B$2600,MATCH(S388,'Dane rozpisek'!$H$2:$H$2600,0))&amp;": "&amp;INDEX('Dane rozpisek'!$E$2:$E$2600,MATCH(S388,'Dane rozpisek'!$H$2:$H$2600,0))&amp;IF(COUNTIF('Dane rozpisek'!$H$2:$H$2600,S388)&gt;1," (+"&amp;(COUNTIF('Dane rozpisek'!$H$2:$H$2600,S388)-1)&amp;")",""),"—"))</f>
        <v/>
      </c>
      <c r="Q388" s="24">
        <f>IF(AND(B388&lt;&gt;"",D388&lt;&gt;"",OR('Historia wózka'!$B$4="",B388='Historia wózka'!$B$4),D388&gt;='Historia wózka'!$B$5,D388&lt;='Historia wózka'!$B$6),D388+ROW()/1000000,0)</f>
        <v/>
      </c>
      <c r="R388" s="24">
        <f>IF(O388="TAK",IF(D388="",0,D388)+ROW()/1000000,0)</f>
        <v/>
      </c>
      <c r="S388" s="24">
        <f>IF(OR(B388="",D388=""),"",B388&amp;"|"&amp;D388)</f>
        <v/>
      </c>
    </row>
    <row r="389">
      <c r="A389" s="24">
        <f>IF(B389="","",ROW()-4)</f>
        <v/>
      </c>
      <c r="B389" s="25" t="n"/>
      <c r="C389" s="24">
        <f>IF(B389="","",IFERROR(INDEX('Wózki'!$B$2:$B$500,MATCH(B389,'Wózki'!$A$2:$A$500,0))&amp;"",""))</f>
        <v/>
      </c>
      <c r="D389" s="26" t="n"/>
      <c r="E389" s="25" t="n"/>
      <c r="F389" s="25" t="n"/>
      <c r="G389" s="24">
        <f>IF(F389="","",IFERROR(INDEX(Pracownicy!$B$2:$B$2000,MATCH(F389,Pracownicy!$A$2:$A$2000,0))&amp;"",""))</f>
        <v/>
      </c>
      <c r="H389" s="25" t="n"/>
      <c r="I389" s="25" t="n"/>
      <c r="J389" s="25" t="n"/>
      <c r="K389" s="27" t="n"/>
      <c r="L389" s="25" t="n"/>
      <c r="M389" s="25" t="n"/>
      <c r="N389" s="27" t="n"/>
      <c r="O389" s="24">
        <f>IF(B389="","",IF(M389="","TAK",IFERROR(INDEX(Ustawienia!$K$4:$K$8,MATCH(M389,Ustawienia!$J$4:$J$8,0)),"TAK")))</f>
        <v/>
      </c>
      <c r="P389" s="28">
        <f>IF(OR(B389="",D389=""),"",IFERROR(INDEX('Dane rozpisek'!$B$2:$B$2600,MATCH(S389,'Dane rozpisek'!$H$2:$H$2600,0))&amp;": "&amp;INDEX('Dane rozpisek'!$E$2:$E$2600,MATCH(S389,'Dane rozpisek'!$H$2:$H$2600,0))&amp;IF(COUNTIF('Dane rozpisek'!$H$2:$H$2600,S389)&gt;1," (+"&amp;(COUNTIF('Dane rozpisek'!$H$2:$H$2600,S389)-1)&amp;")",""),"—"))</f>
        <v/>
      </c>
      <c r="Q389" s="24">
        <f>IF(AND(B389&lt;&gt;"",D389&lt;&gt;"",OR('Historia wózka'!$B$4="",B389='Historia wózka'!$B$4),D389&gt;='Historia wózka'!$B$5,D389&lt;='Historia wózka'!$B$6),D389+ROW()/1000000,0)</f>
        <v/>
      </c>
      <c r="R389" s="24">
        <f>IF(O389="TAK",IF(D389="",0,D389)+ROW()/1000000,0)</f>
        <v/>
      </c>
      <c r="S389" s="24">
        <f>IF(OR(B389="",D389=""),"",B389&amp;"|"&amp;D389)</f>
        <v/>
      </c>
    </row>
    <row r="390">
      <c r="A390" s="24">
        <f>IF(B390="","",ROW()-4)</f>
        <v/>
      </c>
      <c r="B390" s="25" t="n"/>
      <c r="C390" s="24">
        <f>IF(B390="","",IFERROR(INDEX('Wózki'!$B$2:$B$500,MATCH(B390,'Wózki'!$A$2:$A$500,0))&amp;"",""))</f>
        <v/>
      </c>
      <c r="D390" s="26" t="n"/>
      <c r="E390" s="25" t="n"/>
      <c r="F390" s="25" t="n"/>
      <c r="G390" s="24">
        <f>IF(F390="","",IFERROR(INDEX(Pracownicy!$B$2:$B$2000,MATCH(F390,Pracownicy!$A$2:$A$2000,0))&amp;"",""))</f>
        <v/>
      </c>
      <c r="H390" s="25" t="n"/>
      <c r="I390" s="25" t="n"/>
      <c r="J390" s="25" t="n"/>
      <c r="K390" s="27" t="n"/>
      <c r="L390" s="25" t="n"/>
      <c r="M390" s="25" t="n"/>
      <c r="N390" s="27" t="n"/>
      <c r="O390" s="24">
        <f>IF(B390="","",IF(M390="","TAK",IFERROR(INDEX(Ustawienia!$K$4:$K$8,MATCH(M390,Ustawienia!$J$4:$J$8,0)),"TAK")))</f>
        <v/>
      </c>
      <c r="P390" s="28">
        <f>IF(OR(B390="",D390=""),"",IFERROR(INDEX('Dane rozpisek'!$B$2:$B$2600,MATCH(S390,'Dane rozpisek'!$H$2:$H$2600,0))&amp;": "&amp;INDEX('Dane rozpisek'!$E$2:$E$2600,MATCH(S390,'Dane rozpisek'!$H$2:$H$2600,0))&amp;IF(COUNTIF('Dane rozpisek'!$H$2:$H$2600,S390)&gt;1," (+"&amp;(COUNTIF('Dane rozpisek'!$H$2:$H$2600,S390)-1)&amp;")",""),"—"))</f>
        <v/>
      </c>
      <c r="Q390" s="24">
        <f>IF(AND(B390&lt;&gt;"",D390&lt;&gt;"",OR('Historia wózka'!$B$4="",B390='Historia wózka'!$B$4),D390&gt;='Historia wózka'!$B$5,D390&lt;='Historia wózka'!$B$6),D390+ROW()/1000000,0)</f>
        <v/>
      </c>
      <c r="R390" s="24">
        <f>IF(O390="TAK",IF(D390="",0,D390)+ROW()/1000000,0)</f>
        <v/>
      </c>
      <c r="S390" s="24">
        <f>IF(OR(B390="",D390=""),"",B390&amp;"|"&amp;D390)</f>
        <v/>
      </c>
    </row>
    <row r="391">
      <c r="A391" s="24">
        <f>IF(B391="","",ROW()-4)</f>
        <v/>
      </c>
      <c r="B391" s="25" t="n"/>
      <c r="C391" s="24">
        <f>IF(B391="","",IFERROR(INDEX('Wózki'!$B$2:$B$500,MATCH(B391,'Wózki'!$A$2:$A$500,0))&amp;"",""))</f>
        <v/>
      </c>
      <c r="D391" s="26" t="n"/>
      <c r="E391" s="25" t="n"/>
      <c r="F391" s="25" t="n"/>
      <c r="G391" s="24">
        <f>IF(F391="","",IFERROR(INDEX(Pracownicy!$B$2:$B$2000,MATCH(F391,Pracownicy!$A$2:$A$2000,0))&amp;"",""))</f>
        <v/>
      </c>
      <c r="H391" s="25" t="n"/>
      <c r="I391" s="25" t="n"/>
      <c r="J391" s="25" t="n"/>
      <c r="K391" s="27" t="n"/>
      <c r="L391" s="25" t="n"/>
      <c r="M391" s="25" t="n"/>
      <c r="N391" s="27" t="n"/>
      <c r="O391" s="24">
        <f>IF(B391="","",IF(M391="","TAK",IFERROR(INDEX(Ustawienia!$K$4:$K$8,MATCH(M391,Ustawienia!$J$4:$J$8,0)),"TAK")))</f>
        <v/>
      </c>
      <c r="P391" s="28">
        <f>IF(OR(B391="",D391=""),"",IFERROR(INDEX('Dane rozpisek'!$B$2:$B$2600,MATCH(S391,'Dane rozpisek'!$H$2:$H$2600,0))&amp;": "&amp;INDEX('Dane rozpisek'!$E$2:$E$2600,MATCH(S391,'Dane rozpisek'!$H$2:$H$2600,0))&amp;IF(COUNTIF('Dane rozpisek'!$H$2:$H$2600,S391)&gt;1," (+"&amp;(COUNTIF('Dane rozpisek'!$H$2:$H$2600,S391)-1)&amp;")",""),"—"))</f>
        <v/>
      </c>
      <c r="Q391" s="24">
        <f>IF(AND(B391&lt;&gt;"",D391&lt;&gt;"",OR('Historia wózka'!$B$4="",B391='Historia wózka'!$B$4),D391&gt;='Historia wózka'!$B$5,D391&lt;='Historia wózka'!$B$6),D391+ROW()/1000000,0)</f>
        <v/>
      </c>
      <c r="R391" s="24">
        <f>IF(O391="TAK",IF(D391="",0,D391)+ROW()/1000000,0)</f>
        <v/>
      </c>
      <c r="S391" s="24">
        <f>IF(OR(B391="",D391=""),"",B391&amp;"|"&amp;D391)</f>
        <v/>
      </c>
    </row>
    <row r="392">
      <c r="A392" s="24">
        <f>IF(B392="","",ROW()-4)</f>
        <v/>
      </c>
      <c r="B392" s="25" t="n"/>
      <c r="C392" s="24">
        <f>IF(B392="","",IFERROR(INDEX('Wózki'!$B$2:$B$500,MATCH(B392,'Wózki'!$A$2:$A$500,0))&amp;"",""))</f>
        <v/>
      </c>
      <c r="D392" s="26" t="n"/>
      <c r="E392" s="25" t="n"/>
      <c r="F392" s="25" t="n"/>
      <c r="G392" s="24">
        <f>IF(F392="","",IFERROR(INDEX(Pracownicy!$B$2:$B$2000,MATCH(F392,Pracownicy!$A$2:$A$2000,0))&amp;"",""))</f>
        <v/>
      </c>
      <c r="H392" s="25" t="n"/>
      <c r="I392" s="25" t="n"/>
      <c r="J392" s="25" t="n"/>
      <c r="K392" s="27" t="n"/>
      <c r="L392" s="25" t="n"/>
      <c r="M392" s="25" t="n"/>
      <c r="N392" s="27" t="n"/>
      <c r="O392" s="24">
        <f>IF(B392="","",IF(M392="","TAK",IFERROR(INDEX(Ustawienia!$K$4:$K$8,MATCH(M392,Ustawienia!$J$4:$J$8,0)),"TAK")))</f>
        <v/>
      </c>
      <c r="P392" s="28">
        <f>IF(OR(B392="",D392=""),"",IFERROR(INDEX('Dane rozpisek'!$B$2:$B$2600,MATCH(S392,'Dane rozpisek'!$H$2:$H$2600,0))&amp;": "&amp;INDEX('Dane rozpisek'!$E$2:$E$2600,MATCH(S392,'Dane rozpisek'!$H$2:$H$2600,0))&amp;IF(COUNTIF('Dane rozpisek'!$H$2:$H$2600,S392)&gt;1," (+"&amp;(COUNTIF('Dane rozpisek'!$H$2:$H$2600,S392)-1)&amp;")",""),"—"))</f>
        <v/>
      </c>
      <c r="Q392" s="24">
        <f>IF(AND(B392&lt;&gt;"",D392&lt;&gt;"",OR('Historia wózka'!$B$4="",B392='Historia wózka'!$B$4),D392&gt;='Historia wózka'!$B$5,D392&lt;='Historia wózka'!$B$6),D392+ROW()/1000000,0)</f>
        <v/>
      </c>
      <c r="R392" s="24">
        <f>IF(O392="TAK",IF(D392="",0,D392)+ROW()/1000000,0)</f>
        <v/>
      </c>
      <c r="S392" s="24">
        <f>IF(OR(B392="",D392=""),"",B392&amp;"|"&amp;D392)</f>
        <v/>
      </c>
    </row>
    <row r="393">
      <c r="A393" s="24">
        <f>IF(B393="","",ROW()-4)</f>
        <v/>
      </c>
      <c r="B393" s="25" t="n"/>
      <c r="C393" s="24">
        <f>IF(B393="","",IFERROR(INDEX('Wózki'!$B$2:$B$500,MATCH(B393,'Wózki'!$A$2:$A$500,0))&amp;"",""))</f>
        <v/>
      </c>
      <c r="D393" s="26" t="n"/>
      <c r="E393" s="25" t="n"/>
      <c r="F393" s="25" t="n"/>
      <c r="G393" s="24">
        <f>IF(F393="","",IFERROR(INDEX(Pracownicy!$B$2:$B$2000,MATCH(F393,Pracownicy!$A$2:$A$2000,0))&amp;"",""))</f>
        <v/>
      </c>
      <c r="H393" s="25" t="n"/>
      <c r="I393" s="25" t="n"/>
      <c r="J393" s="25" t="n"/>
      <c r="K393" s="27" t="n"/>
      <c r="L393" s="25" t="n"/>
      <c r="M393" s="25" t="n"/>
      <c r="N393" s="27" t="n"/>
      <c r="O393" s="24">
        <f>IF(B393="","",IF(M393="","TAK",IFERROR(INDEX(Ustawienia!$K$4:$K$8,MATCH(M393,Ustawienia!$J$4:$J$8,0)),"TAK")))</f>
        <v/>
      </c>
      <c r="P393" s="28">
        <f>IF(OR(B393="",D393=""),"",IFERROR(INDEX('Dane rozpisek'!$B$2:$B$2600,MATCH(S393,'Dane rozpisek'!$H$2:$H$2600,0))&amp;": "&amp;INDEX('Dane rozpisek'!$E$2:$E$2600,MATCH(S393,'Dane rozpisek'!$H$2:$H$2600,0))&amp;IF(COUNTIF('Dane rozpisek'!$H$2:$H$2600,S393)&gt;1," (+"&amp;(COUNTIF('Dane rozpisek'!$H$2:$H$2600,S393)-1)&amp;")",""),"—"))</f>
        <v/>
      </c>
      <c r="Q393" s="24">
        <f>IF(AND(B393&lt;&gt;"",D393&lt;&gt;"",OR('Historia wózka'!$B$4="",B393='Historia wózka'!$B$4),D393&gt;='Historia wózka'!$B$5,D393&lt;='Historia wózka'!$B$6),D393+ROW()/1000000,0)</f>
        <v/>
      </c>
      <c r="R393" s="24">
        <f>IF(O393="TAK",IF(D393="",0,D393)+ROW()/1000000,0)</f>
        <v/>
      </c>
      <c r="S393" s="24">
        <f>IF(OR(B393="",D393=""),"",B393&amp;"|"&amp;D393)</f>
        <v/>
      </c>
    </row>
    <row r="394">
      <c r="A394" s="24">
        <f>IF(B394="","",ROW()-4)</f>
        <v/>
      </c>
      <c r="B394" s="25" t="n"/>
      <c r="C394" s="24">
        <f>IF(B394="","",IFERROR(INDEX('Wózki'!$B$2:$B$500,MATCH(B394,'Wózki'!$A$2:$A$500,0))&amp;"",""))</f>
        <v/>
      </c>
      <c r="D394" s="26" t="n"/>
      <c r="E394" s="25" t="n"/>
      <c r="F394" s="25" t="n"/>
      <c r="G394" s="24">
        <f>IF(F394="","",IFERROR(INDEX(Pracownicy!$B$2:$B$2000,MATCH(F394,Pracownicy!$A$2:$A$2000,0))&amp;"",""))</f>
        <v/>
      </c>
      <c r="H394" s="25" t="n"/>
      <c r="I394" s="25" t="n"/>
      <c r="J394" s="25" t="n"/>
      <c r="K394" s="27" t="n"/>
      <c r="L394" s="25" t="n"/>
      <c r="M394" s="25" t="n"/>
      <c r="N394" s="27" t="n"/>
      <c r="O394" s="24">
        <f>IF(B394="","",IF(M394="","TAK",IFERROR(INDEX(Ustawienia!$K$4:$K$8,MATCH(M394,Ustawienia!$J$4:$J$8,0)),"TAK")))</f>
        <v/>
      </c>
      <c r="P394" s="28">
        <f>IF(OR(B394="",D394=""),"",IFERROR(INDEX('Dane rozpisek'!$B$2:$B$2600,MATCH(S394,'Dane rozpisek'!$H$2:$H$2600,0))&amp;": "&amp;INDEX('Dane rozpisek'!$E$2:$E$2600,MATCH(S394,'Dane rozpisek'!$H$2:$H$2600,0))&amp;IF(COUNTIF('Dane rozpisek'!$H$2:$H$2600,S394)&gt;1," (+"&amp;(COUNTIF('Dane rozpisek'!$H$2:$H$2600,S394)-1)&amp;")",""),"—"))</f>
        <v/>
      </c>
      <c r="Q394" s="24">
        <f>IF(AND(B394&lt;&gt;"",D394&lt;&gt;"",OR('Historia wózka'!$B$4="",B394='Historia wózka'!$B$4),D394&gt;='Historia wózka'!$B$5,D394&lt;='Historia wózka'!$B$6),D394+ROW()/1000000,0)</f>
        <v/>
      </c>
      <c r="R394" s="24">
        <f>IF(O394="TAK",IF(D394="",0,D394)+ROW()/1000000,0)</f>
        <v/>
      </c>
      <c r="S394" s="24">
        <f>IF(OR(B394="",D394=""),"",B394&amp;"|"&amp;D394)</f>
        <v/>
      </c>
    </row>
    <row r="395">
      <c r="A395" s="24">
        <f>IF(B395="","",ROW()-4)</f>
        <v/>
      </c>
      <c r="B395" s="25" t="n"/>
      <c r="C395" s="24">
        <f>IF(B395="","",IFERROR(INDEX('Wózki'!$B$2:$B$500,MATCH(B395,'Wózki'!$A$2:$A$500,0))&amp;"",""))</f>
        <v/>
      </c>
      <c r="D395" s="26" t="n"/>
      <c r="E395" s="25" t="n"/>
      <c r="F395" s="25" t="n"/>
      <c r="G395" s="24">
        <f>IF(F395="","",IFERROR(INDEX(Pracownicy!$B$2:$B$2000,MATCH(F395,Pracownicy!$A$2:$A$2000,0))&amp;"",""))</f>
        <v/>
      </c>
      <c r="H395" s="25" t="n"/>
      <c r="I395" s="25" t="n"/>
      <c r="J395" s="25" t="n"/>
      <c r="K395" s="27" t="n"/>
      <c r="L395" s="25" t="n"/>
      <c r="M395" s="25" t="n"/>
      <c r="N395" s="27" t="n"/>
      <c r="O395" s="24">
        <f>IF(B395="","",IF(M395="","TAK",IFERROR(INDEX(Ustawienia!$K$4:$K$8,MATCH(M395,Ustawienia!$J$4:$J$8,0)),"TAK")))</f>
        <v/>
      </c>
      <c r="P395" s="28">
        <f>IF(OR(B395="",D395=""),"",IFERROR(INDEX('Dane rozpisek'!$B$2:$B$2600,MATCH(S395,'Dane rozpisek'!$H$2:$H$2600,0))&amp;": "&amp;INDEX('Dane rozpisek'!$E$2:$E$2600,MATCH(S395,'Dane rozpisek'!$H$2:$H$2600,0))&amp;IF(COUNTIF('Dane rozpisek'!$H$2:$H$2600,S395)&gt;1," (+"&amp;(COUNTIF('Dane rozpisek'!$H$2:$H$2600,S395)-1)&amp;")",""),"—"))</f>
        <v/>
      </c>
      <c r="Q395" s="24">
        <f>IF(AND(B395&lt;&gt;"",D395&lt;&gt;"",OR('Historia wózka'!$B$4="",B395='Historia wózka'!$B$4),D395&gt;='Historia wózka'!$B$5,D395&lt;='Historia wózka'!$B$6),D395+ROW()/1000000,0)</f>
        <v/>
      </c>
      <c r="R395" s="24">
        <f>IF(O395="TAK",IF(D395="",0,D395)+ROW()/1000000,0)</f>
        <v/>
      </c>
      <c r="S395" s="24">
        <f>IF(OR(B395="",D395=""),"",B395&amp;"|"&amp;D395)</f>
        <v/>
      </c>
    </row>
    <row r="396">
      <c r="A396" s="24">
        <f>IF(B396="","",ROW()-4)</f>
        <v/>
      </c>
      <c r="B396" s="25" t="n"/>
      <c r="C396" s="24">
        <f>IF(B396="","",IFERROR(INDEX('Wózki'!$B$2:$B$500,MATCH(B396,'Wózki'!$A$2:$A$500,0))&amp;"",""))</f>
        <v/>
      </c>
      <c r="D396" s="26" t="n"/>
      <c r="E396" s="25" t="n"/>
      <c r="F396" s="25" t="n"/>
      <c r="G396" s="24">
        <f>IF(F396="","",IFERROR(INDEX(Pracownicy!$B$2:$B$2000,MATCH(F396,Pracownicy!$A$2:$A$2000,0))&amp;"",""))</f>
        <v/>
      </c>
      <c r="H396" s="25" t="n"/>
      <c r="I396" s="25" t="n"/>
      <c r="J396" s="25" t="n"/>
      <c r="K396" s="27" t="n"/>
      <c r="L396" s="25" t="n"/>
      <c r="M396" s="25" t="n"/>
      <c r="N396" s="27" t="n"/>
      <c r="O396" s="24">
        <f>IF(B396="","",IF(M396="","TAK",IFERROR(INDEX(Ustawienia!$K$4:$K$8,MATCH(M396,Ustawienia!$J$4:$J$8,0)),"TAK")))</f>
        <v/>
      </c>
      <c r="P396" s="28">
        <f>IF(OR(B396="",D396=""),"",IFERROR(INDEX('Dane rozpisek'!$B$2:$B$2600,MATCH(S396,'Dane rozpisek'!$H$2:$H$2600,0))&amp;": "&amp;INDEX('Dane rozpisek'!$E$2:$E$2600,MATCH(S396,'Dane rozpisek'!$H$2:$H$2600,0))&amp;IF(COUNTIF('Dane rozpisek'!$H$2:$H$2600,S396)&gt;1," (+"&amp;(COUNTIF('Dane rozpisek'!$H$2:$H$2600,S396)-1)&amp;")",""),"—"))</f>
        <v/>
      </c>
      <c r="Q396" s="24">
        <f>IF(AND(B396&lt;&gt;"",D396&lt;&gt;"",OR('Historia wózka'!$B$4="",B396='Historia wózka'!$B$4),D396&gt;='Historia wózka'!$B$5,D396&lt;='Historia wózka'!$B$6),D396+ROW()/1000000,0)</f>
        <v/>
      </c>
      <c r="R396" s="24">
        <f>IF(O396="TAK",IF(D396="",0,D396)+ROW()/1000000,0)</f>
        <v/>
      </c>
      <c r="S396" s="24">
        <f>IF(OR(B396="",D396=""),"",B396&amp;"|"&amp;D396)</f>
        <v/>
      </c>
    </row>
    <row r="397">
      <c r="A397" s="24">
        <f>IF(B397="","",ROW()-4)</f>
        <v/>
      </c>
      <c r="B397" s="25" t="n"/>
      <c r="C397" s="24">
        <f>IF(B397="","",IFERROR(INDEX('Wózki'!$B$2:$B$500,MATCH(B397,'Wózki'!$A$2:$A$500,0))&amp;"",""))</f>
        <v/>
      </c>
      <c r="D397" s="26" t="n"/>
      <c r="E397" s="25" t="n"/>
      <c r="F397" s="25" t="n"/>
      <c r="G397" s="24">
        <f>IF(F397="","",IFERROR(INDEX(Pracownicy!$B$2:$B$2000,MATCH(F397,Pracownicy!$A$2:$A$2000,0))&amp;"",""))</f>
        <v/>
      </c>
      <c r="H397" s="25" t="n"/>
      <c r="I397" s="25" t="n"/>
      <c r="J397" s="25" t="n"/>
      <c r="K397" s="27" t="n"/>
      <c r="L397" s="25" t="n"/>
      <c r="M397" s="25" t="n"/>
      <c r="N397" s="27" t="n"/>
      <c r="O397" s="24">
        <f>IF(B397="","",IF(M397="","TAK",IFERROR(INDEX(Ustawienia!$K$4:$K$8,MATCH(M397,Ustawienia!$J$4:$J$8,0)),"TAK")))</f>
        <v/>
      </c>
      <c r="P397" s="28">
        <f>IF(OR(B397="",D397=""),"",IFERROR(INDEX('Dane rozpisek'!$B$2:$B$2600,MATCH(S397,'Dane rozpisek'!$H$2:$H$2600,0))&amp;": "&amp;INDEX('Dane rozpisek'!$E$2:$E$2600,MATCH(S397,'Dane rozpisek'!$H$2:$H$2600,0))&amp;IF(COUNTIF('Dane rozpisek'!$H$2:$H$2600,S397)&gt;1," (+"&amp;(COUNTIF('Dane rozpisek'!$H$2:$H$2600,S397)-1)&amp;")",""),"—"))</f>
        <v/>
      </c>
      <c r="Q397" s="24">
        <f>IF(AND(B397&lt;&gt;"",D397&lt;&gt;"",OR('Historia wózka'!$B$4="",B397='Historia wózka'!$B$4),D397&gt;='Historia wózka'!$B$5,D397&lt;='Historia wózka'!$B$6),D397+ROW()/1000000,0)</f>
        <v/>
      </c>
      <c r="R397" s="24">
        <f>IF(O397="TAK",IF(D397="",0,D397)+ROW()/1000000,0)</f>
        <v/>
      </c>
      <c r="S397" s="24">
        <f>IF(OR(B397="",D397=""),"",B397&amp;"|"&amp;D397)</f>
        <v/>
      </c>
    </row>
    <row r="398">
      <c r="A398" s="24">
        <f>IF(B398="","",ROW()-4)</f>
        <v/>
      </c>
      <c r="B398" s="25" t="n"/>
      <c r="C398" s="24">
        <f>IF(B398="","",IFERROR(INDEX('Wózki'!$B$2:$B$500,MATCH(B398,'Wózki'!$A$2:$A$500,0))&amp;"",""))</f>
        <v/>
      </c>
      <c r="D398" s="26" t="n"/>
      <c r="E398" s="25" t="n"/>
      <c r="F398" s="25" t="n"/>
      <c r="G398" s="24">
        <f>IF(F398="","",IFERROR(INDEX(Pracownicy!$B$2:$B$2000,MATCH(F398,Pracownicy!$A$2:$A$2000,0))&amp;"",""))</f>
        <v/>
      </c>
      <c r="H398" s="25" t="n"/>
      <c r="I398" s="25" t="n"/>
      <c r="J398" s="25" t="n"/>
      <c r="K398" s="27" t="n"/>
      <c r="L398" s="25" t="n"/>
      <c r="M398" s="25" t="n"/>
      <c r="N398" s="27" t="n"/>
      <c r="O398" s="24">
        <f>IF(B398="","",IF(M398="","TAK",IFERROR(INDEX(Ustawienia!$K$4:$K$8,MATCH(M398,Ustawienia!$J$4:$J$8,0)),"TAK")))</f>
        <v/>
      </c>
      <c r="P398" s="28">
        <f>IF(OR(B398="",D398=""),"",IFERROR(INDEX('Dane rozpisek'!$B$2:$B$2600,MATCH(S398,'Dane rozpisek'!$H$2:$H$2600,0))&amp;": "&amp;INDEX('Dane rozpisek'!$E$2:$E$2600,MATCH(S398,'Dane rozpisek'!$H$2:$H$2600,0))&amp;IF(COUNTIF('Dane rozpisek'!$H$2:$H$2600,S398)&gt;1," (+"&amp;(COUNTIF('Dane rozpisek'!$H$2:$H$2600,S398)-1)&amp;")",""),"—"))</f>
        <v/>
      </c>
      <c r="Q398" s="24">
        <f>IF(AND(B398&lt;&gt;"",D398&lt;&gt;"",OR('Historia wózka'!$B$4="",B398='Historia wózka'!$B$4),D398&gt;='Historia wózka'!$B$5,D398&lt;='Historia wózka'!$B$6),D398+ROW()/1000000,0)</f>
        <v/>
      </c>
      <c r="R398" s="24">
        <f>IF(O398="TAK",IF(D398="",0,D398)+ROW()/1000000,0)</f>
        <v/>
      </c>
      <c r="S398" s="24">
        <f>IF(OR(B398="",D398=""),"",B398&amp;"|"&amp;D398)</f>
        <v/>
      </c>
    </row>
    <row r="399">
      <c r="A399" s="24">
        <f>IF(B399="","",ROW()-4)</f>
        <v/>
      </c>
      <c r="B399" s="25" t="n"/>
      <c r="C399" s="24">
        <f>IF(B399="","",IFERROR(INDEX('Wózki'!$B$2:$B$500,MATCH(B399,'Wózki'!$A$2:$A$500,0))&amp;"",""))</f>
        <v/>
      </c>
      <c r="D399" s="26" t="n"/>
      <c r="E399" s="25" t="n"/>
      <c r="F399" s="25" t="n"/>
      <c r="G399" s="24">
        <f>IF(F399="","",IFERROR(INDEX(Pracownicy!$B$2:$B$2000,MATCH(F399,Pracownicy!$A$2:$A$2000,0))&amp;"",""))</f>
        <v/>
      </c>
      <c r="H399" s="25" t="n"/>
      <c r="I399" s="25" t="n"/>
      <c r="J399" s="25" t="n"/>
      <c r="K399" s="27" t="n"/>
      <c r="L399" s="25" t="n"/>
      <c r="M399" s="25" t="n"/>
      <c r="N399" s="27" t="n"/>
      <c r="O399" s="24">
        <f>IF(B399="","",IF(M399="","TAK",IFERROR(INDEX(Ustawienia!$K$4:$K$8,MATCH(M399,Ustawienia!$J$4:$J$8,0)),"TAK")))</f>
        <v/>
      </c>
      <c r="P399" s="28">
        <f>IF(OR(B399="",D399=""),"",IFERROR(INDEX('Dane rozpisek'!$B$2:$B$2600,MATCH(S399,'Dane rozpisek'!$H$2:$H$2600,0))&amp;": "&amp;INDEX('Dane rozpisek'!$E$2:$E$2600,MATCH(S399,'Dane rozpisek'!$H$2:$H$2600,0))&amp;IF(COUNTIF('Dane rozpisek'!$H$2:$H$2600,S399)&gt;1," (+"&amp;(COUNTIF('Dane rozpisek'!$H$2:$H$2600,S399)-1)&amp;")",""),"—"))</f>
        <v/>
      </c>
      <c r="Q399" s="24">
        <f>IF(AND(B399&lt;&gt;"",D399&lt;&gt;"",OR('Historia wózka'!$B$4="",B399='Historia wózka'!$B$4),D399&gt;='Historia wózka'!$B$5,D399&lt;='Historia wózka'!$B$6),D399+ROW()/1000000,0)</f>
        <v/>
      </c>
      <c r="R399" s="24">
        <f>IF(O399="TAK",IF(D399="",0,D399)+ROW()/1000000,0)</f>
        <v/>
      </c>
      <c r="S399" s="24">
        <f>IF(OR(B399="",D399=""),"",B399&amp;"|"&amp;D399)</f>
        <v/>
      </c>
    </row>
    <row r="400">
      <c r="A400" s="24">
        <f>IF(B400="","",ROW()-4)</f>
        <v/>
      </c>
      <c r="B400" s="25" t="n"/>
      <c r="C400" s="24">
        <f>IF(B400="","",IFERROR(INDEX('Wózki'!$B$2:$B$500,MATCH(B400,'Wózki'!$A$2:$A$500,0))&amp;"",""))</f>
        <v/>
      </c>
      <c r="D400" s="26" t="n"/>
      <c r="E400" s="25" t="n"/>
      <c r="F400" s="25" t="n"/>
      <c r="G400" s="24">
        <f>IF(F400="","",IFERROR(INDEX(Pracownicy!$B$2:$B$2000,MATCH(F400,Pracownicy!$A$2:$A$2000,0))&amp;"",""))</f>
        <v/>
      </c>
      <c r="H400" s="25" t="n"/>
      <c r="I400" s="25" t="n"/>
      <c r="J400" s="25" t="n"/>
      <c r="K400" s="27" t="n"/>
      <c r="L400" s="25" t="n"/>
      <c r="M400" s="25" t="n"/>
      <c r="N400" s="27" t="n"/>
      <c r="O400" s="24">
        <f>IF(B400="","",IF(M400="","TAK",IFERROR(INDEX(Ustawienia!$K$4:$K$8,MATCH(M400,Ustawienia!$J$4:$J$8,0)),"TAK")))</f>
        <v/>
      </c>
      <c r="P400" s="28">
        <f>IF(OR(B400="",D400=""),"",IFERROR(INDEX('Dane rozpisek'!$B$2:$B$2600,MATCH(S400,'Dane rozpisek'!$H$2:$H$2600,0))&amp;": "&amp;INDEX('Dane rozpisek'!$E$2:$E$2600,MATCH(S400,'Dane rozpisek'!$H$2:$H$2600,0))&amp;IF(COUNTIF('Dane rozpisek'!$H$2:$H$2600,S400)&gt;1," (+"&amp;(COUNTIF('Dane rozpisek'!$H$2:$H$2600,S400)-1)&amp;")",""),"—"))</f>
        <v/>
      </c>
      <c r="Q400" s="24">
        <f>IF(AND(B400&lt;&gt;"",D400&lt;&gt;"",OR('Historia wózka'!$B$4="",B400='Historia wózka'!$B$4),D400&gt;='Historia wózka'!$B$5,D400&lt;='Historia wózka'!$B$6),D400+ROW()/1000000,0)</f>
        <v/>
      </c>
      <c r="R400" s="24">
        <f>IF(O400="TAK",IF(D400="",0,D400)+ROW()/1000000,0)</f>
        <v/>
      </c>
      <c r="S400" s="24">
        <f>IF(OR(B400="",D400=""),"",B400&amp;"|"&amp;D400)</f>
        <v/>
      </c>
    </row>
    <row r="401">
      <c r="A401" s="24">
        <f>IF(B401="","",ROW()-4)</f>
        <v/>
      </c>
      <c r="B401" s="25" t="n"/>
      <c r="C401" s="24">
        <f>IF(B401="","",IFERROR(INDEX('Wózki'!$B$2:$B$500,MATCH(B401,'Wózki'!$A$2:$A$500,0))&amp;"",""))</f>
        <v/>
      </c>
      <c r="D401" s="26" t="n"/>
      <c r="E401" s="25" t="n"/>
      <c r="F401" s="25" t="n"/>
      <c r="G401" s="24">
        <f>IF(F401="","",IFERROR(INDEX(Pracownicy!$B$2:$B$2000,MATCH(F401,Pracownicy!$A$2:$A$2000,0))&amp;"",""))</f>
        <v/>
      </c>
      <c r="H401" s="25" t="n"/>
      <c r="I401" s="25" t="n"/>
      <c r="J401" s="25" t="n"/>
      <c r="K401" s="27" t="n"/>
      <c r="L401" s="25" t="n"/>
      <c r="M401" s="25" t="n"/>
      <c r="N401" s="27" t="n"/>
      <c r="O401" s="24">
        <f>IF(B401="","",IF(M401="","TAK",IFERROR(INDEX(Ustawienia!$K$4:$K$8,MATCH(M401,Ustawienia!$J$4:$J$8,0)),"TAK")))</f>
        <v/>
      </c>
      <c r="P401" s="28">
        <f>IF(OR(B401="",D401=""),"",IFERROR(INDEX('Dane rozpisek'!$B$2:$B$2600,MATCH(S401,'Dane rozpisek'!$H$2:$H$2600,0))&amp;": "&amp;INDEX('Dane rozpisek'!$E$2:$E$2600,MATCH(S401,'Dane rozpisek'!$H$2:$H$2600,0))&amp;IF(COUNTIF('Dane rozpisek'!$H$2:$H$2600,S401)&gt;1," (+"&amp;(COUNTIF('Dane rozpisek'!$H$2:$H$2600,S401)-1)&amp;")",""),"—"))</f>
        <v/>
      </c>
      <c r="Q401" s="24">
        <f>IF(AND(B401&lt;&gt;"",D401&lt;&gt;"",OR('Historia wózka'!$B$4="",B401='Historia wózka'!$B$4),D401&gt;='Historia wózka'!$B$5,D401&lt;='Historia wózka'!$B$6),D401+ROW()/1000000,0)</f>
        <v/>
      </c>
      <c r="R401" s="24">
        <f>IF(O401="TAK",IF(D401="",0,D401)+ROW()/1000000,0)</f>
        <v/>
      </c>
      <c r="S401" s="24">
        <f>IF(OR(B401="",D401=""),"",B401&amp;"|"&amp;D401)</f>
        <v/>
      </c>
    </row>
    <row r="402">
      <c r="A402" s="24">
        <f>IF(B402="","",ROW()-4)</f>
        <v/>
      </c>
      <c r="B402" s="25" t="n"/>
      <c r="C402" s="24">
        <f>IF(B402="","",IFERROR(INDEX('Wózki'!$B$2:$B$500,MATCH(B402,'Wózki'!$A$2:$A$500,0))&amp;"",""))</f>
        <v/>
      </c>
      <c r="D402" s="26" t="n"/>
      <c r="E402" s="25" t="n"/>
      <c r="F402" s="25" t="n"/>
      <c r="G402" s="24">
        <f>IF(F402="","",IFERROR(INDEX(Pracownicy!$B$2:$B$2000,MATCH(F402,Pracownicy!$A$2:$A$2000,0))&amp;"",""))</f>
        <v/>
      </c>
      <c r="H402" s="25" t="n"/>
      <c r="I402" s="25" t="n"/>
      <c r="J402" s="25" t="n"/>
      <c r="K402" s="27" t="n"/>
      <c r="L402" s="25" t="n"/>
      <c r="M402" s="25" t="n"/>
      <c r="N402" s="27" t="n"/>
      <c r="O402" s="24">
        <f>IF(B402="","",IF(M402="","TAK",IFERROR(INDEX(Ustawienia!$K$4:$K$8,MATCH(M402,Ustawienia!$J$4:$J$8,0)),"TAK")))</f>
        <v/>
      </c>
      <c r="P402" s="28">
        <f>IF(OR(B402="",D402=""),"",IFERROR(INDEX('Dane rozpisek'!$B$2:$B$2600,MATCH(S402,'Dane rozpisek'!$H$2:$H$2600,0))&amp;": "&amp;INDEX('Dane rozpisek'!$E$2:$E$2600,MATCH(S402,'Dane rozpisek'!$H$2:$H$2600,0))&amp;IF(COUNTIF('Dane rozpisek'!$H$2:$H$2600,S402)&gt;1," (+"&amp;(COUNTIF('Dane rozpisek'!$H$2:$H$2600,S402)-1)&amp;")",""),"—"))</f>
        <v/>
      </c>
      <c r="Q402" s="24">
        <f>IF(AND(B402&lt;&gt;"",D402&lt;&gt;"",OR('Historia wózka'!$B$4="",B402='Historia wózka'!$B$4),D402&gt;='Historia wózka'!$B$5,D402&lt;='Historia wózka'!$B$6),D402+ROW()/1000000,0)</f>
        <v/>
      </c>
      <c r="R402" s="24">
        <f>IF(O402="TAK",IF(D402="",0,D402)+ROW()/1000000,0)</f>
        <v/>
      </c>
      <c r="S402" s="24">
        <f>IF(OR(B402="",D402=""),"",B402&amp;"|"&amp;D402)</f>
        <v/>
      </c>
    </row>
    <row r="403">
      <c r="A403" s="24">
        <f>IF(B403="","",ROW()-4)</f>
        <v/>
      </c>
      <c r="B403" s="25" t="n"/>
      <c r="C403" s="24">
        <f>IF(B403="","",IFERROR(INDEX('Wózki'!$B$2:$B$500,MATCH(B403,'Wózki'!$A$2:$A$500,0))&amp;"",""))</f>
        <v/>
      </c>
      <c r="D403" s="26" t="n"/>
      <c r="E403" s="25" t="n"/>
      <c r="F403" s="25" t="n"/>
      <c r="G403" s="24">
        <f>IF(F403="","",IFERROR(INDEX(Pracownicy!$B$2:$B$2000,MATCH(F403,Pracownicy!$A$2:$A$2000,0))&amp;"",""))</f>
        <v/>
      </c>
      <c r="H403" s="25" t="n"/>
      <c r="I403" s="25" t="n"/>
      <c r="J403" s="25" t="n"/>
      <c r="K403" s="27" t="n"/>
      <c r="L403" s="25" t="n"/>
      <c r="M403" s="25" t="n"/>
      <c r="N403" s="27" t="n"/>
      <c r="O403" s="24">
        <f>IF(B403="","",IF(M403="","TAK",IFERROR(INDEX(Ustawienia!$K$4:$K$8,MATCH(M403,Ustawienia!$J$4:$J$8,0)),"TAK")))</f>
        <v/>
      </c>
      <c r="P403" s="28">
        <f>IF(OR(B403="",D403=""),"",IFERROR(INDEX('Dane rozpisek'!$B$2:$B$2600,MATCH(S403,'Dane rozpisek'!$H$2:$H$2600,0))&amp;": "&amp;INDEX('Dane rozpisek'!$E$2:$E$2600,MATCH(S403,'Dane rozpisek'!$H$2:$H$2600,0))&amp;IF(COUNTIF('Dane rozpisek'!$H$2:$H$2600,S403)&gt;1," (+"&amp;(COUNTIF('Dane rozpisek'!$H$2:$H$2600,S403)-1)&amp;")",""),"—"))</f>
        <v/>
      </c>
      <c r="Q403" s="24">
        <f>IF(AND(B403&lt;&gt;"",D403&lt;&gt;"",OR('Historia wózka'!$B$4="",B403='Historia wózka'!$B$4),D403&gt;='Historia wózka'!$B$5,D403&lt;='Historia wózka'!$B$6),D403+ROW()/1000000,0)</f>
        <v/>
      </c>
      <c r="R403" s="24">
        <f>IF(O403="TAK",IF(D403="",0,D403)+ROW()/1000000,0)</f>
        <v/>
      </c>
      <c r="S403" s="24">
        <f>IF(OR(B403="",D403=""),"",B403&amp;"|"&amp;D403)</f>
        <v/>
      </c>
    </row>
    <row r="404">
      <c r="A404" s="24">
        <f>IF(B404="","",ROW()-4)</f>
        <v/>
      </c>
      <c r="B404" s="25" t="n"/>
      <c r="C404" s="24">
        <f>IF(B404="","",IFERROR(INDEX('Wózki'!$B$2:$B$500,MATCH(B404,'Wózki'!$A$2:$A$500,0))&amp;"",""))</f>
        <v/>
      </c>
      <c r="D404" s="26" t="n"/>
      <c r="E404" s="25" t="n"/>
      <c r="F404" s="25" t="n"/>
      <c r="G404" s="24">
        <f>IF(F404="","",IFERROR(INDEX(Pracownicy!$B$2:$B$2000,MATCH(F404,Pracownicy!$A$2:$A$2000,0))&amp;"",""))</f>
        <v/>
      </c>
      <c r="H404" s="25" t="n"/>
      <c r="I404" s="25" t="n"/>
      <c r="J404" s="25" t="n"/>
      <c r="K404" s="27" t="n"/>
      <c r="L404" s="25" t="n"/>
      <c r="M404" s="25" t="n"/>
      <c r="N404" s="27" t="n"/>
      <c r="O404" s="24">
        <f>IF(B404="","",IF(M404="","TAK",IFERROR(INDEX(Ustawienia!$K$4:$K$8,MATCH(M404,Ustawienia!$J$4:$J$8,0)),"TAK")))</f>
        <v/>
      </c>
      <c r="P404" s="28">
        <f>IF(OR(B404="",D404=""),"",IFERROR(INDEX('Dane rozpisek'!$B$2:$B$2600,MATCH(S404,'Dane rozpisek'!$H$2:$H$2600,0))&amp;": "&amp;INDEX('Dane rozpisek'!$E$2:$E$2600,MATCH(S404,'Dane rozpisek'!$H$2:$H$2600,0))&amp;IF(COUNTIF('Dane rozpisek'!$H$2:$H$2600,S404)&gt;1," (+"&amp;(COUNTIF('Dane rozpisek'!$H$2:$H$2600,S404)-1)&amp;")",""),"—"))</f>
        <v/>
      </c>
      <c r="Q404" s="24">
        <f>IF(AND(B404&lt;&gt;"",D404&lt;&gt;"",OR('Historia wózka'!$B$4="",B404='Historia wózka'!$B$4),D404&gt;='Historia wózka'!$B$5,D404&lt;='Historia wózka'!$B$6),D404+ROW()/1000000,0)</f>
        <v/>
      </c>
      <c r="R404" s="24">
        <f>IF(O404="TAK",IF(D404="",0,D404)+ROW()/1000000,0)</f>
        <v/>
      </c>
      <c r="S404" s="24">
        <f>IF(OR(B404="",D404=""),"",B404&amp;"|"&amp;D404)</f>
        <v/>
      </c>
    </row>
    <row r="405">
      <c r="A405" s="24">
        <f>IF(B405="","",ROW()-4)</f>
        <v/>
      </c>
      <c r="B405" s="25" t="n"/>
      <c r="C405" s="24">
        <f>IF(B405="","",IFERROR(INDEX('Wózki'!$B$2:$B$500,MATCH(B405,'Wózki'!$A$2:$A$500,0))&amp;"",""))</f>
        <v/>
      </c>
      <c r="D405" s="26" t="n"/>
      <c r="E405" s="25" t="n"/>
      <c r="F405" s="25" t="n"/>
      <c r="G405" s="24">
        <f>IF(F405="","",IFERROR(INDEX(Pracownicy!$B$2:$B$2000,MATCH(F405,Pracownicy!$A$2:$A$2000,0))&amp;"",""))</f>
        <v/>
      </c>
      <c r="H405" s="25" t="n"/>
      <c r="I405" s="25" t="n"/>
      <c r="J405" s="25" t="n"/>
      <c r="K405" s="27" t="n"/>
      <c r="L405" s="25" t="n"/>
      <c r="M405" s="25" t="n"/>
      <c r="N405" s="27" t="n"/>
      <c r="O405" s="24">
        <f>IF(B405="","",IF(M405="","TAK",IFERROR(INDEX(Ustawienia!$K$4:$K$8,MATCH(M405,Ustawienia!$J$4:$J$8,0)),"TAK")))</f>
        <v/>
      </c>
      <c r="P405" s="28">
        <f>IF(OR(B405="",D405=""),"",IFERROR(INDEX('Dane rozpisek'!$B$2:$B$2600,MATCH(S405,'Dane rozpisek'!$H$2:$H$2600,0))&amp;": "&amp;INDEX('Dane rozpisek'!$E$2:$E$2600,MATCH(S405,'Dane rozpisek'!$H$2:$H$2600,0))&amp;IF(COUNTIF('Dane rozpisek'!$H$2:$H$2600,S405)&gt;1," (+"&amp;(COUNTIF('Dane rozpisek'!$H$2:$H$2600,S405)-1)&amp;")",""),"—"))</f>
        <v/>
      </c>
      <c r="Q405" s="24">
        <f>IF(AND(B405&lt;&gt;"",D405&lt;&gt;"",OR('Historia wózka'!$B$4="",B405='Historia wózka'!$B$4),D405&gt;='Historia wózka'!$B$5,D405&lt;='Historia wózka'!$B$6),D405+ROW()/1000000,0)</f>
        <v/>
      </c>
      <c r="R405" s="24">
        <f>IF(O405="TAK",IF(D405="",0,D405)+ROW()/1000000,0)</f>
        <v/>
      </c>
      <c r="S405" s="24">
        <f>IF(OR(B405="",D405=""),"",B405&amp;"|"&amp;D405)</f>
        <v/>
      </c>
    </row>
    <row r="406">
      <c r="A406" s="24">
        <f>IF(B406="","",ROW()-4)</f>
        <v/>
      </c>
      <c r="B406" s="25" t="n"/>
      <c r="C406" s="24">
        <f>IF(B406="","",IFERROR(INDEX('Wózki'!$B$2:$B$500,MATCH(B406,'Wózki'!$A$2:$A$500,0))&amp;"",""))</f>
        <v/>
      </c>
      <c r="D406" s="26" t="n"/>
      <c r="E406" s="25" t="n"/>
      <c r="F406" s="25" t="n"/>
      <c r="G406" s="24">
        <f>IF(F406="","",IFERROR(INDEX(Pracownicy!$B$2:$B$2000,MATCH(F406,Pracownicy!$A$2:$A$2000,0))&amp;"",""))</f>
        <v/>
      </c>
      <c r="H406" s="25" t="n"/>
      <c r="I406" s="25" t="n"/>
      <c r="J406" s="25" t="n"/>
      <c r="K406" s="27" t="n"/>
      <c r="L406" s="25" t="n"/>
      <c r="M406" s="25" t="n"/>
      <c r="N406" s="27" t="n"/>
      <c r="O406" s="24">
        <f>IF(B406="","",IF(M406="","TAK",IFERROR(INDEX(Ustawienia!$K$4:$K$8,MATCH(M406,Ustawienia!$J$4:$J$8,0)),"TAK")))</f>
        <v/>
      </c>
      <c r="P406" s="28">
        <f>IF(OR(B406="",D406=""),"",IFERROR(INDEX('Dane rozpisek'!$B$2:$B$2600,MATCH(S406,'Dane rozpisek'!$H$2:$H$2600,0))&amp;": "&amp;INDEX('Dane rozpisek'!$E$2:$E$2600,MATCH(S406,'Dane rozpisek'!$H$2:$H$2600,0))&amp;IF(COUNTIF('Dane rozpisek'!$H$2:$H$2600,S406)&gt;1," (+"&amp;(COUNTIF('Dane rozpisek'!$H$2:$H$2600,S406)-1)&amp;")",""),"—"))</f>
        <v/>
      </c>
      <c r="Q406" s="24">
        <f>IF(AND(B406&lt;&gt;"",D406&lt;&gt;"",OR('Historia wózka'!$B$4="",B406='Historia wózka'!$B$4),D406&gt;='Historia wózka'!$B$5,D406&lt;='Historia wózka'!$B$6),D406+ROW()/1000000,0)</f>
        <v/>
      </c>
      <c r="R406" s="24">
        <f>IF(O406="TAK",IF(D406="",0,D406)+ROW()/1000000,0)</f>
        <v/>
      </c>
      <c r="S406" s="24">
        <f>IF(OR(B406="",D406=""),"",B406&amp;"|"&amp;D406)</f>
        <v/>
      </c>
    </row>
    <row r="407">
      <c r="A407" s="24">
        <f>IF(B407="","",ROW()-4)</f>
        <v/>
      </c>
      <c r="B407" s="25" t="n"/>
      <c r="C407" s="24">
        <f>IF(B407="","",IFERROR(INDEX('Wózki'!$B$2:$B$500,MATCH(B407,'Wózki'!$A$2:$A$500,0))&amp;"",""))</f>
        <v/>
      </c>
      <c r="D407" s="26" t="n"/>
      <c r="E407" s="25" t="n"/>
      <c r="F407" s="25" t="n"/>
      <c r="G407" s="24">
        <f>IF(F407="","",IFERROR(INDEX(Pracownicy!$B$2:$B$2000,MATCH(F407,Pracownicy!$A$2:$A$2000,0))&amp;"",""))</f>
        <v/>
      </c>
      <c r="H407" s="25" t="n"/>
      <c r="I407" s="25" t="n"/>
      <c r="J407" s="25" t="n"/>
      <c r="K407" s="27" t="n"/>
      <c r="L407" s="25" t="n"/>
      <c r="M407" s="25" t="n"/>
      <c r="N407" s="27" t="n"/>
      <c r="O407" s="24">
        <f>IF(B407="","",IF(M407="","TAK",IFERROR(INDEX(Ustawienia!$K$4:$K$8,MATCH(M407,Ustawienia!$J$4:$J$8,0)),"TAK")))</f>
        <v/>
      </c>
      <c r="P407" s="28">
        <f>IF(OR(B407="",D407=""),"",IFERROR(INDEX('Dane rozpisek'!$B$2:$B$2600,MATCH(S407,'Dane rozpisek'!$H$2:$H$2600,0))&amp;": "&amp;INDEX('Dane rozpisek'!$E$2:$E$2600,MATCH(S407,'Dane rozpisek'!$H$2:$H$2600,0))&amp;IF(COUNTIF('Dane rozpisek'!$H$2:$H$2600,S407)&gt;1," (+"&amp;(COUNTIF('Dane rozpisek'!$H$2:$H$2600,S407)-1)&amp;")",""),"—"))</f>
        <v/>
      </c>
      <c r="Q407" s="24">
        <f>IF(AND(B407&lt;&gt;"",D407&lt;&gt;"",OR('Historia wózka'!$B$4="",B407='Historia wózka'!$B$4),D407&gt;='Historia wózka'!$B$5,D407&lt;='Historia wózka'!$B$6),D407+ROW()/1000000,0)</f>
        <v/>
      </c>
      <c r="R407" s="24">
        <f>IF(O407="TAK",IF(D407="",0,D407)+ROW()/1000000,0)</f>
        <v/>
      </c>
      <c r="S407" s="24">
        <f>IF(OR(B407="",D407=""),"",B407&amp;"|"&amp;D407)</f>
        <v/>
      </c>
    </row>
    <row r="408">
      <c r="A408" s="24">
        <f>IF(B408="","",ROW()-4)</f>
        <v/>
      </c>
      <c r="B408" s="25" t="n"/>
      <c r="C408" s="24">
        <f>IF(B408="","",IFERROR(INDEX('Wózki'!$B$2:$B$500,MATCH(B408,'Wózki'!$A$2:$A$500,0))&amp;"",""))</f>
        <v/>
      </c>
      <c r="D408" s="26" t="n"/>
      <c r="E408" s="25" t="n"/>
      <c r="F408" s="25" t="n"/>
      <c r="G408" s="24">
        <f>IF(F408="","",IFERROR(INDEX(Pracownicy!$B$2:$B$2000,MATCH(F408,Pracownicy!$A$2:$A$2000,0))&amp;"",""))</f>
        <v/>
      </c>
      <c r="H408" s="25" t="n"/>
      <c r="I408" s="25" t="n"/>
      <c r="J408" s="25" t="n"/>
      <c r="K408" s="27" t="n"/>
      <c r="L408" s="25" t="n"/>
      <c r="M408" s="25" t="n"/>
      <c r="N408" s="27" t="n"/>
      <c r="O408" s="24">
        <f>IF(B408="","",IF(M408="","TAK",IFERROR(INDEX(Ustawienia!$K$4:$K$8,MATCH(M408,Ustawienia!$J$4:$J$8,0)),"TAK")))</f>
        <v/>
      </c>
      <c r="P408" s="28">
        <f>IF(OR(B408="",D408=""),"",IFERROR(INDEX('Dane rozpisek'!$B$2:$B$2600,MATCH(S408,'Dane rozpisek'!$H$2:$H$2600,0))&amp;": "&amp;INDEX('Dane rozpisek'!$E$2:$E$2600,MATCH(S408,'Dane rozpisek'!$H$2:$H$2600,0))&amp;IF(COUNTIF('Dane rozpisek'!$H$2:$H$2600,S408)&gt;1," (+"&amp;(COUNTIF('Dane rozpisek'!$H$2:$H$2600,S408)-1)&amp;")",""),"—"))</f>
        <v/>
      </c>
      <c r="Q408" s="24">
        <f>IF(AND(B408&lt;&gt;"",D408&lt;&gt;"",OR('Historia wózka'!$B$4="",B408='Historia wózka'!$B$4),D408&gt;='Historia wózka'!$B$5,D408&lt;='Historia wózka'!$B$6),D408+ROW()/1000000,0)</f>
        <v/>
      </c>
      <c r="R408" s="24">
        <f>IF(O408="TAK",IF(D408="",0,D408)+ROW()/1000000,0)</f>
        <v/>
      </c>
      <c r="S408" s="24">
        <f>IF(OR(B408="",D408=""),"",B408&amp;"|"&amp;D408)</f>
        <v/>
      </c>
    </row>
    <row r="409">
      <c r="A409" s="24">
        <f>IF(B409="","",ROW()-4)</f>
        <v/>
      </c>
      <c r="B409" s="25" t="n"/>
      <c r="C409" s="24">
        <f>IF(B409="","",IFERROR(INDEX('Wózki'!$B$2:$B$500,MATCH(B409,'Wózki'!$A$2:$A$500,0))&amp;"",""))</f>
        <v/>
      </c>
      <c r="D409" s="26" t="n"/>
      <c r="E409" s="25" t="n"/>
      <c r="F409" s="25" t="n"/>
      <c r="G409" s="24">
        <f>IF(F409="","",IFERROR(INDEX(Pracownicy!$B$2:$B$2000,MATCH(F409,Pracownicy!$A$2:$A$2000,0))&amp;"",""))</f>
        <v/>
      </c>
      <c r="H409" s="25" t="n"/>
      <c r="I409" s="25" t="n"/>
      <c r="J409" s="25" t="n"/>
      <c r="K409" s="27" t="n"/>
      <c r="L409" s="25" t="n"/>
      <c r="M409" s="25" t="n"/>
      <c r="N409" s="27" t="n"/>
      <c r="O409" s="24">
        <f>IF(B409="","",IF(M409="","TAK",IFERROR(INDEX(Ustawienia!$K$4:$K$8,MATCH(M409,Ustawienia!$J$4:$J$8,0)),"TAK")))</f>
        <v/>
      </c>
      <c r="P409" s="28">
        <f>IF(OR(B409="",D409=""),"",IFERROR(INDEX('Dane rozpisek'!$B$2:$B$2600,MATCH(S409,'Dane rozpisek'!$H$2:$H$2600,0))&amp;": "&amp;INDEX('Dane rozpisek'!$E$2:$E$2600,MATCH(S409,'Dane rozpisek'!$H$2:$H$2600,0))&amp;IF(COUNTIF('Dane rozpisek'!$H$2:$H$2600,S409)&gt;1," (+"&amp;(COUNTIF('Dane rozpisek'!$H$2:$H$2600,S409)-1)&amp;")",""),"—"))</f>
        <v/>
      </c>
      <c r="Q409" s="24">
        <f>IF(AND(B409&lt;&gt;"",D409&lt;&gt;"",OR('Historia wózka'!$B$4="",B409='Historia wózka'!$B$4),D409&gt;='Historia wózka'!$B$5,D409&lt;='Historia wózka'!$B$6),D409+ROW()/1000000,0)</f>
        <v/>
      </c>
      <c r="R409" s="24">
        <f>IF(O409="TAK",IF(D409="",0,D409)+ROW()/1000000,0)</f>
        <v/>
      </c>
      <c r="S409" s="24">
        <f>IF(OR(B409="",D409=""),"",B409&amp;"|"&amp;D409)</f>
        <v/>
      </c>
    </row>
    <row r="410">
      <c r="A410" s="24">
        <f>IF(B410="","",ROW()-4)</f>
        <v/>
      </c>
      <c r="B410" s="25" t="n"/>
      <c r="C410" s="24">
        <f>IF(B410="","",IFERROR(INDEX('Wózki'!$B$2:$B$500,MATCH(B410,'Wózki'!$A$2:$A$500,0))&amp;"",""))</f>
        <v/>
      </c>
      <c r="D410" s="26" t="n"/>
      <c r="E410" s="25" t="n"/>
      <c r="F410" s="25" t="n"/>
      <c r="G410" s="24">
        <f>IF(F410="","",IFERROR(INDEX(Pracownicy!$B$2:$B$2000,MATCH(F410,Pracownicy!$A$2:$A$2000,0))&amp;"",""))</f>
        <v/>
      </c>
      <c r="H410" s="25" t="n"/>
      <c r="I410" s="25" t="n"/>
      <c r="J410" s="25" t="n"/>
      <c r="K410" s="27" t="n"/>
      <c r="L410" s="25" t="n"/>
      <c r="M410" s="25" t="n"/>
      <c r="N410" s="27" t="n"/>
      <c r="O410" s="24">
        <f>IF(B410="","",IF(M410="","TAK",IFERROR(INDEX(Ustawienia!$K$4:$K$8,MATCH(M410,Ustawienia!$J$4:$J$8,0)),"TAK")))</f>
        <v/>
      </c>
      <c r="P410" s="28">
        <f>IF(OR(B410="",D410=""),"",IFERROR(INDEX('Dane rozpisek'!$B$2:$B$2600,MATCH(S410,'Dane rozpisek'!$H$2:$H$2600,0))&amp;": "&amp;INDEX('Dane rozpisek'!$E$2:$E$2600,MATCH(S410,'Dane rozpisek'!$H$2:$H$2600,0))&amp;IF(COUNTIF('Dane rozpisek'!$H$2:$H$2600,S410)&gt;1," (+"&amp;(COUNTIF('Dane rozpisek'!$H$2:$H$2600,S410)-1)&amp;")",""),"—"))</f>
        <v/>
      </c>
      <c r="Q410" s="24">
        <f>IF(AND(B410&lt;&gt;"",D410&lt;&gt;"",OR('Historia wózka'!$B$4="",B410='Historia wózka'!$B$4),D410&gt;='Historia wózka'!$B$5,D410&lt;='Historia wózka'!$B$6),D410+ROW()/1000000,0)</f>
        <v/>
      </c>
      <c r="R410" s="24">
        <f>IF(O410="TAK",IF(D410="",0,D410)+ROW()/1000000,0)</f>
        <v/>
      </c>
      <c r="S410" s="24">
        <f>IF(OR(B410="",D410=""),"",B410&amp;"|"&amp;D410)</f>
        <v/>
      </c>
    </row>
    <row r="411">
      <c r="A411" s="24">
        <f>IF(B411="","",ROW()-4)</f>
        <v/>
      </c>
      <c r="B411" s="25" t="n"/>
      <c r="C411" s="24">
        <f>IF(B411="","",IFERROR(INDEX('Wózki'!$B$2:$B$500,MATCH(B411,'Wózki'!$A$2:$A$500,0))&amp;"",""))</f>
        <v/>
      </c>
      <c r="D411" s="26" t="n"/>
      <c r="E411" s="25" t="n"/>
      <c r="F411" s="25" t="n"/>
      <c r="G411" s="24">
        <f>IF(F411="","",IFERROR(INDEX(Pracownicy!$B$2:$B$2000,MATCH(F411,Pracownicy!$A$2:$A$2000,0))&amp;"",""))</f>
        <v/>
      </c>
      <c r="H411" s="25" t="n"/>
      <c r="I411" s="25" t="n"/>
      <c r="J411" s="25" t="n"/>
      <c r="K411" s="27" t="n"/>
      <c r="L411" s="25" t="n"/>
      <c r="M411" s="25" t="n"/>
      <c r="N411" s="27" t="n"/>
      <c r="O411" s="24">
        <f>IF(B411="","",IF(M411="","TAK",IFERROR(INDEX(Ustawienia!$K$4:$K$8,MATCH(M411,Ustawienia!$J$4:$J$8,0)),"TAK")))</f>
        <v/>
      </c>
      <c r="P411" s="28">
        <f>IF(OR(B411="",D411=""),"",IFERROR(INDEX('Dane rozpisek'!$B$2:$B$2600,MATCH(S411,'Dane rozpisek'!$H$2:$H$2600,0))&amp;": "&amp;INDEX('Dane rozpisek'!$E$2:$E$2600,MATCH(S411,'Dane rozpisek'!$H$2:$H$2600,0))&amp;IF(COUNTIF('Dane rozpisek'!$H$2:$H$2600,S411)&gt;1," (+"&amp;(COUNTIF('Dane rozpisek'!$H$2:$H$2600,S411)-1)&amp;")",""),"—"))</f>
        <v/>
      </c>
      <c r="Q411" s="24">
        <f>IF(AND(B411&lt;&gt;"",D411&lt;&gt;"",OR('Historia wózka'!$B$4="",B411='Historia wózka'!$B$4),D411&gt;='Historia wózka'!$B$5,D411&lt;='Historia wózka'!$B$6),D411+ROW()/1000000,0)</f>
        <v/>
      </c>
      <c r="R411" s="24">
        <f>IF(O411="TAK",IF(D411="",0,D411)+ROW()/1000000,0)</f>
        <v/>
      </c>
      <c r="S411" s="24">
        <f>IF(OR(B411="",D411=""),"",B411&amp;"|"&amp;D411)</f>
        <v/>
      </c>
    </row>
    <row r="412">
      <c r="A412" s="24">
        <f>IF(B412="","",ROW()-4)</f>
        <v/>
      </c>
      <c r="B412" s="25" t="n"/>
      <c r="C412" s="24">
        <f>IF(B412="","",IFERROR(INDEX('Wózki'!$B$2:$B$500,MATCH(B412,'Wózki'!$A$2:$A$500,0))&amp;"",""))</f>
        <v/>
      </c>
      <c r="D412" s="26" t="n"/>
      <c r="E412" s="25" t="n"/>
      <c r="F412" s="25" t="n"/>
      <c r="G412" s="24">
        <f>IF(F412="","",IFERROR(INDEX(Pracownicy!$B$2:$B$2000,MATCH(F412,Pracownicy!$A$2:$A$2000,0))&amp;"",""))</f>
        <v/>
      </c>
      <c r="H412" s="25" t="n"/>
      <c r="I412" s="25" t="n"/>
      <c r="J412" s="25" t="n"/>
      <c r="K412" s="27" t="n"/>
      <c r="L412" s="25" t="n"/>
      <c r="M412" s="25" t="n"/>
      <c r="N412" s="27" t="n"/>
      <c r="O412" s="24">
        <f>IF(B412="","",IF(M412="","TAK",IFERROR(INDEX(Ustawienia!$K$4:$K$8,MATCH(M412,Ustawienia!$J$4:$J$8,0)),"TAK")))</f>
        <v/>
      </c>
      <c r="P412" s="28">
        <f>IF(OR(B412="",D412=""),"",IFERROR(INDEX('Dane rozpisek'!$B$2:$B$2600,MATCH(S412,'Dane rozpisek'!$H$2:$H$2600,0))&amp;": "&amp;INDEX('Dane rozpisek'!$E$2:$E$2600,MATCH(S412,'Dane rozpisek'!$H$2:$H$2600,0))&amp;IF(COUNTIF('Dane rozpisek'!$H$2:$H$2600,S412)&gt;1," (+"&amp;(COUNTIF('Dane rozpisek'!$H$2:$H$2600,S412)-1)&amp;")",""),"—"))</f>
        <v/>
      </c>
      <c r="Q412" s="24">
        <f>IF(AND(B412&lt;&gt;"",D412&lt;&gt;"",OR('Historia wózka'!$B$4="",B412='Historia wózka'!$B$4),D412&gt;='Historia wózka'!$B$5,D412&lt;='Historia wózka'!$B$6),D412+ROW()/1000000,0)</f>
        <v/>
      </c>
      <c r="R412" s="24">
        <f>IF(O412="TAK",IF(D412="",0,D412)+ROW()/1000000,0)</f>
        <v/>
      </c>
      <c r="S412" s="24">
        <f>IF(OR(B412="",D412=""),"",B412&amp;"|"&amp;D412)</f>
        <v/>
      </c>
    </row>
    <row r="413">
      <c r="A413" s="24">
        <f>IF(B413="","",ROW()-4)</f>
        <v/>
      </c>
      <c r="B413" s="25" t="n"/>
      <c r="C413" s="24">
        <f>IF(B413="","",IFERROR(INDEX('Wózki'!$B$2:$B$500,MATCH(B413,'Wózki'!$A$2:$A$500,0))&amp;"",""))</f>
        <v/>
      </c>
      <c r="D413" s="26" t="n"/>
      <c r="E413" s="25" t="n"/>
      <c r="F413" s="25" t="n"/>
      <c r="G413" s="24">
        <f>IF(F413="","",IFERROR(INDEX(Pracownicy!$B$2:$B$2000,MATCH(F413,Pracownicy!$A$2:$A$2000,0))&amp;"",""))</f>
        <v/>
      </c>
      <c r="H413" s="25" t="n"/>
      <c r="I413" s="25" t="n"/>
      <c r="J413" s="25" t="n"/>
      <c r="K413" s="27" t="n"/>
      <c r="L413" s="25" t="n"/>
      <c r="M413" s="25" t="n"/>
      <c r="N413" s="27" t="n"/>
      <c r="O413" s="24">
        <f>IF(B413="","",IF(M413="","TAK",IFERROR(INDEX(Ustawienia!$K$4:$K$8,MATCH(M413,Ustawienia!$J$4:$J$8,0)),"TAK")))</f>
        <v/>
      </c>
      <c r="P413" s="28">
        <f>IF(OR(B413="",D413=""),"",IFERROR(INDEX('Dane rozpisek'!$B$2:$B$2600,MATCH(S413,'Dane rozpisek'!$H$2:$H$2600,0))&amp;": "&amp;INDEX('Dane rozpisek'!$E$2:$E$2600,MATCH(S413,'Dane rozpisek'!$H$2:$H$2600,0))&amp;IF(COUNTIF('Dane rozpisek'!$H$2:$H$2600,S413)&gt;1," (+"&amp;(COUNTIF('Dane rozpisek'!$H$2:$H$2600,S413)-1)&amp;")",""),"—"))</f>
        <v/>
      </c>
      <c r="Q413" s="24">
        <f>IF(AND(B413&lt;&gt;"",D413&lt;&gt;"",OR('Historia wózka'!$B$4="",B413='Historia wózka'!$B$4),D413&gt;='Historia wózka'!$B$5,D413&lt;='Historia wózka'!$B$6),D413+ROW()/1000000,0)</f>
        <v/>
      </c>
      <c r="R413" s="24">
        <f>IF(O413="TAK",IF(D413="",0,D413)+ROW()/1000000,0)</f>
        <v/>
      </c>
      <c r="S413" s="24">
        <f>IF(OR(B413="",D413=""),"",B413&amp;"|"&amp;D413)</f>
        <v/>
      </c>
    </row>
    <row r="414">
      <c r="A414" s="24">
        <f>IF(B414="","",ROW()-4)</f>
        <v/>
      </c>
      <c r="B414" s="25" t="n"/>
      <c r="C414" s="24">
        <f>IF(B414="","",IFERROR(INDEX('Wózki'!$B$2:$B$500,MATCH(B414,'Wózki'!$A$2:$A$500,0))&amp;"",""))</f>
        <v/>
      </c>
      <c r="D414" s="26" t="n"/>
      <c r="E414" s="25" t="n"/>
      <c r="F414" s="25" t="n"/>
      <c r="G414" s="24">
        <f>IF(F414="","",IFERROR(INDEX(Pracownicy!$B$2:$B$2000,MATCH(F414,Pracownicy!$A$2:$A$2000,0))&amp;"",""))</f>
        <v/>
      </c>
      <c r="H414" s="25" t="n"/>
      <c r="I414" s="25" t="n"/>
      <c r="J414" s="25" t="n"/>
      <c r="K414" s="27" t="n"/>
      <c r="L414" s="25" t="n"/>
      <c r="M414" s="25" t="n"/>
      <c r="N414" s="27" t="n"/>
      <c r="O414" s="24">
        <f>IF(B414="","",IF(M414="","TAK",IFERROR(INDEX(Ustawienia!$K$4:$K$8,MATCH(M414,Ustawienia!$J$4:$J$8,0)),"TAK")))</f>
        <v/>
      </c>
      <c r="P414" s="28">
        <f>IF(OR(B414="",D414=""),"",IFERROR(INDEX('Dane rozpisek'!$B$2:$B$2600,MATCH(S414,'Dane rozpisek'!$H$2:$H$2600,0))&amp;": "&amp;INDEX('Dane rozpisek'!$E$2:$E$2600,MATCH(S414,'Dane rozpisek'!$H$2:$H$2600,0))&amp;IF(COUNTIF('Dane rozpisek'!$H$2:$H$2600,S414)&gt;1," (+"&amp;(COUNTIF('Dane rozpisek'!$H$2:$H$2600,S414)-1)&amp;")",""),"—"))</f>
        <v/>
      </c>
      <c r="Q414" s="24">
        <f>IF(AND(B414&lt;&gt;"",D414&lt;&gt;"",OR('Historia wózka'!$B$4="",B414='Historia wózka'!$B$4),D414&gt;='Historia wózka'!$B$5,D414&lt;='Historia wózka'!$B$6),D414+ROW()/1000000,0)</f>
        <v/>
      </c>
      <c r="R414" s="24">
        <f>IF(O414="TAK",IF(D414="",0,D414)+ROW()/1000000,0)</f>
        <v/>
      </c>
      <c r="S414" s="24">
        <f>IF(OR(B414="",D414=""),"",B414&amp;"|"&amp;D414)</f>
        <v/>
      </c>
    </row>
    <row r="415">
      <c r="A415" s="24">
        <f>IF(B415="","",ROW()-4)</f>
        <v/>
      </c>
      <c r="B415" s="25" t="n"/>
      <c r="C415" s="24">
        <f>IF(B415="","",IFERROR(INDEX('Wózki'!$B$2:$B$500,MATCH(B415,'Wózki'!$A$2:$A$500,0))&amp;"",""))</f>
        <v/>
      </c>
      <c r="D415" s="26" t="n"/>
      <c r="E415" s="25" t="n"/>
      <c r="F415" s="25" t="n"/>
      <c r="G415" s="24">
        <f>IF(F415="","",IFERROR(INDEX(Pracownicy!$B$2:$B$2000,MATCH(F415,Pracownicy!$A$2:$A$2000,0))&amp;"",""))</f>
        <v/>
      </c>
      <c r="H415" s="25" t="n"/>
      <c r="I415" s="25" t="n"/>
      <c r="J415" s="25" t="n"/>
      <c r="K415" s="27" t="n"/>
      <c r="L415" s="25" t="n"/>
      <c r="M415" s="25" t="n"/>
      <c r="N415" s="27" t="n"/>
      <c r="O415" s="24">
        <f>IF(B415="","",IF(M415="","TAK",IFERROR(INDEX(Ustawienia!$K$4:$K$8,MATCH(M415,Ustawienia!$J$4:$J$8,0)),"TAK")))</f>
        <v/>
      </c>
      <c r="P415" s="28">
        <f>IF(OR(B415="",D415=""),"",IFERROR(INDEX('Dane rozpisek'!$B$2:$B$2600,MATCH(S415,'Dane rozpisek'!$H$2:$H$2600,0))&amp;": "&amp;INDEX('Dane rozpisek'!$E$2:$E$2600,MATCH(S415,'Dane rozpisek'!$H$2:$H$2600,0))&amp;IF(COUNTIF('Dane rozpisek'!$H$2:$H$2600,S415)&gt;1," (+"&amp;(COUNTIF('Dane rozpisek'!$H$2:$H$2600,S415)-1)&amp;")",""),"—"))</f>
        <v/>
      </c>
      <c r="Q415" s="24">
        <f>IF(AND(B415&lt;&gt;"",D415&lt;&gt;"",OR('Historia wózka'!$B$4="",B415='Historia wózka'!$B$4),D415&gt;='Historia wózka'!$B$5,D415&lt;='Historia wózka'!$B$6),D415+ROW()/1000000,0)</f>
        <v/>
      </c>
      <c r="R415" s="24">
        <f>IF(O415="TAK",IF(D415="",0,D415)+ROW()/1000000,0)</f>
        <v/>
      </c>
      <c r="S415" s="24">
        <f>IF(OR(B415="",D415=""),"",B415&amp;"|"&amp;D415)</f>
        <v/>
      </c>
    </row>
    <row r="416">
      <c r="A416" s="24">
        <f>IF(B416="","",ROW()-4)</f>
        <v/>
      </c>
      <c r="B416" s="25" t="n"/>
      <c r="C416" s="24">
        <f>IF(B416="","",IFERROR(INDEX('Wózki'!$B$2:$B$500,MATCH(B416,'Wózki'!$A$2:$A$500,0))&amp;"",""))</f>
        <v/>
      </c>
      <c r="D416" s="26" t="n"/>
      <c r="E416" s="25" t="n"/>
      <c r="F416" s="25" t="n"/>
      <c r="G416" s="24">
        <f>IF(F416="","",IFERROR(INDEX(Pracownicy!$B$2:$B$2000,MATCH(F416,Pracownicy!$A$2:$A$2000,0))&amp;"",""))</f>
        <v/>
      </c>
      <c r="H416" s="25" t="n"/>
      <c r="I416" s="25" t="n"/>
      <c r="J416" s="25" t="n"/>
      <c r="K416" s="27" t="n"/>
      <c r="L416" s="25" t="n"/>
      <c r="M416" s="25" t="n"/>
      <c r="N416" s="27" t="n"/>
      <c r="O416" s="24">
        <f>IF(B416="","",IF(M416="","TAK",IFERROR(INDEX(Ustawienia!$K$4:$K$8,MATCH(M416,Ustawienia!$J$4:$J$8,0)),"TAK")))</f>
        <v/>
      </c>
      <c r="P416" s="28">
        <f>IF(OR(B416="",D416=""),"",IFERROR(INDEX('Dane rozpisek'!$B$2:$B$2600,MATCH(S416,'Dane rozpisek'!$H$2:$H$2600,0))&amp;": "&amp;INDEX('Dane rozpisek'!$E$2:$E$2600,MATCH(S416,'Dane rozpisek'!$H$2:$H$2600,0))&amp;IF(COUNTIF('Dane rozpisek'!$H$2:$H$2600,S416)&gt;1," (+"&amp;(COUNTIF('Dane rozpisek'!$H$2:$H$2600,S416)-1)&amp;")",""),"—"))</f>
        <v/>
      </c>
      <c r="Q416" s="24">
        <f>IF(AND(B416&lt;&gt;"",D416&lt;&gt;"",OR('Historia wózka'!$B$4="",B416='Historia wózka'!$B$4),D416&gt;='Historia wózka'!$B$5,D416&lt;='Historia wózka'!$B$6),D416+ROW()/1000000,0)</f>
        <v/>
      </c>
      <c r="R416" s="24">
        <f>IF(O416="TAK",IF(D416="",0,D416)+ROW()/1000000,0)</f>
        <v/>
      </c>
      <c r="S416" s="24">
        <f>IF(OR(B416="",D416=""),"",B416&amp;"|"&amp;D416)</f>
        <v/>
      </c>
    </row>
    <row r="417">
      <c r="A417" s="24">
        <f>IF(B417="","",ROW()-4)</f>
        <v/>
      </c>
      <c r="B417" s="25" t="n"/>
      <c r="C417" s="24">
        <f>IF(B417="","",IFERROR(INDEX('Wózki'!$B$2:$B$500,MATCH(B417,'Wózki'!$A$2:$A$500,0))&amp;"",""))</f>
        <v/>
      </c>
      <c r="D417" s="26" t="n"/>
      <c r="E417" s="25" t="n"/>
      <c r="F417" s="25" t="n"/>
      <c r="G417" s="24">
        <f>IF(F417="","",IFERROR(INDEX(Pracownicy!$B$2:$B$2000,MATCH(F417,Pracownicy!$A$2:$A$2000,0))&amp;"",""))</f>
        <v/>
      </c>
      <c r="H417" s="25" t="n"/>
      <c r="I417" s="25" t="n"/>
      <c r="J417" s="25" t="n"/>
      <c r="K417" s="27" t="n"/>
      <c r="L417" s="25" t="n"/>
      <c r="M417" s="25" t="n"/>
      <c r="N417" s="27" t="n"/>
      <c r="O417" s="24">
        <f>IF(B417="","",IF(M417="","TAK",IFERROR(INDEX(Ustawienia!$K$4:$K$8,MATCH(M417,Ustawienia!$J$4:$J$8,0)),"TAK")))</f>
        <v/>
      </c>
      <c r="P417" s="28">
        <f>IF(OR(B417="",D417=""),"",IFERROR(INDEX('Dane rozpisek'!$B$2:$B$2600,MATCH(S417,'Dane rozpisek'!$H$2:$H$2600,0))&amp;": "&amp;INDEX('Dane rozpisek'!$E$2:$E$2600,MATCH(S417,'Dane rozpisek'!$H$2:$H$2600,0))&amp;IF(COUNTIF('Dane rozpisek'!$H$2:$H$2600,S417)&gt;1," (+"&amp;(COUNTIF('Dane rozpisek'!$H$2:$H$2600,S417)-1)&amp;")",""),"—"))</f>
        <v/>
      </c>
      <c r="Q417" s="24">
        <f>IF(AND(B417&lt;&gt;"",D417&lt;&gt;"",OR('Historia wózka'!$B$4="",B417='Historia wózka'!$B$4),D417&gt;='Historia wózka'!$B$5,D417&lt;='Historia wózka'!$B$6),D417+ROW()/1000000,0)</f>
        <v/>
      </c>
      <c r="R417" s="24">
        <f>IF(O417="TAK",IF(D417="",0,D417)+ROW()/1000000,0)</f>
        <v/>
      </c>
      <c r="S417" s="24">
        <f>IF(OR(B417="",D417=""),"",B417&amp;"|"&amp;D417)</f>
        <v/>
      </c>
    </row>
    <row r="418">
      <c r="A418" s="24">
        <f>IF(B418="","",ROW()-4)</f>
        <v/>
      </c>
      <c r="B418" s="25" t="n"/>
      <c r="C418" s="24">
        <f>IF(B418="","",IFERROR(INDEX('Wózki'!$B$2:$B$500,MATCH(B418,'Wózki'!$A$2:$A$500,0))&amp;"",""))</f>
        <v/>
      </c>
      <c r="D418" s="26" t="n"/>
      <c r="E418" s="25" t="n"/>
      <c r="F418" s="25" t="n"/>
      <c r="G418" s="24">
        <f>IF(F418="","",IFERROR(INDEX(Pracownicy!$B$2:$B$2000,MATCH(F418,Pracownicy!$A$2:$A$2000,0))&amp;"",""))</f>
        <v/>
      </c>
      <c r="H418" s="25" t="n"/>
      <c r="I418" s="25" t="n"/>
      <c r="J418" s="25" t="n"/>
      <c r="K418" s="27" t="n"/>
      <c r="L418" s="25" t="n"/>
      <c r="M418" s="25" t="n"/>
      <c r="N418" s="27" t="n"/>
      <c r="O418" s="24">
        <f>IF(B418="","",IF(M418="","TAK",IFERROR(INDEX(Ustawienia!$K$4:$K$8,MATCH(M418,Ustawienia!$J$4:$J$8,0)),"TAK")))</f>
        <v/>
      </c>
      <c r="P418" s="28">
        <f>IF(OR(B418="",D418=""),"",IFERROR(INDEX('Dane rozpisek'!$B$2:$B$2600,MATCH(S418,'Dane rozpisek'!$H$2:$H$2600,0))&amp;": "&amp;INDEX('Dane rozpisek'!$E$2:$E$2600,MATCH(S418,'Dane rozpisek'!$H$2:$H$2600,0))&amp;IF(COUNTIF('Dane rozpisek'!$H$2:$H$2600,S418)&gt;1," (+"&amp;(COUNTIF('Dane rozpisek'!$H$2:$H$2600,S418)-1)&amp;")",""),"—"))</f>
        <v/>
      </c>
      <c r="Q418" s="24">
        <f>IF(AND(B418&lt;&gt;"",D418&lt;&gt;"",OR('Historia wózka'!$B$4="",B418='Historia wózka'!$B$4),D418&gt;='Historia wózka'!$B$5,D418&lt;='Historia wózka'!$B$6),D418+ROW()/1000000,0)</f>
        <v/>
      </c>
      <c r="R418" s="24">
        <f>IF(O418="TAK",IF(D418="",0,D418)+ROW()/1000000,0)</f>
        <v/>
      </c>
      <c r="S418" s="24">
        <f>IF(OR(B418="",D418=""),"",B418&amp;"|"&amp;D418)</f>
        <v/>
      </c>
    </row>
    <row r="419">
      <c r="A419" s="24">
        <f>IF(B419="","",ROW()-4)</f>
        <v/>
      </c>
      <c r="B419" s="25" t="n"/>
      <c r="C419" s="24">
        <f>IF(B419="","",IFERROR(INDEX('Wózki'!$B$2:$B$500,MATCH(B419,'Wózki'!$A$2:$A$500,0))&amp;"",""))</f>
        <v/>
      </c>
      <c r="D419" s="26" t="n"/>
      <c r="E419" s="25" t="n"/>
      <c r="F419" s="25" t="n"/>
      <c r="G419" s="24">
        <f>IF(F419="","",IFERROR(INDEX(Pracownicy!$B$2:$B$2000,MATCH(F419,Pracownicy!$A$2:$A$2000,0))&amp;"",""))</f>
        <v/>
      </c>
      <c r="H419" s="25" t="n"/>
      <c r="I419" s="25" t="n"/>
      <c r="J419" s="25" t="n"/>
      <c r="K419" s="27" t="n"/>
      <c r="L419" s="25" t="n"/>
      <c r="M419" s="25" t="n"/>
      <c r="N419" s="27" t="n"/>
      <c r="O419" s="24">
        <f>IF(B419="","",IF(M419="","TAK",IFERROR(INDEX(Ustawienia!$K$4:$K$8,MATCH(M419,Ustawienia!$J$4:$J$8,0)),"TAK")))</f>
        <v/>
      </c>
      <c r="P419" s="28">
        <f>IF(OR(B419="",D419=""),"",IFERROR(INDEX('Dane rozpisek'!$B$2:$B$2600,MATCH(S419,'Dane rozpisek'!$H$2:$H$2600,0))&amp;": "&amp;INDEX('Dane rozpisek'!$E$2:$E$2600,MATCH(S419,'Dane rozpisek'!$H$2:$H$2600,0))&amp;IF(COUNTIF('Dane rozpisek'!$H$2:$H$2600,S419)&gt;1," (+"&amp;(COUNTIF('Dane rozpisek'!$H$2:$H$2600,S419)-1)&amp;")",""),"—"))</f>
        <v/>
      </c>
      <c r="Q419" s="24">
        <f>IF(AND(B419&lt;&gt;"",D419&lt;&gt;"",OR('Historia wózka'!$B$4="",B419='Historia wózka'!$B$4),D419&gt;='Historia wózka'!$B$5,D419&lt;='Historia wózka'!$B$6),D419+ROW()/1000000,0)</f>
        <v/>
      </c>
      <c r="R419" s="24">
        <f>IF(O419="TAK",IF(D419="",0,D419)+ROW()/1000000,0)</f>
        <v/>
      </c>
      <c r="S419" s="24">
        <f>IF(OR(B419="",D419=""),"",B419&amp;"|"&amp;D419)</f>
        <v/>
      </c>
    </row>
    <row r="420">
      <c r="A420" s="24">
        <f>IF(B420="","",ROW()-4)</f>
        <v/>
      </c>
      <c r="B420" s="25" t="n"/>
      <c r="C420" s="24">
        <f>IF(B420="","",IFERROR(INDEX('Wózki'!$B$2:$B$500,MATCH(B420,'Wózki'!$A$2:$A$500,0))&amp;"",""))</f>
        <v/>
      </c>
      <c r="D420" s="26" t="n"/>
      <c r="E420" s="25" t="n"/>
      <c r="F420" s="25" t="n"/>
      <c r="G420" s="24">
        <f>IF(F420="","",IFERROR(INDEX(Pracownicy!$B$2:$B$2000,MATCH(F420,Pracownicy!$A$2:$A$2000,0))&amp;"",""))</f>
        <v/>
      </c>
      <c r="H420" s="25" t="n"/>
      <c r="I420" s="25" t="n"/>
      <c r="J420" s="25" t="n"/>
      <c r="K420" s="27" t="n"/>
      <c r="L420" s="25" t="n"/>
      <c r="M420" s="25" t="n"/>
      <c r="N420" s="27" t="n"/>
      <c r="O420" s="24">
        <f>IF(B420="","",IF(M420="","TAK",IFERROR(INDEX(Ustawienia!$K$4:$K$8,MATCH(M420,Ustawienia!$J$4:$J$8,0)),"TAK")))</f>
        <v/>
      </c>
      <c r="P420" s="28">
        <f>IF(OR(B420="",D420=""),"",IFERROR(INDEX('Dane rozpisek'!$B$2:$B$2600,MATCH(S420,'Dane rozpisek'!$H$2:$H$2600,0))&amp;": "&amp;INDEX('Dane rozpisek'!$E$2:$E$2600,MATCH(S420,'Dane rozpisek'!$H$2:$H$2600,0))&amp;IF(COUNTIF('Dane rozpisek'!$H$2:$H$2600,S420)&gt;1," (+"&amp;(COUNTIF('Dane rozpisek'!$H$2:$H$2600,S420)-1)&amp;")",""),"—"))</f>
        <v/>
      </c>
      <c r="Q420" s="24">
        <f>IF(AND(B420&lt;&gt;"",D420&lt;&gt;"",OR('Historia wózka'!$B$4="",B420='Historia wózka'!$B$4),D420&gt;='Historia wózka'!$B$5,D420&lt;='Historia wózka'!$B$6),D420+ROW()/1000000,0)</f>
        <v/>
      </c>
      <c r="R420" s="24">
        <f>IF(O420="TAK",IF(D420="",0,D420)+ROW()/1000000,0)</f>
        <v/>
      </c>
      <c r="S420" s="24">
        <f>IF(OR(B420="",D420=""),"",B420&amp;"|"&amp;D420)</f>
        <v/>
      </c>
    </row>
    <row r="421">
      <c r="A421" s="24">
        <f>IF(B421="","",ROW()-4)</f>
        <v/>
      </c>
      <c r="B421" s="25" t="n"/>
      <c r="C421" s="24">
        <f>IF(B421="","",IFERROR(INDEX('Wózki'!$B$2:$B$500,MATCH(B421,'Wózki'!$A$2:$A$500,0))&amp;"",""))</f>
        <v/>
      </c>
      <c r="D421" s="26" t="n"/>
      <c r="E421" s="25" t="n"/>
      <c r="F421" s="25" t="n"/>
      <c r="G421" s="24">
        <f>IF(F421="","",IFERROR(INDEX(Pracownicy!$B$2:$B$2000,MATCH(F421,Pracownicy!$A$2:$A$2000,0))&amp;"",""))</f>
        <v/>
      </c>
      <c r="H421" s="25" t="n"/>
      <c r="I421" s="25" t="n"/>
      <c r="J421" s="25" t="n"/>
      <c r="K421" s="27" t="n"/>
      <c r="L421" s="25" t="n"/>
      <c r="M421" s="25" t="n"/>
      <c r="N421" s="27" t="n"/>
      <c r="O421" s="24">
        <f>IF(B421="","",IF(M421="","TAK",IFERROR(INDEX(Ustawienia!$K$4:$K$8,MATCH(M421,Ustawienia!$J$4:$J$8,0)),"TAK")))</f>
        <v/>
      </c>
      <c r="P421" s="28">
        <f>IF(OR(B421="",D421=""),"",IFERROR(INDEX('Dane rozpisek'!$B$2:$B$2600,MATCH(S421,'Dane rozpisek'!$H$2:$H$2600,0))&amp;": "&amp;INDEX('Dane rozpisek'!$E$2:$E$2600,MATCH(S421,'Dane rozpisek'!$H$2:$H$2600,0))&amp;IF(COUNTIF('Dane rozpisek'!$H$2:$H$2600,S421)&gt;1," (+"&amp;(COUNTIF('Dane rozpisek'!$H$2:$H$2600,S421)-1)&amp;")",""),"—"))</f>
        <v/>
      </c>
      <c r="Q421" s="24">
        <f>IF(AND(B421&lt;&gt;"",D421&lt;&gt;"",OR('Historia wózka'!$B$4="",B421='Historia wózka'!$B$4),D421&gt;='Historia wózka'!$B$5,D421&lt;='Historia wózka'!$B$6),D421+ROW()/1000000,0)</f>
        <v/>
      </c>
      <c r="R421" s="24">
        <f>IF(O421="TAK",IF(D421="",0,D421)+ROW()/1000000,0)</f>
        <v/>
      </c>
      <c r="S421" s="24">
        <f>IF(OR(B421="",D421=""),"",B421&amp;"|"&amp;D421)</f>
        <v/>
      </c>
    </row>
    <row r="422">
      <c r="A422" s="24">
        <f>IF(B422="","",ROW()-4)</f>
        <v/>
      </c>
      <c r="B422" s="25" t="n"/>
      <c r="C422" s="24">
        <f>IF(B422="","",IFERROR(INDEX('Wózki'!$B$2:$B$500,MATCH(B422,'Wózki'!$A$2:$A$500,0))&amp;"",""))</f>
        <v/>
      </c>
      <c r="D422" s="26" t="n"/>
      <c r="E422" s="25" t="n"/>
      <c r="F422" s="25" t="n"/>
      <c r="G422" s="24">
        <f>IF(F422="","",IFERROR(INDEX(Pracownicy!$B$2:$B$2000,MATCH(F422,Pracownicy!$A$2:$A$2000,0))&amp;"",""))</f>
        <v/>
      </c>
      <c r="H422" s="25" t="n"/>
      <c r="I422" s="25" t="n"/>
      <c r="J422" s="25" t="n"/>
      <c r="K422" s="27" t="n"/>
      <c r="L422" s="25" t="n"/>
      <c r="M422" s="25" t="n"/>
      <c r="N422" s="27" t="n"/>
      <c r="O422" s="24">
        <f>IF(B422="","",IF(M422="","TAK",IFERROR(INDEX(Ustawienia!$K$4:$K$8,MATCH(M422,Ustawienia!$J$4:$J$8,0)),"TAK")))</f>
        <v/>
      </c>
      <c r="P422" s="28">
        <f>IF(OR(B422="",D422=""),"",IFERROR(INDEX('Dane rozpisek'!$B$2:$B$2600,MATCH(S422,'Dane rozpisek'!$H$2:$H$2600,0))&amp;": "&amp;INDEX('Dane rozpisek'!$E$2:$E$2600,MATCH(S422,'Dane rozpisek'!$H$2:$H$2600,0))&amp;IF(COUNTIF('Dane rozpisek'!$H$2:$H$2600,S422)&gt;1," (+"&amp;(COUNTIF('Dane rozpisek'!$H$2:$H$2600,S422)-1)&amp;")",""),"—"))</f>
        <v/>
      </c>
      <c r="Q422" s="24">
        <f>IF(AND(B422&lt;&gt;"",D422&lt;&gt;"",OR('Historia wózka'!$B$4="",B422='Historia wózka'!$B$4),D422&gt;='Historia wózka'!$B$5,D422&lt;='Historia wózka'!$B$6),D422+ROW()/1000000,0)</f>
        <v/>
      </c>
      <c r="R422" s="24">
        <f>IF(O422="TAK",IF(D422="",0,D422)+ROW()/1000000,0)</f>
        <v/>
      </c>
      <c r="S422" s="24">
        <f>IF(OR(B422="",D422=""),"",B422&amp;"|"&amp;D422)</f>
        <v/>
      </c>
    </row>
    <row r="423">
      <c r="A423" s="24">
        <f>IF(B423="","",ROW()-4)</f>
        <v/>
      </c>
      <c r="B423" s="25" t="n"/>
      <c r="C423" s="24">
        <f>IF(B423="","",IFERROR(INDEX('Wózki'!$B$2:$B$500,MATCH(B423,'Wózki'!$A$2:$A$500,0))&amp;"",""))</f>
        <v/>
      </c>
      <c r="D423" s="26" t="n"/>
      <c r="E423" s="25" t="n"/>
      <c r="F423" s="25" t="n"/>
      <c r="G423" s="24">
        <f>IF(F423="","",IFERROR(INDEX(Pracownicy!$B$2:$B$2000,MATCH(F423,Pracownicy!$A$2:$A$2000,0))&amp;"",""))</f>
        <v/>
      </c>
      <c r="H423" s="25" t="n"/>
      <c r="I423" s="25" t="n"/>
      <c r="J423" s="25" t="n"/>
      <c r="K423" s="27" t="n"/>
      <c r="L423" s="25" t="n"/>
      <c r="M423" s="25" t="n"/>
      <c r="N423" s="27" t="n"/>
      <c r="O423" s="24">
        <f>IF(B423="","",IF(M423="","TAK",IFERROR(INDEX(Ustawienia!$K$4:$K$8,MATCH(M423,Ustawienia!$J$4:$J$8,0)),"TAK")))</f>
        <v/>
      </c>
      <c r="P423" s="28">
        <f>IF(OR(B423="",D423=""),"",IFERROR(INDEX('Dane rozpisek'!$B$2:$B$2600,MATCH(S423,'Dane rozpisek'!$H$2:$H$2600,0))&amp;": "&amp;INDEX('Dane rozpisek'!$E$2:$E$2600,MATCH(S423,'Dane rozpisek'!$H$2:$H$2600,0))&amp;IF(COUNTIF('Dane rozpisek'!$H$2:$H$2600,S423)&gt;1," (+"&amp;(COUNTIF('Dane rozpisek'!$H$2:$H$2600,S423)-1)&amp;")",""),"—"))</f>
        <v/>
      </c>
      <c r="Q423" s="24">
        <f>IF(AND(B423&lt;&gt;"",D423&lt;&gt;"",OR('Historia wózka'!$B$4="",B423='Historia wózka'!$B$4),D423&gt;='Historia wózka'!$B$5,D423&lt;='Historia wózka'!$B$6),D423+ROW()/1000000,0)</f>
        <v/>
      </c>
      <c r="R423" s="24">
        <f>IF(O423="TAK",IF(D423="",0,D423)+ROW()/1000000,0)</f>
        <v/>
      </c>
      <c r="S423" s="24">
        <f>IF(OR(B423="",D423=""),"",B423&amp;"|"&amp;D423)</f>
        <v/>
      </c>
    </row>
    <row r="424">
      <c r="A424" s="24">
        <f>IF(B424="","",ROW()-4)</f>
        <v/>
      </c>
      <c r="B424" s="25" t="n"/>
      <c r="C424" s="24">
        <f>IF(B424="","",IFERROR(INDEX('Wózki'!$B$2:$B$500,MATCH(B424,'Wózki'!$A$2:$A$500,0))&amp;"",""))</f>
        <v/>
      </c>
      <c r="D424" s="26" t="n"/>
      <c r="E424" s="25" t="n"/>
      <c r="F424" s="25" t="n"/>
      <c r="G424" s="24">
        <f>IF(F424="","",IFERROR(INDEX(Pracownicy!$B$2:$B$2000,MATCH(F424,Pracownicy!$A$2:$A$2000,0))&amp;"",""))</f>
        <v/>
      </c>
      <c r="H424" s="25" t="n"/>
      <c r="I424" s="25" t="n"/>
      <c r="J424" s="25" t="n"/>
      <c r="K424" s="27" t="n"/>
      <c r="L424" s="25" t="n"/>
      <c r="M424" s="25" t="n"/>
      <c r="N424" s="27" t="n"/>
      <c r="O424" s="24">
        <f>IF(B424="","",IF(M424="","TAK",IFERROR(INDEX(Ustawienia!$K$4:$K$8,MATCH(M424,Ustawienia!$J$4:$J$8,0)),"TAK")))</f>
        <v/>
      </c>
      <c r="P424" s="28">
        <f>IF(OR(B424="",D424=""),"",IFERROR(INDEX('Dane rozpisek'!$B$2:$B$2600,MATCH(S424,'Dane rozpisek'!$H$2:$H$2600,0))&amp;": "&amp;INDEX('Dane rozpisek'!$E$2:$E$2600,MATCH(S424,'Dane rozpisek'!$H$2:$H$2600,0))&amp;IF(COUNTIF('Dane rozpisek'!$H$2:$H$2600,S424)&gt;1," (+"&amp;(COUNTIF('Dane rozpisek'!$H$2:$H$2600,S424)-1)&amp;")",""),"—"))</f>
        <v/>
      </c>
      <c r="Q424" s="24">
        <f>IF(AND(B424&lt;&gt;"",D424&lt;&gt;"",OR('Historia wózka'!$B$4="",B424='Historia wózka'!$B$4),D424&gt;='Historia wózka'!$B$5,D424&lt;='Historia wózka'!$B$6),D424+ROW()/1000000,0)</f>
        <v/>
      </c>
      <c r="R424" s="24">
        <f>IF(O424="TAK",IF(D424="",0,D424)+ROW()/1000000,0)</f>
        <v/>
      </c>
      <c r="S424" s="24">
        <f>IF(OR(B424="",D424=""),"",B424&amp;"|"&amp;D424)</f>
        <v/>
      </c>
    </row>
    <row r="425">
      <c r="A425" s="24">
        <f>IF(B425="","",ROW()-4)</f>
        <v/>
      </c>
      <c r="B425" s="25" t="n"/>
      <c r="C425" s="24">
        <f>IF(B425="","",IFERROR(INDEX('Wózki'!$B$2:$B$500,MATCH(B425,'Wózki'!$A$2:$A$500,0))&amp;"",""))</f>
        <v/>
      </c>
      <c r="D425" s="26" t="n"/>
      <c r="E425" s="25" t="n"/>
      <c r="F425" s="25" t="n"/>
      <c r="G425" s="24">
        <f>IF(F425="","",IFERROR(INDEX(Pracownicy!$B$2:$B$2000,MATCH(F425,Pracownicy!$A$2:$A$2000,0))&amp;"",""))</f>
        <v/>
      </c>
      <c r="H425" s="25" t="n"/>
      <c r="I425" s="25" t="n"/>
      <c r="J425" s="25" t="n"/>
      <c r="K425" s="27" t="n"/>
      <c r="L425" s="25" t="n"/>
      <c r="M425" s="25" t="n"/>
      <c r="N425" s="27" t="n"/>
      <c r="O425" s="24">
        <f>IF(B425="","",IF(M425="","TAK",IFERROR(INDEX(Ustawienia!$K$4:$K$8,MATCH(M425,Ustawienia!$J$4:$J$8,0)),"TAK")))</f>
        <v/>
      </c>
      <c r="P425" s="28">
        <f>IF(OR(B425="",D425=""),"",IFERROR(INDEX('Dane rozpisek'!$B$2:$B$2600,MATCH(S425,'Dane rozpisek'!$H$2:$H$2600,0))&amp;": "&amp;INDEX('Dane rozpisek'!$E$2:$E$2600,MATCH(S425,'Dane rozpisek'!$H$2:$H$2600,0))&amp;IF(COUNTIF('Dane rozpisek'!$H$2:$H$2600,S425)&gt;1," (+"&amp;(COUNTIF('Dane rozpisek'!$H$2:$H$2600,S425)-1)&amp;")",""),"—"))</f>
        <v/>
      </c>
      <c r="Q425" s="24">
        <f>IF(AND(B425&lt;&gt;"",D425&lt;&gt;"",OR('Historia wózka'!$B$4="",B425='Historia wózka'!$B$4),D425&gt;='Historia wózka'!$B$5,D425&lt;='Historia wózka'!$B$6),D425+ROW()/1000000,0)</f>
        <v/>
      </c>
      <c r="R425" s="24">
        <f>IF(O425="TAK",IF(D425="",0,D425)+ROW()/1000000,0)</f>
        <v/>
      </c>
      <c r="S425" s="24">
        <f>IF(OR(B425="",D425=""),"",B425&amp;"|"&amp;D425)</f>
        <v/>
      </c>
    </row>
    <row r="426">
      <c r="A426" s="24">
        <f>IF(B426="","",ROW()-4)</f>
        <v/>
      </c>
      <c r="B426" s="25" t="n"/>
      <c r="C426" s="24">
        <f>IF(B426="","",IFERROR(INDEX('Wózki'!$B$2:$B$500,MATCH(B426,'Wózki'!$A$2:$A$500,0))&amp;"",""))</f>
        <v/>
      </c>
      <c r="D426" s="26" t="n"/>
      <c r="E426" s="25" t="n"/>
      <c r="F426" s="25" t="n"/>
      <c r="G426" s="24">
        <f>IF(F426="","",IFERROR(INDEX(Pracownicy!$B$2:$B$2000,MATCH(F426,Pracownicy!$A$2:$A$2000,0))&amp;"",""))</f>
        <v/>
      </c>
      <c r="H426" s="25" t="n"/>
      <c r="I426" s="25" t="n"/>
      <c r="J426" s="25" t="n"/>
      <c r="K426" s="27" t="n"/>
      <c r="L426" s="25" t="n"/>
      <c r="M426" s="25" t="n"/>
      <c r="N426" s="27" t="n"/>
      <c r="O426" s="24">
        <f>IF(B426="","",IF(M426="","TAK",IFERROR(INDEX(Ustawienia!$K$4:$K$8,MATCH(M426,Ustawienia!$J$4:$J$8,0)),"TAK")))</f>
        <v/>
      </c>
      <c r="P426" s="28">
        <f>IF(OR(B426="",D426=""),"",IFERROR(INDEX('Dane rozpisek'!$B$2:$B$2600,MATCH(S426,'Dane rozpisek'!$H$2:$H$2600,0))&amp;": "&amp;INDEX('Dane rozpisek'!$E$2:$E$2600,MATCH(S426,'Dane rozpisek'!$H$2:$H$2600,0))&amp;IF(COUNTIF('Dane rozpisek'!$H$2:$H$2600,S426)&gt;1," (+"&amp;(COUNTIF('Dane rozpisek'!$H$2:$H$2600,S426)-1)&amp;")",""),"—"))</f>
        <v/>
      </c>
      <c r="Q426" s="24">
        <f>IF(AND(B426&lt;&gt;"",D426&lt;&gt;"",OR('Historia wózka'!$B$4="",B426='Historia wózka'!$B$4),D426&gt;='Historia wózka'!$B$5,D426&lt;='Historia wózka'!$B$6),D426+ROW()/1000000,0)</f>
        <v/>
      </c>
      <c r="R426" s="24">
        <f>IF(O426="TAK",IF(D426="",0,D426)+ROW()/1000000,0)</f>
        <v/>
      </c>
      <c r="S426" s="24">
        <f>IF(OR(B426="",D426=""),"",B426&amp;"|"&amp;D426)</f>
        <v/>
      </c>
    </row>
    <row r="427">
      <c r="A427" s="24">
        <f>IF(B427="","",ROW()-4)</f>
        <v/>
      </c>
      <c r="B427" s="25" t="n"/>
      <c r="C427" s="24">
        <f>IF(B427="","",IFERROR(INDEX('Wózki'!$B$2:$B$500,MATCH(B427,'Wózki'!$A$2:$A$500,0))&amp;"",""))</f>
        <v/>
      </c>
      <c r="D427" s="26" t="n"/>
      <c r="E427" s="25" t="n"/>
      <c r="F427" s="25" t="n"/>
      <c r="G427" s="24">
        <f>IF(F427="","",IFERROR(INDEX(Pracownicy!$B$2:$B$2000,MATCH(F427,Pracownicy!$A$2:$A$2000,0))&amp;"",""))</f>
        <v/>
      </c>
      <c r="H427" s="25" t="n"/>
      <c r="I427" s="25" t="n"/>
      <c r="J427" s="25" t="n"/>
      <c r="K427" s="27" t="n"/>
      <c r="L427" s="25" t="n"/>
      <c r="M427" s="25" t="n"/>
      <c r="N427" s="27" t="n"/>
      <c r="O427" s="24">
        <f>IF(B427="","",IF(M427="","TAK",IFERROR(INDEX(Ustawienia!$K$4:$K$8,MATCH(M427,Ustawienia!$J$4:$J$8,0)),"TAK")))</f>
        <v/>
      </c>
      <c r="P427" s="28">
        <f>IF(OR(B427="",D427=""),"",IFERROR(INDEX('Dane rozpisek'!$B$2:$B$2600,MATCH(S427,'Dane rozpisek'!$H$2:$H$2600,0))&amp;": "&amp;INDEX('Dane rozpisek'!$E$2:$E$2600,MATCH(S427,'Dane rozpisek'!$H$2:$H$2600,0))&amp;IF(COUNTIF('Dane rozpisek'!$H$2:$H$2600,S427)&gt;1," (+"&amp;(COUNTIF('Dane rozpisek'!$H$2:$H$2600,S427)-1)&amp;")",""),"—"))</f>
        <v/>
      </c>
      <c r="Q427" s="24">
        <f>IF(AND(B427&lt;&gt;"",D427&lt;&gt;"",OR('Historia wózka'!$B$4="",B427='Historia wózka'!$B$4),D427&gt;='Historia wózka'!$B$5,D427&lt;='Historia wózka'!$B$6),D427+ROW()/1000000,0)</f>
        <v/>
      </c>
      <c r="R427" s="24">
        <f>IF(O427="TAK",IF(D427="",0,D427)+ROW()/1000000,0)</f>
        <v/>
      </c>
      <c r="S427" s="24">
        <f>IF(OR(B427="",D427=""),"",B427&amp;"|"&amp;D427)</f>
        <v/>
      </c>
    </row>
    <row r="428">
      <c r="A428" s="24">
        <f>IF(B428="","",ROW()-4)</f>
        <v/>
      </c>
      <c r="B428" s="25" t="n"/>
      <c r="C428" s="24">
        <f>IF(B428="","",IFERROR(INDEX('Wózki'!$B$2:$B$500,MATCH(B428,'Wózki'!$A$2:$A$500,0))&amp;"",""))</f>
        <v/>
      </c>
      <c r="D428" s="26" t="n"/>
      <c r="E428" s="25" t="n"/>
      <c r="F428" s="25" t="n"/>
      <c r="G428" s="24">
        <f>IF(F428="","",IFERROR(INDEX(Pracownicy!$B$2:$B$2000,MATCH(F428,Pracownicy!$A$2:$A$2000,0))&amp;"",""))</f>
        <v/>
      </c>
      <c r="H428" s="25" t="n"/>
      <c r="I428" s="25" t="n"/>
      <c r="J428" s="25" t="n"/>
      <c r="K428" s="27" t="n"/>
      <c r="L428" s="25" t="n"/>
      <c r="M428" s="25" t="n"/>
      <c r="N428" s="27" t="n"/>
      <c r="O428" s="24">
        <f>IF(B428="","",IF(M428="","TAK",IFERROR(INDEX(Ustawienia!$K$4:$K$8,MATCH(M428,Ustawienia!$J$4:$J$8,0)),"TAK")))</f>
        <v/>
      </c>
      <c r="P428" s="28">
        <f>IF(OR(B428="",D428=""),"",IFERROR(INDEX('Dane rozpisek'!$B$2:$B$2600,MATCH(S428,'Dane rozpisek'!$H$2:$H$2600,0))&amp;": "&amp;INDEX('Dane rozpisek'!$E$2:$E$2600,MATCH(S428,'Dane rozpisek'!$H$2:$H$2600,0))&amp;IF(COUNTIF('Dane rozpisek'!$H$2:$H$2600,S428)&gt;1," (+"&amp;(COUNTIF('Dane rozpisek'!$H$2:$H$2600,S428)-1)&amp;")",""),"—"))</f>
        <v/>
      </c>
      <c r="Q428" s="24">
        <f>IF(AND(B428&lt;&gt;"",D428&lt;&gt;"",OR('Historia wózka'!$B$4="",B428='Historia wózka'!$B$4),D428&gt;='Historia wózka'!$B$5,D428&lt;='Historia wózka'!$B$6),D428+ROW()/1000000,0)</f>
        <v/>
      </c>
      <c r="R428" s="24">
        <f>IF(O428="TAK",IF(D428="",0,D428)+ROW()/1000000,0)</f>
        <v/>
      </c>
      <c r="S428" s="24">
        <f>IF(OR(B428="",D428=""),"",B428&amp;"|"&amp;D428)</f>
        <v/>
      </c>
    </row>
    <row r="429">
      <c r="A429" s="24">
        <f>IF(B429="","",ROW()-4)</f>
        <v/>
      </c>
      <c r="B429" s="25" t="n"/>
      <c r="C429" s="24">
        <f>IF(B429="","",IFERROR(INDEX('Wózki'!$B$2:$B$500,MATCH(B429,'Wózki'!$A$2:$A$500,0))&amp;"",""))</f>
        <v/>
      </c>
      <c r="D429" s="26" t="n"/>
      <c r="E429" s="25" t="n"/>
      <c r="F429" s="25" t="n"/>
      <c r="G429" s="24">
        <f>IF(F429="","",IFERROR(INDEX(Pracownicy!$B$2:$B$2000,MATCH(F429,Pracownicy!$A$2:$A$2000,0))&amp;"",""))</f>
        <v/>
      </c>
      <c r="H429" s="25" t="n"/>
      <c r="I429" s="25" t="n"/>
      <c r="J429" s="25" t="n"/>
      <c r="K429" s="27" t="n"/>
      <c r="L429" s="25" t="n"/>
      <c r="M429" s="25" t="n"/>
      <c r="N429" s="27" t="n"/>
      <c r="O429" s="24">
        <f>IF(B429="","",IF(M429="","TAK",IFERROR(INDEX(Ustawienia!$K$4:$K$8,MATCH(M429,Ustawienia!$J$4:$J$8,0)),"TAK")))</f>
        <v/>
      </c>
      <c r="P429" s="28">
        <f>IF(OR(B429="",D429=""),"",IFERROR(INDEX('Dane rozpisek'!$B$2:$B$2600,MATCH(S429,'Dane rozpisek'!$H$2:$H$2600,0))&amp;": "&amp;INDEX('Dane rozpisek'!$E$2:$E$2600,MATCH(S429,'Dane rozpisek'!$H$2:$H$2600,0))&amp;IF(COUNTIF('Dane rozpisek'!$H$2:$H$2600,S429)&gt;1," (+"&amp;(COUNTIF('Dane rozpisek'!$H$2:$H$2600,S429)-1)&amp;")",""),"—"))</f>
        <v/>
      </c>
      <c r="Q429" s="24">
        <f>IF(AND(B429&lt;&gt;"",D429&lt;&gt;"",OR('Historia wózka'!$B$4="",B429='Historia wózka'!$B$4),D429&gt;='Historia wózka'!$B$5,D429&lt;='Historia wózka'!$B$6),D429+ROW()/1000000,0)</f>
        <v/>
      </c>
      <c r="R429" s="24">
        <f>IF(O429="TAK",IF(D429="",0,D429)+ROW()/1000000,0)</f>
        <v/>
      </c>
      <c r="S429" s="24">
        <f>IF(OR(B429="",D429=""),"",B429&amp;"|"&amp;D429)</f>
        <v/>
      </c>
    </row>
    <row r="430">
      <c r="A430" s="24">
        <f>IF(B430="","",ROW()-4)</f>
        <v/>
      </c>
      <c r="B430" s="25" t="n"/>
      <c r="C430" s="24">
        <f>IF(B430="","",IFERROR(INDEX('Wózki'!$B$2:$B$500,MATCH(B430,'Wózki'!$A$2:$A$500,0))&amp;"",""))</f>
        <v/>
      </c>
      <c r="D430" s="26" t="n"/>
      <c r="E430" s="25" t="n"/>
      <c r="F430" s="25" t="n"/>
      <c r="G430" s="24">
        <f>IF(F430="","",IFERROR(INDEX(Pracownicy!$B$2:$B$2000,MATCH(F430,Pracownicy!$A$2:$A$2000,0))&amp;"",""))</f>
        <v/>
      </c>
      <c r="H430" s="25" t="n"/>
      <c r="I430" s="25" t="n"/>
      <c r="J430" s="25" t="n"/>
      <c r="K430" s="27" t="n"/>
      <c r="L430" s="25" t="n"/>
      <c r="M430" s="25" t="n"/>
      <c r="N430" s="27" t="n"/>
      <c r="O430" s="24">
        <f>IF(B430="","",IF(M430="","TAK",IFERROR(INDEX(Ustawienia!$K$4:$K$8,MATCH(M430,Ustawienia!$J$4:$J$8,0)),"TAK")))</f>
        <v/>
      </c>
      <c r="P430" s="28">
        <f>IF(OR(B430="",D430=""),"",IFERROR(INDEX('Dane rozpisek'!$B$2:$B$2600,MATCH(S430,'Dane rozpisek'!$H$2:$H$2600,0))&amp;": "&amp;INDEX('Dane rozpisek'!$E$2:$E$2600,MATCH(S430,'Dane rozpisek'!$H$2:$H$2600,0))&amp;IF(COUNTIF('Dane rozpisek'!$H$2:$H$2600,S430)&gt;1," (+"&amp;(COUNTIF('Dane rozpisek'!$H$2:$H$2600,S430)-1)&amp;")",""),"—"))</f>
        <v/>
      </c>
      <c r="Q430" s="24">
        <f>IF(AND(B430&lt;&gt;"",D430&lt;&gt;"",OR('Historia wózka'!$B$4="",B430='Historia wózka'!$B$4),D430&gt;='Historia wózka'!$B$5,D430&lt;='Historia wózka'!$B$6),D430+ROW()/1000000,0)</f>
        <v/>
      </c>
      <c r="R430" s="24">
        <f>IF(O430="TAK",IF(D430="",0,D430)+ROW()/1000000,0)</f>
        <v/>
      </c>
      <c r="S430" s="24">
        <f>IF(OR(B430="",D430=""),"",B430&amp;"|"&amp;D430)</f>
        <v/>
      </c>
    </row>
    <row r="431">
      <c r="A431" s="24">
        <f>IF(B431="","",ROW()-4)</f>
        <v/>
      </c>
      <c r="B431" s="25" t="n"/>
      <c r="C431" s="24">
        <f>IF(B431="","",IFERROR(INDEX('Wózki'!$B$2:$B$500,MATCH(B431,'Wózki'!$A$2:$A$500,0))&amp;"",""))</f>
        <v/>
      </c>
      <c r="D431" s="26" t="n"/>
      <c r="E431" s="25" t="n"/>
      <c r="F431" s="25" t="n"/>
      <c r="G431" s="24">
        <f>IF(F431="","",IFERROR(INDEX(Pracownicy!$B$2:$B$2000,MATCH(F431,Pracownicy!$A$2:$A$2000,0))&amp;"",""))</f>
        <v/>
      </c>
      <c r="H431" s="25" t="n"/>
      <c r="I431" s="25" t="n"/>
      <c r="J431" s="25" t="n"/>
      <c r="K431" s="27" t="n"/>
      <c r="L431" s="25" t="n"/>
      <c r="M431" s="25" t="n"/>
      <c r="N431" s="27" t="n"/>
      <c r="O431" s="24">
        <f>IF(B431="","",IF(M431="","TAK",IFERROR(INDEX(Ustawienia!$K$4:$K$8,MATCH(M431,Ustawienia!$J$4:$J$8,0)),"TAK")))</f>
        <v/>
      </c>
      <c r="P431" s="28">
        <f>IF(OR(B431="",D431=""),"",IFERROR(INDEX('Dane rozpisek'!$B$2:$B$2600,MATCH(S431,'Dane rozpisek'!$H$2:$H$2600,0))&amp;": "&amp;INDEX('Dane rozpisek'!$E$2:$E$2600,MATCH(S431,'Dane rozpisek'!$H$2:$H$2600,0))&amp;IF(COUNTIF('Dane rozpisek'!$H$2:$H$2600,S431)&gt;1," (+"&amp;(COUNTIF('Dane rozpisek'!$H$2:$H$2600,S431)-1)&amp;")",""),"—"))</f>
        <v/>
      </c>
      <c r="Q431" s="24">
        <f>IF(AND(B431&lt;&gt;"",D431&lt;&gt;"",OR('Historia wózka'!$B$4="",B431='Historia wózka'!$B$4),D431&gt;='Historia wózka'!$B$5,D431&lt;='Historia wózka'!$B$6),D431+ROW()/1000000,0)</f>
        <v/>
      </c>
      <c r="R431" s="24">
        <f>IF(O431="TAK",IF(D431="",0,D431)+ROW()/1000000,0)</f>
        <v/>
      </c>
      <c r="S431" s="24">
        <f>IF(OR(B431="",D431=""),"",B431&amp;"|"&amp;D431)</f>
        <v/>
      </c>
    </row>
    <row r="432">
      <c r="A432" s="24">
        <f>IF(B432="","",ROW()-4)</f>
        <v/>
      </c>
      <c r="B432" s="25" t="n"/>
      <c r="C432" s="24">
        <f>IF(B432="","",IFERROR(INDEX('Wózki'!$B$2:$B$500,MATCH(B432,'Wózki'!$A$2:$A$500,0))&amp;"",""))</f>
        <v/>
      </c>
      <c r="D432" s="26" t="n"/>
      <c r="E432" s="25" t="n"/>
      <c r="F432" s="25" t="n"/>
      <c r="G432" s="24">
        <f>IF(F432="","",IFERROR(INDEX(Pracownicy!$B$2:$B$2000,MATCH(F432,Pracownicy!$A$2:$A$2000,0))&amp;"",""))</f>
        <v/>
      </c>
      <c r="H432" s="25" t="n"/>
      <c r="I432" s="25" t="n"/>
      <c r="J432" s="25" t="n"/>
      <c r="K432" s="27" t="n"/>
      <c r="L432" s="25" t="n"/>
      <c r="M432" s="25" t="n"/>
      <c r="N432" s="27" t="n"/>
      <c r="O432" s="24">
        <f>IF(B432="","",IF(M432="","TAK",IFERROR(INDEX(Ustawienia!$K$4:$K$8,MATCH(M432,Ustawienia!$J$4:$J$8,0)),"TAK")))</f>
        <v/>
      </c>
      <c r="P432" s="28">
        <f>IF(OR(B432="",D432=""),"",IFERROR(INDEX('Dane rozpisek'!$B$2:$B$2600,MATCH(S432,'Dane rozpisek'!$H$2:$H$2600,0))&amp;": "&amp;INDEX('Dane rozpisek'!$E$2:$E$2600,MATCH(S432,'Dane rozpisek'!$H$2:$H$2600,0))&amp;IF(COUNTIF('Dane rozpisek'!$H$2:$H$2600,S432)&gt;1," (+"&amp;(COUNTIF('Dane rozpisek'!$H$2:$H$2600,S432)-1)&amp;")",""),"—"))</f>
        <v/>
      </c>
      <c r="Q432" s="24">
        <f>IF(AND(B432&lt;&gt;"",D432&lt;&gt;"",OR('Historia wózka'!$B$4="",B432='Historia wózka'!$B$4),D432&gt;='Historia wózka'!$B$5,D432&lt;='Historia wózka'!$B$6),D432+ROW()/1000000,0)</f>
        <v/>
      </c>
      <c r="R432" s="24">
        <f>IF(O432="TAK",IF(D432="",0,D432)+ROW()/1000000,0)</f>
        <v/>
      </c>
      <c r="S432" s="24">
        <f>IF(OR(B432="",D432=""),"",B432&amp;"|"&amp;D432)</f>
        <v/>
      </c>
    </row>
    <row r="433">
      <c r="A433" s="24">
        <f>IF(B433="","",ROW()-4)</f>
        <v/>
      </c>
      <c r="B433" s="25" t="n"/>
      <c r="C433" s="24">
        <f>IF(B433="","",IFERROR(INDEX('Wózki'!$B$2:$B$500,MATCH(B433,'Wózki'!$A$2:$A$500,0))&amp;"",""))</f>
        <v/>
      </c>
      <c r="D433" s="26" t="n"/>
      <c r="E433" s="25" t="n"/>
      <c r="F433" s="25" t="n"/>
      <c r="G433" s="24">
        <f>IF(F433="","",IFERROR(INDEX(Pracownicy!$B$2:$B$2000,MATCH(F433,Pracownicy!$A$2:$A$2000,0))&amp;"",""))</f>
        <v/>
      </c>
      <c r="H433" s="25" t="n"/>
      <c r="I433" s="25" t="n"/>
      <c r="J433" s="25" t="n"/>
      <c r="K433" s="27" t="n"/>
      <c r="L433" s="25" t="n"/>
      <c r="M433" s="25" t="n"/>
      <c r="N433" s="27" t="n"/>
      <c r="O433" s="24">
        <f>IF(B433="","",IF(M433="","TAK",IFERROR(INDEX(Ustawienia!$K$4:$K$8,MATCH(M433,Ustawienia!$J$4:$J$8,0)),"TAK")))</f>
        <v/>
      </c>
      <c r="P433" s="28">
        <f>IF(OR(B433="",D433=""),"",IFERROR(INDEX('Dane rozpisek'!$B$2:$B$2600,MATCH(S433,'Dane rozpisek'!$H$2:$H$2600,0))&amp;": "&amp;INDEX('Dane rozpisek'!$E$2:$E$2600,MATCH(S433,'Dane rozpisek'!$H$2:$H$2600,0))&amp;IF(COUNTIF('Dane rozpisek'!$H$2:$H$2600,S433)&gt;1," (+"&amp;(COUNTIF('Dane rozpisek'!$H$2:$H$2600,S433)-1)&amp;")",""),"—"))</f>
        <v/>
      </c>
      <c r="Q433" s="24">
        <f>IF(AND(B433&lt;&gt;"",D433&lt;&gt;"",OR('Historia wózka'!$B$4="",B433='Historia wózka'!$B$4),D433&gt;='Historia wózka'!$B$5,D433&lt;='Historia wózka'!$B$6),D433+ROW()/1000000,0)</f>
        <v/>
      </c>
      <c r="R433" s="24">
        <f>IF(O433="TAK",IF(D433="",0,D433)+ROW()/1000000,0)</f>
        <v/>
      </c>
      <c r="S433" s="24">
        <f>IF(OR(B433="",D433=""),"",B433&amp;"|"&amp;D433)</f>
        <v/>
      </c>
    </row>
    <row r="434">
      <c r="A434" s="24">
        <f>IF(B434="","",ROW()-4)</f>
        <v/>
      </c>
      <c r="B434" s="25" t="n"/>
      <c r="C434" s="24">
        <f>IF(B434="","",IFERROR(INDEX('Wózki'!$B$2:$B$500,MATCH(B434,'Wózki'!$A$2:$A$500,0))&amp;"",""))</f>
        <v/>
      </c>
      <c r="D434" s="26" t="n"/>
      <c r="E434" s="25" t="n"/>
      <c r="F434" s="25" t="n"/>
      <c r="G434" s="24">
        <f>IF(F434="","",IFERROR(INDEX(Pracownicy!$B$2:$B$2000,MATCH(F434,Pracownicy!$A$2:$A$2000,0))&amp;"",""))</f>
        <v/>
      </c>
      <c r="H434" s="25" t="n"/>
      <c r="I434" s="25" t="n"/>
      <c r="J434" s="25" t="n"/>
      <c r="K434" s="27" t="n"/>
      <c r="L434" s="25" t="n"/>
      <c r="M434" s="25" t="n"/>
      <c r="N434" s="27" t="n"/>
      <c r="O434" s="24">
        <f>IF(B434="","",IF(M434="","TAK",IFERROR(INDEX(Ustawienia!$K$4:$K$8,MATCH(M434,Ustawienia!$J$4:$J$8,0)),"TAK")))</f>
        <v/>
      </c>
      <c r="P434" s="28">
        <f>IF(OR(B434="",D434=""),"",IFERROR(INDEX('Dane rozpisek'!$B$2:$B$2600,MATCH(S434,'Dane rozpisek'!$H$2:$H$2600,0))&amp;": "&amp;INDEX('Dane rozpisek'!$E$2:$E$2600,MATCH(S434,'Dane rozpisek'!$H$2:$H$2600,0))&amp;IF(COUNTIF('Dane rozpisek'!$H$2:$H$2600,S434)&gt;1," (+"&amp;(COUNTIF('Dane rozpisek'!$H$2:$H$2600,S434)-1)&amp;")",""),"—"))</f>
        <v/>
      </c>
      <c r="Q434" s="24">
        <f>IF(AND(B434&lt;&gt;"",D434&lt;&gt;"",OR('Historia wózka'!$B$4="",B434='Historia wózka'!$B$4),D434&gt;='Historia wózka'!$B$5,D434&lt;='Historia wózka'!$B$6),D434+ROW()/1000000,0)</f>
        <v/>
      </c>
      <c r="R434" s="24">
        <f>IF(O434="TAK",IF(D434="",0,D434)+ROW()/1000000,0)</f>
        <v/>
      </c>
      <c r="S434" s="24">
        <f>IF(OR(B434="",D434=""),"",B434&amp;"|"&amp;D434)</f>
        <v/>
      </c>
    </row>
    <row r="435">
      <c r="A435" s="24">
        <f>IF(B435="","",ROW()-4)</f>
        <v/>
      </c>
      <c r="B435" s="25" t="n"/>
      <c r="C435" s="24">
        <f>IF(B435="","",IFERROR(INDEX('Wózki'!$B$2:$B$500,MATCH(B435,'Wózki'!$A$2:$A$500,0))&amp;"",""))</f>
        <v/>
      </c>
      <c r="D435" s="26" t="n"/>
      <c r="E435" s="25" t="n"/>
      <c r="F435" s="25" t="n"/>
      <c r="G435" s="24">
        <f>IF(F435="","",IFERROR(INDEX(Pracownicy!$B$2:$B$2000,MATCH(F435,Pracownicy!$A$2:$A$2000,0))&amp;"",""))</f>
        <v/>
      </c>
      <c r="H435" s="25" t="n"/>
      <c r="I435" s="25" t="n"/>
      <c r="J435" s="25" t="n"/>
      <c r="K435" s="27" t="n"/>
      <c r="L435" s="25" t="n"/>
      <c r="M435" s="25" t="n"/>
      <c r="N435" s="27" t="n"/>
      <c r="O435" s="24">
        <f>IF(B435="","",IF(M435="","TAK",IFERROR(INDEX(Ustawienia!$K$4:$K$8,MATCH(M435,Ustawienia!$J$4:$J$8,0)),"TAK")))</f>
        <v/>
      </c>
      <c r="P435" s="28">
        <f>IF(OR(B435="",D435=""),"",IFERROR(INDEX('Dane rozpisek'!$B$2:$B$2600,MATCH(S435,'Dane rozpisek'!$H$2:$H$2600,0))&amp;": "&amp;INDEX('Dane rozpisek'!$E$2:$E$2600,MATCH(S435,'Dane rozpisek'!$H$2:$H$2600,0))&amp;IF(COUNTIF('Dane rozpisek'!$H$2:$H$2600,S435)&gt;1," (+"&amp;(COUNTIF('Dane rozpisek'!$H$2:$H$2600,S435)-1)&amp;")",""),"—"))</f>
        <v/>
      </c>
      <c r="Q435" s="24">
        <f>IF(AND(B435&lt;&gt;"",D435&lt;&gt;"",OR('Historia wózka'!$B$4="",B435='Historia wózka'!$B$4),D435&gt;='Historia wózka'!$B$5,D435&lt;='Historia wózka'!$B$6),D435+ROW()/1000000,0)</f>
        <v/>
      </c>
      <c r="R435" s="24">
        <f>IF(O435="TAK",IF(D435="",0,D435)+ROW()/1000000,0)</f>
        <v/>
      </c>
      <c r="S435" s="24">
        <f>IF(OR(B435="",D435=""),"",B435&amp;"|"&amp;D435)</f>
        <v/>
      </c>
    </row>
    <row r="436">
      <c r="A436" s="24">
        <f>IF(B436="","",ROW()-4)</f>
        <v/>
      </c>
      <c r="B436" s="25" t="n"/>
      <c r="C436" s="24">
        <f>IF(B436="","",IFERROR(INDEX('Wózki'!$B$2:$B$500,MATCH(B436,'Wózki'!$A$2:$A$500,0))&amp;"",""))</f>
        <v/>
      </c>
      <c r="D436" s="26" t="n"/>
      <c r="E436" s="25" t="n"/>
      <c r="F436" s="25" t="n"/>
      <c r="G436" s="24">
        <f>IF(F436="","",IFERROR(INDEX(Pracownicy!$B$2:$B$2000,MATCH(F436,Pracownicy!$A$2:$A$2000,0))&amp;"",""))</f>
        <v/>
      </c>
      <c r="H436" s="25" t="n"/>
      <c r="I436" s="25" t="n"/>
      <c r="J436" s="25" t="n"/>
      <c r="K436" s="27" t="n"/>
      <c r="L436" s="25" t="n"/>
      <c r="M436" s="25" t="n"/>
      <c r="N436" s="27" t="n"/>
      <c r="O436" s="24">
        <f>IF(B436="","",IF(M436="","TAK",IFERROR(INDEX(Ustawienia!$K$4:$K$8,MATCH(M436,Ustawienia!$J$4:$J$8,0)),"TAK")))</f>
        <v/>
      </c>
      <c r="P436" s="28">
        <f>IF(OR(B436="",D436=""),"",IFERROR(INDEX('Dane rozpisek'!$B$2:$B$2600,MATCH(S436,'Dane rozpisek'!$H$2:$H$2600,0))&amp;": "&amp;INDEX('Dane rozpisek'!$E$2:$E$2600,MATCH(S436,'Dane rozpisek'!$H$2:$H$2600,0))&amp;IF(COUNTIF('Dane rozpisek'!$H$2:$H$2600,S436)&gt;1," (+"&amp;(COUNTIF('Dane rozpisek'!$H$2:$H$2600,S436)-1)&amp;")",""),"—"))</f>
        <v/>
      </c>
      <c r="Q436" s="24">
        <f>IF(AND(B436&lt;&gt;"",D436&lt;&gt;"",OR('Historia wózka'!$B$4="",B436='Historia wózka'!$B$4),D436&gt;='Historia wózka'!$B$5,D436&lt;='Historia wózka'!$B$6),D436+ROW()/1000000,0)</f>
        <v/>
      </c>
      <c r="R436" s="24">
        <f>IF(O436="TAK",IF(D436="",0,D436)+ROW()/1000000,0)</f>
        <v/>
      </c>
      <c r="S436" s="24">
        <f>IF(OR(B436="",D436=""),"",B436&amp;"|"&amp;D436)</f>
        <v/>
      </c>
    </row>
    <row r="437">
      <c r="A437" s="24">
        <f>IF(B437="","",ROW()-4)</f>
        <v/>
      </c>
      <c r="B437" s="25" t="n"/>
      <c r="C437" s="24">
        <f>IF(B437="","",IFERROR(INDEX('Wózki'!$B$2:$B$500,MATCH(B437,'Wózki'!$A$2:$A$500,0))&amp;"",""))</f>
        <v/>
      </c>
      <c r="D437" s="26" t="n"/>
      <c r="E437" s="25" t="n"/>
      <c r="F437" s="25" t="n"/>
      <c r="G437" s="24">
        <f>IF(F437="","",IFERROR(INDEX(Pracownicy!$B$2:$B$2000,MATCH(F437,Pracownicy!$A$2:$A$2000,0))&amp;"",""))</f>
        <v/>
      </c>
      <c r="H437" s="25" t="n"/>
      <c r="I437" s="25" t="n"/>
      <c r="J437" s="25" t="n"/>
      <c r="K437" s="27" t="n"/>
      <c r="L437" s="25" t="n"/>
      <c r="M437" s="25" t="n"/>
      <c r="N437" s="27" t="n"/>
      <c r="O437" s="24">
        <f>IF(B437="","",IF(M437="","TAK",IFERROR(INDEX(Ustawienia!$K$4:$K$8,MATCH(M437,Ustawienia!$J$4:$J$8,0)),"TAK")))</f>
        <v/>
      </c>
      <c r="P437" s="28">
        <f>IF(OR(B437="",D437=""),"",IFERROR(INDEX('Dane rozpisek'!$B$2:$B$2600,MATCH(S437,'Dane rozpisek'!$H$2:$H$2600,0))&amp;": "&amp;INDEX('Dane rozpisek'!$E$2:$E$2600,MATCH(S437,'Dane rozpisek'!$H$2:$H$2600,0))&amp;IF(COUNTIF('Dane rozpisek'!$H$2:$H$2600,S437)&gt;1," (+"&amp;(COUNTIF('Dane rozpisek'!$H$2:$H$2600,S437)-1)&amp;")",""),"—"))</f>
        <v/>
      </c>
      <c r="Q437" s="24">
        <f>IF(AND(B437&lt;&gt;"",D437&lt;&gt;"",OR('Historia wózka'!$B$4="",B437='Historia wózka'!$B$4),D437&gt;='Historia wózka'!$B$5,D437&lt;='Historia wózka'!$B$6),D437+ROW()/1000000,0)</f>
        <v/>
      </c>
      <c r="R437" s="24">
        <f>IF(O437="TAK",IF(D437="",0,D437)+ROW()/1000000,0)</f>
        <v/>
      </c>
      <c r="S437" s="24">
        <f>IF(OR(B437="",D437=""),"",B437&amp;"|"&amp;D437)</f>
        <v/>
      </c>
    </row>
    <row r="438">
      <c r="A438" s="24">
        <f>IF(B438="","",ROW()-4)</f>
        <v/>
      </c>
      <c r="B438" s="25" t="n"/>
      <c r="C438" s="24">
        <f>IF(B438="","",IFERROR(INDEX('Wózki'!$B$2:$B$500,MATCH(B438,'Wózki'!$A$2:$A$500,0))&amp;"",""))</f>
        <v/>
      </c>
      <c r="D438" s="26" t="n"/>
      <c r="E438" s="25" t="n"/>
      <c r="F438" s="25" t="n"/>
      <c r="G438" s="24">
        <f>IF(F438="","",IFERROR(INDEX(Pracownicy!$B$2:$B$2000,MATCH(F438,Pracownicy!$A$2:$A$2000,0))&amp;"",""))</f>
        <v/>
      </c>
      <c r="H438" s="25" t="n"/>
      <c r="I438" s="25" t="n"/>
      <c r="J438" s="25" t="n"/>
      <c r="K438" s="27" t="n"/>
      <c r="L438" s="25" t="n"/>
      <c r="M438" s="25" t="n"/>
      <c r="N438" s="27" t="n"/>
      <c r="O438" s="24">
        <f>IF(B438="","",IF(M438="","TAK",IFERROR(INDEX(Ustawienia!$K$4:$K$8,MATCH(M438,Ustawienia!$J$4:$J$8,0)),"TAK")))</f>
        <v/>
      </c>
      <c r="P438" s="28">
        <f>IF(OR(B438="",D438=""),"",IFERROR(INDEX('Dane rozpisek'!$B$2:$B$2600,MATCH(S438,'Dane rozpisek'!$H$2:$H$2600,0))&amp;": "&amp;INDEX('Dane rozpisek'!$E$2:$E$2600,MATCH(S438,'Dane rozpisek'!$H$2:$H$2600,0))&amp;IF(COUNTIF('Dane rozpisek'!$H$2:$H$2600,S438)&gt;1," (+"&amp;(COUNTIF('Dane rozpisek'!$H$2:$H$2600,S438)-1)&amp;")",""),"—"))</f>
        <v/>
      </c>
      <c r="Q438" s="24">
        <f>IF(AND(B438&lt;&gt;"",D438&lt;&gt;"",OR('Historia wózka'!$B$4="",B438='Historia wózka'!$B$4),D438&gt;='Historia wózka'!$B$5,D438&lt;='Historia wózka'!$B$6),D438+ROW()/1000000,0)</f>
        <v/>
      </c>
      <c r="R438" s="24">
        <f>IF(O438="TAK",IF(D438="",0,D438)+ROW()/1000000,0)</f>
        <v/>
      </c>
      <c r="S438" s="24">
        <f>IF(OR(B438="",D438=""),"",B438&amp;"|"&amp;D438)</f>
        <v/>
      </c>
    </row>
    <row r="439">
      <c r="A439" s="24">
        <f>IF(B439="","",ROW()-4)</f>
        <v/>
      </c>
      <c r="B439" s="25" t="n"/>
      <c r="C439" s="24">
        <f>IF(B439="","",IFERROR(INDEX('Wózki'!$B$2:$B$500,MATCH(B439,'Wózki'!$A$2:$A$500,0))&amp;"",""))</f>
        <v/>
      </c>
      <c r="D439" s="26" t="n"/>
      <c r="E439" s="25" t="n"/>
      <c r="F439" s="25" t="n"/>
      <c r="G439" s="24">
        <f>IF(F439="","",IFERROR(INDEX(Pracownicy!$B$2:$B$2000,MATCH(F439,Pracownicy!$A$2:$A$2000,0))&amp;"",""))</f>
        <v/>
      </c>
      <c r="H439" s="25" t="n"/>
      <c r="I439" s="25" t="n"/>
      <c r="J439" s="25" t="n"/>
      <c r="K439" s="27" t="n"/>
      <c r="L439" s="25" t="n"/>
      <c r="M439" s="25" t="n"/>
      <c r="N439" s="27" t="n"/>
      <c r="O439" s="24">
        <f>IF(B439="","",IF(M439="","TAK",IFERROR(INDEX(Ustawienia!$K$4:$K$8,MATCH(M439,Ustawienia!$J$4:$J$8,0)),"TAK")))</f>
        <v/>
      </c>
      <c r="P439" s="28">
        <f>IF(OR(B439="",D439=""),"",IFERROR(INDEX('Dane rozpisek'!$B$2:$B$2600,MATCH(S439,'Dane rozpisek'!$H$2:$H$2600,0))&amp;": "&amp;INDEX('Dane rozpisek'!$E$2:$E$2600,MATCH(S439,'Dane rozpisek'!$H$2:$H$2600,0))&amp;IF(COUNTIF('Dane rozpisek'!$H$2:$H$2600,S439)&gt;1," (+"&amp;(COUNTIF('Dane rozpisek'!$H$2:$H$2600,S439)-1)&amp;")",""),"—"))</f>
        <v/>
      </c>
      <c r="Q439" s="24">
        <f>IF(AND(B439&lt;&gt;"",D439&lt;&gt;"",OR('Historia wózka'!$B$4="",B439='Historia wózka'!$B$4),D439&gt;='Historia wózka'!$B$5,D439&lt;='Historia wózka'!$B$6),D439+ROW()/1000000,0)</f>
        <v/>
      </c>
      <c r="R439" s="24">
        <f>IF(O439="TAK",IF(D439="",0,D439)+ROW()/1000000,0)</f>
        <v/>
      </c>
      <c r="S439" s="24">
        <f>IF(OR(B439="",D439=""),"",B439&amp;"|"&amp;D439)</f>
        <v/>
      </c>
    </row>
    <row r="440">
      <c r="A440" s="24">
        <f>IF(B440="","",ROW()-4)</f>
        <v/>
      </c>
      <c r="B440" s="25" t="n"/>
      <c r="C440" s="24">
        <f>IF(B440="","",IFERROR(INDEX('Wózki'!$B$2:$B$500,MATCH(B440,'Wózki'!$A$2:$A$500,0))&amp;"",""))</f>
        <v/>
      </c>
      <c r="D440" s="26" t="n"/>
      <c r="E440" s="25" t="n"/>
      <c r="F440" s="25" t="n"/>
      <c r="G440" s="24">
        <f>IF(F440="","",IFERROR(INDEX(Pracownicy!$B$2:$B$2000,MATCH(F440,Pracownicy!$A$2:$A$2000,0))&amp;"",""))</f>
        <v/>
      </c>
      <c r="H440" s="25" t="n"/>
      <c r="I440" s="25" t="n"/>
      <c r="J440" s="25" t="n"/>
      <c r="K440" s="27" t="n"/>
      <c r="L440" s="25" t="n"/>
      <c r="M440" s="25" t="n"/>
      <c r="N440" s="27" t="n"/>
      <c r="O440" s="24">
        <f>IF(B440="","",IF(M440="","TAK",IFERROR(INDEX(Ustawienia!$K$4:$K$8,MATCH(M440,Ustawienia!$J$4:$J$8,0)),"TAK")))</f>
        <v/>
      </c>
      <c r="P440" s="28">
        <f>IF(OR(B440="",D440=""),"",IFERROR(INDEX('Dane rozpisek'!$B$2:$B$2600,MATCH(S440,'Dane rozpisek'!$H$2:$H$2600,0))&amp;": "&amp;INDEX('Dane rozpisek'!$E$2:$E$2600,MATCH(S440,'Dane rozpisek'!$H$2:$H$2600,0))&amp;IF(COUNTIF('Dane rozpisek'!$H$2:$H$2600,S440)&gt;1," (+"&amp;(COUNTIF('Dane rozpisek'!$H$2:$H$2600,S440)-1)&amp;")",""),"—"))</f>
        <v/>
      </c>
      <c r="Q440" s="24">
        <f>IF(AND(B440&lt;&gt;"",D440&lt;&gt;"",OR('Historia wózka'!$B$4="",B440='Historia wózka'!$B$4),D440&gt;='Historia wózka'!$B$5,D440&lt;='Historia wózka'!$B$6),D440+ROW()/1000000,0)</f>
        <v/>
      </c>
      <c r="R440" s="24">
        <f>IF(O440="TAK",IF(D440="",0,D440)+ROW()/1000000,0)</f>
        <v/>
      </c>
      <c r="S440" s="24">
        <f>IF(OR(B440="",D440=""),"",B440&amp;"|"&amp;D440)</f>
        <v/>
      </c>
    </row>
    <row r="441">
      <c r="A441" s="24">
        <f>IF(B441="","",ROW()-4)</f>
        <v/>
      </c>
      <c r="B441" s="25" t="n"/>
      <c r="C441" s="24">
        <f>IF(B441="","",IFERROR(INDEX('Wózki'!$B$2:$B$500,MATCH(B441,'Wózki'!$A$2:$A$500,0))&amp;"",""))</f>
        <v/>
      </c>
      <c r="D441" s="26" t="n"/>
      <c r="E441" s="25" t="n"/>
      <c r="F441" s="25" t="n"/>
      <c r="G441" s="24">
        <f>IF(F441="","",IFERROR(INDEX(Pracownicy!$B$2:$B$2000,MATCH(F441,Pracownicy!$A$2:$A$2000,0))&amp;"",""))</f>
        <v/>
      </c>
      <c r="H441" s="25" t="n"/>
      <c r="I441" s="25" t="n"/>
      <c r="J441" s="25" t="n"/>
      <c r="K441" s="27" t="n"/>
      <c r="L441" s="25" t="n"/>
      <c r="M441" s="25" t="n"/>
      <c r="N441" s="27" t="n"/>
      <c r="O441" s="24">
        <f>IF(B441="","",IF(M441="","TAK",IFERROR(INDEX(Ustawienia!$K$4:$K$8,MATCH(M441,Ustawienia!$J$4:$J$8,0)),"TAK")))</f>
        <v/>
      </c>
      <c r="P441" s="28">
        <f>IF(OR(B441="",D441=""),"",IFERROR(INDEX('Dane rozpisek'!$B$2:$B$2600,MATCH(S441,'Dane rozpisek'!$H$2:$H$2600,0))&amp;": "&amp;INDEX('Dane rozpisek'!$E$2:$E$2600,MATCH(S441,'Dane rozpisek'!$H$2:$H$2600,0))&amp;IF(COUNTIF('Dane rozpisek'!$H$2:$H$2600,S441)&gt;1," (+"&amp;(COUNTIF('Dane rozpisek'!$H$2:$H$2600,S441)-1)&amp;")",""),"—"))</f>
        <v/>
      </c>
      <c r="Q441" s="24">
        <f>IF(AND(B441&lt;&gt;"",D441&lt;&gt;"",OR('Historia wózka'!$B$4="",B441='Historia wózka'!$B$4),D441&gt;='Historia wózka'!$B$5,D441&lt;='Historia wózka'!$B$6),D441+ROW()/1000000,0)</f>
        <v/>
      </c>
      <c r="R441" s="24">
        <f>IF(O441="TAK",IF(D441="",0,D441)+ROW()/1000000,0)</f>
        <v/>
      </c>
      <c r="S441" s="24">
        <f>IF(OR(B441="",D441=""),"",B441&amp;"|"&amp;D441)</f>
        <v/>
      </c>
    </row>
    <row r="442">
      <c r="A442" s="24">
        <f>IF(B442="","",ROW()-4)</f>
        <v/>
      </c>
      <c r="B442" s="25" t="n"/>
      <c r="C442" s="24">
        <f>IF(B442="","",IFERROR(INDEX('Wózki'!$B$2:$B$500,MATCH(B442,'Wózki'!$A$2:$A$500,0))&amp;"",""))</f>
        <v/>
      </c>
      <c r="D442" s="26" t="n"/>
      <c r="E442" s="25" t="n"/>
      <c r="F442" s="25" t="n"/>
      <c r="G442" s="24">
        <f>IF(F442="","",IFERROR(INDEX(Pracownicy!$B$2:$B$2000,MATCH(F442,Pracownicy!$A$2:$A$2000,0))&amp;"",""))</f>
        <v/>
      </c>
      <c r="H442" s="25" t="n"/>
      <c r="I442" s="25" t="n"/>
      <c r="J442" s="25" t="n"/>
      <c r="K442" s="27" t="n"/>
      <c r="L442" s="25" t="n"/>
      <c r="M442" s="25" t="n"/>
      <c r="N442" s="27" t="n"/>
      <c r="O442" s="24">
        <f>IF(B442="","",IF(M442="","TAK",IFERROR(INDEX(Ustawienia!$K$4:$K$8,MATCH(M442,Ustawienia!$J$4:$J$8,0)),"TAK")))</f>
        <v/>
      </c>
      <c r="P442" s="28">
        <f>IF(OR(B442="",D442=""),"",IFERROR(INDEX('Dane rozpisek'!$B$2:$B$2600,MATCH(S442,'Dane rozpisek'!$H$2:$H$2600,0))&amp;": "&amp;INDEX('Dane rozpisek'!$E$2:$E$2600,MATCH(S442,'Dane rozpisek'!$H$2:$H$2600,0))&amp;IF(COUNTIF('Dane rozpisek'!$H$2:$H$2600,S442)&gt;1," (+"&amp;(COUNTIF('Dane rozpisek'!$H$2:$H$2600,S442)-1)&amp;")",""),"—"))</f>
        <v/>
      </c>
      <c r="Q442" s="24">
        <f>IF(AND(B442&lt;&gt;"",D442&lt;&gt;"",OR('Historia wózka'!$B$4="",B442='Historia wózka'!$B$4),D442&gt;='Historia wózka'!$B$5,D442&lt;='Historia wózka'!$B$6),D442+ROW()/1000000,0)</f>
        <v/>
      </c>
      <c r="R442" s="24">
        <f>IF(O442="TAK",IF(D442="",0,D442)+ROW()/1000000,0)</f>
        <v/>
      </c>
      <c r="S442" s="24">
        <f>IF(OR(B442="",D442=""),"",B442&amp;"|"&amp;D442)</f>
        <v/>
      </c>
    </row>
    <row r="443">
      <c r="A443" s="24">
        <f>IF(B443="","",ROW()-4)</f>
        <v/>
      </c>
      <c r="B443" s="25" t="n"/>
      <c r="C443" s="24">
        <f>IF(B443="","",IFERROR(INDEX('Wózki'!$B$2:$B$500,MATCH(B443,'Wózki'!$A$2:$A$500,0))&amp;"",""))</f>
        <v/>
      </c>
      <c r="D443" s="26" t="n"/>
      <c r="E443" s="25" t="n"/>
      <c r="F443" s="25" t="n"/>
      <c r="G443" s="24">
        <f>IF(F443="","",IFERROR(INDEX(Pracownicy!$B$2:$B$2000,MATCH(F443,Pracownicy!$A$2:$A$2000,0))&amp;"",""))</f>
        <v/>
      </c>
      <c r="H443" s="25" t="n"/>
      <c r="I443" s="25" t="n"/>
      <c r="J443" s="25" t="n"/>
      <c r="K443" s="27" t="n"/>
      <c r="L443" s="25" t="n"/>
      <c r="M443" s="25" t="n"/>
      <c r="N443" s="27" t="n"/>
      <c r="O443" s="24">
        <f>IF(B443="","",IF(M443="","TAK",IFERROR(INDEX(Ustawienia!$K$4:$K$8,MATCH(M443,Ustawienia!$J$4:$J$8,0)),"TAK")))</f>
        <v/>
      </c>
      <c r="P443" s="28">
        <f>IF(OR(B443="",D443=""),"",IFERROR(INDEX('Dane rozpisek'!$B$2:$B$2600,MATCH(S443,'Dane rozpisek'!$H$2:$H$2600,0))&amp;": "&amp;INDEX('Dane rozpisek'!$E$2:$E$2600,MATCH(S443,'Dane rozpisek'!$H$2:$H$2600,0))&amp;IF(COUNTIF('Dane rozpisek'!$H$2:$H$2600,S443)&gt;1," (+"&amp;(COUNTIF('Dane rozpisek'!$H$2:$H$2600,S443)-1)&amp;")",""),"—"))</f>
        <v/>
      </c>
      <c r="Q443" s="24">
        <f>IF(AND(B443&lt;&gt;"",D443&lt;&gt;"",OR('Historia wózka'!$B$4="",B443='Historia wózka'!$B$4),D443&gt;='Historia wózka'!$B$5,D443&lt;='Historia wózka'!$B$6),D443+ROW()/1000000,0)</f>
        <v/>
      </c>
      <c r="R443" s="24">
        <f>IF(O443="TAK",IF(D443="",0,D443)+ROW()/1000000,0)</f>
        <v/>
      </c>
      <c r="S443" s="24">
        <f>IF(OR(B443="",D443=""),"",B443&amp;"|"&amp;D443)</f>
        <v/>
      </c>
    </row>
    <row r="444">
      <c r="A444" s="24">
        <f>IF(B444="","",ROW()-4)</f>
        <v/>
      </c>
      <c r="B444" s="25" t="n"/>
      <c r="C444" s="24">
        <f>IF(B444="","",IFERROR(INDEX('Wózki'!$B$2:$B$500,MATCH(B444,'Wózki'!$A$2:$A$500,0))&amp;"",""))</f>
        <v/>
      </c>
      <c r="D444" s="26" t="n"/>
      <c r="E444" s="25" t="n"/>
      <c r="F444" s="25" t="n"/>
      <c r="G444" s="24">
        <f>IF(F444="","",IFERROR(INDEX(Pracownicy!$B$2:$B$2000,MATCH(F444,Pracownicy!$A$2:$A$2000,0))&amp;"",""))</f>
        <v/>
      </c>
      <c r="H444" s="25" t="n"/>
      <c r="I444" s="25" t="n"/>
      <c r="J444" s="25" t="n"/>
      <c r="K444" s="27" t="n"/>
      <c r="L444" s="25" t="n"/>
      <c r="M444" s="25" t="n"/>
      <c r="N444" s="27" t="n"/>
      <c r="O444" s="24">
        <f>IF(B444="","",IF(M444="","TAK",IFERROR(INDEX(Ustawienia!$K$4:$K$8,MATCH(M444,Ustawienia!$J$4:$J$8,0)),"TAK")))</f>
        <v/>
      </c>
      <c r="P444" s="28">
        <f>IF(OR(B444="",D444=""),"",IFERROR(INDEX('Dane rozpisek'!$B$2:$B$2600,MATCH(S444,'Dane rozpisek'!$H$2:$H$2600,0))&amp;": "&amp;INDEX('Dane rozpisek'!$E$2:$E$2600,MATCH(S444,'Dane rozpisek'!$H$2:$H$2600,0))&amp;IF(COUNTIF('Dane rozpisek'!$H$2:$H$2600,S444)&gt;1," (+"&amp;(COUNTIF('Dane rozpisek'!$H$2:$H$2600,S444)-1)&amp;")",""),"—"))</f>
        <v/>
      </c>
      <c r="Q444" s="24">
        <f>IF(AND(B444&lt;&gt;"",D444&lt;&gt;"",OR('Historia wózka'!$B$4="",B444='Historia wózka'!$B$4),D444&gt;='Historia wózka'!$B$5,D444&lt;='Historia wózka'!$B$6),D444+ROW()/1000000,0)</f>
        <v/>
      </c>
      <c r="R444" s="24">
        <f>IF(O444="TAK",IF(D444="",0,D444)+ROW()/1000000,0)</f>
        <v/>
      </c>
      <c r="S444" s="24">
        <f>IF(OR(B444="",D444=""),"",B444&amp;"|"&amp;D444)</f>
        <v/>
      </c>
    </row>
    <row r="445">
      <c r="A445" s="24">
        <f>IF(B445="","",ROW()-4)</f>
        <v/>
      </c>
      <c r="B445" s="25" t="n"/>
      <c r="C445" s="24">
        <f>IF(B445="","",IFERROR(INDEX('Wózki'!$B$2:$B$500,MATCH(B445,'Wózki'!$A$2:$A$500,0))&amp;"",""))</f>
        <v/>
      </c>
      <c r="D445" s="26" t="n"/>
      <c r="E445" s="25" t="n"/>
      <c r="F445" s="25" t="n"/>
      <c r="G445" s="24">
        <f>IF(F445="","",IFERROR(INDEX(Pracownicy!$B$2:$B$2000,MATCH(F445,Pracownicy!$A$2:$A$2000,0))&amp;"",""))</f>
        <v/>
      </c>
      <c r="H445" s="25" t="n"/>
      <c r="I445" s="25" t="n"/>
      <c r="J445" s="25" t="n"/>
      <c r="K445" s="27" t="n"/>
      <c r="L445" s="25" t="n"/>
      <c r="M445" s="25" t="n"/>
      <c r="N445" s="27" t="n"/>
      <c r="O445" s="24">
        <f>IF(B445="","",IF(M445="","TAK",IFERROR(INDEX(Ustawienia!$K$4:$K$8,MATCH(M445,Ustawienia!$J$4:$J$8,0)),"TAK")))</f>
        <v/>
      </c>
      <c r="P445" s="28">
        <f>IF(OR(B445="",D445=""),"",IFERROR(INDEX('Dane rozpisek'!$B$2:$B$2600,MATCH(S445,'Dane rozpisek'!$H$2:$H$2600,0))&amp;": "&amp;INDEX('Dane rozpisek'!$E$2:$E$2600,MATCH(S445,'Dane rozpisek'!$H$2:$H$2600,0))&amp;IF(COUNTIF('Dane rozpisek'!$H$2:$H$2600,S445)&gt;1," (+"&amp;(COUNTIF('Dane rozpisek'!$H$2:$H$2600,S445)-1)&amp;")",""),"—"))</f>
        <v/>
      </c>
      <c r="Q445" s="24">
        <f>IF(AND(B445&lt;&gt;"",D445&lt;&gt;"",OR('Historia wózka'!$B$4="",B445='Historia wózka'!$B$4),D445&gt;='Historia wózka'!$B$5,D445&lt;='Historia wózka'!$B$6),D445+ROW()/1000000,0)</f>
        <v/>
      </c>
      <c r="R445" s="24">
        <f>IF(O445="TAK",IF(D445="",0,D445)+ROW()/1000000,0)</f>
        <v/>
      </c>
      <c r="S445" s="24">
        <f>IF(OR(B445="",D445=""),"",B445&amp;"|"&amp;D445)</f>
        <v/>
      </c>
    </row>
    <row r="446">
      <c r="A446" s="24">
        <f>IF(B446="","",ROW()-4)</f>
        <v/>
      </c>
      <c r="B446" s="25" t="n"/>
      <c r="C446" s="24">
        <f>IF(B446="","",IFERROR(INDEX('Wózki'!$B$2:$B$500,MATCH(B446,'Wózki'!$A$2:$A$500,0))&amp;"",""))</f>
        <v/>
      </c>
      <c r="D446" s="26" t="n"/>
      <c r="E446" s="25" t="n"/>
      <c r="F446" s="25" t="n"/>
      <c r="G446" s="24">
        <f>IF(F446="","",IFERROR(INDEX(Pracownicy!$B$2:$B$2000,MATCH(F446,Pracownicy!$A$2:$A$2000,0))&amp;"",""))</f>
        <v/>
      </c>
      <c r="H446" s="25" t="n"/>
      <c r="I446" s="25" t="n"/>
      <c r="J446" s="25" t="n"/>
      <c r="K446" s="27" t="n"/>
      <c r="L446" s="25" t="n"/>
      <c r="M446" s="25" t="n"/>
      <c r="N446" s="27" t="n"/>
      <c r="O446" s="24">
        <f>IF(B446="","",IF(M446="","TAK",IFERROR(INDEX(Ustawienia!$K$4:$K$8,MATCH(M446,Ustawienia!$J$4:$J$8,0)),"TAK")))</f>
        <v/>
      </c>
      <c r="P446" s="28">
        <f>IF(OR(B446="",D446=""),"",IFERROR(INDEX('Dane rozpisek'!$B$2:$B$2600,MATCH(S446,'Dane rozpisek'!$H$2:$H$2600,0))&amp;": "&amp;INDEX('Dane rozpisek'!$E$2:$E$2600,MATCH(S446,'Dane rozpisek'!$H$2:$H$2600,0))&amp;IF(COUNTIF('Dane rozpisek'!$H$2:$H$2600,S446)&gt;1," (+"&amp;(COUNTIF('Dane rozpisek'!$H$2:$H$2600,S446)-1)&amp;")",""),"—"))</f>
        <v/>
      </c>
      <c r="Q446" s="24">
        <f>IF(AND(B446&lt;&gt;"",D446&lt;&gt;"",OR('Historia wózka'!$B$4="",B446='Historia wózka'!$B$4),D446&gt;='Historia wózka'!$B$5,D446&lt;='Historia wózka'!$B$6),D446+ROW()/1000000,0)</f>
        <v/>
      </c>
      <c r="R446" s="24">
        <f>IF(O446="TAK",IF(D446="",0,D446)+ROW()/1000000,0)</f>
        <v/>
      </c>
      <c r="S446" s="24">
        <f>IF(OR(B446="",D446=""),"",B446&amp;"|"&amp;D446)</f>
        <v/>
      </c>
    </row>
    <row r="447">
      <c r="A447" s="24">
        <f>IF(B447="","",ROW()-4)</f>
        <v/>
      </c>
      <c r="B447" s="25" t="n"/>
      <c r="C447" s="24">
        <f>IF(B447="","",IFERROR(INDEX('Wózki'!$B$2:$B$500,MATCH(B447,'Wózki'!$A$2:$A$500,0))&amp;"",""))</f>
        <v/>
      </c>
      <c r="D447" s="26" t="n"/>
      <c r="E447" s="25" t="n"/>
      <c r="F447" s="25" t="n"/>
      <c r="G447" s="24">
        <f>IF(F447="","",IFERROR(INDEX(Pracownicy!$B$2:$B$2000,MATCH(F447,Pracownicy!$A$2:$A$2000,0))&amp;"",""))</f>
        <v/>
      </c>
      <c r="H447" s="25" t="n"/>
      <c r="I447" s="25" t="n"/>
      <c r="J447" s="25" t="n"/>
      <c r="K447" s="27" t="n"/>
      <c r="L447" s="25" t="n"/>
      <c r="M447" s="25" t="n"/>
      <c r="N447" s="27" t="n"/>
      <c r="O447" s="24">
        <f>IF(B447="","",IF(M447="","TAK",IFERROR(INDEX(Ustawienia!$K$4:$K$8,MATCH(M447,Ustawienia!$J$4:$J$8,0)),"TAK")))</f>
        <v/>
      </c>
      <c r="P447" s="28">
        <f>IF(OR(B447="",D447=""),"",IFERROR(INDEX('Dane rozpisek'!$B$2:$B$2600,MATCH(S447,'Dane rozpisek'!$H$2:$H$2600,0))&amp;": "&amp;INDEX('Dane rozpisek'!$E$2:$E$2600,MATCH(S447,'Dane rozpisek'!$H$2:$H$2600,0))&amp;IF(COUNTIF('Dane rozpisek'!$H$2:$H$2600,S447)&gt;1," (+"&amp;(COUNTIF('Dane rozpisek'!$H$2:$H$2600,S447)-1)&amp;")",""),"—"))</f>
        <v/>
      </c>
      <c r="Q447" s="24">
        <f>IF(AND(B447&lt;&gt;"",D447&lt;&gt;"",OR('Historia wózka'!$B$4="",B447='Historia wózka'!$B$4),D447&gt;='Historia wózka'!$B$5,D447&lt;='Historia wózka'!$B$6),D447+ROW()/1000000,0)</f>
        <v/>
      </c>
      <c r="R447" s="24">
        <f>IF(O447="TAK",IF(D447="",0,D447)+ROW()/1000000,0)</f>
        <v/>
      </c>
      <c r="S447" s="24">
        <f>IF(OR(B447="",D447=""),"",B447&amp;"|"&amp;D447)</f>
        <v/>
      </c>
    </row>
    <row r="448">
      <c r="A448" s="24">
        <f>IF(B448="","",ROW()-4)</f>
        <v/>
      </c>
      <c r="B448" s="25" t="n"/>
      <c r="C448" s="24">
        <f>IF(B448="","",IFERROR(INDEX('Wózki'!$B$2:$B$500,MATCH(B448,'Wózki'!$A$2:$A$500,0))&amp;"",""))</f>
        <v/>
      </c>
      <c r="D448" s="26" t="n"/>
      <c r="E448" s="25" t="n"/>
      <c r="F448" s="25" t="n"/>
      <c r="G448" s="24">
        <f>IF(F448="","",IFERROR(INDEX(Pracownicy!$B$2:$B$2000,MATCH(F448,Pracownicy!$A$2:$A$2000,0))&amp;"",""))</f>
        <v/>
      </c>
      <c r="H448" s="25" t="n"/>
      <c r="I448" s="25" t="n"/>
      <c r="J448" s="25" t="n"/>
      <c r="K448" s="27" t="n"/>
      <c r="L448" s="25" t="n"/>
      <c r="M448" s="25" t="n"/>
      <c r="N448" s="27" t="n"/>
      <c r="O448" s="24">
        <f>IF(B448="","",IF(M448="","TAK",IFERROR(INDEX(Ustawienia!$K$4:$K$8,MATCH(M448,Ustawienia!$J$4:$J$8,0)),"TAK")))</f>
        <v/>
      </c>
      <c r="P448" s="28">
        <f>IF(OR(B448="",D448=""),"",IFERROR(INDEX('Dane rozpisek'!$B$2:$B$2600,MATCH(S448,'Dane rozpisek'!$H$2:$H$2600,0))&amp;": "&amp;INDEX('Dane rozpisek'!$E$2:$E$2600,MATCH(S448,'Dane rozpisek'!$H$2:$H$2600,0))&amp;IF(COUNTIF('Dane rozpisek'!$H$2:$H$2600,S448)&gt;1," (+"&amp;(COUNTIF('Dane rozpisek'!$H$2:$H$2600,S448)-1)&amp;")",""),"—"))</f>
        <v/>
      </c>
      <c r="Q448" s="24">
        <f>IF(AND(B448&lt;&gt;"",D448&lt;&gt;"",OR('Historia wózka'!$B$4="",B448='Historia wózka'!$B$4),D448&gt;='Historia wózka'!$B$5,D448&lt;='Historia wózka'!$B$6),D448+ROW()/1000000,0)</f>
        <v/>
      </c>
      <c r="R448" s="24">
        <f>IF(O448="TAK",IF(D448="",0,D448)+ROW()/1000000,0)</f>
        <v/>
      </c>
      <c r="S448" s="24">
        <f>IF(OR(B448="",D448=""),"",B448&amp;"|"&amp;D448)</f>
        <v/>
      </c>
    </row>
    <row r="449">
      <c r="A449" s="24">
        <f>IF(B449="","",ROW()-4)</f>
        <v/>
      </c>
      <c r="B449" s="25" t="n"/>
      <c r="C449" s="24">
        <f>IF(B449="","",IFERROR(INDEX('Wózki'!$B$2:$B$500,MATCH(B449,'Wózki'!$A$2:$A$500,0))&amp;"",""))</f>
        <v/>
      </c>
      <c r="D449" s="26" t="n"/>
      <c r="E449" s="25" t="n"/>
      <c r="F449" s="25" t="n"/>
      <c r="G449" s="24">
        <f>IF(F449="","",IFERROR(INDEX(Pracownicy!$B$2:$B$2000,MATCH(F449,Pracownicy!$A$2:$A$2000,0))&amp;"",""))</f>
        <v/>
      </c>
      <c r="H449" s="25" t="n"/>
      <c r="I449" s="25" t="n"/>
      <c r="J449" s="25" t="n"/>
      <c r="K449" s="27" t="n"/>
      <c r="L449" s="25" t="n"/>
      <c r="M449" s="25" t="n"/>
      <c r="N449" s="27" t="n"/>
      <c r="O449" s="24">
        <f>IF(B449="","",IF(M449="","TAK",IFERROR(INDEX(Ustawienia!$K$4:$K$8,MATCH(M449,Ustawienia!$J$4:$J$8,0)),"TAK")))</f>
        <v/>
      </c>
      <c r="P449" s="28">
        <f>IF(OR(B449="",D449=""),"",IFERROR(INDEX('Dane rozpisek'!$B$2:$B$2600,MATCH(S449,'Dane rozpisek'!$H$2:$H$2600,0))&amp;": "&amp;INDEX('Dane rozpisek'!$E$2:$E$2600,MATCH(S449,'Dane rozpisek'!$H$2:$H$2600,0))&amp;IF(COUNTIF('Dane rozpisek'!$H$2:$H$2600,S449)&gt;1," (+"&amp;(COUNTIF('Dane rozpisek'!$H$2:$H$2600,S449)-1)&amp;")",""),"—"))</f>
        <v/>
      </c>
      <c r="Q449" s="24">
        <f>IF(AND(B449&lt;&gt;"",D449&lt;&gt;"",OR('Historia wózka'!$B$4="",B449='Historia wózka'!$B$4),D449&gt;='Historia wózka'!$B$5,D449&lt;='Historia wózka'!$B$6),D449+ROW()/1000000,0)</f>
        <v/>
      </c>
      <c r="R449" s="24">
        <f>IF(O449="TAK",IF(D449="",0,D449)+ROW()/1000000,0)</f>
        <v/>
      </c>
      <c r="S449" s="24">
        <f>IF(OR(B449="",D449=""),"",B449&amp;"|"&amp;D449)</f>
        <v/>
      </c>
    </row>
    <row r="450">
      <c r="A450" s="24">
        <f>IF(B450="","",ROW()-4)</f>
        <v/>
      </c>
      <c r="B450" s="25" t="n"/>
      <c r="C450" s="24">
        <f>IF(B450="","",IFERROR(INDEX('Wózki'!$B$2:$B$500,MATCH(B450,'Wózki'!$A$2:$A$500,0))&amp;"",""))</f>
        <v/>
      </c>
      <c r="D450" s="26" t="n"/>
      <c r="E450" s="25" t="n"/>
      <c r="F450" s="25" t="n"/>
      <c r="G450" s="24">
        <f>IF(F450="","",IFERROR(INDEX(Pracownicy!$B$2:$B$2000,MATCH(F450,Pracownicy!$A$2:$A$2000,0))&amp;"",""))</f>
        <v/>
      </c>
      <c r="H450" s="25" t="n"/>
      <c r="I450" s="25" t="n"/>
      <c r="J450" s="25" t="n"/>
      <c r="K450" s="27" t="n"/>
      <c r="L450" s="25" t="n"/>
      <c r="M450" s="25" t="n"/>
      <c r="N450" s="27" t="n"/>
      <c r="O450" s="24">
        <f>IF(B450="","",IF(M450="","TAK",IFERROR(INDEX(Ustawienia!$K$4:$K$8,MATCH(M450,Ustawienia!$J$4:$J$8,0)),"TAK")))</f>
        <v/>
      </c>
      <c r="P450" s="28">
        <f>IF(OR(B450="",D450=""),"",IFERROR(INDEX('Dane rozpisek'!$B$2:$B$2600,MATCH(S450,'Dane rozpisek'!$H$2:$H$2600,0))&amp;": "&amp;INDEX('Dane rozpisek'!$E$2:$E$2600,MATCH(S450,'Dane rozpisek'!$H$2:$H$2600,0))&amp;IF(COUNTIF('Dane rozpisek'!$H$2:$H$2600,S450)&gt;1," (+"&amp;(COUNTIF('Dane rozpisek'!$H$2:$H$2600,S450)-1)&amp;")",""),"—"))</f>
        <v/>
      </c>
      <c r="Q450" s="24">
        <f>IF(AND(B450&lt;&gt;"",D450&lt;&gt;"",OR('Historia wózka'!$B$4="",B450='Historia wózka'!$B$4),D450&gt;='Historia wózka'!$B$5,D450&lt;='Historia wózka'!$B$6),D450+ROW()/1000000,0)</f>
        <v/>
      </c>
      <c r="R450" s="24">
        <f>IF(O450="TAK",IF(D450="",0,D450)+ROW()/1000000,0)</f>
        <v/>
      </c>
      <c r="S450" s="24">
        <f>IF(OR(B450="",D450=""),"",B450&amp;"|"&amp;D450)</f>
        <v/>
      </c>
    </row>
    <row r="451">
      <c r="A451" s="24">
        <f>IF(B451="","",ROW()-4)</f>
        <v/>
      </c>
      <c r="B451" s="25" t="n"/>
      <c r="C451" s="24">
        <f>IF(B451="","",IFERROR(INDEX('Wózki'!$B$2:$B$500,MATCH(B451,'Wózki'!$A$2:$A$500,0))&amp;"",""))</f>
        <v/>
      </c>
      <c r="D451" s="26" t="n"/>
      <c r="E451" s="25" t="n"/>
      <c r="F451" s="25" t="n"/>
      <c r="G451" s="24">
        <f>IF(F451="","",IFERROR(INDEX(Pracownicy!$B$2:$B$2000,MATCH(F451,Pracownicy!$A$2:$A$2000,0))&amp;"",""))</f>
        <v/>
      </c>
      <c r="H451" s="25" t="n"/>
      <c r="I451" s="25" t="n"/>
      <c r="J451" s="25" t="n"/>
      <c r="K451" s="27" t="n"/>
      <c r="L451" s="25" t="n"/>
      <c r="M451" s="25" t="n"/>
      <c r="N451" s="27" t="n"/>
      <c r="O451" s="24">
        <f>IF(B451="","",IF(M451="","TAK",IFERROR(INDEX(Ustawienia!$K$4:$K$8,MATCH(M451,Ustawienia!$J$4:$J$8,0)),"TAK")))</f>
        <v/>
      </c>
      <c r="P451" s="28">
        <f>IF(OR(B451="",D451=""),"",IFERROR(INDEX('Dane rozpisek'!$B$2:$B$2600,MATCH(S451,'Dane rozpisek'!$H$2:$H$2600,0))&amp;": "&amp;INDEX('Dane rozpisek'!$E$2:$E$2600,MATCH(S451,'Dane rozpisek'!$H$2:$H$2600,0))&amp;IF(COUNTIF('Dane rozpisek'!$H$2:$H$2600,S451)&gt;1," (+"&amp;(COUNTIF('Dane rozpisek'!$H$2:$H$2600,S451)-1)&amp;")",""),"—"))</f>
        <v/>
      </c>
      <c r="Q451" s="24">
        <f>IF(AND(B451&lt;&gt;"",D451&lt;&gt;"",OR('Historia wózka'!$B$4="",B451='Historia wózka'!$B$4),D451&gt;='Historia wózka'!$B$5,D451&lt;='Historia wózka'!$B$6),D451+ROW()/1000000,0)</f>
        <v/>
      </c>
      <c r="R451" s="24">
        <f>IF(O451="TAK",IF(D451="",0,D451)+ROW()/1000000,0)</f>
        <v/>
      </c>
      <c r="S451" s="24">
        <f>IF(OR(B451="",D451=""),"",B451&amp;"|"&amp;D451)</f>
        <v/>
      </c>
    </row>
    <row r="452">
      <c r="A452" s="24">
        <f>IF(B452="","",ROW()-4)</f>
        <v/>
      </c>
      <c r="B452" s="25" t="n"/>
      <c r="C452" s="24">
        <f>IF(B452="","",IFERROR(INDEX('Wózki'!$B$2:$B$500,MATCH(B452,'Wózki'!$A$2:$A$500,0))&amp;"",""))</f>
        <v/>
      </c>
      <c r="D452" s="26" t="n"/>
      <c r="E452" s="25" t="n"/>
      <c r="F452" s="25" t="n"/>
      <c r="G452" s="24">
        <f>IF(F452="","",IFERROR(INDEX(Pracownicy!$B$2:$B$2000,MATCH(F452,Pracownicy!$A$2:$A$2000,0))&amp;"",""))</f>
        <v/>
      </c>
      <c r="H452" s="25" t="n"/>
      <c r="I452" s="25" t="n"/>
      <c r="J452" s="25" t="n"/>
      <c r="K452" s="27" t="n"/>
      <c r="L452" s="25" t="n"/>
      <c r="M452" s="25" t="n"/>
      <c r="N452" s="27" t="n"/>
      <c r="O452" s="24">
        <f>IF(B452="","",IF(M452="","TAK",IFERROR(INDEX(Ustawienia!$K$4:$K$8,MATCH(M452,Ustawienia!$J$4:$J$8,0)),"TAK")))</f>
        <v/>
      </c>
      <c r="P452" s="28">
        <f>IF(OR(B452="",D452=""),"",IFERROR(INDEX('Dane rozpisek'!$B$2:$B$2600,MATCH(S452,'Dane rozpisek'!$H$2:$H$2600,0))&amp;": "&amp;INDEX('Dane rozpisek'!$E$2:$E$2600,MATCH(S452,'Dane rozpisek'!$H$2:$H$2600,0))&amp;IF(COUNTIF('Dane rozpisek'!$H$2:$H$2600,S452)&gt;1," (+"&amp;(COUNTIF('Dane rozpisek'!$H$2:$H$2600,S452)-1)&amp;")",""),"—"))</f>
        <v/>
      </c>
      <c r="Q452" s="24">
        <f>IF(AND(B452&lt;&gt;"",D452&lt;&gt;"",OR('Historia wózka'!$B$4="",B452='Historia wózka'!$B$4),D452&gt;='Historia wózka'!$B$5,D452&lt;='Historia wózka'!$B$6),D452+ROW()/1000000,0)</f>
        <v/>
      </c>
      <c r="R452" s="24">
        <f>IF(O452="TAK",IF(D452="",0,D452)+ROW()/1000000,0)</f>
        <v/>
      </c>
      <c r="S452" s="24">
        <f>IF(OR(B452="",D452=""),"",B452&amp;"|"&amp;D452)</f>
        <v/>
      </c>
    </row>
    <row r="453">
      <c r="A453" s="24">
        <f>IF(B453="","",ROW()-4)</f>
        <v/>
      </c>
      <c r="B453" s="25" t="n"/>
      <c r="C453" s="24">
        <f>IF(B453="","",IFERROR(INDEX('Wózki'!$B$2:$B$500,MATCH(B453,'Wózki'!$A$2:$A$500,0))&amp;"",""))</f>
        <v/>
      </c>
      <c r="D453" s="26" t="n"/>
      <c r="E453" s="25" t="n"/>
      <c r="F453" s="25" t="n"/>
      <c r="G453" s="24">
        <f>IF(F453="","",IFERROR(INDEX(Pracownicy!$B$2:$B$2000,MATCH(F453,Pracownicy!$A$2:$A$2000,0))&amp;"",""))</f>
        <v/>
      </c>
      <c r="H453" s="25" t="n"/>
      <c r="I453" s="25" t="n"/>
      <c r="J453" s="25" t="n"/>
      <c r="K453" s="27" t="n"/>
      <c r="L453" s="25" t="n"/>
      <c r="M453" s="25" t="n"/>
      <c r="N453" s="27" t="n"/>
      <c r="O453" s="24">
        <f>IF(B453="","",IF(M453="","TAK",IFERROR(INDEX(Ustawienia!$K$4:$K$8,MATCH(M453,Ustawienia!$J$4:$J$8,0)),"TAK")))</f>
        <v/>
      </c>
      <c r="P453" s="28">
        <f>IF(OR(B453="",D453=""),"",IFERROR(INDEX('Dane rozpisek'!$B$2:$B$2600,MATCH(S453,'Dane rozpisek'!$H$2:$H$2600,0))&amp;": "&amp;INDEX('Dane rozpisek'!$E$2:$E$2600,MATCH(S453,'Dane rozpisek'!$H$2:$H$2600,0))&amp;IF(COUNTIF('Dane rozpisek'!$H$2:$H$2600,S453)&gt;1," (+"&amp;(COUNTIF('Dane rozpisek'!$H$2:$H$2600,S453)-1)&amp;")",""),"—"))</f>
        <v/>
      </c>
      <c r="Q453" s="24">
        <f>IF(AND(B453&lt;&gt;"",D453&lt;&gt;"",OR('Historia wózka'!$B$4="",B453='Historia wózka'!$B$4),D453&gt;='Historia wózka'!$B$5,D453&lt;='Historia wózka'!$B$6),D453+ROW()/1000000,0)</f>
        <v/>
      </c>
      <c r="R453" s="24">
        <f>IF(O453="TAK",IF(D453="",0,D453)+ROW()/1000000,0)</f>
        <v/>
      </c>
      <c r="S453" s="24">
        <f>IF(OR(B453="",D453=""),"",B453&amp;"|"&amp;D453)</f>
        <v/>
      </c>
    </row>
    <row r="454">
      <c r="A454" s="24">
        <f>IF(B454="","",ROW()-4)</f>
        <v/>
      </c>
      <c r="B454" s="25" t="n"/>
      <c r="C454" s="24">
        <f>IF(B454="","",IFERROR(INDEX('Wózki'!$B$2:$B$500,MATCH(B454,'Wózki'!$A$2:$A$500,0))&amp;"",""))</f>
        <v/>
      </c>
      <c r="D454" s="26" t="n"/>
      <c r="E454" s="25" t="n"/>
      <c r="F454" s="25" t="n"/>
      <c r="G454" s="24">
        <f>IF(F454="","",IFERROR(INDEX(Pracownicy!$B$2:$B$2000,MATCH(F454,Pracownicy!$A$2:$A$2000,0))&amp;"",""))</f>
        <v/>
      </c>
      <c r="H454" s="25" t="n"/>
      <c r="I454" s="25" t="n"/>
      <c r="J454" s="25" t="n"/>
      <c r="K454" s="27" t="n"/>
      <c r="L454" s="25" t="n"/>
      <c r="M454" s="25" t="n"/>
      <c r="N454" s="27" t="n"/>
      <c r="O454" s="24">
        <f>IF(B454="","",IF(M454="","TAK",IFERROR(INDEX(Ustawienia!$K$4:$K$8,MATCH(M454,Ustawienia!$J$4:$J$8,0)),"TAK")))</f>
        <v/>
      </c>
      <c r="P454" s="28">
        <f>IF(OR(B454="",D454=""),"",IFERROR(INDEX('Dane rozpisek'!$B$2:$B$2600,MATCH(S454,'Dane rozpisek'!$H$2:$H$2600,0))&amp;": "&amp;INDEX('Dane rozpisek'!$E$2:$E$2600,MATCH(S454,'Dane rozpisek'!$H$2:$H$2600,0))&amp;IF(COUNTIF('Dane rozpisek'!$H$2:$H$2600,S454)&gt;1," (+"&amp;(COUNTIF('Dane rozpisek'!$H$2:$H$2600,S454)-1)&amp;")",""),"—"))</f>
        <v/>
      </c>
      <c r="Q454" s="24">
        <f>IF(AND(B454&lt;&gt;"",D454&lt;&gt;"",OR('Historia wózka'!$B$4="",B454='Historia wózka'!$B$4),D454&gt;='Historia wózka'!$B$5,D454&lt;='Historia wózka'!$B$6),D454+ROW()/1000000,0)</f>
        <v/>
      </c>
      <c r="R454" s="24">
        <f>IF(O454="TAK",IF(D454="",0,D454)+ROW()/1000000,0)</f>
        <v/>
      </c>
      <c r="S454" s="24">
        <f>IF(OR(B454="",D454=""),"",B454&amp;"|"&amp;D454)</f>
        <v/>
      </c>
    </row>
    <row r="455">
      <c r="A455" s="24">
        <f>IF(B455="","",ROW()-4)</f>
        <v/>
      </c>
      <c r="B455" s="25" t="n"/>
      <c r="C455" s="24">
        <f>IF(B455="","",IFERROR(INDEX('Wózki'!$B$2:$B$500,MATCH(B455,'Wózki'!$A$2:$A$500,0))&amp;"",""))</f>
        <v/>
      </c>
      <c r="D455" s="26" t="n"/>
      <c r="E455" s="25" t="n"/>
      <c r="F455" s="25" t="n"/>
      <c r="G455" s="24">
        <f>IF(F455="","",IFERROR(INDEX(Pracownicy!$B$2:$B$2000,MATCH(F455,Pracownicy!$A$2:$A$2000,0))&amp;"",""))</f>
        <v/>
      </c>
      <c r="H455" s="25" t="n"/>
      <c r="I455" s="25" t="n"/>
      <c r="J455" s="25" t="n"/>
      <c r="K455" s="27" t="n"/>
      <c r="L455" s="25" t="n"/>
      <c r="M455" s="25" t="n"/>
      <c r="N455" s="27" t="n"/>
      <c r="O455" s="24">
        <f>IF(B455="","",IF(M455="","TAK",IFERROR(INDEX(Ustawienia!$K$4:$K$8,MATCH(M455,Ustawienia!$J$4:$J$8,0)),"TAK")))</f>
        <v/>
      </c>
      <c r="P455" s="28">
        <f>IF(OR(B455="",D455=""),"",IFERROR(INDEX('Dane rozpisek'!$B$2:$B$2600,MATCH(S455,'Dane rozpisek'!$H$2:$H$2600,0))&amp;": "&amp;INDEX('Dane rozpisek'!$E$2:$E$2600,MATCH(S455,'Dane rozpisek'!$H$2:$H$2600,0))&amp;IF(COUNTIF('Dane rozpisek'!$H$2:$H$2600,S455)&gt;1," (+"&amp;(COUNTIF('Dane rozpisek'!$H$2:$H$2600,S455)-1)&amp;")",""),"—"))</f>
        <v/>
      </c>
      <c r="Q455" s="24">
        <f>IF(AND(B455&lt;&gt;"",D455&lt;&gt;"",OR('Historia wózka'!$B$4="",B455='Historia wózka'!$B$4),D455&gt;='Historia wózka'!$B$5,D455&lt;='Historia wózka'!$B$6),D455+ROW()/1000000,0)</f>
        <v/>
      </c>
      <c r="R455" s="24">
        <f>IF(O455="TAK",IF(D455="",0,D455)+ROW()/1000000,0)</f>
        <v/>
      </c>
      <c r="S455" s="24">
        <f>IF(OR(B455="",D455=""),"",B455&amp;"|"&amp;D455)</f>
        <v/>
      </c>
    </row>
    <row r="456">
      <c r="A456" s="24">
        <f>IF(B456="","",ROW()-4)</f>
        <v/>
      </c>
      <c r="B456" s="25" t="n"/>
      <c r="C456" s="24">
        <f>IF(B456="","",IFERROR(INDEX('Wózki'!$B$2:$B$500,MATCH(B456,'Wózki'!$A$2:$A$500,0))&amp;"",""))</f>
        <v/>
      </c>
      <c r="D456" s="26" t="n"/>
      <c r="E456" s="25" t="n"/>
      <c r="F456" s="25" t="n"/>
      <c r="G456" s="24">
        <f>IF(F456="","",IFERROR(INDEX(Pracownicy!$B$2:$B$2000,MATCH(F456,Pracownicy!$A$2:$A$2000,0))&amp;"",""))</f>
        <v/>
      </c>
      <c r="H456" s="25" t="n"/>
      <c r="I456" s="25" t="n"/>
      <c r="J456" s="25" t="n"/>
      <c r="K456" s="27" t="n"/>
      <c r="L456" s="25" t="n"/>
      <c r="M456" s="25" t="n"/>
      <c r="N456" s="27" t="n"/>
      <c r="O456" s="24">
        <f>IF(B456="","",IF(M456="","TAK",IFERROR(INDEX(Ustawienia!$K$4:$K$8,MATCH(M456,Ustawienia!$J$4:$J$8,0)),"TAK")))</f>
        <v/>
      </c>
      <c r="P456" s="28">
        <f>IF(OR(B456="",D456=""),"",IFERROR(INDEX('Dane rozpisek'!$B$2:$B$2600,MATCH(S456,'Dane rozpisek'!$H$2:$H$2600,0))&amp;": "&amp;INDEX('Dane rozpisek'!$E$2:$E$2600,MATCH(S456,'Dane rozpisek'!$H$2:$H$2600,0))&amp;IF(COUNTIF('Dane rozpisek'!$H$2:$H$2600,S456)&gt;1," (+"&amp;(COUNTIF('Dane rozpisek'!$H$2:$H$2600,S456)-1)&amp;")",""),"—"))</f>
        <v/>
      </c>
      <c r="Q456" s="24">
        <f>IF(AND(B456&lt;&gt;"",D456&lt;&gt;"",OR('Historia wózka'!$B$4="",B456='Historia wózka'!$B$4),D456&gt;='Historia wózka'!$B$5,D456&lt;='Historia wózka'!$B$6),D456+ROW()/1000000,0)</f>
        <v/>
      </c>
      <c r="R456" s="24">
        <f>IF(O456="TAK",IF(D456="",0,D456)+ROW()/1000000,0)</f>
        <v/>
      </c>
      <c r="S456" s="24">
        <f>IF(OR(B456="",D456=""),"",B456&amp;"|"&amp;D456)</f>
        <v/>
      </c>
    </row>
    <row r="457">
      <c r="A457" s="24">
        <f>IF(B457="","",ROW()-4)</f>
        <v/>
      </c>
      <c r="B457" s="25" t="n"/>
      <c r="C457" s="24">
        <f>IF(B457="","",IFERROR(INDEX('Wózki'!$B$2:$B$500,MATCH(B457,'Wózki'!$A$2:$A$500,0))&amp;"",""))</f>
        <v/>
      </c>
      <c r="D457" s="26" t="n"/>
      <c r="E457" s="25" t="n"/>
      <c r="F457" s="25" t="n"/>
      <c r="G457" s="24">
        <f>IF(F457="","",IFERROR(INDEX(Pracownicy!$B$2:$B$2000,MATCH(F457,Pracownicy!$A$2:$A$2000,0))&amp;"",""))</f>
        <v/>
      </c>
      <c r="H457" s="25" t="n"/>
      <c r="I457" s="25" t="n"/>
      <c r="J457" s="25" t="n"/>
      <c r="K457" s="27" t="n"/>
      <c r="L457" s="25" t="n"/>
      <c r="M457" s="25" t="n"/>
      <c r="N457" s="27" t="n"/>
      <c r="O457" s="24">
        <f>IF(B457="","",IF(M457="","TAK",IFERROR(INDEX(Ustawienia!$K$4:$K$8,MATCH(M457,Ustawienia!$J$4:$J$8,0)),"TAK")))</f>
        <v/>
      </c>
      <c r="P457" s="28">
        <f>IF(OR(B457="",D457=""),"",IFERROR(INDEX('Dane rozpisek'!$B$2:$B$2600,MATCH(S457,'Dane rozpisek'!$H$2:$H$2600,0))&amp;": "&amp;INDEX('Dane rozpisek'!$E$2:$E$2600,MATCH(S457,'Dane rozpisek'!$H$2:$H$2600,0))&amp;IF(COUNTIF('Dane rozpisek'!$H$2:$H$2600,S457)&gt;1," (+"&amp;(COUNTIF('Dane rozpisek'!$H$2:$H$2600,S457)-1)&amp;")",""),"—"))</f>
        <v/>
      </c>
      <c r="Q457" s="24">
        <f>IF(AND(B457&lt;&gt;"",D457&lt;&gt;"",OR('Historia wózka'!$B$4="",B457='Historia wózka'!$B$4),D457&gt;='Historia wózka'!$B$5,D457&lt;='Historia wózka'!$B$6),D457+ROW()/1000000,0)</f>
        <v/>
      </c>
      <c r="R457" s="24">
        <f>IF(O457="TAK",IF(D457="",0,D457)+ROW()/1000000,0)</f>
        <v/>
      </c>
      <c r="S457" s="24">
        <f>IF(OR(B457="",D457=""),"",B457&amp;"|"&amp;D457)</f>
        <v/>
      </c>
    </row>
    <row r="458">
      <c r="A458" s="24">
        <f>IF(B458="","",ROW()-4)</f>
        <v/>
      </c>
      <c r="B458" s="25" t="n"/>
      <c r="C458" s="24">
        <f>IF(B458="","",IFERROR(INDEX('Wózki'!$B$2:$B$500,MATCH(B458,'Wózki'!$A$2:$A$500,0))&amp;"",""))</f>
        <v/>
      </c>
      <c r="D458" s="26" t="n"/>
      <c r="E458" s="25" t="n"/>
      <c r="F458" s="25" t="n"/>
      <c r="G458" s="24">
        <f>IF(F458="","",IFERROR(INDEX(Pracownicy!$B$2:$B$2000,MATCH(F458,Pracownicy!$A$2:$A$2000,0))&amp;"",""))</f>
        <v/>
      </c>
      <c r="H458" s="25" t="n"/>
      <c r="I458" s="25" t="n"/>
      <c r="J458" s="25" t="n"/>
      <c r="K458" s="27" t="n"/>
      <c r="L458" s="25" t="n"/>
      <c r="M458" s="25" t="n"/>
      <c r="N458" s="27" t="n"/>
      <c r="O458" s="24">
        <f>IF(B458="","",IF(M458="","TAK",IFERROR(INDEX(Ustawienia!$K$4:$K$8,MATCH(M458,Ustawienia!$J$4:$J$8,0)),"TAK")))</f>
        <v/>
      </c>
      <c r="P458" s="28">
        <f>IF(OR(B458="",D458=""),"",IFERROR(INDEX('Dane rozpisek'!$B$2:$B$2600,MATCH(S458,'Dane rozpisek'!$H$2:$H$2600,0))&amp;": "&amp;INDEX('Dane rozpisek'!$E$2:$E$2600,MATCH(S458,'Dane rozpisek'!$H$2:$H$2600,0))&amp;IF(COUNTIF('Dane rozpisek'!$H$2:$H$2600,S458)&gt;1," (+"&amp;(COUNTIF('Dane rozpisek'!$H$2:$H$2600,S458)-1)&amp;")",""),"—"))</f>
        <v/>
      </c>
      <c r="Q458" s="24">
        <f>IF(AND(B458&lt;&gt;"",D458&lt;&gt;"",OR('Historia wózka'!$B$4="",B458='Historia wózka'!$B$4),D458&gt;='Historia wózka'!$B$5,D458&lt;='Historia wózka'!$B$6),D458+ROW()/1000000,0)</f>
        <v/>
      </c>
      <c r="R458" s="24">
        <f>IF(O458="TAK",IF(D458="",0,D458)+ROW()/1000000,0)</f>
        <v/>
      </c>
      <c r="S458" s="24">
        <f>IF(OR(B458="",D458=""),"",B458&amp;"|"&amp;D458)</f>
        <v/>
      </c>
    </row>
    <row r="459">
      <c r="A459" s="24">
        <f>IF(B459="","",ROW()-4)</f>
        <v/>
      </c>
      <c r="B459" s="25" t="n"/>
      <c r="C459" s="24">
        <f>IF(B459="","",IFERROR(INDEX('Wózki'!$B$2:$B$500,MATCH(B459,'Wózki'!$A$2:$A$500,0))&amp;"",""))</f>
        <v/>
      </c>
      <c r="D459" s="26" t="n"/>
      <c r="E459" s="25" t="n"/>
      <c r="F459" s="25" t="n"/>
      <c r="G459" s="24">
        <f>IF(F459="","",IFERROR(INDEX(Pracownicy!$B$2:$B$2000,MATCH(F459,Pracownicy!$A$2:$A$2000,0))&amp;"",""))</f>
        <v/>
      </c>
      <c r="H459" s="25" t="n"/>
      <c r="I459" s="25" t="n"/>
      <c r="J459" s="25" t="n"/>
      <c r="K459" s="27" t="n"/>
      <c r="L459" s="25" t="n"/>
      <c r="M459" s="25" t="n"/>
      <c r="N459" s="27" t="n"/>
      <c r="O459" s="24">
        <f>IF(B459="","",IF(M459="","TAK",IFERROR(INDEX(Ustawienia!$K$4:$K$8,MATCH(M459,Ustawienia!$J$4:$J$8,0)),"TAK")))</f>
        <v/>
      </c>
      <c r="P459" s="28">
        <f>IF(OR(B459="",D459=""),"",IFERROR(INDEX('Dane rozpisek'!$B$2:$B$2600,MATCH(S459,'Dane rozpisek'!$H$2:$H$2600,0))&amp;": "&amp;INDEX('Dane rozpisek'!$E$2:$E$2600,MATCH(S459,'Dane rozpisek'!$H$2:$H$2600,0))&amp;IF(COUNTIF('Dane rozpisek'!$H$2:$H$2600,S459)&gt;1," (+"&amp;(COUNTIF('Dane rozpisek'!$H$2:$H$2600,S459)-1)&amp;")",""),"—"))</f>
        <v/>
      </c>
      <c r="Q459" s="24">
        <f>IF(AND(B459&lt;&gt;"",D459&lt;&gt;"",OR('Historia wózka'!$B$4="",B459='Historia wózka'!$B$4),D459&gt;='Historia wózka'!$B$5,D459&lt;='Historia wózka'!$B$6),D459+ROW()/1000000,0)</f>
        <v/>
      </c>
      <c r="R459" s="24">
        <f>IF(O459="TAK",IF(D459="",0,D459)+ROW()/1000000,0)</f>
        <v/>
      </c>
      <c r="S459" s="24">
        <f>IF(OR(B459="",D459=""),"",B459&amp;"|"&amp;D459)</f>
        <v/>
      </c>
    </row>
    <row r="460">
      <c r="A460" s="24">
        <f>IF(B460="","",ROW()-4)</f>
        <v/>
      </c>
      <c r="B460" s="25" t="n"/>
      <c r="C460" s="24">
        <f>IF(B460="","",IFERROR(INDEX('Wózki'!$B$2:$B$500,MATCH(B460,'Wózki'!$A$2:$A$500,0))&amp;"",""))</f>
        <v/>
      </c>
      <c r="D460" s="26" t="n"/>
      <c r="E460" s="25" t="n"/>
      <c r="F460" s="25" t="n"/>
      <c r="G460" s="24">
        <f>IF(F460="","",IFERROR(INDEX(Pracownicy!$B$2:$B$2000,MATCH(F460,Pracownicy!$A$2:$A$2000,0))&amp;"",""))</f>
        <v/>
      </c>
      <c r="H460" s="25" t="n"/>
      <c r="I460" s="25" t="n"/>
      <c r="J460" s="25" t="n"/>
      <c r="K460" s="27" t="n"/>
      <c r="L460" s="25" t="n"/>
      <c r="M460" s="25" t="n"/>
      <c r="N460" s="27" t="n"/>
      <c r="O460" s="24">
        <f>IF(B460="","",IF(M460="","TAK",IFERROR(INDEX(Ustawienia!$K$4:$K$8,MATCH(M460,Ustawienia!$J$4:$J$8,0)),"TAK")))</f>
        <v/>
      </c>
      <c r="P460" s="28">
        <f>IF(OR(B460="",D460=""),"",IFERROR(INDEX('Dane rozpisek'!$B$2:$B$2600,MATCH(S460,'Dane rozpisek'!$H$2:$H$2600,0))&amp;": "&amp;INDEX('Dane rozpisek'!$E$2:$E$2600,MATCH(S460,'Dane rozpisek'!$H$2:$H$2600,0))&amp;IF(COUNTIF('Dane rozpisek'!$H$2:$H$2600,S460)&gt;1," (+"&amp;(COUNTIF('Dane rozpisek'!$H$2:$H$2600,S460)-1)&amp;")",""),"—"))</f>
        <v/>
      </c>
      <c r="Q460" s="24">
        <f>IF(AND(B460&lt;&gt;"",D460&lt;&gt;"",OR('Historia wózka'!$B$4="",B460='Historia wózka'!$B$4),D460&gt;='Historia wózka'!$B$5,D460&lt;='Historia wózka'!$B$6),D460+ROW()/1000000,0)</f>
        <v/>
      </c>
      <c r="R460" s="24">
        <f>IF(O460="TAK",IF(D460="",0,D460)+ROW()/1000000,0)</f>
        <v/>
      </c>
      <c r="S460" s="24">
        <f>IF(OR(B460="",D460=""),"",B460&amp;"|"&amp;D460)</f>
        <v/>
      </c>
    </row>
    <row r="461">
      <c r="A461" s="24">
        <f>IF(B461="","",ROW()-4)</f>
        <v/>
      </c>
      <c r="B461" s="25" t="n"/>
      <c r="C461" s="24">
        <f>IF(B461="","",IFERROR(INDEX('Wózki'!$B$2:$B$500,MATCH(B461,'Wózki'!$A$2:$A$500,0))&amp;"",""))</f>
        <v/>
      </c>
      <c r="D461" s="26" t="n"/>
      <c r="E461" s="25" t="n"/>
      <c r="F461" s="25" t="n"/>
      <c r="G461" s="24">
        <f>IF(F461="","",IFERROR(INDEX(Pracownicy!$B$2:$B$2000,MATCH(F461,Pracownicy!$A$2:$A$2000,0))&amp;"",""))</f>
        <v/>
      </c>
      <c r="H461" s="25" t="n"/>
      <c r="I461" s="25" t="n"/>
      <c r="J461" s="25" t="n"/>
      <c r="K461" s="27" t="n"/>
      <c r="L461" s="25" t="n"/>
      <c r="M461" s="25" t="n"/>
      <c r="N461" s="27" t="n"/>
      <c r="O461" s="24">
        <f>IF(B461="","",IF(M461="","TAK",IFERROR(INDEX(Ustawienia!$K$4:$K$8,MATCH(M461,Ustawienia!$J$4:$J$8,0)),"TAK")))</f>
        <v/>
      </c>
      <c r="P461" s="28">
        <f>IF(OR(B461="",D461=""),"",IFERROR(INDEX('Dane rozpisek'!$B$2:$B$2600,MATCH(S461,'Dane rozpisek'!$H$2:$H$2600,0))&amp;": "&amp;INDEX('Dane rozpisek'!$E$2:$E$2600,MATCH(S461,'Dane rozpisek'!$H$2:$H$2600,0))&amp;IF(COUNTIF('Dane rozpisek'!$H$2:$H$2600,S461)&gt;1," (+"&amp;(COUNTIF('Dane rozpisek'!$H$2:$H$2600,S461)-1)&amp;")",""),"—"))</f>
        <v/>
      </c>
      <c r="Q461" s="24">
        <f>IF(AND(B461&lt;&gt;"",D461&lt;&gt;"",OR('Historia wózka'!$B$4="",B461='Historia wózka'!$B$4),D461&gt;='Historia wózka'!$B$5,D461&lt;='Historia wózka'!$B$6),D461+ROW()/1000000,0)</f>
        <v/>
      </c>
      <c r="R461" s="24">
        <f>IF(O461="TAK",IF(D461="",0,D461)+ROW()/1000000,0)</f>
        <v/>
      </c>
      <c r="S461" s="24">
        <f>IF(OR(B461="",D461=""),"",B461&amp;"|"&amp;D461)</f>
        <v/>
      </c>
    </row>
    <row r="462">
      <c r="A462" s="24">
        <f>IF(B462="","",ROW()-4)</f>
        <v/>
      </c>
      <c r="B462" s="25" t="n"/>
      <c r="C462" s="24">
        <f>IF(B462="","",IFERROR(INDEX('Wózki'!$B$2:$B$500,MATCH(B462,'Wózki'!$A$2:$A$500,0))&amp;"",""))</f>
        <v/>
      </c>
      <c r="D462" s="26" t="n"/>
      <c r="E462" s="25" t="n"/>
      <c r="F462" s="25" t="n"/>
      <c r="G462" s="24">
        <f>IF(F462="","",IFERROR(INDEX(Pracownicy!$B$2:$B$2000,MATCH(F462,Pracownicy!$A$2:$A$2000,0))&amp;"",""))</f>
        <v/>
      </c>
      <c r="H462" s="25" t="n"/>
      <c r="I462" s="25" t="n"/>
      <c r="J462" s="25" t="n"/>
      <c r="K462" s="27" t="n"/>
      <c r="L462" s="25" t="n"/>
      <c r="M462" s="25" t="n"/>
      <c r="N462" s="27" t="n"/>
      <c r="O462" s="24">
        <f>IF(B462="","",IF(M462="","TAK",IFERROR(INDEX(Ustawienia!$K$4:$K$8,MATCH(M462,Ustawienia!$J$4:$J$8,0)),"TAK")))</f>
        <v/>
      </c>
      <c r="P462" s="28">
        <f>IF(OR(B462="",D462=""),"",IFERROR(INDEX('Dane rozpisek'!$B$2:$B$2600,MATCH(S462,'Dane rozpisek'!$H$2:$H$2600,0))&amp;": "&amp;INDEX('Dane rozpisek'!$E$2:$E$2600,MATCH(S462,'Dane rozpisek'!$H$2:$H$2600,0))&amp;IF(COUNTIF('Dane rozpisek'!$H$2:$H$2600,S462)&gt;1," (+"&amp;(COUNTIF('Dane rozpisek'!$H$2:$H$2600,S462)-1)&amp;")",""),"—"))</f>
        <v/>
      </c>
      <c r="Q462" s="24">
        <f>IF(AND(B462&lt;&gt;"",D462&lt;&gt;"",OR('Historia wózka'!$B$4="",B462='Historia wózka'!$B$4),D462&gt;='Historia wózka'!$B$5,D462&lt;='Historia wózka'!$B$6),D462+ROW()/1000000,0)</f>
        <v/>
      </c>
      <c r="R462" s="24">
        <f>IF(O462="TAK",IF(D462="",0,D462)+ROW()/1000000,0)</f>
        <v/>
      </c>
      <c r="S462" s="24">
        <f>IF(OR(B462="",D462=""),"",B462&amp;"|"&amp;D462)</f>
        <v/>
      </c>
    </row>
    <row r="463">
      <c r="A463" s="24">
        <f>IF(B463="","",ROW()-4)</f>
        <v/>
      </c>
      <c r="B463" s="25" t="n"/>
      <c r="C463" s="24">
        <f>IF(B463="","",IFERROR(INDEX('Wózki'!$B$2:$B$500,MATCH(B463,'Wózki'!$A$2:$A$500,0))&amp;"",""))</f>
        <v/>
      </c>
      <c r="D463" s="26" t="n"/>
      <c r="E463" s="25" t="n"/>
      <c r="F463" s="25" t="n"/>
      <c r="G463" s="24">
        <f>IF(F463="","",IFERROR(INDEX(Pracownicy!$B$2:$B$2000,MATCH(F463,Pracownicy!$A$2:$A$2000,0))&amp;"",""))</f>
        <v/>
      </c>
      <c r="H463" s="25" t="n"/>
      <c r="I463" s="25" t="n"/>
      <c r="J463" s="25" t="n"/>
      <c r="K463" s="27" t="n"/>
      <c r="L463" s="25" t="n"/>
      <c r="M463" s="25" t="n"/>
      <c r="N463" s="27" t="n"/>
      <c r="O463" s="24">
        <f>IF(B463="","",IF(M463="","TAK",IFERROR(INDEX(Ustawienia!$K$4:$K$8,MATCH(M463,Ustawienia!$J$4:$J$8,0)),"TAK")))</f>
        <v/>
      </c>
      <c r="P463" s="28">
        <f>IF(OR(B463="",D463=""),"",IFERROR(INDEX('Dane rozpisek'!$B$2:$B$2600,MATCH(S463,'Dane rozpisek'!$H$2:$H$2600,0))&amp;": "&amp;INDEX('Dane rozpisek'!$E$2:$E$2600,MATCH(S463,'Dane rozpisek'!$H$2:$H$2600,0))&amp;IF(COUNTIF('Dane rozpisek'!$H$2:$H$2600,S463)&gt;1," (+"&amp;(COUNTIF('Dane rozpisek'!$H$2:$H$2600,S463)-1)&amp;")",""),"—"))</f>
        <v/>
      </c>
      <c r="Q463" s="24">
        <f>IF(AND(B463&lt;&gt;"",D463&lt;&gt;"",OR('Historia wózka'!$B$4="",B463='Historia wózka'!$B$4),D463&gt;='Historia wózka'!$B$5,D463&lt;='Historia wózka'!$B$6),D463+ROW()/1000000,0)</f>
        <v/>
      </c>
      <c r="R463" s="24">
        <f>IF(O463="TAK",IF(D463="",0,D463)+ROW()/1000000,0)</f>
        <v/>
      </c>
      <c r="S463" s="24">
        <f>IF(OR(B463="",D463=""),"",B463&amp;"|"&amp;D463)</f>
        <v/>
      </c>
    </row>
    <row r="464">
      <c r="A464" s="24">
        <f>IF(B464="","",ROW()-4)</f>
        <v/>
      </c>
      <c r="B464" s="25" t="n"/>
      <c r="C464" s="24">
        <f>IF(B464="","",IFERROR(INDEX('Wózki'!$B$2:$B$500,MATCH(B464,'Wózki'!$A$2:$A$500,0))&amp;"",""))</f>
        <v/>
      </c>
      <c r="D464" s="26" t="n"/>
      <c r="E464" s="25" t="n"/>
      <c r="F464" s="25" t="n"/>
      <c r="G464" s="24">
        <f>IF(F464="","",IFERROR(INDEX(Pracownicy!$B$2:$B$2000,MATCH(F464,Pracownicy!$A$2:$A$2000,0))&amp;"",""))</f>
        <v/>
      </c>
      <c r="H464" s="25" t="n"/>
      <c r="I464" s="25" t="n"/>
      <c r="J464" s="25" t="n"/>
      <c r="K464" s="27" t="n"/>
      <c r="L464" s="25" t="n"/>
      <c r="M464" s="25" t="n"/>
      <c r="N464" s="27" t="n"/>
      <c r="O464" s="24">
        <f>IF(B464="","",IF(M464="","TAK",IFERROR(INDEX(Ustawienia!$K$4:$K$8,MATCH(M464,Ustawienia!$J$4:$J$8,0)),"TAK")))</f>
        <v/>
      </c>
      <c r="P464" s="28">
        <f>IF(OR(B464="",D464=""),"",IFERROR(INDEX('Dane rozpisek'!$B$2:$B$2600,MATCH(S464,'Dane rozpisek'!$H$2:$H$2600,0))&amp;": "&amp;INDEX('Dane rozpisek'!$E$2:$E$2600,MATCH(S464,'Dane rozpisek'!$H$2:$H$2600,0))&amp;IF(COUNTIF('Dane rozpisek'!$H$2:$H$2600,S464)&gt;1," (+"&amp;(COUNTIF('Dane rozpisek'!$H$2:$H$2600,S464)-1)&amp;")",""),"—"))</f>
        <v/>
      </c>
      <c r="Q464" s="24">
        <f>IF(AND(B464&lt;&gt;"",D464&lt;&gt;"",OR('Historia wózka'!$B$4="",B464='Historia wózka'!$B$4),D464&gt;='Historia wózka'!$B$5,D464&lt;='Historia wózka'!$B$6),D464+ROW()/1000000,0)</f>
        <v/>
      </c>
      <c r="R464" s="24">
        <f>IF(O464="TAK",IF(D464="",0,D464)+ROW()/1000000,0)</f>
        <v/>
      </c>
      <c r="S464" s="24">
        <f>IF(OR(B464="",D464=""),"",B464&amp;"|"&amp;D464)</f>
        <v/>
      </c>
    </row>
    <row r="465">
      <c r="A465" s="24">
        <f>IF(B465="","",ROW()-4)</f>
        <v/>
      </c>
      <c r="B465" s="25" t="n"/>
      <c r="C465" s="24">
        <f>IF(B465="","",IFERROR(INDEX('Wózki'!$B$2:$B$500,MATCH(B465,'Wózki'!$A$2:$A$500,0))&amp;"",""))</f>
        <v/>
      </c>
      <c r="D465" s="26" t="n"/>
      <c r="E465" s="25" t="n"/>
      <c r="F465" s="25" t="n"/>
      <c r="G465" s="24">
        <f>IF(F465="","",IFERROR(INDEX(Pracownicy!$B$2:$B$2000,MATCH(F465,Pracownicy!$A$2:$A$2000,0))&amp;"",""))</f>
        <v/>
      </c>
      <c r="H465" s="25" t="n"/>
      <c r="I465" s="25" t="n"/>
      <c r="J465" s="25" t="n"/>
      <c r="K465" s="27" t="n"/>
      <c r="L465" s="25" t="n"/>
      <c r="M465" s="25" t="n"/>
      <c r="N465" s="27" t="n"/>
      <c r="O465" s="24">
        <f>IF(B465="","",IF(M465="","TAK",IFERROR(INDEX(Ustawienia!$K$4:$K$8,MATCH(M465,Ustawienia!$J$4:$J$8,0)),"TAK")))</f>
        <v/>
      </c>
      <c r="P465" s="28">
        <f>IF(OR(B465="",D465=""),"",IFERROR(INDEX('Dane rozpisek'!$B$2:$B$2600,MATCH(S465,'Dane rozpisek'!$H$2:$H$2600,0))&amp;": "&amp;INDEX('Dane rozpisek'!$E$2:$E$2600,MATCH(S465,'Dane rozpisek'!$H$2:$H$2600,0))&amp;IF(COUNTIF('Dane rozpisek'!$H$2:$H$2600,S465)&gt;1," (+"&amp;(COUNTIF('Dane rozpisek'!$H$2:$H$2600,S465)-1)&amp;")",""),"—"))</f>
        <v/>
      </c>
      <c r="Q465" s="24">
        <f>IF(AND(B465&lt;&gt;"",D465&lt;&gt;"",OR('Historia wózka'!$B$4="",B465='Historia wózka'!$B$4),D465&gt;='Historia wózka'!$B$5,D465&lt;='Historia wózka'!$B$6),D465+ROW()/1000000,0)</f>
        <v/>
      </c>
      <c r="R465" s="24">
        <f>IF(O465="TAK",IF(D465="",0,D465)+ROW()/1000000,0)</f>
        <v/>
      </c>
      <c r="S465" s="24">
        <f>IF(OR(B465="",D465=""),"",B465&amp;"|"&amp;D465)</f>
        <v/>
      </c>
    </row>
    <row r="466">
      <c r="A466" s="24">
        <f>IF(B466="","",ROW()-4)</f>
        <v/>
      </c>
      <c r="B466" s="25" t="n"/>
      <c r="C466" s="24">
        <f>IF(B466="","",IFERROR(INDEX('Wózki'!$B$2:$B$500,MATCH(B466,'Wózki'!$A$2:$A$500,0))&amp;"",""))</f>
        <v/>
      </c>
      <c r="D466" s="26" t="n"/>
      <c r="E466" s="25" t="n"/>
      <c r="F466" s="25" t="n"/>
      <c r="G466" s="24">
        <f>IF(F466="","",IFERROR(INDEX(Pracownicy!$B$2:$B$2000,MATCH(F466,Pracownicy!$A$2:$A$2000,0))&amp;"",""))</f>
        <v/>
      </c>
      <c r="H466" s="25" t="n"/>
      <c r="I466" s="25" t="n"/>
      <c r="J466" s="25" t="n"/>
      <c r="K466" s="27" t="n"/>
      <c r="L466" s="25" t="n"/>
      <c r="M466" s="25" t="n"/>
      <c r="N466" s="27" t="n"/>
      <c r="O466" s="24">
        <f>IF(B466="","",IF(M466="","TAK",IFERROR(INDEX(Ustawienia!$K$4:$K$8,MATCH(M466,Ustawienia!$J$4:$J$8,0)),"TAK")))</f>
        <v/>
      </c>
      <c r="P466" s="28">
        <f>IF(OR(B466="",D466=""),"",IFERROR(INDEX('Dane rozpisek'!$B$2:$B$2600,MATCH(S466,'Dane rozpisek'!$H$2:$H$2600,0))&amp;": "&amp;INDEX('Dane rozpisek'!$E$2:$E$2600,MATCH(S466,'Dane rozpisek'!$H$2:$H$2600,0))&amp;IF(COUNTIF('Dane rozpisek'!$H$2:$H$2600,S466)&gt;1," (+"&amp;(COUNTIF('Dane rozpisek'!$H$2:$H$2600,S466)-1)&amp;")",""),"—"))</f>
        <v/>
      </c>
      <c r="Q466" s="24">
        <f>IF(AND(B466&lt;&gt;"",D466&lt;&gt;"",OR('Historia wózka'!$B$4="",B466='Historia wózka'!$B$4),D466&gt;='Historia wózka'!$B$5,D466&lt;='Historia wózka'!$B$6),D466+ROW()/1000000,0)</f>
        <v/>
      </c>
      <c r="R466" s="24">
        <f>IF(O466="TAK",IF(D466="",0,D466)+ROW()/1000000,0)</f>
        <v/>
      </c>
      <c r="S466" s="24">
        <f>IF(OR(B466="",D466=""),"",B466&amp;"|"&amp;D466)</f>
        <v/>
      </c>
    </row>
    <row r="467">
      <c r="A467" s="24">
        <f>IF(B467="","",ROW()-4)</f>
        <v/>
      </c>
      <c r="B467" s="25" t="n"/>
      <c r="C467" s="24">
        <f>IF(B467="","",IFERROR(INDEX('Wózki'!$B$2:$B$500,MATCH(B467,'Wózki'!$A$2:$A$500,0))&amp;"",""))</f>
        <v/>
      </c>
      <c r="D467" s="26" t="n"/>
      <c r="E467" s="25" t="n"/>
      <c r="F467" s="25" t="n"/>
      <c r="G467" s="24">
        <f>IF(F467="","",IFERROR(INDEX(Pracownicy!$B$2:$B$2000,MATCH(F467,Pracownicy!$A$2:$A$2000,0))&amp;"",""))</f>
        <v/>
      </c>
      <c r="H467" s="25" t="n"/>
      <c r="I467" s="25" t="n"/>
      <c r="J467" s="25" t="n"/>
      <c r="K467" s="27" t="n"/>
      <c r="L467" s="25" t="n"/>
      <c r="M467" s="25" t="n"/>
      <c r="N467" s="27" t="n"/>
      <c r="O467" s="24">
        <f>IF(B467="","",IF(M467="","TAK",IFERROR(INDEX(Ustawienia!$K$4:$K$8,MATCH(M467,Ustawienia!$J$4:$J$8,0)),"TAK")))</f>
        <v/>
      </c>
      <c r="P467" s="28">
        <f>IF(OR(B467="",D467=""),"",IFERROR(INDEX('Dane rozpisek'!$B$2:$B$2600,MATCH(S467,'Dane rozpisek'!$H$2:$H$2600,0))&amp;": "&amp;INDEX('Dane rozpisek'!$E$2:$E$2600,MATCH(S467,'Dane rozpisek'!$H$2:$H$2600,0))&amp;IF(COUNTIF('Dane rozpisek'!$H$2:$H$2600,S467)&gt;1," (+"&amp;(COUNTIF('Dane rozpisek'!$H$2:$H$2600,S467)-1)&amp;")",""),"—"))</f>
        <v/>
      </c>
      <c r="Q467" s="24">
        <f>IF(AND(B467&lt;&gt;"",D467&lt;&gt;"",OR('Historia wózka'!$B$4="",B467='Historia wózka'!$B$4),D467&gt;='Historia wózka'!$B$5,D467&lt;='Historia wózka'!$B$6),D467+ROW()/1000000,0)</f>
        <v/>
      </c>
      <c r="R467" s="24">
        <f>IF(O467="TAK",IF(D467="",0,D467)+ROW()/1000000,0)</f>
        <v/>
      </c>
      <c r="S467" s="24">
        <f>IF(OR(B467="",D467=""),"",B467&amp;"|"&amp;D467)</f>
        <v/>
      </c>
    </row>
    <row r="468">
      <c r="A468" s="24">
        <f>IF(B468="","",ROW()-4)</f>
        <v/>
      </c>
      <c r="B468" s="25" t="n"/>
      <c r="C468" s="24">
        <f>IF(B468="","",IFERROR(INDEX('Wózki'!$B$2:$B$500,MATCH(B468,'Wózki'!$A$2:$A$500,0))&amp;"",""))</f>
        <v/>
      </c>
      <c r="D468" s="26" t="n"/>
      <c r="E468" s="25" t="n"/>
      <c r="F468" s="25" t="n"/>
      <c r="G468" s="24">
        <f>IF(F468="","",IFERROR(INDEX(Pracownicy!$B$2:$B$2000,MATCH(F468,Pracownicy!$A$2:$A$2000,0))&amp;"",""))</f>
        <v/>
      </c>
      <c r="H468" s="25" t="n"/>
      <c r="I468" s="25" t="n"/>
      <c r="J468" s="25" t="n"/>
      <c r="K468" s="27" t="n"/>
      <c r="L468" s="25" t="n"/>
      <c r="M468" s="25" t="n"/>
      <c r="N468" s="27" t="n"/>
      <c r="O468" s="24">
        <f>IF(B468="","",IF(M468="","TAK",IFERROR(INDEX(Ustawienia!$K$4:$K$8,MATCH(M468,Ustawienia!$J$4:$J$8,0)),"TAK")))</f>
        <v/>
      </c>
      <c r="P468" s="28">
        <f>IF(OR(B468="",D468=""),"",IFERROR(INDEX('Dane rozpisek'!$B$2:$B$2600,MATCH(S468,'Dane rozpisek'!$H$2:$H$2600,0))&amp;": "&amp;INDEX('Dane rozpisek'!$E$2:$E$2600,MATCH(S468,'Dane rozpisek'!$H$2:$H$2600,0))&amp;IF(COUNTIF('Dane rozpisek'!$H$2:$H$2600,S468)&gt;1," (+"&amp;(COUNTIF('Dane rozpisek'!$H$2:$H$2600,S468)-1)&amp;")",""),"—"))</f>
        <v/>
      </c>
      <c r="Q468" s="24">
        <f>IF(AND(B468&lt;&gt;"",D468&lt;&gt;"",OR('Historia wózka'!$B$4="",B468='Historia wózka'!$B$4),D468&gt;='Historia wózka'!$B$5,D468&lt;='Historia wózka'!$B$6),D468+ROW()/1000000,0)</f>
        <v/>
      </c>
      <c r="R468" s="24">
        <f>IF(O468="TAK",IF(D468="",0,D468)+ROW()/1000000,0)</f>
        <v/>
      </c>
      <c r="S468" s="24">
        <f>IF(OR(B468="",D468=""),"",B468&amp;"|"&amp;D468)</f>
        <v/>
      </c>
    </row>
    <row r="469">
      <c r="A469" s="24">
        <f>IF(B469="","",ROW()-4)</f>
        <v/>
      </c>
      <c r="B469" s="25" t="n"/>
      <c r="C469" s="24">
        <f>IF(B469="","",IFERROR(INDEX('Wózki'!$B$2:$B$500,MATCH(B469,'Wózki'!$A$2:$A$500,0))&amp;"",""))</f>
        <v/>
      </c>
      <c r="D469" s="26" t="n"/>
      <c r="E469" s="25" t="n"/>
      <c r="F469" s="25" t="n"/>
      <c r="G469" s="24">
        <f>IF(F469="","",IFERROR(INDEX(Pracownicy!$B$2:$B$2000,MATCH(F469,Pracownicy!$A$2:$A$2000,0))&amp;"",""))</f>
        <v/>
      </c>
      <c r="H469" s="25" t="n"/>
      <c r="I469" s="25" t="n"/>
      <c r="J469" s="25" t="n"/>
      <c r="K469" s="27" t="n"/>
      <c r="L469" s="25" t="n"/>
      <c r="M469" s="25" t="n"/>
      <c r="N469" s="27" t="n"/>
      <c r="O469" s="24">
        <f>IF(B469="","",IF(M469="","TAK",IFERROR(INDEX(Ustawienia!$K$4:$K$8,MATCH(M469,Ustawienia!$J$4:$J$8,0)),"TAK")))</f>
        <v/>
      </c>
      <c r="P469" s="28">
        <f>IF(OR(B469="",D469=""),"",IFERROR(INDEX('Dane rozpisek'!$B$2:$B$2600,MATCH(S469,'Dane rozpisek'!$H$2:$H$2600,0))&amp;": "&amp;INDEX('Dane rozpisek'!$E$2:$E$2600,MATCH(S469,'Dane rozpisek'!$H$2:$H$2600,0))&amp;IF(COUNTIF('Dane rozpisek'!$H$2:$H$2600,S469)&gt;1," (+"&amp;(COUNTIF('Dane rozpisek'!$H$2:$H$2600,S469)-1)&amp;")",""),"—"))</f>
        <v/>
      </c>
      <c r="Q469" s="24">
        <f>IF(AND(B469&lt;&gt;"",D469&lt;&gt;"",OR('Historia wózka'!$B$4="",B469='Historia wózka'!$B$4),D469&gt;='Historia wózka'!$B$5,D469&lt;='Historia wózka'!$B$6),D469+ROW()/1000000,0)</f>
        <v/>
      </c>
      <c r="R469" s="24">
        <f>IF(O469="TAK",IF(D469="",0,D469)+ROW()/1000000,0)</f>
        <v/>
      </c>
      <c r="S469" s="24">
        <f>IF(OR(B469="",D469=""),"",B469&amp;"|"&amp;D469)</f>
        <v/>
      </c>
    </row>
    <row r="470">
      <c r="A470" s="24">
        <f>IF(B470="","",ROW()-4)</f>
        <v/>
      </c>
      <c r="B470" s="25" t="n"/>
      <c r="C470" s="24">
        <f>IF(B470="","",IFERROR(INDEX('Wózki'!$B$2:$B$500,MATCH(B470,'Wózki'!$A$2:$A$500,0))&amp;"",""))</f>
        <v/>
      </c>
      <c r="D470" s="26" t="n"/>
      <c r="E470" s="25" t="n"/>
      <c r="F470" s="25" t="n"/>
      <c r="G470" s="24">
        <f>IF(F470="","",IFERROR(INDEX(Pracownicy!$B$2:$B$2000,MATCH(F470,Pracownicy!$A$2:$A$2000,0))&amp;"",""))</f>
        <v/>
      </c>
      <c r="H470" s="25" t="n"/>
      <c r="I470" s="25" t="n"/>
      <c r="J470" s="25" t="n"/>
      <c r="K470" s="27" t="n"/>
      <c r="L470" s="25" t="n"/>
      <c r="M470" s="25" t="n"/>
      <c r="N470" s="27" t="n"/>
      <c r="O470" s="24">
        <f>IF(B470="","",IF(M470="","TAK",IFERROR(INDEX(Ustawienia!$K$4:$K$8,MATCH(M470,Ustawienia!$J$4:$J$8,0)),"TAK")))</f>
        <v/>
      </c>
      <c r="P470" s="28">
        <f>IF(OR(B470="",D470=""),"",IFERROR(INDEX('Dane rozpisek'!$B$2:$B$2600,MATCH(S470,'Dane rozpisek'!$H$2:$H$2600,0))&amp;": "&amp;INDEX('Dane rozpisek'!$E$2:$E$2600,MATCH(S470,'Dane rozpisek'!$H$2:$H$2600,0))&amp;IF(COUNTIF('Dane rozpisek'!$H$2:$H$2600,S470)&gt;1," (+"&amp;(COUNTIF('Dane rozpisek'!$H$2:$H$2600,S470)-1)&amp;")",""),"—"))</f>
        <v/>
      </c>
      <c r="Q470" s="24">
        <f>IF(AND(B470&lt;&gt;"",D470&lt;&gt;"",OR('Historia wózka'!$B$4="",B470='Historia wózka'!$B$4),D470&gt;='Historia wózka'!$B$5,D470&lt;='Historia wózka'!$B$6),D470+ROW()/1000000,0)</f>
        <v/>
      </c>
      <c r="R470" s="24">
        <f>IF(O470="TAK",IF(D470="",0,D470)+ROW()/1000000,0)</f>
        <v/>
      </c>
      <c r="S470" s="24">
        <f>IF(OR(B470="",D470=""),"",B470&amp;"|"&amp;D470)</f>
        <v/>
      </c>
    </row>
    <row r="471">
      <c r="A471" s="24">
        <f>IF(B471="","",ROW()-4)</f>
        <v/>
      </c>
      <c r="B471" s="25" t="n"/>
      <c r="C471" s="24">
        <f>IF(B471="","",IFERROR(INDEX('Wózki'!$B$2:$B$500,MATCH(B471,'Wózki'!$A$2:$A$500,0))&amp;"",""))</f>
        <v/>
      </c>
      <c r="D471" s="26" t="n"/>
      <c r="E471" s="25" t="n"/>
      <c r="F471" s="25" t="n"/>
      <c r="G471" s="24">
        <f>IF(F471="","",IFERROR(INDEX(Pracownicy!$B$2:$B$2000,MATCH(F471,Pracownicy!$A$2:$A$2000,0))&amp;"",""))</f>
        <v/>
      </c>
      <c r="H471" s="25" t="n"/>
      <c r="I471" s="25" t="n"/>
      <c r="J471" s="25" t="n"/>
      <c r="K471" s="27" t="n"/>
      <c r="L471" s="25" t="n"/>
      <c r="M471" s="25" t="n"/>
      <c r="N471" s="27" t="n"/>
      <c r="O471" s="24">
        <f>IF(B471="","",IF(M471="","TAK",IFERROR(INDEX(Ustawienia!$K$4:$K$8,MATCH(M471,Ustawienia!$J$4:$J$8,0)),"TAK")))</f>
        <v/>
      </c>
      <c r="P471" s="28">
        <f>IF(OR(B471="",D471=""),"",IFERROR(INDEX('Dane rozpisek'!$B$2:$B$2600,MATCH(S471,'Dane rozpisek'!$H$2:$H$2600,0))&amp;": "&amp;INDEX('Dane rozpisek'!$E$2:$E$2600,MATCH(S471,'Dane rozpisek'!$H$2:$H$2600,0))&amp;IF(COUNTIF('Dane rozpisek'!$H$2:$H$2600,S471)&gt;1," (+"&amp;(COUNTIF('Dane rozpisek'!$H$2:$H$2600,S471)-1)&amp;")",""),"—"))</f>
        <v/>
      </c>
      <c r="Q471" s="24">
        <f>IF(AND(B471&lt;&gt;"",D471&lt;&gt;"",OR('Historia wózka'!$B$4="",B471='Historia wózka'!$B$4),D471&gt;='Historia wózka'!$B$5,D471&lt;='Historia wózka'!$B$6),D471+ROW()/1000000,0)</f>
        <v/>
      </c>
      <c r="R471" s="24">
        <f>IF(O471="TAK",IF(D471="",0,D471)+ROW()/1000000,0)</f>
        <v/>
      </c>
      <c r="S471" s="24">
        <f>IF(OR(B471="",D471=""),"",B471&amp;"|"&amp;D471)</f>
        <v/>
      </c>
    </row>
    <row r="472">
      <c r="A472" s="24">
        <f>IF(B472="","",ROW()-4)</f>
        <v/>
      </c>
      <c r="B472" s="25" t="n"/>
      <c r="C472" s="24">
        <f>IF(B472="","",IFERROR(INDEX('Wózki'!$B$2:$B$500,MATCH(B472,'Wózki'!$A$2:$A$500,0))&amp;"",""))</f>
        <v/>
      </c>
      <c r="D472" s="26" t="n"/>
      <c r="E472" s="25" t="n"/>
      <c r="F472" s="25" t="n"/>
      <c r="G472" s="24">
        <f>IF(F472="","",IFERROR(INDEX(Pracownicy!$B$2:$B$2000,MATCH(F472,Pracownicy!$A$2:$A$2000,0))&amp;"",""))</f>
        <v/>
      </c>
      <c r="H472" s="25" t="n"/>
      <c r="I472" s="25" t="n"/>
      <c r="J472" s="25" t="n"/>
      <c r="K472" s="27" t="n"/>
      <c r="L472" s="25" t="n"/>
      <c r="M472" s="25" t="n"/>
      <c r="N472" s="27" t="n"/>
      <c r="O472" s="24">
        <f>IF(B472="","",IF(M472="","TAK",IFERROR(INDEX(Ustawienia!$K$4:$K$8,MATCH(M472,Ustawienia!$J$4:$J$8,0)),"TAK")))</f>
        <v/>
      </c>
      <c r="P472" s="28">
        <f>IF(OR(B472="",D472=""),"",IFERROR(INDEX('Dane rozpisek'!$B$2:$B$2600,MATCH(S472,'Dane rozpisek'!$H$2:$H$2600,0))&amp;": "&amp;INDEX('Dane rozpisek'!$E$2:$E$2600,MATCH(S472,'Dane rozpisek'!$H$2:$H$2600,0))&amp;IF(COUNTIF('Dane rozpisek'!$H$2:$H$2600,S472)&gt;1," (+"&amp;(COUNTIF('Dane rozpisek'!$H$2:$H$2600,S472)-1)&amp;")",""),"—"))</f>
        <v/>
      </c>
      <c r="Q472" s="24">
        <f>IF(AND(B472&lt;&gt;"",D472&lt;&gt;"",OR('Historia wózka'!$B$4="",B472='Historia wózka'!$B$4),D472&gt;='Historia wózka'!$B$5,D472&lt;='Historia wózka'!$B$6),D472+ROW()/1000000,0)</f>
        <v/>
      </c>
      <c r="R472" s="24">
        <f>IF(O472="TAK",IF(D472="",0,D472)+ROW()/1000000,0)</f>
        <v/>
      </c>
      <c r="S472" s="24">
        <f>IF(OR(B472="",D472=""),"",B472&amp;"|"&amp;D472)</f>
        <v/>
      </c>
    </row>
    <row r="473">
      <c r="A473" s="24">
        <f>IF(B473="","",ROW()-4)</f>
        <v/>
      </c>
      <c r="B473" s="25" t="n"/>
      <c r="C473" s="24">
        <f>IF(B473="","",IFERROR(INDEX('Wózki'!$B$2:$B$500,MATCH(B473,'Wózki'!$A$2:$A$500,0))&amp;"",""))</f>
        <v/>
      </c>
      <c r="D473" s="26" t="n"/>
      <c r="E473" s="25" t="n"/>
      <c r="F473" s="25" t="n"/>
      <c r="G473" s="24">
        <f>IF(F473="","",IFERROR(INDEX(Pracownicy!$B$2:$B$2000,MATCH(F473,Pracownicy!$A$2:$A$2000,0))&amp;"",""))</f>
        <v/>
      </c>
      <c r="H473" s="25" t="n"/>
      <c r="I473" s="25" t="n"/>
      <c r="J473" s="25" t="n"/>
      <c r="K473" s="27" t="n"/>
      <c r="L473" s="25" t="n"/>
      <c r="M473" s="25" t="n"/>
      <c r="N473" s="27" t="n"/>
      <c r="O473" s="24">
        <f>IF(B473="","",IF(M473="","TAK",IFERROR(INDEX(Ustawienia!$K$4:$K$8,MATCH(M473,Ustawienia!$J$4:$J$8,0)),"TAK")))</f>
        <v/>
      </c>
      <c r="P473" s="28">
        <f>IF(OR(B473="",D473=""),"",IFERROR(INDEX('Dane rozpisek'!$B$2:$B$2600,MATCH(S473,'Dane rozpisek'!$H$2:$H$2600,0))&amp;": "&amp;INDEX('Dane rozpisek'!$E$2:$E$2600,MATCH(S473,'Dane rozpisek'!$H$2:$H$2600,0))&amp;IF(COUNTIF('Dane rozpisek'!$H$2:$H$2600,S473)&gt;1," (+"&amp;(COUNTIF('Dane rozpisek'!$H$2:$H$2600,S473)-1)&amp;")",""),"—"))</f>
        <v/>
      </c>
      <c r="Q473" s="24">
        <f>IF(AND(B473&lt;&gt;"",D473&lt;&gt;"",OR('Historia wózka'!$B$4="",B473='Historia wózka'!$B$4),D473&gt;='Historia wózka'!$B$5,D473&lt;='Historia wózka'!$B$6),D473+ROW()/1000000,0)</f>
        <v/>
      </c>
      <c r="R473" s="24">
        <f>IF(O473="TAK",IF(D473="",0,D473)+ROW()/1000000,0)</f>
        <v/>
      </c>
      <c r="S473" s="24">
        <f>IF(OR(B473="",D473=""),"",B473&amp;"|"&amp;D473)</f>
        <v/>
      </c>
    </row>
    <row r="474">
      <c r="A474" s="24">
        <f>IF(B474="","",ROW()-4)</f>
        <v/>
      </c>
      <c r="B474" s="25" t="n"/>
      <c r="C474" s="24">
        <f>IF(B474="","",IFERROR(INDEX('Wózki'!$B$2:$B$500,MATCH(B474,'Wózki'!$A$2:$A$500,0))&amp;"",""))</f>
        <v/>
      </c>
      <c r="D474" s="26" t="n"/>
      <c r="E474" s="25" t="n"/>
      <c r="F474" s="25" t="n"/>
      <c r="G474" s="24">
        <f>IF(F474="","",IFERROR(INDEX(Pracownicy!$B$2:$B$2000,MATCH(F474,Pracownicy!$A$2:$A$2000,0))&amp;"",""))</f>
        <v/>
      </c>
      <c r="H474" s="25" t="n"/>
      <c r="I474" s="25" t="n"/>
      <c r="J474" s="25" t="n"/>
      <c r="K474" s="27" t="n"/>
      <c r="L474" s="25" t="n"/>
      <c r="M474" s="25" t="n"/>
      <c r="N474" s="27" t="n"/>
      <c r="O474" s="24">
        <f>IF(B474="","",IF(M474="","TAK",IFERROR(INDEX(Ustawienia!$K$4:$K$8,MATCH(M474,Ustawienia!$J$4:$J$8,0)),"TAK")))</f>
        <v/>
      </c>
      <c r="P474" s="28">
        <f>IF(OR(B474="",D474=""),"",IFERROR(INDEX('Dane rozpisek'!$B$2:$B$2600,MATCH(S474,'Dane rozpisek'!$H$2:$H$2600,0))&amp;": "&amp;INDEX('Dane rozpisek'!$E$2:$E$2600,MATCH(S474,'Dane rozpisek'!$H$2:$H$2600,0))&amp;IF(COUNTIF('Dane rozpisek'!$H$2:$H$2600,S474)&gt;1," (+"&amp;(COUNTIF('Dane rozpisek'!$H$2:$H$2600,S474)-1)&amp;")",""),"—"))</f>
        <v/>
      </c>
      <c r="Q474" s="24">
        <f>IF(AND(B474&lt;&gt;"",D474&lt;&gt;"",OR('Historia wózka'!$B$4="",B474='Historia wózka'!$B$4),D474&gt;='Historia wózka'!$B$5,D474&lt;='Historia wózka'!$B$6),D474+ROW()/1000000,0)</f>
        <v/>
      </c>
      <c r="R474" s="24">
        <f>IF(O474="TAK",IF(D474="",0,D474)+ROW()/1000000,0)</f>
        <v/>
      </c>
      <c r="S474" s="24">
        <f>IF(OR(B474="",D474=""),"",B474&amp;"|"&amp;D474)</f>
        <v/>
      </c>
    </row>
    <row r="475">
      <c r="A475" s="24">
        <f>IF(B475="","",ROW()-4)</f>
        <v/>
      </c>
      <c r="B475" s="25" t="n"/>
      <c r="C475" s="24">
        <f>IF(B475="","",IFERROR(INDEX('Wózki'!$B$2:$B$500,MATCH(B475,'Wózki'!$A$2:$A$500,0))&amp;"",""))</f>
        <v/>
      </c>
      <c r="D475" s="26" t="n"/>
      <c r="E475" s="25" t="n"/>
      <c r="F475" s="25" t="n"/>
      <c r="G475" s="24">
        <f>IF(F475="","",IFERROR(INDEX(Pracownicy!$B$2:$B$2000,MATCH(F475,Pracownicy!$A$2:$A$2000,0))&amp;"",""))</f>
        <v/>
      </c>
      <c r="H475" s="25" t="n"/>
      <c r="I475" s="25" t="n"/>
      <c r="J475" s="25" t="n"/>
      <c r="K475" s="27" t="n"/>
      <c r="L475" s="25" t="n"/>
      <c r="M475" s="25" t="n"/>
      <c r="N475" s="27" t="n"/>
      <c r="O475" s="24">
        <f>IF(B475="","",IF(M475="","TAK",IFERROR(INDEX(Ustawienia!$K$4:$K$8,MATCH(M475,Ustawienia!$J$4:$J$8,0)),"TAK")))</f>
        <v/>
      </c>
      <c r="P475" s="28">
        <f>IF(OR(B475="",D475=""),"",IFERROR(INDEX('Dane rozpisek'!$B$2:$B$2600,MATCH(S475,'Dane rozpisek'!$H$2:$H$2600,0))&amp;": "&amp;INDEX('Dane rozpisek'!$E$2:$E$2600,MATCH(S475,'Dane rozpisek'!$H$2:$H$2600,0))&amp;IF(COUNTIF('Dane rozpisek'!$H$2:$H$2600,S475)&gt;1," (+"&amp;(COUNTIF('Dane rozpisek'!$H$2:$H$2600,S475)-1)&amp;")",""),"—"))</f>
        <v/>
      </c>
      <c r="Q475" s="24">
        <f>IF(AND(B475&lt;&gt;"",D475&lt;&gt;"",OR('Historia wózka'!$B$4="",B475='Historia wózka'!$B$4),D475&gt;='Historia wózka'!$B$5,D475&lt;='Historia wózka'!$B$6),D475+ROW()/1000000,0)</f>
        <v/>
      </c>
      <c r="R475" s="24">
        <f>IF(O475="TAK",IF(D475="",0,D475)+ROW()/1000000,0)</f>
        <v/>
      </c>
      <c r="S475" s="24">
        <f>IF(OR(B475="",D475=""),"",B475&amp;"|"&amp;D475)</f>
        <v/>
      </c>
    </row>
    <row r="476">
      <c r="A476" s="24">
        <f>IF(B476="","",ROW()-4)</f>
        <v/>
      </c>
      <c r="B476" s="25" t="n"/>
      <c r="C476" s="24">
        <f>IF(B476="","",IFERROR(INDEX('Wózki'!$B$2:$B$500,MATCH(B476,'Wózki'!$A$2:$A$500,0))&amp;"",""))</f>
        <v/>
      </c>
      <c r="D476" s="26" t="n"/>
      <c r="E476" s="25" t="n"/>
      <c r="F476" s="25" t="n"/>
      <c r="G476" s="24">
        <f>IF(F476="","",IFERROR(INDEX(Pracownicy!$B$2:$B$2000,MATCH(F476,Pracownicy!$A$2:$A$2000,0))&amp;"",""))</f>
        <v/>
      </c>
      <c r="H476" s="25" t="n"/>
      <c r="I476" s="25" t="n"/>
      <c r="J476" s="25" t="n"/>
      <c r="K476" s="27" t="n"/>
      <c r="L476" s="25" t="n"/>
      <c r="M476" s="25" t="n"/>
      <c r="N476" s="27" t="n"/>
      <c r="O476" s="24">
        <f>IF(B476="","",IF(M476="","TAK",IFERROR(INDEX(Ustawienia!$K$4:$K$8,MATCH(M476,Ustawienia!$J$4:$J$8,0)),"TAK")))</f>
        <v/>
      </c>
      <c r="P476" s="28">
        <f>IF(OR(B476="",D476=""),"",IFERROR(INDEX('Dane rozpisek'!$B$2:$B$2600,MATCH(S476,'Dane rozpisek'!$H$2:$H$2600,0))&amp;": "&amp;INDEX('Dane rozpisek'!$E$2:$E$2600,MATCH(S476,'Dane rozpisek'!$H$2:$H$2600,0))&amp;IF(COUNTIF('Dane rozpisek'!$H$2:$H$2600,S476)&gt;1," (+"&amp;(COUNTIF('Dane rozpisek'!$H$2:$H$2600,S476)-1)&amp;")",""),"—"))</f>
        <v/>
      </c>
      <c r="Q476" s="24">
        <f>IF(AND(B476&lt;&gt;"",D476&lt;&gt;"",OR('Historia wózka'!$B$4="",B476='Historia wózka'!$B$4),D476&gt;='Historia wózka'!$B$5,D476&lt;='Historia wózka'!$B$6),D476+ROW()/1000000,0)</f>
        <v/>
      </c>
      <c r="R476" s="24">
        <f>IF(O476="TAK",IF(D476="",0,D476)+ROW()/1000000,0)</f>
        <v/>
      </c>
      <c r="S476" s="24">
        <f>IF(OR(B476="",D476=""),"",B476&amp;"|"&amp;D476)</f>
        <v/>
      </c>
    </row>
    <row r="477">
      <c r="A477" s="24">
        <f>IF(B477="","",ROW()-4)</f>
        <v/>
      </c>
      <c r="B477" s="25" t="n"/>
      <c r="C477" s="24">
        <f>IF(B477="","",IFERROR(INDEX('Wózki'!$B$2:$B$500,MATCH(B477,'Wózki'!$A$2:$A$500,0))&amp;"",""))</f>
        <v/>
      </c>
      <c r="D477" s="26" t="n"/>
      <c r="E477" s="25" t="n"/>
      <c r="F477" s="25" t="n"/>
      <c r="G477" s="24">
        <f>IF(F477="","",IFERROR(INDEX(Pracownicy!$B$2:$B$2000,MATCH(F477,Pracownicy!$A$2:$A$2000,0))&amp;"",""))</f>
        <v/>
      </c>
      <c r="H477" s="25" t="n"/>
      <c r="I477" s="25" t="n"/>
      <c r="J477" s="25" t="n"/>
      <c r="K477" s="27" t="n"/>
      <c r="L477" s="25" t="n"/>
      <c r="M477" s="25" t="n"/>
      <c r="N477" s="27" t="n"/>
      <c r="O477" s="24">
        <f>IF(B477="","",IF(M477="","TAK",IFERROR(INDEX(Ustawienia!$K$4:$K$8,MATCH(M477,Ustawienia!$J$4:$J$8,0)),"TAK")))</f>
        <v/>
      </c>
      <c r="P477" s="28">
        <f>IF(OR(B477="",D477=""),"",IFERROR(INDEX('Dane rozpisek'!$B$2:$B$2600,MATCH(S477,'Dane rozpisek'!$H$2:$H$2600,0))&amp;": "&amp;INDEX('Dane rozpisek'!$E$2:$E$2600,MATCH(S477,'Dane rozpisek'!$H$2:$H$2600,0))&amp;IF(COUNTIF('Dane rozpisek'!$H$2:$H$2600,S477)&gt;1," (+"&amp;(COUNTIF('Dane rozpisek'!$H$2:$H$2600,S477)-1)&amp;")",""),"—"))</f>
        <v/>
      </c>
      <c r="Q477" s="24">
        <f>IF(AND(B477&lt;&gt;"",D477&lt;&gt;"",OR('Historia wózka'!$B$4="",B477='Historia wózka'!$B$4),D477&gt;='Historia wózka'!$B$5,D477&lt;='Historia wózka'!$B$6),D477+ROW()/1000000,0)</f>
        <v/>
      </c>
      <c r="R477" s="24">
        <f>IF(O477="TAK",IF(D477="",0,D477)+ROW()/1000000,0)</f>
        <v/>
      </c>
      <c r="S477" s="24">
        <f>IF(OR(B477="",D477=""),"",B477&amp;"|"&amp;D477)</f>
        <v/>
      </c>
    </row>
    <row r="478">
      <c r="A478" s="24">
        <f>IF(B478="","",ROW()-4)</f>
        <v/>
      </c>
      <c r="B478" s="25" t="n"/>
      <c r="C478" s="24">
        <f>IF(B478="","",IFERROR(INDEX('Wózki'!$B$2:$B$500,MATCH(B478,'Wózki'!$A$2:$A$500,0))&amp;"",""))</f>
        <v/>
      </c>
      <c r="D478" s="26" t="n"/>
      <c r="E478" s="25" t="n"/>
      <c r="F478" s="25" t="n"/>
      <c r="G478" s="24">
        <f>IF(F478="","",IFERROR(INDEX(Pracownicy!$B$2:$B$2000,MATCH(F478,Pracownicy!$A$2:$A$2000,0))&amp;"",""))</f>
        <v/>
      </c>
      <c r="H478" s="25" t="n"/>
      <c r="I478" s="25" t="n"/>
      <c r="J478" s="25" t="n"/>
      <c r="K478" s="27" t="n"/>
      <c r="L478" s="25" t="n"/>
      <c r="M478" s="25" t="n"/>
      <c r="N478" s="27" t="n"/>
      <c r="O478" s="24">
        <f>IF(B478="","",IF(M478="","TAK",IFERROR(INDEX(Ustawienia!$K$4:$K$8,MATCH(M478,Ustawienia!$J$4:$J$8,0)),"TAK")))</f>
        <v/>
      </c>
      <c r="P478" s="28">
        <f>IF(OR(B478="",D478=""),"",IFERROR(INDEX('Dane rozpisek'!$B$2:$B$2600,MATCH(S478,'Dane rozpisek'!$H$2:$H$2600,0))&amp;": "&amp;INDEX('Dane rozpisek'!$E$2:$E$2600,MATCH(S478,'Dane rozpisek'!$H$2:$H$2600,0))&amp;IF(COUNTIF('Dane rozpisek'!$H$2:$H$2600,S478)&gt;1," (+"&amp;(COUNTIF('Dane rozpisek'!$H$2:$H$2600,S478)-1)&amp;")",""),"—"))</f>
        <v/>
      </c>
      <c r="Q478" s="24">
        <f>IF(AND(B478&lt;&gt;"",D478&lt;&gt;"",OR('Historia wózka'!$B$4="",B478='Historia wózka'!$B$4),D478&gt;='Historia wózka'!$B$5,D478&lt;='Historia wózka'!$B$6),D478+ROW()/1000000,0)</f>
        <v/>
      </c>
      <c r="R478" s="24">
        <f>IF(O478="TAK",IF(D478="",0,D478)+ROW()/1000000,0)</f>
        <v/>
      </c>
      <c r="S478" s="24">
        <f>IF(OR(B478="",D478=""),"",B478&amp;"|"&amp;D478)</f>
        <v/>
      </c>
    </row>
    <row r="479">
      <c r="A479" s="24">
        <f>IF(B479="","",ROW()-4)</f>
        <v/>
      </c>
      <c r="B479" s="25" t="n"/>
      <c r="C479" s="24">
        <f>IF(B479="","",IFERROR(INDEX('Wózki'!$B$2:$B$500,MATCH(B479,'Wózki'!$A$2:$A$500,0))&amp;"",""))</f>
        <v/>
      </c>
      <c r="D479" s="26" t="n"/>
      <c r="E479" s="25" t="n"/>
      <c r="F479" s="25" t="n"/>
      <c r="G479" s="24">
        <f>IF(F479="","",IFERROR(INDEX(Pracownicy!$B$2:$B$2000,MATCH(F479,Pracownicy!$A$2:$A$2000,0))&amp;"",""))</f>
        <v/>
      </c>
      <c r="H479" s="25" t="n"/>
      <c r="I479" s="25" t="n"/>
      <c r="J479" s="25" t="n"/>
      <c r="K479" s="27" t="n"/>
      <c r="L479" s="25" t="n"/>
      <c r="M479" s="25" t="n"/>
      <c r="N479" s="27" t="n"/>
      <c r="O479" s="24">
        <f>IF(B479="","",IF(M479="","TAK",IFERROR(INDEX(Ustawienia!$K$4:$K$8,MATCH(M479,Ustawienia!$J$4:$J$8,0)),"TAK")))</f>
        <v/>
      </c>
      <c r="P479" s="28">
        <f>IF(OR(B479="",D479=""),"",IFERROR(INDEX('Dane rozpisek'!$B$2:$B$2600,MATCH(S479,'Dane rozpisek'!$H$2:$H$2600,0))&amp;": "&amp;INDEX('Dane rozpisek'!$E$2:$E$2600,MATCH(S479,'Dane rozpisek'!$H$2:$H$2600,0))&amp;IF(COUNTIF('Dane rozpisek'!$H$2:$H$2600,S479)&gt;1," (+"&amp;(COUNTIF('Dane rozpisek'!$H$2:$H$2600,S479)-1)&amp;")",""),"—"))</f>
        <v/>
      </c>
      <c r="Q479" s="24">
        <f>IF(AND(B479&lt;&gt;"",D479&lt;&gt;"",OR('Historia wózka'!$B$4="",B479='Historia wózka'!$B$4),D479&gt;='Historia wózka'!$B$5,D479&lt;='Historia wózka'!$B$6),D479+ROW()/1000000,0)</f>
        <v/>
      </c>
      <c r="R479" s="24">
        <f>IF(O479="TAK",IF(D479="",0,D479)+ROW()/1000000,0)</f>
        <v/>
      </c>
      <c r="S479" s="24">
        <f>IF(OR(B479="",D479=""),"",B479&amp;"|"&amp;D479)</f>
        <v/>
      </c>
    </row>
    <row r="480">
      <c r="A480" s="24">
        <f>IF(B480="","",ROW()-4)</f>
        <v/>
      </c>
      <c r="B480" s="25" t="n"/>
      <c r="C480" s="24">
        <f>IF(B480="","",IFERROR(INDEX('Wózki'!$B$2:$B$500,MATCH(B480,'Wózki'!$A$2:$A$500,0))&amp;"",""))</f>
        <v/>
      </c>
      <c r="D480" s="26" t="n"/>
      <c r="E480" s="25" t="n"/>
      <c r="F480" s="25" t="n"/>
      <c r="G480" s="24">
        <f>IF(F480="","",IFERROR(INDEX(Pracownicy!$B$2:$B$2000,MATCH(F480,Pracownicy!$A$2:$A$2000,0))&amp;"",""))</f>
        <v/>
      </c>
      <c r="H480" s="25" t="n"/>
      <c r="I480" s="25" t="n"/>
      <c r="J480" s="25" t="n"/>
      <c r="K480" s="27" t="n"/>
      <c r="L480" s="25" t="n"/>
      <c r="M480" s="25" t="n"/>
      <c r="N480" s="27" t="n"/>
      <c r="O480" s="24">
        <f>IF(B480="","",IF(M480="","TAK",IFERROR(INDEX(Ustawienia!$K$4:$K$8,MATCH(M480,Ustawienia!$J$4:$J$8,0)),"TAK")))</f>
        <v/>
      </c>
      <c r="P480" s="28">
        <f>IF(OR(B480="",D480=""),"",IFERROR(INDEX('Dane rozpisek'!$B$2:$B$2600,MATCH(S480,'Dane rozpisek'!$H$2:$H$2600,0))&amp;": "&amp;INDEX('Dane rozpisek'!$E$2:$E$2600,MATCH(S480,'Dane rozpisek'!$H$2:$H$2600,0))&amp;IF(COUNTIF('Dane rozpisek'!$H$2:$H$2600,S480)&gt;1," (+"&amp;(COUNTIF('Dane rozpisek'!$H$2:$H$2600,S480)-1)&amp;")",""),"—"))</f>
        <v/>
      </c>
      <c r="Q480" s="24">
        <f>IF(AND(B480&lt;&gt;"",D480&lt;&gt;"",OR('Historia wózka'!$B$4="",B480='Historia wózka'!$B$4),D480&gt;='Historia wózka'!$B$5,D480&lt;='Historia wózka'!$B$6),D480+ROW()/1000000,0)</f>
        <v/>
      </c>
      <c r="R480" s="24">
        <f>IF(O480="TAK",IF(D480="",0,D480)+ROW()/1000000,0)</f>
        <v/>
      </c>
      <c r="S480" s="24">
        <f>IF(OR(B480="",D480=""),"",B480&amp;"|"&amp;D480)</f>
        <v/>
      </c>
    </row>
    <row r="481">
      <c r="A481" s="24">
        <f>IF(B481="","",ROW()-4)</f>
        <v/>
      </c>
      <c r="B481" s="25" t="n"/>
      <c r="C481" s="24">
        <f>IF(B481="","",IFERROR(INDEX('Wózki'!$B$2:$B$500,MATCH(B481,'Wózki'!$A$2:$A$500,0))&amp;"",""))</f>
        <v/>
      </c>
      <c r="D481" s="26" t="n"/>
      <c r="E481" s="25" t="n"/>
      <c r="F481" s="25" t="n"/>
      <c r="G481" s="24">
        <f>IF(F481="","",IFERROR(INDEX(Pracownicy!$B$2:$B$2000,MATCH(F481,Pracownicy!$A$2:$A$2000,0))&amp;"",""))</f>
        <v/>
      </c>
      <c r="H481" s="25" t="n"/>
      <c r="I481" s="25" t="n"/>
      <c r="J481" s="25" t="n"/>
      <c r="K481" s="27" t="n"/>
      <c r="L481" s="25" t="n"/>
      <c r="M481" s="25" t="n"/>
      <c r="N481" s="27" t="n"/>
      <c r="O481" s="24">
        <f>IF(B481="","",IF(M481="","TAK",IFERROR(INDEX(Ustawienia!$K$4:$K$8,MATCH(M481,Ustawienia!$J$4:$J$8,0)),"TAK")))</f>
        <v/>
      </c>
      <c r="P481" s="28">
        <f>IF(OR(B481="",D481=""),"",IFERROR(INDEX('Dane rozpisek'!$B$2:$B$2600,MATCH(S481,'Dane rozpisek'!$H$2:$H$2600,0))&amp;": "&amp;INDEX('Dane rozpisek'!$E$2:$E$2600,MATCH(S481,'Dane rozpisek'!$H$2:$H$2600,0))&amp;IF(COUNTIF('Dane rozpisek'!$H$2:$H$2600,S481)&gt;1," (+"&amp;(COUNTIF('Dane rozpisek'!$H$2:$H$2600,S481)-1)&amp;")",""),"—"))</f>
        <v/>
      </c>
      <c r="Q481" s="24">
        <f>IF(AND(B481&lt;&gt;"",D481&lt;&gt;"",OR('Historia wózka'!$B$4="",B481='Historia wózka'!$B$4),D481&gt;='Historia wózka'!$B$5,D481&lt;='Historia wózka'!$B$6),D481+ROW()/1000000,0)</f>
        <v/>
      </c>
      <c r="R481" s="24">
        <f>IF(O481="TAK",IF(D481="",0,D481)+ROW()/1000000,0)</f>
        <v/>
      </c>
      <c r="S481" s="24">
        <f>IF(OR(B481="",D481=""),"",B481&amp;"|"&amp;D481)</f>
        <v/>
      </c>
    </row>
    <row r="482">
      <c r="A482" s="24">
        <f>IF(B482="","",ROW()-4)</f>
        <v/>
      </c>
      <c r="B482" s="25" t="n"/>
      <c r="C482" s="24">
        <f>IF(B482="","",IFERROR(INDEX('Wózki'!$B$2:$B$500,MATCH(B482,'Wózki'!$A$2:$A$500,0))&amp;"",""))</f>
        <v/>
      </c>
      <c r="D482" s="26" t="n"/>
      <c r="E482" s="25" t="n"/>
      <c r="F482" s="25" t="n"/>
      <c r="G482" s="24">
        <f>IF(F482="","",IFERROR(INDEX(Pracownicy!$B$2:$B$2000,MATCH(F482,Pracownicy!$A$2:$A$2000,0))&amp;"",""))</f>
        <v/>
      </c>
      <c r="H482" s="25" t="n"/>
      <c r="I482" s="25" t="n"/>
      <c r="J482" s="25" t="n"/>
      <c r="K482" s="27" t="n"/>
      <c r="L482" s="25" t="n"/>
      <c r="M482" s="25" t="n"/>
      <c r="N482" s="27" t="n"/>
      <c r="O482" s="24">
        <f>IF(B482="","",IF(M482="","TAK",IFERROR(INDEX(Ustawienia!$K$4:$K$8,MATCH(M482,Ustawienia!$J$4:$J$8,0)),"TAK")))</f>
        <v/>
      </c>
      <c r="P482" s="28">
        <f>IF(OR(B482="",D482=""),"",IFERROR(INDEX('Dane rozpisek'!$B$2:$B$2600,MATCH(S482,'Dane rozpisek'!$H$2:$H$2600,0))&amp;": "&amp;INDEX('Dane rozpisek'!$E$2:$E$2600,MATCH(S482,'Dane rozpisek'!$H$2:$H$2600,0))&amp;IF(COUNTIF('Dane rozpisek'!$H$2:$H$2600,S482)&gt;1," (+"&amp;(COUNTIF('Dane rozpisek'!$H$2:$H$2600,S482)-1)&amp;")",""),"—"))</f>
        <v/>
      </c>
      <c r="Q482" s="24">
        <f>IF(AND(B482&lt;&gt;"",D482&lt;&gt;"",OR('Historia wózka'!$B$4="",B482='Historia wózka'!$B$4),D482&gt;='Historia wózka'!$B$5,D482&lt;='Historia wózka'!$B$6),D482+ROW()/1000000,0)</f>
        <v/>
      </c>
      <c r="R482" s="24">
        <f>IF(O482="TAK",IF(D482="",0,D482)+ROW()/1000000,0)</f>
        <v/>
      </c>
      <c r="S482" s="24">
        <f>IF(OR(B482="",D482=""),"",B482&amp;"|"&amp;D482)</f>
        <v/>
      </c>
    </row>
    <row r="483">
      <c r="A483" s="24">
        <f>IF(B483="","",ROW()-4)</f>
        <v/>
      </c>
      <c r="B483" s="25" t="n"/>
      <c r="C483" s="24">
        <f>IF(B483="","",IFERROR(INDEX('Wózki'!$B$2:$B$500,MATCH(B483,'Wózki'!$A$2:$A$500,0))&amp;"",""))</f>
        <v/>
      </c>
      <c r="D483" s="26" t="n"/>
      <c r="E483" s="25" t="n"/>
      <c r="F483" s="25" t="n"/>
      <c r="G483" s="24">
        <f>IF(F483="","",IFERROR(INDEX(Pracownicy!$B$2:$B$2000,MATCH(F483,Pracownicy!$A$2:$A$2000,0))&amp;"",""))</f>
        <v/>
      </c>
      <c r="H483" s="25" t="n"/>
      <c r="I483" s="25" t="n"/>
      <c r="J483" s="25" t="n"/>
      <c r="K483" s="27" t="n"/>
      <c r="L483" s="25" t="n"/>
      <c r="M483" s="25" t="n"/>
      <c r="N483" s="27" t="n"/>
      <c r="O483" s="24">
        <f>IF(B483="","",IF(M483="","TAK",IFERROR(INDEX(Ustawienia!$K$4:$K$8,MATCH(M483,Ustawienia!$J$4:$J$8,0)),"TAK")))</f>
        <v/>
      </c>
      <c r="P483" s="28">
        <f>IF(OR(B483="",D483=""),"",IFERROR(INDEX('Dane rozpisek'!$B$2:$B$2600,MATCH(S483,'Dane rozpisek'!$H$2:$H$2600,0))&amp;": "&amp;INDEX('Dane rozpisek'!$E$2:$E$2600,MATCH(S483,'Dane rozpisek'!$H$2:$H$2600,0))&amp;IF(COUNTIF('Dane rozpisek'!$H$2:$H$2600,S483)&gt;1," (+"&amp;(COUNTIF('Dane rozpisek'!$H$2:$H$2600,S483)-1)&amp;")",""),"—"))</f>
        <v/>
      </c>
      <c r="Q483" s="24">
        <f>IF(AND(B483&lt;&gt;"",D483&lt;&gt;"",OR('Historia wózka'!$B$4="",B483='Historia wózka'!$B$4),D483&gt;='Historia wózka'!$B$5,D483&lt;='Historia wózka'!$B$6),D483+ROW()/1000000,0)</f>
        <v/>
      </c>
      <c r="R483" s="24">
        <f>IF(O483="TAK",IF(D483="",0,D483)+ROW()/1000000,0)</f>
        <v/>
      </c>
      <c r="S483" s="24">
        <f>IF(OR(B483="",D483=""),"",B483&amp;"|"&amp;D483)</f>
        <v/>
      </c>
    </row>
    <row r="484">
      <c r="A484" s="24">
        <f>IF(B484="","",ROW()-4)</f>
        <v/>
      </c>
      <c r="B484" s="25" t="n"/>
      <c r="C484" s="24">
        <f>IF(B484="","",IFERROR(INDEX('Wózki'!$B$2:$B$500,MATCH(B484,'Wózki'!$A$2:$A$500,0))&amp;"",""))</f>
        <v/>
      </c>
      <c r="D484" s="26" t="n"/>
      <c r="E484" s="25" t="n"/>
      <c r="F484" s="25" t="n"/>
      <c r="G484" s="24">
        <f>IF(F484="","",IFERROR(INDEX(Pracownicy!$B$2:$B$2000,MATCH(F484,Pracownicy!$A$2:$A$2000,0))&amp;"",""))</f>
        <v/>
      </c>
      <c r="H484" s="25" t="n"/>
      <c r="I484" s="25" t="n"/>
      <c r="J484" s="25" t="n"/>
      <c r="K484" s="27" t="n"/>
      <c r="L484" s="25" t="n"/>
      <c r="M484" s="25" t="n"/>
      <c r="N484" s="27" t="n"/>
      <c r="O484" s="24">
        <f>IF(B484="","",IF(M484="","TAK",IFERROR(INDEX(Ustawienia!$K$4:$K$8,MATCH(M484,Ustawienia!$J$4:$J$8,0)),"TAK")))</f>
        <v/>
      </c>
      <c r="P484" s="28">
        <f>IF(OR(B484="",D484=""),"",IFERROR(INDEX('Dane rozpisek'!$B$2:$B$2600,MATCH(S484,'Dane rozpisek'!$H$2:$H$2600,0))&amp;": "&amp;INDEX('Dane rozpisek'!$E$2:$E$2600,MATCH(S484,'Dane rozpisek'!$H$2:$H$2600,0))&amp;IF(COUNTIF('Dane rozpisek'!$H$2:$H$2600,S484)&gt;1," (+"&amp;(COUNTIF('Dane rozpisek'!$H$2:$H$2600,S484)-1)&amp;")",""),"—"))</f>
        <v/>
      </c>
      <c r="Q484" s="24">
        <f>IF(AND(B484&lt;&gt;"",D484&lt;&gt;"",OR('Historia wózka'!$B$4="",B484='Historia wózka'!$B$4),D484&gt;='Historia wózka'!$B$5,D484&lt;='Historia wózka'!$B$6),D484+ROW()/1000000,0)</f>
        <v/>
      </c>
      <c r="R484" s="24">
        <f>IF(O484="TAK",IF(D484="",0,D484)+ROW()/1000000,0)</f>
        <v/>
      </c>
      <c r="S484" s="24">
        <f>IF(OR(B484="",D484=""),"",B484&amp;"|"&amp;D484)</f>
        <v/>
      </c>
    </row>
    <row r="485">
      <c r="A485" s="24">
        <f>IF(B485="","",ROW()-4)</f>
        <v/>
      </c>
      <c r="B485" s="25" t="n"/>
      <c r="C485" s="24">
        <f>IF(B485="","",IFERROR(INDEX('Wózki'!$B$2:$B$500,MATCH(B485,'Wózki'!$A$2:$A$500,0))&amp;"",""))</f>
        <v/>
      </c>
      <c r="D485" s="26" t="n"/>
      <c r="E485" s="25" t="n"/>
      <c r="F485" s="25" t="n"/>
      <c r="G485" s="24">
        <f>IF(F485="","",IFERROR(INDEX(Pracownicy!$B$2:$B$2000,MATCH(F485,Pracownicy!$A$2:$A$2000,0))&amp;"",""))</f>
        <v/>
      </c>
      <c r="H485" s="25" t="n"/>
      <c r="I485" s="25" t="n"/>
      <c r="J485" s="25" t="n"/>
      <c r="K485" s="27" t="n"/>
      <c r="L485" s="25" t="n"/>
      <c r="M485" s="25" t="n"/>
      <c r="N485" s="27" t="n"/>
      <c r="O485" s="24">
        <f>IF(B485="","",IF(M485="","TAK",IFERROR(INDEX(Ustawienia!$K$4:$K$8,MATCH(M485,Ustawienia!$J$4:$J$8,0)),"TAK")))</f>
        <v/>
      </c>
      <c r="P485" s="28">
        <f>IF(OR(B485="",D485=""),"",IFERROR(INDEX('Dane rozpisek'!$B$2:$B$2600,MATCH(S485,'Dane rozpisek'!$H$2:$H$2600,0))&amp;": "&amp;INDEX('Dane rozpisek'!$E$2:$E$2600,MATCH(S485,'Dane rozpisek'!$H$2:$H$2600,0))&amp;IF(COUNTIF('Dane rozpisek'!$H$2:$H$2600,S485)&gt;1," (+"&amp;(COUNTIF('Dane rozpisek'!$H$2:$H$2600,S485)-1)&amp;")",""),"—"))</f>
        <v/>
      </c>
      <c r="Q485" s="24">
        <f>IF(AND(B485&lt;&gt;"",D485&lt;&gt;"",OR('Historia wózka'!$B$4="",B485='Historia wózka'!$B$4),D485&gt;='Historia wózka'!$B$5,D485&lt;='Historia wózka'!$B$6),D485+ROW()/1000000,0)</f>
        <v/>
      </c>
      <c r="R485" s="24">
        <f>IF(O485="TAK",IF(D485="",0,D485)+ROW()/1000000,0)</f>
        <v/>
      </c>
      <c r="S485" s="24">
        <f>IF(OR(B485="",D485=""),"",B485&amp;"|"&amp;D485)</f>
        <v/>
      </c>
    </row>
    <row r="486">
      <c r="A486" s="24">
        <f>IF(B486="","",ROW()-4)</f>
        <v/>
      </c>
      <c r="B486" s="25" t="n"/>
      <c r="C486" s="24">
        <f>IF(B486="","",IFERROR(INDEX('Wózki'!$B$2:$B$500,MATCH(B486,'Wózki'!$A$2:$A$500,0))&amp;"",""))</f>
        <v/>
      </c>
      <c r="D486" s="26" t="n"/>
      <c r="E486" s="25" t="n"/>
      <c r="F486" s="25" t="n"/>
      <c r="G486" s="24">
        <f>IF(F486="","",IFERROR(INDEX(Pracownicy!$B$2:$B$2000,MATCH(F486,Pracownicy!$A$2:$A$2000,0))&amp;"",""))</f>
        <v/>
      </c>
      <c r="H486" s="25" t="n"/>
      <c r="I486" s="25" t="n"/>
      <c r="J486" s="25" t="n"/>
      <c r="K486" s="27" t="n"/>
      <c r="L486" s="25" t="n"/>
      <c r="M486" s="25" t="n"/>
      <c r="N486" s="27" t="n"/>
      <c r="O486" s="24">
        <f>IF(B486="","",IF(M486="","TAK",IFERROR(INDEX(Ustawienia!$K$4:$K$8,MATCH(M486,Ustawienia!$J$4:$J$8,0)),"TAK")))</f>
        <v/>
      </c>
      <c r="P486" s="28">
        <f>IF(OR(B486="",D486=""),"",IFERROR(INDEX('Dane rozpisek'!$B$2:$B$2600,MATCH(S486,'Dane rozpisek'!$H$2:$H$2600,0))&amp;": "&amp;INDEX('Dane rozpisek'!$E$2:$E$2600,MATCH(S486,'Dane rozpisek'!$H$2:$H$2600,0))&amp;IF(COUNTIF('Dane rozpisek'!$H$2:$H$2600,S486)&gt;1," (+"&amp;(COUNTIF('Dane rozpisek'!$H$2:$H$2600,S486)-1)&amp;")",""),"—"))</f>
        <v/>
      </c>
      <c r="Q486" s="24">
        <f>IF(AND(B486&lt;&gt;"",D486&lt;&gt;"",OR('Historia wózka'!$B$4="",B486='Historia wózka'!$B$4),D486&gt;='Historia wózka'!$B$5,D486&lt;='Historia wózka'!$B$6),D486+ROW()/1000000,0)</f>
        <v/>
      </c>
      <c r="R486" s="24">
        <f>IF(O486="TAK",IF(D486="",0,D486)+ROW()/1000000,0)</f>
        <v/>
      </c>
      <c r="S486" s="24">
        <f>IF(OR(B486="",D486=""),"",B486&amp;"|"&amp;D486)</f>
        <v/>
      </c>
    </row>
    <row r="487">
      <c r="A487" s="24">
        <f>IF(B487="","",ROW()-4)</f>
        <v/>
      </c>
      <c r="B487" s="25" t="n"/>
      <c r="C487" s="24">
        <f>IF(B487="","",IFERROR(INDEX('Wózki'!$B$2:$B$500,MATCH(B487,'Wózki'!$A$2:$A$500,0))&amp;"",""))</f>
        <v/>
      </c>
      <c r="D487" s="26" t="n"/>
      <c r="E487" s="25" t="n"/>
      <c r="F487" s="25" t="n"/>
      <c r="G487" s="24">
        <f>IF(F487="","",IFERROR(INDEX(Pracownicy!$B$2:$B$2000,MATCH(F487,Pracownicy!$A$2:$A$2000,0))&amp;"",""))</f>
        <v/>
      </c>
      <c r="H487" s="25" t="n"/>
      <c r="I487" s="25" t="n"/>
      <c r="J487" s="25" t="n"/>
      <c r="K487" s="27" t="n"/>
      <c r="L487" s="25" t="n"/>
      <c r="M487" s="25" t="n"/>
      <c r="N487" s="27" t="n"/>
      <c r="O487" s="24">
        <f>IF(B487="","",IF(M487="","TAK",IFERROR(INDEX(Ustawienia!$K$4:$K$8,MATCH(M487,Ustawienia!$J$4:$J$8,0)),"TAK")))</f>
        <v/>
      </c>
      <c r="P487" s="28">
        <f>IF(OR(B487="",D487=""),"",IFERROR(INDEX('Dane rozpisek'!$B$2:$B$2600,MATCH(S487,'Dane rozpisek'!$H$2:$H$2600,0))&amp;": "&amp;INDEX('Dane rozpisek'!$E$2:$E$2600,MATCH(S487,'Dane rozpisek'!$H$2:$H$2600,0))&amp;IF(COUNTIF('Dane rozpisek'!$H$2:$H$2600,S487)&gt;1," (+"&amp;(COUNTIF('Dane rozpisek'!$H$2:$H$2600,S487)-1)&amp;")",""),"—"))</f>
        <v/>
      </c>
      <c r="Q487" s="24">
        <f>IF(AND(B487&lt;&gt;"",D487&lt;&gt;"",OR('Historia wózka'!$B$4="",B487='Historia wózka'!$B$4),D487&gt;='Historia wózka'!$B$5,D487&lt;='Historia wózka'!$B$6),D487+ROW()/1000000,0)</f>
        <v/>
      </c>
      <c r="R487" s="24">
        <f>IF(O487="TAK",IF(D487="",0,D487)+ROW()/1000000,0)</f>
        <v/>
      </c>
      <c r="S487" s="24">
        <f>IF(OR(B487="",D487=""),"",B487&amp;"|"&amp;D487)</f>
        <v/>
      </c>
    </row>
    <row r="488">
      <c r="A488" s="24">
        <f>IF(B488="","",ROW()-4)</f>
        <v/>
      </c>
      <c r="B488" s="25" t="n"/>
      <c r="C488" s="24">
        <f>IF(B488="","",IFERROR(INDEX('Wózki'!$B$2:$B$500,MATCH(B488,'Wózki'!$A$2:$A$500,0))&amp;"",""))</f>
        <v/>
      </c>
      <c r="D488" s="26" t="n"/>
      <c r="E488" s="25" t="n"/>
      <c r="F488" s="25" t="n"/>
      <c r="G488" s="24">
        <f>IF(F488="","",IFERROR(INDEX(Pracownicy!$B$2:$B$2000,MATCH(F488,Pracownicy!$A$2:$A$2000,0))&amp;"",""))</f>
        <v/>
      </c>
      <c r="H488" s="25" t="n"/>
      <c r="I488" s="25" t="n"/>
      <c r="J488" s="25" t="n"/>
      <c r="K488" s="27" t="n"/>
      <c r="L488" s="25" t="n"/>
      <c r="M488" s="25" t="n"/>
      <c r="N488" s="27" t="n"/>
      <c r="O488" s="24">
        <f>IF(B488="","",IF(M488="","TAK",IFERROR(INDEX(Ustawienia!$K$4:$K$8,MATCH(M488,Ustawienia!$J$4:$J$8,0)),"TAK")))</f>
        <v/>
      </c>
      <c r="P488" s="28">
        <f>IF(OR(B488="",D488=""),"",IFERROR(INDEX('Dane rozpisek'!$B$2:$B$2600,MATCH(S488,'Dane rozpisek'!$H$2:$H$2600,0))&amp;": "&amp;INDEX('Dane rozpisek'!$E$2:$E$2600,MATCH(S488,'Dane rozpisek'!$H$2:$H$2600,0))&amp;IF(COUNTIF('Dane rozpisek'!$H$2:$H$2600,S488)&gt;1," (+"&amp;(COUNTIF('Dane rozpisek'!$H$2:$H$2600,S488)-1)&amp;")",""),"—"))</f>
        <v/>
      </c>
      <c r="Q488" s="24">
        <f>IF(AND(B488&lt;&gt;"",D488&lt;&gt;"",OR('Historia wózka'!$B$4="",B488='Historia wózka'!$B$4),D488&gt;='Historia wózka'!$B$5,D488&lt;='Historia wózka'!$B$6),D488+ROW()/1000000,0)</f>
        <v/>
      </c>
      <c r="R488" s="24">
        <f>IF(O488="TAK",IF(D488="",0,D488)+ROW()/1000000,0)</f>
        <v/>
      </c>
      <c r="S488" s="24">
        <f>IF(OR(B488="",D488=""),"",B488&amp;"|"&amp;D488)</f>
        <v/>
      </c>
    </row>
    <row r="489">
      <c r="A489" s="24">
        <f>IF(B489="","",ROW()-4)</f>
        <v/>
      </c>
      <c r="B489" s="25" t="n"/>
      <c r="C489" s="24">
        <f>IF(B489="","",IFERROR(INDEX('Wózki'!$B$2:$B$500,MATCH(B489,'Wózki'!$A$2:$A$500,0))&amp;"",""))</f>
        <v/>
      </c>
      <c r="D489" s="26" t="n"/>
      <c r="E489" s="25" t="n"/>
      <c r="F489" s="25" t="n"/>
      <c r="G489" s="24">
        <f>IF(F489="","",IFERROR(INDEX(Pracownicy!$B$2:$B$2000,MATCH(F489,Pracownicy!$A$2:$A$2000,0))&amp;"",""))</f>
        <v/>
      </c>
      <c r="H489" s="25" t="n"/>
      <c r="I489" s="25" t="n"/>
      <c r="J489" s="25" t="n"/>
      <c r="K489" s="27" t="n"/>
      <c r="L489" s="25" t="n"/>
      <c r="M489" s="25" t="n"/>
      <c r="N489" s="27" t="n"/>
      <c r="O489" s="24">
        <f>IF(B489="","",IF(M489="","TAK",IFERROR(INDEX(Ustawienia!$K$4:$K$8,MATCH(M489,Ustawienia!$J$4:$J$8,0)),"TAK")))</f>
        <v/>
      </c>
      <c r="P489" s="28">
        <f>IF(OR(B489="",D489=""),"",IFERROR(INDEX('Dane rozpisek'!$B$2:$B$2600,MATCH(S489,'Dane rozpisek'!$H$2:$H$2600,0))&amp;": "&amp;INDEX('Dane rozpisek'!$E$2:$E$2600,MATCH(S489,'Dane rozpisek'!$H$2:$H$2600,0))&amp;IF(COUNTIF('Dane rozpisek'!$H$2:$H$2600,S489)&gt;1," (+"&amp;(COUNTIF('Dane rozpisek'!$H$2:$H$2600,S489)-1)&amp;")",""),"—"))</f>
        <v/>
      </c>
      <c r="Q489" s="24">
        <f>IF(AND(B489&lt;&gt;"",D489&lt;&gt;"",OR('Historia wózka'!$B$4="",B489='Historia wózka'!$B$4),D489&gt;='Historia wózka'!$B$5,D489&lt;='Historia wózka'!$B$6),D489+ROW()/1000000,0)</f>
        <v/>
      </c>
      <c r="R489" s="24">
        <f>IF(O489="TAK",IF(D489="",0,D489)+ROW()/1000000,0)</f>
        <v/>
      </c>
      <c r="S489" s="24">
        <f>IF(OR(B489="",D489=""),"",B489&amp;"|"&amp;D489)</f>
        <v/>
      </c>
    </row>
    <row r="490">
      <c r="A490" s="24">
        <f>IF(B490="","",ROW()-4)</f>
        <v/>
      </c>
      <c r="B490" s="25" t="n"/>
      <c r="C490" s="24">
        <f>IF(B490="","",IFERROR(INDEX('Wózki'!$B$2:$B$500,MATCH(B490,'Wózki'!$A$2:$A$500,0))&amp;"",""))</f>
        <v/>
      </c>
      <c r="D490" s="26" t="n"/>
      <c r="E490" s="25" t="n"/>
      <c r="F490" s="25" t="n"/>
      <c r="G490" s="24">
        <f>IF(F490="","",IFERROR(INDEX(Pracownicy!$B$2:$B$2000,MATCH(F490,Pracownicy!$A$2:$A$2000,0))&amp;"",""))</f>
        <v/>
      </c>
      <c r="H490" s="25" t="n"/>
      <c r="I490" s="25" t="n"/>
      <c r="J490" s="25" t="n"/>
      <c r="K490" s="27" t="n"/>
      <c r="L490" s="25" t="n"/>
      <c r="M490" s="25" t="n"/>
      <c r="N490" s="27" t="n"/>
      <c r="O490" s="24">
        <f>IF(B490="","",IF(M490="","TAK",IFERROR(INDEX(Ustawienia!$K$4:$K$8,MATCH(M490,Ustawienia!$J$4:$J$8,0)),"TAK")))</f>
        <v/>
      </c>
      <c r="P490" s="28">
        <f>IF(OR(B490="",D490=""),"",IFERROR(INDEX('Dane rozpisek'!$B$2:$B$2600,MATCH(S490,'Dane rozpisek'!$H$2:$H$2600,0))&amp;": "&amp;INDEX('Dane rozpisek'!$E$2:$E$2600,MATCH(S490,'Dane rozpisek'!$H$2:$H$2600,0))&amp;IF(COUNTIF('Dane rozpisek'!$H$2:$H$2600,S490)&gt;1," (+"&amp;(COUNTIF('Dane rozpisek'!$H$2:$H$2600,S490)-1)&amp;")",""),"—"))</f>
        <v/>
      </c>
      <c r="Q490" s="24">
        <f>IF(AND(B490&lt;&gt;"",D490&lt;&gt;"",OR('Historia wózka'!$B$4="",B490='Historia wózka'!$B$4),D490&gt;='Historia wózka'!$B$5,D490&lt;='Historia wózka'!$B$6),D490+ROW()/1000000,0)</f>
        <v/>
      </c>
      <c r="R490" s="24">
        <f>IF(O490="TAK",IF(D490="",0,D490)+ROW()/1000000,0)</f>
        <v/>
      </c>
      <c r="S490" s="24">
        <f>IF(OR(B490="",D490=""),"",B490&amp;"|"&amp;D490)</f>
        <v/>
      </c>
    </row>
    <row r="491">
      <c r="A491" s="24">
        <f>IF(B491="","",ROW()-4)</f>
        <v/>
      </c>
      <c r="B491" s="25" t="n"/>
      <c r="C491" s="24">
        <f>IF(B491="","",IFERROR(INDEX('Wózki'!$B$2:$B$500,MATCH(B491,'Wózki'!$A$2:$A$500,0))&amp;"",""))</f>
        <v/>
      </c>
      <c r="D491" s="26" t="n"/>
      <c r="E491" s="25" t="n"/>
      <c r="F491" s="25" t="n"/>
      <c r="G491" s="24">
        <f>IF(F491="","",IFERROR(INDEX(Pracownicy!$B$2:$B$2000,MATCH(F491,Pracownicy!$A$2:$A$2000,0))&amp;"",""))</f>
        <v/>
      </c>
      <c r="H491" s="25" t="n"/>
      <c r="I491" s="25" t="n"/>
      <c r="J491" s="25" t="n"/>
      <c r="K491" s="27" t="n"/>
      <c r="L491" s="25" t="n"/>
      <c r="M491" s="25" t="n"/>
      <c r="N491" s="27" t="n"/>
      <c r="O491" s="24">
        <f>IF(B491="","",IF(M491="","TAK",IFERROR(INDEX(Ustawienia!$K$4:$K$8,MATCH(M491,Ustawienia!$J$4:$J$8,0)),"TAK")))</f>
        <v/>
      </c>
      <c r="P491" s="28">
        <f>IF(OR(B491="",D491=""),"",IFERROR(INDEX('Dane rozpisek'!$B$2:$B$2600,MATCH(S491,'Dane rozpisek'!$H$2:$H$2600,0))&amp;": "&amp;INDEX('Dane rozpisek'!$E$2:$E$2600,MATCH(S491,'Dane rozpisek'!$H$2:$H$2600,0))&amp;IF(COUNTIF('Dane rozpisek'!$H$2:$H$2600,S491)&gt;1," (+"&amp;(COUNTIF('Dane rozpisek'!$H$2:$H$2600,S491)-1)&amp;")",""),"—"))</f>
        <v/>
      </c>
      <c r="Q491" s="24">
        <f>IF(AND(B491&lt;&gt;"",D491&lt;&gt;"",OR('Historia wózka'!$B$4="",B491='Historia wózka'!$B$4),D491&gt;='Historia wózka'!$B$5,D491&lt;='Historia wózka'!$B$6),D491+ROW()/1000000,0)</f>
        <v/>
      </c>
      <c r="R491" s="24">
        <f>IF(O491="TAK",IF(D491="",0,D491)+ROW()/1000000,0)</f>
        <v/>
      </c>
      <c r="S491" s="24">
        <f>IF(OR(B491="",D491=""),"",B491&amp;"|"&amp;D491)</f>
        <v/>
      </c>
    </row>
    <row r="492">
      <c r="A492" s="24">
        <f>IF(B492="","",ROW()-4)</f>
        <v/>
      </c>
      <c r="B492" s="25" t="n"/>
      <c r="C492" s="24">
        <f>IF(B492="","",IFERROR(INDEX('Wózki'!$B$2:$B$500,MATCH(B492,'Wózki'!$A$2:$A$500,0))&amp;"",""))</f>
        <v/>
      </c>
      <c r="D492" s="26" t="n"/>
      <c r="E492" s="25" t="n"/>
      <c r="F492" s="25" t="n"/>
      <c r="G492" s="24">
        <f>IF(F492="","",IFERROR(INDEX(Pracownicy!$B$2:$B$2000,MATCH(F492,Pracownicy!$A$2:$A$2000,0))&amp;"",""))</f>
        <v/>
      </c>
      <c r="H492" s="25" t="n"/>
      <c r="I492" s="25" t="n"/>
      <c r="J492" s="25" t="n"/>
      <c r="K492" s="27" t="n"/>
      <c r="L492" s="25" t="n"/>
      <c r="M492" s="25" t="n"/>
      <c r="N492" s="27" t="n"/>
      <c r="O492" s="24">
        <f>IF(B492="","",IF(M492="","TAK",IFERROR(INDEX(Ustawienia!$K$4:$K$8,MATCH(M492,Ustawienia!$J$4:$J$8,0)),"TAK")))</f>
        <v/>
      </c>
      <c r="P492" s="28">
        <f>IF(OR(B492="",D492=""),"",IFERROR(INDEX('Dane rozpisek'!$B$2:$B$2600,MATCH(S492,'Dane rozpisek'!$H$2:$H$2600,0))&amp;": "&amp;INDEX('Dane rozpisek'!$E$2:$E$2600,MATCH(S492,'Dane rozpisek'!$H$2:$H$2600,0))&amp;IF(COUNTIF('Dane rozpisek'!$H$2:$H$2600,S492)&gt;1," (+"&amp;(COUNTIF('Dane rozpisek'!$H$2:$H$2600,S492)-1)&amp;")",""),"—"))</f>
        <v/>
      </c>
      <c r="Q492" s="24">
        <f>IF(AND(B492&lt;&gt;"",D492&lt;&gt;"",OR('Historia wózka'!$B$4="",B492='Historia wózka'!$B$4),D492&gt;='Historia wózka'!$B$5,D492&lt;='Historia wózka'!$B$6),D492+ROW()/1000000,0)</f>
        <v/>
      </c>
      <c r="R492" s="24">
        <f>IF(O492="TAK",IF(D492="",0,D492)+ROW()/1000000,0)</f>
        <v/>
      </c>
      <c r="S492" s="24">
        <f>IF(OR(B492="",D492=""),"",B492&amp;"|"&amp;D492)</f>
        <v/>
      </c>
    </row>
    <row r="493">
      <c r="A493" s="24">
        <f>IF(B493="","",ROW()-4)</f>
        <v/>
      </c>
      <c r="B493" s="25" t="n"/>
      <c r="C493" s="24">
        <f>IF(B493="","",IFERROR(INDEX('Wózki'!$B$2:$B$500,MATCH(B493,'Wózki'!$A$2:$A$500,0))&amp;"",""))</f>
        <v/>
      </c>
      <c r="D493" s="26" t="n"/>
      <c r="E493" s="25" t="n"/>
      <c r="F493" s="25" t="n"/>
      <c r="G493" s="24">
        <f>IF(F493="","",IFERROR(INDEX(Pracownicy!$B$2:$B$2000,MATCH(F493,Pracownicy!$A$2:$A$2000,0))&amp;"",""))</f>
        <v/>
      </c>
      <c r="H493" s="25" t="n"/>
      <c r="I493" s="25" t="n"/>
      <c r="J493" s="25" t="n"/>
      <c r="K493" s="27" t="n"/>
      <c r="L493" s="25" t="n"/>
      <c r="M493" s="25" t="n"/>
      <c r="N493" s="27" t="n"/>
      <c r="O493" s="24">
        <f>IF(B493="","",IF(M493="","TAK",IFERROR(INDEX(Ustawienia!$K$4:$K$8,MATCH(M493,Ustawienia!$J$4:$J$8,0)),"TAK")))</f>
        <v/>
      </c>
      <c r="P493" s="28">
        <f>IF(OR(B493="",D493=""),"",IFERROR(INDEX('Dane rozpisek'!$B$2:$B$2600,MATCH(S493,'Dane rozpisek'!$H$2:$H$2600,0))&amp;": "&amp;INDEX('Dane rozpisek'!$E$2:$E$2600,MATCH(S493,'Dane rozpisek'!$H$2:$H$2600,0))&amp;IF(COUNTIF('Dane rozpisek'!$H$2:$H$2600,S493)&gt;1," (+"&amp;(COUNTIF('Dane rozpisek'!$H$2:$H$2600,S493)-1)&amp;")",""),"—"))</f>
        <v/>
      </c>
      <c r="Q493" s="24">
        <f>IF(AND(B493&lt;&gt;"",D493&lt;&gt;"",OR('Historia wózka'!$B$4="",B493='Historia wózka'!$B$4),D493&gt;='Historia wózka'!$B$5,D493&lt;='Historia wózka'!$B$6),D493+ROW()/1000000,0)</f>
        <v/>
      </c>
      <c r="R493" s="24">
        <f>IF(O493="TAK",IF(D493="",0,D493)+ROW()/1000000,0)</f>
        <v/>
      </c>
      <c r="S493" s="24">
        <f>IF(OR(B493="",D493=""),"",B493&amp;"|"&amp;D493)</f>
        <v/>
      </c>
    </row>
    <row r="494">
      <c r="A494" s="24">
        <f>IF(B494="","",ROW()-4)</f>
        <v/>
      </c>
      <c r="B494" s="25" t="n"/>
      <c r="C494" s="24">
        <f>IF(B494="","",IFERROR(INDEX('Wózki'!$B$2:$B$500,MATCH(B494,'Wózki'!$A$2:$A$500,0))&amp;"",""))</f>
        <v/>
      </c>
      <c r="D494" s="26" t="n"/>
      <c r="E494" s="25" t="n"/>
      <c r="F494" s="25" t="n"/>
      <c r="G494" s="24">
        <f>IF(F494="","",IFERROR(INDEX(Pracownicy!$B$2:$B$2000,MATCH(F494,Pracownicy!$A$2:$A$2000,0))&amp;"",""))</f>
        <v/>
      </c>
      <c r="H494" s="25" t="n"/>
      <c r="I494" s="25" t="n"/>
      <c r="J494" s="25" t="n"/>
      <c r="K494" s="27" t="n"/>
      <c r="L494" s="25" t="n"/>
      <c r="M494" s="25" t="n"/>
      <c r="N494" s="27" t="n"/>
      <c r="O494" s="24">
        <f>IF(B494="","",IF(M494="","TAK",IFERROR(INDEX(Ustawienia!$K$4:$K$8,MATCH(M494,Ustawienia!$J$4:$J$8,0)),"TAK")))</f>
        <v/>
      </c>
      <c r="P494" s="28">
        <f>IF(OR(B494="",D494=""),"",IFERROR(INDEX('Dane rozpisek'!$B$2:$B$2600,MATCH(S494,'Dane rozpisek'!$H$2:$H$2600,0))&amp;": "&amp;INDEX('Dane rozpisek'!$E$2:$E$2600,MATCH(S494,'Dane rozpisek'!$H$2:$H$2600,0))&amp;IF(COUNTIF('Dane rozpisek'!$H$2:$H$2600,S494)&gt;1," (+"&amp;(COUNTIF('Dane rozpisek'!$H$2:$H$2600,S494)-1)&amp;")",""),"—"))</f>
        <v/>
      </c>
      <c r="Q494" s="24">
        <f>IF(AND(B494&lt;&gt;"",D494&lt;&gt;"",OR('Historia wózka'!$B$4="",B494='Historia wózka'!$B$4),D494&gt;='Historia wózka'!$B$5,D494&lt;='Historia wózka'!$B$6),D494+ROW()/1000000,0)</f>
        <v/>
      </c>
      <c r="R494" s="24">
        <f>IF(O494="TAK",IF(D494="",0,D494)+ROW()/1000000,0)</f>
        <v/>
      </c>
      <c r="S494" s="24">
        <f>IF(OR(B494="",D494=""),"",B494&amp;"|"&amp;D494)</f>
        <v/>
      </c>
    </row>
    <row r="495">
      <c r="A495" s="24">
        <f>IF(B495="","",ROW()-4)</f>
        <v/>
      </c>
      <c r="B495" s="25" t="n"/>
      <c r="C495" s="24">
        <f>IF(B495="","",IFERROR(INDEX('Wózki'!$B$2:$B$500,MATCH(B495,'Wózki'!$A$2:$A$500,0))&amp;"",""))</f>
        <v/>
      </c>
      <c r="D495" s="26" t="n"/>
      <c r="E495" s="25" t="n"/>
      <c r="F495" s="25" t="n"/>
      <c r="G495" s="24">
        <f>IF(F495="","",IFERROR(INDEX(Pracownicy!$B$2:$B$2000,MATCH(F495,Pracownicy!$A$2:$A$2000,0))&amp;"",""))</f>
        <v/>
      </c>
      <c r="H495" s="25" t="n"/>
      <c r="I495" s="25" t="n"/>
      <c r="J495" s="25" t="n"/>
      <c r="K495" s="27" t="n"/>
      <c r="L495" s="25" t="n"/>
      <c r="M495" s="25" t="n"/>
      <c r="N495" s="27" t="n"/>
      <c r="O495" s="24">
        <f>IF(B495="","",IF(M495="","TAK",IFERROR(INDEX(Ustawienia!$K$4:$K$8,MATCH(M495,Ustawienia!$J$4:$J$8,0)),"TAK")))</f>
        <v/>
      </c>
      <c r="P495" s="28">
        <f>IF(OR(B495="",D495=""),"",IFERROR(INDEX('Dane rozpisek'!$B$2:$B$2600,MATCH(S495,'Dane rozpisek'!$H$2:$H$2600,0))&amp;": "&amp;INDEX('Dane rozpisek'!$E$2:$E$2600,MATCH(S495,'Dane rozpisek'!$H$2:$H$2600,0))&amp;IF(COUNTIF('Dane rozpisek'!$H$2:$H$2600,S495)&gt;1," (+"&amp;(COUNTIF('Dane rozpisek'!$H$2:$H$2600,S495)-1)&amp;")",""),"—"))</f>
        <v/>
      </c>
      <c r="Q495" s="24">
        <f>IF(AND(B495&lt;&gt;"",D495&lt;&gt;"",OR('Historia wózka'!$B$4="",B495='Historia wózka'!$B$4),D495&gt;='Historia wózka'!$B$5,D495&lt;='Historia wózka'!$B$6),D495+ROW()/1000000,0)</f>
        <v/>
      </c>
      <c r="R495" s="24">
        <f>IF(O495="TAK",IF(D495="",0,D495)+ROW()/1000000,0)</f>
        <v/>
      </c>
      <c r="S495" s="24">
        <f>IF(OR(B495="",D495=""),"",B495&amp;"|"&amp;D495)</f>
        <v/>
      </c>
    </row>
    <row r="496">
      <c r="A496" s="24">
        <f>IF(B496="","",ROW()-4)</f>
        <v/>
      </c>
      <c r="B496" s="25" t="n"/>
      <c r="C496" s="24">
        <f>IF(B496="","",IFERROR(INDEX('Wózki'!$B$2:$B$500,MATCH(B496,'Wózki'!$A$2:$A$500,0))&amp;"",""))</f>
        <v/>
      </c>
      <c r="D496" s="26" t="n"/>
      <c r="E496" s="25" t="n"/>
      <c r="F496" s="25" t="n"/>
      <c r="G496" s="24">
        <f>IF(F496="","",IFERROR(INDEX(Pracownicy!$B$2:$B$2000,MATCH(F496,Pracownicy!$A$2:$A$2000,0))&amp;"",""))</f>
        <v/>
      </c>
      <c r="H496" s="25" t="n"/>
      <c r="I496" s="25" t="n"/>
      <c r="J496" s="25" t="n"/>
      <c r="K496" s="27" t="n"/>
      <c r="L496" s="25" t="n"/>
      <c r="M496" s="25" t="n"/>
      <c r="N496" s="27" t="n"/>
      <c r="O496" s="24">
        <f>IF(B496="","",IF(M496="","TAK",IFERROR(INDEX(Ustawienia!$K$4:$K$8,MATCH(M496,Ustawienia!$J$4:$J$8,0)),"TAK")))</f>
        <v/>
      </c>
      <c r="P496" s="28">
        <f>IF(OR(B496="",D496=""),"",IFERROR(INDEX('Dane rozpisek'!$B$2:$B$2600,MATCH(S496,'Dane rozpisek'!$H$2:$H$2600,0))&amp;": "&amp;INDEX('Dane rozpisek'!$E$2:$E$2600,MATCH(S496,'Dane rozpisek'!$H$2:$H$2600,0))&amp;IF(COUNTIF('Dane rozpisek'!$H$2:$H$2600,S496)&gt;1," (+"&amp;(COUNTIF('Dane rozpisek'!$H$2:$H$2600,S496)-1)&amp;")",""),"—"))</f>
        <v/>
      </c>
      <c r="Q496" s="24">
        <f>IF(AND(B496&lt;&gt;"",D496&lt;&gt;"",OR('Historia wózka'!$B$4="",B496='Historia wózka'!$B$4),D496&gt;='Historia wózka'!$B$5,D496&lt;='Historia wózka'!$B$6),D496+ROW()/1000000,0)</f>
        <v/>
      </c>
      <c r="R496" s="24">
        <f>IF(O496="TAK",IF(D496="",0,D496)+ROW()/1000000,0)</f>
        <v/>
      </c>
      <c r="S496" s="24">
        <f>IF(OR(B496="",D496=""),"",B496&amp;"|"&amp;D496)</f>
        <v/>
      </c>
    </row>
    <row r="497">
      <c r="A497" s="24">
        <f>IF(B497="","",ROW()-4)</f>
        <v/>
      </c>
      <c r="B497" s="25" t="n"/>
      <c r="C497" s="24">
        <f>IF(B497="","",IFERROR(INDEX('Wózki'!$B$2:$B$500,MATCH(B497,'Wózki'!$A$2:$A$500,0))&amp;"",""))</f>
        <v/>
      </c>
      <c r="D497" s="26" t="n"/>
      <c r="E497" s="25" t="n"/>
      <c r="F497" s="25" t="n"/>
      <c r="G497" s="24">
        <f>IF(F497="","",IFERROR(INDEX(Pracownicy!$B$2:$B$2000,MATCH(F497,Pracownicy!$A$2:$A$2000,0))&amp;"",""))</f>
        <v/>
      </c>
      <c r="H497" s="25" t="n"/>
      <c r="I497" s="25" t="n"/>
      <c r="J497" s="25" t="n"/>
      <c r="K497" s="27" t="n"/>
      <c r="L497" s="25" t="n"/>
      <c r="M497" s="25" t="n"/>
      <c r="N497" s="27" t="n"/>
      <c r="O497" s="24">
        <f>IF(B497="","",IF(M497="","TAK",IFERROR(INDEX(Ustawienia!$K$4:$K$8,MATCH(M497,Ustawienia!$J$4:$J$8,0)),"TAK")))</f>
        <v/>
      </c>
      <c r="P497" s="28">
        <f>IF(OR(B497="",D497=""),"",IFERROR(INDEX('Dane rozpisek'!$B$2:$B$2600,MATCH(S497,'Dane rozpisek'!$H$2:$H$2600,0))&amp;": "&amp;INDEX('Dane rozpisek'!$E$2:$E$2600,MATCH(S497,'Dane rozpisek'!$H$2:$H$2600,0))&amp;IF(COUNTIF('Dane rozpisek'!$H$2:$H$2600,S497)&gt;1," (+"&amp;(COUNTIF('Dane rozpisek'!$H$2:$H$2600,S497)-1)&amp;")",""),"—"))</f>
        <v/>
      </c>
      <c r="Q497" s="24">
        <f>IF(AND(B497&lt;&gt;"",D497&lt;&gt;"",OR('Historia wózka'!$B$4="",B497='Historia wózka'!$B$4),D497&gt;='Historia wózka'!$B$5,D497&lt;='Historia wózka'!$B$6),D497+ROW()/1000000,0)</f>
        <v/>
      </c>
      <c r="R497" s="24">
        <f>IF(O497="TAK",IF(D497="",0,D497)+ROW()/1000000,0)</f>
        <v/>
      </c>
      <c r="S497" s="24">
        <f>IF(OR(B497="",D497=""),"",B497&amp;"|"&amp;D497)</f>
        <v/>
      </c>
    </row>
    <row r="498">
      <c r="A498" s="24">
        <f>IF(B498="","",ROW()-4)</f>
        <v/>
      </c>
      <c r="B498" s="25" t="n"/>
      <c r="C498" s="24">
        <f>IF(B498="","",IFERROR(INDEX('Wózki'!$B$2:$B$500,MATCH(B498,'Wózki'!$A$2:$A$500,0))&amp;"",""))</f>
        <v/>
      </c>
      <c r="D498" s="26" t="n"/>
      <c r="E498" s="25" t="n"/>
      <c r="F498" s="25" t="n"/>
      <c r="G498" s="24">
        <f>IF(F498="","",IFERROR(INDEX(Pracownicy!$B$2:$B$2000,MATCH(F498,Pracownicy!$A$2:$A$2000,0))&amp;"",""))</f>
        <v/>
      </c>
      <c r="H498" s="25" t="n"/>
      <c r="I498" s="25" t="n"/>
      <c r="J498" s="25" t="n"/>
      <c r="K498" s="27" t="n"/>
      <c r="L498" s="25" t="n"/>
      <c r="M498" s="25" t="n"/>
      <c r="N498" s="27" t="n"/>
      <c r="O498" s="24">
        <f>IF(B498="","",IF(M498="","TAK",IFERROR(INDEX(Ustawienia!$K$4:$K$8,MATCH(M498,Ustawienia!$J$4:$J$8,0)),"TAK")))</f>
        <v/>
      </c>
      <c r="P498" s="28">
        <f>IF(OR(B498="",D498=""),"",IFERROR(INDEX('Dane rozpisek'!$B$2:$B$2600,MATCH(S498,'Dane rozpisek'!$H$2:$H$2600,0))&amp;": "&amp;INDEX('Dane rozpisek'!$E$2:$E$2600,MATCH(S498,'Dane rozpisek'!$H$2:$H$2600,0))&amp;IF(COUNTIF('Dane rozpisek'!$H$2:$H$2600,S498)&gt;1," (+"&amp;(COUNTIF('Dane rozpisek'!$H$2:$H$2600,S498)-1)&amp;")",""),"—"))</f>
        <v/>
      </c>
      <c r="Q498" s="24">
        <f>IF(AND(B498&lt;&gt;"",D498&lt;&gt;"",OR('Historia wózka'!$B$4="",B498='Historia wózka'!$B$4),D498&gt;='Historia wózka'!$B$5,D498&lt;='Historia wózka'!$B$6),D498+ROW()/1000000,0)</f>
        <v/>
      </c>
      <c r="R498" s="24">
        <f>IF(O498="TAK",IF(D498="",0,D498)+ROW()/1000000,0)</f>
        <v/>
      </c>
      <c r="S498" s="24">
        <f>IF(OR(B498="",D498=""),"",B498&amp;"|"&amp;D498)</f>
        <v/>
      </c>
    </row>
    <row r="499">
      <c r="A499" s="24">
        <f>IF(B499="","",ROW()-4)</f>
        <v/>
      </c>
      <c r="B499" s="25" t="n"/>
      <c r="C499" s="24">
        <f>IF(B499="","",IFERROR(INDEX('Wózki'!$B$2:$B$500,MATCH(B499,'Wózki'!$A$2:$A$500,0))&amp;"",""))</f>
        <v/>
      </c>
      <c r="D499" s="26" t="n"/>
      <c r="E499" s="25" t="n"/>
      <c r="F499" s="25" t="n"/>
      <c r="G499" s="24">
        <f>IF(F499="","",IFERROR(INDEX(Pracownicy!$B$2:$B$2000,MATCH(F499,Pracownicy!$A$2:$A$2000,0))&amp;"",""))</f>
        <v/>
      </c>
      <c r="H499" s="25" t="n"/>
      <c r="I499" s="25" t="n"/>
      <c r="J499" s="25" t="n"/>
      <c r="K499" s="27" t="n"/>
      <c r="L499" s="25" t="n"/>
      <c r="M499" s="25" t="n"/>
      <c r="N499" s="27" t="n"/>
      <c r="O499" s="24">
        <f>IF(B499="","",IF(M499="","TAK",IFERROR(INDEX(Ustawienia!$K$4:$K$8,MATCH(M499,Ustawienia!$J$4:$J$8,0)),"TAK")))</f>
        <v/>
      </c>
      <c r="P499" s="28">
        <f>IF(OR(B499="",D499=""),"",IFERROR(INDEX('Dane rozpisek'!$B$2:$B$2600,MATCH(S499,'Dane rozpisek'!$H$2:$H$2600,0))&amp;": "&amp;INDEX('Dane rozpisek'!$E$2:$E$2600,MATCH(S499,'Dane rozpisek'!$H$2:$H$2600,0))&amp;IF(COUNTIF('Dane rozpisek'!$H$2:$H$2600,S499)&gt;1," (+"&amp;(COUNTIF('Dane rozpisek'!$H$2:$H$2600,S499)-1)&amp;")",""),"—"))</f>
        <v/>
      </c>
      <c r="Q499" s="24">
        <f>IF(AND(B499&lt;&gt;"",D499&lt;&gt;"",OR('Historia wózka'!$B$4="",B499='Historia wózka'!$B$4),D499&gt;='Historia wózka'!$B$5,D499&lt;='Historia wózka'!$B$6),D499+ROW()/1000000,0)</f>
        <v/>
      </c>
      <c r="R499" s="24">
        <f>IF(O499="TAK",IF(D499="",0,D499)+ROW()/1000000,0)</f>
        <v/>
      </c>
      <c r="S499" s="24">
        <f>IF(OR(B499="",D499=""),"",B499&amp;"|"&amp;D499)</f>
        <v/>
      </c>
    </row>
    <row r="500">
      <c r="A500" s="24">
        <f>IF(B500="","",ROW()-4)</f>
        <v/>
      </c>
      <c r="B500" s="25" t="n"/>
      <c r="C500" s="24">
        <f>IF(B500="","",IFERROR(INDEX('Wózki'!$B$2:$B$500,MATCH(B500,'Wózki'!$A$2:$A$500,0))&amp;"",""))</f>
        <v/>
      </c>
      <c r="D500" s="26" t="n"/>
      <c r="E500" s="25" t="n"/>
      <c r="F500" s="25" t="n"/>
      <c r="G500" s="24">
        <f>IF(F500="","",IFERROR(INDEX(Pracownicy!$B$2:$B$2000,MATCH(F500,Pracownicy!$A$2:$A$2000,0))&amp;"",""))</f>
        <v/>
      </c>
      <c r="H500" s="25" t="n"/>
      <c r="I500" s="25" t="n"/>
      <c r="J500" s="25" t="n"/>
      <c r="K500" s="27" t="n"/>
      <c r="L500" s="25" t="n"/>
      <c r="M500" s="25" t="n"/>
      <c r="N500" s="27" t="n"/>
      <c r="O500" s="24">
        <f>IF(B500="","",IF(M500="","TAK",IFERROR(INDEX(Ustawienia!$K$4:$K$8,MATCH(M500,Ustawienia!$J$4:$J$8,0)),"TAK")))</f>
        <v/>
      </c>
      <c r="P500" s="28">
        <f>IF(OR(B500="",D500=""),"",IFERROR(INDEX('Dane rozpisek'!$B$2:$B$2600,MATCH(S500,'Dane rozpisek'!$H$2:$H$2600,0))&amp;": "&amp;INDEX('Dane rozpisek'!$E$2:$E$2600,MATCH(S500,'Dane rozpisek'!$H$2:$H$2600,0))&amp;IF(COUNTIF('Dane rozpisek'!$H$2:$H$2600,S500)&gt;1," (+"&amp;(COUNTIF('Dane rozpisek'!$H$2:$H$2600,S500)-1)&amp;")",""),"—"))</f>
        <v/>
      </c>
      <c r="Q500" s="24">
        <f>IF(AND(B500&lt;&gt;"",D500&lt;&gt;"",OR('Historia wózka'!$B$4="",B500='Historia wózka'!$B$4),D500&gt;='Historia wózka'!$B$5,D500&lt;='Historia wózka'!$B$6),D500+ROW()/1000000,0)</f>
        <v/>
      </c>
      <c r="R500" s="24">
        <f>IF(O500="TAK",IF(D500="",0,D500)+ROW()/1000000,0)</f>
        <v/>
      </c>
      <c r="S500" s="24">
        <f>IF(OR(B500="",D500=""),"",B500&amp;"|"&amp;D500)</f>
        <v/>
      </c>
    </row>
    <row r="501">
      <c r="A501" s="24">
        <f>IF(B501="","",ROW()-4)</f>
        <v/>
      </c>
      <c r="B501" s="25" t="n"/>
      <c r="C501" s="24">
        <f>IF(B501="","",IFERROR(INDEX('Wózki'!$B$2:$B$500,MATCH(B501,'Wózki'!$A$2:$A$500,0))&amp;"",""))</f>
        <v/>
      </c>
      <c r="D501" s="26" t="n"/>
      <c r="E501" s="25" t="n"/>
      <c r="F501" s="25" t="n"/>
      <c r="G501" s="24">
        <f>IF(F501="","",IFERROR(INDEX(Pracownicy!$B$2:$B$2000,MATCH(F501,Pracownicy!$A$2:$A$2000,0))&amp;"",""))</f>
        <v/>
      </c>
      <c r="H501" s="25" t="n"/>
      <c r="I501" s="25" t="n"/>
      <c r="J501" s="25" t="n"/>
      <c r="K501" s="27" t="n"/>
      <c r="L501" s="25" t="n"/>
      <c r="M501" s="25" t="n"/>
      <c r="N501" s="27" t="n"/>
      <c r="O501" s="24">
        <f>IF(B501="","",IF(M501="","TAK",IFERROR(INDEX(Ustawienia!$K$4:$K$8,MATCH(M501,Ustawienia!$J$4:$J$8,0)),"TAK")))</f>
        <v/>
      </c>
      <c r="P501" s="28">
        <f>IF(OR(B501="",D501=""),"",IFERROR(INDEX('Dane rozpisek'!$B$2:$B$2600,MATCH(S501,'Dane rozpisek'!$H$2:$H$2600,0))&amp;": "&amp;INDEX('Dane rozpisek'!$E$2:$E$2600,MATCH(S501,'Dane rozpisek'!$H$2:$H$2600,0))&amp;IF(COUNTIF('Dane rozpisek'!$H$2:$H$2600,S501)&gt;1," (+"&amp;(COUNTIF('Dane rozpisek'!$H$2:$H$2600,S501)-1)&amp;")",""),"—"))</f>
        <v/>
      </c>
      <c r="Q501" s="24">
        <f>IF(AND(B501&lt;&gt;"",D501&lt;&gt;"",OR('Historia wózka'!$B$4="",B501='Historia wózka'!$B$4),D501&gt;='Historia wózka'!$B$5,D501&lt;='Historia wózka'!$B$6),D501+ROW()/1000000,0)</f>
        <v/>
      </c>
      <c r="R501" s="24">
        <f>IF(O501="TAK",IF(D501="",0,D501)+ROW()/1000000,0)</f>
        <v/>
      </c>
      <c r="S501" s="24">
        <f>IF(OR(B501="",D501=""),"",B501&amp;"|"&amp;D501)</f>
        <v/>
      </c>
    </row>
    <row r="502">
      <c r="A502" s="24">
        <f>IF(B502="","",ROW()-4)</f>
        <v/>
      </c>
      <c r="B502" s="25" t="n"/>
      <c r="C502" s="24">
        <f>IF(B502="","",IFERROR(INDEX('Wózki'!$B$2:$B$500,MATCH(B502,'Wózki'!$A$2:$A$500,0))&amp;"",""))</f>
        <v/>
      </c>
      <c r="D502" s="26" t="n"/>
      <c r="E502" s="25" t="n"/>
      <c r="F502" s="25" t="n"/>
      <c r="G502" s="24">
        <f>IF(F502="","",IFERROR(INDEX(Pracownicy!$B$2:$B$2000,MATCH(F502,Pracownicy!$A$2:$A$2000,0))&amp;"",""))</f>
        <v/>
      </c>
      <c r="H502" s="25" t="n"/>
      <c r="I502" s="25" t="n"/>
      <c r="J502" s="25" t="n"/>
      <c r="K502" s="27" t="n"/>
      <c r="L502" s="25" t="n"/>
      <c r="M502" s="25" t="n"/>
      <c r="N502" s="27" t="n"/>
      <c r="O502" s="24">
        <f>IF(B502="","",IF(M502="","TAK",IFERROR(INDEX(Ustawienia!$K$4:$K$8,MATCH(M502,Ustawienia!$J$4:$J$8,0)),"TAK")))</f>
        <v/>
      </c>
      <c r="P502" s="28">
        <f>IF(OR(B502="",D502=""),"",IFERROR(INDEX('Dane rozpisek'!$B$2:$B$2600,MATCH(S502,'Dane rozpisek'!$H$2:$H$2600,0))&amp;": "&amp;INDEX('Dane rozpisek'!$E$2:$E$2600,MATCH(S502,'Dane rozpisek'!$H$2:$H$2600,0))&amp;IF(COUNTIF('Dane rozpisek'!$H$2:$H$2600,S502)&gt;1," (+"&amp;(COUNTIF('Dane rozpisek'!$H$2:$H$2600,S502)-1)&amp;")",""),"—"))</f>
        <v/>
      </c>
      <c r="Q502" s="24">
        <f>IF(AND(B502&lt;&gt;"",D502&lt;&gt;"",OR('Historia wózka'!$B$4="",B502='Historia wózka'!$B$4),D502&gt;='Historia wózka'!$B$5,D502&lt;='Historia wózka'!$B$6),D502+ROW()/1000000,0)</f>
        <v/>
      </c>
      <c r="R502" s="24">
        <f>IF(O502="TAK",IF(D502="",0,D502)+ROW()/1000000,0)</f>
        <v/>
      </c>
      <c r="S502" s="24">
        <f>IF(OR(B502="",D502=""),"",B502&amp;"|"&amp;D502)</f>
        <v/>
      </c>
    </row>
    <row r="503">
      <c r="A503" s="24">
        <f>IF(B503="","",ROW()-4)</f>
        <v/>
      </c>
      <c r="B503" s="25" t="n"/>
      <c r="C503" s="24">
        <f>IF(B503="","",IFERROR(INDEX('Wózki'!$B$2:$B$500,MATCH(B503,'Wózki'!$A$2:$A$500,0))&amp;"",""))</f>
        <v/>
      </c>
      <c r="D503" s="26" t="n"/>
      <c r="E503" s="25" t="n"/>
      <c r="F503" s="25" t="n"/>
      <c r="G503" s="24">
        <f>IF(F503="","",IFERROR(INDEX(Pracownicy!$B$2:$B$2000,MATCH(F503,Pracownicy!$A$2:$A$2000,0))&amp;"",""))</f>
        <v/>
      </c>
      <c r="H503" s="25" t="n"/>
      <c r="I503" s="25" t="n"/>
      <c r="J503" s="25" t="n"/>
      <c r="K503" s="27" t="n"/>
      <c r="L503" s="25" t="n"/>
      <c r="M503" s="25" t="n"/>
      <c r="N503" s="27" t="n"/>
      <c r="O503" s="24">
        <f>IF(B503="","",IF(M503="","TAK",IFERROR(INDEX(Ustawienia!$K$4:$K$8,MATCH(M503,Ustawienia!$J$4:$J$8,0)),"TAK")))</f>
        <v/>
      </c>
      <c r="P503" s="28">
        <f>IF(OR(B503="",D503=""),"",IFERROR(INDEX('Dane rozpisek'!$B$2:$B$2600,MATCH(S503,'Dane rozpisek'!$H$2:$H$2600,0))&amp;": "&amp;INDEX('Dane rozpisek'!$E$2:$E$2600,MATCH(S503,'Dane rozpisek'!$H$2:$H$2600,0))&amp;IF(COUNTIF('Dane rozpisek'!$H$2:$H$2600,S503)&gt;1," (+"&amp;(COUNTIF('Dane rozpisek'!$H$2:$H$2600,S503)-1)&amp;")",""),"—"))</f>
        <v/>
      </c>
      <c r="Q503" s="24">
        <f>IF(AND(B503&lt;&gt;"",D503&lt;&gt;"",OR('Historia wózka'!$B$4="",B503='Historia wózka'!$B$4),D503&gt;='Historia wózka'!$B$5,D503&lt;='Historia wózka'!$B$6),D503+ROW()/1000000,0)</f>
        <v/>
      </c>
      <c r="R503" s="24">
        <f>IF(O503="TAK",IF(D503="",0,D503)+ROW()/1000000,0)</f>
        <v/>
      </c>
      <c r="S503" s="24">
        <f>IF(OR(B503="",D503=""),"",B503&amp;"|"&amp;D503)</f>
        <v/>
      </c>
    </row>
    <row r="504">
      <c r="A504" s="24">
        <f>IF(B504="","",ROW()-4)</f>
        <v/>
      </c>
      <c r="B504" s="25" t="n"/>
      <c r="C504" s="24">
        <f>IF(B504="","",IFERROR(INDEX('Wózki'!$B$2:$B$500,MATCH(B504,'Wózki'!$A$2:$A$500,0))&amp;"",""))</f>
        <v/>
      </c>
      <c r="D504" s="26" t="n"/>
      <c r="E504" s="25" t="n"/>
      <c r="F504" s="25" t="n"/>
      <c r="G504" s="24">
        <f>IF(F504="","",IFERROR(INDEX(Pracownicy!$B$2:$B$2000,MATCH(F504,Pracownicy!$A$2:$A$2000,0))&amp;"",""))</f>
        <v/>
      </c>
      <c r="H504" s="25" t="n"/>
      <c r="I504" s="25" t="n"/>
      <c r="J504" s="25" t="n"/>
      <c r="K504" s="27" t="n"/>
      <c r="L504" s="25" t="n"/>
      <c r="M504" s="25" t="n"/>
      <c r="N504" s="27" t="n"/>
      <c r="O504" s="24">
        <f>IF(B504="","",IF(M504="","TAK",IFERROR(INDEX(Ustawienia!$K$4:$K$8,MATCH(M504,Ustawienia!$J$4:$J$8,0)),"TAK")))</f>
        <v/>
      </c>
      <c r="P504" s="28">
        <f>IF(OR(B504="",D504=""),"",IFERROR(INDEX('Dane rozpisek'!$B$2:$B$2600,MATCH(S504,'Dane rozpisek'!$H$2:$H$2600,0))&amp;": "&amp;INDEX('Dane rozpisek'!$E$2:$E$2600,MATCH(S504,'Dane rozpisek'!$H$2:$H$2600,0))&amp;IF(COUNTIF('Dane rozpisek'!$H$2:$H$2600,S504)&gt;1," (+"&amp;(COUNTIF('Dane rozpisek'!$H$2:$H$2600,S504)-1)&amp;")",""),"—"))</f>
        <v/>
      </c>
      <c r="Q504" s="24">
        <f>IF(AND(B504&lt;&gt;"",D504&lt;&gt;"",OR('Historia wózka'!$B$4="",B504='Historia wózka'!$B$4),D504&gt;='Historia wózka'!$B$5,D504&lt;='Historia wózka'!$B$6),D504+ROW()/1000000,0)</f>
        <v/>
      </c>
      <c r="R504" s="24">
        <f>IF(O504="TAK",IF(D504="",0,D504)+ROW()/1000000,0)</f>
        <v/>
      </c>
      <c r="S504" s="24">
        <f>IF(OR(B504="",D504=""),"",B504&amp;"|"&amp;D504)</f>
        <v/>
      </c>
    </row>
  </sheetData>
  <autoFilter ref="A4:P504"/>
  <mergeCells count="1">
    <mergeCell ref="A1:F1"/>
  </mergeCells>
  <conditionalFormatting sqref="A5:P504">
    <cfRule type="expression" priority="1" dxfId="5">
      <formula>$O5="NIE"</formula>
    </cfRule>
  </conditionalFormatting>
  <conditionalFormatting sqref="M5:M504">
    <cfRule type="expression" priority="2" dxfId="2">
      <formula>$M5="Zgłoszona"</formula>
    </cfRule>
    <cfRule type="expression" priority="3" dxfId="3">
      <formula>$M5="W naprawie"</formula>
    </cfRule>
    <cfRule type="expression" priority="4" dxfId="3">
      <formula>$M5="Czeka na części"</formula>
    </cfRule>
    <cfRule type="expression" priority="5" dxfId="1">
      <formula>$M5="Naprawiona"</formula>
    </cfRule>
    <cfRule type="expression" priority="6" dxfId="6">
      <formula>$M5="Bez naprawy"</formula>
    </cfRule>
  </conditionalFormatting>
  <conditionalFormatting sqref="L5:L504">
    <cfRule type="expression" priority="7" dxfId="4">
      <formula>AND($L5="TAK",$O5="TAK")</formula>
    </cfRule>
  </conditionalFormatting>
  <dataValidations count="9">
    <dataValidation sqref="B5:B504" showDropDown="0" showInputMessage="0" showErrorMessage="1" allowBlank="1" error="Tej wartości nie ma na liście. Zostawić mimo to?" type="list" errorStyle="warning">
      <formula1>=ListaWozkow</formula1>
    </dataValidation>
    <dataValidation sqref="E5:E504" showDropDown="0" showInputMessage="0" showErrorMessage="1" allowBlank="1" type="list">
      <formula1>=ListaZmian</formula1>
    </dataValidation>
    <dataValidation sqref="F5:F504" showDropDown="0" showInputMessage="1" showErrorMessage="1" allowBlank="1" error="Tej wartości nie ma na liście. Zostawić mimo to?" prompt="Zacznij pisać nazwisko — Excel 365 podpowiada z listy" type="list" errorStyle="warning">
      <formula1>=ListaPracownikow</formula1>
    </dataValidation>
    <dataValidation sqref="H5:H504" showDropDown="0" showInputMessage="0" showErrorMessage="1" allowBlank="1" type="list">
      <formula1>=ListaUderzen</formula1>
    </dataValidation>
    <dataValidation sqref="I5:I504" showDropDown="0" showInputMessage="0" showErrorMessage="1" allowBlank="1" type="list">
      <formula1>=ListaCzesci</formula1>
    </dataValidation>
    <dataValidation sqref="J5:J504" showDropDown="0" showInputMessage="0" showErrorMessage="1" allowBlank="1" type="list">
      <formula1>=ListaKiedy</formula1>
    </dataValidation>
    <dataValidation sqref="L5:L504" showDropDown="0" showInputMessage="0" showErrorMessage="1" allowBlank="1" type="list">
      <formula1>=TakNie</formula1>
    </dataValidation>
    <dataValidation sqref="M5:M504" showDropDown="0" showInputMessage="0" showErrorMessage="1" allowBlank="1" type="list">
      <formula1>=ListaStatusow</formula1>
    </dataValidation>
    <dataValidation sqref="D5:D504" showDropDown="0" showInputMessage="0" showErrorMessage="1" allowBlank="0" error="Wpisz datę, np. 15.10.2026" type="date" operator="greaterThan">
      <formula1>36526</formula1>
    </dataValidation>
  </dataValidations>
  <pageMargins left="0.4" right="0.4" top="0.4" bottom="0.4" header="0" footer="0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1F62B8"/>
    <outlinePr summaryBelow="1" summaryRight="1"/>
    <pageSetUpPr fitToPage="1"/>
  </sheetPr>
  <dimension ref="A1:M4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22" customWidth="1" min="4" max="4"/>
    <col width="20" customWidth="1" min="5" max="5"/>
    <col width="18" customWidth="1" min="6" max="6"/>
    <col width="22" customWidth="1" min="7" max="7"/>
    <col width="20" customWidth="1" min="8" max="8"/>
    <col width="14" customWidth="1" min="9" max="9"/>
    <col width="40" customWidth="1" min="10" max="10"/>
    <col hidden="1" width="10" customWidth="1" min="11" max="11"/>
    <col hidden="1" width="6" customWidth="1" min="12" max="12"/>
    <col hidden="1" width="6" customWidth="1" min="13" max="13"/>
  </cols>
  <sheetData>
    <row r="1">
      <c r="A1" s="9" t="inlineStr">
        <is>
          <t>HISTORIA WÓZKA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9">
        <f>IF(B4="","Wszystkie wózki","Wózek "&amp;B4)&amp;" · "&amp;IF(B5="","",RIGHT("0"&amp;DAY(B5),2)&amp;"."&amp;RIGHT("0"&amp;MONTH(B5),2)&amp;"."&amp;YEAR(B5))&amp;" – "&amp;IF(B6="","",RIGHT("0"&amp;DAY(B6),2)&amp;"."&amp;RIGHT("0"&amp;MONTH(B6),2)&amp;"."&amp;YEAR(B6))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inlineStr">
        <is>
          <t>pomocnicze:</t>
        </is>
      </c>
      <c r="L2" s="2">
        <f>MIN(COUNTIF('Zgłoszenia'!$Q$5:$Q$504,"&gt;0"),100)</f>
        <v/>
      </c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>
        <f>MIN(COUNTIF('Dane rozpisek'!$I$2:$I$2600,"&gt;0"),300)</f>
        <v/>
      </c>
      <c r="M3" s="2" t="n"/>
    </row>
    <row r="4">
      <c r="A4" s="30" t="inlineStr">
        <is>
          <t>Wózek:</t>
        </is>
      </c>
      <c r="B4" s="31" t="n"/>
      <c r="C4" s="32" t="n"/>
      <c r="D4" s="10" t="inlineStr">
        <is>
          <t>← wybierz wózek (puste = wszystkie)</t>
        </is>
      </c>
      <c r="E4" s="2" t="n"/>
      <c r="F4" s="2" t="n"/>
      <c r="G4" s="2" t="n"/>
      <c r="H4" s="2" t="n"/>
      <c r="I4" s="2" t="n"/>
      <c r="J4" s="2" t="n"/>
      <c r="K4" s="2" t="n"/>
      <c r="L4" s="2">
        <f>12+L5+3+L3</f>
        <v/>
      </c>
      <c r="M4" s="2" t="n"/>
    </row>
    <row r="5">
      <c r="A5" s="30" t="inlineStr">
        <is>
          <t>Od:</t>
        </is>
      </c>
      <c r="B5" s="33">
        <f>DATE(Rok,Miesiac,1)</f>
        <v/>
      </c>
      <c r="C5" s="32" t="n"/>
      <c r="D5" s="10" t="inlineStr">
        <is>
          <t>← domyślnie miesiąc z Ustawień; możesz wpisać dowolne daty</t>
        </is>
      </c>
      <c r="E5" s="2" t="n"/>
      <c r="F5" s="2" t="n"/>
      <c r="G5" s="2" t="n"/>
      <c r="H5" s="2" t="n"/>
      <c r="I5" s="2" t="n"/>
      <c r="J5" s="2" t="n"/>
      <c r="K5" s="2" t="n"/>
      <c r="L5" s="2">
        <f>MAX(L2,1)</f>
        <v/>
      </c>
      <c r="M5" s="2" t="n"/>
    </row>
    <row r="6">
      <c r="A6" s="30" t="inlineStr">
        <is>
          <t>Do:</t>
        </is>
      </c>
      <c r="B6" s="33">
        <f>EOMONTH(B5,0)</f>
        <v/>
      </c>
      <c r="C6" s="3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4">
        <f>COUNTIF('Zgłoszenia'!$Q$5:$Q$504,"&gt;0")</f>
        <v/>
      </c>
      <c r="B8" s="35" t="n"/>
      <c r="C8" s="36">
        <f>COUNTIFS('Zgłoszenia'!$Q$5:$Q$504,"&gt;0",'Zgłoszenia'!$O$5:$O$504,"TAK")</f>
        <v/>
      </c>
      <c r="D8" s="37" t="n"/>
      <c r="E8" s="38">
        <f>ROUND(SUMPRODUCT(('Dane rozpisek'!$I$2:$I$2600&gt;0)/(COUNTIFS('Dane rozpisek'!$A$2:$A$2600,'Dane rozpisek'!$A$2:$A$2600,'Dane rozpisek'!$I$2:$I$2600,"&gt;0")+('Dane rozpisek'!$I$2:$I$2600=0))),0)</f>
        <v/>
      </c>
      <c r="F8" s="39" t="n"/>
      <c r="G8" s="38">
        <f>ROUND(SUMPRODUCT(('Dane rozpisek'!$I$2:$I$2600&gt;0)*('Dane rozpisek'!$E$2:$E$2600&lt;&gt;"")/(COUNTIFS('Dane rozpisek'!$E$2:$E$2600,'Dane rozpisek'!$E$2:$E$2600,'Dane rozpisek'!$I$2:$I$2600,"&gt;0")+('Dane rozpisek'!$I$2:$I$2600=0))),0)</f>
        <v/>
      </c>
      <c r="H8" s="39" t="n"/>
      <c r="I8" s="2" t="n"/>
      <c r="J8" s="2" t="n"/>
      <c r="K8" s="2" t="n"/>
      <c r="L8" s="2" t="n"/>
      <c r="M8" s="2" t="n"/>
    </row>
    <row r="9">
      <c r="A9" s="40" t="inlineStr">
        <is>
          <t>Usterek w okresie</t>
        </is>
      </c>
      <c r="B9" s="41" t="n"/>
      <c r="C9" s="42" t="inlineStr">
        <is>
          <t>Otwartych usterek</t>
        </is>
      </c>
      <c r="D9" s="43" t="n"/>
      <c r="E9" s="44" t="inlineStr">
        <is>
          <t>Dni w rozpiskach</t>
        </is>
      </c>
      <c r="F9" s="45" t="n"/>
      <c r="G9" s="44" t="inlineStr">
        <is>
          <t>Różnych operatorów</t>
        </is>
      </c>
      <c r="H9" s="45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9" t="inlineStr">
        <is>
          <t>USTERKI I USZKODZENIA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46" t="inlineStr">
        <is>
          <t>Data</t>
        </is>
      </c>
      <c r="B12" s="46" t="inlineStr">
        <is>
          <t>Wózek</t>
        </is>
      </c>
      <c r="C12" s="46" t="inlineStr">
        <is>
          <t>Zmiana</t>
        </is>
      </c>
      <c r="D12" s="46" t="inlineStr">
        <is>
          <t>Uderzenie</t>
        </is>
      </c>
      <c r="E12" s="46" t="inlineStr">
        <is>
          <t>Co uszkodzone</t>
        </is>
      </c>
      <c r="F12" s="46" t="inlineStr">
        <is>
          <t>Kiedy powstało</t>
        </is>
      </c>
      <c r="G12" s="46" t="inlineStr">
        <is>
          <t>Operator</t>
        </is>
      </c>
      <c r="H12" s="46" t="inlineStr">
        <is>
          <t>Wg rozpiski</t>
        </is>
      </c>
      <c r="I12" s="46" t="inlineStr">
        <is>
          <t>Status</t>
        </is>
      </c>
      <c r="J12" s="46" t="inlineStr">
        <is>
          <t>Opis</t>
        </is>
      </c>
      <c r="K12" s="2" t="n"/>
      <c r="L12" s="2" t="n"/>
      <c r="M12" s="2" t="n"/>
    </row>
    <row r="13">
      <c r="A13" s="47">
        <f>IF($L13="D",INDEX('Zgłoszenia'!$D$5:$D$504,$M13),IF($L13="U",INDEX('Dane rozpisek'!$A$2:$A$2600,$M13),IF($L13="T","KTO JEŹDZIŁ",IF($L13="E1","Brak zgłoszonych usterek w tym okresie.",IF($L13="E2","Brak wpisów z tym wózkiem w rozpiskach dla tego okresu.",IF($L13="H","Data",""))))))</f>
        <v/>
      </c>
      <c r="B13" s="48">
        <f>IF($L13="D",INDEX('Zgłoszenia'!$B$5:$B$504,$M13)&amp;"",IF($L13="U",INDEX('Dane rozpisek'!$F$2:$F$2600,$M13)&amp;"",IF($L13="H","Wózek","")))</f>
        <v/>
      </c>
      <c r="C13" s="48">
        <f>IF($L13="D",INDEX('Zgłoszenia'!$E$5:$E$504,$M13)&amp;"",IF($L13="U",INDEX('Dane rozpisek'!$B$2:$B$2600,$M13)&amp;" · "&amp;INDEX('Dane rozpisek'!$J$2:$J$2600,$M13),IF($L13="H","Zmiana","")))</f>
        <v/>
      </c>
      <c r="D13" s="49">
        <f>IF($L13="D",INDEX('Zgłoszenia'!$H$5:$H$504,$M13)&amp;"",IF($L13="U",INDEX('Dane rozpisek'!$E$2:$E$2600,$M13)&amp;"",IF($L13="H","Operator","")))</f>
        <v/>
      </c>
      <c r="E13" s="49">
        <f>IF($L13="D",INDEX('Zgłoszenia'!$I$5:$I$504,$M13)&amp;"",IF($L13="U",INDEX('Dane rozpisek'!$C$2:$C$2600,$M13)&amp;"",IF($L13="H","Stanowisko","")))</f>
        <v/>
      </c>
      <c r="F13" s="48">
        <f>IF($L13="D",INDEX('Zgłoszenia'!$J$5:$J$504,$M13)&amp;"",IF($L13="U",INDEX('Dane rozpisek'!$G$2:$G$2600,$M13)&amp;"",IF($L13="H","Uwagi","")))</f>
        <v/>
      </c>
      <c r="G13" s="49">
        <f>IF($L13="D",INDEX('Zgłoszenia'!$F$5:$F$504,$M13)&amp;"",IF($L13="U",INDEX('Dane rozpisek'!$L$2:$L$2600,$M13)&amp;"",IF($L13="H","Usterki (dzień / następny)","")))</f>
        <v/>
      </c>
      <c r="H13" s="49">
        <f>IF($L13="D",INDEX('Zgłoszenia'!$P$5:$P$504,$M13)&amp;"",IF($L13="U","",""))</f>
        <v/>
      </c>
      <c r="I13" s="48">
        <f>IF($L13="D",IF(INDEX('Zgłoszenia'!$M$5:$M$504,$M13)="","Zgłoszona",INDEX('Zgłoszenia'!$M$5:$M$504,$M13)),IF($L13="U","",""))</f>
        <v/>
      </c>
      <c r="J13" s="49">
        <f>IF($L13="D",INDEX('Zgłoszenia'!$K$5:$K$504,$M13)&amp;"",IF($L13="U","",""))</f>
        <v/>
      </c>
      <c r="K13" s="2" t="n"/>
      <c r="L13" s="2">
        <f>IF((ROW()-12)&lt;=$L$5,IF($L$2=0,"E1","D"),IF((ROW()-12)=$L$5+1,"",IF((ROW()-12)=$L$5+2,"T",IF((ROW()-12)=$L$5+3,IF($L$3=0,"E2","H"),IF((ROW()-12)&lt;=$L$5+3+$L$3,"U","")))))</f>
        <v/>
      </c>
      <c r="M13" s="2">
        <f>IF(L13="D",MATCH(LARGE('Zgłoszenia'!$Q$5:$Q$504,(ROW()-12)),'Zgłoszenia'!$Q$5:$Q$504,0),IF(L13="U",MATCH(LARGE('Dane rozpisek'!$I$2:$I$2600,(ROW()-12)-$L$5-3),'Dane rozpisek'!$I$2:$I$2600,0),""))</f>
        <v/>
      </c>
    </row>
    <row r="14">
      <c r="A14" s="47">
        <f>IF($L14="D",INDEX('Zgłoszenia'!$D$5:$D$504,$M14),IF($L14="U",INDEX('Dane rozpisek'!$A$2:$A$2600,$M14),IF($L14="T","KTO JEŹDZIŁ",IF($L14="E1","Brak zgłoszonych usterek w tym okresie.",IF($L14="E2","Brak wpisów z tym wózkiem w rozpiskach dla tego okresu.",IF($L14="H","Data",""))))))</f>
        <v/>
      </c>
      <c r="B14" s="48">
        <f>IF($L14="D",INDEX('Zgłoszenia'!$B$5:$B$504,$M14)&amp;"",IF($L14="U",INDEX('Dane rozpisek'!$F$2:$F$2600,$M14)&amp;"",IF($L14="H","Wózek","")))</f>
        <v/>
      </c>
      <c r="C14" s="48">
        <f>IF($L14="D",INDEX('Zgłoszenia'!$E$5:$E$504,$M14)&amp;"",IF($L14="U",INDEX('Dane rozpisek'!$B$2:$B$2600,$M14)&amp;" · "&amp;INDEX('Dane rozpisek'!$J$2:$J$2600,$M14),IF($L14="H","Zmiana","")))</f>
        <v/>
      </c>
      <c r="D14" s="49">
        <f>IF($L14="D",INDEX('Zgłoszenia'!$H$5:$H$504,$M14)&amp;"",IF($L14="U",INDEX('Dane rozpisek'!$E$2:$E$2600,$M14)&amp;"",IF($L14="H","Operator","")))</f>
        <v/>
      </c>
      <c r="E14" s="49">
        <f>IF($L14="D",INDEX('Zgłoszenia'!$I$5:$I$504,$M14)&amp;"",IF($L14="U",INDEX('Dane rozpisek'!$C$2:$C$2600,$M14)&amp;"",IF($L14="H","Stanowisko","")))</f>
        <v/>
      </c>
      <c r="F14" s="48">
        <f>IF($L14="D",INDEX('Zgłoszenia'!$J$5:$J$504,$M14)&amp;"",IF($L14="U",INDEX('Dane rozpisek'!$G$2:$G$2600,$M14)&amp;"",IF($L14="H","Uwagi","")))</f>
        <v/>
      </c>
      <c r="G14" s="49">
        <f>IF($L14="D",INDEX('Zgłoszenia'!$F$5:$F$504,$M14)&amp;"",IF($L14="U",INDEX('Dane rozpisek'!$L$2:$L$2600,$M14)&amp;"",IF($L14="H","Usterki (dzień / następny)","")))</f>
        <v/>
      </c>
      <c r="H14" s="49">
        <f>IF($L14="D",INDEX('Zgłoszenia'!$P$5:$P$504,$M14)&amp;"",IF($L14="U","",""))</f>
        <v/>
      </c>
      <c r="I14" s="48">
        <f>IF($L14="D",IF(INDEX('Zgłoszenia'!$M$5:$M$504,$M14)="","Zgłoszona",INDEX('Zgłoszenia'!$M$5:$M$504,$M14)),IF($L14="U","",""))</f>
        <v/>
      </c>
      <c r="J14" s="49">
        <f>IF($L14="D",INDEX('Zgłoszenia'!$K$5:$K$504,$M14)&amp;"",IF($L14="U","",""))</f>
        <v/>
      </c>
      <c r="K14" s="2" t="n"/>
      <c r="L14" s="2">
        <f>IF((ROW()-12)&lt;=$L$5,IF($L$2=0,"E1","D"),IF((ROW()-12)=$L$5+1,"",IF((ROW()-12)=$L$5+2,"T",IF((ROW()-12)=$L$5+3,IF($L$3=0,"E2","H"),IF((ROW()-12)&lt;=$L$5+3+$L$3,"U","")))))</f>
        <v/>
      </c>
      <c r="M14" s="2">
        <f>IF(L14="D",MATCH(LARGE('Zgłoszenia'!$Q$5:$Q$504,(ROW()-12)),'Zgłoszenia'!$Q$5:$Q$504,0),IF(L14="U",MATCH(LARGE('Dane rozpisek'!$I$2:$I$2600,(ROW()-12)-$L$5-3),'Dane rozpisek'!$I$2:$I$2600,0),""))</f>
        <v/>
      </c>
    </row>
    <row r="15">
      <c r="A15" s="47">
        <f>IF($L15="D",INDEX('Zgłoszenia'!$D$5:$D$504,$M15),IF($L15="U",INDEX('Dane rozpisek'!$A$2:$A$2600,$M15),IF($L15="T","KTO JEŹDZIŁ",IF($L15="E1","Brak zgłoszonych usterek w tym okresie.",IF($L15="E2","Brak wpisów z tym wózkiem w rozpiskach dla tego okresu.",IF($L15="H","Data",""))))))</f>
        <v/>
      </c>
      <c r="B15" s="48">
        <f>IF($L15="D",INDEX('Zgłoszenia'!$B$5:$B$504,$M15)&amp;"",IF($L15="U",INDEX('Dane rozpisek'!$F$2:$F$2600,$M15)&amp;"",IF($L15="H","Wózek","")))</f>
        <v/>
      </c>
      <c r="C15" s="48">
        <f>IF($L15="D",INDEX('Zgłoszenia'!$E$5:$E$504,$M15)&amp;"",IF($L15="U",INDEX('Dane rozpisek'!$B$2:$B$2600,$M15)&amp;" · "&amp;INDEX('Dane rozpisek'!$J$2:$J$2600,$M15),IF($L15="H","Zmiana","")))</f>
        <v/>
      </c>
      <c r="D15" s="49">
        <f>IF($L15="D",INDEX('Zgłoszenia'!$H$5:$H$504,$M15)&amp;"",IF($L15="U",INDEX('Dane rozpisek'!$E$2:$E$2600,$M15)&amp;"",IF($L15="H","Operator","")))</f>
        <v/>
      </c>
      <c r="E15" s="49">
        <f>IF($L15="D",INDEX('Zgłoszenia'!$I$5:$I$504,$M15)&amp;"",IF($L15="U",INDEX('Dane rozpisek'!$C$2:$C$2600,$M15)&amp;"",IF($L15="H","Stanowisko","")))</f>
        <v/>
      </c>
      <c r="F15" s="48">
        <f>IF($L15="D",INDEX('Zgłoszenia'!$J$5:$J$504,$M15)&amp;"",IF($L15="U",INDEX('Dane rozpisek'!$G$2:$G$2600,$M15)&amp;"",IF($L15="H","Uwagi","")))</f>
        <v/>
      </c>
      <c r="G15" s="49">
        <f>IF($L15="D",INDEX('Zgłoszenia'!$F$5:$F$504,$M15)&amp;"",IF($L15="U",INDEX('Dane rozpisek'!$L$2:$L$2600,$M15)&amp;"",IF($L15="H","Usterki (dzień / następny)","")))</f>
        <v/>
      </c>
      <c r="H15" s="49">
        <f>IF($L15="D",INDEX('Zgłoszenia'!$P$5:$P$504,$M15)&amp;"",IF($L15="U","",""))</f>
        <v/>
      </c>
      <c r="I15" s="48">
        <f>IF($L15="D",IF(INDEX('Zgłoszenia'!$M$5:$M$504,$M15)="","Zgłoszona",INDEX('Zgłoszenia'!$M$5:$M$504,$M15)),IF($L15="U","",""))</f>
        <v/>
      </c>
      <c r="J15" s="49">
        <f>IF($L15="D",INDEX('Zgłoszenia'!$K$5:$K$504,$M15)&amp;"",IF($L15="U","",""))</f>
        <v/>
      </c>
      <c r="K15" s="2" t="n"/>
      <c r="L15" s="2">
        <f>IF((ROW()-12)&lt;=$L$5,IF($L$2=0,"E1","D"),IF((ROW()-12)=$L$5+1,"",IF((ROW()-12)=$L$5+2,"T",IF((ROW()-12)=$L$5+3,IF($L$3=0,"E2","H"),IF((ROW()-12)&lt;=$L$5+3+$L$3,"U","")))))</f>
        <v/>
      </c>
      <c r="M15" s="2">
        <f>IF(L15="D",MATCH(LARGE('Zgłoszenia'!$Q$5:$Q$504,(ROW()-12)),'Zgłoszenia'!$Q$5:$Q$504,0),IF(L15="U",MATCH(LARGE('Dane rozpisek'!$I$2:$I$2600,(ROW()-12)-$L$5-3),'Dane rozpisek'!$I$2:$I$2600,0),""))</f>
        <v/>
      </c>
    </row>
    <row r="16">
      <c r="A16" s="47">
        <f>IF($L16="D",INDEX('Zgłoszenia'!$D$5:$D$504,$M16),IF($L16="U",INDEX('Dane rozpisek'!$A$2:$A$2600,$M16),IF($L16="T","KTO JEŹDZIŁ",IF($L16="E1","Brak zgłoszonych usterek w tym okresie.",IF($L16="E2","Brak wpisów z tym wózkiem w rozpiskach dla tego okresu.",IF($L16="H","Data",""))))))</f>
        <v/>
      </c>
      <c r="B16" s="48">
        <f>IF($L16="D",INDEX('Zgłoszenia'!$B$5:$B$504,$M16)&amp;"",IF($L16="U",INDEX('Dane rozpisek'!$F$2:$F$2600,$M16)&amp;"",IF($L16="H","Wózek","")))</f>
        <v/>
      </c>
      <c r="C16" s="48">
        <f>IF($L16="D",INDEX('Zgłoszenia'!$E$5:$E$504,$M16)&amp;"",IF($L16="U",INDEX('Dane rozpisek'!$B$2:$B$2600,$M16)&amp;" · "&amp;INDEX('Dane rozpisek'!$J$2:$J$2600,$M16),IF($L16="H","Zmiana","")))</f>
        <v/>
      </c>
      <c r="D16" s="49">
        <f>IF($L16="D",INDEX('Zgłoszenia'!$H$5:$H$504,$M16)&amp;"",IF($L16="U",INDEX('Dane rozpisek'!$E$2:$E$2600,$M16)&amp;"",IF($L16="H","Operator","")))</f>
        <v/>
      </c>
      <c r="E16" s="49">
        <f>IF($L16="D",INDEX('Zgłoszenia'!$I$5:$I$504,$M16)&amp;"",IF($L16="U",INDEX('Dane rozpisek'!$C$2:$C$2600,$M16)&amp;"",IF($L16="H","Stanowisko","")))</f>
        <v/>
      </c>
      <c r="F16" s="48">
        <f>IF($L16="D",INDEX('Zgłoszenia'!$J$5:$J$504,$M16)&amp;"",IF($L16="U",INDEX('Dane rozpisek'!$G$2:$G$2600,$M16)&amp;"",IF($L16="H","Uwagi","")))</f>
        <v/>
      </c>
      <c r="G16" s="49">
        <f>IF($L16="D",INDEX('Zgłoszenia'!$F$5:$F$504,$M16)&amp;"",IF($L16="U",INDEX('Dane rozpisek'!$L$2:$L$2600,$M16)&amp;"",IF($L16="H","Usterki (dzień / następny)","")))</f>
        <v/>
      </c>
      <c r="H16" s="49">
        <f>IF($L16="D",INDEX('Zgłoszenia'!$P$5:$P$504,$M16)&amp;"",IF($L16="U","",""))</f>
        <v/>
      </c>
      <c r="I16" s="48">
        <f>IF($L16="D",IF(INDEX('Zgłoszenia'!$M$5:$M$504,$M16)="","Zgłoszona",INDEX('Zgłoszenia'!$M$5:$M$504,$M16)),IF($L16="U","",""))</f>
        <v/>
      </c>
      <c r="J16" s="49">
        <f>IF($L16="D",INDEX('Zgłoszenia'!$K$5:$K$504,$M16)&amp;"",IF($L16="U","",""))</f>
        <v/>
      </c>
      <c r="K16" s="2" t="n"/>
      <c r="L16" s="2">
        <f>IF((ROW()-12)&lt;=$L$5,IF($L$2=0,"E1","D"),IF((ROW()-12)=$L$5+1,"",IF((ROW()-12)=$L$5+2,"T",IF((ROW()-12)=$L$5+3,IF($L$3=0,"E2","H"),IF((ROW()-12)&lt;=$L$5+3+$L$3,"U","")))))</f>
        <v/>
      </c>
      <c r="M16" s="2">
        <f>IF(L16="D",MATCH(LARGE('Zgłoszenia'!$Q$5:$Q$504,(ROW()-12)),'Zgłoszenia'!$Q$5:$Q$504,0),IF(L16="U",MATCH(LARGE('Dane rozpisek'!$I$2:$I$2600,(ROW()-12)-$L$5-3),'Dane rozpisek'!$I$2:$I$2600,0),""))</f>
        <v/>
      </c>
    </row>
    <row r="17">
      <c r="A17" s="47">
        <f>IF($L17="D",INDEX('Zgłoszenia'!$D$5:$D$504,$M17),IF($L17="U",INDEX('Dane rozpisek'!$A$2:$A$2600,$M17),IF($L17="T","KTO JEŹDZIŁ",IF($L17="E1","Brak zgłoszonych usterek w tym okresie.",IF($L17="E2","Brak wpisów z tym wózkiem w rozpiskach dla tego okresu.",IF($L17="H","Data",""))))))</f>
        <v/>
      </c>
      <c r="B17" s="48">
        <f>IF($L17="D",INDEX('Zgłoszenia'!$B$5:$B$504,$M17)&amp;"",IF($L17="U",INDEX('Dane rozpisek'!$F$2:$F$2600,$M17)&amp;"",IF($L17="H","Wózek","")))</f>
        <v/>
      </c>
      <c r="C17" s="48">
        <f>IF($L17="D",INDEX('Zgłoszenia'!$E$5:$E$504,$M17)&amp;"",IF($L17="U",INDEX('Dane rozpisek'!$B$2:$B$2600,$M17)&amp;" · "&amp;INDEX('Dane rozpisek'!$J$2:$J$2600,$M17),IF($L17="H","Zmiana","")))</f>
        <v/>
      </c>
      <c r="D17" s="49">
        <f>IF($L17="D",INDEX('Zgłoszenia'!$H$5:$H$504,$M17)&amp;"",IF($L17="U",INDEX('Dane rozpisek'!$E$2:$E$2600,$M17)&amp;"",IF($L17="H","Operator","")))</f>
        <v/>
      </c>
      <c r="E17" s="49">
        <f>IF($L17="D",INDEX('Zgłoszenia'!$I$5:$I$504,$M17)&amp;"",IF($L17="U",INDEX('Dane rozpisek'!$C$2:$C$2600,$M17)&amp;"",IF($L17="H","Stanowisko","")))</f>
        <v/>
      </c>
      <c r="F17" s="48">
        <f>IF($L17="D",INDEX('Zgłoszenia'!$J$5:$J$504,$M17)&amp;"",IF($L17="U",INDEX('Dane rozpisek'!$G$2:$G$2600,$M17)&amp;"",IF($L17="H","Uwagi","")))</f>
        <v/>
      </c>
      <c r="G17" s="49">
        <f>IF($L17="D",INDEX('Zgłoszenia'!$F$5:$F$504,$M17)&amp;"",IF($L17="U",INDEX('Dane rozpisek'!$L$2:$L$2600,$M17)&amp;"",IF($L17="H","Usterki (dzień / następny)","")))</f>
        <v/>
      </c>
      <c r="H17" s="49">
        <f>IF($L17="D",INDEX('Zgłoszenia'!$P$5:$P$504,$M17)&amp;"",IF($L17="U","",""))</f>
        <v/>
      </c>
      <c r="I17" s="48">
        <f>IF($L17="D",IF(INDEX('Zgłoszenia'!$M$5:$M$504,$M17)="","Zgłoszona",INDEX('Zgłoszenia'!$M$5:$M$504,$M17)),IF($L17="U","",""))</f>
        <v/>
      </c>
      <c r="J17" s="49">
        <f>IF($L17="D",INDEX('Zgłoszenia'!$K$5:$K$504,$M17)&amp;"",IF($L17="U","",""))</f>
        <v/>
      </c>
      <c r="K17" s="2" t="n"/>
      <c r="L17" s="2">
        <f>IF((ROW()-12)&lt;=$L$5,IF($L$2=0,"E1","D"),IF((ROW()-12)=$L$5+1,"",IF((ROW()-12)=$L$5+2,"T",IF((ROW()-12)=$L$5+3,IF($L$3=0,"E2","H"),IF((ROW()-12)&lt;=$L$5+3+$L$3,"U","")))))</f>
        <v/>
      </c>
      <c r="M17" s="2">
        <f>IF(L17="D",MATCH(LARGE('Zgłoszenia'!$Q$5:$Q$504,(ROW()-12)),'Zgłoszenia'!$Q$5:$Q$504,0),IF(L17="U",MATCH(LARGE('Dane rozpisek'!$I$2:$I$2600,(ROW()-12)-$L$5-3),'Dane rozpisek'!$I$2:$I$2600,0),""))</f>
        <v/>
      </c>
    </row>
    <row r="18">
      <c r="A18" s="47">
        <f>IF($L18="D",INDEX('Zgłoszenia'!$D$5:$D$504,$M18),IF($L18="U",INDEX('Dane rozpisek'!$A$2:$A$2600,$M18),IF($L18="T","KTO JEŹDZIŁ",IF($L18="E1","Brak zgłoszonych usterek w tym okresie.",IF($L18="E2","Brak wpisów z tym wózkiem w rozpiskach dla tego okresu.",IF($L18="H","Data",""))))))</f>
        <v/>
      </c>
      <c r="B18" s="48">
        <f>IF($L18="D",INDEX('Zgłoszenia'!$B$5:$B$504,$M18)&amp;"",IF($L18="U",INDEX('Dane rozpisek'!$F$2:$F$2600,$M18)&amp;"",IF($L18="H","Wózek","")))</f>
        <v/>
      </c>
      <c r="C18" s="48">
        <f>IF($L18="D",INDEX('Zgłoszenia'!$E$5:$E$504,$M18)&amp;"",IF($L18="U",INDEX('Dane rozpisek'!$B$2:$B$2600,$M18)&amp;" · "&amp;INDEX('Dane rozpisek'!$J$2:$J$2600,$M18),IF($L18="H","Zmiana","")))</f>
        <v/>
      </c>
      <c r="D18" s="49">
        <f>IF($L18="D",INDEX('Zgłoszenia'!$H$5:$H$504,$M18)&amp;"",IF($L18="U",INDEX('Dane rozpisek'!$E$2:$E$2600,$M18)&amp;"",IF($L18="H","Operator","")))</f>
        <v/>
      </c>
      <c r="E18" s="49">
        <f>IF($L18="D",INDEX('Zgłoszenia'!$I$5:$I$504,$M18)&amp;"",IF($L18="U",INDEX('Dane rozpisek'!$C$2:$C$2600,$M18)&amp;"",IF($L18="H","Stanowisko","")))</f>
        <v/>
      </c>
      <c r="F18" s="48">
        <f>IF($L18="D",INDEX('Zgłoszenia'!$J$5:$J$504,$M18)&amp;"",IF($L18="U",INDEX('Dane rozpisek'!$G$2:$G$2600,$M18)&amp;"",IF($L18="H","Uwagi","")))</f>
        <v/>
      </c>
      <c r="G18" s="49">
        <f>IF($L18="D",INDEX('Zgłoszenia'!$F$5:$F$504,$M18)&amp;"",IF($L18="U",INDEX('Dane rozpisek'!$L$2:$L$2600,$M18)&amp;"",IF($L18="H","Usterki (dzień / następny)","")))</f>
        <v/>
      </c>
      <c r="H18" s="49">
        <f>IF($L18="D",INDEX('Zgłoszenia'!$P$5:$P$504,$M18)&amp;"",IF($L18="U","",""))</f>
        <v/>
      </c>
      <c r="I18" s="48">
        <f>IF($L18="D",IF(INDEX('Zgłoszenia'!$M$5:$M$504,$M18)="","Zgłoszona",INDEX('Zgłoszenia'!$M$5:$M$504,$M18)),IF($L18="U","",""))</f>
        <v/>
      </c>
      <c r="J18" s="49">
        <f>IF($L18="D",INDEX('Zgłoszenia'!$K$5:$K$504,$M18)&amp;"",IF($L18="U","",""))</f>
        <v/>
      </c>
      <c r="K18" s="2" t="n"/>
      <c r="L18" s="2">
        <f>IF((ROW()-12)&lt;=$L$5,IF($L$2=0,"E1","D"),IF((ROW()-12)=$L$5+1,"",IF((ROW()-12)=$L$5+2,"T",IF((ROW()-12)=$L$5+3,IF($L$3=0,"E2","H"),IF((ROW()-12)&lt;=$L$5+3+$L$3,"U","")))))</f>
        <v/>
      </c>
      <c r="M18" s="2">
        <f>IF(L18="D",MATCH(LARGE('Zgłoszenia'!$Q$5:$Q$504,(ROW()-12)),'Zgłoszenia'!$Q$5:$Q$504,0),IF(L18="U",MATCH(LARGE('Dane rozpisek'!$I$2:$I$2600,(ROW()-12)-$L$5-3),'Dane rozpisek'!$I$2:$I$2600,0),""))</f>
        <v/>
      </c>
    </row>
    <row r="19">
      <c r="A19" s="47">
        <f>IF($L19="D",INDEX('Zgłoszenia'!$D$5:$D$504,$M19),IF($L19="U",INDEX('Dane rozpisek'!$A$2:$A$2600,$M19),IF($L19="T","KTO JEŹDZIŁ",IF($L19="E1","Brak zgłoszonych usterek w tym okresie.",IF($L19="E2","Brak wpisów z tym wózkiem w rozpiskach dla tego okresu.",IF($L19="H","Data",""))))))</f>
        <v/>
      </c>
      <c r="B19" s="48">
        <f>IF($L19="D",INDEX('Zgłoszenia'!$B$5:$B$504,$M19)&amp;"",IF($L19="U",INDEX('Dane rozpisek'!$F$2:$F$2600,$M19)&amp;"",IF($L19="H","Wózek","")))</f>
        <v/>
      </c>
      <c r="C19" s="48">
        <f>IF($L19="D",INDEX('Zgłoszenia'!$E$5:$E$504,$M19)&amp;"",IF($L19="U",INDEX('Dane rozpisek'!$B$2:$B$2600,$M19)&amp;" · "&amp;INDEX('Dane rozpisek'!$J$2:$J$2600,$M19),IF($L19="H","Zmiana","")))</f>
        <v/>
      </c>
      <c r="D19" s="49">
        <f>IF($L19="D",INDEX('Zgłoszenia'!$H$5:$H$504,$M19)&amp;"",IF($L19="U",INDEX('Dane rozpisek'!$E$2:$E$2600,$M19)&amp;"",IF($L19="H","Operator","")))</f>
        <v/>
      </c>
      <c r="E19" s="49">
        <f>IF($L19="D",INDEX('Zgłoszenia'!$I$5:$I$504,$M19)&amp;"",IF($L19="U",INDEX('Dane rozpisek'!$C$2:$C$2600,$M19)&amp;"",IF($L19="H","Stanowisko","")))</f>
        <v/>
      </c>
      <c r="F19" s="48">
        <f>IF($L19="D",INDEX('Zgłoszenia'!$J$5:$J$504,$M19)&amp;"",IF($L19="U",INDEX('Dane rozpisek'!$G$2:$G$2600,$M19)&amp;"",IF($L19="H","Uwagi","")))</f>
        <v/>
      </c>
      <c r="G19" s="49">
        <f>IF($L19="D",INDEX('Zgłoszenia'!$F$5:$F$504,$M19)&amp;"",IF($L19="U",INDEX('Dane rozpisek'!$L$2:$L$2600,$M19)&amp;"",IF($L19="H","Usterki (dzień / następny)","")))</f>
        <v/>
      </c>
      <c r="H19" s="49">
        <f>IF($L19="D",INDEX('Zgłoszenia'!$P$5:$P$504,$M19)&amp;"",IF($L19="U","",""))</f>
        <v/>
      </c>
      <c r="I19" s="48">
        <f>IF($L19="D",IF(INDEX('Zgłoszenia'!$M$5:$M$504,$M19)="","Zgłoszona",INDEX('Zgłoszenia'!$M$5:$M$504,$M19)),IF($L19="U","",""))</f>
        <v/>
      </c>
      <c r="J19" s="49">
        <f>IF($L19="D",INDEX('Zgłoszenia'!$K$5:$K$504,$M19)&amp;"",IF($L19="U","",""))</f>
        <v/>
      </c>
      <c r="K19" s="2" t="n"/>
      <c r="L19" s="2">
        <f>IF((ROW()-12)&lt;=$L$5,IF($L$2=0,"E1","D"),IF((ROW()-12)=$L$5+1,"",IF((ROW()-12)=$L$5+2,"T",IF((ROW()-12)=$L$5+3,IF($L$3=0,"E2","H"),IF((ROW()-12)&lt;=$L$5+3+$L$3,"U","")))))</f>
        <v/>
      </c>
      <c r="M19" s="2">
        <f>IF(L19="D",MATCH(LARGE('Zgłoszenia'!$Q$5:$Q$504,(ROW()-12)),'Zgłoszenia'!$Q$5:$Q$504,0),IF(L19="U",MATCH(LARGE('Dane rozpisek'!$I$2:$I$2600,(ROW()-12)-$L$5-3),'Dane rozpisek'!$I$2:$I$2600,0),""))</f>
        <v/>
      </c>
    </row>
    <row r="20">
      <c r="A20" s="47">
        <f>IF($L20="D",INDEX('Zgłoszenia'!$D$5:$D$504,$M20),IF($L20="U",INDEX('Dane rozpisek'!$A$2:$A$2600,$M20),IF($L20="T","KTO JEŹDZIŁ",IF($L20="E1","Brak zgłoszonych usterek w tym okresie.",IF($L20="E2","Brak wpisów z tym wózkiem w rozpiskach dla tego okresu.",IF($L20="H","Data",""))))))</f>
        <v/>
      </c>
      <c r="B20" s="48">
        <f>IF($L20="D",INDEX('Zgłoszenia'!$B$5:$B$504,$M20)&amp;"",IF($L20="U",INDEX('Dane rozpisek'!$F$2:$F$2600,$M20)&amp;"",IF($L20="H","Wózek","")))</f>
        <v/>
      </c>
      <c r="C20" s="48">
        <f>IF($L20="D",INDEX('Zgłoszenia'!$E$5:$E$504,$M20)&amp;"",IF($L20="U",INDEX('Dane rozpisek'!$B$2:$B$2600,$M20)&amp;" · "&amp;INDEX('Dane rozpisek'!$J$2:$J$2600,$M20),IF($L20="H","Zmiana","")))</f>
        <v/>
      </c>
      <c r="D20" s="49">
        <f>IF($L20="D",INDEX('Zgłoszenia'!$H$5:$H$504,$M20)&amp;"",IF($L20="U",INDEX('Dane rozpisek'!$E$2:$E$2600,$M20)&amp;"",IF($L20="H","Operator","")))</f>
        <v/>
      </c>
      <c r="E20" s="49">
        <f>IF($L20="D",INDEX('Zgłoszenia'!$I$5:$I$504,$M20)&amp;"",IF($L20="U",INDEX('Dane rozpisek'!$C$2:$C$2600,$M20)&amp;"",IF($L20="H","Stanowisko","")))</f>
        <v/>
      </c>
      <c r="F20" s="48">
        <f>IF($L20="D",INDEX('Zgłoszenia'!$J$5:$J$504,$M20)&amp;"",IF($L20="U",INDEX('Dane rozpisek'!$G$2:$G$2600,$M20)&amp;"",IF($L20="H","Uwagi","")))</f>
        <v/>
      </c>
      <c r="G20" s="49">
        <f>IF($L20="D",INDEX('Zgłoszenia'!$F$5:$F$504,$M20)&amp;"",IF($L20="U",INDEX('Dane rozpisek'!$L$2:$L$2600,$M20)&amp;"",IF($L20="H","Usterki (dzień / następny)","")))</f>
        <v/>
      </c>
      <c r="H20" s="49">
        <f>IF($L20="D",INDEX('Zgłoszenia'!$P$5:$P$504,$M20)&amp;"",IF($L20="U","",""))</f>
        <v/>
      </c>
      <c r="I20" s="48">
        <f>IF($L20="D",IF(INDEX('Zgłoszenia'!$M$5:$M$504,$M20)="","Zgłoszona",INDEX('Zgłoszenia'!$M$5:$M$504,$M20)),IF($L20="U","",""))</f>
        <v/>
      </c>
      <c r="J20" s="49">
        <f>IF($L20="D",INDEX('Zgłoszenia'!$K$5:$K$504,$M20)&amp;"",IF($L20="U","",""))</f>
        <v/>
      </c>
      <c r="K20" s="2" t="n"/>
      <c r="L20" s="2">
        <f>IF((ROW()-12)&lt;=$L$5,IF($L$2=0,"E1","D"),IF((ROW()-12)=$L$5+1,"",IF((ROW()-12)=$L$5+2,"T",IF((ROW()-12)=$L$5+3,IF($L$3=0,"E2","H"),IF((ROW()-12)&lt;=$L$5+3+$L$3,"U","")))))</f>
        <v/>
      </c>
      <c r="M20" s="2">
        <f>IF(L20="D",MATCH(LARGE('Zgłoszenia'!$Q$5:$Q$504,(ROW()-12)),'Zgłoszenia'!$Q$5:$Q$504,0),IF(L20="U",MATCH(LARGE('Dane rozpisek'!$I$2:$I$2600,(ROW()-12)-$L$5-3),'Dane rozpisek'!$I$2:$I$2600,0),""))</f>
        <v/>
      </c>
    </row>
    <row r="21">
      <c r="A21" s="47">
        <f>IF($L21="D",INDEX('Zgłoszenia'!$D$5:$D$504,$M21),IF($L21="U",INDEX('Dane rozpisek'!$A$2:$A$2600,$M21),IF($L21="T","KTO JEŹDZIŁ",IF($L21="E1","Brak zgłoszonych usterek w tym okresie.",IF($L21="E2","Brak wpisów z tym wózkiem w rozpiskach dla tego okresu.",IF($L21="H","Data",""))))))</f>
        <v/>
      </c>
      <c r="B21" s="48">
        <f>IF($L21="D",INDEX('Zgłoszenia'!$B$5:$B$504,$M21)&amp;"",IF($L21="U",INDEX('Dane rozpisek'!$F$2:$F$2600,$M21)&amp;"",IF($L21="H","Wózek","")))</f>
        <v/>
      </c>
      <c r="C21" s="48">
        <f>IF($L21="D",INDEX('Zgłoszenia'!$E$5:$E$504,$M21)&amp;"",IF($L21="U",INDEX('Dane rozpisek'!$B$2:$B$2600,$M21)&amp;" · "&amp;INDEX('Dane rozpisek'!$J$2:$J$2600,$M21),IF($L21="H","Zmiana","")))</f>
        <v/>
      </c>
      <c r="D21" s="49">
        <f>IF($L21="D",INDEX('Zgłoszenia'!$H$5:$H$504,$M21)&amp;"",IF($L21="U",INDEX('Dane rozpisek'!$E$2:$E$2600,$M21)&amp;"",IF($L21="H","Operator","")))</f>
        <v/>
      </c>
      <c r="E21" s="49">
        <f>IF($L21="D",INDEX('Zgłoszenia'!$I$5:$I$504,$M21)&amp;"",IF($L21="U",INDEX('Dane rozpisek'!$C$2:$C$2600,$M21)&amp;"",IF($L21="H","Stanowisko","")))</f>
        <v/>
      </c>
      <c r="F21" s="48">
        <f>IF($L21="D",INDEX('Zgłoszenia'!$J$5:$J$504,$M21)&amp;"",IF($L21="U",INDEX('Dane rozpisek'!$G$2:$G$2600,$M21)&amp;"",IF($L21="H","Uwagi","")))</f>
        <v/>
      </c>
      <c r="G21" s="49">
        <f>IF($L21="D",INDEX('Zgłoszenia'!$F$5:$F$504,$M21)&amp;"",IF($L21="U",INDEX('Dane rozpisek'!$L$2:$L$2600,$M21)&amp;"",IF($L21="H","Usterki (dzień / następny)","")))</f>
        <v/>
      </c>
      <c r="H21" s="49">
        <f>IF($L21="D",INDEX('Zgłoszenia'!$P$5:$P$504,$M21)&amp;"",IF($L21="U","",""))</f>
        <v/>
      </c>
      <c r="I21" s="48">
        <f>IF($L21="D",IF(INDEX('Zgłoszenia'!$M$5:$M$504,$M21)="","Zgłoszona",INDEX('Zgłoszenia'!$M$5:$M$504,$M21)),IF($L21="U","",""))</f>
        <v/>
      </c>
      <c r="J21" s="49">
        <f>IF($L21="D",INDEX('Zgłoszenia'!$K$5:$K$504,$M21)&amp;"",IF($L21="U","",""))</f>
        <v/>
      </c>
      <c r="K21" s="2" t="n"/>
      <c r="L21" s="2">
        <f>IF((ROW()-12)&lt;=$L$5,IF($L$2=0,"E1","D"),IF((ROW()-12)=$L$5+1,"",IF((ROW()-12)=$L$5+2,"T",IF((ROW()-12)=$L$5+3,IF($L$3=0,"E2","H"),IF((ROW()-12)&lt;=$L$5+3+$L$3,"U","")))))</f>
        <v/>
      </c>
      <c r="M21" s="2">
        <f>IF(L21="D",MATCH(LARGE('Zgłoszenia'!$Q$5:$Q$504,(ROW()-12)),'Zgłoszenia'!$Q$5:$Q$504,0),IF(L21="U",MATCH(LARGE('Dane rozpisek'!$I$2:$I$2600,(ROW()-12)-$L$5-3),'Dane rozpisek'!$I$2:$I$2600,0),""))</f>
        <v/>
      </c>
    </row>
    <row r="22">
      <c r="A22" s="47">
        <f>IF($L22="D",INDEX('Zgłoszenia'!$D$5:$D$504,$M22),IF($L22="U",INDEX('Dane rozpisek'!$A$2:$A$2600,$M22),IF($L22="T","KTO JEŹDZIŁ",IF($L22="E1","Brak zgłoszonych usterek w tym okresie.",IF($L22="E2","Brak wpisów z tym wózkiem w rozpiskach dla tego okresu.",IF($L22="H","Data",""))))))</f>
        <v/>
      </c>
      <c r="B22" s="48">
        <f>IF($L22="D",INDEX('Zgłoszenia'!$B$5:$B$504,$M22)&amp;"",IF($L22="U",INDEX('Dane rozpisek'!$F$2:$F$2600,$M22)&amp;"",IF($L22="H","Wózek","")))</f>
        <v/>
      </c>
      <c r="C22" s="48">
        <f>IF($L22="D",INDEX('Zgłoszenia'!$E$5:$E$504,$M22)&amp;"",IF($L22="U",INDEX('Dane rozpisek'!$B$2:$B$2600,$M22)&amp;" · "&amp;INDEX('Dane rozpisek'!$J$2:$J$2600,$M22),IF($L22="H","Zmiana","")))</f>
        <v/>
      </c>
      <c r="D22" s="49">
        <f>IF($L22="D",INDEX('Zgłoszenia'!$H$5:$H$504,$M22)&amp;"",IF($L22="U",INDEX('Dane rozpisek'!$E$2:$E$2600,$M22)&amp;"",IF($L22="H","Operator","")))</f>
        <v/>
      </c>
      <c r="E22" s="49">
        <f>IF($L22="D",INDEX('Zgłoszenia'!$I$5:$I$504,$M22)&amp;"",IF($L22="U",INDEX('Dane rozpisek'!$C$2:$C$2600,$M22)&amp;"",IF($L22="H","Stanowisko","")))</f>
        <v/>
      </c>
      <c r="F22" s="48">
        <f>IF($L22="D",INDEX('Zgłoszenia'!$J$5:$J$504,$M22)&amp;"",IF($L22="U",INDEX('Dane rozpisek'!$G$2:$G$2600,$M22)&amp;"",IF($L22="H","Uwagi","")))</f>
        <v/>
      </c>
      <c r="G22" s="49">
        <f>IF($L22="D",INDEX('Zgłoszenia'!$F$5:$F$504,$M22)&amp;"",IF($L22="U",INDEX('Dane rozpisek'!$L$2:$L$2600,$M22)&amp;"",IF($L22="H","Usterki (dzień / następny)","")))</f>
        <v/>
      </c>
      <c r="H22" s="49">
        <f>IF($L22="D",INDEX('Zgłoszenia'!$P$5:$P$504,$M22)&amp;"",IF($L22="U","",""))</f>
        <v/>
      </c>
      <c r="I22" s="48">
        <f>IF($L22="D",IF(INDEX('Zgłoszenia'!$M$5:$M$504,$M22)="","Zgłoszona",INDEX('Zgłoszenia'!$M$5:$M$504,$M22)),IF($L22="U","",""))</f>
        <v/>
      </c>
      <c r="J22" s="49">
        <f>IF($L22="D",INDEX('Zgłoszenia'!$K$5:$K$504,$M22)&amp;"",IF($L22="U","",""))</f>
        <v/>
      </c>
      <c r="K22" s="2" t="n"/>
      <c r="L22" s="2">
        <f>IF((ROW()-12)&lt;=$L$5,IF($L$2=0,"E1","D"),IF((ROW()-12)=$L$5+1,"",IF((ROW()-12)=$L$5+2,"T",IF((ROW()-12)=$L$5+3,IF($L$3=0,"E2","H"),IF((ROW()-12)&lt;=$L$5+3+$L$3,"U","")))))</f>
        <v/>
      </c>
      <c r="M22" s="2">
        <f>IF(L22="D",MATCH(LARGE('Zgłoszenia'!$Q$5:$Q$504,(ROW()-12)),'Zgłoszenia'!$Q$5:$Q$504,0),IF(L22="U",MATCH(LARGE('Dane rozpisek'!$I$2:$I$2600,(ROW()-12)-$L$5-3),'Dane rozpisek'!$I$2:$I$2600,0),""))</f>
        <v/>
      </c>
    </row>
    <row r="23">
      <c r="A23" s="47">
        <f>IF($L23="D",INDEX('Zgłoszenia'!$D$5:$D$504,$M23),IF($L23="U",INDEX('Dane rozpisek'!$A$2:$A$2600,$M23),IF($L23="T","KTO JEŹDZIŁ",IF($L23="E1","Brak zgłoszonych usterek w tym okresie.",IF($L23="E2","Brak wpisów z tym wózkiem w rozpiskach dla tego okresu.",IF($L23="H","Data",""))))))</f>
        <v/>
      </c>
      <c r="B23" s="48">
        <f>IF($L23="D",INDEX('Zgłoszenia'!$B$5:$B$504,$M23)&amp;"",IF($L23="U",INDEX('Dane rozpisek'!$F$2:$F$2600,$M23)&amp;"",IF($L23="H","Wózek","")))</f>
        <v/>
      </c>
      <c r="C23" s="48">
        <f>IF($L23="D",INDEX('Zgłoszenia'!$E$5:$E$504,$M23)&amp;"",IF($L23="U",INDEX('Dane rozpisek'!$B$2:$B$2600,$M23)&amp;" · "&amp;INDEX('Dane rozpisek'!$J$2:$J$2600,$M23),IF($L23="H","Zmiana","")))</f>
        <v/>
      </c>
      <c r="D23" s="49">
        <f>IF($L23="D",INDEX('Zgłoszenia'!$H$5:$H$504,$M23)&amp;"",IF($L23="U",INDEX('Dane rozpisek'!$E$2:$E$2600,$M23)&amp;"",IF($L23="H","Operator","")))</f>
        <v/>
      </c>
      <c r="E23" s="49">
        <f>IF($L23="D",INDEX('Zgłoszenia'!$I$5:$I$504,$M23)&amp;"",IF($L23="U",INDEX('Dane rozpisek'!$C$2:$C$2600,$M23)&amp;"",IF($L23="H","Stanowisko","")))</f>
        <v/>
      </c>
      <c r="F23" s="48">
        <f>IF($L23="D",INDEX('Zgłoszenia'!$J$5:$J$504,$M23)&amp;"",IF($L23="U",INDEX('Dane rozpisek'!$G$2:$G$2600,$M23)&amp;"",IF($L23="H","Uwagi","")))</f>
        <v/>
      </c>
      <c r="G23" s="49">
        <f>IF($L23="D",INDEX('Zgłoszenia'!$F$5:$F$504,$M23)&amp;"",IF($L23="U",INDEX('Dane rozpisek'!$L$2:$L$2600,$M23)&amp;"",IF($L23="H","Usterki (dzień / następny)","")))</f>
        <v/>
      </c>
      <c r="H23" s="49">
        <f>IF($L23="D",INDEX('Zgłoszenia'!$P$5:$P$504,$M23)&amp;"",IF($L23="U","",""))</f>
        <v/>
      </c>
      <c r="I23" s="48">
        <f>IF($L23="D",IF(INDEX('Zgłoszenia'!$M$5:$M$504,$M23)="","Zgłoszona",INDEX('Zgłoszenia'!$M$5:$M$504,$M23)),IF($L23="U","",""))</f>
        <v/>
      </c>
      <c r="J23" s="49">
        <f>IF($L23="D",INDEX('Zgłoszenia'!$K$5:$K$504,$M23)&amp;"",IF($L23="U","",""))</f>
        <v/>
      </c>
      <c r="K23" s="2" t="n"/>
      <c r="L23" s="2">
        <f>IF((ROW()-12)&lt;=$L$5,IF($L$2=0,"E1","D"),IF((ROW()-12)=$L$5+1,"",IF((ROW()-12)=$L$5+2,"T",IF((ROW()-12)=$L$5+3,IF($L$3=0,"E2","H"),IF((ROW()-12)&lt;=$L$5+3+$L$3,"U","")))))</f>
        <v/>
      </c>
      <c r="M23" s="2">
        <f>IF(L23="D",MATCH(LARGE('Zgłoszenia'!$Q$5:$Q$504,(ROW()-12)),'Zgłoszenia'!$Q$5:$Q$504,0),IF(L23="U",MATCH(LARGE('Dane rozpisek'!$I$2:$I$2600,(ROW()-12)-$L$5-3),'Dane rozpisek'!$I$2:$I$2600,0),""))</f>
        <v/>
      </c>
    </row>
    <row r="24">
      <c r="A24" s="47">
        <f>IF($L24="D",INDEX('Zgłoszenia'!$D$5:$D$504,$M24),IF($L24="U",INDEX('Dane rozpisek'!$A$2:$A$2600,$M24),IF($L24="T","KTO JEŹDZIŁ",IF($L24="E1","Brak zgłoszonych usterek w tym okresie.",IF($L24="E2","Brak wpisów z tym wózkiem w rozpiskach dla tego okresu.",IF($L24="H","Data",""))))))</f>
        <v/>
      </c>
      <c r="B24" s="48">
        <f>IF($L24="D",INDEX('Zgłoszenia'!$B$5:$B$504,$M24)&amp;"",IF($L24="U",INDEX('Dane rozpisek'!$F$2:$F$2600,$M24)&amp;"",IF($L24="H","Wózek","")))</f>
        <v/>
      </c>
      <c r="C24" s="48">
        <f>IF($L24="D",INDEX('Zgłoszenia'!$E$5:$E$504,$M24)&amp;"",IF($L24="U",INDEX('Dane rozpisek'!$B$2:$B$2600,$M24)&amp;" · "&amp;INDEX('Dane rozpisek'!$J$2:$J$2600,$M24),IF($L24="H","Zmiana","")))</f>
        <v/>
      </c>
      <c r="D24" s="49">
        <f>IF($L24="D",INDEX('Zgłoszenia'!$H$5:$H$504,$M24)&amp;"",IF($L24="U",INDEX('Dane rozpisek'!$E$2:$E$2600,$M24)&amp;"",IF($L24="H","Operator","")))</f>
        <v/>
      </c>
      <c r="E24" s="49">
        <f>IF($L24="D",INDEX('Zgłoszenia'!$I$5:$I$504,$M24)&amp;"",IF($L24="U",INDEX('Dane rozpisek'!$C$2:$C$2600,$M24)&amp;"",IF($L24="H","Stanowisko","")))</f>
        <v/>
      </c>
      <c r="F24" s="48">
        <f>IF($L24="D",INDEX('Zgłoszenia'!$J$5:$J$504,$M24)&amp;"",IF($L24="U",INDEX('Dane rozpisek'!$G$2:$G$2600,$M24)&amp;"",IF($L24="H","Uwagi","")))</f>
        <v/>
      </c>
      <c r="G24" s="49">
        <f>IF($L24="D",INDEX('Zgłoszenia'!$F$5:$F$504,$M24)&amp;"",IF($L24="U",INDEX('Dane rozpisek'!$L$2:$L$2600,$M24)&amp;"",IF($L24="H","Usterki (dzień / następny)","")))</f>
        <v/>
      </c>
      <c r="H24" s="49">
        <f>IF($L24="D",INDEX('Zgłoszenia'!$P$5:$P$504,$M24)&amp;"",IF($L24="U","",""))</f>
        <v/>
      </c>
      <c r="I24" s="48">
        <f>IF($L24="D",IF(INDEX('Zgłoszenia'!$M$5:$M$504,$M24)="","Zgłoszona",INDEX('Zgłoszenia'!$M$5:$M$504,$M24)),IF($L24="U","",""))</f>
        <v/>
      </c>
      <c r="J24" s="49">
        <f>IF($L24="D",INDEX('Zgłoszenia'!$K$5:$K$504,$M24)&amp;"",IF($L24="U","",""))</f>
        <v/>
      </c>
      <c r="K24" s="2" t="n"/>
      <c r="L24" s="2">
        <f>IF((ROW()-12)&lt;=$L$5,IF($L$2=0,"E1","D"),IF((ROW()-12)=$L$5+1,"",IF((ROW()-12)=$L$5+2,"T",IF((ROW()-12)=$L$5+3,IF($L$3=0,"E2","H"),IF((ROW()-12)&lt;=$L$5+3+$L$3,"U","")))))</f>
        <v/>
      </c>
      <c r="M24" s="2">
        <f>IF(L24="D",MATCH(LARGE('Zgłoszenia'!$Q$5:$Q$504,(ROW()-12)),'Zgłoszenia'!$Q$5:$Q$504,0),IF(L24="U",MATCH(LARGE('Dane rozpisek'!$I$2:$I$2600,(ROW()-12)-$L$5-3),'Dane rozpisek'!$I$2:$I$2600,0),""))</f>
        <v/>
      </c>
    </row>
    <row r="25">
      <c r="A25" s="47">
        <f>IF($L25="D",INDEX('Zgłoszenia'!$D$5:$D$504,$M25),IF($L25="U",INDEX('Dane rozpisek'!$A$2:$A$2600,$M25),IF($L25="T","KTO JEŹDZIŁ",IF($L25="E1","Brak zgłoszonych usterek w tym okresie.",IF($L25="E2","Brak wpisów z tym wózkiem w rozpiskach dla tego okresu.",IF($L25="H","Data",""))))))</f>
        <v/>
      </c>
      <c r="B25" s="48">
        <f>IF($L25="D",INDEX('Zgłoszenia'!$B$5:$B$504,$M25)&amp;"",IF($L25="U",INDEX('Dane rozpisek'!$F$2:$F$2600,$M25)&amp;"",IF($L25="H","Wózek","")))</f>
        <v/>
      </c>
      <c r="C25" s="48">
        <f>IF($L25="D",INDEX('Zgłoszenia'!$E$5:$E$504,$M25)&amp;"",IF($L25="U",INDEX('Dane rozpisek'!$B$2:$B$2600,$M25)&amp;" · "&amp;INDEX('Dane rozpisek'!$J$2:$J$2600,$M25),IF($L25="H","Zmiana","")))</f>
        <v/>
      </c>
      <c r="D25" s="49">
        <f>IF($L25="D",INDEX('Zgłoszenia'!$H$5:$H$504,$M25)&amp;"",IF($L25="U",INDEX('Dane rozpisek'!$E$2:$E$2600,$M25)&amp;"",IF($L25="H","Operator","")))</f>
        <v/>
      </c>
      <c r="E25" s="49">
        <f>IF($L25="D",INDEX('Zgłoszenia'!$I$5:$I$504,$M25)&amp;"",IF($L25="U",INDEX('Dane rozpisek'!$C$2:$C$2600,$M25)&amp;"",IF($L25="H","Stanowisko","")))</f>
        <v/>
      </c>
      <c r="F25" s="48">
        <f>IF($L25="D",INDEX('Zgłoszenia'!$J$5:$J$504,$M25)&amp;"",IF($L25="U",INDEX('Dane rozpisek'!$G$2:$G$2600,$M25)&amp;"",IF($L25="H","Uwagi","")))</f>
        <v/>
      </c>
      <c r="G25" s="49">
        <f>IF($L25="D",INDEX('Zgłoszenia'!$F$5:$F$504,$M25)&amp;"",IF($L25="U",INDEX('Dane rozpisek'!$L$2:$L$2600,$M25)&amp;"",IF($L25="H","Usterki (dzień / następny)","")))</f>
        <v/>
      </c>
      <c r="H25" s="49">
        <f>IF($L25="D",INDEX('Zgłoszenia'!$P$5:$P$504,$M25)&amp;"",IF($L25="U","",""))</f>
        <v/>
      </c>
      <c r="I25" s="48">
        <f>IF($L25="D",IF(INDEX('Zgłoszenia'!$M$5:$M$504,$M25)="","Zgłoszona",INDEX('Zgłoszenia'!$M$5:$M$504,$M25)),IF($L25="U","",""))</f>
        <v/>
      </c>
      <c r="J25" s="49">
        <f>IF($L25="D",INDEX('Zgłoszenia'!$K$5:$K$504,$M25)&amp;"",IF($L25="U","",""))</f>
        <v/>
      </c>
      <c r="K25" s="2" t="n"/>
      <c r="L25" s="2">
        <f>IF((ROW()-12)&lt;=$L$5,IF($L$2=0,"E1","D"),IF((ROW()-12)=$L$5+1,"",IF((ROW()-12)=$L$5+2,"T",IF((ROW()-12)=$L$5+3,IF($L$3=0,"E2","H"),IF((ROW()-12)&lt;=$L$5+3+$L$3,"U","")))))</f>
        <v/>
      </c>
      <c r="M25" s="2">
        <f>IF(L25="D",MATCH(LARGE('Zgłoszenia'!$Q$5:$Q$504,(ROW()-12)),'Zgłoszenia'!$Q$5:$Q$504,0),IF(L25="U",MATCH(LARGE('Dane rozpisek'!$I$2:$I$2600,(ROW()-12)-$L$5-3),'Dane rozpisek'!$I$2:$I$2600,0),""))</f>
        <v/>
      </c>
    </row>
    <row r="26">
      <c r="A26" s="47">
        <f>IF($L26="D",INDEX('Zgłoszenia'!$D$5:$D$504,$M26),IF($L26="U",INDEX('Dane rozpisek'!$A$2:$A$2600,$M26),IF($L26="T","KTO JEŹDZIŁ",IF($L26="E1","Brak zgłoszonych usterek w tym okresie.",IF($L26="E2","Brak wpisów z tym wózkiem w rozpiskach dla tego okresu.",IF($L26="H","Data",""))))))</f>
        <v/>
      </c>
      <c r="B26" s="48">
        <f>IF($L26="D",INDEX('Zgłoszenia'!$B$5:$B$504,$M26)&amp;"",IF($L26="U",INDEX('Dane rozpisek'!$F$2:$F$2600,$M26)&amp;"",IF($L26="H","Wózek","")))</f>
        <v/>
      </c>
      <c r="C26" s="48">
        <f>IF($L26="D",INDEX('Zgłoszenia'!$E$5:$E$504,$M26)&amp;"",IF($L26="U",INDEX('Dane rozpisek'!$B$2:$B$2600,$M26)&amp;" · "&amp;INDEX('Dane rozpisek'!$J$2:$J$2600,$M26),IF($L26="H","Zmiana","")))</f>
        <v/>
      </c>
      <c r="D26" s="49">
        <f>IF($L26="D",INDEX('Zgłoszenia'!$H$5:$H$504,$M26)&amp;"",IF($L26="U",INDEX('Dane rozpisek'!$E$2:$E$2600,$M26)&amp;"",IF($L26="H","Operator","")))</f>
        <v/>
      </c>
      <c r="E26" s="49">
        <f>IF($L26="D",INDEX('Zgłoszenia'!$I$5:$I$504,$M26)&amp;"",IF($L26="U",INDEX('Dane rozpisek'!$C$2:$C$2600,$M26)&amp;"",IF($L26="H","Stanowisko","")))</f>
        <v/>
      </c>
      <c r="F26" s="48">
        <f>IF($L26="D",INDEX('Zgłoszenia'!$J$5:$J$504,$M26)&amp;"",IF($L26="U",INDEX('Dane rozpisek'!$G$2:$G$2600,$M26)&amp;"",IF($L26="H","Uwagi","")))</f>
        <v/>
      </c>
      <c r="G26" s="49">
        <f>IF($L26="D",INDEX('Zgłoszenia'!$F$5:$F$504,$M26)&amp;"",IF($L26="U",INDEX('Dane rozpisek'!$L$2:$L$2600,$M26)&amp;"",IF($L26="H","Usterki (dzień / następny)","")))</f>
        <v/>
      </c>
      <c r="H26" s="49">
        <f>IF($L26="D",INDEX('Zgłoszenia'!$P$5:$P$504,$M26)&amp;"",IF($L26="U","",""))</f>
        <v/>
      </c>
      <c r="I26" s="48">
        <f>IF($L26="D",IF(INDEX('Zgłoszenia'!$M$5:$M$504,$M26)="","Zgłoszona",INDEX('Zgłoszenia'!$M$5:$M$504,$M26)),IF($L26="U","",""))</f>
        <v/>
      </c>
      <c r="J26" s="49">
        <f>IF($L26="D",INDEX('Zgłoszenia'!$K$5:$K$504,$M26)&amp;"",IF($L26="U","",""))</f>
        <v/>
      </c>
      <c r="K26" s="2" t="n"/>
      <c r="L26" s="2">
        <f>IF((ROW()-12)&lt;=$L$5,IF($L$2=0,"E1","D"),IF((ROW()-12)=$L$5+1,"",IF((ROW()-12)=$L$5+2,"T",IF((ROW()-12)=$L$5+3,IF($L$3=0,"E2","H"),IF((ROW()-12)&lt;=$L$5+3+$L$3,"U","")))))</f>
        <v/>
      </c>
      <c r="M26" s="2">
        <f>IF(L26="D",MATCH(LARGE('Zgłoszenia'!$Q$5:$Q$504,(ROW()-12)),'Zgłoszenia'!$Q$5:$Q$504,0),IF(L26="U",MATCH(LARGE('Dane rozpisek'!$I$2:$I$2600,(ROW()-12)-$L$5-3),'Dane rozpisek'!$I$2:$I$2600,0),""))</f>
        <v/>
      </c>
    </row>
    <row r="27">
      <c r="A27" s="47">
        <f>IF($L27="D",INDEX('Zgłoszenia'!$D$5:$D$504,$M27),IF($L27="U",INDEX('Dane rozpisek'!$A$2:$A$2600,$M27),IF($L27="T","KTO JEŹDZIŁ",IF($L27="E1","Brak zgłoszonych usterek w tym okresie.",IF($L27="E2","Brak wpisów z tym wózkiem w rozpiskach dla tego okresu.",IF($L27="H","Data",""))))))</f>
        <v/>
      </c>
      <c r="B27" s="48">
        <f>IF($L27="D",INDEX('Zgłoszenia'!$B$5:$B$504,$M27)&amp;"",IF($L27="U",INDEX('Dane rozpisek'!$F$2:$F$2600,$M27)&amp;"",IF($L27="H","Wózek","")))</f>
        <v/>
      </c>
      <c r="C27" s="48">
        <f>IF($L27="D",INDEX('Zgłoszenia'!$E$5:$E$504,$M27)&amp;"",IF($L27="U",INDEX('Dane rozpisek'!$B$2:$B$2600,$M27)&amp;" · "&amp;INDEX('Dane rozpisek'!$J$2:$J$2600,$M27),IF($L27="H","Zmiana","")))</f>
        <v/>
      </c>
      <c r="D27" s="49">
        <f>IF($L27="D",INDEX('Zgłoszenia'!$H$5:$H$504,$M27)&amp;"",IF($L27="U",INDEX('Dane rozpisek'!$E$2:$E$2600,$M27)&amp;"",IF($L27="H","Operator","")))</f>
        <v/>
      </c>
      <c r="E27" s="49">
        <f>IF($L27="D",INDEX('Zgłoszenia'!$I$5:$I$504,$M27)&amp;"",IF($L27="U",INDEX('Dane rozpisek'!$C$2:$C$2600,$M27)&amp;"",IF($L27="H","Stanowisko","")))</f>
        <v/>
      </c>
      <c r="F27" s="48">
        <f>IF($L27="D",INDEX('Zgłoszenia'!$J$5:$J$504,$M27)&amp;"",IF($L27="U",INDEX('Dane rozpisek'!$G$2:$G$2600,$M27)&amp;"",IF($L27="H","Uwagi","")))</f>
        <v/>
      </c>
      <c r="G27" s="49">
        <f>IF($L27="D",INDEX('Zgłoszenia'!$F$5:$F$504,$M27)&amp;"",IF($L27="U",INDEX('Dane rozpisek'!$L$2:$L$2600,$M27)&amp;"",IF($L27="H","Usterki (dzień / następny)","")))</f>
        <v/>
      </c>
      <c r="H27" s="49">
        <f>IF($L27="D",INDEX('Zgłoszenia'!$P$5:$P$504,$M27)&amp;"",IF($L27="U","",""))</f>
        <v/>
      </c>
      <c r="I27" s="48">
        <f>IF($L27="D",IF(INDEX('Zgłoszenia'!$M$5:$M$504,$M27)="","Zgłoszona",INDEX('Zgłoszenia'!$M$5:$M$504,$M27)),IF($L27="U","",""))</f>
        <v/>
      </c>
      <c r="J27" s="49">
        <f>IF($L27="D",INDEX('Zgłoszenia'!$K$5:$K$504,$M27)&amp;"",IF($L27="U","",""))</f>
        <v/>
      </c>
      <c r="K27" s="2" t="n"/>
      <c r="L27" s="2">
        <f>IF((ROW()-12)&lt;=$L$5,IF($L$2=0,"E1","D"),IF((ROW()-12)=$L$5+1,"",IF((ROW()-12)=$L$5+2,"T",IF((ROW()-12)=$L$5+3,IF($L$3=0,"E2","H"),IF((ROW()-12)&lt;=$L$5+3+$L$3,"U","")))))</f>
        <v/>
      </c>
      <c r="M27" s="2">
        <f>IF(L27="D",MATCH(LARGE('Zgłoszenia'!$Q$5:$Q$504,(ROW()-12)),'Zgłoszenia'!$Q$5:$Q$504,0),IF(L27="U",MATCH(LARGE('Dane rozpisek'!$I$2:$I$2600,(ROW()-12)-$L$5-3),'Dane rozpisek'!$I$2:$I$2600,0),""))</f>
        <v/>
      </c>
    </row>
    <row r="28">
      <c r="A28" s="47">
        <f>IF($L28="D",INDEX('Zgłoszenia'!$D$5:$D$504,$M28),IF($L28="U",INDEX('Dane rozpisek'!$A$2:$A$2600,$M28),IF($L28="T","KTO JEŹDZIŁ",IF($L28="E1","Brak zgłoszonych usterek w tym okresie.",IF($L28="E2","Brak wpisów z tym wózkiem w rozpiskach dla tego okresu.",IF($L28="H","Data",""))))))</f>
        <v/>
      </c>
      <c r="B28" s="48">
        <f>IF($L28="D",INDEX('Zgłoszenia'!$B$5:$B$504,$M28)&amp;"",IF($L28="U",INDEX('Dane rozpisek'!$F$2:$F$2600,$M28)&amp;"",IF($L28="H","Wózek","")))</f>
        <v/>
      </c>
      <c r="C28" s="48">
        <f>IF($L28="D",INDEX('Zgłoszenia'!$E$5:$E$504,$M28)&amp;"",IF($L28="U",INDEX('Dane rozpisek'!$B$2:$B$2600,$M28)&amp;" · "&amp;INDEX('Dane rozpisek'!$J$2:$J$2600,$M28),IF($L28="H","Zmiana","")))</f>
        <v/>
      </c>
      <c r="D28" s="49">
        <f>IF($L28="D",INDEX('Zgłoszenia'!$H$5:$H$504,$M28)&amp;"",IF($L28="U",INDEX('Dane rozpisek'!$E$2:$E$2600,$M28)&amp;"",IF($L28="H","Operator","")))</f>
        <v/>
      </c>
      <c r="E28" s="49">
        <f>IF($L28="D",INDEX('Zgłoszenia'!$I$5:$I$504,$M28)&amp;"",IF($L28="U",INDEX('Dane rozpisek'!$C$2:$C$2600,$M28)&amp;"",IF($L28="H","Stanowisko","")))</f>
        <v/>
      </c>
      <c r="F28" s="48">
        <f>IF($L28="D",INDEX('Zgłoszenia'!$J$5:$J$504,$M28)&amp;"",IF($L28="U",INDEX('Dane rozpisek'!$G$2:$G$2600,$M28)&amp;"",IF($L28="H","Uwagi","")))</f>
        <v/>
      </c>
      <c r="G28" s="49">
        <f>IF($L28="D",INDEX('Zgłoszenia'!$F$5:$F$504,$M28)&amp;"",IF($L28="U",INDEX('Dane rozpisek'!$L$2:$L$2600,$M28)&amp;"",IF($L28="H","Usterki (dzień / następny)","")))</f>
        <v/>
      </c>
      <c r="H28" s="49">
        <f>IF($L28="D",INDEX('Zgłoszenia'!$P$5:$P$504,$M28)&amp;"",IF($L28="U","",""))</f>
        <v/>
      </c>
      <c r="I28" s="48">
        <f>IF($L28="D",IF(INDEX('Zgłoszenia'!$M$5:$M$504,$M28)="","Zgłoszona",INDEX('Zgłoszenia'!$M$5:$M$504,$M28)),IF($L28="U","",""))</f>
        <v/>
      </c>
      <c r="J28" s="49">
        <f>IF($L28="D",INDEX('Zgłoszenia'!$K$5:$K$504,$M28)&amp;"",IF($L28="U","",""))</f>
        <v/>
      </c>
      <c r="K28" s="2" t="n"/>
      <c r="L28" s="2">
        <f>IF((ROW()-12)&lt;=$L$5,IF($L$2=0,"E1","D"),IF((ROW()-12)=$L$5+1,"",IF((ROW()-12)=$L$5+2,"T",IF((ROW()-12)=$L$5+3,IF($L$3=0,"E2","H"),IF((ROW()-12)&lt;=$L$5+3+$L$3,"U","")))))</f>
        <v/>
      </c>
      <c r="M28" s="2">
        <f>IF(L28="D",MATCH(LARGE('Zgłoszenia'!$Q$5:$Q$504,(ROW()-12)),'Zgłoszenia'!$Q$5:$Q$504,0),IF(L28="U",MATCH(LARGE('Dane rozpisek'!$I$2:$I$2600,(ROW()-12)-$L$5-3),'Dane rozpisek'!$I$2:$I$2600,0),""))</f>
        <v/>
      </c>
    </row>
    <row r="29">
      <c r="A29" s="47">
        <f>IF($L29="D",INDEX('Zgłoszenia'!$D$5:$D$504,$M29),IF($L29="U",INDEX('Dane rozpisek'!$A$2:$A$2600,$M29),IF($L29="T","KTO JEŹDZIŁ",IF($L29="E1","Brak zgłoszonych usterek w tym okresie.",IF($L29="E2","Brak wpisów z tym wózkiem w rozpiskach dla tego okresu.",IF($L29="H","Data",""))))))</f>
        <v/>
      </c>
      <c r="B29" s="48">
        <f>IF($L29="D",INDEX('Zgłoszenia'!$B$5:$B$504,$M29)&amp;"",IF($L29="U",INDEX('Dane rozpisek'!$F$2:$F$2600,$M29)&amp;"",IF($L29="H","Wózek","")))</f>
        <v/>
      </c>
      <c r="C29" s="48">
        <f>IF($L29="D",INDEX('Zgłoszenia'!$E$5:$E$504,$M29)&amp;"",IF($L29="U",INDEX('Dane rozpisek'!$B$2:$B$2600,$M29)&amp;" · "&amp;INDEX('Dane rozpisek'!$J$2:$J$2600,$M29),IF($L29="H","Zmiana","")))</f>
        <v/>
      </c>
      <c r="D29" s="49">
        <f>IF($L29="D",INDEX('Zgłoszenia'!$H$5:$H$504,$M29)&amp;"",IF($L29="U",INDEX('Dane rozpisek'!$E$2:$E$2600,$M29)&amp;"",IF($L29="H","Operator","")))</f>
        <v/>
      </c>
      <c r="E29" s="49">
        <f>IF($L29="D",INDEX('Zgłoszenia'!$I$5:$I$504,$M29)&amp;"",IF($L29="U",INDEX('Dane rozpisek'!$C$2:$C$2600,$M29)&amp;"",IF($L29="H","Stanowisko","")))</f>
        <v/>
      </c>
      <c r="F29" s="48">
        <f>IF($L29="D",INDEX('Zgłoszenia'!$J$5:$J$504,$M29)&amp;"",IF($L29="U",INDEX('Dane rozpisek'!$G$2:$G$2600,$M29)&amp;"",IF($L29="H","Uwagi","")))</f>
        <v/>
      </c>
      <c r="G29" s="49">
        <f>IF($L29="D",INDEX('Zgłoszenia'!$F$5:$F$504,$M29)&amp;"",IF($L29="U",INDEX('Dane rozpisek'!$L$2:$L$2600,$M29)&amp;"",IF($L29="H","Usterki (dzień / następny)","")))</f>
        <v/>
      </c>
      <c r="H29" s="49">
        <f>IF($L29="D",INDEX('Zgłoszenia'!$P$5:$P$504,$M29)&amp;"",IF($L29="U","",""))</f>
        <v/>
      </c>
      <c r="I29" s="48">
        <f>IF($L29="D",IF(INDEX('Zgłoszenia'!$M$5:$M$504,$M29)="","Zgłoszona",INDEX('Zgłoszenia'!$M$5:$M$504,$M29)),IF($L29="U","",""))</f>
        <v/>
      </c>
      <c r="J29" s="49">
        <f>IF($L29="D",INDEX('Zgłoszenia'!$K$5:$K$504,$M29)&amp;"",IF($L29="U","",""))</f>
        <v/>
      </c>
      <c r="K29" s="2" t="n"/>
      <c r="L29" s="2">
        <f>IF((ROW()-12)&lt;=$L$5,IF($L$2=0,"E1","D"),IF((ROW()-12)=$L$5+1,"",IF((ROW()-12)=$L$5+2,"T",IF((ROW()-12)=$L$5+3,IF($L$3=0,"E2","H"),IF((ROW()-12)&lt;=$L$5+3+$L$3,"U","")))))</f>
        <v/>
      </c>
      <c r="M29" s="2">
        <f>IF(L29="D",MATCH(LARGE('Zgłoszenia'!$Q$5:$Q$504,(ROW()-12)),'Zgłoszenia'!$Q$5:$Q$504,0),IF(L29="U",MATCH(LARGE('Dane rozpisek'!$I$2:$I$2600,(ROW()-12)-$L$5-3),'Dane rozpisek'!$I$2:$I$2600,0),""))</f>
        <v/>
      </c>
    </row>
    <row r="30">
      <c r="A30" s="47">
        <f>IF($L30="D",INDEX('Zgłoszenia'!$D$5:$D$504,$M30),IF($L30="U",INDEX('Dane rozpisek'!$A$2:$A$2600,$M30),IF($L30="T","KTO JEŹDZIŁ",IF($L30="E1","Brak zgłoszonych usterek w tym okresie.",IF($L30="E2","Brak wpisów z tym wózkiem w rozpiskach dla tego okresu.",IF($L30="H","Data",""))))))</f>
        <v/>
      </c>
      <c r="B30" s="48">
        <f>IF($L30="D",INDEX('Zgłoszenia'!$B$5:$B$504,$M30)&amp;"",IF($L30="U",INDEX('Dane rozpisek'!$F$2:$F$2600,$M30)&amp;"",IF($L30="H","Wózek","")))</f>
        <v/>
      </c>
      <c r="C30" s="48">
        <f>IF($L30="D",INDEX('Zgłoszenia'!$E$5:$E$504,$M30)&amp;"",IF($L30="U",INDEX('Dane rozpisek'!$B$2:$B$2600,$M30)&amp;" · "&amp;INDEX('Dane rozpisek'!$J$2:$J$2600,$M30),IF($L30="H","Zmiana","")))</f>
        <v/>
      </c>
      <c r="D30" s="49">
        <f>IF($L30="D",INDEX('Zgłoszenia'!$H$5:$H$504,$M30)&amp;"",IF($L30="U",INDEX('Dane rozpisek'!$E$2:$E$2600,$M30)&amp;"",IF($L30="H","Operator","")))</f>
        <v/>
      </c>
      <c r="E30" s="49">
        <f>IF($L30="D",INDEX('Zgłoszenia'!$I$5:$I$504,$M30)&amp;"",IF($L30="U",INDEX('Dane rozpisek'!$C$2:$C$2600,$M30)&amp;"",IF($L30="H","Stanowisko","")))</f>
        <v/>
      </c>
      <c r="F30" s="48">
        <f>IF($L30="D",INDEX('Zgłoszenia'!$J$5:$J$504,$M30)&amp;"",IF($L30="U",INDEX('Dane rozpisek'!$G$2:$G$2600,$M30)&amp;"",IF($L30="H","Uwagi","")))</f>
        <v/>
      </c>
      <c r="G30" s="49">
        <f>IF($L30="D",INDEX('Zgłoszenia'!$F$5:$F$504,$M30)&amp;"",IF($L30="U",INDEX('Dane rozpisek'!$L$2:$L$2600,$M30)&amp;"",IF($L30="H","Usterki (dzień / następny)","")))</f>
        <v/>
      </c>
      <c r="H30" s="49">
        <f>IF($L30="D",INDEX('Zgłoszenia'!$P$5:$P$504,$M30)&amp;"",IF($L30="U","",""))</f>
        <v/>
      </c>
      <c r="I30" s="48">
        <f>IF($L30="D",IF(INDEX('Zgłoszenia'!$M$5:$M$504,$M30)="","Zgłoszona",INDEX('Zgłoszenia'!$M$5:$M$504,$M30)),IF($L30="U","",""))</f>
        <v/>
      </c>
      <c r="J30" s="49">
        <f>IF($L30="D",INDEX('Zgłoszenia'!$K$5:$K$504,$M30)&amp;"",IF($L30="U","",""))</f>
        <v/>
      </c>
      <c r="K30" s="2" t="n"/>
      <c r="L30" s="2">
        <f>IF((ROW()-12)&lt;=$L$5,IF($L$2=0,"E1","D"),IF((ROW()-12)=$L$5+1,"",IF((ROW()-12)=$L$5+2,"T",IF((ROW()-12)=$L$5+3,IF($L$3=0,"E2","H"),IF((ROW()-12)&lt;=$L$5+3+$L$3,"U","")))))</f>
        <v/>
      </c>
      <c r="M30" s="2">
        <f>IF(L30="D",MATCH(LARGE('Zgłoszenia'!$Q$5:$Q$504,(ROW()-12)),'Zgłoszenia'!$Q$5:$Q$504,0),IF(L30="U",MATCH(LARGE('Dane rozpisek'!$I$2:$I$2600,(ROW()-12)-$L$5-3),'Dane rozpisek'!$I$2:$I$2600,0),""))</f>
        <v/>
      </c>
    </row>
    <row r="31">
      <c r="A31" s="47">
        <f>IF($L31="D",INDEX('Zgłoszenia'!$D$5:$D$504,$M31),IF($L31="U",INDEX('Dane rozpisek'!$A$2:$A$2600,$M31),IF($L31="T","KTO JEŹDZIŁ",IF($L31="E1","Brak zgłoszonych usterek w tym okresie.",IF($L31="E2","Brak wpisów z tym wózkiem w rozpiskach dla tego okresu.",IF($L31="H","Data",""))))))</f>
        <v/>
      </c>
      <c r="B31" s="48">
        <f>IF($L31="D",INDEX('Zgłoszenia'!$B$5:$B$504,$M31)&amp;"",IF($L31="U",INDEX('Dane rozpisek'!$F$2:$F$2600,$M31)&amp;"",IF($L31="H","Wózek","")))</f>
        <v/>
      </c>
      <c r="C31" s="48">
        <f>IF($L31="D",INDEX('Zgłoszenia'!$E$5:$E$504,$M31)&amp;"",IF($L31="U",INDEX('Dane rozpisek'!$B$2:$B$2600,$M31)&amp;" · "&amp;INDEX('Dane rozpisek'!$J$2:$J$2600,$M31),IF($L31="H","Zmiana","")))</f>
        <v/>
      </c>
      <c r="D31" s="49">
        <f>IF($L31="D",INDEX('Zgłoszenia'!$H$5:$H$504,$M31)&amp;"",IF($L31="U",INDEX('Dane rozpisek'!$E$2:$E$2600,$M31)&amp;"",IF($L31="H","Operator","")))</f>
        <v/>
      </c>
      <c r="E31" s="49">
        <f>IF($L31="D",INDEX('Zgłoszenia'!$I$5:$I$504,$M31)&amp;"",IF($L31="U",INDEX('Dane rozpisek'!$C$2:$C$2600,$M31)&amp;"",IF($L31="H","Stanowisko","")))</f>
        <v/>
      </c>
      <c r="F31" s="48">
        <f>IF($L31="D",INDEX('Zgłoszenia'!$J$5:$J$504,$M31)&amp;"",IF($L31="U",INDEX('Dane rozpisek'!$G$2:$G$2600,$M31)&amp;"",IF($L31="H","Uwagi","")))</f>
        <v/>
      </c>
      <c r="G31" s="49">
        <f>IF($L31="D",INDEX('Zgłoszenia'!$F$5:$F$504,$M31)&amp;"",IF($L31="U",INDEX('Dane rozpisek'!$L$2:$L$2600,$M31)&amp;"",IF($L31="H","Usterki (dzień / następny)","")))</f>
        <v/>
      </c>
      <c r="H31" s="49">
        <f>IF($L31="D",INDEX('Zgłoszenia'!$P$5:$P$504,$M31)&amp;"",IF($L31="U","",""))</f>
        <v/>
      </c>
      <c r="I31" s="48">
        <f>IF($L31="D",IF(INDEX('Zgłoszenia'!$M$5:$M$504,$M31)="","Zgłoszona",INDEX('Zgłoszenia'!$M$5:$M$504,$M31)),IF($L31="U","",""))</f>
        <v/>
      </c>
      <c r="J31" s="49">
        <f>IF($L31="D",INDEX('Zgłoszenia'!$K$5:$K$504,$M31)&amp;"",IF($L31="U","",""))</f>
        <v/>
      </c>
      <c r="K31" s="2" t="n"/>
      <c r="L31" s="2">
        <f>IF((ROW()-12)&lt;=$L$5,IF($L$2=0,"E1","D"),IF((ROW()-12)=$L$5+1,"",IF((ROW()-12)=$L$5+2,"T",IF((ROW()-12)=$L$5+3,IF($L$3=0,"E2","H"),IF((ROW()-12)&lt;=$L$5+3+$L$3,"U","")))))</f>
        <v/>
      </c>
      <c r="M31" s="2">
        <f>IF(L31="D",MATCH(LARGE('Zgłoszenia'!$Q$5:$Q$504,(ROW()-12)),'Zgłoszenia'!$Q$5:$Q$504,0),IF(L31="U",MATCH(LARGE('Dane rozpisek'!$I$2:$I$2600,(ROW()-12)-$L$5-3),'Dane rozpisek'!$I$2:$I$2600,0),""))</f>
        <v/>
      </c>
    </row>
    <row r="32">
      <c r="A32" s="47">
        <f>IF($L32="D",INDEX('Zgłoszenia'!$D$5:$D$504,$M32),IF($L32="U",INDEX('Dane rozpisek'!$A$2:$A$2600,$M32),IF($L32="T","KTO JEŹDZIŁ",IF($L32="E1","Brak zgłoszonych usterek w tym okresie.",IF($L32="E2","Brak wpisów z tym wózkiem w rozpiskach dla tego okresu.",IF($L32="H","Data",""))))))</f>
        <v/>
      </c>
      <c r="B32" s="48">
        <f>IF($L32="D",INDEX('Zgłoszenia'!$B$5:$B$504,$M32)&amp;"",IF($L32="U",INDEX('Dane rozpisek'!$F$2:$F$2600,$M32)&amp;"",IF($L32="H","Wózek","")))</f>
        <v/>
      </c>
      <c r="C32" s="48">
        <f>IF($L32="D",INDEX('Zgłoszenia'!$E$5:$E$504,$M32)&amp;"",IF($L32="U",INDEX('Dane rozpisek'!$B$2:$B$2600,$M32)&amp;" · "&amp;INDEX('Dane rozpisek'!$J$2:$J$2600,$M32),IF($L32="H","Zmiana","")))</f>
        <v/>
      </c>
      <c r="D32" s="49">
        <f>IF($L32="D",INDEX('Zgłoszenia'!$H$5:$H$504,$M32)&amp;"",IF($L32="U",INDEX('Dane rozpisek'!$E$2:$E$2600,$M32)&amp;"",IF($L32="H","Operator","")))</f>
        <v/>
      </c>
      <c r="E32" s="49">
        <f>IF($L32="D",INDEX('Zgłoszenia'!$I$5:$I$504,$M32)&amp;"",IF($L32="U",INDEX('Dane rozpisek'!$C$2:$C$2600,$M32)&amp;"",IF($L32="H","Stanowisko","")))</f>
        <v/>
      </c>
      <c r="F32" s="48">
        <f>IF($L32="D",INDEX('Zgłoszenia'!$J$5:$J$504,$M32)&amp;"",IF($L32="U",INDEX('Dane rozpisek'!$G$2:$G$2600,$M32)&amp;"",IF($L32="H","Uwagi","")))</f>
        <v/>
      </c>
      <c r="G32" s="49">
        <f>IF($L32="D",INDEX('Zgłoszenia'!$F$5:$F$504,$M32)&amp;"",IF($L32="U",INDEX('Dane rozpisek'!$L$2:$L$2600,$M32)&amp;"",IF($L32="H","Usterki (dzień / następny)","")))</f>
        <v/>
      </c>
      <c r="H32" s="49">
        <f>IF($L32="D",INDEX('Zgłoszenia'!$P$5:$P$504,$M32)&amp;"",IF($L32="U","",""))</f>
        <v/>
      </c>
      <c r="I32" s="48">
        <f>IF($L32="D",IF(INDEX('Zgłoszenia'!$M$5:$M$504,$M32)="","Zgłoszona",INDEX('Zgłoszenia'!$M$5:$M$504,$M32)),IF($L32="U","",""))</f>
        <v/>
      </c>
      <c r="J32" s="49">
        <f>IF($L32="D",INDEX('Zgłoszenia'!$K$5:$K$504,$M32)&amp;"",IF($L32="U","",""))</f>
        <v/>
      </c>
      <c r="K32" s="2" t="n"/>
      <c r="L32" s="2">
        <f>IF((ROW()-12)&lt;=$L$5,IF($L$2=0,"E1","D"),IF((ROW()-12)=$L$5+1,"",IF((ROW()-12)=$L$5+2,"T",IF((ROW()-12)=$L$5+3,IF($L$3=0,"E2","H"),IF((ROW()-12)&lt;=$L$5+3+$L$3,"U","")))))</f>
        <v/>
      </c>
      <c r="M32" s="2">
        <f>IF(L32="D",MATCH(LARGE('Zgłoszenia'!$Q$5:$Q$504,(ROW()-12)),'Zgłoszenia'!$Q$5:$Q$504,0),IF(L32="U",MATCH(LARGE('Dane rozpisek'!$I$2:$I$2600,(ROW()-12)-$L$5-3),'Dane rozpisek'!$I$2:$I$2600,0),""))</f>
        <v/>
      </c>
    </row>
    <row r="33">
      <c r="A33" s="47">
        <f>IF($L33="D",INDEX('Zgłoszenia'!$D$5:$D$504,$M33),IF($L33="U",INDEX('Dane rozpisek'!$A$2:$A$2600,$M33),IF($L33="T","KTO JEŹDZIŁ",IF($L33="E1","Brak zgłoszonych usterek w tym okresie.",IF($L33="E2","Brak wpisów z tym wózkiem w rozpiskach dla tego okresu.",IF($L33="H","Data",""))))))</f>
        <v/>
      </c>
      <c r="B33" s="48">
        <f>IF($L33="D",INDEX('Zgłoszenia'!$B$5:$B$504,$M33)&amp;"",IF($L33="U",INDEX('Dane rozpisek'!$F$2:$F$2600,$M33)&amp;"",IF($L33="H","Wózek","")))</f>
        <v/>
      </c>
      <c r="C33" s="48">
        <f>IF($L33="D",INDEX('Zgłoszenia'!$E$5:$E$504,$M33)&amp;"",IF($L33="U",INDEX('Dane rozpisek'!$B$2:$B$2600,$M33)&amp;" · "&amp;INDEX('Dane rozpisek'!$J$2:$J$2600,$M33),IF($L33="H","Zmiana","")))</f>
        <v/>
      </c>
      <c r="D33" s="49">
        <f>IF($L33="D",INDEX('Zgłoszenia'!$H$5:$H$504,$M33)&amp;"",IF($L33="U",INDEX('Dane rozpisek'!$E$2:$E$2600,$M33)&amp;"",IF($L33="H","Operator","")))</f>
        <v/>
      </c>
      <c r="E33" s="49">
        <f>IF($L33="D",INDEX('Zgłoszenia'!$I$5:$I$504,$M33)&amp;"",IF($L33="U",INDEX('Dane rozpisek'!$C$2:$C$2600,$M33)&amp;"",IF($L33="H","Stanowisko","")))</f>
        <v/>
      </c>
      <c r="F33" s="48">
        <f>IF($L33="D",INDEX('Zgłoszenia'!$J$5:$J$504,$M33)&amp;"",IF($L33="U",INDEX('Dane rozpisek'!$G$2:$G$2600,$M33)&amp;"",IF($L33="H","Uwagi","")))</f>
        <v/>
      </c>
      <c r="G33" s="49">
        <f>IF($L33="D",INDEX('Zgłoszenia'!$F$5:$F$504,$M33)&amp;"",IF($L33="U",INDEX('Dane rozpisek'!$L$2:$L$2600,$M33)&amp;"",IF($L33="H","Usterki (dzień / następny)","")))</f>
        <v/>
      </c>
      <c r="H33" s="49">
        <f>IF($L33="D",INDEX('Zgłoszenia'!$P$5:$P$504,$M33)&amp;"",IF($L33="U","",""))</f>
        <v/>
      </c>
      <c r="I33" s="48">
        <f>IF($L33="D",IF(INDEX('Zgłoszenia'!$M$5:$M$504,$M33)="","Zgłoszona",INDEX('Zgłoszenia'!$M$5:$M$504,$M33)),IF($L33="U","",""))</f>
        <v/>
      </c>
      <c r="J33" s="49">
        <f>IF($L33="D",INDEX('Zgłoszenia'!$K$5:$K$504,$M33)&amp;"",IF($L33="U","",""))</f>
        <v/>
      </c>
      <c r="K33" s="2" t="n"/>
      <c r="L33" s="2">
        <f>IF((ROW()-12)&lt;=$L$5,IF($L$2=0,"E1","D"),IF((ROW()-12)=$L$5+1,"",IF((ROW()-12)=$L$5+2,"T",IF((ROW()-12)=$L$5+3,IF($L$3=0,"E2","H"),IF((ROW()-12)&lt;=$L$5+3+$L$3,"U","")))))</f>
        <v/>
      </c>
      <c r="M33" s="2">
        <f>IF(L33="D",MATCH(LARGE('Zgłoszenia'!$Q$5:$Q$504,(ROW()-12)),'Zgłoszenia'!$Q$5:$Q$504,0),IF(L33="U",MATCH(LARGE('Dane rozpisek'!$I$2:$I$2600,(ROW()-12)-$L$5-3),'Dane rozpisek'!$I$2:$I$2600,0),""))</f>
        <v/>
      </c>
    </row>
    <row r="34">
      <c r="A34" s="47">
        <f>IF($L34="D",INDEX('Zgłoszenia'!$D$5:$D$504,$M34),IF($L34="U",INDEX('Dane rozpisek'!$A$2:$A$2600,$M34),IF($L34="T","KTO JEŹDZIŁ",IF($L34="E1","Brak zgłoszonych usterek w tym okresie.",IF($L34="E2","Brak wpisów z tym wózkiem w rozpiskach dla tego okresu.",IF($L34="H","Data",""))))))</f>
        <v/>
      </c>
      <c r="B34" s="48">
        <f>IF($L34="D",INDEX('Zgłoszenia'!$B$5:$B$504,$M34)&amp;"",IF($L34="U",INDEX('Dane rozpisek'!$F$2:$F$2600,$M34)&amp;"",IF($L34="H","Wózek","")))</f>
        <v/>
      </c>
      <c r="C34" s="48">
        <f>IF($L34="D",INDEX('Zgłoszenia'!$E$5:$E$504,$M34)&amp;"",IF($L34="U",INDEX('Dane rozpisek'!$B$2:$B$2600,$M34)&amp;" · "&amp;INDEX('Dane rozpisek'!$J$2:$J$2600,$M34),IF($L34="H","Zmiana","")))</f>
        <v/>
      </c>
      <c r="D34" s="49">
        <f>IF($L34="D",INDEX('Zgłoszenia'!$H$5:$H$504,$M34)&amp;"",IF($L34="U",INDEX('Dane rozpisek'!$E$2:$E$2600,$M34)&amp;"",IF($L34="H","Operator","")))</f>
        <v/>
      </c>
      <c r="E34" s="49">
        <f>IF($L34="D",INDEX('Zgłoszenia'!$I$5:$I$504,$M34)&amp;"",IF($L34="U",INDEX('Dane rozpisek'!$C$2:$C$2600,$M34)&amp;"",IF($L34="H","Stanowisko","")))</f>
        <v/>
      </c>
      <c r="F34" s="48">
        <f>IF($L34="D",INDEX('Zgłoszenia'!$J$5:$J$504,$M34)&amp;"",IF($L34="U",INDEX('Dane rozpisek'!$G$2:$G$2600,$M34)&amp;"",IF($L34="H","Uwagi","")))</f>
        <v/>
      </c>
      <c r="G34" s="49">
        <f>IF($L34="D",INDEX('Zgłoszenia'!$F$5:$F$504,$M34)&amp;"",IF($L34="U",INDEX('Dane rozpisek'!$L$2:$L$2600,$M34)&amp;"",IF($L34="H","Usterki (dzień / następny)","")))</f>
        <v/>
      </c>
      <c r="H34" s="49">
        <f>IF($L34="D",INDEX('Zgłoszenia'!$P$5:$P$504,$M34)&amp;"",IF($L34="U","",""))</f>
        <v/>
      </c>
      <c r="I34" s="48">
        <f>IF($L34="D",IF(INDEX('Zgłoszenia'!$M$5:$M$504,$M34)="","Zgłoszona",INDEX('Zgłoszenia'!$M$5:$M$504,$M34)),IF($L34="U","",""))</f>
        <v/>
      </c>
      <c r="J34" s="49">
        <f>IF($L34="D",INDEX('Zgłoszenia'!$K$5:$K$504,$M34)&amp;"",IF($L34="U","",""))</f>
        <v/>
      </c>
      <c r="K34" s="2" t="n"/>
      <c r="L34" s="2">
        <f>IF((ROW()-12)&lt;=$L$5,IF($L$2=0,"E1","D"),IF((ROW()-12)=$L$5+1,"",IF((ROW()-12)=$L$5+2,"T",IF((ROW()-12)=$L$5+3,IF($L$3=0,"E2","H"),IF((ROW()-12)&lt;=$L$5+3+$L$3,"U","")))))</f>
        <v/>
      </c>
      <c r="M34" s="2">
        <f>IF(L34="D",MATCH(LARGE('Zgłoszenia'!$Q$5:$Q$504,(ROW()-12)),'Zgłoszenia'!$Q$5:$Q$504,0),IF(L34="U",MATCH(LARGE('Dane rozpisek'!$I$2:$I$2600,(ROW()-12)-$L$5-3),'Dane rozpisek'!$I$2:$I$2600,0),""))</f>
        <v/>
      </c>
    </row>
    <row r="35">
      <c r="A35" s="47">
        <f>IF($L35="D",INDEX('Zgłoszenia'!$D$5:$D$504,$M35),IF($L35="U",INDEX('Dane rozpisek'!$A$2:$A$2600,$M35),IF($L35="T","KTO JEŹDZIŁ",IF($L35="E1","Brak zgłoszonych usterek w tym okresie.",IF($L35="E2","Brak wpisów z tym wózkiem w rozpiskach dla tego okresu.",IF($L35="H","Data",""))))))</f>
        <v/>
      </c>
      <c r="B35" s="48">
        <f>IF($L35="D",INDEX('Zgłoszenia'!$B$5:$B$504,$M35)&amp;"",IF($L35="U",INDEX('Dane rozpisek'!$F$2:$F$2600,$M35)&amp;"",IF($L35="H","Wózek","")))</f>
        <v/>
      </c>
      <c r="C35" s="48">
        <f>IF($L35="D",INDEX('Zgłoszenia'!$E$5:$E$504,$M35)&amp;"",IF($L35="U",INDEX('Dane rozpisek'!$B$2:$B$2600,$M35)&amp;" · "&amp;INDEX('Dane rozpisek'!$J$2:$J$2600,$M35),IF($L35="H","Zmiana","")))</f>
        <v/>
      </c>
      <c r="D35" s="49">
        <f>IF($L35="D",INDEX('Zgłoszenia'!$H$5:$H$504,$M35)&amp;"",IF($L35="U",INDEX('Dane rozpisek'!$E$2:$E$2600,$M35)&amp;"",IF($L35="H","Operator","")))</f>
        <v/>
      </c>
      <c r="E35" s="49">
        <f>IF($L35="D",INDEX('Zgłoszenia'!$I$5:$I$504,$M35)&amp;"",IF($L35="U",INDEX('Dane rozpisek'!$C$2:$C$2600,$M35)&amp;"",IF($L35="H","Stanowisko","")))</f>
        <v/>
      </c>
      <c r="F35" s="48">
        <f>IF($L35="D",INDEX('Zgłoszenia'!$J$5:$J$504,$M35)&amp;"",IF($L35="U",INDEX('Dane rozpisek'!$G$2:$G$2600,$M35)&amp;"",IF($L35="H","Uwagi","")))</f>
        <v/>
      </c>
      <c r="G35" s="49">
        <f>IF($L35="D",INDEX('Zgłoszenia'!$F$5:$F$504,$M35)&amp;"",IF($L35="U",INDEX('Dane rozpisek'!$L$2:$L$2600,$M35)&amp;"",IF($L35="H","Usterki (dzień / następny)","")))</f>
        <v/>
      </c>
      <c r="H35" s="49">
        <f>IF($L35="D",INDEX('Zgłoszenia'!$P$5:$P$504,$M35)&amp;"",IF($L35="U","",""))</f>
        <v/>
      </c>
      <c r="I35" s="48">
        <f>IF($L35="D",IF(INDEX('Zgłoszenia'!$M$5:$M$504,$M35)="","Zgłoszona",INDEX('Zgłoszenia'!$M$5:$M$504,$M35)),IF($L35="U","",""))</f>
        <v/>
      </c>
      <c r="J35" s="49">
        <f>IF($L35="D",INDEX('Zgłoszenia'!$K$5:$K$504,$M35)&amp;"",IF($L35="U","",""))</f>
        <v/>
      </c>
      <c r="K35" s="2" t="n"/>
      <c r="L35" s="2">
        <f>IF((ROW()-12)&lt;=$L$5,IF($L$2=0,"E1","D"),IF((ROW()-12)=$L$5+1,"",IF((ROW()-12)=$L$5+2,"T",IF((ROW()-12)=$L$5+3,IF($L$3=0,"E2","H"),IF((ROW()-12)&lt;=$L$5+3+$L$3,"U","")))))</f>
        <v/>
      </c>
      <c r="M35" s="2">
        <f>IF(L35="D",MATCH(LARGE('Zgłoszenia'!$Q$5:$Q$504,(ROW()-12)),'Zgłoszenia'!$Q$5:$Q$504,0),IF(L35="U",MATCH(LARGE('Dane rozpisek'!$I$2:$I$2600,(ROW()-12)-$L$5-3),'Dane rozpisek'!$I$2:$I$2600,0),""))</f>
        <v/>
      </c>
    </row>
    <row r="36">
      <c r="A36" s="47">
        <f>IF($L36="D",INDEX('Zgłoszenia'!$D$5:$D$504,$M36),IF($L36="U",INDEX('Dane rozpisek'!$A$2:$A$2600,$M36),IF($L36="T","KTO JEŹDZIŁ",IF($L36="E1","Brak zgłoszonych usterek w tym okresie.",IF($L36="E2","Brak wpisów z tym wózkiem w rozpiskach dla tego okresu.",IF($L36="H","Data",""))))))</f>
        <v/>
      </c>
      <c r="B36" s="48">
        <f>IF($L36="D",INDEX('Zgłoszenia'!$B$5:$B$504,$M36)&amp;"",IF($L36="U",INDEX('Dane rozpisek'!$F$2:$F$2600,$M36)&amp;"",IF($L36="H","Wózek","")))</f>
        <v/>
      </c>
      <c r="C36" s="48">
        <f>IF($L36="D",INDEX('Zgłoszenia'!$E$5:$E$504,$M36)&amp;"",IF($L36="U",INDEX('Dane rozpisek'!$B$2:$B$2600,$M36)&amp;" · "&amp;INDEX('Dane rozpisek'!$J$2:$J$2600,$M36),IF($L36="H","Zmiana","")))</f>
        <v/>
      </c>
      <c r="D36" s="49">
        <f>IF($L36="D",INDEX('Zgłoszenia'!$H$5:$H$504,$M36)&amp;"",IF($L36="U",INDEX('Dane rozpisek'!$E$2:$E$2600,$M36)&amp;"",IF($L36="H","Operator","")))</f>
        <v/>
      </c>
      <c r="E36" s="49">
        <f>IF($L36="D",INDEX('Zgłoszenia'!$I$5:$I$504,$M36)&amp;"",IF($L36="U",INDEX('Dane rozpisek'!$C$2:$C$2600,$M36)&amp;"",IF($L36="H","Stanowisko","")))</f>
        <v/>
      </c>
      <c r="F36" s="48">
        <f>IF($L36="D",INDEX('Zgłoszenia'!$J$5:$J$504,$M36)&amp;"",IF($L36="U",INDEX('Dane rozpisek'!$G$2:$G$2600,$M36)&amp;"",IF($L36="H","Uwagi","")))</f>
        <v/>
      </c>
      <c r="G36" s="49">
        <f>IF($L36="D",INDEX('Zgłoszenia'!$F$5:$F$504,$M36)&amp;"",IF($L36="U",INDEX('Dane rozpisek'!$L$2:$L$2600,$M36)&amp;"",IF($L36="H","Usterki (dzień / następny)","")))</f>
        <v/>
      </c>
      <c r="H36" s="49">
        <f>IF($L36="D",INDEX('Zgłoszenia'!$P$5:$P$504,$M36)&amp;"",IF($L36="U","",""))</f>
        <v/>
      </c>
      <c r="I36" s="48">
        <f>IF($L36="D",IF(INDEX('Zgłoszenia'!$M$5:$M$504,$M36)="","Zgłoszona",INDEX('Zgłoszenia'!$M$5:$M$504,$M36)),IF($L36="U","",""))</f>
        <v/>
      </c>
      <c r="J36" s="49">
        <f>IF($L36="D",INDEX('Zgłoszenia'!$K$5:$K$504,$M36)&amp;"",IF($L36="U","",""))</f>
        <v/>
      </c>
      <c r="K36" s="2" t="n"/>
      <c r="L36" s="2">
        <f>IF((ROW()-12)&lt;=$L$5,IF($L$2=0,"E1","D"),IF((ROW()-12)=$L$5+1,"",IF((ROW()-12)=$L$5+2,"T",IF((ROW()-12)=$L$5+3,IF($L$3=0,"E2","H"),IF((ROW()-12)&lt;=$L$5+3+$L$3,"U","")))))</f>
        <v/>
      </c>
      <c r="M36" s="2">
        <f>IF(L36="D",MATCH(LARGE('Zgłoszenia'!$Q$5:$Q$504,(ROW()-12)),'Zgłoszenia'!$Q$5:$Q$504,0),IF(L36="U",MATCH(LARGE('Dane rozpisek'!$I$2:$I$2600,(ROW()-12)-$L$5-3),'Dane rozpisek'!$I$2:$I$2600,0),""))</f>
        <v/>
      </c>
    </row>
    <row r="37">
      <c r="A37" s="47">
        <f>IF($L37="D",INDEX('Zgłoszenia'!$D$5:$D$504,$M37),IF($L37="U",INDEX('Dane rozpisek'!$A$2:$A$2600,$M37),IF($L37="T","KTO JEŹDZIŁ",IF($L37="E1","Brak zgłoszonych usterek w tym okresie.",IF($L37="E2","Brak wpisów z tym wózkiem w rozpiskach dla tego okresu.",IF($L37="H","Data",""))))))</f>
        <v/>
      </c>
      <c r="B37" s="48">
        <f>IF($L37="D",INDEX('Zgłoszenia'!$B$5:$B$504,$M37)&amp;"",IF($L37="U",INDEX('Dane rozpisek'!$F$2:$F$2600,$M37)&amp;"",IF($L37="H","Wózek","")))</f>
        <v/>
      </c>
      <c r="C37" s="48">
        <f>IF($L37="D",INDEX('Zgłoszenia'!$E$5:$E$504,$M37)&amp;"",IF($L37="U",INDEX('Dane rozpisek'!$B$2:$B$2600,$M37)&amp;" · "&amp;INDEX('Dane rozpisek'!$J$2:$J$2600,$M37),IF($L37="H","Zmiana","")))</f>
        <v/>
      </c>
      <c r="D37" s="49">
        <f>IF($L37="D",INDEX('Zgłoszenia'!$H$5:$H$504,$M37)&amp;"",IF($L37="U",INDEX('Dane rozpisek'!$E$2:$E$2600,$M37)&amp;"",IF($L37="H","Operator","")))</f>
        <v/>
      </c>
      <c r="E37" s="49">
        <f>IF($L37="D",INDEX('Zgłoszenia'!$I$5:$I$504,$M37)&amp;"",IF($L37="U",INDEX('Dane rozpisek'!$C$2:$C$2600,$M37)&amp;"",IF($L37="H","Stanowisko","")))</f>
        <v/>
      </c>
      <c r="F37" s="48">
        <f>IF($L37="D",INDEX('Zgłoszenia'!$J$5:$J$504,$M37)&amp;"",IF($L37="U",INDEX('Dane rozpisek'!$G$2:$G$2600,$M37)&amp;"",IF($L37="H","Uwagi","")))</f>
        <v/>
      </c>
      <c r="G37" s="49">
        <f>IF($L37="D",INDEX('Zgłoszenia'!$F$5:$F$504,$M37)&amp;"",IF($L37="U",INDEX('Dane rozpisek'!$L$2:$L$2600,$M37)&amp;"",IF($L37="H","Usterki (dzień / następny)","")))</f>
        <v/>
      </c>
      <c r="H37" s="49">
        <f>IF($L37="D",INDEX('Zgłoszenia'!$P$5:$P$504,$M37)&amp;"",IF($L37="U","",""))</f>
        <v/>
      </c>
      <c r="I37" s="48">
        <f>IF($L37="D",IF(INDEX('Zgłoszenia'!$M$5:$M$504,$M37)="","Zgłoszona",INDEX('Zgłoszenia'!$M$5:$M$504,$M37)),IF($L37="U","",""))</f>
        <v/>
      </c>
      <c r="J37" s="49">
        <f>IF($L37="D",INDEX('Zgłoszenia'!$K$5:$K$504,$M37)&amp;"",IF($L37="U","",""))</f>
        <v/>
      </c>
      <c r="K37" s="2" t="n"/>
      <c r="L37" s="2">
        <f>IF((ROW()-12)&lt;=$L$5,IF($L$2=0,"E1","D"),IF((ROW()-12)=$L$5+1,"",IF((ROW()-12)=$L$5+2,"T",IF((ROW()-12)=$L$5+3,IF($L$3=0,"E2","H"),IF((ROW()-12)&lt;=$L$5+3+$L$3,"U","")))))</f>
        <v/>
      </c>
      <c r="M37" s="2">
        <f>IF(L37="D",MATCH(LARGE('Zgłoszenia'!$Q$5:$Q$504,(ROW()-12)),'Zgłoszenia'!$Q$5:$Q$504,0),IF(L37="U",MATCH(LARGE('Dane rozpisek'!$I$2:$I$2600,(ROW()-12)-$L$5-3),'Dane rozpisek'!$I$2:$I$2600,0),""))</f>
        <v/>
      </c>
    </row>
    <row r="38">
      <c r="A38" s="47">
        <f>IF($L38="D",INDEX('Zgłoszenia'!$D$5:$D$504,$M38),IF($L38="U",INDEX('Dane rozpisek'!$A$2:$A$2600,$M38),IF($L38="T","KTO JEŹDZIŁ",IF($L38="E1","Brak zgłoszonych usterek w tym okresie.",IF($L38="E2","Brak wpisów z tym wózkiem w rozpiskach dla tego okresu.",IF($L38="H","Data",""))))))</f>
        <v/>
      </c>
      <c r="B38" s="48">
        <f>IF($L38="D",INDEX('Zgłoszenia'!$B$5:$B$504,$M38)&amp;"",IF($L38="U",INDEX('Dane rozpisek'!$F$2:$F$2600,$M38)&amp;"",IF($L38="H","Wózek","")))</f>
        <v/>
      </c>
      <c r="C38" s="48">
        <f>IF($L38="D",INDEX('Zgłoszenia'!$E$5:$E$504,$M38)&amp;"",IF($L38="U",INDEX('Dane rozpisek'!$B$2:$B$2600,$M38)&amp;" · "&amp;INDEX('Dane rozpisek'!$J$2:$J$2600,$M38),IF($L38="H","Zmiana","")))</f>
        <v/>
      </c>
      <c r="D38" s="49">
        <f>IF($L38="D",INDEX('Zgłoszenia'!$H$5:$H$504,$M38)&amp;"",IF($L38="U",INDEX('Dane rozpisek'!$E$2:$E$2600,$M38)&amp;"",IF($L38="H","Operator","")))</f>
        <v/>
      </c>
      <c r="E38" s="49">
        <f>IF($L38="D",INDEX('Zgłoszenia'!$I$5:$I$504,$M38)&amp;"",IF($L38="U",INDEX('Dane rozpisek'!$C$2:$C$2600,$M38)&amp;"",IF($L38="H","Stanowisko","")))</f>
        <v/>
      </c>
      <c r="F38" s="48">
        <f>IF($L38="D",INDEX('Zgłoszenia'!$J$5:$J$504,$M38)&amp;"",IF($L38="U",INDEX('Dane rozpisek'!$G$2:$G$2600,$M38)&amp;"",IF($L38="H","Uwagi","")))</f>
        <v/>
      </c>
      <c r="G38" s="49">
        <f>IF($L38="D",INDEX('Zgłoszenia'!$F$5:$F$504,$M38)&amp;"",IF($L38="U",INDEX('Dane rozpisek'!$L$2:$L$2600,$M38)&amp;"",IF($L38="H","Usterki (dzień / następny)","")))</f>
        <v/>
      </c>
      <c r="H38" s="49">
        <f>IF($L38="D",INDEX('Zgłoszenia'!$P$5:$P$504,$M38)&amp;"",IF($L38="U","",""))</f>
        <v/>
      </c>
      <c r="I38" s="48">
        <f>IF($L38="D",IF(INDEX('Zgłoszenia'!$M$5:$M$504,$M38)="","Zgłoszona",INDEX('Zgłoszenia'!$M$5:$M$504,$M38)),IF($L38="U","",""))</f>
        <v/>
      </c>
      <c r="J38" s="49">
        <f>IF($L38="D",INDEX('Zgłoszenia'!$K$5:$K$504,$M38)&amp;"",IF($L38="U","",""))</f>
        <v/>
      </c>
      <c r="K38" s="2" t="n"/>
      <c r="L38" s="2">
        <f>IF((ROW()-12)&lt;=$L$5,IF($L$2=0,"E1","D"),IF((ROW()-12)=$L$5+1,"",IF((ROW()-12)=$L$5+2,"T",IF((ROW()-12)=$L$5+3,IF($L$3=0,"E2","H"),IF((ROW()-12)&lt;=$L$5+3+$L$3,"U","")))))</f>
        <v/>
      </c>
      <c r="M38" s="2">
        <f>IF(L38="D",MATCH(LARGE('Zgłoszenia'!$Q$5:$Q$504,(ROW()-12)),'Zgłoszenia'!$Q$5:$Q$504,0),IF(L38="U",MATCH(LARGE('Dane rozpisek'!$I$2:$I$2600,(ROW()-12)-$L$5-3),'Dane rozpisek'!$I$2:$I$2600,0),""))</f>
        <v/>
      </c>
    </row>
    <row r="39">
      <c r="A39" s="47">
        <f>IF($L39="D",INDEX('Zgłoszenia'!$D$5:$D$504,$M39),IF($L39="U",INDEX('Dane rozpisek'!$A$2:$A$2600,$M39),IF($L39="T","KTO JEŹDZIŁ",IF($L39="E1","Brak zgłoszonych usterek w tym okresie.",IF($L39="E2","Brak wpisów z tym wózkiem w rozpiskach dla tego okresu.",IF($L39="H","Data",""))))))</f>
        <v/>
      </c>
      <c r="B39" s="48">
        <f>IF($L39="D",INDEX('Zgłoszenia'!$B$5:$B$504,$M39)&amp;"",IF($L39="U",INDEX('Dane rozpisek'!$F$2:$F$2600,$M39)&amp;"",IF($L39="H","Wózek","")))</f>
        <v/>
      </c>
      <c r="C39" s="48">
        <f>IF($L39="D",INDEX('Zgłoszenia'!$E$5:$E$504,$M39)&amp;"",IF($L39="U",INDEX('Dane rozpisek'!$B$2:$B$2600,$M39)&amp;" · "&amp;INDEX('Dane rozpisek'!$J$2:$J$2600,$M39),IF($L39="H","Zmiana","")))</f>
        <v/>
      </c>
      <c r="D39" s="49">
        <f>IF($L39="D",INDEX('Zgłoszenia'!$H$5:$H$504,$M39)&amp;"",IF($L39="U",INDEX('Dane rozpisek'!$E$2:$E$2600,$M39)&amp;"",IF($L39="H","Operator","")))</f>
        <v/>
      </c>
      <c r="E39" s="49">
        <f>IF($L39="D",INDEX('Zgłoszenia'!$I$5:$I$504,$M39)&amp;"",IF($L39="U",INDEX('Dane rozpisek'!$C$2:$C$2600,$M39)&amp;"",IF($L39="H","Stanowisko","")))</f>
        <v/>
      </c>
      <c r="F39" s="48">
        <f>IF($L39="D",INDEX('Zgłoszenia'!$J$5:$J$504,$M39)&amp;"",IF($L39="U",INDEX('Dane rozpisek'!$G$2:$G$2600,$M39)&amp;"",IF($L39="H","Uwagi","")))</f>
        <v/>
      </c>
      <c r="G39" s="49">
        <f>IF($L39="D",INDEX('Zgłoszenia'!$F$5:$F$504,$M39)&amp;"",IF($L39="U",INDEX('Dane rozpisek'!$L$2:$L$2600,$M39)&amp;"",IF($L39="H","Usterki (dzień / następny)","")))</f>
        <v/>
      </c>
      <c r="H39" s="49">
        <f>IF($L39="D",INDEX('Zgłoszenia'!$P$5:$P$504,$M39)&amp;"",IF($L39="U","",""))</f>
        <v/>
      </c>
      <c r="I39" s="48">
        <f>IF($L39="D",IF(INDEX('Zgłoszenia'!$M$5:$M$504,$M39)="","Zgłoszona",INDEX('Zgłoszenia'!$M$5:$M$504,$M39)),IF($L39="U","",""))</f>
        <v/>
      </c>
      <c r="J39" s="49">
        <f>IF($L39="D",INDEX('Zgłoszenia'!$K$5:$K$504,$M39)&amp;"",IF($L39="U","",""))</f>
        <v/>
      </c>
      <c r="K39" s="2" t="n"/>
      <c r="L39" s="2">
        <f>IF((ROW()-12)&lt;=$L$5,IF($L$2=0,"E1","D"),IF((ROW()-12)=$L$5+1,"",IF((ROW()-12)=$L$5+2,"T",IF((ROW()-12)=$L$5+3,IF($L$3=0,"E2","H"),IF((ROW()-12)&lt;=$L$5+3+$L$3,"U","")))))</f>
        <v/>
      </c>
      <c r="M39" s="2">
        <f>IF(L39="D",MATCH(LARGE('Zgłoszenia'!$Q$5:$Q$504,(ROW()-12)),'Zgłoszenia'!$Q$5:$Q$504,0),IF(L39="U",MATCH(LARGE('Dane rozpisek'!$I$2:$I$2600,(ROW()-12)-$L$5-3),'Dane rozpisek'!$I$2:$I$2600,0),""))</f>
        <v/>
      </c>
    </row>
    <row r="40">
      <c r="A40" s="47">
        <f>IF($L40="D",INDEX('Zgłoszenia'!$D$5:$D$504,$M40),IF($L40="U",INDEX('Dane rozpisek'!$A$2:$A$2600,$M40),IF($L40="T","KTO JEŹDZIŁ",IF($L40="E1","Brak zgłoszonych usterek w tym okresie.",IF($L40="E2","Brak wpisów z tym wózkiem w rozpiskach dla tego okresu.",IF($L40="H","Data",""))))))</f>
        <v/>
      </c>
      <c r="B40" s="48">
        <f>IF($L40="D",INDEX('Zgłoszenia'!$B$5:$B$504,$M40)&amp;"",IF($L40="U",INDEX('Dane rozpisek'!$F$2:$F$2600,$M40)&amp;"",IF($L40="H","Wózek","")))</f>
        <v/>
      </c>
      <c r="C40" s="48">
        <f>IF($L40="D",INDEX('Zgłoszenia'!$E$5:$E$504,$M40)&amp;"",IF($L40="U",INDEX('Dane rozpisek'!$B$2:$B$2600,$M40)&amp;" · "&amp;INDEX('Dane rozpisek'!$J$2:$J$2600,$M40),IF($L40="H","Zmiana","")))</f>
        <v/>
      </c>
      <c r="D40" s="49">
        <f>IF($L40="D",INDEX('Zgłoszenia'!$H$5:$H$504,$M40)&amp;"",IF($L40="U",INDEX('Dane rozpisek'!$E$2:$E$2600,$M40)&amp;"",IF($L40="H","Operator","")))</f>
        <v/>
      </c>
      <c r="E40" s="49">
        <f>IF($L40="D",INDEX('Zgłoszenia'!$I$5:$I$504,$M40)&amp;"",IF($L40="U",INDEX('Dane rozpisek'!$C$2:$C$2600,$M40)&amp;"",IF($L40="H","Stanowisko","")))</f>
        <v/>
      </c>
      <c r="F40" s="48">
        <f>IF($L40="D",INDEX('Zgłoszenia'!$J$5:$J$504,$M40)&amp;"",IF($L40="U",INDEX('Dane rozpisek'!$G$2:$G$2600,$M40)&amp;"",IF($L40="H","Uwagi","")))</f>
        <v/>
      </c>
      <c r="G40" s="49">
        <f>IF($L40="D",INDEX('Zgłoszenia'!$F$5:$F$504,$M40)&amp;"",IF($L40="U",INDEX('Dane rozpisek'!$L$2:$L$2600,$M40)&amp;"",IF($L40="H","Usterki (dzień / następny)","")))</f>
        <v/>
      </c>
      <c r="H40" s="49">
        <f>IF($L40="D",INDEX('Zgłoszenia'!$P$5:$P$504,$M40)&amp;"",IF($L40="U","",""))</f>
        <v/>
      </c>
      <c r="I40" s="48">
        <f>IF($L40="D",IF(INDEX('Zgłoszenia'!$M$5:$M$504,$M40)="","Zgłoszona",INDEX('Zgłoszenia'!$M$5:$M$504,$M40)),IF($L40="U","",""))</f>
        <v/>
      </c>
      <c r="J40" s="49">
        <f>IF($L40="D",INDEX('Zgłoszenia'!$K$5:$K$504,$M40)&amp;"",IF($L40="U","",""))</f>
        <v/>
      </c>
      <c r="K40" s="2" t="n"/>
      <c r="L40" s="2">
        <f>IF((ROW()-12)&lt;=$L$5,IF($L$2=0,"E1","D"),IF((ROW()-12)=$L$5+1,"",IF((ROW()-12)=$L$5+2,"T",IF((ROW()-12)=$L$5+3,IF($L$3=0,"E2","H"),IF((ROW()-12)&lt;=$L$5+3+$L$3,"U","")))))</f>
        <v/>
      </c>
      <c r="M40" s="2">
        <f>IF(L40="D",MATCH(LARGE('Zgłoszenia'!$Q$5:$Q$504,(ROW()-12)),'Zgłoszenia'!$Q$5:$Q$504,0),IF(L40="U",MATCH(LARGE('Dane rozpisek'!$I$2:$I$2600,(ROW()-12)-$L$5-3),'Dane rozpisek'!$I$2:$I$2600,0),""))</f>
        <v/>
      </c>
    </row>
    <row r="41">
      <c r="A41" s="47">
        <f>IF($L41="D",INDEX('Zgłoszenia'!$D$5:$D$504,$M41),IF($L41="U",INDEX('Dane rozpisek'!$A$2:$A$2600,$M41),IF($L41="T","KTO JEŹDZIŁ",IF($L41="E1","Brak zgłoszonych usterek w tym okresie.",IF($L41="E2","Brak wpisów z tym wózkiem w rozpiskach dla tego okresu.",IF($L41="H","Data",""))))))</f>
        <v/>
      </c>
      <c r="B41" s="48">
        <f>IF($L41="D",INDEX('Zgłoszenia'!$B$5:$B$504,$M41)&amp;"",IF($L41="U",INDEX('Dane rozpisek'!$F$2:$F$2600,$M41)&amp;"",IF($L41="H","Wózek","")))</f>
        <v/>
      </c>
      <c r="C41" s="48">
        <f>IF($L41="D",INDEX('Zgłoszenia'!$E$5:$E$504,$M41)&amp;"",IF($L41="U",INDEX('Dane rozpisek'!$B$2:$B$2600,$M41)&amp;" · "&amp;INDEX('Dane rozpisek'!$J$2:$J$2600,$M41),IF($L41="H","Zmiana","")))</f>
        <v/>
      </c>
      <c r="D41" s="49">
        <f>IF($L41="D",INDEX('Zgłoszenia'!$H$5:$H$504,$M41)&amp;"",IF($L41="U",INDEX('Dane rozpisek'!$E$2:$E$2600,$M41)&amp;"",IF($L41="H","Operator","")))</f>
        <v/>
      </c>
      <c r="E41" s="49">
        <f>IF($L41="D",INDEX('Zgłoszenia'!$I$5:$I$504,$M41)&amp;"",IF($L41="U",INDEX('Dane rozpisek'!$C$2:$C$2600,$M41)&amp;"",IF($L41="H","Stanowisko","")))</f>
        <v/>
      </c>
      <c r="F41" s="48">
        <f>IF($L41="D",INDEX('Zgłoszenia'!$J$5:$J$504,$M41)&amp;"",IF($L41="U",INDEX('Dane rozpisek'!$G$2:$G$2600,$M41)&amp;"",IF($L41="H","Uwagi","")))</f>
        <v/>
      </c>
      <c r="G41" s="49">
        <f>IF($L41="D",INDEX('Zgłoszenia'!$F$5:$F$504,$M41)&amp;"",IF($L41="U",INDEX('Dane rozpisek'!$L$2:$L$2600,$M41)&amp;"",IF($L41="H","Usterki (dzień / następny)","")))</f>
        <v/>
      </c>
      <c r="H41" s="49">
        <f>IF($L41="D",INDEX('Zgłoszenia'!$P$5:$P$504,$M41)&amp;"",IF($L41="U","",""))</f>
        <v/>
      </c>
      <c r="I41" s="48">
        <f>IF($L41="D",IF(INDEX('Zgłoszenia'!$M$5:$M$504,$M41)="","Zgłoszona",INDEX('Zgłoszenia'!$M$5:$M$504,$M41)),IF($L41="U","",""))</f>
        <v/>
      </c>
      <c r="J41" s="49">
        <f>IF($L41="D",INDEX('Zgłoszenia'!$K$5:$K$504,$M41)&amp;"",IF($L41="U","",""))</f>
        <v/>
      </c>
      <c r="K41" s="2" t="n"/>
      <c r="L41" s="2">
        <f>IF((ROW()-12)&lt;=$L$5,IF($L$2=0,"E1","D"),IF((ROW()-12)=$L$5+1,"",IF((ROW()-12)=$L$5+2,"T",IF((ROW()-12)=$L$5+3,IF($L$3=0,"E2","H"),IF((ROW()-12)&lt;=$L$5+3+$L$3,"U","")))))</f>
        <v/>
      </c>
      <c r="M41" s="2">
        <f>IF(L41="D",MATCH(LARGE('Zgłoszenia'!$Q$5:$Q$504,(ROW()-12)),'Zgłoszenia'!$Q$5:$Q$504,0),IF(L41="U",MATCH(LARGE('Dane rozpisek'!$I$2:$I$2600,(ROW()-12)-$L$5-3),'Dane rozpisek'!$I$2:$I$2600,0),""))</f>
        <v/>
      </c>
    </row>
    <row r="42">
      <c r="A42" s="47">
        <f>IF($L42="D",INDEX('Zgłoszenia'!$D$5:$D$504,$M42),IF($L42="U",INDEX('Dane rozpisek'!$A$2:$A$2600,$M42),IF($L42="T","KTO JEŹDZIŁ",IF($L42="E1","Brak zgłoszonych usterek w tym okresie.",IF($L42="E2","Brak wpisów z tym wózkiem w rozpiskach dla tego okresu.",IF($L42="H","Data",""))))))</f>
        <v/>
      </c>
      <c r="B42" s="48">
        <f>IF($L42="D",INDEX('Zgłoszenia'!$B$5:$B$504,$M42)&amp;"",IF($L42="U",INDEX('Dane rozpisek'!$F$2:$F$2600,$M42)&amp;"",IF($L42="H","Wózek","")))</f>
        <v/>
      </c>
      <c r="C42" s="48">
        <f>IF($L42="D",INDEX('Zgłoszenia'!$E$5:$E$504,$M42)&amp;"",IF($L42="U",INDEX('Dane rozpisek'!$B$2:$B$2600,$M42)&amp;" · "&amp;INDEX('Dane rozpisek'!$J$2:$J$2600,$M42),IF($L42="H","Zmiana","")))</f>
        <v/>
      </c>
      <c r="D42" s="49">
        <f>IF($L42="D",INDEX('Zgłoszenia'!$H$5:$H$504,$M42)&amp;"",IF($L42="U",INDEX('Dane rozpisek'!$E$2:$E$2600,$M42)&amp;"",IF($L42="H","Operator","")))</f>
        <v/>
      </c>
      <c r="E42" s="49">
        <f>IF($L42="D",INDEX('Zgłoszenia'!$I$5:$I$504,$M42)&amp;"",IF($L42="U",INDEX('Dane rozpisek'!$C$2:$C$2600,$M42)&amp;"",IF($L42="H","Stanowisko","")))</f>
        <v/>
      </c>
      <c r="F42" s="48">
        <f>IF($L42="D",INDEX('Zgłoszenia'!$J$5:$J$504,$M42)&amp;"",IF($L42="U",INDEX('Dane rozpisek'!$G$2:$G$2600,$M42)&amp;"",IF($L42="H","Uwagi","")))</f>
        <v/>
      </c>
      <c r="G42" s="49">
        <f>IF($L42="D",INDEX('Zgłoszenia'!$F$5:$F$504,$M42)&amp;"",IF($L42="U",INDEX('Dane rozpisek'!$L$2:$L$2600,$M42)&amp;"",IF($L42="H","Usterki (dzień / następny)","")))</f>
        <v/>
      </c>
      <c r="H42" s="49">
        <f>IF($L42="D",INDEX('Zgłoszenia'!$P$5:$P$504,$M42)&amp;"",IF($L42="U","",""))</f>
        <v/>
      </c>
      <c r="I42" s="48">
        <f>IF($L42="D",IF(INDEX('Zgłoszenia'!$M$5:$M$504,$M42)="","Zgłoszona",INDEX('Zgłoszenia'!$M$5:$M$504,$M42)),IF($L42="U","",""))</f>
        <v/>
      </c>
      <c r="J42" s="49">
        <f>IF($L42="D",INDEX('Zgłoszenia'!$K$5:$K$504,$M42)&amp;"",IF($L42="U","",""))</f>
        <v/>
      </c>
      <c r="K42" s="2" t="n"/>
      <c r="L42" s="2">
        <f>IF((ROW()-12)&lt;=$L$5,IF($L$2=0,"E1","D"),IF((ROW()-12)=$L$5+1,"",IF((ROW()-12)=$L$5+2,"T",IF((ROW()-12)=$L$5+3,IF($L$3=0,"E2","H"),IF((ROW()-12)&lt;=$L$5+3+$L$3,"U","")))))</f>
        <v/>
      </c>
      <c r="M42" s="2">
        <f>IF(L42="D",MATCH(LARGE('Zgłoszenia'!$Q$5:$Q$504,(ROW()-12)),'Zgłoszenia'!$Q$5:$Q$504,0),IF(L42="U",MATCH(LARGE('Dane rozpisek'!$I$2:$I$2600,(ROW()-12)-$L$5-3),'Dane rozpisek'!$I$2:$I$2600,0),""))</f>
        <v/>
      </c>
    </row>
    <row r="43">
      <c r="A43" s="47">
        <f>IF($L43="D",INDEX('Zgłoszenia'!$D$5:$D$504,$M43),IF($L43="U",INDEX('Dane rozpisek'!$A$2:$A$2600,$M43),IF($L43="T","KTO JEŹDZIŁ",IF($L43="E1","Brak zgłoszonych usterek w tym okresie.",IF($L43="E2","Brak wpisów z tym wózkiem w rozpiskach dla tego okresu.",IF($L43="H","Data",""))))))</f>
        <v/>
      </c>
      <c r="B43" s="48">
        <f>IF($L43="D",INDEX('Zgłoszenia'!$B$5:$B$504,$M43)&amp;"",IF($L43="U",INDEX('Dane rozpisek'!$F$2:$F$2600,$M43)&amp;"",IF($L43="H","Wózek","")))</f>
        <v/>
      </c>
      <c r="C43" s="48">
        <f>IF($L43="D",INDEX('Zgłoszenia'!$E$5:$E$504,$M43)&amp;"",IF($L43="U",INDEX('Dane rozpisek'!$B$2:$B$2600,$M43)&amp;" · "&amp;INDEX('Dane rozpisek'!$J$2:$J$2600,$M43),IF($L43="H","Zmiana","")))</f>
        <v/>
      </c>
      <c r="D43" s="49">
        <f>IF($L43="D",INDEX('Zgłoszenia'!$H$5:$H$504,$M43)&amp;"",IF($L43="U",INDEX('Dane rozpisek'!$E$2:$E$2600,$M43)&amp;"",IF($L43="H","Operator","")))</f>
        <v/>
      </c>
      <c r="E43" s="49">
        <f>IF($L43="D",INDEX('Zgłoszenia'!$I$5:$I$504,$M43)&amp;"",IF($L43="U",INDEX('Dane rozpisek'!$C$2:$C$2600,$M43)&amp;"",IF($L43="H","Stanowisko","")))</f>
        <v/>
      </c>
      <c r="F43" s="48">
        <f>IF($L43="D",INDEX('Zgłoszenia'!$J$5:$J$504,$M43)&amp;"",IF($L43="U",INDEX('Dane rozpisek'!$G$2:$G$2600,$M43)&amp;"",IF($L43="H","Uwagi","")))</f>
        <v/>
      </c>
      <c r="G43" s="49">
        <f>IF($L43="D",INDEX('Zgłoszenia'!$F$5:$F$504,$M43)&amp;"",IF($L43="U",INDEX('Dane rozpisek'!$L$2:$L$2600,$M43)&amp;"",IF($L43="H","Usterki (dzień / następny)","")))</f>
        <v/>
      </c>
      <c r="H43" s="49">
        <f>IF($L43="D",INDEX('Zgłoszenia'!$P$5:$P$504,$M43)&amp;"",IF($L43="U","",""))</f>
        <v/>
      </c>
      <c r="I43" s="48">
        <f>IF($L43="D",IF(INDEX('Zgłoszenia'!$M$5:$M$504,$M43)="","Zgłoszona",INDEX('Zgłoszenia'!$M$5:$M$504,$M43)),IF($L43="U","",""))</f>
        <v/>
      </c>
      <c r="J43" s="49">
        <f>IF($L43="D",INDEX('Zgłoszenia'!$K$5:$K$504,$M43)&amp;"",IF($L43="U","",""))</f>
        <v/>
      </c>
      <c r="K43" s="2" t="n"/>
      <c r="L43" s="2">
        <f>IF((ROW()-12)&lt;=$L$5,IF($L$2=0,"E1","D"),IF((ROW()-12)=$L$5+1,"",IF((ROW()-12)=$L$5+2,"T",IF((ROW()-12)=$L$5+3,IF($L$3=0,"E2","H"),IF((ROW()-12)&lt;=$L$5+3+$L$3,"U","")))))</f>
        <v/>
      </c>
      <c r="M43" s="2">
        <f>IF(L43="D",MATCH(LARGE('Zgłoszenia'!$Q$5:$Q$504,(ROW()-12)),'Zgłoszenia'!$Q$5:$Q$504,0),IF(L43="U",MATCH(LARGE('Dane rozpisek'!$I$2:$I$2600,(ROW()-12)-$L$5-3),'Dane rozpisek'!$I$2:$I$2600,0),""))</f>
        <v/>
      </c>
    </row>
    <row r="44">
      <c r="A44" s="47">
        <f>IF($L44="D",INDEX('Zgłoszenia'!$D$5:$D$504,$M44),IF($L44="U",INDEX('Dane rozpisek'!$A$2:$A$2600,$M44),IF($L44="T","KTO JEŹDZIŁ",IF($L44="E1","Brak zgłoszonych usterek w tym okresie.",IF($L44="E2","Brak wpisów z tym wózkiem w rozpiskach dla tego okresu.",IF($L44="H","Data",""))))))</f>
        <v/>
      </c>
      <c r="B44" s="48">
        <f>IF($L44="D",INDEX('Zgłoszenia'!$B$5:$B$504,$M44)&amp;"",IF($L44="U",INDEX('Dane rozpisek'!$F$2:$F$2600,$M44)&amp;"",IF($L44="H","Wózek","")))</f>
        <v/>
      </c>
      <c r="C44" s="48">
        <f>IF($L44="D",INDEX('Zgłoszenia'!$E$5:$E$504,$M44)&amp;"",IF($L44="U",INDEX('Dane rozpisek'!$B$2:$B$2600,$M44)&amp;" · "&amp;INDEX('Dane rozpisek'!$J$2:$J$2600,$M44),IF($L44="H","Zmiana","")))</f>
        <v/>
      </c>
      <c r="D44" s="49">
        <f>IF($L44="D",INDEX('Zgłoszenia'!$H$5:$H$504,$M44)&amp;"",IF($L44="U",INDEX('Dane rozpisek'!$E$2:$E$2600,$M44)&amp;"",IF($L44="H","Operator","")))</f>
        <v/>
      </c>
      <c r="E44" s="49">
        <f>IF($L44="D",INDEX('Zgłoszenia'!$I$5:$I$504,$M44)&amp;"",IF($L44="U",INDEX('Dane rozpisek'!$C$2:$C$2600,$M44)&amp;"",IF($L44="H","Stanowisko","")))</f>
        <v/>
      </c>
      <c r="F44" s="48">
        <f>IF($L44="D",INDEX('Zgłoszenia'!$J$5:$J$504,$M44)&amp;"",IF($L44="U",INDEX('Dane rozpisek'!$G$2:$G$2600,$M44)&amp;"",IF($L44="H","Uwagi","")))</f>
        <v/>
      </c>
      <c r="G44" s="49">
        <f>IF($L44="D",INDEX('Zgłoszenia'!$F$5:$F$504,$M44)&amp;"",IF($L44="U",INDEX('Dane rozpisek'!$L$2:$L$2600,$M44)&amp;"",IF($L44="H","Usterki (dzień / następny)","")))</f>
        <v/>
      </c>
      <c r="H44" s="49">
        <f>IF($L44="D",INDEX('Zgłoszenia'!$P$5:$P$504,$M44)&amp;"",IF($L44="U","",""))</f>
        <v/>
      </c>
      <c r="I44" s="48">
        <f>IF($L44="D",IF(INDEX('Zgłoszenia'!$M$5:$M$504,$M44)="","Zgłoszona",INDEX('Zgłoszenia'!$M$5:$M$504,$M44)),IF($L44="U","",""))</f>
        <v/>
      </c>
      <c r="J44" s="49">
        <f>IF($L44="D",INDEX('Zgłoszenia'!$K$5:$K$504,$M44)&amp;"",IF($L44="U","",""))</f>
        <v/>
      </c>
      <c r="K44" s="2" t="n"/>
      <c r="L44" s="2">
        <f>IF((ROW()-12)&lt;=$L$5,IF($L$2=0,"E1","D"),IF((ROW()-12)=$L$5+1,"",IF((ROW()-12)=$L$5+2,"T",IF((ROW()-12)=$L$5+3,IF($L$3=0,"E2","H"),IF((ROW()-12)&lt;=$L$5+3+$L$3,"U","")))))</f>
        <v/>
      </c>
      <c r="M44" s="2">
        <f>IF(L44="D",MATCH(LARGE('Zgłoszenia'!$Q$5:$Q$504,(ROW()-12)),'Zgłoszenia'!$Q$5:$Q$504,0),IF(L44="U",MATCH(LARGE('Dane rozpisek'!$I$2:$I$2600,(ROW()-12)-$L$5-3),'Dane rozpisek'!$I$2:$I$2600,0),""))</f>
        <v/>
      </c>
    </row>
    <row r="45">
      <c r="A45" s="47">
        <f>IF($L45="D",INDEX('Zgłoszenia'!$D$5:$D$504,$M45),IF($L45="U",INDEX('Dane rozpisek'!$A$2:$A$2600,$M45),IF($L45="T","KTO JEŹDZIŁ",IF($L45="E1","Brak zgłoszonych usterek w tym okresie.",IF($L45="E2","Brak wpisów z tym wózkiem w rozpiskach dla tego okresu.",IF($L45="H","Data",""))))))</f>
        <v/>
      </c>
      <c r="B45" s="48">
        <f>IF($L45="D",INDEX('Zgłoszenia'!$B$5:$B$504,$M45)&amp;"",IF($L45="U",INDEX('Dane rozpisek'!$F$2:$F$2600,$M45)&amp;"",IF($L45="H","Wózek","")))</f>
        <v/>
      </c>
      <c r="C45" s="48">
        <f>IF($L45="D",INDEX('Zgłoszenia'!$E$5:$E$504,$M45)&amp;"",IF($L45="U",INDEX('Dane rozpisek'!$B$2:$B$2600,$M45)&amp;" · "&amp;INDEX('Dane rozpisek'!$J$2:$J$2600,$M45),IF($L45="H","Zmiana","")))</f>
        <v/>
      </c>
      <c r="D45" s="49">
        <f>IF($L45="D",INDEX('Zgłoszenia'!$H$5:$H$504,$M45)&amp;"",IF($L45="U",INDEX('Dane rozpisek'!$E$2:$E$2600,$M45)&amp;"",IF($L45="H","Operator","")))</f>
        <v/>
      </c>
      <c r="E45" s="49">
        <f>IF($L45="D",INDEX('Zgłoszenia'!$I$5:$I$504,$M45)&amp;"",IF($L45="U",INDEX('Dane rozpisek'!$C$2:$C$2600,$M45)&amp;"",IF($L45="H","Stanowisko","")))</f>
        <v/>
      </c>
      <c r="F45" s="48">
        <f>IF($L45="D",INDEX('Zgłoszenia'!$J$5:$J$504,$M45)&amp;"",IF($L45="U",INDEX('Dane rozpisek'!$G$2:$G$2600,$M45)&amp;"",IF($L45="H","Uwagi","")))</f>
        <v/>
      </c>
      <c r="G45" s="49">
        <f>IF($L45="D",INDEX('Zgłoszenia'!$F$5:$F$504,$M45)&amp;"",IF($L45="U",INDEX('Dane rozpisek'!$L$2:$L$2600,$M45)&amp;"",IF($L45="H","Usterki (dzień / następny)","")))</f>
        <v/>
      </c>
      <c r="H45" s="49">
        <f>IF($L45="D",INDEX('Zgłoszenia'!$P$5:$P$504,$M45)&amp;"",IF($L45="U","",""))</f>
        <v/>
      </c>
      <c r="I45" s="48">
        <f>IF($L45="D",IF(INDEX('Zgłoszenia'!$M$5:$M$504,$M45)="","Zgłoszona",INDEX('Zgłoszenia'!$M$5:$M$504,$M45)),IF($L45="U","",""))</f>
        <v/>
      </c>
      <c r="J45" s="49">
        <f>IF($L45="D",INDEX('Zgłoszenia'!$K$5:$K$504,$M45)&amp;"",IF($L45="U","",""))</f>
        <v/>
      </c>
      <c r="K45" s="2" t="n"/>
      <c r="L45" s="2">
        <f>IF((ROW()-12)&lt;=$L$5,IF($L$2=0,"E1","D"),IF((ROW()-12)=$L$5+1,"",IF((ROW()-12)=$L$5+2,"T",IF((ROW()-12)=$L$5+3,IF($L$3=0,"E2","H"),IF((ROW()-12)&lt;=$L$5+3+$L$3,"U","")))))</f>
        <v/>
      </c>
      <c r="M45" s="2">
        <f>IF(L45="D",MATCH(LARGE('Zgłoszenia'!$Q$5:$Q$504,(ROW()-12)),'Zgłoszenia'!$Q$5:$Q$504,0),IF(L45="U",MATCH(LARGE('Dane rozpisek'!$I$2:$I$2600,(ROW()-12)-$L$5-3),'Dane rozpisek'!$I$2:$I$2600,0),""))</f>
        <v/>
      </c>
    </row>
    <row r="46">
      <c r="A46" s="47">
        <f>IF($L46="D",INDEX('Zgłoszenia'!$D$5:$D$504,$M46),IF($L46="U",INDEX('Dane rozpisek'!$A$2:$A$2600,$M46),IF($L46="T","KTO JEŹDZIŁ",IF($L46="E1","Brak zgłoszonych usterek w tym okresie.",IF($L46="E2","Brak wpisów z tym wózkiem w rozpiskach dla tego okresu.",IF($L46="H","Data",""))))))</f>
        <v/>
      </c>
      <c r="B46" s="48">
        <f>IF($L46="D",INDEX('Zgłoszenia'!$B$5:$B$504,$M46)&amp;"",IF($L46="U",INDEX('Dane rozpisek'!$F$2:$F$2600,$M46)&amp;"",IF($L46="H","Wózek","")))</f>
        <v/>
      </c>
      <c r="C46" s="48">
        <f>IF($L46="D",INDEX('Zgłoszenia'!$E$5:$E$504,$M46)&amp;"",IF($L46="U",INDEX('Dane rozpisek'!$B$2:$B$2600,$M46)&amp;" · "&amp;INDEX('Dane rozpisek'!$J$2:$J$2600,$M46),IF($L46="H","Zmiana","")))</f>
        <v/>
      </c>
      <c r="D46" s="49">
        <f>IF($L46="D",INDEX('Zgłoszenia'!$H$5:$H$504,$M46)&amp;"",IF($L46="U",INDEX('Dane rozpisek'!$E$2:$E$2600,$M46)&amp;"",IF($L46="H","Operator","")))</f>
        <v/>
      </c>
      <c r="E46" s="49">
        <f>IF($L46="D",INDEX('Zgłoszenia'!$I$5:$I$504,$M46)&amp;"",IF($L46="U",INDEX('Dane rozpisek'!$C$2:$C$2600,$M46)&amp;"",IF($L46="H","Stanowisko","")))</f>
        <v/>
      </c>
      <c r="F46" s="48">
        <f>IF($L46="D",INDEX('Zgłoszenia'!$J$5:$J$504,$M46)&amp;"",IF($L46="U",INDEX('Dane rozpisek'!$G$2:$G$2600,$M46)&amp;"",IF($L46="H","Uwagi","")))</f>
        <v/>
      </c>
      <c r="G46" s="49">
        <f>IF($L46="D",INDEX('Zgłoszenia'!$F$5:$F$504,$M46)&amp;"",IF($L46="U",INDEX('Dane rozpisek'!$L$2:$L$2600,$M46)&amp;"",IF($L46="H","Usterki (dzień / następny)","")))</f>
        <v/>
      </c>
      <c r="H46" s="49">
        <f>IF($L46="D",INDEX('Zgłoszenia'!$P$5:$P$504,$M46)&amp;"",IF($L46="U","",""))</f>
        <v/>
      </c>
      <c r="I46" s="48">
        <f>IF($L46="D",IF(INDEX('Zgłoszenia'!$M$5:$M$504,$M46)="","Zgłoszona",INDEX('Zgłoszenia'!$M$5:$M$504,$M46)),IF($L46="U","",""))</f>
        <v/>
      </c>
      <c r="J46" s="49">
        <f>IF($L46="D",INDEX('Zgłoszenia'!$K$5:$K$504,$M46)&amp;"",IF($L46="U","",""))</f>
        <v/>
      </c>
      <c r="K46" s="2" t="n"/>
      <c r="L46" s="2">
        <f>IF((ROW()-12)&lt;=$L$5,IF($L$2=0,"E1","D"),IF((ROW()-12)=$L$5+1,"",IF((ROW()-12)=$L$5+2,"T",IF((ROW()-12)=$L$5+3,IF($L$3=0,"E2","H"),IF((ROW()-12)&lt;=$L$5+3+$L$3,"U","")))))</f>
        <v/>
      </c>
      <c r="M46" s="2">
        <f>IF(L46="D",MATCH(LARGE('Zgłoszenia'!$Q$5:$Q$504,(ROW()-12)),'Zgłoszenia'!$Q$5:$Q$504,0),IF(L46="U",MATCH(LARGE('Dane rozpisek'!$I$2:$I$2600,(ROW()-12)-$L$5-3),'Dane rozpisek'!$I$2:$I$2600,0),""))</f>
        <v/>
      </c>
    </row>
    <row r="47">
      <c r="A47" s="47">
        <f>IF($L47="D",INDEX('Zgłoszenia'!$D$5:$D$504,$M47),IF($L47="U",INDEX('Dane rozpisek'!$A$2:$A$2600,$M47),IF($L47="T","KTO JEŹDZIŁ",IF($L47="E1","Brak zgłoszonych usterek w tym okresie.",IF($L47="E2","Brak wpisów z tym wózkiem w rozpiskach dla tego okresu.",IF($L47="H","Data",""))))))</f>
        <v/>
      </c>
      <c r="B47" s="48">
        <f>IF($L47="D",INDEX('Zgłoszenia'!$B$5:$B$504,$M47)&amp;"",IF($L47="U",INDEX('Dane rozpisek'!$F$2:$F$2600,$M47)&amp;"",IF($L47="H","Wózek","")))</f>
        <v/>
      </c>
      <c r="C47" s="48">
        <f>IF($L47="D",INDEX('Zgłoszenia'!$E$5:$E$504,$M47)&amp;"",IF($L47="U",INDEX('Dane rozpisek'!$B$2:$B$2600,$M47)&amp;" · "&amp;INDEX('Dane rozpisek'!$J$2:$J$2600,$M47),IF($L47="H","Zmiana","")))</f>
        <v/>
      </c>
      <c r="D47" s="49">
        <f>IF($L47="D",INDEX('Zgłoszenia'!$H$5:$H$504,$M47)&amp;"",IF($L47="U",INDEX('Dane rozpisek'!$E$2:$E$2600,$M47)&amp;"",IF($L47="H","Operator","")))</f>
        <v/>
      </c>
      <c r="E47" s="49">
        <f>IF($L47="D",INDEX('Zgłoszenia'!$I$5:$I$504,$M47)&amp;"",IF($L47="U",INDEX('Dane rozpisek'!$C$2:$C$2600,$M47)&amp;"",IF($L47="H","Stanowisko","")))</f>
        <v/>
      </c>
      <c r="F47" s="48">
        <f>IF($L47="D",INDEX('Zgłoszenia'!$J$5:$J$504,$M47)&amp;"",IF($L47="U",INDEX('Dane rozpisek'!$G$2:$G$2600,$M47)&amp;"",IF($L47="H","Uwagi","")))</f>
        <v/>
      </c>
      <c r="G47" s="49">
        <f>IF($L47="D",INDEX('Zgłoszenia'!$F$5:$F$504,$M47)&amp;"",IF($L47="U",INDEX('Dane rozpisek'!$L$2:$L$2600,$M47)&amp;"",IF($L47="H","Usterki (dzień / następny)","")))</f>
        <v/>
      </c>
      <c r="H47" s="49">
        <f>IF($L47="D",INDEX('Zgłoszenia'!$P$5:$P$504,$M47)&amp;"",IF($L47="U","",""))</f>
        <v/>
      </c>
      <c r="I47" s="48">
        <f>IF($L47="D",IF(INDEX('Zgłoszenia'!$M$5:$M$504,$M47)="","Zgłoszona",INDEX('Zgłoszenia'!$M$5:$M$504,$M47)),IF($L47="U","",""))</f>
        <v/>
      </c>
      <c r="J47" s="49">
        <f>IF($L47="D",INDEX('Zgłoszenia'!$K$5:$K$504,$M47)&amp;"",IF($L47="U","",""))</f>
        <v/>
      </c>
      <c r="K47" s="2" t="n"/>
      <c r="L47" s="2">
        <f>IF((ROW()-12)&lt;=$L$5,IF($L$2=0,"E1","D"),IF((ROW()-12)=$L$5+1,"",IF((ROW()-12)=$L$5+2,"T",IF((ROW()-12)=$L$5+3,IF($L$3=0,"E2","H"),IF((ROW()-12)&lt;=$L$5+3+$L$3,"U","")))))</f>
        <v/>
      </c>
      <c r="M47" s="2">
        <f>IF(L47="D",MATCH(LARGE('Zgłoszenia'!$Q$5:$Q$504,(ROW()-12)),'Zgłoszenia'!$Q$5:$Q$504,0),IF(L47="U",MATCH(LARGE('Dane rozpisek'!$I$2:$I$2600,(ROW()-12)-$L$5-3),'Dane rozpisek'!$I$2:$I$2600,0),""))</f>
        <v/>
      </c>
    </row>
    <row r="48">
      <c r="A48" s="47">
        <f>IF($L48="D",INDEX('Zgłoszenia'!$D$5:$D$504,$M48),IF($L48="U",INDEX('Dane rozpisek'!$A$2:$A$2600,$M48),IF($L48="T","KTO JEŹDZIŁ",IF($L48="E1","Brak zgłoszonych usterek w tym okresie.",IF($L48="E2","Brak wpisów z tym wózkiem w rozpiskach dla tego okresu.",IF($L48="H","Data",""))))))</f>
        <v/>
      </c>
      <c r="B48" s="48">
        <f>IF($L48="D",INDEX('Zgłoszenia'!$B$5:$B$504,$M48)&amp;"",IF($L48="U",INDEX('Dane rozpisek'!$F$2:$F$2600,$M48)&amp;"",IF($L48="H","Wózek","")))</f>
        <v/>
      </c>
      <c r="C48" s="48">
        <f>IF($L48="D",INDEX('Zgłoszenia'!$E$5:$E$504,$M48)&amp;"",IF($L48="U",INDEX('Dane rozpisek'!$B$2:$B$2600,$M48)&amp;" · "&amp;INDEX('Dane rozpisek'!$J$2:$J$2600,$M48),IF($L48="H","Zmiana","")))</f>
        <v/>
      </c>
      <c r="D48" s="49">
        <f>IF($L48="D",INDEX('Zgłoszenia'!$H$5:$H$504,$M48)&amp;"",IF($L48="U",INDEX('Dane rozpisek'!$E$2:$E$2600,$M48)&amp;"",IF($L48="H","Operator","")))</f>
        <v/>
      </c>
      <c r="E48" s="49">
        <f>IF($L48="D",INDEX('Zgłoszenia'!$I$5:$I$504,$M48)&amp;"",IF($L48="U",INDEX('Dane rozpisek'!$C$2:$C$2600,$M48)&amp;"",IF($L48="H","Stanowisko","")))</f>
        <v/>
      </c>
      <c r="F48" s="48">
        <f>IF($L48="D",INDEX('Zgłoszenia'!$J$5:$J$504,$M48)&amp;"",IF($L48="U",INDEX('Dane rozpisek'!$G$2:$G$2600,$M48)&amp;"",IF($L48="H","Uwagi","")))</f>
        <v/>
      </c>
      <c r="G48" s="49">
        <f>IF($L48="D",INDEX('Zgłoszenia'!$F$5:$F$504,$M48)&amp;"",IF($L48="U",INDEX('Dane rozpisek'!$L$2:$L$2600,$M48)&amp;"",IF($L48="H","Usterki (dzień / następny)","")))</f>
        <v/>
      </c>
      <c r="H48" s="49">
        <f>IF($L48="D",INDEX('Zgłoszenia'!$P$5:$P$504,$M48)&amp;"",IF($L48="U","",""))</f>
        <v/>
      </c>
      <c r="I48" s="48">
        <f>IF($L48="D",IF(INDEX('Zgłoszenia'!$M$5:$M$504,$M48)="","Zgłoszona",INDEX('Zgłoszenia'!$M$5:$M$504,$M48)),IF($L48="U","",""))</f>
        <v/>
      </c>
      <c r="J48" s="49">
        <f>IF($L48="D",INDEX('Zgłoszenia'!$K$5:$K$504,$M48)&amp;"",IF($L48="U","",""))</f>
        <v/>
      </c>
      <c r="K48" s="2" t="n"/>
      <c r="L48" s="2">
        <f>IF((ROW()-12)&lt;=$L$5,IF($L$2=0,"E1","D"),IF((ROW()-12)=$L$5+1,"",IF((ROW()-12)=$L$5+2,"T",IF((ROW()-12)=$L$5+3,IF($L$3=0,"E2","H"),IF((ROW()-12)&lt;=$L$5+3+$L$3,"U","")))))</f>
        <v/>
      </c>
      <c r="M48" s="2">
        <f>IF(L48="D",MATCH(LARGE('Zgłoszenia'!$Q$5:$Q$504,(ROW()-12)),'Zgłoszenia'!$Q$5:$Q$504,0),IF(L48="U",MATCH(LARGE('Dane rozpisek'!$I$2:$I$2600,(ROW()-12)-$L$5-3),'Dane rozpisek'!$I$2:$I$2600,0),""))</f>
        <v/>
      </c>
    </row>
    <row r="49">
      <c r="A49" s="47">
        <f>IF($L49="D",INDEX('Zgłoszenia'!$D$5:$D$504,$M49),IF($L49="U",INDEX('Dane rozpisek'!$A$2:$A$2600,$M49),IF($L49="T","KTO JEŹDZIŁ",IF($L49="E1","Brak zgłoszonych usterek w tym okresie.",IF($L49="E2","Brak wpisów z tym wózkiem w rozpiskach dla tego okresu.",IF($L49="H","Data",""))))))</f>
        <v/>
      </c>
      <c r="B49" s="48">
        <f>IF($L49="D",INDEX('Zgłoszenia'!$B$5:$B$504,$M49)&amp;"",IF($L49="U",INDEX('Dane rozpisek'!$F$2:$F$2600,$M49)&amp;"",IF($L49="H","Wózek","")))</f>
        <v/>
      </c>
      <c r="C49" s="48">
        <f>IF($L49="D",INDEX('Zgłoszenia'!$E$5:$E$504,$M49)&amp;"",IF($L49="U",INDEX('Dane rozpisek'!$B$2:$B$2600,$M49)&amp;" · "&amp;INDEX('Dane rozpisek'!$J$2:$J$2600,$M49),IF($L49="H","Zmiana","")))</f>
        <v/>
      </c>
      <c r="D49" s="49">
        <f>IF($L49="D",INDEX('Zgłoszenia'!$H$5:$H$504,$M49)&amp;"",IF($L49="U",INDEX('Dane rozpisek'!$E$2:$E$2600,$M49)&amp;"",IF($L49="H","Operator","")))</f>
        <v/>
      </c>
      <c r="E49" s="49">
        <f>IF($L49="D",INDEX('Zgłoszenia'!$I$5:$I$504,$M49)&amp;"",IF($L49="U",INDEX('Dane rozpisek'!$C$2:$C$2600,$M49)&amp;"",IF($L49="H","Stanowisko","")))</f>
        <v/>
      </c>
      <c r="F49" s="48">
        <f>IF($L49="D",INDEX('Zgłoszenia'!$J$5:$J$504,$M49)&amp;"",IF($L49="U",INDEX('Dane rozpisek'!$G$2:$G$2600,$M49)&amp;"",IF($L49="H","Uwagi","")))</f>
        <v/>
      </c>
      <c r="G49" s="49">
        <f>IF($L49="D",INDEX('Zgłoszenia'!$F$5:$F$504,$M49)&amp;"",IF($L49="U",INDEX('Dane rozpisek'!$L$2:$L$2600,$M49)&amp;"",IF($L49="H","Usterki (dzień / następny)","")))</f>
        <v/>
      </c>
      <c r="H49" s="49">
        <f>IF($L49="D",INDEX('Zgłoszenia'!$P$5:$P$504,$M49)&amp;"",IF($L49="U","",""))</f>
        <v/>
      </c>
      <c r="I49" s="48">
        <f>IF($L49="D",IF(INDEX('Zgłoszenia'!$M$5:$M$504,$M49)="","Zgłoszona",INDEX('Zgłoszenia'!$M$5:$M$504,$M49)),IF($L49="U","",""))</f>
        <v/>
      </c>
      <c r="J49" s="49">
        <f>IF($L49="D",INDEX('Zgłoszenia'!$K$5:$K$504,$M49)&amp;"",IF($L49="U","",""))</f>
        <v/>
      </c>
      <c r="K49" s="2" t="n"/>
      <c r="L49" s="2">
        <f>IF((ROW()-12)&lt;=$L$5,IF($L$2=0,"E1","D"),IF((ROW()-12)=$L$5+1,"",IF((ROW()-12)=$L$5+2,"T",IF((ROW()-12)=$L$5+3,IF($L$3=0,"E2","H"),IF((ROW()-12)&lt;=$L$5+3+$L$3,"U","")))))</f>
        <v/>
      </c>
      <c r="M49" s="2">
        <f>IF(L49="D",MATCH(LARGE('Zgłoszenia'!$Q$5:$Q$504,(ROW()-12)),'Zgłoszenia'!$Q$5:$Q$504,0),IF(L49="U",MATCH(LARGE('Dane rozpisek'!$I$2:$I$2600,(ROW()-12)-$L$5-3),'Dane rozpisek'!$I$2:$I$2600,0),""))</f>
        <v/>
      </c>
    </row>
    <row r="50">
      <c r="A50" s="47">
        <f>IF($L50="D",INDEX('Zgłoszenia'!$D$5:$D$504,$M50),IF($L50="U",INDEX('Dane rozpisek'!$A$2:$A$2600,$M50),IF($L50="T","KTO JEŹDZIŁ",IF($L50="E1","Brak zgłoszonych usterek w tym okresie.",IF($L50="E2","Brak wpisów z tym wózkiem w rozpiskach dla tego okresu.",IF($L50="H","Data",""))))))</f>
        <v/>
      </c>
      <c r="B50" s="48">
        <f>IF($L50="D",INDEX('Zgłoszenia'!$B$5:$B$504,$M50)&amp;"",IF($L50="U",INDEX('Dane rozpisek'!$F$2:$F$2600,$M50)&amp;"",IF($L50="H","Wózek","")))</f>
        <v/>
      </c>
      <c r="C50" s="48">
        <f>IF($L50="D",INDEX('Zgłoszenia'!$E$5:$E$504,$M50)&amp;"",IF($L50="U",INDEX('Dane rozpisek'!$B$2:$B$2600,$M50)&amp;" · "&amp;INDEX('Dane rozpisek'!$J$2:$J$2600,$M50),IF($L50="H","Zmiana","")))</f>
        <v/>
      </c>
      <c r="D50" s="49">
        <f>IF($L50="D",INDEX('Zgłoszenia'!$H$5:$H$504,$M50)&amp;"",IF($L50="U",INDEX('Dane rozpisek'!$E$2:$E$2600,$M50)&amp;"",IF($L50="H","Operator","")))</f>
        <v/>
      </c>
      <c r="E50" s="49">
        <f>IF($L50="D",INDEX('Zgłoszenia'!$I$5:$I$504,$M50)&amp;"",IF($L50="U",INDEX('Dane rozpisek'!$C$2:$C$2600,$M50)&amp;"",IF($L50="H","Stanowisko","")))</f>
        <v/>
      </c>
      <c r="F50" s="48">
        <f>IF($L50="D",INDEX('Zgłoszenia'!$J$5:$J$504,$M50)&amp;"",IF($L50="U",INDEX('Dane rozpisek'!$G$2:$G$2600,$M50)&amp;"",IF($L50="H","Uwagi","")))</f>
        <v/>
      </c>
      <c r="G50" s="49">
        <f>IF($L50="D",INDEX('Zgłoszenia'!$F$5:$F$504,$M50)&amp;"",IF($L50="U",INDEX('Dane rozpisek'!$L$2:$L$2600,$M50)&amp;"",IF($L50="H","Usterki (dzień / następny)","")))</f>
        <v/>
      </c>
      <c r="H50" s="49">
        <f>IF($L50="D",INDEX('Zgłoszenia'!$P$5:$P$504,$M50)&amp;"",IF($L50="U","",""))</f>
        <v/>
      </c>
      <c r="I50" s="48">
        <f>IF($L50="D",IF(INDEX('Zgłoszenia'!$M$5:$M$504,$M50)="","Zgłoszona",INDEX('Zgłoszenia'!$M$5:$M$504,$M50)),IF($L50="U","",""))</f>
        <v/>
      </c>
      <c r="J50" s="49">
        <f>IF($L50="D",INDEX('Zgłoszenia'!$K$5:$K$504,$M50)&amp;"",IF($L50="U","",""))</f>
        <v/>
      </c>
      <c r="K50" s="2" t="n"/>
      <c r="L50" s="2">
        <f>IF((ROW()-12)&lt;=$L$5,IF($L$2=0,"E1","D"),IF((ROW()-12)=$L$5+1,"",IF((ROW()-12)=$L$5+2,"T",IF((ROW()-12)=$L$5+3,IF($L$3=0,"E2","H"),IF((ROW()-12)&lt;=$L$5+3+$L$3,"U","")))))</f>
        <v/>
      </c>
      <c r="M50" s="2">
        <f>IF(L50="D",MATCH(LARGE('Zgłoszenia'!$Q$5:$Q$504,(ROW()-12)),'Zgłoszenia'!$Q$5:$Q$504,0),IF(L50="U",MATCH(LARGE('Dane rozpisek'!$I$2:$I$2600,(ROW()-12)-$L$5-3),'Dane rozpisek'!$I$2:$I$2600,0),""))</f>
        <v/>
      </c>
    </row>
    <row r="51">
      <c r="A51" s="47">
        <f>IF($L51="D",INDEX('Zgłoszenia'!$D$5:$D$504,$M51),IF($L51="U",INDEX('Dane rozpisek'!$A$2:$A$2600,$M51),IF($L51="T","KTO JEŹDZIŁ",IF($L51="E1","Brak zgłoszonych usterek w tym okresie.",IF($L51="E2","Brak wpisów z tym wózkiem w rozpiskach dla tego okresu.",IF($L51="H","Data",""))))))</f>
        <v/>
      </c>
      <c r="B51" s="48">
        <f>IF($L51="D",INDEX('Zgłoszenia'!$B$5:$B$504,$M51)&amp;"",IF($L51="U",INDEX('Dane rozpisek'!$F$2:$F$2600,$M51)&amp;"",IF($L51="H","Wózek","")))</f>
        <v/>
      </c>
      <c r="C51" s="48">
        <f>IF($L51="D",INDEX('Zgłoszenia'!$E$5:$E$504,$M51)&amp;"",IF($L51="U",INDEX('Dane rozpisek'!$B$2:$B$2600,$M51)&amp;" · "&amp;INDEX('Dane rozpisek'!$J$2:$J$2600,$M51),IF($L51="H","Zmiana","")))</f>
        <v/>
      </c>
      <c r="D51" s="49">
        <f>IF($L51="D",INDEX('Zgłoszenia'!$H$5:$H$504,$M51)&amp;"",IF($L51="U",INDEX('Dane rozpisek'!$E$2:$E$2600,$M51)&amp;"",IF($L51="H","Operator","")))</f>
        <v/>
      </c>
      <c r="E51" s="49">
        <f>IF($L51="D",INDEX('Zgłoszenia'!$I$5:$I$504,$M51)&amp;"",IF($L51="U",INDEX('Dane rozpisek'!$C$2:$C$2600,$M51)&amp;"",IF($L51="H","Stanowisko","")))</f>
        <v/>
      </c>
      <c r="F51" s="48">
        <f>IF($L51="D",INDEX('Zgłoszenia'!$J$5:$J$504,$M51)&amp;"",IF($L51="U",INDEX('Dane rozpisek'!$G$2:$G$2600,$M51)&amp;"",IF($L51="H","Uwagi","")))</f>
        <v/>
      </c>
      <c r="G51" s="49">
        <f>IF($L51="D",INDEX('Zgłoszenia'!$F$5:$F$504,$M51)&amp;"",IF($L51="U",INDEX('Dane rozpisek'!$L$2:$L$2600,$M51)&amp;"",IF($L51="H","Usterki (dzień / następny)","")))</f>
        <v/>
      </c>
      <c r="H51" s="49">
        <f>IF($L51="D",INDEX('Zgłoszenia'!$P$5:$P$504,$M51)&amp;"",IF($L51="U","",""))</f>
        <v/>
      </c>
      <c r="I51" s="48">
        <f>IF($L51="D",IF(INDEX('Zgłoszenia'!$M$5:$M$504,$M51)="","Zgłoszona",INDEX('Zgłoszenia'!$M$5:$M$504,$M51)),IF($L51="U","",""))</f>
        <v/>
      </c>
      <c r="J51" s="49">
        <f>IF($L51="D",INDEX('Zgłoszenia'!$K$5:$K$504,$M51)&amp;"",IF($L51="U","",""))</f>
        <v/>
      </c>
      <c r="K51" s="2" t="n"/>
      <c r="L51" s="2">
        <f>IF((ROW()-12)&lt;=$L$5,IF($L$2=0,"E1","D"),IF((ROW()-12)=$L$5+1,"",IF((ROW()-12)=$L$5+2,"T",IF((ROW()-12)=$L$5+3,IF($L$3=0,"E2","H"),IF((ROW()-12)&lt;=$L$5+3+$L$3,"U","")))))</f>
        <v/>
      </c>
      <c r="M51" s="2">
        <f>IF(L51="D",MATCH(LARGE('Zgłoszenia'!$Q$5:$Q$504,(ROW()-12)),'Zgłoszenia'!$Q$5:$Q$504,0),IF(L51="U",MATCH(LARGE('Dane rozpisek'!$I$2:$I$2600,(ROW()-12)-$L$5-3),'Dane rozpisek'!$I$2:$I$2600,0),""))</f>
        <v/>
      </c>
    </row>
    <row r="52">
      <c r="A52" s="47">
        <f>IF($L52="D",INDEX('Zgłoszenia'!$D$5:$D$504,$M52),IF($L52="U",INDEX('Dane rozpisek'!$A$2:$A$2600,$M52),IF($L52="T","KTO JEŹDZIŁ",IF($L52="E1","Brak zgłoszonych usterek w tym okresie.",IF($L52="E2","Brak wpisów z tym wózkiem w rozpiskach dla tego okresu.",IF($L52="H","Data",""))))))</f>
        <v/>
      </c>
      <c r="B52" s="48">
        <f>IF($L52="D",INDEX('Zgłoszenia'!$B$5:$B$504,$M52)&amp;"",IF($L52="U",INDEX('Dane rozpisek'!$F$2:$F$2600,$M52)&amp;"",IF($L52="H","Wózek","")))</f>
        <v/>
      </c>
      <c r="C52" s="48">
        <f>IF($L52="D",INDEX('Zgłoszenia'!$E$5:$E$504,$M52)&amp;"",IF($L52="U",INDEX('Dane rozpisek'!$B$2:$B$2600,$M52)&amp;" · "&amp;INDEX('Dane rozpisek'!$J$2:$J$2600,$M52),IF($L52="H","Zmiana","")))</f>
        <v/>
      </c>
      <c r="D52" s="49">
        <f>IF($L52="D",INDEX('Zgłoszenia'!$H$5:$H$504,$M52)&amp;"",IF($L52="U",INDEX('Dane rozpisek'!$E$2:$E$2600,$M52)&amp;"",IF($L52="H","Operator","")))</f>
        <v/>
      </c>
      <c r="E52" s="49">
        <f>IF($L52="D",INDEX('Zgłoszenia'!$I$5:$I$504,$M52)&amp;"",IF($L52="U",INDEX('Dane rozpisek'!$C$2:$C$2600,$M52)&amp;"",IF($L52="H","Stanowisko","")))</f>
        <v/>
      </c>
      <c r="F52" s="48">
        <f>IF($L52="D",INDEX('Zgłoszenia'!$J$5:$J$504,$M52)&amp;"",IF($L52="U",INDEX('Dane rozpisek'!$G$2:$G$2600,$M52)&amp;"",IF($L52="H","Uwagi","")))</f>
        <v/>
      </c>
      <c r="G52" s="49">
        <f>IF($L52="D",INDEX('Zgłoszenia'!$F$5:$F$504,$M52)&amp;"",IF($L52="U",INDEX('Dane rozpisek'!$L$2:$L$2600,$M52)&amp;"",IF($L52="H","Usterki (dzień / następny)","")))</f>
        <v/>
      </c>
      <c r="H52" s="49">
        <f>IF($L52="D",INDEX('Zgłoszenia'!$P$5:$P$504,$M52)&amp;"",IF($L52="U","",""))</f>
        <v/>
      </c>
      <c r="I52" s="48">
        <f>IF($L52="D",IF(INDEX('Zgłoszenia'!$M$5:$M$504,$M52)="","Zgłoszona",INDEX('Zgłoszenia'!$M$5:$M$504,$M52)),IF($L52="U","",""))</f>
        <v/>
      </c>
      <c r="J52" s="49">
        <f>IF($L52="D",INDEX('Zgłoszenia'!$K$5:$K$504,$M52)&amp;"",IF($L52="U","",""))</f>
        <v/>
      </c>
      <c r="K52" s="2" t="n"/>
      <c r="L52" s="2">
        <f>IF((ROW()-12)&lt;=$L$5,IF($L$2=0,"E1","D"),IF((ROW()-12)=$L$5+1,"",IF((ROW()-12)=$L$5+2,"T",IF((ROW()-12)=$L$5+3,IF($L$3=0,"E2","H"),IF((ROW()-12)&lt;=$L$5+3+$L$3,"U","")))))</f>
        <v/>
      </c>
      <c r="M52" s="2">
        <f>IF(L52="D",MATCH(LARGE('Zgłoszenia'!$Q$5:$Q$504,(ROW()-12)),'Zgłoszenia'!$Q$5:$Q$504,0),IF(L52="U",MATCH(LARGE('Dane rozpisek'!$I$2:$I$2600,(ROW()-12)-$L$5-3),'Dane rozpisek'!$I$2:$I$2600,0),""))</f>
        <v/>
      </c>
    </row>
    <row r="53">
      <c r="A53" s="47">
        <f>IF($L53="D",INDEX('Zgłoszenia'!$D$5:$D$504,$M53),IF($L53="U",INDEX('Dane rozpisek'!$A$2:$A$2600,$M53),IF($L53="T","KTO JEŹDZIŁ",IF($L53="E1","Brak zgłoszonych usterek w tym okresie.",IF($L53="E2","Brak wpisów z tym wózkiem w rozpiskach dla tego okresu.",IF($L53="H","Data",""))))))</f>
        <v/>
      </c>
      <c r="B53" s="48">
        <f>IF($L53="D",INDEX('Zgłoszenia'!$B$5:$B$504,$M53)&amp;"",IF($L53="U",INDEX('Dane rozpisek'!$F$2:$F$2600,$M53)&amp;"",IF($L53="H","Wózek","")))</f>
        <v/>
      </c>
      <c r="C53" s="48">
        <f>IF($L53="D",INDEX('Zgłoszenia'!$E$5:$E$504,$M53)&amp;"",IF($L53="U",INDEX('Dane rozpisek'!$B$2:$B$2600,$M53)&amp;" · "&amp;INDEX('Dane rozpisek'!$J$2:$J$2600,$M53),IF($L53="H","Zmiana","")))</f>
        <v/>
      </c>
      <c r="D53" s="49">
        <f>IF($L53="D",INDEX('Zgłoszenia'!$H$5:$H$504,$M53)&amp;"",IF($L53="U",INDEX('Dane rozpisek'!$E$2:$E$2600,$M53)&amp;"",IF($L53="H","Operator","")))</f>
        <v/>
      </c>
      <c r="E53" s="49">
        <f>IF($L53="D",INDEX('Zgłoszenia'!$I$5:$I$504,$M53)&amp;"",IF($L53="U",INDEX('Dane rozpisek'!$C$2:$C$2600,$M53)&amp;"",IF($L53="H","Stanowisko","")))</f>
        <v/>
      </c>
      <c r="F53" s="48">
        <f>IF($L53="D",INDEX('Zgłoszenia'!$J$5:$J$504,$M53)&amp;"",IF($L53="U",INDEX('Dane rozpisek'!$G$2:$G$2600,$M53)&amp;"",IF($L53="H","Uwagi","")))</f>
        <v/>
      </c>
      <c r="G53" s="49">
        <f>IF($L53="D",INDEX('Zgłoszenia'!$F$5:$F$504,$M53)&amp;"",IF($L53="U",INDEX('Dane rozpisek'!$L$2:$L$2600,$M53)&amp;"",IF($L53="H","Usterki (dzień / następny)","")))</f>
        <v/>
      </c>
      <c r="H53" s="49">
        <f>IF($L53="D",INDEX('Zgłoszenia'!$P$5:$P$504,$M53)&amp;"",IF($L53="U","",""))</f>
        <v/>
      </c>
      <c r="I53" s="48">
        <f>IF($L53="D",IF(INDEX('Zgłoszenia'!$M$5:$M$504,$M53)="","Zgłoszona",INDEX('Zgłoszenia'!$M$5:$M$504,$M53)),IF($L53="U","",""))</f>
        <v/>
      </c>
      <c r="J53" s="49">
        <f>IF($L53="D",INDEX('Zgłoszenia'!$K$5:$K$504,$M53)&amp;"",IF($L53="U","",""))</f>
        <v/>
      </c>
      <c r="K53" s="2" t="n"/>
      <c r="L53" s="2">
        <f>IF((ROW()-12)&lt;=$L$5,IF($L$2=0,"E1","D"),IF((ROW()-12)=$L$5+1,"",IF((ROW()-12)=$L$5+2,"T",IF((ROW()-12)=$L$5+3,IF($L$3=0,"E2","H"),IF((ROW()-12)&lt;=$L$5+3+$L$3,"U","")))))</f>
        <v/>
      </c>
      <c r="M53" s="2">
        <f>IF(L53="D",MATCH(LARGE('Zgłoszenia'!$Q$5:$Q$504,(ROW()-12)),'Zgłoszenia'!$Q$5:$Q$504,0),IF(L53="U",MATCH(LARGE('Dane rozpisek'!$I$2:$I$2600,(ROW()-12)-$L$5-3),'Dane rozpisek'!$I$2:$I$2600,0),""))</f>
        <v/>
      </c>
    </row>
    <row r="54">
      <c r="A54" s="47">
        <f>IF($L54="D",INDEX('Zgłoszenia'!$D$5:$D$504,$M54),IF($L54="U",INDEX('Dane rozpisek'!$A$2:$A$2600,$M54),IF($L54="T","KTO JEŹDZIŁ",IF($L54="E1","Brak zgłoszonych usterek w tym okresie.",IF($L54="E2","Brak wpisów z tym wózkiem w rozpiskach dla tego okresu.",IF($L54="H","Data",""))))))</f>
        <v/>
      </c>
      <c r="B54" s="48">
        <f>IF($L54="D",INDEX('Zgłoszenia'!$B$5:$B$504,$M54)&amp;"",IF($L54="U",INDEX('Dane rozpisek'!$F$2:$F$2600,$M54)&amp;"",IF($L54="H","Wózek","")))</f>
        <v/>
      </c>
      <c r="C54" s="48">
        <f>IF($L54="D",INDEX('Zgłoszenia'!$E$5:$E$504,$M54)&amp;"",IF($L54="U",INDEX('Dane rozpisek'!$B$2:$B$2600,$M54)&amp;" · "&amp;INDEX('Dane rozpisek'!$J$2:$J$2600,$M54),IF($L54="H","Zmiana","")))</f>
        <v/>
      </c>
      <c r="D54" s="49">
        <f>IF($L54="D",INDEX('Zgłoszenia'!$H$5:$H$504,$M54)&amp;"",IF($L54="U",INDEX('Dane rozpisek'!$E$2:$E$2600,$M54)&amp;"",IF($L54="H","Operator","")))</f>
        <v/>
      </c>
      <c r="E54" s="49">
        <f>IF($L54="D",INDEX('Zgłoszenia'!$I$5:$I$504,$M54)&amp;"",IF($L54="U",INDEX('Dane rozpisek'!$C$2:$C$2600,$M54)&amp;"",IF($L54="H","Stanowisko","")))</f>
        <v/>
      </c>
      <c r="F54" s="48">
        <f>IF($L54="D",INDEX('Zgłoszenia'!$J$5:$J$504,$M54)&amp;"",IF($L54="U",INDEX('Dane rozpisek'!$G$2:$G$2600,$M54)&amp;"",IF($L54="H","Uwagi","")))</f>
        <v/>
      </c>
      <c r="G54" s="49">
        <f>IF($L54="D",INDEX('Zgłoszenia'!$F$5:$F$504,$M54)&amp;"",IF($L54="U",INDEX('Dane rozpisek'!$L$2:$L$2600,$M54)&amp;"",IF($L54="H","Usterki (dzień / następny)","")))</f>
        <v/>
      </c>
      <c r="H54" s="49">
        <f>IF($L54="D",INDEX('Zgłoszenia'!$P$5:$P$504,$M54)&amp;"",IF($L54="U","",""))</f>
        <v/>
      </c>
      <c r="I54" s="48">
        <f>IF($L54="D",IF(INDEX('Zgłoszenia'!$M$5:$M$504,$M54)="","Zgłoszona",INDEX('Zgłoszenia'!$M$5:$M$504,$M54)),IF($L54="U","",""))</f>
        <v/>
      </c>
      <c r="J54" s="49">
        <f>IF($L54="D",INDEX('Zgłoszenia'!$K$5:$K$504,$M54)&amp;"",IF($L54="U","",""))</f>
        <v/>
      </c>
      <c r="K54" s="2" t="n"/>
      <c r="L54" s="2">
        <f>IF((ROW()-12)&lt;=$L$5,IF($L$2=0,"E1","D"),IF((ROW()-12)=$L$5+1,"",IF((ROW()-12)=$L$5+2,"T",IF((ROW()-12)=$L$5+3,IF($L$3=0,"E2","H"),IF((ROW()-12)&lt;=$L$5+3+$L$3,"U","")))))</f>
        <v/>
      </c>
      <c r="M54" s="2">
        <f>IF(L54="D",MATCH(LARGE('Zgłoszenia'!$Q$5:$Q$504,(ROW()-12)),'Zgłoszenia'!$Q$5:$Q$504,0),IF(L54="U",MATCH(LARGE('Dane rozpisek'!$I$2:$I$2600,(ROW()-12)-$L$5-3),'Dane rozpisek'!$I$2:$I$2600,0),""))</f>
        <v/>
      </c>
    </row>
    <row r="55">
      <c r="A55" s="47">
        <f>IF($L55="D",INDEX('Zgłoszenia'!$D$5:$D$504,$M55),IF($L55="U",INDEX('Dane rozpisek'!$A$2:$A$2600,$M55),IF($L55="T","KTO JEŹDZIŁ",IF($L55="E1","Brak zgłoszonych usterek w tym okresie.",IF($L55="E2","Brak wpisów z tym wózkiem w rozpiskach dla tego okresu.",IF($L55="H","Data",""))))))</f>
        <v/>
      </c>
      <c r="B55" s="48">
        <f>IF($L55="D",INDEX('Zgłoszenia'!$B$5:$B$504,$M55)&amp;"",IF($L55="U",INDEX('Dane rozpisek'!$F$2:$F$2600,$M55)&amp;"",IF($L55="H","Wózek","")))</f>
        <v/>
      </c>
      <c r="C55" s="48">
        <f>IF($L55="D",INDEX('Zgłoszenia'!$E$5:$E$504,$M55)&amp;"",IF($L55="U",INDEX('Dane rozpisek'!$B$2:$B$2600,$M55)&amp;" · "&amp;INDEX('Dane rozpisek'!$J$2:$J$2600,$M55),IF($L55="H","Zmiana","")))</f>
        <v/>
      </c>
      <c r="D55" s="49">
        <f>IF($L55="D",INDEX('Zgłoszenia'!$H$5:$H$504,$M55)&amp;"",IF($L55="U",INDEX('Dane rozpisek'!$E$2:$E$2600,$M55)&amp;"",IF($L55="H","Operator","")))</f>
        <v/>
      </c>
      <c r="E55" s="49">
        <f>IF($L55="D",INDEX('Zgłoszenia'!$I$5:$I$504,$M55)&amp;"",IF($L55="U",INDEX('Dane rozpisek'!$C$2:$C$2600,$M55)&amp;"",IF($L55="H","Stanowisko","")))</f>
        <v/>
      </c>
      <c r="F55" s="48">
        <f>IF($L55="D",INDEX('Zgłoszenia'!$J$5:$J$504,$M55)&amp;"",IF($L55="U",INDEX('Dane rozpisek'!$G$2:$G$2600,$M55)&amp;"",IF($L55="H","Uwagi","")))</f>
        <v/>
      </c>
      <c r="G55" s="49">
        <f>IF($L55="D",INDEX('Zgłoszenia'!$F$5:$F$504,$M55)&amp;"",IF($L55="U",INDEX('Dane rozpisek'!$L$2:$L$2600,$M55)&amp;"",IF($L55="H","Usterki (dzień / następny)","")))</f>
        <v/>
      </c>
      <c r="H55" s="49">
        <f>IF($L55="D",INDEX('Zgłoszenia'!$P$5:$P$504,$M55)&amp;"",IF($L55="U","",""))</f>
        <v/>
      </c>
      <c r="I55" s="48">
        <f>IF($L55="D",IF(INDEX('Zgłoszenia'!$M$5:$M$504,$M55)="","Zgłoszona",INDEX('Zgłoszenia'!$M$5:$M$504,$M55)),IF($L55="U","",""))</f>
        <v/>
      </c>
      <c r="J55" s="49">
        <f>IF($L55="D",INDEX('Zgłoszenia'!$K$5:$K$504,$M55)&amp;"",IF($L55="U","",""))</f>
        <v/>
      </c>
      <c r="K55" s="2" t="n"/>
      <c r="L55" s="2">
        <f>IF((ROW()-12)&lt;=$L$5,IF($L$2=0,"E1","D"),IF((ROW()-12)=$L$5+1,"",IF((ROW()-12)=$L$5+2,"T",IF((ROW()-12)=$L$5+3,IF($L$3=0,"E2","H"),IF((ROW()-12)&lt;=$L$5+3+$L$3,"U","")))))</f>
        <v/>
      </c>
      <c r="M55" s="2">
        <f>IF(L55="D",MATCH(LARGE('Zgłoszenia'!$Q$5:$Q$504,(ROW()-12)),'Zgłoszenia'!$Q$5:$Q$504,0),IF(L55="U",MATCH(LARGE('Dane rozpisek'!$I$2:$I$2600,(ROW()-12)-$L$5-3),'Dane rozpisek'!$I$2:$I$2600,0),""))</f>
        <v/>
      </c>
    </row>
    <row r="56">
      <c r="A56" s="47">
        <f>IF($L56="D",INDEX('Zgłoszenia'!$D$5:$D$504,$M56),IF($L56="U",INDEX('Dane rozpisek'!$A$2:$A$2600,$M56),IF($L56="T","KTO JEŹDZIŁ",IF($L56="E1","Brak zgłoszonych usterek w tym okresie.",IF($L56="E2","Brak wpisów z tym wózkiem w rozpiskach dla tego okresu.",IF($L56="H","Data",""))))))</f>
        <v/>
      </c>
      <c r="B56" s="48">
        <f>IF($L56="D",INDEX('Zgłoszenia'!$B$5:$B$504,$M56)&amp;"",IF($L56="U",INDEX('Dane rozpisek'!$F$2:$F$2600,$M56)&amp;"",IF($L56="H","Wózek","")))</f>
        <v/>
      </c>
      <c r="C56" s="48">
        <f>IF($L56="D",INDEX('Zgłoszenia'!$E$5:$E$504,$M56)&amp;"",IF($L56="U",INDEX('Dane rozpisek'!$B$2:$B$2600,$M56)&amp;" · "&amp;INDEX('Dane rozpisek'!$J$2:$J$2600,$M56),IF($L56="H","Zmiana","")))</f>
        <v/>
      </c>
      <c r="D56" s="49">
        <f>IF($L56="D",INDEX('Zgłoszenia'!$H$5:$H$504,$M56)&amp;"",IF($L56="U",INDEX('Dane rozpisek'!$E$2:$E$2600,$M56)&amp;"",IF($L56="H","Operator","")))</f>
        <v/>
      </c>
      <c r="E56" s="49">
        <f>IF($L56="D",INDEX('Zgłoszenia'!$I$5:$I$504,$M56)&amp;"",IF($L56="U",INDEX('Dane rozpisek'!$C$2:$C$2600,$M56)&amp;"",IF($L56="H","Stanowisko","")))</f>
        <v/>
      </c>
      <c r="F56" s="48">
        <f>IF($L56="D",INDEX('Zgłoszenia'!$J$5:$J$504,$M56)&amp;"",IF($L56="U",INDEX('Dane rozpisek'!$G$2:$G$2600,$M56)&amp;"",IF($L56="H","Uwagi","")))</f>
        <v/>
      </c>
      <c r="G56" s="49">
        <f>IF($L56="D",INDEX('Zgłoszenia'!$F$5:$F$504,$M56)&amp;"",IF($L56="U",INDEX('Dane rozpisek'!$L$2:$L$2600,$M56)&amp;"",IF($L56="H","Usterki (dzień / następny)","")))</f>
        <v/>
      </c>
      <c r="H56" s="49">
        <f>IF($L56="D",INDEX('Zgłoszenia'!$P$5:$P$504,$M56)&amp;"",IF($L56="U","",""))</f>
        <v/>
      </c>
      <c r="I56" s="48">
        <f>IF($L56="D",IF(INDEX('Zgłoszenia'!$M$5:$M$504,$M56)="","Zgłoszona",INDEX('Zgłoszenia'!$M$5:$M$504,$M56)),IF($L56="U","",""))</f>
        <v/>
      </c>
      <c r="J56" s="49">
        <f>IF($L56="D",INDEX('Zgłoszenia'!$K$5:$K$504,$M56)&amp;"",IF($L56="U","",""))</f>
        <v/>
      </c>
      <c r="K56" s="2" t="n"/>
      <c r="L56" s="2">
        <f>IF((ROW()-12)&lt;=$L$5,IF($L$2=0,"E1","D"),IF((ROW()-12)=$L$5+1,"",IF((ROW()-12)=$L$5+2,"T",IF((ROW()-12)=$L$5+3,IF($L$3=0,"E2","H"),IF((ROW()-12)&lt;=$L$5+3+$L$3,"U","")))))</f>
        <v/>
      </c>
      <c r="M56" s="2">
        <f>IF(L56="D",MATCH(LARGE('Zgłoszenia'!$Q$5:$Q$504,(ROW()-12)),'Zgłoszenia'!$Q$5:$Q$504,0),IF(L56="U",MATCH(LARGE('Dane rozpisek'!$I$2:$I$2600,(ROW()-12)-$L$5-3),'Dane rozpisek'!$I$2:$I$2600,0),""))</f>
        <v/>
      </c>
    </row>
    <row r="57">
      <c r="A57" s="47">
        <f>IF($L57="D",INDEX('Zgłoszenia'!$D$5:$D$504,$M57),IF($L57="U",INDEX('Dane rozpisek'!$A$2:$A$2600,$M57),IF($L57="T","KTO JEŹDZIŁ",IF($L57="E1","Brak zgłoszonych usterek w tym okresie.",IF($L57="E2","Brak wpisów z tym wózkiem w rozpiskach dla tego okresu.",IF($L57="H","Data",""))))))</f>
        <v/>
      </c>
      <c r="B57" s="48">
        <f>IF($L57="D",INDEX('Zgłoszenia'!$B$5:$B$504,$M57)&amp;"",IF($L57="U",INDEX('Dane rozpisek'!$F$2:$F$2600,$M57)&amp;"",IF($L57="H","Wózek","")))</f>
        <v/>
      </c>
      <c r="C57" s="48">
        <f>IF($L57="D",INDEX('Zgłoszenia'!$E$5:$E$504,$M57)&amp;"",IF($L57="U",INDEX('Dane rozpisek'!$B$2:$B$2600,$M57)&amp;" · "&amp;INDEX('Dane rozpisek'!$J$2:$J$2600,$M57),IF($L57="H","Zmiana","")))</f>
        <v/>
      </c>
      <c r="D57" s="49">
        <f>IF($L57="D",INDEX('Zgłoszenia'!$H$5:$H$504,$M57)&amp;"",IF($L57="U",INDEX('Dane rozpisek'!$E$2:$E$2600,$M57)&amp;"",IF($L57="H","Operator","")))</f>
        <v/>
      </c>
      <c r="E57" s="49">
        <f>IF($L57="D",INDEX('Zgłoszenia'!$I$5:$I$504,$M57)&amp;"",IF($L57="U",INDEX('Dane rozpisek'!$C$2:$C$2600,$M57)&amp;"",IF($L57="H","Stanowisko","")))</f>
        <v/>
      </c>
      <c r="F57" s="48">
        <f>IF($L57="D",INDEX('Zgłoszenia'!$J$5:$J$504,$M57)&amp;"",IF($L57="U",INDEX('Dane rozpisek'!$G$2:$G$2600,$M57)&amp;"",IF($L57="H","Uwagi","")))</f>
        <v/>
      </c>
      <c r="G57" s="49">
        <f>IF($L57="D",INDEX('Zgłoszenia'!$F$5:$F$504,$M57)&amp;"",IF($L57="U",INDEX('Dane rozpisek'!$L$2:$L$2600,$M57)&amp;"",IF($L57="H","Usterki (dzień / następny)","")))</f>
        <v/>
      </c>
      <c r="H57" s="49">
        <f>IF($L57="D",INDEX('Zgłoszenia'!$P$5:$P$504,$M57)&amp;"",IF($L57="U","",""))</f>
        <v/>
      </c>
      <c r="I57" s="48">
        <f>IF($L57="D",IF(INDEX('Zgłoszenia'!$M$5:$M$504,$M57)="","Zgłoszona",INDEX('Zgłoszenia'!$M$5:$M$504,$M57)),IF($L57="U","",""))</f>
        <v/>
      </c>
      <c r="J57" s="49">
        <f>IF($L57="D",INDEX('Zgłoszenia'!$K$5:$K$504,$M57)&amp;"",IF($L57="U","",""))</f>
        <v/>
      </c>
      <c r="K57" s="2" t="n"/>
      <c r="L57" s="2">
        <f>IF((ROW()-12)&lt;=$L$5,IF($L$2=0,"E1","D"),IF((ROW()-12)=$L$5+1,"",IF((ROW()-12)=$L$5+2,"T",IF((ROW()-12)=$L$5+3,IF($L$3=0,"E2","H"),IF((ROW()-12)&lt;=$L$5+3+$L$3,"U","")))))</f>
        <v/>
      </c>
      <c r="M57" s="2">
        <f>IF(L57="D",MATCH(LARGE('Zgłoszenia'!$Q$5:$Q$504,(ROW()-12)),'Zgłoszenia'!$Q$5:$Q$504,0),IF(L57="U",MATCH(LARGE('Dane rozpisek'!$I$2:$I$2600,(ROW()-12)-$L$5-3),'Dane rozpisek'!$I$2:$I$2600,0),""))</f>
        <v/>
      </c>
    </row>
    <row r="58">
      <c r="A58" s="47">
        <f>IF($L58="D",INDEX('Zgłoszenia'!$D$5:$D$504,$M58),IF($L58="U",INDEX('Dane rozpisek'!$A$2:$A$2600,$M58),IF($L58="T","KTO JEŹDZIŁ",IF($L58="E1","Brak zgłoszonych usterek w tym okresie.",IF($L58="E2","Brak wpisów z tym wózkiem w rozpiskach dla tego okresu.",IF($L58="H","Data",""))))))</f>
        <v/>
      </c>
      <c r="B58" s="48">
        <f>IF($L58="D",INDEX('Zgłoszenia'!$B$5:$B$504,$M58)&amp;"",IF($L58="U",INDEX('Dane rozpisek'!$F$2:$F$2600,$M58)&amp;"",IF($L58="H","Wózek","")))</f>
        <v/>
      </c>
      <c r="C58" s="48">
        <f>IF($L58="D",INDEX('Zgłoszenia'!$E$5:$E$504,$M58)&amp;"",IF($L58="U",INDEX('Dane rozpisek'!$B$2:$B$2600,$M58)&amp;" · "&amp;INDEX('Dane rozpisek'!$J$2:$J$2600,$M58),IF($L58="H","Zmiana","")))</f>
        <v/>
      </c>
      <c r="D58" s="49">
        <f>IF($L58="D",INDEX('Zgłoszenia'!$H$5:$H$504,$M58)&amp;"",IF($L58="U",INDEX('Dane rozpisek'!$E$2:$E$2600,$M58)&amp;"",IF($L58="H","Operator","")))</f>
        <v/>
      </c>
      <c r="E58" s="49">
        <f>IF($L58="D",INDEX('Zgłoszenia'!$I$5:$I$504,$M58)&amp;"",IF($L58="U",INDEX('Dane rozpisek'!$C$2:$C$2600,$M58)&amp;"",IF($L58="H","Stanowisko","")))</f>
        <v/>
      </c>
      <c r="F58" s="48">
        <f>IF($L58="D",INDEX('Zgłoszenia'!$J$5:$J$504,$M58)&amp;"",IF($L58="U",INDEX('Dane rozpisek'!$G$2:$G$2600,$M58)&amp;"",IF($L58="H","Uwagi","")))</f>
        <v/>
      </c>
      <c r="G58" s="49">
        <f>IF($L58="D",INDEX('Zgłoszenia'!$F$5:$F$504,$M58)&amp;"",IF($L58="U",INDEX('Dane rozpisek'!$L$2:$L$2600,$M58)&amp;"",IF($L58="H","Usterki (dzień / następny)","")))</f>
        <v/>
      </c>
      <c r="H58" s="49">
        <f>IF($L58="D",INDEX('Zgłoszenia'!$P$5:$P$504,$M58)&amp;"",IF($L58="U","",""))</f>
        <v/>
      </c>
      <c r="I58" s="48">
        <f>IF($L58="D",IF(INDEX('Zgłoszenia'!$M$5:$M$504,$M58)="","Zgłoszona",INDEX('Zgłoszenia'!$M$5:$M$504,$M58)),IF($L58="U","",""))</f>
        <v/>
      </c>
      <c r="J58" s="49">
        <f>IF($L58="D",INDEX('Zgłoszenia'!$K$5:$K$504,$M58)&amp;"",IF($L58="U","",""))</f>
        <v/>
      </c>
      <c r="K58" s="2" t="n"/>
      <c r="L58" s="2">
        <f>IF((ROW()-12)&lt;=$L$5,IF($L$2=0,"E1","D"),IF((ROW()-12)=$L$5+1,"",IF((ROW()-12)=$L$5+2,"T",IF((ROW()-12)=$L$5+3,IF($L$3=0,"E2","H"),IF((ROW()-12)&lt;=$L$5+3+$L$3,"U","")))))</f>
        <v/>
      </c>
      <c r="M58" s="2">
        <f>IF(L58="D",MATCH(LARGE('Zgłoszenia'!$Q$5:$Q$504,(ROW()-12)),'Zgłoszenia'!$Q$5:$Q$504,0),IF(L58="U",MATCH(LARGE('Dane rozpisek'!$I$2:$I$2600,(ROW()-12)-$L$5-3),'Dane rozpisek'!$I$2:$I$2600,0),""))</f>
        <v/>
      </c>
    </row>
    <row r="59">
      <c r="A59" s="47">
        <f>IF($L59="D",INDEX('Zgłoszenia'!$D$5:$D$504,$M59),IF($L59="U",INDEX('Dane rozpisek'!$A$2:$A$2600,$M59),IF($L59="T","KTO JEŹDZIŁ",IF($L59="E1","Brak zgłoszonych usterek w tym okresie.",IF($L59="E2","Brak wpisów z tym wózkiem w rozpiskach dla tego okresu.",IF($L59="H","Data",""))))))</f>
        <v/>
      </c>
      <c r="B59" s="48">
        <f>IF($L59="D",INDEX('Zgłoszenia'!$B$5:$B$504,$M59)&amp;"",IF($L59="U",INDEX('Dane rozpisek'!$F$2:$F$2600,$M59)&amp;"",IF($L59="H","Wózek","")))</f>
        <v/>
      </c>
      <c r="C59" s="48">
        <f>IF($L59="D",INDEX('Zgłoszenia'!$E$5:$E$504,$M59)&amp;"",IF($L59="U",INDEX('Dane rozpisek'!$B$2:$B$2600,$M59)&amp;" · "&amp;INDEX('Dane rozpisek'!$J$2:$J$2600,$M59),IF($L59="H","Zmiana","")))</f>
        <v/>
      </c>
      <c r="D59" s="49">
        <f>IF($L59="D",INDEX('Zgłoszenia'!$H$5:$H$504,$M59)&amp;"",IF($L59="U",INDEX('Dane rozpisek'!$E$2:$E$2600,$M59)&amp;"",IF($L59="H","Operator","")))</f>
        <v/>
      </c>
      <c r="E59" s="49">
        <f>IF($L59="D",INDEX('Zgłoszenia'!$I$5:$I$504,$M59)&amp;"",IF($L59="U",INDEX('Dane rozpisek'!$C$2:$C$2600,$M59)&amp;"",IF($L59="H","Stanowisko","")))</f>
        <v/>
      </c>
      <c r="F59" s="48">
        <f>IF($L59="D",INDEX('Zgłoszenia'!$J$5:$J$504,$M59)&amp;"",IF($L59="U",INDEX('Dane rozpisek'!$G$2:$G$2600,$M59)&amp;"",IF($L59="H","Uwagi","")))</f>
        <v/>
      </c>
      <c r="G59" s="49">
        <f>IF($L59="D",INDEX('Zgłoszenia'!$F$5:$F$504,$M59)&amp;"",IF($L59="U",INDEX('Dane rozpisek'!$L$2:$L$2600,$M59)&amp;"",IF($L59="H","Usterki (dzień / następny)","")))</f>
        <v/>
      </c>
      <c r="H59" s="49">
        <f>IF($L59="D",INDEX('Zgłoszenia'!$P$5:$P$504,$M59)&amp;"",IF($L59="U","",""))</f>
        <v/>
      </c>
      <c r="I59" s="48">
        <f>IF($L59="D",IF(INDEX('Zgłoszenia'!$M$5:$M$504,$M59)="","Zgłoszona",INDEX('Zgłoszenia'!$M$5:$M$504,$M59)),IF($L59="U","",""))</f>
        <v/>
      </c>
      <c r="J59" s="49">
        <f>IF($L59="D",INDEX('Zgłoszenia'!$K$5:$K$504,$M59)&amp;"",IF($L59="U","",""))</f>
        <v/>
      </c>
      <c r="K59" s="2" t="n"/>
      <c r="L59" s="2">
        <f>IF((ROW()-12)&lt;=$L$5,IF($L$2=0,"E1","D"),IF((ROW()-12)=$L$5+1,"",IF((ROW()-12)=$L$5+2,"T",IF((ROW()-12)=$L$5+3,IF($L$3=0,"E2","H"),IF((ROW()-12)&lt;=$L$5+3+$L$3,"U","")))))</f>
        <v/>
      </c>
      <c r="M59" s="2">
        <f>IF(L59="D",MATCH(LARGE('Zgłoszenia'!$Q$5:$Q$504,(ROW()-12)),'Zgłoszenia'!$Q$5:$Q$504,0),IF(L59="U",MATCH(LARGE('Dane rozpisek'!$I$2:$I$2600,(ROW()-12)-$L$5-3),'Dane rozpisek'!$I$2:$I$2600,0),""))</f>
        <v/>
      </c>
    </row>
    <row r="60">
      <c r="A60" s="47">
        <f>IF($L60="D",INDEX('Zgłoszenia'!$D$5:$D$504,$M60),IF($L60="U",INDEX('Dane rozpisek'!$A$2:$A$2600,$M60),IF($L60="T","KTO JEŹDZIŁ",IF($L60="E1","Brak zgłoszonych usterek w tym okresie.",IF($L60="E2","Brak wpisów z tym wózkiem w rozpiskach dla tego okresu.",IF($L60="H","Data",""))))))</f>
        <v/>
      </c>
      <c r="B60" s="48">
        <f>IF($L60="D",INDEX('Zgłoszenia'!$B$5:$B$504,$M60)&amp;"",IF($L60="U",INDEX('Dane rozpisek'!$F$2:$F$2600,$M60)&amp;"",IF($L60="H","Wózek","")))</f>
        <v/>
      </c>
      <c r="C60" s="48">
        <f>IF($L60="D",INDEX('Zgłoszenia'!$E$5:$E$504,$M60)&amp;"",IF($L60="U",INDEX('Dane rozpisek'!$B$2:$B$2600,$M60)&amp;" · "&amp;INDEX('Dane rozpisek'!$J$2:$J$2600,$M60),IF($L60="H","Zmiana","")))</f>
        <v/>
      </c>
      <c r="D60" s="49">
        <f>IF($L60="D",INDEX('Zgłoszenia'!$H$5:$H$504,$M60)&amp;"",IF($L60="U",INDEX('Dane rozpisek'!$E$2:$E$2600,$M60)&amp;"",IF($L60="H","Operator","")))</f>
        <v/>
      </c>
      <c r="E60" s="49">
        <f>IF($L60="D",INDEX('Zgłoszenia'!$I$5:$I$504,$M60)&amp;"",IF($L60="U",INDEX('Dane rozpisek'!$C$2:$C$2600,$M60)&amp;"",IF($L60="H","Stanowisko","")))</f>
        <v/>
      </c>
      <c r="F60" s="48">
        <f>IF($L60="D",INDEX('Zgłoszenia'!$J$5:$J$504,$M60)&amp;"",IF($L60="U",INDEX('Dane rozpisek'!$G$2:$G$2600,$M60)&amp;"",IF($L60="H","Uwagi","")))</f>
        <v/>
      </c>
      <c r="G60" s="49">
        <f>IF($L60="D",INDEX('Zgłoszenia'!$F$5:$F$504,$M60)&amp;"",IF($L60="U",INDEX('Dane rozpisek'!$L$2:$L$2600,$M60)&amp;"",IF($L60="H","Usterki (dzień / następny)","")))</f>
        <v/>
      </c>
      <c r="H60" s="49">
        <f>IF($L60="D",INDEX('Zgłoszenia'!$P$5:$P$504,$M60)&amp;"",IF($L60="U","",""))</f>
        <v/>
      </c>
      <c r="I60" s="48">
        <f>IF($L60="D",IF(INDEX('Zgłoszenia'!$M$5:$M$504,$M60)="","Zgłoszona",INDEX('Zgłoszenia'!$M$5:$M$504,$M60)),IF($L60="U","",""))</f>
        <v/>
      </c>
      <c r="J60" s="49">
        <f>IF($L60="D",INDEX('Zgłoszenia'!$K$5:$K$504,$M60)&amp;"",IF($L60="U","",""))</f>
        <v/>
      </c>
      <c r="K60" s="2" t="n"/>
      <c r="L60" s="2">
        <f>IF((ROW()-12)&lt;=$L$5,IF($L$2=0,"E1","D"),IF((ROW()-12)=$L$5+1,"",IF((ROW()-12)=$L$5+2,"T",IF((ROW()-12)=$L$5+3,IF($L$3=0,"E2","H"),IF((ROW()-12)&lt;=$L$5+3+$L$3,"U","")))))</f>
        <v/>
      </c>
      <c r="M60" s="2">
        <f>IF(L60="D",MATCH(LARGE('Zgłoszenia'!$Q$5:$Q$504,(ROW()-12)),'Zgłoszenia'!$Q$5:$Q$504,0),IF(L60="U",MATCH(LARGE('Dane rozpisek'!$I$2:$I$2600,(ROW()-12)-$L$5-3),'Dane rozpisek'!$I$2:$I$2600,0),""))</f>
        <v/>
      </c>
    </row>
    <row r="61">
      <c r="A61" s="47">
        <f>IF($L61="D",INDEX('Zgłoszenia'!$D$5:$D$504,$M61),IF($L61="U",INDEX('Dane rozpisek'!$A$2:$A$2600,$M61),IF($L61="T","KTO JEŹDZIŁ",IF($L61="E1","Brak zgłoszonych usterek w tym okresie.",IF($L61="E2","Brak wpisów z tym wózkiem w rozpiskach dla tego okresu.",IF($L61="H","Data",""))))))</f>
        <v/>
      </c>
      <c r="B61" s="48">
        <f>IF($L61="D",INDEX('Zgłoszenia'!$B$5:$B$504,$M61)&amp;"",IF($L61="U",INDEX('Dane rozpisek'!$F$2:$F$2600,$M61)&amp;"",IF($L61="H","Wózek","")))</f>
        <v/>
      </c>
      <c r="C61" s="48">
        <f>IF($L61="D",INDEX('Zgłoszenia'!$E$5:$E$504,$M61)&amp;"",IF($L61="U",INDEX('Dane rozpisek'!$B$2:$B$2600,$M61)&amp;" · "&amp;INDEX('Dane rozpisek'!$J$2:$J$2600,$M61),IF($L61="H","Zmiana","")))</f>
        <v/>
      </c>
      <c r="D61" s="49">
        <f>IF($L61="D",INDEX('Zgłoszenia'!$H$5:$H$504,$M61)&amp;"",IF($L61="U",INDEX('Dane rozpisek'!$E$2:$E$2600,$M61)&amp;"",IF($L61="H","Operator","")))</f>
        <v/>
      </c>
      <c r="E61" s="49">
        <f>IF($L61="D",INDEX('Zgłoszenia'!$I$5:$I$504,$M61)&amp;"",IF($L61="U",INDEX('Dane rozpisek'!$C$2:$C$2600,$M61)&amp;"",IF($L61="H","Stanowisko","")))</f>
        <v/>
      </c>
      <c r="F61" s="48">
        <f>IF($L61="D",INDEX('Zgłoszenia'!$J$5:$J$504,$M61)&amp;"",IF($L61="U",INDEX('Dane rozpisek'!$G$2:$G$2600,$M61)&amp;"",IF($L61="H","Uwagi","")))</f>
        <v/>
      </c>
      <c r="G61" s="49">
        <f>IF($L61="D",INDEX('Zgłoszenia'!$F$5:$F$504,$M61)&amp;"",IF($L61="U",INDEX('Dane rozpisek'!$L$2:$L$2600,$M61)&amp;"",IF($L61="H","Usterki (dzień / następny)","")))</f>
        <v/>
      </c>
      <c r="H61" s="49">
        <f>IF($L61="D",INDEX('Zgłoszenia'!$P$5:$P$504,$M61)&amp;"",IF($L61="U","",""))</f>
        <v/>
      </c>
      <c r="I61" s="48">
        <f>IF($L61="D",IF(INDEX('Zgłoszenia'!$M$5:$M$504,$M61)="","Zgłoszona",INDEX('Zgłoszenia'!$M$5:$M$504,$M61)),IF($L61="U","",""))</f>
        <v/>
      </c>
      <c r="J61" s="49">
        <f>IF($L61="D",INDEX('Zgłoszenia'!$K$5:$K$504,$M61)&amp;"",IF($L61="U","",""))</f>
        <v/>
      </c>
      <c r="K61" s="2" t="n"/>
      <c r="L61" s="2">
        <f>IF((ROW()-12)&lt;=$L$5,IF($L$2=0,"E1","D"),IF((ROW()-12)=$L$5+1,"",IF((ROW()-12)=$L$5+2,"T",IF((ROW()-12)=$L$5+3,IF($L$3=0,"E2","H"),IF((ROW()-12)&lt;=$L$5+3+$L$3,"U","")))))</f>
        <v/>
      </c>
      <c r="M61" s="2">
        <f>IF(L61="D",MATCH(LARGE('Zgłoszenia'!$Q$5:$Q$504,(ROW()-12)),'Zgłoszenia'!$Q$5:$Q$504,0),IF(L61="U",MATCH(LARGE('Dane rozpisek'!$I$2:$I$2600,(ROW()-12)-$L$5-3),'Dane rozpisek'!$I$2:$I$2600,0),""))</f>
        <v/>
      </c>
    </row>
    <row r="62">
      <c r="A62" s="47">
        <f>IF($L62="D",INDEX('Zgłoszenia'!$D$5:$D$504,$M62),IF($L62="U",INDEX('Dane rozpisek'!$A$2:$A$2600,$M62),IF($L62="T","KTO JEŹDZIŁ",IF($L62="E1","Brak zgłoszonych usterek w tym okresie.",IF($L62="E2","Brak wpisów z tym wózkiem w rozpiskach dla tego okresu.",IF($L62="H","Data",""))))))</f>
        <v/>
      </c>
      <c r="B62" s="48">
        <f>IF($L62="D",INDEX('Zgłoszenia'!$B$5:$B$504,$M62)&amp;"",IF($L62="U",INDEX('Dane rozpisek'!$F$2:$F$2600,$M62)&amp;"",IF($L62="H","Wózek","")))</f>
        <v/>
      </c>
      <c r="C62" s="48">
        <f>IF($L62="D",INDEX('Zgłoszenia'!$E$5:$E$504,$M62)&amp;"",IF($L62="U",INDEX('Dane rozpisek'!$B$2:$B$2600,$M62)&amp;" · "&amp;INDEX('Dane rozpisek'!$J$2:$J$2600,$M62),IF($L62="H","Zmiana","")))</f>
        <v/>
      </c>
      <c r="D62" s="49">
        <f>IF($L62="D",INDEX('Zgłoszenia'!$H$5:$H$504,$M62)&amp;"",IF($L62="U",INDEX('Dane rozpisek'!$E$2:$E$2600,$M62)&amp;"",IF($L62="H","Operator","")))</f>
        <v/>
      </c>
      <c r="E62" s="49">
        <f>IF($L62="D",INDEX('Zgłoszenia'!$I$5:$I$504,$M62)&amp;"",IF($L62="U",INDEX('Dane rozpisek'!$C$2:$C$2600,$M62)&amp;"",IF($L62="H","Stanowisko","")))</f>
        <v/>
      </c>
      <c r="F62" s="48">
        <f>IF($L62="D",INDEX('Zgłoszenia'!$J$5:$J$504,$M62)&amp;"",IF($L62="U",INDEX('Dane rozpisek'!$G$2:$G$2600,$M62)&amp;"",IF($L62="H","Uwagi","")))</f>
        <v/>
      </c>
      <c r="G62" s="49">
        <f>IF($L62="D",INDEX('Zgłoszenia'!$F$5:$F$504,$M62)&amp;"",IF($L62="U",INDEX('Dane rozpisek'!$L$2:$L$2600,$M62)&amp;"",IF($L62="H","Usterki (dzień / następny)","")))</f>
        <v/>
      </c>
      <c r="H62" s="49">
        <f>IF($L62="D",INDEX('Zgłoszenia'!$P$5:$P$504,$M62)&amp;"",IF($L62="U","",""))</f>
        <v/>
      </c>
      <c r="I62" s="48">
        <f>IF($L62="D",IF(INDEX('Zgłoszenia'!$M$5:$M$504,$M62)="","Zgłoszona",INDEX('Zgłoszenia'!$M$5:$M$504,$M62)),IF($L62="U","",""))</f>
        <v/>
      </c>
      <c r="J62" s="49">
        <f>IF($L62="D",INDEX('Zgłoszenia'!$K$5:$K$504,$M62)&amp;"",IF($L62="U","",""))</f>
        <v/>
      </c>
      <c r="K62" s="2" t="n"/>
      <c r="L62" s="2">
        <f>IF((ROW()-12)&lt;=$L$5,IF($L$2=0,"E1","D"),IF((ROW()-12)=$L$5+1,"",IF((ROW()-12)=$L$5+2,"T",IF((ROW()-12)=$L$5+3,IF($L$3=0,"E2","H"),IF((ROW()-12)&lt;=$L$5+3+$L$3,"U","")))))</f>
        <v/>
      </c>
      <c r="M62" s="2">
        <f>IF(L62="D",MATCH(LARGE('Zgłoszenia'!$Q$5:$Q$504,(ROW()-12)),'Zgłoszenia'!$Q$5:$Q$504,0),IF(L62="U",MATCH(LARGE('Dane rozpisek'!$I$2:$I$2600,(ROW()-12)-$L$5-3),'Dane rozpisek'!$I$2:$I$2600,0),""))</f>
        <v/>
      </c>
    </row>
    <row r="63">
      <c r="A63" s="47">
        <f>IF($L63="D",INDEX('Zgłoszenia'!$D$5:$D$504,$M63),IF($L63="U",INDEX('Dane rozpisek'!$A$2:$A$2600,$M63),IF($L63="T","KTO JEŹDZIŁ",IF($L63="E1","Brak zgłoszonych usterek w tym okresie.",IF($L63="E2","Brak wpisów z tym wózkiem w rozpiskach dla tego okresu.",IF($L63="H","Data",""))))))</f>
        <v/>
      </c>
      <c r="B63" s="48">
        <f>IF($L63="D",INDEX('Zgłoszenia'!$B$5:$B$504,$M63)&amp;"",IF($L63="U",INDEX('Dane rozpisek'!$F$2:$F$2600,$M63)&amp;"",IF($L63="H","Wózek","")))</f>
        <v/>
      </c>
      <c r="C63" s="48">
        <f>IF($L63="D",INDEX('Zgłoszenia'!$E$5:$E$504,$M63)&amp;"",IF($L63="U",INDEX('Dane rozpisek'!$B$2:$B$2600,$M63)&amp;" · "&amp;INDEX('Dane rozpisek'!$J$2:$J$2600,$M63),IF($L63="H","Zmiana","")))</f>
        <v/>
      </c>
      <c r="D63" s="49">
        <f>IF($L63="D",INDEX('Zgłoszenia'!$H$5:$H$504,$M63)&amp;"",IF($L63="U",INDEX('Dane rozpisek'!$E$2:$E$2600,$M63)&amp;"",IF($L63="H","Operator","")))</f>
        <v/>
      </c>
      <c r="E63" s="49">
        <f>IF($L63="D",INDEX('Zgłoszenia'!$I$5:$I$504,$M63)&amp;"",IF($L63="U",INDEX('Dane rozpisek'!$C$2:$C$2600,$M63)&amp;"",IF($L63="H","Stanowisko","")))</f>
        <v/>
      </c>
      <c r="F63" s="48">
        <f>IF($L63="D",INDEX('Zgłoszenia'!$J$5:$J$504,$M63)&amp;"",IF($L63="U",INDEX('Dane rozpisek'!$G$2:$G$2600,$M63)&amp;"",IF($L63="H","Uwagi","")))</f>
        <v/>
      </c>
      <c r="G63" s="49">
        <f>IF($L63="D",INDEX('Zgłoszenia'!$F$5:$F$504,$M63)&amp;"",IF($L63="U",INDEX('Dane rozpisek'!$L$2:$L$2600,$M63)&amp;"",IF($L63="H","Usterki (dzień / następny)","")))</f>
        <v/>
      </c>
      <c r="H63" s="49">
        <f>IF($L63="D",INDEX('Zgłoszenia'!$P$5:$P$504,$M63)&amp;"",IF($L63="U","",""))</f>
        <v/>
      </c>
      <c r="I63" s="48">
        <f>IF($L63="D",IF(INDEX('Zgłoszenia'!$M$5:$M$504,$M63)="","Zgłoszona",INDEX('Zgłoszenia'!$M$5:$M$504,$M63)),IF($L63="U","",""))</f>
        <v/>
      </c>
      <c r="J63" s="49">
        <f>IF($L63="D",INDEX('Zgłoszenia'!$K$5:$K$504,$M63)&amp;"",IF($L63="U","",""))</f>
        <v/>
      </c>
      <c r="K63" s="2" t="n"/>
      <c r="L63" s="2">
        <f>IF((ROW()-12)&lt;=$L$5,IF($L$2=0,"E1","D"),IF((ROW()-12)=$L$5+1,"",IF((ROW()-12)=$L$5+2,"T",IF((ROW()-12)=$L$5+3,IF($L$3=0,"E2","H"),IF((ROW()-12)&lt;=$L$5+3+$L$3,"U","")))))</f>
        <v/>
      </c>
      <c r="M63" s="2">
        <f>IF(L63="D",MATCH(LARGE('Zgłoszenia'!$Q$5:$Q$504,(ROW()-12)),'Zgłoszenia'!$Q$5:$Q$504,0),IF(L63="U",MATCH(LARGE('Dane rozpisek'!$I$2:$I$2600,(ROW()-12)-$L$5-3),'Dane rozpisek'!$I$2:$I$2600,0),""))</f>
        <v/>
      </c>
    </row>
    <row r="64">
      <c r="A64" s="47">
        <f>IF($L64="D",INDEX('Zgłoszenia'!$D$5:$D$504,$M64),IF($L64="U",INDEX('Dane rozpisek'!$A$2:$A$2600,$M64),IF($L64="T","KTO JEŹDZIŁ",IF($L64="E1","Brak zgłoszonych usterek w tym okresie.",IF($L64="E2","Brak wpisów z tym wózkiem w rozpiskach dla tego okresu.",IF($L64="H","Data",""))))))</f>
        <v/>
      </c>
      <c r="B64" s="48">
        <f>IF($L64="D",INDEX('Zgłoszenia'!$B$5:$B$504,$M64)&amp;"",IF($L64="U",INDEX('Dane rozpisek'!$F$2:$F$2600,$M64)&amp;"",IF($L64="H","Wózek","")))</f>
        <v/>
      </c>
      <c r="C64" s="48">
        <f>IF($L64="D",INDEX('Zgłoszenia'!$E$5:$E$504,$M64)&amp;"",IF($L64="U",INDEX('Dane rozpisek'!$B$2:$B$2600,$M64)&amp;" · "&amp;INDEX('Dane rozpisek'!$J$2:$J$2600,$M64),IF($L64="H","Zmiana","")))</f>
        <v/>
      </c>
      <c r="D64" s="49">
        <f>IF($L64="D",INDEX('Zgłoszenia'!$H$5:$H$504,$M64)&amp;"",IF($L64="U",INDEX('Dane rozpisek'!$E$2:$E$2600,$M64)&amp;"",IF($L64="H","Operator","")))</f>
        <v/>
      </c>
      <c r="E64" s="49">
        <f>IF($L64="D",INDEX('Zgłoszenia'!$I$5:$I$504,$M64)&amp;"",IF($L64="U",INDEX('Dane rozpisek'!$C$2:$C$2600,$M64)&amp;"",IF($L64="H","Stanowisko","")))</f>
        <v/>
      </c>
      <c r="F64" s="48">
        <f>IF($L64="D",INDEX('Zgłoszenia'!$J$5:$J$504,$M64)&amp;"",IF($L64="U",INDEX('Dane rozpisek'!$G$2:$G$2600,$M64)&amp;"",IF($L64="H","Uwagi","")))</f>
        <v/>
      </c>
      <c r="G64" s="49">
        <f>IF($L64="D",INDEX('Zgłoszenia'!$F$5:$F$504,$M64)&amp;"",IF($L64="U",INDEX('Dane rozpisek'!$L$2:$L$2600,$M64)&amp;"",IF($L64="H","Usterki (dzień / następny)","")))</f>
        <v/>
      </c>
      <c r="H64" s="49">
        <f>IF($L64="D",INDEX('Zgłoszenia'!$P$5:$P$504,$M64)&amp;"",IF($L64="U","",""))</f>
        <v/>
      </c>
      <c r="I64" s="48">
        <f>IF($L64="D",IF(INDEX('Zgłoszenia'!$M$5:$M$504,$M64)="","Zgłoszona",INDEX('Zgłoszenia'!$M$5:$M$504,$M64)),IF($L64="U","",""))</f>
        <v/>
      </c>
      <c r="J64" s="49">
        <f>IF($L64="D",INDEX('Zgłoszenia'!$K$5:$K$504,$M64)&amp;"",IF($L64="U","",""))</f>
        <v/>
      </c>
      <c r="K64" s="2" t="n"/>
      <c r="L64" s="2">
        <f>IF((ROW()-12)&lt;=$L$5,IF($L$2=0,"E1","D"),IF((ROW()-12)=$L$5+1,"",IF((ROW()-12)=$L$5+2,"T",IF((ROW()-12)=$L$5+3,IF($L$3=0,"E2","H"),IF((ROW()-12)&lt;=$L$5+3+$L$3,"U","")))))</f>
        <v/>
      </c>
      <c r="M64" s="2">
        <f>IF(L64="D",MATCH(LARGE('Zgłoszenia'!$Q$5:$Q$504,(ROW()-12)),'Zgłoszenia'!$Q$5:$Q$504,0),IF(L64="U",MATCH(LARGE('Dane rozpisek'!$I$2:$I$2600,(ROW()-12)-$L$5-3),'Dane rozpisek'!$I$2:$I$2600,0),""))</f>
        <v/>
      </c>
    </row>
    <row r="65">
      <c r="A65" s="47">
        <f>IF($L65="D",INDEX('Zgłoszenia'!$D$5:$D$504,$M65),IF($L65="U",INDEX('Dane rozpisek'!$A$2:$A$2600,$M65),IF($L65="T","KTO JEŹDZIŁ",IF($L65="E1","Brak zgłoszonych usterek w tym okresie.",IF($L65="E2","Brak wpisów z tym wózkiem w rozpiskach dla tego okresu.",IF($L65="H","Data",""))))))</f>
        <v/>
      </c>
      <c r="B65" s="48">
        <f>IF($L65="D",INDEX('Zgłoszenia'!$B$5:$B$504,$M65)&amp;"",IF($L65="U",INDEX('Dane rozpisek'!$F$2:$F$2600,$M65)&amp;"",IF($L65="H","Wózek","")))</f>
        <v/>
      </c>
      <c r="C65" s="48">
        <f>IF($L65="D",INDEX('Zgłoszenia'!$E$5:$E$504,$M65)&amp;"",IF($L65="U",INDEX('Dane rozpisek'!$B$2:$B$2600,$M65)&amp;" · "&amp;INDEX('Dane rozpisek'!$J$2:$J$2600,$M65),IF($L65="H","Zmiana","")))</f>
        <v/>
      </c>
      <c r="D65" s="49">
        <f>IF($L65="D",INDEX('Zgłoszenia'!$H$5:$H$504,$M65)&amp;"",IF($L65="U",INDEX('Dane rozpisek'!$E$2:$E$2600,$M65)&amp;"",IF($L65="H","Operator","")))</f>
        <v/>
      </c>
      <c r="E65" s="49">
        <f>IF($L65="D",INDEX('Zgłoszenia'!$I$5:$I$504,$M65)&amp;"",IF($L65="U",INDEX('Dane rozpisek'!$C$2:$C$2600,$M65)&amp;"",IF($L65="H","Stanowisko","")))</f>
        <v/>
      </c>
      <c r="F65" s="48">
        <f>IF($L65="D",INDEX('Zgłoszenia'!$J$5:$J$504,$M65)&amp;"",IF($L65="U",INDEX('Dane rozpisek'!$G$2:$G$2600,$M65)&amp;"",IF($L65="H","Uwagi","")))</f>
        <v/>
      </c>
      <c r="G65" s="49">
        <f>IF($L65="D",INDEX('Zgłoszenia'!$F$5:$F$504,$M65)&amp;"",IF($L65="U",INDEX('Dane rozpisek'!$L$2:$L$2600,$M65)&amp;"",IF($L65="H","Usterki (dzień / następny)","")))</f>
        <v/>
      </c>
      <c r="H65" s="49">
        <f>IF($L65="D",INDEX('Zgłoszenia'!$P$5:$P$504,$M65)&amp;"",IF($L65="U","",""))</f>
        <v/>
      </c>
      <c r="I65" s="48">
        <f>IF($L65="D",IF(INDEX('Zgłoszenia'!$M$5:$M$504,$M65)="","Zgłoszona",INDEX('Zgłoszenia'!$M$5:$M$504,$M65)),IF($L65="U","",""))</f>
        <v/>
      </c>
      <c r="J65" s="49">
        <f>IF($L65="D",INDEX('Zgłoszenia'!$K$5:$K$504,$M65)&amp;"",IF($L65="U","",""))</f>
        <v/>
      </c>
      <c r="K65" s="2" t="n"/>
      <c r="L65" s="2">
        <f>IF((ROW()-12)&lt;=$L$5,IF($L$2=0,"E1","D"),IF((ROW()-12)=$L$5+1,"",IF((ROW()-12)=$L$5+2,"T",IF((ROW()-12)=$L$5+3,IF($L$3=0,"E2","H"),IF((ROW()-12)&lt;=$L$5+3+$L$3,"U","")))))</f>
        <v/>
      </c>
      <c r="M65" s="2">
        <f>IF(L65="D",MATCH(LARGE('Zgłoszenia'!$Q$5:$Q$504,(ROW()-12)),'Zgłoszenia'!$Q$5:$Q$504,0),IF(L65="U",MATCH(LARGE('Dane rozpisek'!$I$2:$I$2600,(ROW()-12)-$L$5-3),'Dane rozpisek'!$I$2:$I$2600,0),""))</f>
        <v/>
      </c>
    </row>
    <row r="66">
      <c r="A66" s="47">
        <f>IF($L66="D",INDEX('Zgłoszenia'!$D$5:$D$504,$M66),IF($L66="U",INDEX('Dane rozpisek'!$A$2:$A$2600,$M66),IF($L66="T","KTO JEŹDZIŁ",IF($L66="E1","Brak zgłoszonych usterek w tym okresie.",IF($L66="E2","Brak wpisów z tym wózkiem w rozpiskach dla tego okresu.",IF($L66="H","Data",""))))))</f>
        <v/>
      </c>
      <c r="B66" s="48">
        <f>IF($L66="D",INDEX('Zgłoszenia'!$B$5:$B$504,$M66)&amp;"",IF($L66="U",INDEX('Dane rozpisek'!$F$2:$F$2600,$M66)&amp;"",IF($L66="H","Wózek","")))</f>
        <v/>
      </c>
      <c r="C66" s="48">
        <f>IF($L66="D",INDEX('Zgłoszenia'!$E$5:$E$504,$M66)&amp;"",IF($L66="U",INDEX('Dane rozpisek'!$B$2:$B$2600,$M66)&amp;" · "&amp;INDEX('Dane rozpisek'!$J$2:$J$2600,$M66),IF($L66="H","Zmiana","")))</f>
        <v/>
      </c>
      <c r="D66" s="49">
        <f>IF($L66="D",INDEX('Zgłoszenia'!$H$5:$H$504,$M66)&amp;"",IF($L66="U",INDEX('Dane rozpisek'!$E$2:$E$2600,$M66)&amp;"",IF($L66="H","Operator","")))</f>
        <v/>
      </c>
      <c r="E66" s="49">
        <f>IF($L66="D",INDEX('Zgłoszenia'!$I$5:$I$504,$M66)&amp;"",IF($L66="U",INDEX('Dane rozpisek'!$C$2:$C$2600,$M66)&amp;"",IF($L66="H","Stanowisko","")))</f>
        <v/>
      </c>
      <c r="F66" s="48">
        <f>IF($L66="D",INDEX('Zgłoszenia'!$J$5:$J$504,$M66)&amp;"",IF($L66="U",INDEX('Dane rozpisek'!$G$2:$G$2600,$M66)&amp;"",IF($L66="H","Uwagi","")))</f>
        <v/>
      </c>
      <c r="G66" s="49">
        <f>IF($L66="D",INDEX('Zgłoszenia'!$F$5:$F$504,$M66)&amp;"",IF($L66="U",INDEX('Dane rozpisek'!$L$2:$L$2600,$M66)&amp;"",IF($L66="H","Usterki (dzień / następny)","")))</f>
        <v/>
      </c>
      <c r="H66" s="49">
        <f>IF($L66="D",INDEX('Zgłoszenia'!$P$5:$P$504,$M66)&amp;"",IF($L66="U","",""))</f>
        <v/>
      </c>
      <c r="I66" s="48">
        <f>IF($L66="D",IF(INDEX('Zgłoszenia'!$M$5:$M$504,$M66)="","Zgłoszona",INDEX('Zgłoszenia'!$M$5:$M$504,$M66)),IF($L66="U","",""))</f>
        <v/>
      </c>
      <c r="J66" s="49">
        <f>IF($L66="D",INDEX('Zgłoszenia'!$K$5:$K$504,$M66)&amp;"",IF($L66="U","",""))</f>
        <v/>
      </c>
      <c r="K66" s="2" t="n"/>
      <c r="L66" s="2">
        <f>IF((ROW()-12)&lt;=$L$5,IF($L$2=0,"E1","D"),IF((ROW()-12)=$L$5+1,"",IF((ROW()-12)=$L$5+2,"T",IF((ROW()-12)=$L$5+3,IF($L$3=0,"E2","H"),IF((ROW()-12)&lt;=$L$5+3+$L$3,"U","")))))</f>
        <v/>
      </c>
      <c r="M66" s="2">
        <f>IF(L66="D",MATCH(LARGE('Zgłoszenia'!$Q$5:$Q$504,(ROW()-12)),'Zgłoszenia'!$Q$5:$Q$504,0),IF(L66="U",MATCH(LARGE('Dane rozpisek'!$I$2:$I$2600,(ROW()-12)-$L$5-3),'Dane rozpisek'!$I$2:$I$2600,0),""))</f>
        <v/>
      </c>
    </row>
    <row r="67">
      <c r="A67" s="47">
        <f>IF($L67="D",INDEX('Zgłoszenia'!$D$5:$D$504,$M67),IF($L67="U",INDEX('Dane rozpisek'!$A$2:$A$2600,$M67),IF($L67="T","KTO JEŹDZIŁ",IF($L67="E1","Brak zgłoszonych usterek w tym okresie.",IF($L67="E2","Brak wpisów z tym wózkiem w rozpiskach dla tego okresu.",IF($L67="H","Data",""))))))</f>
        <v/>
      </c>
      <c r="B67" s="48">
        <f>IF($L67="D",INDEX('Zgłoszenia'!$B$5:$B$504,$M67)&amp;"",IF($L67="U",INDEX('Dane rozpisek'!$F$2:$F$2600,$M67)&amp;"",IF($L67="H","Wózek","")))</f>
        <v/>
      </c>
      <c r="C67" s="48">
        <f>IF($L67="D",INDEX('Zgłoszenia'!$E$5:$E$504,$M67)&amp;"",IF($L67="U",INDEX('Dane rozpisek'!$B$2:$B$2600,$M67)&amp;" · "&amp;INDEX('Dane rozpisek'!$J$2:$J$2600,$M67),IF($L67="H","Zmiana","")))</f>
        <v/>
      </c>
      <c r="D67" s="49">
        <f>IF($L67="D",INDEX('Zgłoszenia'!$H$5:$H$504,$M67)&amp;"",IF($L67="U",INDEX('Dane rozpisek'!$E$2:$E$2600,$M67)&amp;"",IF($L67="H","Operator","")))</f>
        <v/>
      </c>
      <c r="E67" s="49">
        <f>IF($L67="D",INDEX('Zgłoszenia'!$I$5:$I$504,$M67)&amp;"",IF($L67="U",INDEX('Dane rozpisek'!$C$2:$C$2600,$M67)&amp;"",IF($L67="H","Stanowisko","")))</f>
        <v/>
      </c>
      <c r="F67" s="48">
        <f>IF($L67="D",INDEX('Zgłoszenia'!$J$5:$J$504,$M67)&amp;"",IF($L67="U",INDEX('Dane rozpisek'!$G$2:$G$2600,$M67)&amp;"",IF($L67="H","Uwagi","")))</f>
        <v/>
      </c>
      <c r="G67" s="49">
        <f>IF($L67="D",INDEX('Zgłoszenia'!$F$5:$F$504,$M67)&amp;"",IF($L67="U",INDEX('Dane rozpisek'!$L$2:$L$2600,$M67)&amp;"",IF($L67="H","Usterki (dzień / następny)","")))</f>
        <v/>
      </c>
      <c r="H67" s="49">
        <f>IF($L67="D",INDEX('Zgłoszenia'!$P$5:$P$504,$M67)&amp;"",IF($L67="U","",""))</f>
        <v/>
      </c>
      <c r="I67" s="48">
        <f>IF($L67="D",IF(INDEX('Zgłoszenia'!$M$5:$M$504,$M67)="","Zgłoszona",INDEX('Zgłoszenia'!$M$5:$M$504,$M67)),IF($L67="U","",""))</f>
        <v/>
      </c>
      <c r="J67" s="49">
        <f>IF($L67="D",INDEX('Zgłoszenia'!$K$5:$K$504,$M67)&amp;"",IF($L67="U","",""))</f>
        <v/>
      </c>
      <c r="K67" s="2" t="n"/>
      <c r="L67" s="2">
        <f>IF((ROW()-12)&lt;=$L$5,IF($L$2=0,"E1","D"),IF((ROW()-12)=$L$5+1,"",IF((ROW()-12)=$L$5+2,"T",IF((ROW()-12)=$L$5+3,IF($L$3=0,"E2","H"),IF((ROW()-12)&lt;=$L$5+3+$L$3,"U","")))))</f>
        <v/>
      </c>
      <c r="M67" s="2">
        <f>IF(L67="D",MATCH(LARGE('Zgłoszenia'!$Q$5:$Q$504,(ROW()-12)),'Zgłoszenia'!$Q$5:$Q$504,0),IF(L67="U",MATCH(LARGE('Dane rozpisek'!$I$2:$I$2600,(ROW()-12)-$L$5-3),'Dane rozpisek'!$I$2:$I$2600,0),""))</f>
        <v/>
      </c>
    </row>
    <row r="68">
      <c r="A68" s="47">
        <f>IF($L68="D",INDEX('Zgłoszenia'!$D$5:$D$504,$M68),IF($L68="U",INDEX('Dane rozpisek'!$A$2:$A$2600,$M68),IF($L68="T","KTO JEŹDZIŁ",IF($L68="E1","Brak zgłoszonych usterek w tym okresie.",IF($L68="E2","Brak wpisów z tym wózkiem w rozpiskach dla tego okresu.",IF($L68="H","Data",""))))))</f>
        <v/>
      </c>
      <c r="B68" s="48">
        <f>IF($L68="D",INDEX('Zgłoszenia'!$B$5:$B$504,$M68)&amp;"",IF($L68="U",INDEX('Dane rozpisek'!$F$2:$F$2600,$M68)&amp;"",IF($L68="H","Wózek","")))</f>
        <v/>
      </c>
      <c r="C68" s="48">
        <f>IF($L68="D",INDEX('Zgłoszenia'!$E$5:$E$504,$M68)&amp;"",IF($L68="U",INDEX('Dane rozpisek'!$B$2:$B$2600,$M68)&amp;" · "&amp;INDEX('Dane rozpisek'!$J$2:$J$2600,$M68),IF($L68="H","Zmiana","")))</f>
        <v/>
      </c>
      <c r="D68" s="49">
        <f>IF($L68="D",INDEX('Zgłoszenia'!$H$5:$H$504,$M68)&amp;"",IF($L68="U",INDEX('Dane rozpisek'!$E$2:$E$2600,$M68)&amp;"",IF($L68="H","Operator","")))</f>
        <v/>
      </c>
      <c r="E68" s="49">
        <f>IF($L68="D",INDEX('Zgłoszenia'!$I$5:$I$504,$M68)&amp;"",IF($L68="U",INDEX('Dane rozpisek'!$C$2:$C$2600,$M68)&amp;"",IF($L68="H","Stanowisko","")))</f>
        <v/>
      </c>
      <c r="F68" s="48">
        <f>IF($L68="D",INDEX('Zgłoszenia'!$J$5:$J$504,$M68)&amp;"",IF($L68="U",INDEX('Dane rozpisek'!$G$2:$G$2600,$M68)&amp;"",IF($L68="H","Uwagi","")))</f>
        <v/>
      </c>
      <c r="G68" s="49">
        <f>IF($L68="D",INDEX('Zgłoszenia'!$F$5:$F$504,$M68)&amp;"",IF($L68="U",INDEX('Dane rozpisek'!$L$2:$L$2600,$M68)&amp;"",IF($L68="H","Usterki (dzień / następny)","")))</f>
        <v/>
      </c>
      <c r="H68" s="49">
        <f>IF($L68="D",INDEX('Zgłoszenia'!$P$5:$P$504,$M68)&amp;"",IF($L68="U","",""))</f>
        <v/>
      </c>
      <c r="I68" s="48">
        <f>IF($L68="D",IF(INDEX('Zgłoszenia'!$M$5:$M$504,$M68)="","Zgłoszona",INDEX('Zgłoszenia'!$M$5:$M$504,$M68)),IF($L68="U","",""))</f>
        <v/>
      </c>
      <c r="J68" s="49">
        <f>IF($L68="D",INDEX('Zgłoszenia'!$K$5:$K$504,$M68)&amp;"",IF($L68="U","",""))</f>
        <v/>
      </c>
      <c r="K68" s="2" t="n"/>
      <c r="L68" s="2">
        <f>IF((ROW()-12)&lt;=$L$5,IF($L$2=0,"E1","D"),IF((ROW()-12)=$L$5+1,"",IF((ROW()-12)=$L$5+2,"T",IF((ROW()-12)=$L$5+3,IF($L$3=0,"E2","H"),IF((ROW()-12)&lt;=$L$5+3+$L$3,"U","")))))</f>
        <v/>
      </c>
      <c r="M68" s="2">
        <f>IF(L68="D",MATCH(LARGE('Zgłoszenia'!$Q$5:$Q$504,(ROW()-12)),'Zgłoszenia'!$Q$5:$Q$504,0),IF(L68="U",MATCH(LARGE('Dane rozpisek'!$I$2:$I$2600,(ROW()-12)-$L$5-3),'Dane rozpisek'!$I$2:$I$2600,0),""))</f>
        <v/>
      </c>
    </row>
    <row r="69">
      <c r="A69" s="47">
        <f>IF($L69="D",INDEX('Zgłoszenia'!$D$5:$D$504,$M69),IF($L69="U",INDEX('Dane rozpisek'!$A$2:$A$2600,$M69),IF($L69="T","KTO JEŹDZIŁ",IF($L69="E1","Brak zgłoszonych usterek w tym okresie.",IF($L69="E2","Brak wpisów z tym wózkiem w rozpiskach dla tego okresu.",IF($L69="H","Data",""))))))</f>
        <v/>
      </c>
      <c r="B69" s="48">
        <f>IF($L69="D",INDEX('Zgłoszenia'!$B$5:$B$504,$M69)&amp;"",IF($L69="U",INDEX('Dane rozpisek'!$F$2:$F$2600,$M69)&amp;"",IF($L69="H","Wózek","")))</f>
        <v/>
      </c>
      <c r="C69" s="48">
        <f>IF($L69="D",INDEX('Zgłoszenia'!$E$5:$E$504,$M69)&amp;"",IF($L69="U",INDEX('Dane rozpisek'!$B$2:$B$2600,$M69)&amp;" · "&amp;INDEX('Dane rozpisek'!$J$2:$J$2600,$M69),IF($L69="H","Zmiana","")))</f>
        <v/>
      </c>
      <c r="D69" s="49">
        <f>IF($L69="D",INDEX('Zgłoszenia'!$H$5:$H$504,$M69)&amp;"",IF($L69="U",INDEX('Dane rozpisek'!$E$2:$E$2600,$M69)&amp;"",IF($L69="H","Operator","")))</f>
        <v/>
      </c>
      <c r="E69" s="49">
        <f>IF($L69="D",INDEX('Zgłoszenia'!$I$5:$I$504,$M69)&amp;"",IF($L69="U",INDEX('Dane rozpisek'!$C$2:$C$2600,$M69)&amp;"",IF($L69="H","Stanowisko","")))</f>
        <v/>
      </c>
      <c r="F69" s="48">
        <f>IF($L69="D",INDEX('Zgłoszenia'!$J$5:$J$504,$M69)&amp;"",IF($L69="U",INDEX('Dane rozpisek'!$G$2:$G$2600,$M69)&amp;"",IF($L69="H","Uwagi","")))</f>
        <v/>
      </c>
      <c r="G69" s="49">
        <f>IF($L69="D",INDEX('Zgłoszenia'!$F$5:$F$504,$M69)&amp;"",IF($L69="U",INDEX('Dane rozpisek'!$L$2:$L$2600,$M69)&amp;"",IF($L69="H","Usterki (dzień / następny)","")))</f>
        <v/>
      </c>
      <c r="H69" s="49">
        <f>IF($L69="D",INDEX('Zgłoszenia'!$P$5:$P$504,$M69)&amp;"",IF($L69="U","",""))</f>
        <v/>
      </c>
      <c r="I69" s="48">
        <f>IF($L69="D",IF(INDEX('Zgłoszenia'!$M$5:$M$504,$M69)="","Zgłoszona",INDEX('Zgłoszenia'!$M$5:$M$504,$M69)),IF($L69="U","",""))</f>
        <v/>
      </c>
      <c r="J69" s="49">
        <f>IF($L69="D",INDEX('Zgłoszenia'!$K$5:$K$504,$M69)&amp;"",IF($L69="U","",""))</f>
        <v/>
      </c>
      <c r="K69" s="2" t="n"/>
      <c r="L69" s="2">
        <f>IF((ROW()-12)&lt;=$L$5,IF($L$2=0,"E1","D"),IF((ROW()-12)=$L$5+1,"",IF((ROW()-12)=$L$5+2,"T",IF((ROW()-12)=$L$5+3,IF($L$3=0,"E2","H"),IF((ROW()-12)&lt;=$L$5+3+$L$3,"U","")))))</f>
        <v/>
      </c>
      <c r="M69" s="2">
        <f>IF(L69="D",MATCH(LARGE('Zgłoszenia'!$Q$5:$Q$504,(ROW()-12)),'Zgłoszenia'!$Q$5:$Q$504,0),IF(L69="U",MATCH(LARGE('Dane rozpisek'!$I$2:$I$2600,(ROW()-12)-$L$5-3),'Dane rozpisek'!$I$2:$I$2600,0),""))</f>
        <v/>
      </c>
    </row>
    <row r="70">
      <c r="A70" s="47">
        <f>IF($L70="D",INDEX('Zgłoszenia'!$D$5:$D$504,$M70),IF($L70="U",INDEX('Dane rozpisek'!$A$2:$A$2600,$M70),IF($L70="T","KTO JEŹDZIŁ",IF($L70="E1","Brak zgłoszonych usterek w tym okresie.",IF($L70="E2","Brak wpisów z tym wózkiem w rozpiskach dla tego okresu.",IF($L70="H","Data",""))))))</f>
        <v/>
      </c>
      <c r="B70" s="48">
        <f>IF($L70="D",INDEX('Zgłoszenia'!$B$5:$B$504,$M70)&amp;"",IF($L70="U",INDEX('Dane rozpisek'!$F$2:$F$2600,$M70)&amp;"",IF($L70="H","Wózek","")))</f>
        <v/>
      </c>
      <c r="C70" s="48">
        <f>IF($L70="D",INDEX('Zgłoszenia'!$E$5:$E$504,$M70)&amp;"",IF($L70="U",INDEX('Dane rozpisek'!$B$2:$B$2600,$M70)&amp;" · "&amp;INDEX('Dane rozpisek'!$J$2:$J$2600,$M70),IF($L70="H","Zmiana","")))</f>
        <v/>
      </c>
      <c r="D70" s="49">
        <f>IF($L70="D",INDEX('Zgłoszenia'!$H$5:$H$504,$M70)&amp;"",IF($L70="U",INDEX('Dane rozpisek'!$E$2:$E$2600,$M70)&amp;"",IF($L70="H","Operator","")))</f>
        <v/>
      </c>
      <c r="E70" s="49">
        <f>IF($L70="D",INDEX('Zgłoszenia'!$I$5:$I$504,$M70)&amp;"",IF($L70="U",INDEX('Dane rozpisek'!$C$2:$C$2600,$M70)&amp;"",IF($L70="H","Stanowisko","")))</f>
        <v/>
      </c>
      <c r="F70" s="48">
        <f>IF($L70="D",INDEX('Zgłoszenia'!$J$5:$J$504,$M70)&amp;"",IF($L70="U",INDEX('Dane rozpisek'!$G$2:$G$2600,$M70)&amp;"",IF($L70="H","Uwagi","")))</f>
        <v/>
      </c>
      <c r="G70" s="49">
        <f>IF($L70="D",INDEX('Zgłoszenia'!$F$5:$F$504,$M70)&amp;"",IF($L70="U",INDEX('Dane rozpisek'!$L$2:$L$2600,$M70)&amp;"",IF($L70="H","Usterki (dzień / następny)","")))</f>
        <v/>
      </c>
      <c r="H70" s="49">
        <f>IF($L70="D",INDEX('Zgłoszenia'!$P$5:$P$504,$M70)&amp;"",IF($L70="U","",""))</f>
        <v/>
      </c>
      <c r="I70" s="48">
        <f>IF($L70="D",IF(INDEX('Zgłoszenia'!$M$5:$M$504,$M70)="","Zgłoszona",INDEX('Zgłoszenia'!$M$5:$M$504,$M70)),IF($L70="U","",""))</f>
        <v/>
      </c>
      <c r="J70" s="49">
        <f>IF($L70="D",INDEX('Zgłoszenia'!$K$5:$K$504,$M70)&amp;"",IF($L70="U","",""))</f>
        <v/>
      </c>
      <c r="K70" s="2" t="n"/>
      <c r="L70" s="2">
        <f>IF((ROW()-12)&lt;=$L$5,IF($L$2=0,"E1","D"),IF((ROW()-12)=$L$5+1,"",IF((ROW()-12)=$L$5+2,"T",IF((ROW()-12)=$L$5+3,IF($L$3=0,"E2","H"),IF((ROW()-12)&lt;=$L$5+3+$L$3,"U","")))))</f>
        <v/>
      </c>
      <c r="M70" s="2">
        <f>IF(L70="D",MATCH(LARGE('Zgłoszenia'!$Q$5:$Q$504,(ROW()-12)),'Zgłoszenia'!$Q$5:$Q$504,0),IF(L70="U",MATCH(LARGE('Dane rozpisek'!$I$2:$I$2600,(ROW()-12)-$L$5-3),'Dane rozpisek'!$I$2:$I$2600,0),""))</f>
        <v/>
      </c>
    </row>
    <row r="71">
      <c r="A71" s="47">
        <f>IF($L71="D",INDEX('Zgłoszenia'!$D$5:$D$504,$M71),IF($L71="U",INDEX('Dane rozpisek'!$A$2:$A$2600,$M71),IF($L71="T","KTO JEŹDZIŁ",IF($L71="E1","Brak zgłoszonych usterek w tym okresie.",IF($L71="E2","Brak wpisów z tym wózkiem w rozpiskach dla tego okresu.",IF($L71="H","Data",""))))))</f>
        <v/>
      </c>
      <c r="B71" s="48">
        <f>IF($L71="D",INDEX('Zgłoszenia'!$B$5:$B$504,$M71)&amp;"",IF($L71="U",INDEX('Dane rozpisek'!$F$2:$F$2600,$M71)&amp;"",IF($L71="H","Wózek","")))</f>
        <v/>
      </c>
      <c r="C71" s="48">
        <f>IF($L71="D",INDEX('Zgłoszenia'!$E$5:$E$504,$M71)&amp;"",IF($L71="U",INDEX('Dane rozpisek'!$B$2:$B$2600,$M71)&amp;" · "&amp;INDEX('Dane rozpisek'!$J$2:$J$2600,$M71),IF($L71="H","Zmiana","")))</f>
        <v/>
      </c>
      <c r="D71" s="49">
        <f>IF($L71="D",INDEX('Zgłoszenia'!$H$5:$H$504,$M71)&amp;"",IF($L71="U",INDEX('Dane rozpisek'!$E$2:$E$2600,$M71)&amp;"",IF($L71="H","Operator","")))</f>
        <v/>
      </c>
      <c r="E71" s="49">
        <f>IF($L71="D",INDEX('Zgłoszenia'!$I$5:$I$504,$M71)&amp;"",IF($L71="U",INDEX('Dane rozpisek'!$C$2:$C$2600,$M71)&amp;"",IF($L71="H","Stanowisko","")))</f>
        <v/>
      </c>
      <c r="F71" s="48">
        <f>IF($L71="D",INDEX('Zgłoszenia'!$J$5:$J$504,$M71)&amp;"",IF($L71="U",INDEX('Dane rozpisek'!$G$2:$G$2600,$M71)&amp;"",IF($L71="H","Uwagi","")))</f>
        <v/>
      </c>
      <c r="G71" s="49">
        <f>IF($L71="D",INDEX('Zgłoszenia'!$F$5:$F$504,$M71)&amp;"",IF($L71="U",INDEX('Dane rozpisek'!$L$2:$L$2600,$M71)&amp;"",IF($L71="H","Usterki (dzień / następny)","")))</f>
        <v/>
      </c>
      <c r="H71" s="49">
        <f>IF($L71="D",INDEX('Zgłoszenia'!$P$5:$P$504,$M71)&amp;"",IF($L71="U","",""))</f>
        <v/>
      </c>
      <c r="I71" s="48">
        <f>IF($L71="D",IF(INDEX('Zgłoszenia'!$M$5:$M$504,$M71)="","Zgłoszona",INDEX('Zgłoszenia'!$M$5:$M$504,$M71)),IF($L71="U","",""))</f>
        <v/>
      </c>
      <c r="J71" s="49">
        <f>IF($L71="D",INDEX('Zgłoszenia'!$K$5:$K$504,$M71)&amp;"",IF($L71="U","",""))</f>
        <v/>
      </c>
      <c r="K71" s="2" t="n"/>
      <c r="L71" s="2">
        <f>IF((ROW()-12)&lt;=$L$5,IF($L$2=0,"E1","D"),IF((ROW()-12)=$L$5+1,"",IF((ROW()-12)=$L$5+2,"T",IF((ROW()-12)=$L$5+3,IF($L$3=0,"E2","H"),IF((ROW()-12)&lt;=$L$5+3+$L$3,"U","")))))</f>
        <v/>
      </c>
      <c r="M71" s="2">
        <f>IF(L71="D",MATCH(LARGE('Zgłoszenia'!$Q$5:$Q$504,(ROW()-12)),'Zgłoszenia'!$Q$5:$Q$504,0),IF(L71="U",MATCH(LARGE('Dane rozpisek'!$I$2:$I$2600,(ROW()-12)-$L$5-3),'Dane rozpisek'!$I$2:$I$2600,0),""))</f>
        <v/>
      </c>
    </row>
    <row r="72">
      <c r="A72" s="47">
        <f>IF($L72="D",INDEX('Zgłoszenia'!$D$5:$D$504,$M72),IF($L72="U",INDEX('Dane rozpisek'!$A$2:$A$2600,$M72),IF($L72="T","KTO JEŹDZIŁ",IF($L72="E1","Brak zgłoszonych usterek w tym okresie.",IF($L72="E2","Brak wpisów z tym wózkiem w rozpiskach dla tego okresu.",IF($L72="H","Data",""))))))</f>
        <v/>
      </c>
      <c r="B72" s="48">
        <f>IF($L72="D",INDEX('Zgłoszenia'!$B$5:$B$504,$M72)&amp;"",IF($L72="U",INDEX('Dane rozpisek'!$F$2:$F$2600,$M72)&amp;"",IF($L72="H","Wózek","")))</f>
        <v/>
      </c>
      <c r="C72" s="48">
        <f>IF($L72="D",INDEX('Zgłoszenia'!$E$5:$E$504,$M72)&amp;"",IF($L72="U",INDEX('Dane rozpisek'!$B$2:$B$2600,$M72)&amp;" · "&amp;INDEX('Dane rozpisek'!$J$2:$J$2600,$M72),IF($L72="H","Zmiana","")))</f>
        <v/>
      </c>
      <c r="D72" s="49">
        <f>IF($L72="D",INDEX('Zgłoszenia'!$H$5:$H$504,$M72)&amp;"",IF($L72="U",INDEX('Dane rozpisek'!$E$2:$E$2600,$M72)&amp;"",IF($L72="H","Operator","")))</f>
        <v/>
      </c>
      <c r="E72" s="49">
        <f>IF($L72="D",INDEX('Zgłoszenia'!$I$5:$I$504,$M72)&amp;"",IF($L72="U",INDEX('Dane rozpisek'!$C$2:$C$2600,$M72)&amp;"",IF($L72="H","Stanowisko","")))</f>
        <v/>
      </c>
      <c r="F72" s="48">
        <f>IF($L72="D",INDEX('Zgłoszenia'!$J$5:$J$504,$M72)&amp;"",IF($L72="U",INDEX('Dane rozpisek'!$G$2:$G$2600,$M72)&amp;"",IF($L72="H","Uwagi","")))</f>
        <v/>
      </c>
      <c r="G72" s="49">
        <f>IF($L72="D",INDEX('Zgłoszenia'!$F$5:$F$504,$M72)&amp;"",IF($L72="U",INDEX('Dane rozpisek'!$L$2:$L$2600,$M72)&amp;"",IF($L72="H","Usterki (dzień / następny)","")))</f>
        <v/>
      </c>
      <c r="H72" s="49">
        <f>IF($L72="D",INDEX('Zgłoszenia'!$P$5:$P$504,$M72)&amp;"",IF($L72="U","",""))</f>
        <v/>
      </c>
      <c r="I72" s="48">
        <f>IF($L72="D",IF(INDEX('Zgłoszenia'!$M$5:$M$504,$M72)="","Zgłoszona",INDEX('Zgłoszenia'!$M$5:$M$504,$M72)),IF($L72="U","",""))</f>
        <v/>
      </c>
      <c r="J72" s="49">
        <f>IF($L72="D",INDEX('Zgłoszenia'!$K$5:$K$504,$M72)&amp;"",IF($L72="U","",""))</f>
        <v/>
      </c>
      <c r="K72" s="2" t="n"/>
      <c r="L72" s="2">
        <f>IF((ROW()-12)&lt;=$L$5,IF($L$2=0,"E1","D"),IF((ROW()-12)=$L$5+1,"",IF((ROW()-12)=$L$5+2,"T",IF((ROW()-12)=$L$5+3,IF($L$3=0,"E2","H"),IF((ROW()-12)&lt;=$L$5+3+$L$3,"U","")))))</f>
        <v/>
      </c>
      <c r="M72" s="2">
        <f>IF(L72="D",MATCH(LARGE('Zgłoszenia'!$Q$5:$Q$504,(ROW()-12)),'Zgłoszenia'!$Q$5:$Q$504,0),IF(L72="U",MATCH(LARGE('Dane rozpisek'!$I$2:$I$2600,(ROW()-12)-$L$5-3),'Dane rozpisek'!$I$2:$I$2600,0),""))</f>
        <v/>
      </c>
    </row>
    <row r="73">
      <c r="A73" s="47">
        <f>IF($L73="D",INDEX('Zgłoszenia'!$D$5:$D$504,$M73),IF($L73="U",INDEX('Dane rozpisek'!$A$2:$A$2600,$M73),IF($L73="T","KTO JEŹDZIŁ",IF($L73="E1","Brak zgłoszonych usterek w tym okresie.",IF($L73="E2","Brak wpisów z tym wózkiem w rozpiskach dla tego okresu.",IF($L73="H","Data",""))))))</f>
        <v/>
      </c>
      <c r="B73" s="48">
        <f>IF($L73="D",INDEX('Zgłoszenia'!$B$5:$B$504,$M73)&amp;"",IF($L73="U",INDEX('Dane rozpisek'!$F$2:$F$2600,$M73)&amp;"",IF($L73="H","Wózek","")))</f>
        <v/>
      </c>
      <c r="C73" s="48">
        <f>IF($L73="D",INDEX('Zgłoszenia'!$E$5:$E$504,$M73)&amp;"",IF($L73="U",INDEX('Dane rozpisek'!$B$2:$B$2600,$M73)&amp;" · "&amp;INDEX('Dane rozpisek'!$J$2:$J$2600,$M73),IF($L73="H","Zmiana","")))</f>
        <v/>
      </c>
      <c r="D73" s="49">
        <f>IF($L73="D",INDEX('Zgłoszenia'!$H$5:$H$504,$M73)&amp;"",IF($L73="U",INDEX('Dane rozpisek'!$E$2:$E$2600,$M73)&amp;"",IF($L73="H","Operator","")))</f>
        <v/>
      </c>
      <c r="E73" s="49">
        <f>IF($L73="D",INDEX('Zgłoszenia'!$I$5:$I$504,$M73)&amp;"",IF($L73="U",INDEX('Dane rozpisek'!$C$2:$C$2600,$M73)&amp;"",IF($L73="H","Stanowisko","")))</f>
        <v/>
      </c>
      <c r="F73" s="48">
        <f>IF($L73="D",INDEX('Zgłoszenia'!$J$5:$J$504,$M73)&amp;"",IF($L73="U",INDEX('Dane rozpisek'!$G$2:$G$2600,$M73)&amp;"",IF($L73="H","Uwagi","")))</f>
        <v/>
      </c>
      <c r="G73" s="49">
        <f>IF($L73="D",INDEX('Zgłoszenia'!$F$5:$F$504,$M73)&amp;"",IF($L73="U",INDEX('Dane rozpisek'!$L$2:$L$2600,$M73)&amp;"",IF($L73="H","Usterki (dzień / następny)","")))</f>
        <v/>
      </c>
      <c r="H73" s="49">
        <f>IF($L73="D",INDEX('Zgłoszenia'!$P$5:$P$504,$M73)&amp;"",IF($L73="U","",""))</f>
        <v/>
      </c>
      <c r="I73" s="48">
        <f>IF($L73="D",IF(INDEX('Zgłoszenia'!$M$5:$M$504,$M73)="","Zgłoszona",INDEX('Zgłoszenia'!$M$5:$M$504,$M73)),IF($L73="U","",""))</f>
        <v/>
      </c>
      <c r="J73" s="49">
        <f>IF($L73="D",INDEX('Zgłoszenia'!$K$5:$K$504,$M73)&amp;"",IF($L73="U","",""))</f>
        <v/>
      </c>
      <c r="K73" s="2" t="n"/>
      <c r="L73" s="2">
        <f>IF((ROW()-12)&lt;=$L$5,IF($L$2=0,"E1","D"),IF((ROW()-12)=$L$5+1,"",IF((ROW()-12)=$L$5+2,"T",IF((ROW()-12)=$L$5+3,IF($L$3=0,"E2","H"),IF((ROW()-12)&lt;=$L$5+3+$L$3,"U","")))))</f>
        <v/>
      </c>
      <c r="M73" s="2">
        <f>IF(L73="D",MATCH(LARGE('Zgłoszenia'!$Q$5:$Q$504,(ROW()-12)),'Zgłoszenia'!$Q$5:$Q$504,0),IF(L73="U",MATCH(LARGE('Dane rozpisek'!$I$2:$I$2600,(ROW()-12)-$L$5-3),'Dane rozpisek'!$I$2:$I$2600,0),""))</f>
        <v/>
      </c>
    </row>
    <row r="74">
      <c r="A74" s="47">
        <f>IF($L74="D",INDEX('Zgłoszenia'!$D$5:$D$504,$M74),IF($L74="U",INDEX('Dane rozpisek'!$A$2:$A$2600,$M74),IF($L74="T","KTO JEŹDZIŁ",IF($L74="E1","Brak zgłoszonych usterek w tym okresie.",IF($L74="E2","Brak wpisów z tym wózkiem w rozpiskach dla tego okresu.",IF($L74="H","Data",""))))))</f>
        <v/>
      </c>
      <c r="B74" s="48">
        <f>IF($L74="D",INDEX('Zgłoszenia'!$B$5:$B$504,$M74)&amp;"",IF($L74="U",INDEX('Dane rozpisek'!$F$2:$F$2600,$M74)&amp;"",IF($L74="H","Wózek","")))</f>
        <v/>
      </c>
      <c r="C74" s="48">
        <f>IF($L74="D",INDEX('Zgłoszenia'!$E$5:$E$504,$M74)&amp;"",IF($L74="U",INDEX('Dane rozpisek'!$B$2:$B$2600,$M74)&amp;" · "&amp;INDEX('Dane rozpisek'!$J$2:$J$2600,$M74),IF($L74="H","Zmiana","")))</f>
        <v/>
      </c>
      <c r="D74" s="49">
        <f>IF($L74="D",INDEX('Zgłoszenia'!$H$5:$H$504,$M74)&amp;"",IF($L74="U",INDEX('Dane rozpisek'!$E$2:$E$2600,$M74)&amp;"",IF($L74="H","Operator","")))</f>
        <v/>
      </c>
      <c r="E74" s="49">
        <f>IF($L74="D",INDEX('Zgłoszenia'!$I$5:$I$504,$M74)&amp;"",IF($L74="U",INDEX('Dane rozpisek'!$C$2:$C$2600,$M74)&amp;"",IF($L74="H","Stanowisko","")))</f>
        <v/>
      </c>
      <c r="F74" s="48">
        <f>IF($L74="D",INDEX('Zgłoszenia'!$J$5:$J$504,$M74)&amp;"",IF($L74="U",INDEX('Dane rozpisek'!$G$2:$G$2600,$M74)&amp;"",IF($L74="H","Uwagi","")))</f>
        <v/>
      </c>
      <c r="G74" s="49">
        <f>IF($L74="D",INDEX('Zgłoszenia'!$F$5:$F$504,$M74)&amp;"",IF($L74="U",INDEX('Dane rozpisek'!$L$2:$L$2600,$M74)&amp;"",IF($L74="H","Usterki (dzień / następny)","")))</f>
        <v/>
      </c>
      <c r="H74" s="49">
        <f>IF($L74="D",INDEX('Zgłoszenia'!$P$5:$P$504,$M74)&amp;"",IF($L74="U","",""))</f>
        <v/>
      </c>
      <c r="I74" s="48">
        <f>IF($L74="D",IF(INDEX('Zgłoszenia'!$M$5:$M$504,$M74)="","Zgłoszona",INDEX('Zgłoszenia'!$M$5:$M$504,$M74)),IF($L74="U","",""))</f>
        <v/>
      </c>
      <c r="J74" s="49">
        <f>IF($L74="D",INDEX('Zgłoszenia'!$K$5:$K$504,$M74)&amp;"",IF($L74="U","",""))</f>
        <v/>
      </c>
      <c r="K74" s="2" t="n"/>
      <c r="L74" s="2">
        <f>IF((ROW()-12)&lt;=$L$5,IF($L$2=0,"E1","D"),IF((ROW()-12)=$L$5+1,"",IF((ROW()-12)=$L$5+2,"T",IF((ROW()-12)=$L$5+3,IF($L$3=0,"E2","H"),IF((ROW()-12)&lt;=$L$5+3+$L$3,"U","")))))</f>
        <v/>
      </c>
      <c r="M74" s="2">
        <f>IF(L74="D",MATCH(LARGE('Zgłoszenia'!$Q$5:$Q$504,(ROW()-12)),'Zgłoszenia'!$Q$5:$Q$504,0),IF(L74="U",MATCH(LARGE('Dane rozpisek'!$I$2:$I$2600,(ROW()-12)-$L$5-3),'Dane rozpisek'!$I$2:$I$2600,0),""))</f>
        <v/>
      </c>
    </row>
    <row r="75">
      <c r="A75" s="47">
        <f>IF($L75="D",INDEX('Zgłoszenia'!$D$5:$D$504,$M75),IF($L75="U",INDEX('Dane rozpisek'!$A$2:$A$2600,$M75),IF($L75="T","KTO JEŹDZIŁ",IF($L75="E1","Brak zgłoszonych usterek w tym okresie.",IF($L75="E2","Brak wpisów z tym wózkiem w rozpiskach dla tego okresu.",IF($L75="H","Data",""))))))</f>
        <v/>
      </c>
      <c r="B75" s="48">
        <f>IF($L75="D",INDEX('Zgłoszenia'!$B$5:$B$504,$M75)&amp;"",IF($L75="U",INDEX('Dane rozpisek'!$F$2:$F$2600,$M75)&amp;"",IF($L75="H","Wózek","")))</f>
        <v/>
      </c>
      <c r="C75" s="48">
        <f>IF($L75="D",INDEX('Zgłoszenia'!$E$5:$E$504,$M75)&amp;"",IF($L75="U",INDEX('Dane rozpisek'!$B$2:$B$2600,$M75)&amp;" · "&amp;INDEX('Dane rozpisek'!$J$2:$J$2600,$M75),IF($L75="H","Zmiana","")))</f>
        <v/>
      </c>
      <c r="D75" s="49">
        <f>IF($L75="D",INDEX('Zgłoszenia'!$H$5:$H$504,$M75)&amp;"",IF($L75="U",INDEX('Dane rozpisek'!$E$2:$E$2600,$M75)&amp;"",IF($L75="H","Operator","")))</f>
        <v/>
      </c>
      <c r="E75" s="49">
        <f>IF($L75="D",INDEX('Zgłoszenia'!$I$5:$I$504,$M75)&amp;"",IF($L75="U",INDEX('Dane rozpisek'!$C$2:$C$2600,$M75)&amp;"",IF($L75="H","Stanowisko","")))</f>
        <v/>
      </c>
      <c r="F75" s="48">
        <f>IF($L75="D",INDEX('Zgłoszenia'!$J$5:$J$504,$M75)&amp;"",IF($L75="U",INDEX('Dane rozpisek'!$G$2:$G$2600,$M75)&amp;"",IF($L75="H","Uwagi","")))</f>
        <v/>
      </c>
      <c r="G75" s="49">
        <f>IF($L75="D",INDEX('Zgłoszenia'!$F$5:$F$504,$M75)&amp;"",IF($L75="U",INDEX('Dane rozpisek'!$L$2:$L$2600,$M75)&amp;"",IF($L75="H","Usterki (dzień / następny)","")))</f>
        <v/>
      </c>
      <c r="H75" s="49">
        <f>IF($L75="D",INDEX('Zgłoszenia'!$P$5:$P$504,$M75)&amp;"",IF($L75="U","",""))</f>
        <v/>
      </c>
      <c r="I75" s="48">
        <f>IF($L75="D",IF(INDEX('Zgłoszenia'!$M$5:$M$504,$M75)="","Zgłoszona",INDEX('Zgłoszenia'!$M$5:$M$504,$M75)),IF($L75="U","",""))</f>
        <v/>
      </c>
      <c r="J75" s="49">
        <f>IF($L75="D",INDEX('Zgłoszenia'!$K$5:$K$504,$M75)&amp;"",IF($L75="U","",""))</f>
        <v/>
      </c>
      <c r="K75" s="2" t="n"/>
      <c r="L75" s="2">
        <f>IF((ROW()-12)&lt;=$L$5,IF($L$2=0,"E1","D"),IF((ROW()-12)=$L$5+1,"",IF((ROW()-12)=$L$5+2,"T",IF((ROW()-12)=$L$5+3,IF($L$3=0,"E2","H"),IF((ROW()-12)&lt;=$L$5+3+$L$3,"U","")))))</f>
        <v/>
      </c>
      <c r="M75" s="2">
        <f>IF(L75="D",MATCH(LARGE('Zgłoszenia'!$Q$5:$Q$504,(ROW()-12)),'Zgłoszenia'!$Q$5:$Q$504,0),IF(L75="U",MATCH(LARGE('Dane rozpisek'!$I$2:$I$2600,(ROW()-12)-$L$5-3),'Dane rozpisek'!$I$2:$I$2600,0),""))</f>
        <v/>
      </c>
    </row>
    <row r="76">
      <c r="A76" s="47">
        <f>IF($L76="D",INDEX('Zgłoszenia'!$D$5:$D$504,$M76),IF($L76="U",INDEX('Dane rozpisek'!$A$2:$A$2600,$M76),IF($L76="T","KTO JEŹDZIŁ",IF($L76="E1","Brak zgłoszonych usterek w tym okresie.",IF($L76="E2","Brak wpisów z tym wózkiem w rozpiskach dla tego okresu.",IF($L76="H","Data",""))))))</f>
        <v/>
      </c>
      <c r="B76" s="48">
        <f>IF($L76="D",INDEX('Zgłoszenia'!$B$5:$B$504,$M76)&amp;"",IF($L76="U",INDEX('Dane rozpisek'!$F$2:$F$2600,$M76)&amp;"",IF($L76="H","Wózek","")))</f>
        <v/>
      </c>
      <c r="C76" s="48">
        <f>IF($L76="D",INDEX('Zgłoszenia'!$E$5:$E$504,$M76)&amp;"",IF($L76="U",INDEX('Dane rozpisek'!$B$2:$B$2600,$M76)&amp;" · "&amp;INDEX('Dane rozpisek'!$J$2:$J$2600,$M76),IF($L76="H","Zmiana","")))</f>
        <v/>
      </c>
      <c r="D76" s="49">
        <f>IF($L76="D",INDEX('Zgłoszenia'!$H$5:$H$504,$M76)&amp;"",IF($L76="U",INDEX('Dane rozpisek'!$E$2:$E$2600,$M76)&amp;"",IF($L76="H","Operator","")))</f>
        <v/>
      </c>
      <c r="E76" s="49">
        <f>IF($L76="D",INDEX('Zgłoszenia'!$I$5:$I$504,$M76)&amp;"",IF($L76="U",INDEX('Dane rozpisek'!$C$2:$C$2600,$M76)&amp;"",IF($L76="H","Stanowisko","")))</f>
        <v/>
      </c>
      <c r="F76" s="48">
        <f>IF($L76="D",INDEX('Zgłoszenia'!$J$5:$J$504,$M76)&amp;"",IF($L76="U",INDEX('Dane rozpisek'!$G$2:$G$2600,$M76)&amp;"",IF($L76="H","Uwagi","")))</f>
        <v/>
      </c>
      <c r="G76" s="49">
        <f>IF($L76="D",INDEX('Zgłoszenia'!$F$5:$F$504,$M76)&amp;"",IF($L76="U",INDEX('Dane rozpisek'!$L$2:$L$2600,$M76)&amp;"",IF($L76="H","Usterki (dzień / następny)","")))</f>
        <v/>
      </c>
      <c r="H76" s="49">
        <f>IF($L76="D",INDEX('Zgłoszenia'!$P$5:$P$504,$M76)&amp;"",IF($L76="U","",""))</f>
        <v/>
      </c>
      <c r="I76" s="48">
        <f>IF($L76="D",IF(INDEX('Zgłoszenia'!$M$5:$M$504,$M76)="","Zgłoszona",INDEX('Zgłoszenia'!$M$5:$M$504,$M76)),IF($L76="U","",""))</f>
        <v/>
      </c>
      <c r="J76" s="49">
        <f>IF($L76="D",INDEX('Zgłoszenia'!$K$5:$K$504,$M76)&amp;"",IF($L76="U","",""))</f>
        <v/>
      </c>
      <c r="K76" s="2" t="n"/>
      <c r="L76" s="2">
        <f>IF((ROW()-12)&lt;=$L$5,IF($L$2=0,"E1","D"),IF((ROW()-12)=$L$5+1,"",IF((ROW()-12)=$L$5+2,"T",IF((ROW()-12)=$L$5+3,IF($L$3=0,"E2","H"),IF((ROW()-12)&lt;=$L$5+3+$L$3,"U","")))))</f>
        <v/>
      </c>
      <c r="M76" s="2">
        <f>IF(L76="D",MATCH(LARGE('Zgłoszenia'!$Q$5:$Q$504,(ROW()-12)),'Zgłoszenia'!$Q$5:$Q$504,0),IF(L76="U",MATCH(LARGE('Dane rozpisek'!$I$2:$I$2600,(ROW()-12)-$L$5-3),'Dane rozpisek'!$I$2:$I$2600,0),""))</f>
        <v/>
      </c>
    </row>
    <row r="77">
      <c r="A77" s="47">
        <f>IF($L77="D",INDEX('Zgłoszenia'!$D$5:$D$504,$M77),IF($L77="U",INDEX('Dane rozpisek'!$A$2:$A$2600,$M77),IF($L77="T","KTO JEŹDZIŁ",IF($L77="E1","Brak zgłoszonych usterek w tym okresie.",IF($L77="E2","Brak wpisów z tym wózkiem w rozpiskach dla tego okresu.",IF($L77="H","Data",""))))))</f>
        <v/>
      </c>
      <c r="B77" s="48">
        <f>IF($L77="D",INDEX('Zgłoszenia'!$B$5:$B$504,$M77)&amp;"",IF($L77="U",INDEX('Dane rozpisek'!$F$2:$F$2600,$M77)&amp;"",IF($L77="H","Wózek","")))</f>
        <v/>
      </c>
      <c r="C77" s="48">
        <f>IF($L77="D",INDEX('Zgłoszenia'!$E$5:$E$504,$M77)&amp;"",IF($L77="U",INDEX('Dane rozpisek'!$B$2:$B$2600,$M77)&amp;" · "&amp;INDEX('Dane rozpisek'!$J$2:$J$2600,$M77),IF($L77="H","Zmiana","")))</f>
        <v/>
      </c>
      <c r="D77" s="49">
        <f>IF($L77="D",INDEX('Zgłoszenia'!$H$5:$H$504,$M77)&amp;"",IF($L77="U",INDEX('Dane rozpisek'!$E$2:$E$2600,$M77)&amp;"",IF($L77="H","Operator","")))</f>
        <v/>
      </c>
      <c r="E77" s="49">
        <f>IF($L77="D",INDEX('Zgłoszenia'!$I$5:$I$504,$M77)&amp;"",IF($L77="U",INDEX('Dane rozpisek'!$C$2:$C$2600,$M77)&amp;"",IF($L77="H","Stanowisko","")))</f>
        <v/>
      </c>
      <c r="F77" s="48">
        <f>IF($L77="D",INDEX('Zgłoszenia'!$J$5:$J$504,$M77)&amp;"",IF($L77="U",INDEX('Dane rozpisek'!$G$2:$G$2600,$M77)&amp;"",IF($L77="H","Uwagi","")))</f>
        <v/>
      </c>
      <c r="G77" s="49">
        <f>IF($L77="D",INDEX('Zgłoszenia'!$F$5:$F$504,$M77)&amp;"",IF($L77="U",INDEX('Dane rozpisek'!$L$2:$L$2600,$M77)&amp;"",IF($L77="H","Usterki (dzień / następny)","")))</f>
        <v/>
      </c>
      <c r="H77" s="49">
        <f>IF($L77="D",INDEX('Zgłoszenia'!$P$5:$P$504,$M77)&amp;"",IF($L77="U","",""))</f>
        <v/>
      </c>
      <c r="I77" s="48">
        <f>IF($L77="D",IF(INDEX('Zgłoszenia'!$M$5:$M$504,$M77)="","Zgłoszona",INDEX('Zgłoszenia'!$M$5:$M$504,$M77)),IF($L77="U","",""))</f>
        <v/>
      </c>
      <c r="J77" s="49">
        <f>IF($L77="D",INDEX('Zgłoszenia'!$K$5:$K$504,$M77)&amp;"",IF($L77="U","",""))</f>
        <v/>
      </c>
      <c r="K77" s="2" t="n"/>
      <c r="L77" s="2">
        <f>IF((ROW()-12)&lt;=$L$5,IF($L$2=0,"E1","D"),IF((ROW()-12)=$L$5+1,"",IF((ROW()-12)=$L$5+2,"T",IF((ROW()-12)=$L$5+3,IF($L$3=0,"E2","H"),IF((ROW()-12)&lt;=$L$5+3+$L$3,"U","")))))</f>
        <v/>
      </c>
      <c r="M77" s="2">
        <f>IF(L77="D",MATCH(LARGE('Zgłoszenia'!$Q$5:$Q$504,(ROW()-12)),'Zgłoszenia'!$Q$5:$Q$504,0),IF(L77="U",MATCH(LARGE('Dane rozpisek'!$I$2:$I$2600,(ROW()-12)-$L$5-3),'Dane rozpisek'!$I$2:$I$2600,0),""))</f>
        <v/>
      </c>
    </row>
    <row r="78">
      <c r="A78" s="47">
        <f>IF($L78="D",INDEX('Zgłoszenia'!$D$5:$D$504,$M78),IF($L78="U",INDEX('Dane rozpisek'!$A$2:$A$2600,$M78),IF($L78="T","KTO JEŹDZIŁ",IF($L78="E1","Brak zgłoszonych usterek w tym okresie.",IF($L78="E2","Brak wpisów z tym wózkiem w rozpiskach dla tego okresu.",IF($L78="H","Data",""))))))</f>
        <v/>
      </c>
      <c r="B78" s="48">
        <f>IF($L78="D",INDEX('Zgłoszenia'!$B$5:$B$504,$M78)&amp;"",IF($L78="U",INDEX('Dane rozpisek'!$F$2:$F$2600,$M78)&amp;"",IF($L78="H","Wózek","")))</f>
        <v/>
      </c>
      <c r="C78" s="48">
        <f>IF($L78="D",INDEX('Zgłoszenia'!$E$5:$E$504,$M78)&amp;"",IF($L78="U",INDEX('Dane rozpisek'!$B$2:$B$2600,$M78)&amp;" · "&amp;INDEX('Dane rozpisek'!$J$2:$J$2600,$M78),IF($L78="H","Zmiana","")))</f>
        <v/>
      </c>
      <c r="D78" s="49">
        <f>IF($L78="D",INDEX('Zgłoszenia'!$H$5:$H$504,$M78)&amp;"",IF($L78="U",INDEX('Dane rozpisek'!$E$2:$E$2600,$M78)&amp;"",IF($L78="H","Operator","")))</f>
        <v/>
      </c>
      <c r="E78" s="49">
        <f>IF($L78="D",INDEX('Zgłoszenia'!$I$5:$I$504,$M78)&amp;"",IF($L78="U",INDEX('Dane rozpisek'!$C$2:$C$2600,$M78)&amp;"",IF($L78="H","Stanowisko","")))</f>
        <v/>
      </c>
      <c r="F78" s="48">
        <f>IF($L78="D",INDEX('Zgłoszenia'!$J$5:$J$504,$M78)&amp;"",IF($L78="U",INDEX('Dane rozpisek'!$G$2:$G$2600,$M78)&amp;"",IF($L78="H","Uwagi","")))</f>
        <v/>
      </c>
      <c r="G78" s="49">
        <f>IF($L78="D",INDEX('Zgłoszenia'!$F$5:$F$504,$M78)&amp;"",IF($L78="U",INDEX('Dane rozpisek'!$L$2:$L$2600,$M78)&amp;"",IF($L78="H","Usterki (dzień / następny)","")))</f>
        <v/>
      </c>
      <c r="H78" s="49">
        <f>IF($L78="D",INDEX('Zgłoszenia'!$P$5:$P$504,$M78)&amp;"",IF($L78="U","",""))</f>
        <v/>
      </c>
      <c r="I78" s="48">
        <f>IF($L78="D",IF(INDEX('Zgłoszenia'!$M$5:$M$504,$M78)="","Zgłoszona",INDEX('Zgłoszenia'!$M$5:$M$504,$M78)),IF($L78="U","",""))</f>
        <v/>
      </c>
      <c r="J78" s="49">
        <f>IF($L78="D",INDEX('Zgłoszenia'!$K$5:$K$504,$M78)&amp;"",IF($L78="U","",""))</f>
        <v/>
      </c>
      <c r="K78" s="2" t="n"/>
      <c r="L78" s="2">
        <f>IF((ROW()-12)&lt;=$L$5,IF($L$2=0,"E1","D"),IF((ROW()-12)=$L$5+1,"",IF((ROW()-12)=$L$5+2,"T",IF((ROW()-12)=$L$5+3,IF($L$3=0,"E2","H"),IF((ROW()-12)&lt;=$L$5+3+$L$3,"U","")))))</f>
        <v/>
      </c>
      <c r="M78" s="2">
        <f>IF(L78="D",MATCH(LARGE('Zgłoszenia'!$Q$5:$Q$504,(ROW()-12)),'Zgłoszenia'!$Q$5:$Q$504,0),IF(L78="U",MATCH(LARGE('Dane rozpisek'!$I$2:$I$2600,(ROW()-12)-$L$5-3),'Dane rozpisek'!$I$2:$I$2600,0),""))</f>
        <v/>
      </c>
    </row>
    <row r="79">
      <c r="A79" s="47">
        <f>IF($L79="D",INDEX('Zgłoszenia'!$D$5:$D$504,$M79),IF($L79="U",INDEX('Dane rozpisek'!$A$2:$A$2600,$M79),IF($L79="T","KTO JEŹDZIŁ",IF($L79="E1","Brak zgłoszonych usterek w tym okresie.",IF($L79="E2","Brak wpisów z tym wózkiem w rozpiskach dla tego okresu.",IF($L79="H","Data",""))))))</f>
        <v/>
      </c>
      <c r="B79" s="48">
        <f>IF($L79="D",INDEX('Zgłoszenia'!$B$5:$B$504,$M79)&amp;"",IF($L79="U",INDEX('Dane rozpisek'!$F$2:$F$2600,$M79)&amp;"",IF($L79="H","Wózek","")))</f>
        <v/>
      </c>
      <c r="C79" s="48">
        <f>IF($L79="D",INDEX('Zgłoszenia'!$E$5:$E$504,$M79)&amp;"",IF($L79="U",INDEX('Dane rozpisek'!$B$2:$B$2600,$M79)&amp;" · "&amp;INDEX('Dane rozpisek'!$J$2:$J$2600,$M79),IF($L79="H","Zmiana","")))</f>
        <v/>
      </c>
      <c r="D79" s="49">
        <f>IF($L79="D",INDEX('Zgłoszenia'!$H$5:$H$504,$M79)&amp;"",IF($L79="U",INDEX('Dane rozpisek'!$E$2:$E$2600,$M79)&amp;"",IF($L79="H","Operator","")))</f>
        <v/>
      </c>
      <c r="E79" s="49">
        <f>IF($L79="D",INDEX('Zgłoszenia'!$I$5:$I$504,$M79)&amp;"",IF($L79="U",INDEX('Dane rozpisek'!$C$2:$C$2600,$M79)&amp;"",IF($L79="H","Stanowisko","")))</f>
        <v/>
      </c>
      <c r="F79" s="48">
        <f>IF($L79="D",INDEX('Zgłoszenia'!$J$5:$J$504,$M79)&amp;"",IF($L79="U",INDEX('Dane rozpisek'!$G$2:$G$2600,$M79)&amp;"",IF($L79="H","Uwagi","")))</f>
        <v/>
      </c>
      <c r="G79" s="49">
        <f>IF($L79="D",INDEX('Zgłoszenia'!$F$5:$F$504,$M79)&amp;"",IF($L79="U",INDEX('Dane rozpisek'!$L$2:$L$2600,$M79)&amp;"",IF($L79="H","Usterki (dzień / następny)","")))</f>
        <v/>
      </c>
      <c r="H79" s="49">
        <f>IF($L79="D",INDEX('Zgłoszenia'!$P$5:$P$504,$M79)&amp;"",IF($L79="U","",""))</f>
        <v/>
      </c>
      <c r="I79" s="48">
        <f>IF($L79="D",IF(INDEX('Zgłoszenia'!$M$5:$M$504,$M79)="","Zgłoszona",INDEX('Zgłoszenia'!$M$5:$M$504,$M79)),IF($L79="U","",""))</f>
        <v/>
      </c>
      <c r="J79" s="49">
        <f>IF($L79="D",INDEX('Zgłoszenia'!$K$5:$K$504,$M79)&amp;"",IF($L79="U","",""))</f>
        <v/>
      </c>
      <c r="K79" s="2" t="n"/>
      <c r="L79" s="2">
        <f>IF((ROW()-12)&lt;=$L$5,IF($L$2=0,"E1","D"),IF((ROW()-12)=$L$5+1,"",IF((ROW()-12)=$L$5+2,"T",IF((ROW()-12)=$L$5+3,IF($L$3=0,"E2","H"),IF((ROW()-12)&lt;=$L$5+3+$L$3,"U","")))))</f>
        <v/>
      </c>
      <c r="M79" s="2">
        <f>IF(L79="D",MATCH(LARGE('Zgłoszenia'!$Q$5:$Q$504,(ROW()-12)),'Zgłoszenia'!$Q$5:$Q$504,0),IF(L79="U",MATCH(LARGE('Dane rozpisek'!$I$2:$I$2600,(ROW()-12)-$L$5-3),'Dane rozpisek'!$I$2:$I$2600,0),""))</f>
        <v/>
      </c>
    </row>
    <row r="80">
      <c r="A80" s="47">
        <f>IF($L80="D",INDEX('Zgłoszenia'!$D$5:$D$504,$M80),IF($L80="U",INDEX('Dane rozpisek'!$A$2:$A$2600,$M80),IF($L80="T","KTO JEŹDZIŁ",IF($L80="E1","Brak zgłoszonych usterek w tym okresie.",IF($L80="E2","Brak wpisów z tym wózkiem w rozpiskach dla tego okresu.",IF($L80="H","Data",""))))))</f>
        <v/>
      </c>
      <c r="B80" s="48">
        <f>IF($L80="D",INDEX('Zgłoszenia'!$B$5:$B$504,$M80)&amp;"",IF($L80="U",INDEX('Dane rozpisek'!$F$2:$F$2600,$M80)&amp;"",IF($L80="H","Wózek","")))</f>
        <v/>
      </c>
      <c r="C80" s="48">
        <f>IF($L80="D",INDEX('Zgłoszenia'!$E$5:$E$504,$M80)&amp;"",IF($L80="U",INDEX('Dane rozpisek'!$B$2:$B$2600,$M80)&amp;" · "&amp;INDEX('Dane rozpisek'!$J$2:$J$2600,$M80),IF($L80="H","Zmiana","")))</f>
        <v/>
      </c>
      <c r="D80" s="49">
        <f>IF($L80="D",INDEX('Zgłoszenia'!$H$5:$H$504,$M80)&amp;"",IF($L80="U",INDEX('Dane rozpisek'!$E$2:$E$2600,$M80)&amp;"",IF($L80="H","Operator","")))</f>
        <v/>
      </c>
      <c r="E80" s="49">
        <f>IF($L80="D",INDEX('Zgłoszenia'!$I$5:$I$504,$M80)&amp;"",IF($L80="U",INDEX('Dane rozpisek'!$C$2:$C$2600,$M80)&amp;"",IF($L80="H","Stanowisko","")))</f>
        <v/>
      </c>
      <c r="F80" s="48">
        <f>IF($L80="D",INDEX('Zgłoszenia'!$J$5:$J$504,$M80)&amp;"",IF($L80="U",INDEX('Dane rozpisek'!$G$2:$G$2600,$M80)&amp;"",IF($L80="H","Uwagi","")))</f>
        <v/>
      </c>
      <c r="G80" s="49">
        <f>IF($L80="D",INDEX('Zgłoszenia'!$F$5:$F$504,$M80)&amp;"",IF($L80="U",INDEX('Dane rozpisek'!$L$2:$L$2600,$M80)&amp;"",IF($L80="H","Usterki (dzień / następny)","")))</f>
        <v/>
      </c>
      <c r="H80" s="49">
        <f>IF($L80="D",INDEX('Zgłoszenia'!$P$5:$P$504,$M80)&amp;"",IF($L80="U","",""))</f>
        <v/>
      </c>
      <c r="I80" s="48">
        <f>IF($L80="D",IF(INDEX('Zgłoszenia'!$M$5:$M$504,$M80)="","Zgłoszona",INDEX('Zgłoszenia'!$M$5:$M$504,$M80)),IF($L80="U","",""))</f>
        <v/>
      </c>
      <c r="J80" s="49">
        <f>IF($L80="D",INDEX('Zgłoszenia'!$K$5:$K$504,$M80)&amp;"",IF($L80="U","",""))</f>
        <v/>
      </c>
      <c r="K80" s="2" t="n"/>
      <c r="L80" s="2">
        <f>IF((ROW()-12)&lt;=$L$5,IF($L$2=0,"E1","D"),IF((ROW()-12)=$L$5+1,"",IF((ROW()-12)=$L$5+2,"T",IF((ROW()-12)=$L$5+3,IF($L$3=0,"E2","H"),IF((ROW()-12)&lt;=$L$5+3+$L$3,"U","")))))</f>
        <v/>
      </c>
      <c r="M80" s="2">
        <f>IF(L80="D",MATCH(LARGE('Zgłoszenia'!$Q$5:$Q$504,(ROW()-12)),'Zgłoszenia'!$Q$5:$Q$504,0),IF(L80="U",MATCH(LARGE('Dane rozpisek'!$I$2:$I$2600,(ROW()-12)-$L$5-3),'Dane rozpisek'!$I$2:$I$2600,0),""))</f>
        <v/>
      </c>
    </row>
    <row r="81">
      <c r="A81" s="47">
        <f>IF($L81="D",INDEX('Zgłoszenia'!$D$5:$D$504,$M81),IF($L81="U",INDEX('Dane rozpisek'!$A$2:$A$2600,$M81),IF($L81="T","KTO JEŹDZIŁ",IF($L81="E1","Brak zgłoszonych usterek w tym okresie.",IF($L81="E2","Brak wpisów z tym wózkiem w rozpiskach dla tego okresu.",IF($L81="H","Data",""))))))</f>
        <v/>
      </c>
      <c r="B81" s="48">
        <f>IF($L81="D",INDEX('Zgłoszenia'!$B$5:$B$504,$M81)&amp;"",IF($L81="U",INDEX('Dane rozpisek'!$F$2:$F$2600,$M81)&amp;"",IF($L81="H","Wózek","")))</f>
        <v/>
      </c>
      <c r="C81" s="48">
        <f>IF($L81="D",INDEX('Zgłoszenia'!$E$5:$E$504,$M81)&amp;"",IF($L81="U",INDEX('Dane rozpisek'!$B$2:$B$2600,$M81)&amp;" · "&amp;INDEX('Dane rozpisek'!$J$2:$J$2600,$M81),IF($L81="H","Zmiana","")))</f>
        <v/>
      </c>
      <c r="D81" s="49">
        <f>IF($L81="D",INDEX('Zgłoszenia'!$H$5:$H$504,$M81)&amp;"",IF($L81="U",INDEX('Dane rozpisek'!$E$2:$E$2600,$M81)&amp;"",IF($L81="H","Operator","")))</f>
        <v/>
      </c>
      <c r="E81" s="49">
        <f>IF($L81="D",INDEX('Zgłoszenia'!$I$5:$I$504,$M81)&amp;"",IF($L81="U",INDEX('Dane rozpisek'!$C$2:$C$2600,$M81)&amp;"",IF($L81="H","Stanowisko","")))</f>
        <v/>
      </c>
      <c r="F81" s="48">
        <f>IF($L81="D",INDEX('Zgłoszenia'!$J$5:$J$504,$M81)&amp;"",IF($L81="U",INDEX('Dane rozpisek'!$G$2:$G$2600,$M81)&amp;"",IF($L81="H","Uwagi","")))</f>
        <v/>
      </c>
      <c r="G81" s="49">
        <f>IF($L81="D",INDEX('Zgłoszenia'!$F$5:$F$504,$M81)&amp;"",IF($L81="U",INDEX('Dane rozpisek'!$L$2:$L$2600,$M81)&amp;"",IF($L81="H","Usterki (dzień / następny)","")))</f>
        <v/>
      </c>
      <c r="H81" s="49">
        <f>IF($L81="D",INDEX('Zgłoszenia'!$P$5:$P$504,$M81)&amp;"",IF($L81="U","",""))</f>
        <v/>
      </c>
      <c r="I81" s="48">
        <f>IF($L81="D",IF(INDEX('Zgłoszenia'!$M$5:$M$504,$M81)="","Zgłoszona",INDEX('Zgłoszenia'!$M$5:$M$504,$M81)),IF($L81="U","",""))</f>
        <v/>
      </c>
      <c r="J81" s="49">
        <f>IF($L81="D",INDEX('Zgłoszenia'!$K$5:$K$504,$M81)&amp;"",IF($L81="U","",""))</f>
        <v/>
      </c>
      <c r="K81" s="2" t="n"/>
      <c r="L81" s="2">
        <f>IF((ROW()-12)&lt;=$L$5,IF($L$2=0,"E1","D"),IF((ROW()-12)=$L$5+1,"",IF((ROW()-12)=$L$5+2,"T",IF((ROW()-12)=$L$5+3,IF($L$3=0,"E2","H"),IF((ROW()-12)&lt;=$L$5+3+$L$3,"U","")))))</f>
        <v/>
      </c>
      <c r="M81" s="2">
        <f>IF(L81="D",MATCH(LARGE('Zgłoszenia'!$Q$5:$Q$504,(ROW()-12)),'Zgłoszenia'!$Q$5:$Q$504,0),IF(L81="U",MATCH(LARGE('Dane rozpisek'!$I$2:$I$2600,(ROW()-12)-$L$5-3),'Dane rozpisek'!$I$2:$I$2600,0),""))</f>
        <v/>
      </c>
    </row>
    <row r="82">
      <c r="A82" s="47">
        <f>IF($L82="D",INDEX('Zgłoszenia'!$D$5:$D$504,$M82),IF($L82="U",INDEX('Dane rozpisek'!$A$2:$A$2600,$M82),IF($L82="T","KTO JEŹDZIŁ",IF($L82="E1","Brak zgłoszonych usterek w tym okresie.",IF($L82="E2","Brak wpisów z tym wózkiem w rozpiskach dla tego okresu.",IF($L82="H","Data",""))))))</f>
        <v/>
      </c>
      <c r="B82" s="48">
        <f>IF($L82="D",INDEX('Zgłoszenia'!$B$5:$B$504,$M82)&amp;"",IF($L82="U",INDEX('Dane rozpisek'!$F$2:$F$2600,$M82)&amp;"",IF($L82="H","Wózek","")))</f>
        <v/>
      </c>
      <c r="C82" s="48">
        <f>IF($L82="D",INDEX('Zgłoszenia'!$E$5:$E$504,$M82)&amp;"",IF($L82="U",INDEX('Dane rozpisek'!$B$2:$B$2600,$M82)&amp;" · "&amp;INDEX('Dane rozpisek'!$J$2:$J$2600,$M82),IF($L82="H","Zmiana","")))</f>
        <v/>
      </c>
      <c r="D82" s="49">
        <f>IF($L82="D",INDEX('Zgłoszenia'!$H$5:$H$504,$M82)&amp;"",IF($L82="U",INDEX('Dane rozpisek'!$E$2:$E$2600,$M82)&amp;"",IF($L82="H","Operator","")))</f>
        <v/>
      </c>
      <c r="E82" s="49">
        <f>IF($L82="D",INDEX('Zgłoszenia'!$I$5:$I$504,$M82)&amp;"",IF($L82="U",INDEX('Dane rozpisek'!$C$2:$C$2600,$M82)&amp;"",IF($L82="H","Stanowisko","")))</f>
        <v/>
      </c>
      <c r="F82" s="48">
        <f>IF($L82="D",INDEX('Zgłoszenia'!$J$5:$J$504,$M82)&amp;"",IF($L82="U",INDEX('Dane rozpisek'!$G$2:$G$2600,$M82)&amp;"",IF($L82="H","Uwagi","")))</f>
        <v/>
      </c>
      <c r="G82" s="49">
        <f>IF($L82="D",INDEX('Zgłoszenia'!$F$5:$F$504,$M82)&amp;"",IF($L82="U",INDEX('Dane rozpisek'!$L$2:$L$2600,$M82)&amp;"",IF($L82="H","Usterki (dzień / następny)","")))</f>
        <v/>
      </c>
      <c r="H82" s="49">
        <f>IF($L82="D",INDEX('Zgłoszenia'!$P$5:$P$504,$M82)&amp;"",IF($L82="U","",""))</f>
        <v/>
      </c>
      <c r="I82" s="48">
        <f>IF($L82="D",IF(INDEX('Zgłoszenia'!$M$5:$M$504,$M82)="","Zgłoszona",INDEX('Zgłoszenia'!$M$5:$M$504,$M82)),IF($L82="U","",""))</f>
        <v/>
      </c>
      <c r="J82" s="49">
        <f>IF($L82="D",INDEX('Zgłoszenia'!$K$5:$K$504,$M82)&amp;"",IF($L82="U","",""))</f>
        <v/>
      </c>
      <c r="K82" s="2" t="n"/>
      <c r="L82" s="2">
        <f>IF((ROW()-12)&lt;=$L$5,IF($L$2=0,"E1","D"),IF((ROW()-12)=$L$5+1,"",IF((ROW()-12)=$L$5+2,"T",IF((ROW()-12)=$L$5+3,IF($L$3=0,"E2","H"),IF((ROW()-12)&lt;=$L$5+3+$L$3,"U","")))))</f>
        <v/>
      </c>
      <c r="M82" s="2">
        <f>IF(L82="D",MATCH(LARGE('Zgłoszenia'!$Q$5:$Q$504,(ROW()-12)),'Zgłoszenia'!$Q$5:$Q$504,0),IF(L82="U",MATCH(LARGE('Dane rozpisek'!$I$2:$I$2600,(ROW()-12)-$L$5-3),'Dane rozpisek'!$I$2:$I$2600,0),""))</f>
        <v/>
      </c>
    </row>
    <row r="83">
      <c r="A83" s="47">
        <f>IF($L83="D",INDEX('Zgłoszenia'!$D$5:$D$504,$M83),IF($L83="U",INDEX('Dane rozpisek'!$A$2:$A$2600,$M83),IF($L83="T","KTO JEŹDZIŁ",IF($L83="E1","Brak zgłoszonych usterek w tym okresie.",IF($L83="E2","Brak wpisów z tym wózkiem w rozpiskach dla tego okresu.",IF($L83="H","Data",""))))))</f>
        <v/>
      </c>
      <c r="B83" s="48">
        <f>IF($L83="D",INDEX('Zgłoszenia'!$B$5:$B$504,$M83)&amp;"",IF($L83="U",INDEX('Dane rozpisek'!$F$2:$F$2600,$M83)&amp;"",IF($L83="H","Wózek","")))</f>
        <v/>
      </c>
      <c r="C83" s="48">
        <f>IF($L83="D",INDEX('Zgłoszenia'!$E$5:$E$504,$M83)&amp;"",IF($L83="U",INDEX('Dane rozpisek'!$B$2:$B$2600,$M83)&amp;" · "&amp;INDEX('Dane rozpisek'!$J$2:$J$2600,$M83),IF($L83="H","Zmiana","")))</f>
        <v/>
      </c>
      <c r="D83" s="49">
        <f>IF($L83="D",INDEX('Zgłoszenia'!$H$5:$H$504,$M83)&amp;"",IF($L83="U",INDEX('Dane rozpisek'!$E$2:$E$2600,$M83)&amp;"",IF($L83="H","Operator","")))</f>
        <v/>
      </c>
      <c r="E83" s="49">
        <f>IF($L83="D",INDEX('Zgłoszenia'!$I$5:$I$504,$M83)&amp;"",IF($L83="U",INDEX('Dane rozpisek'!$C$2:$C$2600,$M83)&amp;"",IF($L83="H","Stanowisko","")))</f>
        <v/>
      </c>
      <c r="F83" s="48">
        <f>IF($L83="D",INDEX('Zgłoszenia'!$J$5:$J$504,$M83)&amp;"",IF($L83="U",INDEX('Dane rozpisek'!$G$2:$G$2600,$M83)&amp;"",IF($L83="H","Uwagi","")))</f>
        <v/>
      </c>
      <c r="G83" s="49">
        <f>IF($L83="D",INDEX('Zgłoszenia'!$F$5:$F$504,$M83)&amp;"",IF($L83="U",INDEX('Dane rozpisek'!$L$2:$L$2600,$M83)&amp;"",IF($L83="H","Usterki (dzień / następny)","")))</f>
        <v/>
      </c>
      <c r="H83" s="49">
        <f>IF($L83="D",INDEX('Zgłoszenia'!$P$5:$P$504,$M83)&amp;"",IF($L83="U","",""))</f>
        <v/>
      </c>
      <c r="I83" s="48">
        <f>IF($L83="D",IF(INDEX('Zgłoszenia'!$M$5:$M$504,$M83)="","Zgłoszona",INDEX('Zgłoszenia'!$M$5:$M$504,$M83)),IF($L83="U","",""))</f>
        <v/>
      </c>
      <c r="J83" s="49">
        <f>IF($L83="D",INDEX('Zgłoszenia'!$K$5:$K$504,$M83)&amp;"",IF($L83="U","",""))</f>
        <v/>
      </c>
      <c r="K83" s="2" t="n"/>
      <c r="L83" s="2">
        <f>IF((ROW()-12)&lt;=$L$5,IF($L$2=0,"E1","D"),IF((ROW()-12)=$L$5+1,"",IF((ROW()-12)=$L$5+2,"T",IF((ROW()-12)=$L$5+3,IF($L$3=0,"E2","H"),IF((ROW()-12)&lt;=$L$5+3+$L$3,"U","")))))</f>
        <v/>
      </c>
      <c r="M83" s="2">
        <f>IF(L83="D",MATCH(LARGE('Zgłoszenia'!$Q$5:$Q$504,(ROW()-12)),'Zgłoszenia'!$Q$5:$Q$504,0),IF(L83="U",MATCH(LARGE('Dane rozpisek'!$I$2:$I$2600,(ROW()-12)-$L$5-3),'Dane rozpisek'!$I$2:$I$2600,0),""))</f>
        <v/>
      </c>
    </row>
    <row r="84">
      <c r="A84" s="47">
        <f>IF($L84="D",INDEX('Zgłoszenia'!$D$5:$D$504,$M84),IF($L84="U",INDEX('Dane rozpisek'!$A$2:$A$2600,$M84),IF($L84="T","KTO JEŹDZIŁ",IF($L84="E1","Brak zgłoszonych usterek w tym okresie.",IF($L84="E2","Brak wpisów z tym wózkiem w rozpiskach dla tego okresu.",IF($L84="H","Data",""))))))</f>
        <v/>
      </c>
      <c r="B84" s="48">
        <f>IF($L84="D",INDEX('Zgłoszenia'!$B$5:$B$504,$M84)&amp;"",IF($L84="U",INDEX('Dane rozpisek'!$F$2:$F$2600,$M84)&amp;"",IF($L84="H","Wózek","")))</f>
        <v/>
      </c>
      <c r="C84" s="48">
        <f>IF($L84="D",INDEX('Zgłoszenia'!$E$5:$E$504,$M84)&amp;"",IF($L84="U",INDEX('Dane rozpisek'!$B$2:$B$2600,$M84)&amp;" · "&amp;INDEX('Dane rozpisek'!$J$2:$J$2600,$M84),IF($L84="H","Zmiana","")))</f>
        <v/>
      </c>
      <c r="D84" s="49">
        <f>IF($L84="D",INDEX('Zgłoszenia'!$H$5:$H$504,$M84)&amp;"",IF($L84="U",INDEX('Dane rozpisek'!$E$2:$E$2600,$M84)&amp;"",IF($L84="H","Operator","")))</f>
        <v/>
      </c>
      <c r="E84" s="49">
        <f>IF($L84="D",INDEX('Zgłoszenia'!$I$5:$I$504,$M84)&amp;"",IF($L84="U",INDEX('Dane rozpisek'!$C$2:$C$2600,$M84)&amp;"",IF($L84="H","Stanowisko","")))</f>
        <v/>
      </c>
      <c r="F84" s="48">
        <f>IF($L84="D",INDEX('Zgłoszenia'!$J$5:$J$504,$M84)&amp;"",IF($L84="U",INDEX('Dane rozpisek'!$G$2:$G$2600,$M84)&amp;"",IF($L84="H","Uwagi","")))</f>
        <v/>
      </c>
      <c r="G84" s="49">
        <f>IF($L84="D",INDEX('Zgłoszenia'!$F$5:$F$504,$M84)&amp;"",IF($L84="U",INDEX('Dane rozpisek'!$L$2:$L$2600,$M84)&amp;"",IF($L84="H","Usterki (dzień / następny)","")))</f>
        <v/>
      </c>
      <c r="H84" s="49">
        <f>IF($L84="D",INDEX('Zgłoszenia'!$P$5:$P$504,$M84)&amp;"",IF($L84="U","",""))</f>
        <v/>
      </c>
      <c r="I84" s="48">
        <f>IF($L84="D",IF(INDEX('Zgłoszenia'!$M$5:$M$504,$M84)="","Zgłoszona",INDEX('Zgłoszenia'!$M$5:$M$504,$M84)),IF($L84="U","",""))</f>
        <v/>
      </c>
      <c r="J84" s="49">
        <f>IF($L84="D",INDEX('Zgłoszenia'!$K$5:$K$504,$M84)&amp;"",IF($L84="U","",""))</f>
        <v/>
      </c>
      <c r="K84" s="2" t="n"/>
      <c r="L84" s="2">
        <f>IF((ROW()-12)&lt;=$L$5,IF($L$2=0,"E1","D"),IF((ROW()-12)=$L$5+1,"",IF((ROW()-12)=$L$5+2,"T",IF((ROW()-12)=$L$5+3,IF($L$3=0,"E2","H"),IF((ROW()-12)&lt;=$L$5+3+$L$3,"U","")))))</f>
        <v/>
      </c>
      <c r="M84" s="2">
        <f>IF(L84="D",MATCH(LARGE('Zgłoszenia'!$Q$5:$Q$504,(ROW()-12)),'Zgłoszenia'!$Q$5:$Q$504,0),IF(L84="U",MATCH(LARGE('Dane rozpisek'!$I$2:$I$2600,(ROW()-12)-$L$5-3),'Dane rozpisek'!$I$2:$I$2600,0),""))</f>
        <v/>
      </c>
    </row>
    <row r="85">
      <c r="A85" s="47">
        <f>IF($L85="D",INDEX('Zgłoszenia'!$D$5:$D$504,$M85),IF($L85="U",INDEX('Dane rozpisek'!$A$2:$A$2600,$M85),IF($L85="T","KTO JEŹDZIŁ",IF($L85="E1","Brak zgłoszonych usterek w tym okresie.",IF($L85="E2","Brak wpisów z tym wózkiem w rozpiskach dla tego okresu.",IF($L85="H","Data",""))))))</f>
        <v/>
      </c>
      <c r="B85" s="48">
        <f>IF($L85="D",INDEX('Zgłoszenia'!$B$5:$B$504,$M85)&amp;"",IF($L85="U",INDEX('Dane rozpisek'!$F$2:$F$2600,$M85)&amp;"",IF($L85="H","Wózek","")))</f>
        <v/>
      </c>
      <c r="C85" s="48">
        <f>IF($L85="D",INDEX('Zgłoszenia'!$E$5:$E$504,$M85)&amp;"",IF($L85="U",INDEX('Dane rozpisek'!$B$2:$B$2600,$M85)&amp;" · "&amp;INDEX('Dane rozpisek'!$J$2:$J$2600,$M85),IF($L85="H","Zmiana","")))</f>
        <v/>
      </c>
      <c r="D85" s="49">
        <f>IF($L85="D",INDEX('Zgłoszenia'!$H$5:$H$504,$M85)&amp;"",IF($L85="U",INDEX('Dane rozpisek'!$E$2:$E$2600,$M85)&amp;"",IF($L85="H","Operator","")))</f>
        <v/>
      </c>
      <c r="E85" s="49">
        <f>IF($L85="D",INDEX('Zgłoszenia'!$I$5:$I$504,$M85)&amp;"",IF($L85="U",INDEX('Dane rozpisek'!$C$2:$C$2600,$M85)&amp;"",IF($L85="H","Stanowisko","")))</f>
        <v/>
      </c>
      <c r="F85" s="48">
        <f>IF($L85="D",INDEX('Zgłoszenia'!$J$5:$J$504,$M85)&amp;"",IF($L85="U",INDEX('Dane rozpisek'!$G$2:$G$2600,$M85)&amp;"",IF($L85="H","Uwagi","")))</f>
        <v/>
      </c>
      <c r="G85" s="49">
        <f>IF($L85="D",INDEX('Zgłoszenia'!$F$5:$F$504,$M85)&amp;"",IF($L85="U",INDEX('Dane rozpisek'!$L$2:$L$2600,$M85)&amp;"",IF($L85="H","Usterki (dzień / następny)","")))</f>
        <v/>
      </c>
      <c r="H85" s="49">
        <f>IF($L85="D",INDEX('Zgłoszenia'!$P$5:$P$504,$M85)&amp;"",IF($L85="U","",""))</f>
        <v/>
      </c>
      <c r="I85" s="48">
        <f>IF($L85="D",IF(INDEX('Zgłoszenia'!$M$5:$M$504,$M85)="","Zgłoszona",INDEX('Zgłoszenia'!$M$5:$M$504,$M85)),IF($L85="U","",""))</f>
        <v/>
      </c>
      <c r="J85" s="49">
        <f>IF($L85="D",INDEX('Zgłoszenia'!$K$5:$K$504,$M85)&amp;"",IF($L85="U","",""))</f>
        <v/>
      </c>
      <c r="K85" s="2" t="n"/>
      <c r="L85" s="2">
        <f>IF((ROW()-12)&lt;=$L$5,IF($L$2=0,"E1","D"),IF((ROW()-12)=$L$5+1,"",IF((ROW()-12)=$L$5+2,"T",IF((ROW()-12)=$L$5+3,IF($L$3=0,"E2","H"),IF((ROW()-12)&lt;=$L$5+3+$L$3,"U","")))))</f>
        <v/>
      </c>
      <c r="M85" s="2">
        <f>IF(L85="D",MATCH(LARGE('Zgłoszenia'!$Q$5:$Q$504,(ROW()-12)),'Zgłoszenia'!$Q$5:$Q$504,0),IF(L85="U",MATCH(LARGE('Dane rozpisek'!$I$2:$I$2600,(ROW()-12)-$L$5-3),'Dane rozpisek'!$I$2:$I$2600,0),""))</f>
        <v/>
      </c>
    </row>
    <row r="86">
      <c r="A86" s="47">
        <f>IF($L86="D",INDEX('Zgłoszenia'!$D$5:$D$504,$M86),IF($L86="U",INDEX('Dane rozpisek'!$A$2:$A$2600,$M86),IF($L86="T","KTO JEŹDZIŁ",IF($L86="E1","Brak zgłoszonych usterek w tym okresie.",IF($L86="E2","Brak wpisów z tym wózkiem w rozpiskach dla tego okresu.",IF($L86="H","Data",""))))))</f>
        <v/>
      </c>
      <c r="B86" s="48">
        <f>IF($L86="D",INDEX('Zgłoszenia'!$B$5:$B$504,$M86)&amp;"",IF($L86="U",INDEX('Dane rozpisek'!$F$2:$F$2600,$M86)&amp;"",IF($L86="H","Wózek","")))</f>
        <v/>
      </c>
      <c r="C86" s="48">
        <f>IF($L86="D",INDEX('Zgłoszenia'!$E$5:$E$504,$M86)&amp;"",IF($L86="U",INDEX('Dane rozpisek'!$B$2:$B$2600,$M86)&amp;" · "&amp;INDEX('Dane rozpisek'!$J$2:$J$2600,$M86),IF($L86="H","Zmiana","")))</f>
        <v/>
      </c>
      <c r="D86" s="49">
        <f>IF($L86="D",INDEX('Zgłoszenia'!$H$5:$H$504,$M86)&amp;"",IF($L86="U",INDEX('Dane rozpisek'!$E$2:$E$2600,$M86)&amp;"",IF($L86="H","Operator","")))</f>
        <v/>
      </c>
      <c r="E86" s="49">
        <f>IF($L86="D",INDEX('Zgłoszenia'!$I$5:$I$504,$M86)&amp;"",IF($L86="U",INDEX('Dane rozpisek'!$C$2:$C$2600,$M86)&amp;"",IF($L86="H","Stanowisko","")))</f>
        <v/>
      </c>
      <c r="F86" s="48">
        <f>IF($L86="D",INDEX('Zgłoszenia'!$J$5:$J$504,$M86)&amp;"",IF($L86="U",INDEX('Dane rozpisek'!$G$2:$G$2600,$M86)&amp;"",IF($L86="H","Uwagi","")))</f>
        <v/>
      </c>
      <c r="G86" s="49">
        <f>IF($L86="D",INDEX('Zgłoszenia'!$F$5:$F$504,$M86)&amp;"",IF($L86="U",INDEX('Dane rozpisek'!$L$2:$L$2600,$M86)&amp;"",IF($L86="H","Usterki (dzień / następny)","")))</f>
        <v/>
      </c>
      <c r="H86" s="49">
        <f>IF($L86="D",INDEX('Zgłoszenia'!$P$5:$P$504,$M86)&amp;"",IF($L86="U","",""))</f>
        <v/>
      </c>
      <c r="I86" s="48">
        <f>IF($L86="D",IF(INDEX('Zgłoszenia'!$M$5:$M$504,$M86)="","Zgłoszona",INDEX('Zgłoszenia'!$M$5:$M$504,$M86)),IF($L86="U","",""))</f>
        <v/>
      </c>
      <c r="J86" s="49">
        <f>IF($L86="D",INDEX('Zgłoszenia'!$K$5:$K$504,$M86)&amp;"",IF($L86="U","",""))</f>
        <v/>
      </c>
      <c r="K86" s="2" t="n"/>
      <c r="L86" s="2">
        <f>IF((ROW()-12)&lt;=$L$5,IF($L$2=0,"E1","D"),IF((ROW()-12)=$L$5+1,"",IF((ROW()-12)=$L$5+2,"T",IF((ROW()-12)=$L$5+3,IF($L$3=0,"E2","H"),IF((ROW()-12)&lt;=$L$5+3+$L$3,"U","")))))</f>
        <v/>
      </c>
      <c r="M86" s="2">
        <f>IF(L86="D",MATCH(LARGE('Zgłoszenia'!$Q$5:$Q$504,(ROW()-12)),'Zgłoszenia'!$Q$5:$Q$504,0),IF(L86="U",MATCH(LARGE('Dane rozpisek'!$I$2:$I$2600,(ROW()-12)-$L$5-3),'Dane rozpisek'!$I$2:$I$2600,0),""))</f>
        <v/>
      </c>
    </row>
    <row r="87">
      <c r="A87" s="47">
        <f>IF($L87="D",INDEX('Zgłoszenia'!$D$5:$D$504,$M87),IF($L87="U",INDEX('Dane rozpisek'!$A$2:$A$2600,$M87),IF($L87="T","KTO JEŹDZIŁ",IF($L87="E1","Brak zgłoszonych usterek w tym okresie.",IF($L87="E2","Brak wpisów z tym wózkiem w rozpiskach dla tego okresu.",IF($L87="H","Data",""))))))</f>
        <v/>
      </c>
      <c r="B87" s="48">
        <f>IF($L87="D",INDEX('Zgłoszenia'!$B$5:$B$504,$M87)&amp;"",IF($L87="U",INDEX('Dane rozpisek'!$F$2:$F$2600,$M87)&amp;"",IF($L87="H","Wózek","")))</f>
        <v/>
      </c>
      <c r="C87" s="48">
        <f>IF($L87="D",INDEX('Zgłoszenia'!$E$5:$E$504,$M87)&amp;"",IF($L87="U",INDEX('Dane rozpisek'!$B$2:$B$2600,$M87)&amp;" · "&amp;INDEX('Dane rozpisek'!$J$2:$J$2600,$M87),IF($L87="H","Zmiana","")))</f>
        <v/>
      </c>
      <c r="D87" s="49">
        <f>IF($L87="D",INDEX('Zgłoszenia'!$H$5:$H$504,$M87)&amp;"",IF($L87="U",INDEX('Dane rozpisek'!$E$2:$E$2600,$M87)&amp;"",IF($L87="H","Operator","")))</f>
        <v/>
      </c>
      <c r="E87" s="49">
        <f>IF($L87="D",INDEX('Zgłoszenia'!$I$5:$I$504,$M87)&amp;"",IF($L87="U",INDEX('Dane rozpisek'!$C$2:$C$2600,$M87)&amp;"",IF($L87="H","Stanowisko","")))</f>
        <v/>
      </c>
      <c r="F87" s="48">
        <f>IF($L87="D",INDEX('Zgłoszenia'!$J$5:$J$504,$M87)&amp;"",IF($L87="U",INDEX('Dane rozpisek'!$G$2:$G$2600,$M87)&amp;"",IF($L87="H","Uwagi","")))</f>
        <v/>
      </c>
      <c r="G87" s="49">
        <f>IF($L87="D",INDEX('Zgłoszenia'!$F$5:$F$504,$M87)&amp;"",IF($L87="U",INDEX('Dane rozpisek'!$L$2:$L$2600,$M87)&amp;"",IF($L87="H","Usterki (dzień / następny)","")))</f>
        <v/>
      </c>
      <c r="H87" s="49">
        <f>IF($L87="D",INDEX('Zgłoszenia'!$P$5:$P$504,$M87)&amp;"",IF($L87="U","",""))</f>
        <v/>
      </c>
      <c r="I87" s="48">
        <f>IF($L87="D",IF(INDEX('Zgłoszenia'!$M$5:$M$504,$M87)="","Zgłoszona",INDEX('Zgłoszenia'!$M$5:$M$504,$M87)),IF($L87="U","",""))</f>
        <v/>
      </c>
      <c r="J87" s="49">
        <f>IF($L87="D",INDEX('Zgłoszenia'!$K$5:$K$504,$M87)&amp;"",IF($L87="U","",""))</f>
        <v/>
      </c>
      <c r="K87" s="2" t="n"/>
      <c r="L87" s="2">
        <f>IF((ROW()-12)&lt;=$L$5,IF($L$2=0,"E1","D"),IF((ROW()-12)=$L$5+1,"",IF((ROW()-12)=$L$5+2,"T",IF((ROW()-12)=$L$5+3,IF($L$3=0,"E2","H"),IF((ROW()-12)&lt;=$L$5+3+$L$3,"U","")))))</f>
        <v/>
      </c>
      <c r="M87" s="2">
        <f>IF(L87="D",MATCH(LARGE('Zgłoszenia'!$Q$5:$Q$504,(ROW()-12)),'Zgłoszenia'!$Q$5:$Q$504,0),IF(L87="U",MATCH(LARGE('Dane rozpisek'!$I$2:$I$2600,(ROW()-12)-$L$5-3),'Dane rozpisek'!$I$2:$I$2600,0),""))</f>
        <v/>
      </c>
    </row>
    <row r="88">
      <c r="A88" s="47">
        <f>IF($L88="D",INDEX('Zgłoszenia'!$D$5:$D$504,$M88),IF($L88="U",INDEX('Dane rozpisek'!$A$2:$A$2600,$M88),IF($L88="T","KTO JEŹDZIŁ",IF($L88="E1","Brak zgłoszonych usterek w tym okresie.",IF($L88="E2","Brak wpisów z tym wózkiem w rozpiskach dla tego okresu.",IF($L88="H","Data",""))))))</f>
        <v/>
      </c>
      <c r="B88" s="48">
        <f>IF($L88="D",INDEX('Zgłoszenia'!$B$5:$B$504,$M88)&amp;"",IF($L88="U",INDEX('Dane rozpisek'!$F$2:$F$2600,$M88)&amp;"",IF($L88="H","Wózek","")))</f>
        <v/>
      </c>
      <c r="C88" s="48">
        <f>IF($L88="D",INDEX('Zgłoszenia'!$E$5:$E$504,$M88)&amp;"",IF($L88="U",INDEX('Dane rozpisek'!$B$2:$B$2600,$M88)&amp;" · "&amp;INDEX('Dane rozpisek'!$J$2:$J$2600,$M88),IF($L88="H","Zmiana","")))</f>
        <v/>
      </c>
      <c r="D88" s="49">
        <f>IF($L88="D",INDEX('Zgłoszenia'!$H$5:$H$504,$M88)&amp;"",IF($L88="U",INDEX('Dane rozpisek'!$E$2:$E$2600,$M88)&amp;"",IF($L88="H","Operator","")))</f>
        <v/>
      </c>
      <c r="E88" s="49">
        <f>IF($L88="D",INDEX('Zgłoszenia'!$I$5:$I$504,$M88)&amp;"",IF($L88="U",INDEX('Dane rozpisek'!$C$2:$C$2600,$M88)&amp;"",IF($L88="H","Stanowisko","")))</f>
        <v/>
      </c>
      <c r="F88" s="48">
        <f>IF($L88="D",INDEX('Zgłoszenia'!$J$5:$J$504,$M88)&amp;"",IF($L88="U",INDEX('Dane rozpisek'!$G$2:$G$2600,$M88)&amp;"",IF($L88="H","Uwagi","")))</f>
        <v/>
      </c>
      <c r="G88" s="49">
        <f>IF($L88="D",INDEX('Zgłoszenia'!$F$5:$F$504,$M88)&amp;"",IF($L88="U",INDEX('Dane rozpisek'!$L$2:$L$2600,$M88)&amp;"",IF($L88="H","Usterki (dzień / następny)","")))</f>
        <v/>
      </c>
      <c r="H88" s="49">
        <f>IF($L88="D",INDEX('Zgłoszenia'!$P$5:$P$504,$M88)&amp;"",IF($L88="U","",""))</f>
        <v/>
      </c>
      <c r="I88" s="48">
        <f>IF($L88="D",IF(INDEX('Zgłoszenia'!$M$5:$M$504,$M88)="","Zgłoszona",INDEX('Zgłoszenia'!$M$5:$M$504,$M88)),IF($L88="U","",""))</f>
        <v/>
      </c>
      <c r="J88" s="49">
        <f>IF($L88="D",INDEX('Zgłoszenia'!$K$5:$K$504,$M88)&amp;"",IF($L88="U","",""))</f>
        <v/>
      </c>
      <c r="K88" s="2" t="n"/>
      <c r="L88" s="2">
        <f>IF((ROW()-12)&lt;=$L$5,IF($L$2=0,"E1","D"),IF((ROW()-12)=$L$5+1,"",IF((ROW()-12)=$L$5+2,"T",IF((ROW()-12)=$L$5+3,IF($L$3=0,"E2","H"),IF((ROW()-12)&lt;=$L$5+3+$L$3,"U","")))))</f>
        <v/>
      </c>
      <c r="M88" s="2">
        <f>IF(L88="D",MATCH(LARGE('Zgłoszenia'!$Q$5:$Q$504,(ROW()-12)),'Zgłoszenia'!$Q$5:$Q$504,0),IF(L88="U",MATCH(LARGE('Dane rozpisek'!$I$2:$I$2600,(ROW()-12)-$L$5-3),'Dane rozpisek'!$I$2:$I$2600,0),""))</f>
        <v/>
      </c>
    </row>
    <row r="89">
      <c r="A89" s="47">
        <f>IF($L89="D",INDEX('Zgłoszenia'!$D$5:$D$504,$M89),IF($L89="U",INDEX('Dane rozpisek'!$A$2:$A$2600,$M89),IF($L89="T","KTO JEŹDZIŁ",IF($L89="E1","Brak zgłoszonych usterek w tym okresie.",IF($L89="E2","Brak wpisów z tym wózkiem w rozpiskach dla tego okresu.",IF($L89="H","Data",""))))))</f>
        <v/>
      </c>
      <c r="B89" s="48">
        <f>IF($L89="D",INDEX('Zgłoszenia'!$B$5:$B$504,$M89)&amp;"",IF($L89="U",INDEX('Dane rozpisek'!$F$2:$F$2600,$M89)&amp;"",IF($L89="H","Wózek","")))</f>
        <v/>
      </c>
      <c r="C89" s="48">
        <f>IF($L89="D",INDEX('Zgłoszenia'!$E$5:$E$504,$M89)&amp;"",IF($L89="U",INDEX('Dane rozpisek'!$B$2:$B$2600,$M89)&amp;" · "&amp;INDEX('Dane rozpisek'!$J$2:$J$2600,$M89),IF($L89="H","Zmiana","")))</f>
        <v/>
      </c>
      <c r="D89" s="49">
        <f>IF($L89="D",INDEX('Zgłoszenia'!$H$5:$H$504,$M89)&amp;"",IF($L89="U",INDEX('Dane rozpisek'!$E$2:$E$2600,$M89)&amp;"",IF($L89="H","Operator","")))</f>
        <v/>
      </c>
      <c r="E89" s="49">
        <f>IF($L89="D",INDEX('Zgłoszenia'!$I$5:$I$504,$M89)&amp;"",IF($L89="U",INDEX('Dane rozpisek'!$C$2:$C$2600,$M89)&amp;"",IF($L89="H","Stanowisko","")))</f>
        <v/>
      </c>
      <c r="F89" s="48">
        <f>IF($L89="D",INDEX('Zgłoszenia'!$J$5:$J$504,$M89)&amp;"",IF($L89="U",INDEX('Dane rozpisek'!$G$2:$G$2600,$M89)&amp;"",IF($L89="H","Uwagi","")))</f>
        <v/>
      </c>
      <c r="G89" s="49">
        <f>IF($L89="D",INDEX('Zgłoszenia'!$F$5:$F$504,$M89)&amp;"",IF($L89="U",INDEX('Dane rozpisek'!$L$2:$L$2600,$M89)&amp;"",IF($L89="H","Usterki (dzień / następny)","")))</f>
        <v/>
      </c>
      <c r="H89" s="49">
        <f>IF($L89="D",INDEX('Zgłoszenia'!$P$5:$P$504,$M89)&amp;"",IF($L89="U","",""))</f>
        <v/>
      </c>
      <c r="I89" s="48">
        <f>IF($L89="D",IF(INDEX('Zgłoszenia'!$M$5:$M$504,$M89)="","Zgłoszona",INDEX('Zgłoszenia'!$M$5:$M$504,$M89)),IF($L89="U","",""))</f>
        <v/>
      </c>
      <c r="J89" s="49">
        <f>IF($L89="D",INDEX('Zgłoszenia'!$K$5:$K$504,$M89)&amp;"",IF($L89="U","",""))</f>
        <v/>
      </c>
      <c r="K89" s="2" t="n"/>
      <c r="L89" s="2">
        <f>IF((ROW()-12)&lt;=$L$5,IF($L$2=0,"E1","D"),IF((ROW()-12)=$L$5+1,"",IF((ROW()-12)=$L$5+2,"T",IF((ROW()-12)=$L$5+3,IF($L$3=0,"E2","H"),IF((ROW()-12)&lt;=$L$5+3+$L$3,"U","")))))</f>
        <v/>
      </c>
      <c r="M89" s="2">
        <f>IF(L89="D",MATCH(LARGE('Zgłoszenia'!$Q$5:$Q$504,(ROW()-12)),'Zgłoszenia'!$Q$5:$Q$504,0),IF(L89="U",MATCH(LARGE('Dane rozpisek'!$I$2:$I$2600,(ROW()-12)-$L$5-3),'Dane rozpisek'!$I$2:$I$2600,0),""))</f>
        <v/>
      </c>
    </row>
    <row r="90">
      <c r="A90" s="47">
        <f>IF($L90="D",INDEX('Zgłoszenia'!$D$5:$D$504,$M90),IF($L90="U",INDEX('Dane rozpisek'!$A$2:$A$2600,$M90),IF($L90="T","KTO JEŹDZIŁ",IF($L90="E1","Brak zgłoszonych usterek w tym okresie.",IF($L90="E2","Brak wpisów z tym wózkiem w rozpiskach dla tego okresu.",IF($L90="H","Data",""))))))</f>
        <v/>
      </c>
      <c r="B90" s="48">
        <f>IF($L90="D",INDEX('Zgłoszenia'!$B$5:$B$504,$M90)&amp;"",IF($L90="U",INDEX('Dane rozpisek'!$F$2:$F$2600,$M90)&amp;"",IF($L90="H","Wózek","")))</f>
        <v/>
      </c>
      <c r="C90" s="48">
        <f>IF($L90="D",INDEX('Zgłoszenia'!$E$5:$E$504,$M90)&amp;"",IF($L90="U",INDEX('Dane rozpisek'!$B$2:$B$2600,$M90)&amp;" · "&amp;INDEX('Dane rozpisek'!$J$2:$J$2600,$M90),IF($L90="H","Zmiana","")))</f>
        <v/>
      </c>
      <c r="D90" s="49">
        <f>IF($L90="D",INDEX('Zgłoszenia'!$H$5:$H$504,$M90)&amp;"",IF($L90="U",INDEX('Dane rozpisek'!$E$2:$E$2600,$M90)&amp;"",IF($L90="H","Operator","")))</f>
        <v/>
      </c>
      <c r="E90" s="49">
        <f>IF($L90="D",INDEX('Zgłoszenia'!$I$5:$I$504,$M90)&amp;"",IF($L90="U",INDEX('Dane rozpisek'!$C$2:$C$2600,$M90)&amp;"",IF($L90="H","Stanowisko","")))</f>
        <v/>
      </c>
      <c r="F90" s="48">
        <f>IF($L90="D",INDEX('Zgłoszenia'!$J$5:$J$504,$M90)&amp;"",IF($L90="U",INDEX('Dane rozpisek'!$G$2:$G$2600,$M90)&amp;"",IF($L90="H","Uwagi","")))</f>
        <v/>
      </c>
      <c r="G90" s="49">
        <f>IF($L90="D",INDEX('Zgłoszenia'!$F$5:$F$504,$M90)&amp;"",IF($L90="U",INDEX('Dane rozpisek'!$L$2:$L$2600,$M90)&amp;"",IF($L90="H","Usterki (dzień / następny)","")))</f>
        <v/>
      </c>
      <c r="H90" s="49">
        <f>IF($L90="D",INDEX('Zgłoszenia'!$P$5:$P$504,$M90)&amp;"",IF($L90="U","",""))</f>
        <v/>
      </c>
      <c r="I90" s="48">
        <f>IF($L90="D",IF(INDEX('Zgłoszenia'!$M$5:$M$504,$M90)="","Zgłoszona",INDEX('Zgłoszenia'!$M$5:$M$504,$M90)),IF($L90="U","",""))</f>
        <v/>
      </c>
      <c r="J90" s="49">
        <f>IF($L90="D",INDEX('Zgłoszenia'!$K$5:$K$504,$M90)&amp;"",IF($L90="U","",""))</f>
        <v/>
      </c>
      <c r="K90" s="2" t="n"/>
      <c r="L90" s="2">
        <f>IF((ROW()-12)&lt;=$L$5,IF($L$2=0,"E1","D"),IF((ROW()-12)=$L$5+1,"",IF((ROW()-12)=$L$5+2,"T",IF((ROW()-12)=$L$5+3,IF($L$3=0,"E2","H"),IF((ROW()-12)&lt;=$L$5+3+$L$3,"U","")))))</f>
        <v/>
      </c>
      <c r="M90" s="2">
        <f>IF(L90="D",MATCH(LARGE('Zgłoszenia'!$Q$5:$Q$504,(ROW()-12)),'Zgłoszenia'!$Q$5:$Q$504,0),IF(L90="U",MATCH(LARGE('Dane rozpisek'!$I$2:$I$2600,(ROW()-12)-$L$5-3),'Dane rozpisek'!$I$2:$I$2600,0),""))</f>
        <v/>
      </c>
    </row>
    <row r="91">
      <c r="A91" s="47">
        <f>IF($L91="D",INDEX('Zgłoszenia'!$D$5:$D$504,$M91),IF($L91="U",INDEX('Dane rozpisek'!$A$2:$A$2600,$M91),IF($L91="T","KTO JEŹDZIŁ",IF($L91="E1","Brak zgłoszonych usterek w tym okresie.",IF($L91="E2","Brak wpisów z tym wózkiem w rozpiskach dla tego okresu.",IF($L91="H","Data",""))))))</f>
        <v/>
      </c>
      <c r="B91" s="48">
        <f>IF($L91="D",INDEX('Zgłoszenia'!$B$5:$B$504,$M91)&amp;"",IF($L91="U",INDEX('Dane rozpisek'!$F$2:$F$2600,$M91)&amp;"",IF($L91="H","Wózek","")))</f>
        <v/>
      </c>
      <c r="C91" s="48">
        <f>IF($L91="D",INDEX('Zgłoszenia'!$E$5:$E$504,$M91)&amp;"",IF($L91="U",INDEX('Dane rozpisek'!$B$2:$B$2600,$M91)&amp;" · "&amp;INDEX('Dane rozpisek'!$J$2:$J$2600,$M91),IF($L91="H","Zmiana","")))</f>
        <v/>
      </c>
      <c r="D91" s="49">
        <f>IF($L91="D",INDEX('Zgłoszenia'!$H$5:$H$504,$M91)&amp;"",IF($L91="U",INDEX('Dane rozpisek'!$E$2:$E$2600,$M91)&amp;"",IF($L91="H","Operator","")))</f>
        <v/>
      </c>
      <c r="E91" s="49">
        <f>IF($L91="D",INDEX('Zgłoszenia'!$I$5:$I$504,$M91)&amp;"",IF($L91="U",INDEX('Dane rozpisek'!$C$2:$C$2600,$M91)&amp;"",IF($L91="H","Stanowisko","")))</f>
        <v/>
      </c>
      <c r="F91" s="48">
        <f>IF($L91="D",INDEX('Zgłoszenia'!$J$5:$J$504,$M91)&amp;"",IF($L91="U",INDEX('Dane rozpisek'!$G$2:$G$2600,$M91)&amp;"",IF($L91="H","Uwagi","")))</f>
        <v/>
      </c>
      <c r="G91" s="49">
        <f>IF($L91="D",INDEX('Zgłoszenia'!$F$5:$F$504,$M91)&amp;"",IF($L91="U",INDEX('Dane rozpisek'!$L$2:$L$2600,$M91)&amp;"",IF($L91="H","Usterki (dzień / następny)","")))</f>
        <v/>
      </c>
      <c r="H91" s="49">
        <f>IF($L91="D",INDEX('Zgłoszenia'!$P$5:$P$504,$M91)&amp;"",IF($L91="U","",""))</f>
        <v/>
      </c>
      <c r="I91" s="48">
        <f>IF($L91="D",IF(INDEX('Zgłoszenia'!$M$5:$M$504,$M91)="","Zgłoszona",INDEX('Zgłoszenia'!$M$5:$M$504,$M91)),IF($L91="U","",""))</f>
        <v/>
      </c>
      <c r="J91" s="49">
        <f>IF($L91="D",INDEX('Zgłoszenia'!$K$5:$K$504,$M91)&amp;"",IF($L91="U","",""))</f>
        <v/>
      </c>
      <c r="K91" s="2" t="n"/>
      <c r="L91" s="2">
        <f>IF((ROW()-12)&lt;=$L$5,IF($L$2=0,"E1","D"),IF((ROW()-12)=$L$5+1,"",IF((ROW()-12)=$L$5+2,"T",IF((ROW()-12)=$L$5+3,IF($L$3=0,"E2","H"),IF((ROW()-12)&lt;=$L$5+3+$L$3,"U","")))))</f>
        <v/>
      </c>
      <c r="M91" s="2">
        <f>IF(L91="D",MATCH(LARGE('Zgłoszenia'!$Q$5:$Q$504,(ROW()-12)),'Zgłoszenia'!$Q$5:$Q$504,0),IF(L91="U",MATCH(LARGE('Dane rozpisek'!$I$2:$I$2600,(ROW()-12)-$L$5-3),'Dane rozpisek'!$I$2:$I$2600,0),""))</f>
        <v/>
      </c>
    </row>
    <row r="92">
      <c r="A92" s="47">
        <f>IF($L92="D",INDEX('Zgłoszenia'!$D$5:$D$504,$M92),IF($L92="U",INDEX('Dane rozpisek'!$A$2:$A$2600,$M92),IF($L92="T","KTO JEŹDZIŁ",IF($L92="E1","Brak zgłoszonych usterek w tym okresie.",IF($L92="E2","Brak wpisów z tym wózkiem w rozpiskach dla tego okresu.",IF($L92="H","Data",""))))))</f>
        <v/>
      </c>
      <c r="B92" s="48">
        <f>IF($L92="D",INDEX('Zgłoszenia'!$B$5:$B$504,$M92)&amp;"",IF($L92="U",INDEX('Dane rozpisek'!$F$2:$F$2600,$M92)&amp;"",IF($L92="H","Wózek","")))</f>
        <v/>
      </c>
      <c r="C92" s="48">
        <f>IF($L92="D",INDEX('Zgłoszenia'!$E$5:$E$504,$M92)&amp;"",IF($L92="U",INDEX('Dane rozpisek'!$B$2:$B$2600,$M92)&amp;" · "&amp;INDEX('Dane rozpisek'!$J$2:$J$2600,$M92),IF($L92="H","Zmiana","")))</f>
        <v/>
      </c>
      <c r="D92" s="49">
        <f>IF($L92="D",INDEX('Zgłoszenia'!$H$5:$H$504,$M92)&amp;"",IF($L92="U",INDEX('Dane rozpisek'!$E$2:$E$2600,$M92)&amp;"",IF($L92="H","Operator","")))</f>
        <v/>
      </c>
      <c r="E92" s="49">
        <f>IF($L92="D",INDEX('Zgłoszenia'!$I$5:$I$504,$M92)&amp;"",IF($L92="U",INDEX('Dane rozpisek'!$C$2:$C$2600,$M92)&amp;"",IF($L92="H","Stanowisko","")))</f>
        <v/>
      </c>
      <c r="F92" s="48">
        <f>IF($L92="D",INDEX('Zgłoszenia'!$J$5:$J$504,$M92)&amp;"",IF($L92="U",INDEX('Dane rozpisek'!$G$2:$G$2600,$M92)&amp;"",IF($L92="H","Uwagi","")))</f>
        <v/>
      </c>
      <c r="G92" s="49">
        <f>IF($L92="D",INDEX('Zgłoszenia'!$F$5:$F$504,$M92)&amp;"",IF($L92="U",INDEX('Dane rozpisek'!$L$2:$L$2600,$M92)&amp;"",IF($L92="H","Usterki (dzień / następny)","")))</f>
        <v/>
      </c>
      <c r="H92" s="49">
        <f>IF($L92="D",INDEX('Zgłoszenia'!$P$5:$P$504,$M92)&amp;"",IF($L92="U","",""))</f>
        <v/>
      </c>
      <c r="I92" s="48">
        <f>IF($L92="D",IF(INDEX('Zgłoszenia'!$M$5:$M$504,$M92)="","Zgłoszona",INDEX('Zgłoszenia'!$M$5:$M$504,$M92)),IF($L92="U","",""))</f>
        <v/>
      </c>
      <c r="J92" s="49">
        <f>IF($L92="D",INDEX('Zgłoszenia'!$K$5:$K$504,$M92)&amp;"",IF($L92="U","",""))</f>
        <v/>
      </c>
      <c r="K92" s="2" t="n"/>
      <c r="L92" s="2">
        <f>IF((ROW()-12)&lt;=$L$5,IF($L$2=0,"E1","D"),IF((ROW()-12)=$L$5+1,"",IF((ROW()-12)=$L$5+2,"T",IF((ROW()-12)=$L$5+3,IF($L$3=0,"E2","H"),IF((ROW()-12)&lt;=$L$5+3+$L$3,"U","")))))</f>
        <v/>
      </c>
      <c r="M92" s="2">
        <f>IF(L92="D",MATCH(LARGE('Zgłoszenia'!$Q$5:$Q$504,(ROW()-12)),'Zgłoszenia'!$Q$5:$Q$504,0),IF(L92="U",MATCH(LARGE('Dane rozpisek'!$I$2:$I$2600,(ROW()-12)-$L$5-3),'Dane rozpisek'!$I$2:$I$2600,0),""))</f>
        <v/>
      </c>
    </row>
    <row r="93">
      <c r="A93" s="47">
        <f>IF($L93="D",INDEX('Zgłoszenia'!$D$5:$D$504,$M93),IF($L93="U",INDEX('Dane rozpisek'!$A$2:$A$2600,$M93),IF($L93="T","KTO JEŹDZIŁ",IF($L93="E1","Brak zgłoszonych usterek w tym okresie.",IF($L93="E2","Brak wpisów z tym wózkiem w rozpiskach dla tego okresu.",IF($L93="H","Data",""))))))</f>
        <v/>
      </c>
      <c r="B93" s="48">
        <f>IF($L93="D",INDEX('Zgłoszenia'!$B$5:$B$504,$M93)&amp;"",IF($L93="U",INDEX('Dane rozpisek'!$F$2:$F$2600,$M93)&amp;"",IF($L93="H","Wózek","")))</f>
        <v/>
      </c>
      <c r="C93" s="48">
        <f>IF($L93="D",INDEX('Zgłoszenia'!$E$5:$E$504,$M93)&amp;"",IF($L93="U",INDEX('Dane rozpisek'!$B$2:$B$2600,$M93)&amp;" · "&amp;INDEX('Dane rozpisek'!$J$2:$J$2600,$M93),IF($L93="H","Zmiana","")))</f>
        <v/>
      </c>
      <c r="D93" s="49">
        <f>IF($L93="D",INDEX('Zgłoszenia'!$H$5:$H$504,$M93)&amp;"",IF($L93="U",INDEX('Dane rozpisek'!$E$2:$E$2600,$M93)&amp;"",IF($L93="H","Operator","")))</f>
        <v/>
      </c>
      <c r="E93" s="49">
        <f>IF($L93="D",INDEX('Zgłoszenia'!$I$5:$I$504,$M93)&amp;"",IF($L93="U",INDEX('Dane rozpisek'!$C$2:$C$2600,$M93)&amp;"",IF($L93="H","Stanowisko","")))</f>
        <v/>
      </c>
      <c r="F93" s="48">
        <f>IF($L93="D",INDEX('Zgłoszenia'!$J$5:$J$504,$M93)&amp;"",IF($L93="U",INDEX('Dane rozpisek'!$G$2:$G$2600,$M93)&amp;"",IF($L93="H","Uwagi","")))</f>
        <v/>
      </c>
      <c r="G93" s="49">
        <f>IF($L93="D",INDEX('Zgłoszenia'!$F$5:$F$504,$M93)&amp;"",IF($L93="U",INDEX('Dane rozpisek'!$L$2:$L$2600,$M93)&amp;"",IF($L93="H","Usterki (dzień / następny)","")))</f>
        <v/>
      </c>
      <c r="H93" s="49">
        <f>IF($L93="D",INDEX('Zgłoszenia'!$P$5:$P$504,$M93)&amp;"",IF($L93="U","",""))</f>
        <v/>
      </c>
      <c r="I93" s="48">
        <f>IF($L93="D",IF(INDEX('Zgłoszenia'!$M$5:$M$504,$M93)="","Zgłoszona",INDEX('Zgłoszenia'!$M$5:$M$504,$M93)),IF($L93="U","",""))</f>
        <v/>
      </c>
      <c r="J93" s="49">
        <f>IF($L93="D",INDEX('Zgłoszenia'!$K$5:$K$504,$M93)&amp;"",IF($L93="U","",""))</f>
        <v/>
      </c>
      <c r="K93" s="2" t="n"/>
      <c r="L93" s="2">
        <f>IF((ROW()-12)&lt;=$L$5,IF($L$2=0,"E1","D"),IF((ROW()-12)=$L$5+1,"",IF((ROW()-12)=$L$5+2,"T",IF((ROW()-12)=$L$5+3,IF($L$3=0,"E2","H"),IF((ROW()-12)&lt;=$L$5+3+$L$3,"U","")))))</f>
        <v/>
      </c>
      <c r="M93" s="2">
        <f>IF(L93="D",MATCH(LARGE('Zgłoszenia'!$Q$5:$Q$504,(ROW()-12)),'Zgłoszenia'!$Q$5:$Q$504,0),IF(L93="U",MATCH(LARGE('Dane rozpisek'!$I$2:$I$2600,(ROW()-12)-$L$5-3),'Dane rozpisek'!$I$2:$I$2600,0),""))</f>
        <v/>
      </c>
    </row>
    <row r="94">
      <c r="A94" s="47">
        <f>IF($L94="D",INDEX('Zgłoszenia'!$D$5:$D$504,$M94),IF($L94="U",INDEX('Dane rozpisek'!$A$2:$A$2600,$M94),IF($L94="T","KTO JEŹDZIŁ",IF($L94="E1","Brak zgłoszonych usterek w tym okresie.",IF($L94="E2","Brak wpisów z tym wózkiem w rozpiskach dla tego okresu.",IF($L94="H","Data",""))))))</f>
        <v/>
      </c>
      <c r="B94" s="48">
        <f>IF($L94="D",INDEX('Zgłoszenia'!$B$5:$B$504,$M94)&amp;"",IF($L94="U",INDEX('Dane rozpisek'!$F$2:$F$2600,$M94)&amp;"",IF($L94="H","Wózek","")))</f>
        <v/>
      </c>
      <c r="C94" s="48">
        <f>IF($L94="D",INDEX('Zgłoszenia'!$E$5:$E$504,$M94)&amp;"",IF($L94="U",INDEX('Dane rozpisek'!$B$2:$B$2600,$M94)&amp;" · "&amp;INDEX('Dane rozpisek'!$J$2:$J$2600,$M94),IF($L94="H","Zmiana","")))</f>
        <v/>
      </c>
      <c r="D94" s="49">
        <f>IF($L94="D",INDEX('Zgłoszenia'!$H$5:$H$504,$M94)&amp;"",IF($L94="U",INDEX('Dane rozpisek'!$E$2:$E$2600,$M94)&amp;"",IF($L94="H","Operator","")))</f>
        <v/>
      </c>
      <c r="E94" s="49">
        <f>IF($L94="D",INDEX('Zgłoszenia'!$I$5:$I$504,$M94)&amp;"",IF($L94="U",INDEX('Dane rozpisek'!$C$2:$C$2600,$M94)&amp;"",IF($L94="H","Stanowisko","")))</f>
        <v/>
      </c>
      <c r="F94" s="48">
        <f>IF($L94="D",INDEX('Zgłoszenia'!$J$5:$J$504,$M94)&amp;"",IF($L94="U",INDEX('Dane rozpisek'!$G$2:$G$2600,$M94)&amp;"",IF($L94="H","Uwagi","")))</f>
        <v/>
      </c>
      <c r="G94" s="49">
        <f>IF($L94="D",INDEX('Zgłoszenia'!$F$5:$F$504,$M94)&amp;"",IF($L94="U",INDEX('Dane rozpisek'!$L$2:$L$2600,$M94)&amp;"",IF($L94="H","Usterki (dzień / następny)","")))</f>
        <v/>
      </c>
      <c r="H94" s="49">
        <f>IF($L94="D",INDEX('Zgłoszenia'!$P$5:$P$504,$M94)&amp;"",IF($L94="U","",""))</f>
        <v/>
      </c>
      <c r="I94" s="48">
        <f>IF($L94="D",IF(INDEX('Zgłoszenia'!$M$5:$M$504,$M94)="","Zgłoszona",INDEX('Zgłoszenia'!$M$5:$M$504,$M94)),IF($L94="U","",""))</f>
        <v/>
      </c>
      <c r="J94" s="49">
        <f>IF($L94="D",INDEX('Zgłoszenia'!$K$5:$K$504,$M94)&amp;"",IF($L94="U","",""))</f>
        <v/>
      </c>
      <c r="K94" s="2" t="n"/>
      <c r="L94" s="2">
        <f>IF((ROW()-12)&lt;=$L$5,IF($L$2=0,"E1","D"),IF((ROW()-12)=$L$5+1,"",IF((ROW()-12)=$L$5+2,"T",IF((ROW()-12)=$L$5+3,IF($L$3=0,"E2","H"),IF((ROW()-12)&lt;=$L$5+3+$L$3,"U","")))))</f>
        <v/>
      </c>
      <c r="M94" s="2">
        <f>IF(L94="D",MATCH(LARGE('Zgłoszenia'!$Q$5:$Q$504,(ROW()-12)),'Zgłoszenia'!$Q$5:$Q$504,0),IF(L94="U",MATCH(LARGE('Dane rozpisek'!$I$2:$I$2600,(ROW()-12)-$L$5-3),'Dane rozpisek'!$I$2:$I$2600,0),""))</f>
        <v/>
      </c>
    </row>
    <row r="95">
      <c r="A95" s="47">
        <f>IF($L95="D",INDEX('Zgłoszenia'!$D$5:$D$504,$M95),IF($L95="U",INDEX('Dane rozpisek'!$A$2:$A$2600,$M95),IF($L95="T","KTO JEŹDZIŁ",IF($L95="E1","Brak zgłoszonych usterek w tym okresie.",IF($L95="E2","Brak wpisów z tym wózkiem w rozpiskach dla tego okresu.",IF($L95="H","Data",""))))))</f>
        <v/>
      </c>
      <c r="B95" s="48">
        <f>IF($L95="D",INDEX('Zgłoszenia'!$B$5:$B$504,$M95)&amp;"",IF($L95="U",INDEX('Dane rozpisek'!$F$2:$F$2600,$M95)&amp;"",IF($L95="H","Wózek","")))</f>
        <v/>
      </c>
      <c r="C95" s="48">
        <f>IF($L95="D",INDEX('Zgłoszenia'!$E$5:$E$504,$M95)&amp;"",IF($L95="U",INDEX('Dane rozpisek'!$B$2:$B$2600,$M95)&amp;" · "&amp;INDEX('Dane rozpisek'!$J$2:$J$2600,$M95),IF($L95="H","Zmiana","")))</f>
        <v/>
      </c>
      <c r="D95" s="49">
        <f>IF($L95="D",INDEX('Zgłoszenia'!$H$5:$H$504,$M95)&amp;"",IF($L95="U",INDEX('Dane rozpisek'!$E$2:$E$2600,$M95)&amp;"",IF($L95="H","Operator","")))</f>
        <v/>
      </c>
      <c r="E95" s="49">
        <f>IF($L95="D",INDEX('Zgłoszenia'!$I$5:$I$504,$M95)&amp;"",IF($L95="U",INDEX('Dane rozpisek'!$C$2:$C$2600,$M95)&amp;"",IF($L95="H","Stanowisko","")))</f>
        <v/>
      </c>
      <c r="F95" s="48">
        <f>IF($L95="D",INDEX('Zgłoszenia'!$J$5:$J$504,$M95)&amp;"",IF($L95="U",INDEX('Dane rozpisek'!$G$2:$G$2600,$M95)&amp;"",IF($L95="H","Uwagi","")))</f>
        <v/>
      </c>
      <c r="G95" s="49">
        <f>IF($L95="D",INDEX('Zgłoszenia'!$F$5:$F$504,$M95)&amp;"",IF($L95="U",INDEX('Dane rozpisek'!$L$2:$L$2600,$M95)&amp;"",IF($L95="H","Usterki (dzień / następny)","")))</f>
        <v/>
      </c>
      <c r="H95" s="49">
        <f>IF($L95="D",INDEX('Zgłoszenia'!$P$5:$P$504,$M95)&amp;"",IF($L95="U","",""))</f>
        <v/>
      </c>
      <c r="I95" s="48">
        <f>IF($L95="D",IF(INDEX('Zgłoszenia'!$M$5:$M$504,$M95)="","Zgłoszona",INDEX('Zgłoszenia'!$M$5:$M$504,$M95)),IF($L95="U","",""))</f>
        <v/>
      </c>
      <c r="J95" s="49">
        <f>IF($L95="D",INDEX('Zgłoszenia'!$K$5:$K$504,$M95)&amp;"",IF($L95="U","",""))</f>
        <v/>
      </c>
      <c r="K95" s="2" t="n"/>
      <c r="L95" s="2">
        <f>IF((ROW()-12)&lt;=$L$5,IF($L$2=0,"E1","D"),IF((ROW()-12)=$L$5+1,"",IF((ROW()-12)=$L$5+2,"T",IF((ROW()-12)=$L$5+3,IF($L$3=0,"E2","H"),IF((ROW()-12)&lt;=$L$5+3+$L$3,"U","")))))</f>
        <v/>
      </c>
      <c r="M95" s="2">
        <f>IF(L95="D",MATCH(LARGE('Zgłoszenia'!$Q$5:$Q$504,(ROW()-12)),'Zgłoszenia'!$Q$5:$Q$504,0),IF(L95="U",MATCH(LARGE('Dane rozpisek'!$I$2:$I$2600,(ROW()-12)-$L$5-3),'Dane rozpisek'!$I$2:$I$2600,0),""))</f>
        <v/>
      </c>
    </row>
    <row r="96">
      <c r="A96" s="47">
        <f>IF($L96="D",INDEX('Zgłoszenia'!$D$5:$D$504,$M96),IF($L96="U",INDEX('Dane rozpisek'!$A$2:$A$2600,$M96),IF($L96="T","KTO JEŹDZIŁ",IF($L96="E1","Brak zgłoszonych usterek w tym okresie.",IF($L96="E2","Brak wpisów z tym wózkiem w rozpiskach dla tego okresu.",IF($L96="H","Data",""))))))</f>
        <v/>
      </c>
      <c r="B96" s="48">
        <f>IF($L96="D",INDEX('Zgłoszenia'!$B$5:$B$504,$M96)&amp;"",IF($L96="U",INDEX('Dane rozpisek'!$F$2:$F$2600,$M96)&amp;"",IF($L96="H","Wózek","")))</f>
        <v/>
      </c>
      <c r="C96" s="48">
        <f>IF($L96="D",INDEX('Zgłoszenia'!$E$5:$E$504,$M96)&amp;"",IF($L96="U",INDEX('Dane rozpisek'!$B$2:$B$2600,$M96)&amp;" · "&amp;INDEX('Dane rozpisek'!$J$2:$J$2600,$M96),IF($L96="H","Zmiana","")))</f>
        <v/>
      </c>
      <c r="D96" s="49">
        <f>IF($L96="D",INDEX('Zgłoszenia'!$H$5:$H$504,$M96)&amp;"",IF($L96="U",INDEX('Dane rozpisek'!$E$2:$E$2600,$M96)&amp;"",IF($L96="H","Operator","")))</f>
        <v/>
      </c>
      <c r="E96" s="49">
        <f>IF($L96="D",INDEX('Zgłoszenia'!$I$5:$I$504,$M96)&amp;"",IF($L96="U",INDEX('Dane rozpisek'!$C$2:$C$2600,$M96)&amp;"",IF($L96="H","Stanowisko","")))</f>
        <v/>
      </c>
      <c r="F96" s="48">
        <f>IF($L96="D",INDEX('Zgłoszenia'!$J$5:$J$504,$M96)&amp;"",IF($L96="U",INDEX('Dane rozpisek'!$G$2:$G$2600,$M96)&amp;"",IF($L96="H","Uwagi","")))</f>
        <v/>
      </c>
      <c r="G96" s="49">
        <f>IF($L96="D",INDEX('Zgłoszenia'!$F$5:$F$504,$M96)&amp;"",IF($L96="U",INDEX('Dane rozpisek'!$L$2:$L$2600,$M96)&amp;"",IF($L96="H","Usterki (dzień / następny)","")))</f>
        <v/>
      </c>
      <c r="H96" s="49">
        <f>IF($L96="D",INDEX('Zgłoszenia'!$P$5:$P$504,$M96)&amp;"",IF($L96="U","",""))</f>
        <v/>
      </c>
      <c r="I96" s="48">
        <f>IF($L96="D",IF(INDEX('Zgłoszenia'!$M$5:$M$504,$M96)="","Zgłoszona",INDEX('Zgłoszenia'!$M$5:$M$504,$M96)),IF($L96="U","",""))</f>
        <v/>
      </c>
      <c r="J96" s="49">
        <f>IF($L96="D",INDEX('Zgłoszenia'!$K$5:$K$504,$M96)&amp;"",IF($L96="U","",""))</f>
        <v/>
      </c>
      <c r="K96" s="2" t="n"/>
      <c r="L96" s="2">
        <f>IF((ROW()-12)&lt;=$L$5,IF($L$2=0,"E1","D"),IF((ROW()-12)=$L$5+1,"",IF((ROW()-12)=$L$5+2,"T",IF((ROW()-12)=$L$5+3,IF($L$3=0,"E2","H"),IF((ROW()-12)&lt;=$L$5+3+$L$3,"U","")))))</f>
        <v/>
      </c>
      <c r="M96" s="2">
        <f>IF(L96="D",MATCH(LARGE('Zgłoszenia'!$Q$5:$Q$504,(ROW()-12)),'Zgłoszenia'!$Q$5:$Q$504,0),IF(L96="U",MATCH(LARGE('Dane rozpisek'!$I$2:$I$2600,(ROW()-12)-$L$5-3),'Dane rozpisek'!$I$2:$I$2600,0),""))</f>
        <v/>
      </c>
    </row>
    <row r="97">
      <c r="A97" s="47">
        <f>IF($L97="D",INDEX('Zgłoszenia'!$D$5:$D$504,$M97),IF($L97="U",INDEX('Dane rozpisek'!$A$2:$A$2600,$M97),IF($L97="T","KTO JEŹDZIŁ",IF($L97="E1","Brak zgłoszonych usterek w tym okresie.",IF($L97="E2","Brak wpisów z tym wózkiem w rozpiskach dla tego okresu.",IF($L97="H","Data",""))))))</f>
        <v/>
      </c>
      <c r="B97" s="48">
        <f>IF($L97="D",INDEX('Zgłoszenia'!$B$5:$B$504,$M97)&amp;"",IF($L97="U",INDEX('Dane rozpisek'!$F$2:$F$2600,$M97)&amp;"",IF($L97="H","Wózek","")))</f>
        <v/>
      </c>
      <c r="C97" s="48">
        <f>IF($L97="D",INDEX('Zgłoszenia'!$E$5:$E$504,$M97)&amp;"",IF($L97="U",INDEX('Dane rozpisek'!$B$2:$B$2600,$M97)&amp;" · "&amp;INDEX('Dane rozpisek'!$J$2:$J$2600,$M97),IF($L97="H","Zmiana","")))</f>
        <v/>
      </c>
      <c r="D97" s="49">
        <f>IF($L97="D",INDEX('Zgłoszenia'!$H$5:$H$504,$M97)&amp;"",IF($L97="U",INDEX('Dane rozpisek'!$E$2:$E$2600,$M97)&amp;"",IF($L97="H","Operator","")))</f>
        <v/>
      </c>
      <c r="E97" s="49">
        <f>IF($L97="D",INDEX('Zgłoszenia'!$I$5:$I$504,$M97)&amp;"",IF($L97="U",INDEX('Dane rozpisek'!$C$2:$C$2600,$M97)&amp;"",IF($L97="H","Stanowisko","")))</f>
        <v/>
      </c>
      <c r="F97" s="48">
        <f>IF($L97="D",INDEX('Zgłoszenia'!$J$5:$J$504,$M97)&amp;"",IF($L97="U",INDEX('Dane rozpisek'!$G$2:$G$2600,$M97)&amp;"",IF($L97="H","Uwagi","")))</f>
        <v/>
      </c>
      <c r="G97" s="49">
        <f>IF($L97="D",INDEX('Zgłoszenia'!$F$5:$F$504,$M97)&amp;"",IF($L97="U",INDEX('Dane rozpisek'!$L$2:$L$2600,$M97)&amp;"",IF($L97="H","Usterki (dzień / następny)","")))</f>
        <v/>
      </c>
      <c r="H97" s="49">
        <f>IF($L97="D",INDEX('Zgłoszenia'!$P$5:$P$504,$M97)&amp;"",IF($L97="U","",""))</f>
        <v/>
      </c>
      <c r="I97" s="48">
        <f>IF($L97="D",IF(INDEX('Zgłoszenia'!$M$5:$M$504,$M97)="","Zgłoszona",INDEX('Zgłoszenia'!$M$5:$M$504,$M97)),IF($L97="U","",""))</f>
        <v/>
      </c>
      <c r="J97" s="49">
        <f>IF($L97="D",INDEX('Zgłoszenia'!$K$5:$K$504,$M97)&amp;"",IF($L97="U","",""))</f>
        <v/>
      </c>
      <c r="K97" s="2" t="n"/>
      <c r="L97" s="2">
        <f>IF((ROW()-12)&lt;=$L$5,IF($L$2=0,"E1","D"),IF((ROW()-12)=$L$5+1,"",IF((ROW()-12)=$L$5+2,"T",IF((ROW()-12)=$L$5+3,IF($L$3=0,"E2","H"),IF((ROW()-12)&lt;=$L$5+3+$L$3,"U","")))))</f>
        <v/>
      </c>
      <c r="M97" s="2">
        <f>IF(L97="D",MATCH(LARGE('Zgłoszenia'!$Q$5:$Q$504,(ROW()-12)),'Zgłoszenia'!$Q$5:$Q$504,0),IF(L97="U",MATCH(LARGE('Dane rozpisek'!$I$2:$I$2600,(ROW()-12)-$L$5-3),'Dane rozpisek'!$I$2:$I$2600,0),""))</f>
        <v/>
      </c>
    </row>
    <row r="98">
      <c r="A98" s="47">
        <f>IF($L98="D",INDEX('Zgłoszenia'!$D$5:$D$504,$M98),IF($L98="U",INDEX('Dane rozpisek'!$A$2:$A$2600,$M98),IF($L98="T","KTO JEŹDZIŁ",IF($L98="E1","Brak zgłoszonych usterek w tym okresie.",IF($L98="E2","Brak wpisów z tym wózkiem w rozpiskach dla tego okresu.",IF($L98="H","Data",""))))))</f>
        <v/>
      </c>
      <c r="B98" s="48">
        <f>IF($L98="D",INDEX('Zgłoszenia'!$B$5:$B$504,$M98)&amp;"",IF($L98="U",INDEX('Dane rozpisek'!$F$2:$F$2600,$M98)&amp;"",IF($L98="H","Wózek","")))</f>
        <v/>
      </c>
      <c r="C98" s="48">
        <f>IF($L98="D",INDEX('Zgłoszenia'!$E$5:$E$504,$M98)&amp;"",IF($L98="U",INDEX('Dane rozpisek'!$B$2:$B$2600,$M98)&amp;" · "&amp;INDEX('Dane rozpisek'!$J$2:$J$2600,$M98),IF($L98="H","Zmiana","")))</f>
        <v/>
      </c>
      <c r="D98" s="49">
        <f>IF($L98="D",INDEX('Zgłoszenia'!$H$5:$H$504,$M98)&amp;"",IF($L98="U",INDEX('Dane rozpisek'!$E$2:$E$2600,$M98)&amp;"",IF($L98="H","Operator","")))</f>
        <v/>
      </c>
      <c r="E98" s="49">
        <f>IF($L98="D",INDEX('Zgłoszenia'!$I$5:$I$504,$M98)&amp;"",IF($L98="U",INDEX('Dane rozpisek'!$C$2:$C$2600,$M98)&amp;"",IF($L98="H","Stanowisko","")))</f>
        <v/>
      </c>
      <c r="F98" s="48">
        <f>IF($L98="D",INDEX('Zgłoszenia'!$J$5:$J$504,$M98)&amp;"",IF($L98="U",INDEX('Dane rozpisek'!$G$2:$G$2600,$M98)&amp;"",IF($L98="H","Uwagi","")))</f>
        <v/>
      </c>
      <c r="G98" s="49">
        <f>IF($L98="D",INDEX('Zgłoszenia'!$F$5:$F$504,$M98)&amp;"",IF($L98="U",INDEX('Dane rozpisek'!$L$2:$L$2600,$M98)&amp;"",IF($L98="H","Usterki (dzień / następny)","")))</f>
        <v/>
      </c>
      <c r="H98" s="49">
        <f>IF($L98="D",INDEX('Zgłoszenia'!$P$5:$P$504,$M98)&amp;"",IF($L98="U","",""))</f>
        <v/>
      </c>
      <c r="I98" s="48">
        <f>IF($L98="D",IF(INDEX('Zgłoszenia'!$M$5:$M$504,$M98)="","Zgłoszona",INDEX('Zgłoszenia'!$M$5:$M$504,$M98)),IF($L98="U","",""))</f>
        <v/>
      </c>
      <c r="J98" s="49">
        <f>IF($L98="D",INDEX('Zgłoszenia'!$K$5:$K$504,$M98)&amp;"",IF($L98="U","",""))</f>
        <v/>
      </c>
      <c r="K98" s="2" t="n"/>
      <c r="L98" s="2">
        <f>IF((ROW()-12)&lt;=$L$5,IF($L$2=0,"E1","D"),IF((ROW()-12)=$L$5+1,"",IF((ROW()-12)=$L$5+2,"T",IF((ROW()-12)=$L$5+3,IF($L$3=0,"E2","H"),IF((ROW()-12)&lt;=$L$5+3+$L$3,"U","")))))</f>
        <v/>
      </c>
      <c r="M98" s="2">
        <f>IF(L98="D",MATCH(LARGE('Zgłoszenia'!$Q$5:$Q$504,(ROW()-12)),'Zgłoszenia'!$Q$5:$Q$504,0),IF(L98="U",MATCH(LARGE('Dane rozpisek'!$I$2:$I$2600,(ROW()-12)-$L$5-3),'Dane rozpisek'!$I$2:$I$2600,0),""))</f>
        <v/>
      </c>
    </row>
    <row r="99">
      <c r="A99" s="47">
        <f>IF($L99="D",INDEX('Zgłoszenia'!$D$5:$D$504,$M99),IF($L99="U",INDEX('Dane rozpisek'!$A$2:$A$2600,$M99),IF($L99="T","KTO JEŹDZIŁ",IF($L99="E1","Brak zgłoszonych usterek w tym okresie.",IF($L99="E2","Brak wpisów z tym wózkiem w rozpiskach dla tego okresu.",IF($L99="H","Data",""))))))</f>
        <v/>
      </c>
      <c r="B99" s="48">
        <f>IF($L99="D",INDEX('Zgłoszenia'!$B$5:$B$504,$M99)&amp;"",IF($L99="U",INDEX('Dane rozpisek'!$F$2:$F$2600,$M99)&amp;"",IF($L99="H","Wózek","")))</f>
        <v/>
      </c>
      <c r="C99" s="48">
        <f>IF($L99="D",INDEX('Zgłoszenia'!$E$5:$E$504,$M99)&amp;"",IF($L99="U",INDEX('Dane rozpisek'!$B$2:$B$2600,$M99)&amp;" · "&amp;INDEX('Dane rozpisek'!$J$2:$J$2600,$M99),IF($L99="H","Zmiana","")))</f>
        <v/>
      </c>
      <c r="D99" s="49">
        <f>IF($L99="D",INDEX('Zgłoszenia'!$H$5:$H$504,$M99)&amp;"",IF($L99="U",INDEX('Dane rozpisek'!$E$2:$E$2600,$M99)&amp;"",IF($L99="H","Operator","")))</f>
        <v/>
      </c>
      <c r="E99" s="49">
        <f>IF($L99="D",INDEX('Zgłoszenia'!$I$5:$I$504,$M99)&amp;"",IF($L99="U",INDEX('Dane rozpisek'!$C$2:$C$2600,$M99)&amp;"",IF($L99="H","Stanowisko","")))</f>
        <v/>
      </c>
      <c r="F99" s="48">
        <f>IF($L99="D",INDEX('Zgłoszenia'!$J$5:$J$504,$M99)&amp;"",IF($L99="U",INDEX('Dane rozpisek'!$G$2:$G$2600,$M99)&amp;"",IF($L99="H","Uwagi","")))</f>
        <v/>
      </c>
      <c r="G99" s="49">
        <f>IF($L99="D",INDEX('Zgłoszenia'!$F$5:$F$504,$M99)&amp;"",IF($L99="U",INDEX('Dane rozpisek'!$L$2:$L$2600,$M99)&amp;"",IF($L99="H","Usterki (dzień / następny)","")))</f>
        <v/>
      </c>
      <c r="H99" s="49">
        <f>IF($L99="D",INDEX('Zgłoszenia'!$P$5:$P$504,$M99)&amp;"",IF($L99="U","",""))</f>
        <v/>
      </c>
      <c r="I99" s="48">
        <f>IF($L99="D",IF(INDEX('Zgłoszenia'!$M$5:$M$504,$M99)="","Zgłoszona",INDEX('Zgłoszenia'!$M$5:$M$504,$M99)),IF($L99="U","",""))</f>
        <v/>
      </c>
      <c r="J99" s="49">
        <f>IF($L99="D",INDEX('Zgłoszenia'!$K$5:$K$504,$M99)&amp;"",IF($L99="U","",""))</f>
        <v/>
      </c>
      <c r="K99" s="2" t="n"/>
      <c r="L99" s="2">
        <f>IF((ROW()-12)&lt;=$L$5,IF($L$2=0,"E1","D"),IF((ROW()-12)=$L$5+1,"",IF((ROW()-12)=$L$5+2,"T",IF((ROW()-12)=$L$5+3,IF($L$3=0,"E2","H"),IF((ROW()-12)&lt;=$L$5+3+$L$3,"U","")))))</f>
        <v/>
      </c>
      <c r="M99" s="2">
        <f>IF(L99="D",MATCH(LARGE('Zgłoszenia'!$Q$5:$Q$504,(ROW()-12)),'Zgłoszenia'!$Q$5:$Q$504,0),IF(L99="U",MATCH(LARGE('Dane rozpisek'!$I$2:$I$2600,(ROW()-12)-$L$5-3),'Dane rozpisek'!$I$2:$I$2600,0),""))</f>
        <v/>
      </c>
    </row>
    <row r="100">
      <c r="A100" s="47">
        <f>IF($L100="D",INDEX('Zgłoszenia'!$D$5:$D$504,$M100),IF($L100="U",INDEX('Dane rozpisek'!$A$2:$A$2600,$M100),IF($L100="T","KTO JEŹDZIŁ",IF($L100="E1","Brak zgłoszonych usterek w tym okresie.",IF($L100="E2","Brak wpisów z tym wózkiem w rozpiskach dla tego okresu.",IF($L100="H","Data",""))))))</f>
        <v/>
      </c>
      <c r="B100" s="48">
        <f>IF($L100="D",INDEX('Zgłoszenia'!$B$5:$B$504,$M100)&amp;"",IF($L100="U",INDEX('Dane rozpisek'!$F$2:$F$2600,$M100)&amp;"",IF($L100="H","Wózek","")))</f>
        <v/>
      </c>
      <c r="C100" s="48">
        <f>IF($L100="D",INDEX('Zgłoszenia'!$E$5:$E$504,$M100)&amp;"",IF($L100="U",INDEX('Dane rozpisek'!$B$2:$B$2600,$M100)&amp;" · "&amp;INDEX('Dane rozpisek'!$J$2:$J$2600,$M100),IF($L100="H","Zmiana","")))</f>
        <v/>
      </c>
      <c r="D100" s="49">
        <f>IF($L100="D",INDEX('Zgłoszenia'!$H$5:$H$504,$M100)&amp;"",IF($L100="U",INDEX('Dane rozpisek'!$E$2:$E$2600,$M100)&amp;"",IF($L100="H","Operator","")))</f>
        <v/>
      </c>
      <c r="E100" s="49">
        <f>IF($L100="D",INDEX('Zgłoszenia'!$I$5:$I$504,$M100)&amp;"",IF($L100="U",INDEX('Dane rozpisek'!$C$2:$C$2600,$M100)&amp;"",IF($L100="H","Stanowisko","")))</f>
        <v/>
      </c>
      <c r="F100" s="48">
        <f>IF($L100="D",INDEX('Zgłoszenia'!$J$5:$J$504,$M100)&amp;"",IF($L100="U",INDEX('Dane rozpisek'!$G$2:$G$2600,$M100)&amp;"",IF($L100="H","Uwagi","")))</f>
        <v/>
      </c>
      <c r="G100" s="49">
        <f>IF($L100="D",INDEX('Zgłoszenia'!$F$5:$F$504,$M100)&amp;"",IF($L100="U",INDEX('Dane rozpisek'!$L$2:$L$2600,$M100)&amp;"",IF($L100="H","Usterki (dzień / następny)","")))</f>
        <v/>
      </c>
      <c r="H100" s="49">
        <f>IF($L100="D",INDEX('Zgłoszenia'!$P$5:$P$504,$M100)&amp;"",IF($L100="U","",""))</f>
        <v/>
      </c>
      <c r="I100" s="48">
        <f>IF($L100="D",IF(INDEX('Zgłoszenia'!$M$5:$M$504,$M100)="","Zgłoszona",INDEX('Zgłoszenia'!$M$5:$M$504,$M100)),IF($L100="U","",""))</f>
        <v/>
      </c>
      <c r="J100" s="49">
        <f>IF($L100="D",INDEX('Zgłoszenia'!$K$5:$K$504,$M100)&amp;"",IF($L100="U","",""))</f>
        <v/>
      </c>
      <c r="K100" s="2" t="n"/>
      <c r="L100" s="2">
        <f>IF((ROW()-12)&lt;=$L$5,IF($L$2=0,"E1","D"),IF((ROW()-12)=$L$5+1,"",IF((ROW()-12)=$L$5+2,"T",IF((ROW()-12)=$L$5+3,IF($L$3=0,"E2","H"),IF((ROW()-12)&lt;=$L$5+3+$L$3,"U","")))))</f>
        <v/>
      </c>
      <c r="M100" s="2">
        <f>IF(L100="D",MATCH(LARGE('Zgłoszenia'!$Q$5:$Q$504,(ROW()-12)),'Zgłoszenia'!$Q$5:$Q$504,0),IF(L100="U",MATCH(LARGE('Dane rozpisek'!$I$2:$I$2600,(ROW()-12)-$L$5-3),'Dane rozpisek'!$I$2:$I$2600,0),""))</f>
        <v/>
      </c>
    </row>
    <row r="101">
      <c r="A101" s="47">
        <f>IF($L101="D",INDEX('Zgłoszenia'!$D$5:$D$504,$M101),IF($L101="U",INDEX('Dane rozpisek'!$A$2:$A$2600,$M101),IF($L101="T","KTO JEŹDZIŁ",IF($L101="E1","Brak zgłoszonych usterek w tym okresie.",IF($L101="E2","Brak wpisów z tym wózkiem w rozpiskach dla tego okresu.",IF($L101="H","Data",""))))))</f>
        <v/>
      </c>
      <c r="B101" s="48">
        <f>IF($L101="D",INDEX('Zgłoszenia'!$B$5:$B$504,$M101)&amp;"",IF($L101="U",INDEX('Dane rozpisek'!$F$2:$F$2600,$M101)&amp;"",IF($L101="H","Wózek","")))</f>
        <v/>
      </c>
      <c r="C101" s="48">
        <f>IF($L101="D",INDEX('Zgłoszenia'!$E$5:$E$504,$M101)&amp;"",IF($L101="U",INDEX('Dane rozpisek'!$B$2:$B$2600,$M101)&amp;" · "&amp;INDEX('Dane rozpisek'!$J$2:$J$2600,$M101),IF($L101="H","Zmiana","")))</f>
        <v/>
      </c>
      <c r="D101" s="49">
        <f>IF($L101="D",INDEX('Zgłoszenia'!$H$5:$H$504,$M101)&amp;"",IF($L101="U",INDEX('Dane rozpisek'!$E$2:$E$2600,$M101)&amp;"",IF($L101="H","Operator","")))</f>
        <v/>
      </c>
      <c r="E101" s="49">
        <f>IF($L101="D",INDEX('Zgłoszenia'!$I$5:$I$504,$M101)&amp;"",IF($L101="U",INDEX('Dane rozpisek'!$C$2:$C$2600,$M101)&amp;"",IF($L101="H","Stanowisko","")))</f>
        <v/>
      </c>
      <c r="F101" s="48">
        <f>IF($L101="D",INDEX('Zgłoszenia'!$J$5:$J$504,$M101)&amp;"",IF($L101="U",INDEX('Dane rozpisek'!$G$2:$G$2600,$M101)&amp;"",IF($L101="H","Uwagi","")))</f>
        <v/>
      </c>
      <c r="G101" s="49">
        <f>IF($L101="D",INDEX('Zgłoszenia'!$F$5:$F$504,$M101)&amp;"",IF($L101="U",INDEX('Dane rozpisek'!$L$2:$L$2600,$M101)&amp;"",IF($L101="H","Usterki (dzień / następny)","")))</f>
        <v/>
      </c>
      <c r="H101" s="49">
        <f>IF($L101="D",INDEX('Zgłoszenia'!$P$5:$P$504,$M101)&amp;"",IF($L101="U","",""))</f>
        <v/>
      </c>
      <c r="I101" s="48">
        <f>IF($L101="D",IF(INDEX('Zgłoszenia'!$M$5:$M$504,$M101)="","Zgłoszona",INDEX('Zgłoszenia'!$M$5:$M$504,$M101)),IF($L101="U","",""))</f>
        <v/>
      </c>
      <c r="J101" s="49">
        <f>IF($L101="D",INDEX('Zgłoszenia'!$K$5:$K$504,$M101)&amp;"",IF($L101="U","",""))</f>
        <v/>
      </c>
      <c r="K101" s="2" t="n"/>
      <c r="L101" s="2">
        <f>IF((ROW()-12)&lt;=$L$5,IF($L$2=0,"E1","D"),IF((ROW()-12)=$L$5+1,"",IF((ROW()-12)=$L$5+2,"T",IF((ROW()-12)=$L$5+3,IF($L$3=0,"E2","H"),IF((ROW()-12)&lt;=$L$5+3+$L$3,"U","")))))</f>
        <v/>
      </c>
      <c r="M101" s="2">
        <f>IF(L101="D",MATCH(LARGE('Zgłoszenia'!$Q$5:$Q$504,(ROW()-12)),'Zgłoszenia'!$Q$5:$Q$504,0),IF(L101="U",MATCH(LARGE('Dane rozpisek'!$I$2:$I$2600,(ROW()-12)-$L$5-3),'Dane rozpisek'!$I$2:$I$2600,0),""))</f>
        <v/>
      </c>
    </row>
    <row r="102">
      <c r="A102" s="47">
        <f>IF($L102="D",INDEX('Zgłoszenia'!$D$5:$D$504,$M102),IF($L102="U",INDEX('Dane rozpisek'!$A$2:$A$2600,$M102),IF($L102="T","KTO JEŹDZIŁ",IF($L102="E1","Brak zgłoszonych usterek w tym okresie.",IF($L102="E2","Brak wpisów z tym wózkiem w rozpiskach dla tego okresu.",IF($L102="H","Data",""))))))</f>
        <v/>
      </c>
      <c r="B102" s="48">
        <f>IF($L102="D",INDEX('Zgłoszenia'!$B$5:$B$504,$M102)&amp;"",IF($L102="U",INDEX('Dane rozpisek'!$F$2:$F$2600,$M102)&amp;"",IF($L102="H","Wózek","")))</f>
        <v/>
      </c>
      <c r="C102" s="48">
        <f>IF($L102="D",INDEX('Zgłoszenia'!$E$5:$E$504,$M102)&amp;"",IF($L102="U",INDEX('Dane rozpisek'!$B$2:$B$2600,$M102)&amp;" · "&amp;INDEX('Dane rozpisek'!$J$2:$J$2600,$M102),IF($L102="H","Zmiana","")))</f>
        <v/>
      </c>
      <c r="D102" s="49">
        <f>IF($L102="D",INDEX('Zgłoszenia'!$H$5:$H$504,$M102)&amp;"",IF($L102="U",INDEX('Dane rozpisek'!$E$2:$E$2600,$M102)&amp;"",IF($L102="H","Operator","")))</f>
        <v/>
      </c>
      <c r="E102" s="49">
        <f>IF($L102="D",INDEX('Zgłoszenia'!$I$5:$I$504,$M102)&amp;"",IF($L102="U",INDEX('Dane rozpisek'!$C$2:$C$2600,$M102)&amp;"",IF($L102="H","Stanowisko","")))</f>
        <v/>
      </c>
      <c r="F102" s="48">
        <f>IF($L102="D",INDEX('Zgłoszenia'!$J$5:$J$504,$M102)&amp;"",IF($L102="U",INDEX('Dane rozpisek'!$G$2:$G$2600,$M102)&amp;"",IF($L102="H","Uwagi","")))</f>
        <v/>
      </c>
      <c r="G102" s="49">
        <f>IF($L102="D",INDEX('Zgłoszenia'!$F$5:$F$504,$M102)&amp;"",IF($L102="U",INDEX('Dane rozpisek'!$L$2:$L$2600,$M102)&amp;"",IF($L102="H","Usterki (dzień / następny)","")))</f>
        <v/>
      </c>
      <c r="H102" s="49">
        <f>IF($L102="D",INDEX('Zgłoszenia'!$P$5:$P$504,$M102)&amp;"",IF($L102="U","",""))</f>
        <v/>
      </c>
      <c r="I102" s="48">
        <f>IF($L102="D",IF(INDEX('Zgłoszenia'!$M$5:$M$504,$M102)="","Zgłoszona",INDEX('Zgłoszenia'!$M$5:$M$504,$M102)),IF($L102="U","",""))</f>
        <v/>
      </c>
      <c r="J102" s="49">
        <f>IF($L102="D",INDEX('Zgłoszenia'!$K$5:$K$504,$M102)&amp;"",IF($L102="U","",""))</f>
        <v/>
      </c>
      <c r="K102" s="2" t="n"/>
      <c r="L102" s="2">
        <f>IF((ROW()-12)&lt;=$L$5,IF($L$2=0,"E1","D"),IF((ROW()-12)=$L$5+1,"",IF((ROW()-12)=$L$5+2,"T",IF((ROW()-12)=$L$5+3,IF($L$3=0,"E2","H"),IF((ROW()-12)&lt;=$L$5+3+$L$3,"U","")))))</f>
        <v/>
      </c>
      <c r="M102" s="2">
        <f>IF(L102="D",MATCH(LARGE('Zgłoszenia'!$Q$5:$Q$504,(ROW()-12)),'Zgłoszenia'!$Q$5:$Q$504,0),IF(L102="U",MATCH(LARGE('Dane rozpisek'!$I$2:$I$2600,(ROW()-12)-$L$5-3),'Dane rozpisek'!$I$2:$I$2600,0),""))</f>
        <v/>
      </c>
    </row>
    <row r="103">
      <c r="A103" s="47">
        <f>IF($L103="D",INDEX('Zgłoszenia'!$D$5:$D$504,$M103),IF($L103="U",INDEX('Dane rozpisek'!$A$2:$A$2600,$M103),IF($L103="T","KTO JEŹDZIŁ",IF($L103="E1","Brak zgłoszonych usterek w tym okresie.",IF($L103="E2","Brak wpisów z tym wózkiem w rozpiskach dla tego okresu.",IF($L103="H","Data",""))))))</f>
        <v/>
      </c>
      <c r="B103" s="48">
        <f>IF($L103="D",INDEX('Zgłoszenia'!$B$5:$B$504,$M103)&amp;"",IF($L103="U",INDEX('Dane rozpisek'!$F$2:$F$2600,$M103)&amp;"",IF($L103="H","Wózek","")))</f>
        <v/>
      </c>
      <c r="C103" s="48">
        <f>IF($L103="D",INDEX('Zgłoszenia'!$E$5:$E$504,$M103)&amp;"",IF($L103="U",INDEX('Dane rozpisek'!$B$2:$B$2600,$M103)&amp;" · "&amp;INDEX('Dane rozpisek'!$J$2:$J$2600,$M103),IF($L103="H","Zmiana","")))</f>
        <v/>
      </c>
      <c r="D103" s="49">
        <f>IF($L103="D",INDEX('Zgłoszenia'!$H$5:$H$504,$M103)&amp;"",IF($L103="U",INDEX('Dane rozpisek'!$E$2:$E$2600,$M103)&amp;"",IF($L103="H","Operator","")))</f>
        <v/>
      </c>
      <c r="E103" s="49">
        <f>IF($L103="D",INDEX('Zgłoszenia'!$I$5:$I$504,$M103)&amp;"",IF($L103="U",INDEX('Dane rozpisek'!$C$2:$C$2600,$M103)&amp;"",IF($L103="H","Stanowisko","")))</f>
        <v/>
      </c>
      <c r="F103" s="48">
        <f>IF($L103="D",INDEX('Zgłoszenia'!$J$5:$J$504,$M103)&amp;"",IF($L103="U",INDEX('Dane rozpisek'!$G$2:$G$2600,$M103)&amp;"",IF($L103="H","Uwagi","")))</f>
        <v/>
      </c>
      <c r="G103" s="49">
        <f>IF($L103="D",INDEX('Zgłoszenia'!$F$5:$F$504,$M103)&amp;"",IF($L103="U",INDEX('Dane rozpisek'!$L$2:$L$2600,$M103)&amp;"",IF($L103="H","Usterki (dzień / następny)","")))</f>
        <v/>
      </c>
      <c r="H103" s="49">
        <f>IF($L103="D",INDEX('Zgłoszenia'!$P$5:$P$504,$M103)&amp;"",IF($L103="U","",""))</f>
        <v/>
      </c>
      <c r="I103" s="48">
        <f>IF($L103="D",IF(INDEX('Zgłoszenia'!$M$5:$M$504,$M103)="","Zgłoszona",INDEX('Zgłoszenia'!$M$5:$M$504,$M103)),IF($L103="U","",""))</f>
        <v/>
      </c>
      <c r="J103" s="49">
        <f>IF($L103="D",INDEX('Zgłoszenia'!$K$5:$K$504,$M103)&amp;"",IF($L103="U","",""))</f>
        <v/>
      </c>
      <c r="K103" s="2" t="n"/>
      <c r="L103" s="2">
        <f>IF((ROW()-12)&lt;=$L$5,IF($L$2=0,"E1","D"),IF((ROW()-12)=$L$5+1,"",IF((ROW()-12)=$L$5+2,"T",IF((ROW()-12)=$L$5+3,IF($L$3=0,"E2","H"),IF((ROW()-12)&lt;=$L$5+3+$L$3,"U","")))))</f>
        <v/>
      </c>
      <c r="M103" s="2">
        <f>IF(L103="D",MATCH(LARGE('Zgłoszenia'!$Q$5:$Q$504,(ROW()-12)),'Zgłoszenia'!$Q$5:$Q$504,0),IF(L103="U",MATCH(LARGE('Dane rozpisek'!$I$2:$I$2600,(ROW()-12)-$L$5-3),'Dane rozpisek'!$I$2:$I$2600,0),""))</f>
        <v/>
      </c>
    </row>
    <row r="104">
      <c r="A104" s="47">
        <f>IF($L104="D",INDEX('Zgłoszenia'!$D$5:$D$504,$M104),IF($L104="U",INDEX('Dane rozpisek'!$A$2:$A$2600,$M104),IF($L104="T","KTO JEŹDZIŁ",IF($L104="E1","Brak zgłoszonych usterek w tym okresie.",IF($L104="E2","Brak wpisów z tym wózkiem w rozpiskach dla tego okresu.",IF($L104="H","Data",""))))))</f>
        <v/>
      </c>
      <c r="B104" s="48">
        <f>IF($L104="D",INDEX('Zgłoszenia'!$B$5:$B$504,$M104)&amp;"",IF($L104="U",INDEX('Dane rozpisek'!$F$2:$F$2600,$M104)&amp;"",IF($L104="H","Wózek","")))</f>
        <v/>
      </c>
      <c r="C104" s="48">
        <f>IF($L104="D",INDEX('Zgłoszenia'!$E$5:$E$504,$M104)&amp;"",IF($L104="U",INDEX('Dane rozpisek'!$B$2:$B$2600,$M104)&amp;" · "&amp;INDEX('Dane rozpisek'!$J$2:$J$2600,$M104),IF($L104="H","Zmiana","")))</f>
        <v/>
      </c>
      <c r="D104" s="49">
        <f>IF($L104="D",INDEX('Zgłoszenia'!$H$5:$H$504,$M104)&amp;"",IF($L104="U",INDEX('Dane rozpisek'!$E$2:$E$2600,$M104)&amp;"",IF($L104="H","Operator","")))</f>
        <v/>
      </c>
      <c r="E104" s="49">
        <f>IF($L104="D",INDEX('Zgłoszenia'!$I$5:$I$504,$M104)&amp;"",IF($L104="U",INDEX('Dane rozpisek'!$C$2:$C$2600,$M104)&amp;"",IF($L104="H","Stanowisko","")))</f>
        <v/>
      </c>
      <c r="F104" s="48">
        <f>IF($L104="D",INDEX('Zgłoszenia'!$J$5:$J$504,$M104)&amp;"",IF($L104="U",INDEX('Dane rozpisek'!$G$2:$G$2600,$M104)&amp;"",IF($L104="H","Uwagi","")))</f>
        <v/>
      </c>
      <c r="G104" s="49">
        <f>IF($L104="D",INDEX('Zgłoszenia'!$F$5:$F$504,$M104)&amp;"",IF($L104="U",INDEX('Dane rozpisek'!$L$2:$L$2600,$M104)&amp;"",IF($L104="H","Usterki (dzień / następny)","")))</f>
        <v/>
      </c>
      <c r="H104" s="49">
        <f>IF($L104="D",INDEX('Zgłoszenia'!$P$5:$P$504,$M104)&amp;"",IF($L104="U","",""))</f>
        <v/>
      </c>
      <c r="I104" s="48">
        <f>IF($L104="D",IF(INDEX('Zgłoszenia'!$M$5:$M$504,$M104)="","Zgłoszona",INDEX('Zgłoszenia'!$M$5:$M$504,$M104)),IF($L104="U","",""))</f>
        <v/>
      </c>
      <c r="J104" s="49">
        <f>IF($L104="D",INDEX('Zgłoszenia'!$K$5:$K$504,$M104)&amp;"",IF($L104="U","",""))</f>
        <v/>
      </c>
      <c r="K104" s="2" t="n"/>
      <c r="L104" s="2">
        <f>IF((ROW()-12)&lt;=$L$5,IF($L$2=0,"E1","D"),IF((ROW()-12)=$L$5+1,"",IF((ROW()-12)=$L$5+2,"T",IF((ROW()-12)=$L$5+3,IF($L$3=0,"E2","H"),IF((ROW()-12)&lt;=$L$5+3+$L$3,"U","")))))</f>
        <v/>
      </c>
      <c r="M104" s="2">
        <f>IF(L104="D",MATCH(LARGE('Zgłoszenia'!$Q$5:$Q$504,(ROW()-12)),'Zgłoszenia'!$Q$5:$Q$504,0),IF(L104="U",MATCH(LARGE('Dane rozpisek'!$I$2:$I$2600,(ROW()-12)-$L$5-3),'Dane rozpisek'!$I$2:$I$2600,0),""))</f>
        <v/>
      </c>
    </row>
    <row r="105">
      <c r="A105" s="47">
        <f>IF($L105="D",INDEX('Zgłoszenia'!$D$5:$D$504,$M105),IF($L105="U",INDEX('Dane rozpisek'!$A$2:$A$2600,$M105),IF($L105="T","KTO JEŹDZIŁ",IF($L105="E1","Brak zgłoszonych usterek w tym okresie.",IF($L105="E2","Brak wpisów z tym wózkiem w rozpiskach dla tego okresu.",IF($L105="H","Data",""))))))</f>
        <v/>
      </c>
      <c r="B105" s="48">
        <f>IF($L105="D",INDEX('Zgłoszenia'!$B$5:$B$504,$M105)&amp;"",IF($L105="U",INDEX('Dane rozpisek'!$F$2:$F$2600,$M105)&amp;"",IF($L105="H","Wózek","")))</f>
        <v/>
      </c>
      <c r="C105" s="48">
        <f>IF($L105="D",INDEX('Zgłoszenia'!$E$5:$E$504,$M105)&amp;"",IF($L105="U",INDEX('Dane rozpisek'!$B$2:$B$2600,$M105)&amp;" · "&amp;INDEX('Dane rozpisek'!$J$2:$J$2600,$M105),IF($L105="H","Zmiana","")))</f>
        <v/>
      </c>
      <c r="D105" s="49">
        <f>IF($L105="D",INDEX('Zgłoszenia'!$H$5:$H$504,$M105)&amp;"",IF($L105="U",INDEX('Dane rozpisek'!$E$2:$E$2600,$M105)&amp;"",IF($L105="H","Operator","")))</f>
        <v/>
      </c>
      <c r="E105" s="49">
        <f>IF($L105="D",INDEX('Zgłoszenia'!$I$5:$I$504,$M105)&amp;"",IF($L105="U",INDEX('Dane rozpisek'!$C$2:$C$2600,$M105)&amp;"",IF($L105="H","Stanowisko","")))</f>
        <v/>
      </c>
      <c r="F105" s="48">
        <f>IF($L105="D",INDEX('Zgłoszenia'!$J$5:$J$504,$M105)&amp;"",IF($L105="U",INDEX('Dane rozpisek'!$G$2:$G$2600,$M105)&amp;"",IF($L105="H","Uwagi","")))</f>
        <v/>
      </c>
      <c r="G105" s="49">
        <f>IF($L105="D",INDEX('Zgłoszenia'!$F$5:$F$504,$M105)&amp;"",IF($L105="U",INDEX('Dane rozpisek'!$L$2:$L$2600,$M105)&amp;"",IF($L105="H","Usterki (dzień / następny)","")))</f>
        <v/>
      </c>
      <c r="H105" s="49">
        <f>IF($L105="D",INDEX('Zgłoszenia'!$P$5:$P$504,$M105)&amp;"",IF($L105="U","",""))</f>
        <v/>
      </c>
      <c r="I105" s="48">
        <f>IF($L105="D",IF(INDEX('Zgłoszenia'!$M$5:$M$504,$M105)="","Zgłoszona",INDEX('Zgłoszenia'!$M$5:$M$504,$M105)),IF($L105="U","",""))</f>
        <v/>
      </c>
      <c r="J105" s="49">
        <f>IF($L105="D",INDEX('Zgłoszenia'!$K$5:$K$504,$M105)&amp;"",IF($L105="U","",""))</f>
        <v/>
      </c>
      <c r="K105" s="2" t="n"/>
      <c r="L105" s="2">
        <f>IF((ROW()-12)&lt;=$L$5,IF($L$2=0,"E1","D"),IF((ROW()-12)=$L$5+1,"",IF((ROW()-12)=$L$5+2,"T",IF((ROW()-12)=$L$5+3,IF($L$3=0,"E2","H"),IF((ROW()-12)&lt;=$L$5+3+$L$3,"U","")))))</f>
        <v/>
      </c>
      <c r="M105" s="2">
        <f>IF(L105="D",MATCH(LARGE('Zgłoszenia'!$Q$5:$Q$504,(ROW()-12)),'Zgłoszenia'!$Q$5:$Q$504,0),IF(L105="U",MATCH(LARGE('Dane rozpisek'!$I$2:$I$2600,(ROW()-12)-$L$5-3),'Dane rozpisek'!$I$2:$I$2600,0),""))</f>
        <v/>
      </c>
    </row>
    <row r="106">
      <c r="A106" s="47">
        <f>IF($L106="D",INDEX('Zgłoszenia'!$D$5:$D$504,$M106),IF($L106="U",INDEX('Dane rozpisek'!$A$2:$A$2600,$M106),IF($L106="T","KTO JEŹDZIŁ",IF($L106="E1","Brak zgłoszonych usterek w tym okresie.",IF($L106="E2","Brak wpisów z tym wózkiem w rozpiskach dla tego okresu.",IF($L106="H","Data",""))))))</f>
        <v/>
      </c>
      <c r="B106" s="48">
        <f>IF($L106="D",INDEX('Zgłoszenia'!$B$5:$B$504,$M106)&amp;"",IF($L106="U",INDEX('Dane rozpisek'!$F$2:$F$2600,$M106)&amp;"",IF($L106="H","Wózek","")))</f>
        <v/>
      </c>
      <c r="C106" s="48">
        <f>IF($L106="D",INDEX('Zgłoszenia'!$E$5:$E$504,$M106)&amp;"",IF($L106="U",INDEX('Dane rozpisek'!$B$2:$B$2600,$M106)&amp;" · "&amp;INDEX('Dane rozpisek'!$J$2:$J$2600,$M106),IF($L106="H","Zmiana","")))</f>
        <v/>
      </c>
      <c r="D106" s="49">
        <f>IF($L106="D",INDEX('Zgłoszenia'!$H$5:$H$504,$M106)&amp;"",IF($L106="U",INDEX('Dane rozpisek'!$E$2:$E$2600,$M106)&amp;"",IF($L106="H","Operator","")))</f>
        <v/>
      </c>
      <c r="E106" s="49">
        <f>IF($L106="D",INDEX('Zgłoszenia'!$I$5:$I$504,$M106)&amp;"",IF($L106="U",INDEX('Dane rozpisek'!$C$2:$C$2600,$M106)&amp;"",IF($L106="H","Stanowisko","")))</f>
        <v/>
      </c>
      <c r="F106" s="48">
        <f>IF($L106="D",INDEX('Zgłoszenia'!$J$5:$J$504,$M106)&amp;"",IF($L106="U",INDEX('Dane rozpisek'!$G$2:$G$2600,$M106)&amp;"",IF($L106="H","Uwagi","")))</f>
        <v/>
      </c>
      <c r="G106" s="49">
        <f>IF($L106="D",INDEX('Zgłoszenia'!$F$5:$F$504,$M106)&amp;"",IF($L106="U",INDEX('Dane rozpisek'!$L$2:$L$2600,$M106)&amp;"",IF($L106="H","Usterki (dzień / następny)","")))</f>
        <v/>
      </c>
      <c r="H106" s="49">
        <f>IF($L106="D",INDEX('Zgłoszenia'!$P$5:$P$504,$M106)&amp;"",IF($L106="U","",""))</f>
        <v/>
      </c>
      <c r="I106" s="48">
        <f>IF($L106="D",IF(INDEX('Zgłoszenia'!$M$5:$M$504,$M106)="","Zgłoszona",INDEX('Zgłoszenia'!$M$5:$M$504,$M106)),IF($L106="U","",""))</f>
        <v/>
      </c>
      <c r="J106" s="49">
        <f>IF($L106="D",INDEX('Zgłoszenia'!$K$5:$K$504,$M106)&amp;"",IF($L106="U","",""))</f>
        <v/>
      </c>
      <c r="K106" s="2" t="n"/>
      <c r="L106" s="2">
        <f>IF((ROW()-12)&lt;=$L$5,IF($L$2=0,"E1","D"),IF((ROW()-12)=$L$5+1,"",IF((ROW()-12)=$L$5+2,"T",IF((ROW()-12)=$L$5+3,IF($L$3=0,"E2","H"),IF((ROW()-12)&lt;=$L$5+3+$L$3,"U","")))))</f>
        <v/>
      </c>
      <c r="M106" s="2">
        <f>IF(L106="D",MATCH(LARGE('Zgłoszenia'!$Q$5:$Q$504,(ROW()-12)),'Zgłoszenia'!$Q$5:$Q$504,0),IF(L106="U",MATCH(LARGE('Dane rozpisek'!$I$2:$I$2600,(ROW()-12)-$L$5-3),'Dane rozpisek'!$I$2:$I$2600,0),""))</f>
        <v/>
      </c>
    </row>
    <row r="107">
      <c r="A107" s="47">
        <f>IF($L107="D",INDEX('Zgłoszenia'!$D$5:$D$504,$M107),IF($L107="U",INDEX('Dane rozpisek'!$A$2:$A$2600,$M107),IF($L107="T","KTO JEŹDZIŁ",IF($L107="E1","Brak zgłoszonych usterek w tym okresie.",IF($L107="E2","Brak wpisów z tym wózkiem w rozpiskach dla tego okresu.",IF($L107="H","Data",""))))))</f>
        <v/>
      </c>
      <c r="B107" s="48">
        <f>IF($L107="D",INDEX('Zgłoszenia'!$B$5:$B$504,$M107)&amp;"",IF($L107="U",INDEX('Dane rozpisek'!$F$2:$F$2600,$M107)&amp;"",IF($L107="H","Wózek","")))</f>
        <v/>
      </c>
      <c r="C107" s="48">
        <f>IF($L107="D",INDEX('Zgłoszenia'!$E$5:$E$504,$M107)&amp;"",IF($L107="U",INDEX('Dane rozpisek'!$B$2:$B$2600,$M107)&amp;" · "&amp;INDEX('Dane rozpisek'!$J$2:$J$2600,$M107),IF($L107="H","Zmiana","")))</f>
        <v/>
      </c>
      <c r="D107" s="49">
        <f>IF($L107="D",INDEX('Zgłoszenia'!$H$5:$H$504,$M107)&amp;"",IF($L107="U",INDEX('Dane rozpisek'!$E$2:$E$2600,$M107)&amp;"",IF($L107="H","Operator","")))</f>
        <v/>
      </c>
      <c r="E107" s="49">
        <f>IF($L107="D",INDEX('Zgłoszenia'!$I$5:$I$504,$M107)&amp;"",IF($L107="U",INDEX('Dane rozpisek'!$C$2:$C$2600,$M107)&amp;"",IF($L107="H","Stanowisko","")))</f>
        <v/>
      </c>
      <c r="F107" s="48">
        <f>IF($L107="D",INDEX('Zgłoszenia'!$J$5:$J$504,$M107)&amp;"",IF($L107="U",INDEX('Dane rozpisek'!$G$2:$G$2600,$M107)&amp;"",IF($L107="H","Uwagi","")))</f>
        <v/>
      </c>
      <c r="G107" s="49">
        <f>IF($L107="D",INDEX('Zgłoszenia'!$F$5:$F$504,$M107)&amp;"",IF($L107="U",INDEX('Dane rozpisek'!$L$2:$L$2600,$M107)&amp;"",IF($L107="H","Usterki (dzień / następny)","")))</f>
        <v/>
      </c>
      <c r="H107" s="49">
        <f>IF($L107="D",INDEX('Zgłoszenia'!$P$5:$P$504,$M107)&amp;"",IF($L107="U","",""))</f>
        <v/>
      </c>
      <c r="I107" s="48">
        <f>IF($L107="D",IF(INDEX('Zgłoszenia'!$M$5:$M$504,$M107)="","Zgłoszona",INDEX('Zgłoszenia'!$M$5:$M$504,$M107)),IF($L107="U","",""))</f>
        <v/>
      </c>
      <c r="J107" s="49">
        <f>IF($L107="D",INDEX('Zgłoszenia'!$K$5:$K$504,$M107)&amp;"",IF($L107="U","",""))</f>
        <v/>
      </c>
      <c r="K107" s="2" t="n"/>
      <c r="L107" s="2">
        <f>IF((ROW()-12)&lt;=$L$5,IF($L$2=0,"E1","D"),IF((ROW()-12)=$L$5+1,"",IF((ROW()-12)=$L$5+2,"T",IF((ROW()-12)=$L$5+3,IF($L$3=0,"E2","H"),IF((ROW()-12)&lt;=$L$5+3+$L$3,"U","")))))</f>
        <v/>
      </c>
      <c r="M107" s="2">
        <f>IF(L107="D",MATCH(LARGE('Zgłoszenia'!$Q$5:$Q$504,(ROW()-12)),'Zgłoszenia'!$Q$5:$Q$504,0),IF(L107="U",MATCH(LARGE('Dane rozpisek'!$I$2:$I$2600,(ROW()-12)-$L$5-3),'Dane rozpisek'!$I$2:$I$2600,0),""))</f>
        <v/>
      </c>
    </row>
    <row r="108">
      <c r="A108" s="47">
        <f>IF($L108="D",INDEX('Zgłoszenia'!$D$5:$D$504,$M108),IF($L108="U",INDEX('Dane rozpisek'!$A$2:$A$2600,$M108),IF($L108="T","KTO JEŹDZIŁ",IF($L108="E1","Brak zgłoszonych usterek w tym okresie.",IF($L108="E2","Brak wpisów z tym wózkiem w rozpiskach dla tego okresu.",IF($L108="H","Data",""))))))</f>
        <v/>
      </c>
      <c r="B108" s="48">
        <f>IF($L108="D",INDEX('Zgłoszenia'!$B$5:$B$504,$M108)&amp;"",IF($L108="U",INDEX('Dane rozpisek'!$F$2:$F$2600,$M108)&amp;"",IF($L108="H","Wózek","")))</f>
        <v/>
      </c>
      <c r="C108" s="48">
        <f>IF($L108="D",INDEX('Zgłoszenia'!$E$5:$E$504,$M108)&amp;"",IF($L108="U",INDEX('Dane rozpisek'!$B$2:$B$2600,$M108)&amp;" · "&amp;INDEX('Dane rozpisek'!$J$2:$J$2600,$M108),IF($L108="H","Zmiana","")))</f>
        <v/>
      </c>
      <c r="D108" s="49">
        <f>IF($L108="D",INDEX('Zgłoszenia'!$H$5:$H$504,$M108)&amp;"",IF($L108="U",INDEX('Dane rozpisek'!$E$2:$E$2600,$M108)&amp;"",IF($L108="H","Operator","")))</f>
        <v/>
      </c>
      <c r="E108" s="49">
        <f>IF($L108="D",INDEX('Zgłoszenia'!$I$5:$I$504,$M108)&amp;"",IF($L108="U",INDEX('Dane rozpisek'!$C$2:$C$2600,$M108)&amp;"",IF($L108="H","Stanowisko","")))</f>
        <v/>
      </c>
      <c r="F108" s="48">
        <f>IF($L108="D",INDEX('Zgłoszenia'!$J$5:$J$504,$M108)&amp;"",IF($L108="U",INDEX('Dane rozpisek'!$G$2:$G$2600,$M108)&amp;"",IF($L108="H","Uwagi","")))</f>
        <v/>
      </c>
      <c r="G108" s="49">
        <f>IF($L108="D",INDEX('Zgłoszenia'!$F$5:$F$504,$M108)&amp;"",IF($L108="U",INDEX('Dane rozpisek'!$L$2:$L$2600,$M108)&amp;"",IF($L108="H","Usterki (dzień / następny)","")))</f>
        <v/>
      </c>
      <c r="H108" s="49">
        <f>IF($L108="D",INDEX('Zgłoszenia'!$P$5:$P$504,$M108)&amp;"",IF($L108="U","",""))</f>
        <v/>
      </c>
      <c r="I108" s="48">
        <f>IF($L108="D",IF(INDEX('Zgłoszenia'!$M$5:$M$504,$M108)="","Zgłoszona",INDEX('Zgłoszenia'!$M$5:$M$504,$M108)),IF($L108="U","",""))</f>
        <v/>
      </c>
      <c r="J108" s="49">
        <f>IF($L108="D",INDEX('Zgłoszenia'!$K$5:$K$504,$M108)&amp;"",IF($L108="U","",""))</f>
        <v/>
      </c>
      <c r="K108" s="2" t="n"/>
      <c r="L108" s="2">
        <f>IF((ROW()-12)&lt;=$L$5,IF($L$2=0,"E1","D"),IF((ROW()-12)=$L$5+1,"",IF((ROW()-12)=$L$5+2,"T",IF((ROW()-12)=$L$5+3,IF($L$3=0,"E2","H"),IF((ROW()-12)&lt;=$L$5+3+$L$3,"U","")))))</f>
        <v/>
      </c>
      <c r="M108" s="2">
        <f>IF(L108="D",MATCH(LARGE('Zgłoszenia'!$Q$5:$Q$504,(ROW()-12)),'Zgłoszenia'!$Q$5:$Q$504,0),IF(L108="U",MATCH(LARGE('Dane rozpisek'!$I$2:$I$2600,(ROW()-12)-$L$5-3),'Dane rozpisek'!$I$2:$I$2600,0),""))</f>
        <v/>
      </c>
    </row>
    <row r="109">
      <c r="A109" s="47">
        <f>IF($L109="D",INDEX('Zgłoszenia'!$D$5:$D$504,$M109),IF($L109="U",INDEX('Dane rozpisek'!$A$2:$A$2600,$M109),IF($L109="T","KTO JEŹDZIŁ",IF($L109="E1","Brak zgłoszonych usterek w tym okresie.",IF($L109="E2","Brak wpisów z tym wózkiem w rozpiskach dla tego okresu.",IF($L109="H","Data",""))))))</f>
        <v/>
      </c>
      <c r="B109" s="48">
        <f>IF($L109="D",INDEX('Zgłoszenia'!$B$5:$B$504,$M109)&amp;"",IF($L109="U",INDEX('Dane rozpisek'!$F$2:$F$2600,$M109)&amp;"",IF($L109="H","Wózek","")))</f>
        <v/>
      </c>
      <c r="C109" s="48">
        <f>IF($L109="D",INDEX('Zgłoszenia'!$E$5:$E$504,$M109)&amp;"",IF($L109="U",INDEX('Dane rozpisek'!$B$2:$B$2600,$M109)&amp;" · "&amp;INDEX('Dane rozpisek'!$J$2:$J$2600,$M109),IF($L109="H","Zmiana","")))</f>
        <v/>
      </c>
      <c r="D109" s="49">
        <f>IF($L109="D",INDEX('Zgłoszenia'!$H$5:$H$504,$M109)&amp;"",IF($L109="U",INDEX('Dane rozpisek'!$E$2:$E$2600,$M109)&amp;"",IF($L109="H","Operator","")))</f>
        <v/>
      </c>
      <c r="E109" s="49">
        <f>IF($L109="D",INDEX('Zgłoszenia'!$I$5:$I$504,$M109)&amp;"",IF($L109="U",INDEX('Dane rozpisek'!$C$2:$C$2600,$M109)&amp;"",IF($L109="H","Stanowisko","")))</f>
        <v/>
      </c>
      <c r="F109" s="48">
        <f>IF($L109="D",INDEX('Zgłoszenia'!$J$5:$J$504,$M109)&amp;"",IF($L109="U",INDEX('Dane rozpisek'!$G$2:$G$2600,$M109)&amp;"",IF($L109="H","Uwagi","")))</f>
        <v/>
      </c>
      <c r="G109" s="49">
        <f>IF($L109="D",INDEX('Zgłoszenia'!$F$5:$F$504,$M109)&amp;"",IF($L109="U",INDEX('Dane rozpisek'!$L$2:$L$2600,$M109)&amp;"",IF($L109="H","Usterki (dzień / następny)","")))</f>
        <v/>
      </c>
      <c r="H109" s="49">
        <f>IF($L109="D",INDEX('Zgłoszenia'!$P$5:$P$504,$M109)&amp;"",IF($L109="U","",""))</f>
        <v/>
      </c>
      <c r="I109" s="48">
        <f>IF($L109="D",IF(INDEX('Zgłoszenia'!$M$5:$M$504,$M109)="","Zgłoszona",INDEX('Zgłoszenia'!$M$5:$M$504,$M109)),IF($L109="U","",""))</f>
        <v/>
      </c>
      <c r="J109" s="49">
        <f>IF($L109="D",INDEX('Zgłoszenia'!$K$5:$K$504,$M109)&amp;"",IF($L109="U","",""))</f>
        <v/>
      </c>
      <c r="K109" s="2" t="n"/>
      <c r="L109" s="2">
        <f>IF((ROW()-12)&lt;=$L$5,IF($L$2=0,"E1","D"),IF((ROW()-12)=$L$5+1,"",IF((ROW()-12)=$L$5+2,"T",IF((ROW()-12)=$L$5+3,IF($L$3=0,"E2","H"),IF((ROW()-12)&lt;=$L$5+3+$L$3,"U","")))))</f>
        <v/>
      </c>
      <c r="M109" s="2">
        <f>IF(L109="D",MATCH(LARGE('Zgłoszenia'!$Q$5:$Q$504,(ROW()-12)),'Zgłoszenia'!$Q$5:$Q$504,0),IF(L109="U",MATCH(LARGE('Dane rozpisek'!$I$2:$I$2600,(ROW()-12)-$L$5-3),'Dane rozpisek'!$I$2:$I$2600,0),""))</f>
        <v/>
      </c>
    </row>
    <row r="110">
      <c r="A110" s="47">
        <f>IF($L110="D",INDEX('Zgłoszenia'!$D$5:$D$504,$M110),IF($L110="U",INDEX('Dane rozpisek'!$A$2:$A$2600,$M110),IF($L110="T","KTO JEŹDZIŁ",IF($L110="E1","Brak zgłoszonych usterek w tym okresie.",IF($L110="E2","Brak wpisów z tym wózkiem w rozpiskach dla tego okresu.",IF($L110="H","Data",""))))))</f>
        <v/>
      </c>
      <c r="B110" s="48">
        <f>IF($L110="D",INDEX('Zgłoszenia'!$B$5:$B$504,$M110)&amp;"",IF($L110="U",INDEX('Dane rozpisek'!$F$2:$F$2600,$M110)&amp;"",IF($L110="H","Wózek","")))</f>
        <v/>
      </c>
      <c r="C110" s="48">
        <f>IF($L110="D",INDEX('Zgłoszenia'!$E$5:$E$504,$M110)&amp;"",IF($L110="U",INDEX('Dane rozpisek'!$B$2:$B$2600,$M110)&amp;" · "&amp;INDEX('Dane rozpisek'!$J$2:$J$2600,$M110),IF($L110="H","Zmiana","")))</f>
        <v/>
      </c>
      <c r="D110" s="49">
        <f>IF($L110="D",INDEX('Zgłoszenia'!$H$5:$H$504,$M110)&amp;"",IF($L110="U",INDEX('Dane rozpisek'!$E$2:$E$2600,$M110)&amp;"",IF($L110="H","Operator","")))</f>
        <v/>
      </c>
      <c r="E110" s="49">
        <f>IF($L110="D",INDEX('Zgłoszenia'!$I$5:$I$504,$M110)&amp;"",IF($L110="U",INDEX('Dane rozpisek'!$C$2:$C$2600,$M110)&amp;"",IF($L110="H","Stanowisko","")))</f>
        <v/>
      </c>
      <c r="F110" s="48">
        <f>IF($L110="D",INDEX('Zgłoszenia'!$J$5:$J$504,$M110)&amp;"",IF($L110="U",INDEX('Dane rozpisek'!$G$2:$G$2600,$M110)&amp;"",IF($L110="H","Uwagi","")))</f>
        <v/>
      </c>
      <c r="G110" s="49">
        <f>IF($L110="D",INDEX('Zgłoszenia'!$F$5:$F$504,$M110)&amp;"",IF($L110="U",INDEX('Dane rozpisek'!$L$2:$L$2600,$M110)&amp;"",IF($L110="H","Usterki (dzień / następny)","")))</f>
        <v/>
      </c>
      <c r="H110" s="49">
        <f>IF($L110="D",INDEX('Zgłoszenia'!$P$5:$P$504,$M110)&amp;"",IF($L110="U","",""))</f>
        <v/>
      </c>
      <c r="I110" s="48">
        <f>IF($L110="D",IF(INDEX('Zgłoszenia'!$M$5:$M$504,$M110)="","Zgłoszona",INDEX('Zgłoszenia'!$M$5:$M$504,$M110)),IF($L110="U","",""))</f>
        <v/>
      </c>
      <c r="J110" s="49">
        <f>IF($L110="D",INDEX('Zgłoszenia'!$K$5:$K$504,$M110)&amp;"",IF($L110="U","",""))</f>
        <v/>
      </c>
      <c r="K110" s="2" t="n"/>
      <c r="L110" s="2">
        <f>IF((ROW()-12)&lt;=$L$5,IF($L$2=0,"E1","D"),IF((ROW()-12)=$L$5+1,"",IF((ROW()-12)=$L$5+2,"T",IF((ROW()-12)=$L$5+3,IF($L$3=0,"E2","H"),IF((ROW()-12)&lt;=$L$5+3+$L$3,"U","")))))</f>
        <v/>
      </c>
      <c r="M110" s="2">
        <f>IF(L110="D",MATCH(LARGE('Zgłoszenia'!$Q$5:$Q$504,(ROW()-12)),'Zgłoszenia'!$Q$5:$Q$504,0),IF(L110="U",MATCH(LARGE('Dane rozpisek'!$I$2:$I$2600,(ROW()-12)-$L$5-3),'Dane rozpisek'!$I$2:$I$2600,0),""))</f>
        <v/>
      </c>
    </row>
    <row r="111">
      <c r="A111" s="47">
        <f>IF($L111="D",INDEX('Zgłoszenia'!$D$5:$D$504,$M111),IF($L111="U",INDEX('Dane rozpisek'!$A$2:$A$2600,$M111),IF($L111="T","KTO JEŹDZIŁ",IF($L111="E1","Brak zgłoszonych usterek w tym okresie.",IF($L111="E2","Brak wpisów z tym wózkiem w rozpiskach dla tego okresu.",IF($L111="H","Data",""))))))</f>
        <v/>
      </c>
      <c r="B111" s="48">
        <f>IF($L111="D",INDEX('Zgłoszenia'!$B$5:$B$504,$M111)&amp;"",IF($L111="U",INDEX('Dane rozpisek'!$F$2:$F$2600,$M111)&amp;"",IF($L111="H","Wózek","")))</f>
        <v/>
      </c>
      <c r="C111" s="48">
        <f>IF($L111="D",INDEX('Zgłoszenia'!$E$5:$E$504,$M111)&amp;"",IF($L111="U",INDEX('Dane rozpisek'!$B$2:$B$2600,$M111)&amp;" · "&amp;INDEX('Dane rozpisek'!$J$2:$J$2600,$M111),IF($L111="H","Zmiana","")))</f>
        <v/>
      </c>
      <c r="D111" s="49">
        <f>IF($L111="D",INDEX('Zgłoszenia'!$H$5:$H$504,$M111)&amp;"",IF($L111="U",INDEX('Dane rozpisek'!$E$2:$E$2600,$M111)&amp;"",IF($L111="H","Operator","")))</f>
        <v/>
      </c>
      <c r="E111" s="49">
        <f>IF($L111="D",INDEX('Zgłoszenia'!$I$5:$I$504,$M111)&amp;"",IF($L111="U",INDEX('Dane rozpisek'!$C$2:$C$2600,$M111)&amp;"",IF($L111="H","Stanowisko","")))</f>
        <v/>
      </c>
      <c r="F111" s="48">
        <f>IF($L111="D",INDEX('Zgłoszenia'!$J$5:$J$504,$M111)&amp;"",IF($L111="U",INDEX('Dane rozpisek'!$G$2:$G$2600,$M111)&amp;"",IF($L111="H","Uwagi","")))</f>
        <v/>
      </c>
      <c r="G111" s="49">
        <f>IF($L111="D",INDEX('Zgłoszenia'!$F$5:$F$504,$M111)&amp;"",IF($L111="U",INDEX('Dane rozpisek'!$L$2:$L$2600,$M111)&amp;"",IF($L111="H","Usterki (dzień / następny)","")))</f>
        <v/>
      </c>
      <c r="H111" s="49">
        <f>IF($L111="D",INDEX('Zgłoszenia'!$P$5:$P$504,$M111)&amp;"",IF($L111="U","",""))</f>
        <v/>
      </c>
      <c r="I111" s="48">
        <f>IF($L111="D",IF(INDEX('Zgłoszenia'!$M$5:$M$504,$M111)="","Zgłoszona",INDEX('Zgłoszenia'!$M$5:$M$504,$M111)),IF($L111="U","",""))</f>
        <v/>
      </c>
      <c r="J111" s="49">
        <f>IF($L111="D",INDEX('Zgłoszenia'!$K$5:$K$504,$M111)&amp;"",IF($L111="U","",""))</f>
        <v/>
      </c>
      <c r="K111" s="2" t="n"/>
      <c r="L111" s="2">
        <f>IF((ROW()-12)&lt;=$L$5,IF($L$2=0,"E1","D"),IF((ROW()-12)=$L$5+1,"",IF((ROW()-12)=$L$5+2,"T",IF((ROW()-12)=$L$5+3,IF($L$3=0,"E2","H"),IF((ROW()-12)&lt;=$L$5+3+$L$3,"U","")))))</f>
        <v/>
      </c>
      <c r="M111" s="2">
        <f>IF(L111="D",MATCH(LARGE('Zgłoszenia'!$Q$5:$Q$504,(ROW()-12)),'Zgłoszenia'!$Q$5:$Q$504,0),IF(L111="U",MATCH(LARGE('Dane rozpisek'!$I$2:$I$2600,(ROW()-12)-$L$5-3),'Dane rozpisek'!$I$2:$I$2600,0),""))</f>
        <v/>
      </c>
    </row>
    <row r="112">
      <c r="A112" s="47">
        <f>IF($L112="D",INDEX('Zgłoszenia'!$D$5:$D$504,$M112),IF($L112="U",INDEX('Dane rozpisek'!$A$2:$A$2600,$M112),IF($L112="T","KTO JEŹDZIŁ",IF($L112="E1","Brak zgłoszonych usterek w tym okresie.",IF($L112="E2","Brak wpisów z tym wózkiem w rozpiskach dla tego okresu.",IF($L112="H","Data",""))))))</f>
        <v/>
      </c>
      <c r="B112" s="48">
        <f>IF($L112="D",INDEX('Zgłoszenia'!$B$5:$B$504,$M112)&amp;"",IF($L112="U",INDEX('Dane rozpisek'!$F$2:$F$2600,$M112)&amp;"",IF($L112="H","Wózek","")))</f>
        <v/>
      </c>
      <c r="C112" s="48">
        <f>IF($L112="D",INDEX('Zgłoszenia'!$E$5:$E$504,$M112)&amp;"",IF($L112="U",INDEX('Dane rozpisek'!$B$2:$B$2600,$M112)&amp;" · "&amp;INDEX('Dane rozpisek'!$J$2:$J$2600,$M112),IF($L112="H","Zmiana","")))</f>
        <v/>
      </c>
      <c r="D112" s="49">
        <f>IF($L112="D",INDEX('Zgłoszenia'!$H$5:$H$504,$M112)&amp;"",IF($L112="U",INDEX('Dane rozpisek'!$E$2:$E$2600,$M112)&amp;"",IF($L112="H","Operator","")))</f>
        <v/>
      </c>
      <c r="E112" s="49">
        <f>IF($L112="D",INDEX('Zgłoszenia'!$I$5:$I$504,$M112)&amp;"",IF($L112="U",INDEX('Dane rozpisek'!$C$2:$C$2600,$M112)&amp;"",IF($L112="H","Stanowisko","")))</f>
        <v/>
      </c>
      <c r="F112" s="48">
        <f>IF($L112="D",INDEX('Zgłoszenia'!$J$5:$J$504,$M112)&amp;"",IF($L112="U",INDEX('Dane rozpisek'!$G$2:$G$2600,$M112)&amp;"",IF($L112="H","Uwagi","")))</f>
        <v/>
      </c>
      <c r="G112" s="49">
        <f>IF($L112="D",INDEX('Zgłoszenia'!$F$5:$F$504,$M112)&amp;"",IF($L112="U",INDEX('Dane rozpisek'!$L$2:$L$2600,$M112)&amp;"",IF($L112="H","Usterki (dzień / następny)","")))</f>
        <v/>
      </c>
      <c r="H112" s="49">
        <f>IF($L112="D",INDEX('Zgłoszenia'!$P$5:$P$504,$M112)&amp;"",IF($L112="U","",""))</f>
        <v/>
      </c>
      <c r="I112" s="48">
        <f>IF($L112="D",IF(INDEX('Zgłoszenia'!$M$5:$M$504,$M112)="","Zgłoszona",INDEX('Zgłoszenia'!$M$5:$M$504,$M112)),IF($L112="U","",""))</f>
        <v/>
      </c>
      <c r="J112" s="49">
        <f>IF($L112="D",INDEX('Zgłoszenia'!$K$5:$K$504,$M112)&amp;"",IF($L112="U","",""))</f>
        <v/>
      </c>
      <c r="K112" s="2" t="n"/>
      <c r="L112" s="2">
        <f>IF((ROW()-12)&lt;=$L$5,IF($L$2=0,"E1","D"),IF((ROW()-12)=$L$5+1,"",IF((ROW()-12)=$L$5+2,"T",IF((ROW()-12)=$L$5+3,IF($L$3=0,"E2","H"),IF((ROW()-12)&lt;=$L$5+3+$L$3,"U","")))))</f>
        <v/>
      </c>
      <c r="M112" s="2">
        <f>IF(L112="D",MATCH(LARGE('Zgłoszenia'!$Q$5:$Q$504,(ROW()-12)),'Zgłoszenia'!$Q$5:$Q$504,0),IF(L112="U",MATCH(LARGE('Dane rozpisek'!$I$2:$I$2600,(ROW()-12)-$L$5-3),'Dane rozpisek'!$I$2:$I$2600,0),""))</f>
        <v/>
      </c>
    </row>
    <row r="113">
      <c r="A113" s="47">
        <f>IF($L113="D",INDEX('Zgłoszenia'!$D$5:$D$504,$M113),IF($L113="U",INDEX('Dane rozpisek'!$A$2:$A$2600,$M113),IF($L113="T","KTO JEŹDZIŁ",IF($L113="E1","Brak zgłoszonych usterek w tym okresie.",IF($L113="E2","Brak wpisów z tym wózkiem w rozpiskach dla tego okresu.",IF($L113="H","Data",""))))))</f>
        <v/>
      </c>
      <c r="B113" s="48">
        <f>IF($L113="D",INDEX('Zgłoszenia'!$B$5:$B$504,$M113)&amp;"",IF($L113="U",INDEX('Dane rozpisek'!$F$2:$F$2600,$M113)&amp;"",IF($L113="H","Wózek","")))</f>
        <v/>
      </c>
      <c r="C113" s="48">
        <f>IF($L113="D",INDEX('Zgłoszenia'!$E$5:$E$504,$M113)&amp;"",IF($L113="U",INDEX('Dane rozpisek'!$B$2:$B$2600,$M113)&amp;" · "&amp;INDEX('Dane rozpisek'!$J$2:$J$2600,$M113),IF($L113="H","Zmiana","")))</f>
        <v/>
      </c>
      <c r="D113" s="49">
        <f>IF($L113="D",INDEX('Zgłoszenia'!$H$5:$H$504,$M113)&amp;"",IF($L113="U",INDEX('Dane rozpisek'!$E$2:$E$2600,$M113)&amp;"",IF($L113="H","Operator","")))</f>
        <v/>
      </c>
      <c r="E113" s="49">
        <f>IF($L113="D",INDEX('Zgłoszenia'!$I$5:$I$504,$M113)&amp;"",IF($L113="U",INDEX('Dane rozpisek'!$C$2:$C$2600,$M113)&amp;"",IF($L113="H","Stanowisko","")))</f>
        <v/>
      </c>
      <c r="F113" s="48">
        <f>IF($L113="D",INDEX('Zgłoszenia'!$J$5:$J$504,$M113)&amp;"",IF($L113="U",INDEX('Dane rozpisek'!$G$2:$G$2600,$M113)&amp;"",IF($L113="H","Uwagi","")))</f>
        <v/>
      </c>
      <c r="G113" s="49">
        <f>IF($L113="D",INDEX('Zgłoszenia'!$F$5:$F$504,$M113)&amp;"",IF($L113="U",INDEX('Dane rozpisek'!$L$2:$L$2600,$M113)&amp;"",IF($L113="H","Usterki (dzień / następny)","")))</f>
        <v/>
      </c>
      <c r="H113" s="49">
        <f>IF($L113="D",INDEX('Zgłoszenia'!$P$5:$P$504,$M113)&amp;"",IF($L113="U","",""))</f>
        <v/>
      </c>
      <c r="I113" s="48">
        <f>IF($L113="D",IF(INDEX('Zgłoszenia'!$M$5:$M$504,$M113)="","Zgłoszona",INDEX('Zgłoszenia'!$M$5:$M$504,$M113)),IF($L113="U","",""))</f>
        <v/>
      </c>
      <c r="J113" s="49">
        <f>IF($L113="D",INDEX('Zgłoszenia'!$K$5:$K$504,$M113)&amp;"",IF($L113="U","",""))</f>
        <v/>
      </c>
      <c r="K113" s="2" t="n"/>
      <c r="L113" s="2">
        <f>IF((ROW()-12)&lt;=$L$5,IF($L$2=0,"E1","D"),IF((ROW()-12)=$L$5+1,"",IF((ROW()-12)=$L$5+2,"T",IF((ROW()-12)=$L$5+3,IF($L$3=0,"E2","H"),IF((ROW()-12)&lt;=$L$5+3+$L$3,"U","")))))</f>
        <v/>
      </c>
      <c r="M113" s="2">
        <f>IF(L113="D",MATCH(LARGE('Zgłoszenia'!$Q$5:$Q$504,(ROW()-12)),'Zgłoszenia'!$Q$5:$Q$504,0),IF(L113="U",MATCH(LARGE('Dane rozpisek'!$I$2:$I$2600,(ROW()-12)-$L$5-3),'Dane rozpisek'!$I$2:$I$2600,0),""))</f>
        <v/>
      </c>
    </row>
    <row r="114">
      <c r="A114" s="47">
        <f>IF($L114="D",INDEX('Zgłoszenia'!$D$5:$D$504,$M114),IF($L114="U",INDEX('Dane rozpisek'!$A$2:$A$2600,$M114),IF($L114="T","KTO JEŹDZIŁ",IF($L114="E1","Brak zgłoszonych usterek w tym okresie.",IF($L114="E2","Brak wpisów z tym wózkiem w rozpiskach dla tego okresu.",IF($L114="H","Data",""))))))</f>
        <v/>
      </c>
      <c r="B114" s="48">
        <f>IF($L114="D",INDEX('Zgłoszenia'!$B$5:$B$504,$M114)&amp;"",IF($L114="U",INDEX('Dane rozpisek'!$F$2:$F$2600,$M114)&amp;"",IF($L114="H","Wózek","")))</f>
        <v/>
      </c>
      <c r="C114" s="48">
        <f>IF($L114="D",INDEX('Zgłoszenia'!$E$5:$E$504,$M114)&amp;"",IF($L114="U",INDEX('Dane rozpisek'!$B$2:$B$2600,$M114)&amp;" · "&amp;INDEX('Dane rozpisek'!$J$2:$J$2600,$M114),IF($L114="H","Zmiana","")))</f>
        <v/>
      </c>
      <c r="D114" s="49">
        <f>IF($L114="D",INDEX('Zgłoszenia'!$H$5:$H$504,$M114)&amp;"",IF($L114="U",INDEX('Dane rozpisek'!$E$2:$E$2600,$M114)&amp;"",IF($L114="H","Operator","")))</f>
        <v/>
      </c>
      <c r="E114" s="49">
        <f>IF($L114="D",INDEX('Zgłoszenia'!$I$5:$I$504,$M114)&amp;"",IF($L114="U",INDEX('Dane rozpisek'!$C$2:$C$2600,$M114)&amp;"",IF($L114="H","Stanowisko","")))</f>
        <v/>
      </c>
      <c r="F114" s="48">
        <f>IF($L114="D",INDEX('Zgłoszenia'!$J$5:$J$504,$M114)&amp;"",IF($L114="U",INDEX('Dane rozpisek'!$G$2:$G$2600,$M114)&amp;"",IF($L114="H","Uwagi","")))</f>
        <v/>
      </c>
      <c r="G114" s="49">
        <f>IF($L114="D",INDEX('Zgłoszenia'!$F$5:$F$504,$M114)&amp;"",IF($L114="U",INDEX('Dane rozpisek'!$L$2:$L$2600,$M114)&amp;"",IF($L114="H","Usterki (dzień / następny)","")))</f>
        <v/>
      </c>
      <c r="H114" s="49">
        <f>IF($L114="D",INDEX('Zgłoszenia'!$P$5:$P$504,$M114)&amp;"",IF($L114="U","",""))</f>
        <v/>
      </c>
      <c r="I114" s="48">
        <f>IF($L114="D",IF(INDEX('Zgłoszenia'!$M$5:$M$504,$M114)="","Zgłoszona",INDEX('Zgłoszenia'!$M$5:$M$504,$M114)),IF($L114="U","",""))</f>
        <v/>
      </c>
      <c r="J114" s="49">
        <f>IF($L114="D",INDEX('Zgłoszenia'!$K$5:$K$504,$M114)&amp;"",IF($L114="U","",""))</f>
        <v/>
      </c>
      <c r="K114" s="2" t="n"/>
      <c r="L114" s="2">
        <f>IF((ROW()-12)&lt;=$L$5,IF($L$2=0,"E1","D"),IF((ROW()-12)=$L$5+1,"",IF((ROW()-12)=$L$5+2,"T",IF((ROW()-12)=$L$5+3,IF($L$3=0,"E2","H"),IF((ROW()-12)&lt;=$L$5+3+$L$3,"U","")))))</f>
        <v/>
      </c>
      <c r="M114" s="2">
        <f>IF(L114="D",MATCH(LARGE('Zgłoszenia'!$Q$5:$Q$504,(ROW()-12)),'Zgłoszenia'!$Q$5:$Q$504,0),IF(L114="U",MATCH(LARGE('Dane rozpisek'!$I$2:$I$2600,(ROW()-12)-$L$5-3),'Dane rozpisek'!$I$2:$I$2600,0),""))</f>
        <v/>
      </c>
    </row>
    <row r="115">
      <c r="A115" s="47">
        <f>IF($L115="D",INDEX('Zgłoszenia'!$D$5:$D$504,$M115),IF($L115="U",INDEX('Dane rozpisek'!$A$2:$A$2600,$M115),IF($L115="T","KTO JEŹDZIŁ",IF($L115="E1","Brak zgłoszonych usterek w tym okresie.",IF($L115="E2","Brak wpisów z tym wózkiem w rozpiskach dla tego okresu.",IF($L115="H","Data",""))))))</f>
        <v/>
      </c>
      <c r="B115" s="48">
        <f>IF($L115="D",INDEX('Zgłoszenia'!$B$5:$B$504,$M115)&amp;"",IF($L115="U",INDEX('Dane rozpisek'!$F$2:$F$2600,$M115)&amp;"",IF($L115="H","Wózek","")))</f>
        <v/>
      </c>
      <c r="C115" s="48">
        <f>IF($L115="D",INDEX('Zgłoszenia'!$E$5:$E$504,$M115)&amp;"",IF($L115="U",INDEX('Dane rozpisek'!$B$2:$B$2600,$M115)&amp;" · "&amp;INDEX('Dane rozpisek'!$J$2:$J$2600,$M115),IF($L115="H","Zmiana","")))</f>
        <v/>
      </c>
      <c r="D115" s="49">
        <f>IF($L115="D",INDEX('Zgłoszenia'!$H$5:$H$504,$M115)&amp;"",IF($L115="U",INDEX('Dane rozpisek'!$E$2:$E$2600,$M115)&amp;"",IF($L115="H","Operator","")))</f>
        <v/>
      </c>
      <c r="E115" s="49">
        <f>IF($L115="D",INDEX('Zgłoszenia'!$I$5:$I$504,$M115)&amp;"",IF($L115="U",INDEX('Dane rozpisek'!$C$2:$C$2600,$M115)&amp;"",IF($L115="H","Stanowisko","")))</f>
        <v/>
      </c>
      <c r="F115" s="48">
        <f>IF($L115="D",INDEX('Zgłoszenia'!$J$5:$J$504,$M115)&amp;"",IF($L115="U",INDEX('Dane rozpisek'!$G$2:$G$2600,$M115)&amp;"",IF($L115="H","Uwagi","")))</f>
        <v/>
      </c>
      <c r="G115" s="49">
        <f>IF($L115="D",INDEX('Zgłoszenia'!$F$5:$F$504,$M115)&amp;"",IF($L115="U",INDEX('Dane rozpisek'!$L$2:$L$2600,$M115)&amp;"",IF($L115="H","Usterki (dzień / następny)","")))</f>
        <v/>
      </c>
      <c r="H115" s="49">
        <f>IF($L115="D",INDEX('Zgłoszenia'!$P$5:$P$504,$M115)&amp;"",IF($L115="U","",""))</f>
        <v/>
      </c>
      <c r="I115" s="48">
        <f>IF($L115="D",IF(INDEX('Zgłoszenia'!$M$5:$M$504,$M115)="","Zgłoszona",INDEX('Zgłoszenia'!$M$5:$M$504,$M115)),IF($L115="U","",""))</f>
        <v/>
      </c>
      <c r="J115" s="49">
        <f>IF($L115="D",INDEX('Zgłoszenia'!$K$5:$K$504,$M115)&amp;"",IF($L115="U","",""))</f>
        <v/>
      </c>
      <c r="K115" s="2" t="n"/>
      <c r="L115" s="2">
        <f>IF((ROW()-12)&lt;=$L$5,IF($L$2=0,"E1","D"),IF((ROW()-12)=$L$5+1,"",IF((ROW()-12)=$L$5+2,"T",IF((ROW()-12)=$L$5+3,IF($L$3=0,"E2","H"),IF((ROW()-12)&lt;=$L$5+3+$L$3,"U","")))))</f>
        <v/>
      </c>
      <c r="M115" s="2">
        <f>IF(L115="D",MATCH(LARGE('Zgłoszenia'!$Q$5:$Q$504,(ROW()-12)),'Zgłoszenia'!$Q$5:$Q$504,0),IF(L115="U",MATCH(LARGE('Dane rozpisek'!$I$2:$I$2600,(ROW()-12)-$L$5-3),'Dane rozpisek'!$I$2:$I$2600,0),""))</f>
        <v/>
      </c>
    </row>
    <row r="116">
      <c r="A116" s="47">
        <f>IF($L116="D",INDEX('Zgłoszenia'!$D$5:$D$504,$M116),IF($L116="U",INDEX('Dane rozpisek'!$A$2:$A$2600,$M116),IF($L116="T","KTO JEŹDZIŁ",IF($L116="E1","Brak zgłoszonych usterek w tym okresie.",IF($L116="E2","Brak wpisów z tym wózkiem w rozpiskach dla tego okresu.",IF($L116="H","Data",""))))))</f>
        <v/>
      </c>
      <c r="B116" s="48">
        <f>IF($L116="D",INDEX('Zgłoszenia'!$B$5:$B$504,$M116)&amp;"",IF($L116="U",INDEX('Dane rozpisek'!$F$2:$F$2600,$M116)&amp;"",IF($L116="H","Wózek","")))</f>
        <v/>
      </c>
      <c r="C116" s="48">
        <f>IF($L116="D",INDEX('Zgłoszenia'!$E$5:$E$504,$M116)&amp;"",IF($L116="U",INDEX('Dane rozpisek'!$B$2:$B$2600,$M116)&amp;" · "&amp;INDEX('Dane rozpisek'!$J$2:$J$2600,$M116),IF($L116="H","Zmiana","")))</f>
        <v/>
      </c>
      <c r="D116" s="49">
        <f>IF($L116="D",INDEX('Zgłoszenia'!$H$5:$H$504,$M116)&amp;"",IF($L116="U",INDEX('Dane rozpisek'!$E$2:$E$2600,$M116)&amp;"",IF($L116="H","Operator","")))</f>
        <v/>
      </c>
      <c r="E116" s="49">
        <f>IF($L116="D",INDEX('Zgłoszenia'!$I$5:$I$504,$M116)&amp;"",IF($L116="U",INDEX('Dane rozpisek'!$C$2:$C$2600,$M116)&amp;"",IF($L116="H","Stanowisko","")))</f>
        <v/>
      </c>
      <c r="F116" s="48">
        <f>IF($L116="D",INDEX('Zgłoszenia'!$J$5:$J$504,$M116)&amp;"",IF($L116="U",INDEX('Dane rozpisek'!$G$2:$G$2600,$M116)&amp;"",IF($L116="H","Uwagi","")))</f>
        <v/>
      </c>
      <c r="G116" s="49">
        <f>IF($L116="D",INDEX('Zgłoszenia'!$F$5:$F$504,$M116)&amp;"",IF($L116="U",INDEX('Dane rozpisek'!$L$2:$L$2600,$M116)&amp;"",IF($L116="H","Usterki (dzień / następny)","")))</f>
        <v/>
      </c>
      <c r="H116" s="49">
        <f>IF($L116="D",INDEX('Zgłoszenia'!$P$5:$P$504,$M116)&amp;"",IF($L116="U","",""))</f>
        <v/>
      </c>
      <c r="I116" s="48">
        <f>IF($L116="D",IF(INDEX('Zgłoszenia'!$M$5:$M$504,$M116)="","Zgłoszona",INDEX('Zgłoszenia'!$M$5:$M$504,$M116)),IF($L116="U","",""))</f>
        <v/>
      </c>
      <c r="J116" s="49">
        <f>IF($L116="D",INDEX('Zgłoszenia'!$K$5:$K$504,$M116)&amp;"",IF($L116="U","",""))</f>
        <v/>
      </c>
      <c r="K116" s="2" t="n"/>
      <c r="L116" s="2">
        <f>IF((ROW()-12)&lt;=$L$5,IF($L$2=0,"E1","D"),IF((ROW()-12)=$L$5+1,"",IF((ROW()-12)=$L$5+2,"T",IF((ROW()-12)=$L$5+3,IF($L$3=0,"E2","H"),IF((ROW()-12)&lt;=$L$5+3+$L$3,"U","")))))</f>
        <v/>
      </c>
      <c r="M116" s="2">
        <f>IF(L116="D",MATCH(LARGE('Zgłoszenia'!$Q$5:$Q$504,(ROW()-12)),'Zgłoszenia'!$Q$5:$Q$504,0),IF(L116="U",MATCH(LARGE('Dane rozpisek'!$I$2:$I$2600,(ROW()-12)-$L$5-3),'Dane rozpisek'!$I$2:$I$2600,0),""))</f>
        <v/>
      </c>
    </row>
    <row r="117">
      <c r="A117" s="47">
        <f>IF($L117="D",INDEX('Zgłoszenia'!$D$5:$D$504,$M117),IF($L117="U",INDEX('Dane rozpisek'!$A$2:$A$2600,$M117),IF($L117="T","KTO JEŹDZIŁ",IF($L117="E1","Brak zgłoszonych usterek w tym okresie.",IF($L117="E2","Brak wpisów z tym wózkiem w rozpiskach dla tego okresu.",IF($L117="H","Data",""))))))</f>
        <v/>
      </c>
      <c r="B117" s="48">
        <f>IF($L117="D",INDEX('Zgłoszenia'!$B$5:$B$504,$M117)&amp;"",IF($L117="U",INDEX('Dane rozpisek'!$F$2:$F$2600,$M117)&amp;"",IF($L117="H","Wózek","")))</f>
        <v/>
      </c>
      <c r="C117" s="48">
        <f>IF($L117="D",INDEX('Zgłoszenia'!$E$5:$E$504,$M117)&amp;"",IF($L117="U",INDEX('Dane rozpisek'!$B$2:$B$2600,$M117)&amp;" · "&amp;INDEX('Dane rozpisek'!$J$2:$J$2600,$M117),IF($L117="H","Zmiana","")))</f>
        <v/>
      </c>
      <c r="D117" s="49">
        <f>IF($L117="D",INDEX('Zgłoszenia'!$H$5:$H$504,$M117)&amp;"",IF($L117="U",INDEX('Dane rozpisek'!$E$2:$E$2600,$M117)&amp;"",IF($L117="H","Operator","")))</f>
        <v/>
      </c>
      <c r="E117" s="49">
        <f>IF($L117="D",INDEX('Zgłoszenia'!$I$5:$I$504,$M117)&amp;"",IF($L117="U",INDEX('Dane rozpisek'!$C$2:$C$2600,$M117)&amp;"",IF($L117="H","Stanowisko","")))</f>
        <v/>
      </c>
      <c r="F117" s="48">
        <f>IF($L117="D",INDEX('Zgłoszenia'!$J$5:$J$504,$M117)&amp;"",IF($L117="U",INDEX('Dane rozpisek'!$G$2:$G$2600,$M117)&amp;"",IF($L117="H","Uwagi","")))</f>
        <v/>
      </c>
      <c r="G117" s="49">
        <f>IF($L117="D",INDEX('Zgłoszenia'!$F$5:$F$504,$M117)&amp;"",IF($L117="U",INDEX('Dane rozpisek'!$L$2:$L$2600,$M117)&amp;"",IF($L117="H","Usterki (dzień / następny)","")))</f>
        <v/>
      </c>
      <c r="H117" s="49">
        <f>IF($L117="D",INDEX('Zgłoszenia'!$P$5:$P$504,$M117)&amp;"",IF($L117="U","",""))</f>
        <v/>
      </c>
      <c r="I117" s="48">
        <f>IF($L117="D",IF(INDEX('Zgłoszenia'!$M$5:$M$504,$M117)="","Zgłoszona",INDEX('Zgłoszenia'!$M$5:$M$504,$M117)),IF($L117="U","",""))</f>
        <v/>
      </c>
      <c r="J117" s="49">
        <f>IF($L117="D",INDEX('Zgłoszenia'!$K$5:$K$504,$M117)&amp;"",IF($L117="U","",""))</f>
        <v/>
      </c>
      <c r="K117" s="2" t="n"/>
      <c r="L117" s="2">
        <f>IF((ROW()-12)&lt;=$L$5,IF($L$2=0,"E1","D"),IF((ROW()-12)=$L$5+1,"",IF((ROW()-12)=$L$5+2,"T",IF((ROW()-12)=$L$5+3,IF($L$3=0,"E2","H"),IF((ROW()-12)&lt;=$L$5+3+$L$3,"U","")))))</f>
        <v/>
      </c>
      <c r="M117" s="2">
        <f>IF(L117="D",MATCH(LARGE('Zgłoszenia'!$Q$5:$Q$504,(ROW()-12)),'Zgłoszenia'!$Q$5:$Q$504,0),IF(L117="U",MATCH(LARGE('Dane rozpisek'!$I$2:$I$2600,(ROW()-12)-$L$5-3),'Dane rozpisek'!$I$2:$I$2600,0),""))</f>
        <v/>
      </c>
    </row>
    <row r="118">
      <c r="A118" s="47">
        <f>IF($L118="D",INDEX('Zgłoszenia'!$D$5:$D$504,$M118),IF($L118="U",INDEX('Dane rozpisek'!$A$2:$A$2600,$M118),IF($L118="T","KTO JEŹDZIŁ",IF($L118="E1","Brak zgłoszonych usterek w tym okresie.",IF($L118="E2","Brak wpisów z tym wózkiem w rozpiskach dla tego okresu.",IF($L118="H","Data",""))))))</f>
        <v/>
      </c>
      <c r="B118" s="48">
        <f>IF($L118="D",INDEX('Zgłoszenia'!$B$5:$B$504,$M118)&amp;"",IF($L118="U",INDEX('Dane rozpisek'!$F$2:$F$2600,$M118)&amp;"",IF($L118="H","Wózek","")))</f>
        <v/>
      </c>
      <c r="C118" s="48">
        <f>IF($L118="D",INDEX('Zgłoszenia'!$E$5:$E$504,$M118)&amp;"",IF($L118="U",INDEX('Dane rozpisek'!$B$2:$B$2600,$M118)&amp;" · "&amp;INDEX('Dane rozpisek'!$J$2:$J$2600,$M118),IF($L118="H","Zmiana","")))</f>
        <v/>
      </c>
      <c r="D118" s="49">
        <f>IF($L118="D",INDEX('Zgłoszenia'!$H$5:$H$504,$M118)&amp;"",IF($L118="U",INDEX('Dane rozpisek'!$E$2:$E$2600,$M118)&amp;"",IF($L118="H","Operator","")))</f>
        <v/>
      </c>
      <c r="E118" s="49">
        <f>IF($L118="D",INDEX('Zgłoszenia'!$I$5:$I$504,$M118)&amp;"",IF($L118="U",INDEX('Dane rozpisek'!$C$2:$C$2600,$M118)&amp;"",IF($L118="H","Stanowisko","")))</f>
        <v/>
      </c>
      <c r="F118" s="48">
        <f>IF($L118="D",INDEX('Zgłoszenia'!$J$5:$J$504,$M118)&amp;"",IF($L118="U",INDEX('Dane rozpisek'!$G$2:$G$2600,$M118)&amp;"",IF($L118="H","Uwagi","")))</f>
        <v/>
      </c>
      <c r="G118" s="49">
        <f>IF($L118="D",INDEX('Zgłoszenia'!$F$5:$F$504,$M118)&amp;"",IF($L118="U",INDEX('Dane rozpisek'!$L$2:$L$2600,$M118)&amp;"",IF($L118="H","Usterki (dzień / następny)","")))</f>
        <v/>
      </c>
      <c r="H118" s="49">
        <f>IF($L118="D",INDEX('Zgłoszenia'!$P$5:$P$504,$M118)&amp;"",IF($L118="U","",""))</f>
        <v/>
      </c>
      <c r="I118" s="48">
        <f>IF($L118="D",IF(INDEX('Zgłoszenia'!$M$5:$M$504,$M118)="","Zgłoszona",INDEX('Zgłoszenia'!$M$5:$M$504,$M118)),IF($L118="U","",""))</f>
        <v/>
      </c>
      <c r="J118" s="49">
        <f>IF($L118="D",INDEX('Zgłoszenia'!$K$5:$K$504,$M118)&amp;"",IF($L118="U","",""))</f>
        <v/>
      </c>
      <c r="K118" s="2" t="n"/>
      <c r="L118" s="2">
        <f>IF((ROW()-12)&lt;=$L$5,IF($L$2=0,"E1","D"),IF((ROW()-12)=$L$5+1,"",IF((ROW()-12)=$L$5+2,"T",IF((ROW()-12)=$L$5+3,IF($L$3=0,"E2","H"),IF((ROW()-12)&lt;=$L$5+3+$L$3,"U","")))))</f>
        <v/>
      </c>
      <c r="M118" s="2">
        <f>IF(L118="D",MATCH(LARGE('Zgłoszenia'!$Q$5:$Q$504,(ROW()-12)),'Zgłoszenia'!$Q$5:$Q$504,0),IF(L118="U",MATCH(LARGE('Dane rozpisek'!$I$2:$I$2600,(ROW()-12)-$L$5-3),'Dane rozpisek'!$I$2:$I$2600,0),""))</f>
        <v/>
      </c>
    </row>
    <row r="119">
      <c r="A119" s="47">
        <f>IF($L119="D",INDEX('Zgłoszenia'!$D$5:$D$504,$M119),IF($L119="U",INDEX('Dane rozpisek'!$A$2:$A$2600,$M119),IF($L119="T","KTO JEŹDZIŁ",IF($L119="E1","Brak zgłoszonych usterek w tym okresie.",IF($L119="E2","Brak wpisów z tym wózkiem w rozpiskach dla tego okresu.",IF($L119="H","Data",""))))))</f>
        <v/>
      </c>
      <c r="B119" s="48">
        <f>IF($L119="D",INDEX('Zgłoszenia'!$B$5:$B$504,$M119)&amp;"",IF($L119="U",INDEX('Dane rozpisek'!$F$2:$F$2600,$M119)&amp;"",IF($L119="H","Wózek","")))</f>
        <v/>
      </c>
      <c r="C119" s="48">
        <f>IF($L119="D",INDEX('Zgłoszenia'!$E$5:$E$504,$M119)&amp;"",IF($L119="U",INDEX('Dane rozpisek'!$B$2:$B$2600,$M119)&amp;" · "&amp;INDEX('Dane rozpisek'!$J$2:$J$2600,$M119),IF($L119="H","Zmiana","")))</f>
        <v/>
      </c>
      <c r="D119" s="49">
        <f>IF($L119="D",INDEX('Zgłoszenia'!$H$5:$H$504,$M119)&amp;"",IF($L119="U",INDEX('Dane rozpisek'!$E$2:$E$2600,$M119)&amp;"",IF($L119="H","Operator","")))</f>
        <v/>
      </c>
      <c r="E119" s="49">
        <f>IF($L119="D",INDEX('Zgłoszenia'!$I$5:$I$504,$M119)&amp;"",IF($L119="U",INDEX('Dane rozpisek'!$C$2:$C$2600,$M119)&amp;"",IF($L119="H","Stanowisko","")))</f>
        <v/>
      </c>
      <c r="F119" s="48">
        <f>IF($L119="D",INDEX('Zgłoszenia'!$J$5:$J$504,$M119)&amp;"",IF($L119="U",INDEX('Dane rozpisek'!$G$2:$G$2600,$M119)&amp;"",IF($L119="H","Uwagi","")))</f>
        <v/>
      </c>
      <c r="G119" s="49">
        <f>IF($L119="D",INDEX('Zgłoszenia'!$F$5:$F$504,$M119)&amp;"",IF($L119="U",INDEX('Dane rozpisek'!$L$2:$L$2600,$M119)&amp;"",IF($L119="H","Usterki (dzień / następny)","")))</f>
        <v/>
      </c>
      <c r="H119" s="49">
        <f>IF($L119="D",INDEX('Zgłoszenia'!$P$5:$P$504,$M119)&amp;"",IF($L119="U","",""))</f>
        <v/>
      </c>
      <c r="I119" s="48">
        <f>IF($L119="D",IF(INDEX('Zgłoszenia'!$M$5:$M$504,$M119)="","Zgłoszona",INDEX('Zgłoszenia'!$M$5:$M$504,$M119)),IF($L119="U","",""))</f>
        <v/>
      </c>
      <c r="J119" s="49">
        <f>IF($L119="D",INDEX('Zgłoszenia'!$K$5:$K$504,$M119)&amp;"",IF($L119="U","",""))</f>
        <v/>
      </c>
      <c r="K119" s="2" t="n"/>
      <c r="L119" s="2">
        <f>IF((ROW()-12)&lt;=$L$5,IF($L$2=0,"E1","D"),IF((ROW()-12)=$L$5+1,"",IF((ROW()-12)=$L$5+2,"T",IF((ROW()-12)=$L$5+3,IF($L$3=0,"E2","H"),IF((ROW()-12)&lt;=$L$5+3+$L$3,"U","")))))</f>
        <v/>
      </c>
      <c r="M119" s="2">
        <f>IF(L119="D",MATCH(LARGE('Zgłoszenia'!$Q$5:$Q$504,(ROW()-12)),'Zgłoszenia'!$Q$5:$Q$504,0),IF(L119="U",MATCH(LARGE('Dane rozpisek'!$I$2:$I$2600,(ROW()-12)-$L$5-3),'Dane rozpisek'!$I$2:$I$2600,0),""))</f>
        <v/>
      </c>
    </row>
    <row r="120">
      <c r="A120" s="47">
        <f>IF($L120="D",INDEX('Zgłoszenia'!$D$5:$D$504,$M120),IF($L120="U",INDEX('Dane rozpisek'!$A$2:$A$2600,$M120),IF($L120="T","KTO JEŹDZIŁ",IF($L120="E1","Brak zgłoszonych usterek w tym okresie.",IF($L120="E2","Brak wpisów z tym wózkiem w rozpiskach dla tego okresu.",IF($L120="H","Data",""))))))</f>
        <v/>
      </c>
      <c r="B120" s="48">
        <f>IF($L120="D",INDEX('Zgłoszenia'!$B$5:$B$504,$M120)&amp;"",IF($L120="U",INDEX('Dane rozpisek'!$F$2:$F$2600,$M120)&amp;"",IF($L120="H","Wózek","")))</f>
        <v/>
      </c>
      <c r="C120" s="48">
        <f>IF($L120="D",INDEX('Zgłoszenia'!$E$5:$E$504,$M120)&amp;"",IF($L120="U",INDEX('Dane rozpisek'!$B$2:$B$2600,$M120)&amp;" · "&amp;INDEX('Dane rozpisek'!$J$2:$J$2600,$M120),IF($L120="H","Zmiana","")))</f>
        <v/>
      </c>
      <c r="D120" s="49">
        <f>IF($L120="D",INDEX('Zgłoszenia'!$H$5:$H$504,$M120)&amp;"",IF($L120="U",INDEX('Dane rozpisek'!$E$2:$E$2600,$M120)&amp;"",IF($L120="H","Operator","")))</f>
        <v/>
      </c>
      <c r="E120" s="49">
        <f>IF($L120="D",INDEX('Zgłoszenia'!$I$5:$I$504,$M120)&amp;"",IF($L120="U",INDEX('Dane rozpisek'!$C$2:$C$2600,$M120)&amp;"",IF($L120="H","Stanowisko","")))</f>
        <v/>
      </c>
      <c r="F120" s="48">
        <f>IF($L120="D",INDEX('Zgłoszenia'!$J$5:$J$504,$M120)&amp;"",IF($L120="U",INDEX('Dane rozpisek'!$G$2:$G$2600,$M120)&amp;"",IF($L120="H","Uwagi","")))</f>
        <v/>
      </c>
      <c r="G120" s="49">
        <f>IF($L120="D",INDEX('Zgłoszenia'!$F$5:$F$504,$M120)&amp;"",IF($L120="U",INDEX('Dane rozpisek'!$L$2:$L$2600,$M120)&amp;"",IF($L120="H","Usterki (dzień / następny)","")))</f>
        <v/>
      </c>
      <c r="H120" s="49">
        <f>IF($L120="D",INDEX('Zgłoszenia'!$P$5:$P$504,$M120)&amp;"",IF($L120="U","",""))</f>
        <v/>
      </c>
      <c r="I120" s="48">
        <f>IF($L120="D",IF(INDEX('Zgłoszenia'!$M$5:$M$504,$M120)="","Zgłoszona",INDEX('Zgłoszenia'!$M$5:$M$504,$M120)),IF($L120="U","",""))</f>
        <v/>
      </c>
      <c r="J120" s="49">
        <f>IF($L120="D",INDEX('Zgłoszenia'!$K$5:$K$504,$M120)&amp;"",IF($L120="U","",""))</f>
        <v/>
      </c>
      <c r="K120" s="2" t="n"/>
      <c r="L120" s="2">
        <f>IF((ROW()-12)&lt;=$L$5,IF($L$2=0,"E1","D"),IF((ROW()-12)=$L$5+1,"",IF((ROW()-12)=$L$5+2,"T",IF((ROW()-12)=$L$5+3,IF($L$3=0,"E2","H"),IF((ROW()-12)&lt;=$L$5+3+$L$3,"U","")))))</f>
        <v/>
      </c>
      <c r="M120" s="2">
        <f>IF(L120="D",MATCH(LARGE('Zgłoszenia'!$Q$5:$Q$504,(ROW()-12)),'Zgłoszenia'!$Q$5:$Q$504,0),IF(L120="U",MATCH(LARGE('Dane rozpisek'!$I$2:$I$2600,(ROW()-12)-$L$5-3),'Dane rozpisek'!$I$2:$I$2600,0),""))</f>
        <v/>
      </c>
    </row>
    <row r="121">
      <c r="A121" s="47">
        <f>IF($L121="D",INDEX('Zgłoszenia'!$D$5:$D$504,$M121),IF($L121="U",INDEX('Dane rozpisek'!$A$2:$A$2600,$M121),IF($L121="T","KTO JEŹDZIŁ",IF($L121="E1","Brak zgłoszonych usterek w tym okresie.",IF($L121="E2","Brak wpisów z tym wózkiem w rozpiskach dla tego okresu.",IF($L121="H","Data",""))))))</f>
        <v/>
      </c>
      <c r="B121" s="48">
        <f>IF($L121="D",INDEX('Zgłoszenia'!$B$5:$B$504,$M121)&amp;"",IF($L121="U",INDEX('Dane rozpisek'!$F$2:$F$2600,$M121)&amp;"",IF($L121="H","Wózek","")))</f>
        <v/>
      </c>
      <c r="C121" s="48">
        <f>IF($L121="D",INDEX('Zgłoszenia'!$E$5:$E$504,$M121)&amp;"",IF($L121="U",INDEX('Dane rozpisek'!$B$2:$B$2600,$M121)&amp;" · "&amp;INDEX('Dane rozpisek'!$J$2:$J$2600,$M121),IF($L121="H","Zmiana","")))</f>
        <v/>
      </c>
      <c r="D121" s="49">
        <f>IF($L121="D",INDEX('Zgłoszenia'!$H$5:$H$504,$M121)&amp;"",IF($L121="U",INDEX('Dane rozpisek'!$E$2:$E$2600,$M121)&amp;"",IF($L121="H","Operator","")))</f>
        <v/>
      </c>
      <c r="E121" s="49">
        <f>IF($L121="D",INDEX('Zgłoszenia'!$I$5:$I$504,$M121)&amp;"",IF($L121="U",INDEX('Dane rozpisek'!$C$2:$C$2600,$M121)&amp;"",IF($L121="H","Stanowisko","")))</f>
        <v/>
      </c>
      <c r="F121" s="48">
        <f>IF($L121="D",INDEX('Zgłoszenia'!$J$5:$J$504,$M121)&amp;"",IF($L121="U",INDEX('Dane rozpisek'!$G$2:$G$2600,$M121)&amp;"",IF($L121="H","Uwagi","")))</f>
        <v/>
      </c>
      <c r="G121" s="49">
        <f>IF($L121="D",INDEX('Zgłoszenia'!$F$5:$F$504,$M121)&amp;"",IF($L121="U",INDEX('Dane rozpisek'!$L$2:$L$2600,$M121)&amp;"",IF($L121="H","Usterki (dzień / następny)","")))</f>
        <v/>
      </c>
      <c r="H121" s="49">
        <f>IF($L121="D",INDEX('Zgłoszenia'!$P$5:$P$504,$M121)&amp;"",IF($L121="U","",""))</f>
        <v/>
      </c>
      <c r="I121" s="48">
        <f>IF($L121="D",IF(INDEX('Zgłoszenia'!$M$5:$M$504,$M121)="","Zgłoszona",INDEX('Zgłoszenia'!$M$5:$M$504,$M121)),IF($L121="U","",""))</f>
        <v/>
      </c>
      <c r="J121" s="49">
        <f>IF($L121="D",INDEX('Zgłoszenia'!$K$5:$K$504,$M121)&amp;"",IF($L121="U","",""))</f>
        <v/>
      </c>
      <c r="K121" s="2" t="n"/>
      <c r="L121" s="2">
        <f>IF((ROW()-12)&lt;=$L$5,IF($L$2=0,"E1","D"),IF((ROW()-12)=$L$5+1,"",IF((ROW()-12)=$L$5+2,"T",IF((ROW()-12)=$L$5+3,IF($L$3=0,"E2","H"),IF((ROW()-12)&lt;=$L$5+3+$L$3,"U","")))))</f>
        <v/>
      </c>
      <c r="M121" s="2">
        <f>IF(L121="D",MATCH(LARGE('Zgłoszenia'!$Q$5:$Q$504,(ROW()-12)),'Zgłoszenia'!$Q$5:$Q$504,0),IF(L121="U",MATCH(LARGE('Dane rozpisek'!$I$2:$I$2600,(ROW()-12)-$L$5-3),'Dane rozpisek'!$I$2:$I$2600,0),""))</f>
        <v/>
      </c>
    </row>
    <row r="122">
      <c r="A122" s="47">
        <f>IF($L122="D",INDEX('Zgłoszenia'!$D$5:$D$504,$M122),IF($L122="U",INDEX('Dane rozpisek'!$A$2:$A$2600,$M122),IF($L122="T","KTO JEŹDZIŁ",IF($L122="E1","Brak zgłoszonych usterek w tym okresie.",IF($L122="E2","Brak wpisów z tym wózkiem w rozpiskach dla tego okresu.",IF($L122="H","Data",""))))))</f>
        <v/>
      </c>
      <c r="B122" s="48">
        <f>IF($L122="D",INDEX('Zgłoszenia'!$B$5:$B$504,$M122)&amp;"",IF($L122="U",INDEX('Dane rozpisek'!$F$2:$F$2600,$M122)&amp;"",IF($L122="H","Wózek","")))</f>
        <v/>
      </c>
      <c r="C122" s="48">
        <f>IF($L122="D",INDEX('Zgłoszenia'!$E$5:$E$504,$M122)&amp;"",IF($L122="U",INDEX('Dane rozpisek'!$B$2:$B$2600,$M122)&amp;" · "&amp;INDEX('Dane rozpisek'!$J$2:$J$2600,$M122),IF($L122="H","Zmiana","")))</f>
        <v/>
      </c>
      <c r="D122" s="49">
        <f>IF($L122="D",INDEX('Zgłoszenia'!$H$5:$H$504,$M122)&amp;"",IF($L122="U",INDEX('Dane rozpisek'!$E$2:$E$2600,$M122)&amp;"",IF($L122="H","Operator","")))</f>
        <v/>
      </c>
      <c r="E122" s="49">
        <f>IF($L122="D",INDEX('Zgłoszenia'!$I$5:$I$504,$M122)&amp;"",IF($L122="U",INDEX('Dane rozpisek'!$C$2:$C$2600,$M122)&amp;"",IF($L122="H","Stanowisko","")))</f>
        <v/>
      </c>
      <c r="F122" s="48">
        <f>IF($L122="D",INDEX('Zgłoszenia'!$J$5:$J$504,$M122)&amp;"",IF($L122="U",INDEX('Dane rozpisek'!$G$2:$G$2600,$M122)&amp;"",IF($L122="H","Uwagi","")))</f>
        <v/>
      </c>
      <c r="G122" s="49">
        <f>IF($L122="D",INDEX('Zgłoszenia'!$F$5:$F$504,$M122)&amp;"",IF($L122="U",INDEX('Dane rozpisek'!$L$2:$L$2600,$M122)&amp;"",IF($L122="H","Usterki (dzień / następny)","")))</f>
        <v/>
      </c>
      <c r="H122" s="49">
        <f>IF($L122="D",INDEX('Zgłoszenia'!$P$5:$P$504,$M122)&amp;"",IF($L122="U","",""))</f>
        <v/>
      </c>
      <c r="I122" s="48">
        <f>IF($L122="D",IF(INDEX('Zgłoszenia'!$M$5:$M$504,$M122)="","Zgłoszona",INDEX('Zgłoszenia'!$M$5:$M$504,$M122)),IF($L122="U","",""))</f>
        <v/>
      </c>
      <c r="J122" s="49">
        <f>IF($L122="D",INDEX('Zgłoszenia'!$K$5:$K$504,$M122)&amp;"",IF($L122="U","",""))</f>
        <v/>
      </c>
      <c r="K122" s="2" t="n"/>
      <c r="L122" s="2">
        <f>IF((ROW()-12)&lt;=$L$5,IF($L$2=0,"E1","D"),IF((ROW()-12)=$L$5+1,"",IF((ROW()-12)=$L$5+2,"T",IF((ROW()-12)=$L$5+3,IF($L$3=0,"E2","H"),IF((ROW()-12)&lt;=$L$5+3+$L$3,"U","")))))</f>
        <v/>
      </c>
      <c r="M122" s="2">
        <f>IF(L122="D",MATCH(LARGE('Zgłoszenia'!$Q$5:$Q$504,(ROW()-12)),'Zgłoszenia'!$Q$5:$Q$504,0),IF(L122="U",MATCH(LARGE('Dane rozpisek'!$I$2:$I$2600,(ROW()-12)-$L$5-3),'Dane rozpisek'!$I$2:$I$2600,0),""))</f>
        <v/>
      </c>
    </row>
    <row r="123">
      <c r="A123" s="47">
        <f>IF($L123="D",INDEX('Zgłoszenia'!$D$5:$D$504,$M123),IF($L123="U",INDEX('Dane rozpisek'!$A$2:$A$2600,$M123),IF($L123="T","KTO JEŹDZIŁ",IF($L123="E1","Brak zgłoszonych usterek w tym okresie.",IF($L123="E2","Brak wpisów z tym wózkiem w rozpiskach dla tego okresu.",IF($L123="H","Data",""))))))</f>
        <v/>
      </c>
      <c r="B123" s="48">
        <f>IF($L123="D",INDEX('Zgłoszenia'!$B$5:$B$504,$M123)&amp;"",IF($L123="U",INDEX('Dane rozpisek'!$F$2:$F$2600,$M123)&amp;"",IF($L123="H","Wózek","")))</f>
        <v/>
      </c>
      <c r="C123" s="48">
        <f>IF($L123="D",INDEX('Zgłoszenia'!$E$5:$E$504,$M123)&amp;"",IF($L123="U",INDEX('Dane rozpisek'!$B$2:$B$2600,$M123)&amp;" · "&amp;INDEX('Dane rozpisek'!$J$2:$J$2600,$M123),IF($L123="H","Zmiana","")))</f>
        <v/>
      </c>
      <c r="D123" s="49">
        <f>IF($L123="D",INDEX('Zgłoszenia'!$H$5:$H$504,$M123)&amp;"",IF($L123="U",INDEX('Dane rozpisek'!$E$2:$E$2600,$M123)&amp;"",IF($L123="H","Operator","")))</f>
        <v/>
      </c>
      <c r="E123" s="49">
        <f>IF($L123="D",INDEX('Zgłoszenia'!$I$5:$I$504,$M123)&amp;"",IF($L123="U",INDEX('Dane rozpisek'!$C$2:$C$2600,$M123)&amp;"",IF($L123="H","Stanowisko","")))</f>
        <v/>
      </c>
      <c r="F123" s="48">
        <f>IF($L123="D",INDEX('Zgłoszenia'!$J$5:$J$504,$M123)&amp;"",IF($L123="U",INDEX('Dane rozpisek'!$G$2:$G$2600,$M123)&amp;"",IF($L123="H","Uwagi","")))</f>
        <v/>
      </c>
      <c r="G123" s="49">
        <f>IF($L123="D",INDEX('Zgłoszenia'!$F$5:$F$504,$M123)&amp;"",IF($L123="U",INDEX('Dane rozpisek'!$L$2:$L$2600,$M123)&amp;"",IF($L123="H","Usterki (dzień / następny)","")))</f>
        <v/>
      </c>
      <c r="H123" s="49">
        <f>IF($L123="D",INDEX('Zgłoszenia'!$P$5:$P$504,$M123)&amp;"",IF($L123="U","",""))</f>
        <v/>
      </c>
      <c r="I123" s="48">
        <f>IF($L123="D",IF(INDEX('Zgłoszenia'!$M$5:$M$504,$M123)="","Zgłoszona",INDEX('Zgłoszenia'!$M$5:$M$504,$M123)),IF($L123="U","",""))</f>
        <v/>
      </c>
      <c r="J123" s="49">
        <f>IF($L123="D",INDEX('Zgłoszenia'!$K$5:$K$504,$M123)&amp;"",IF($L123="U","",""))</f>
        <v/>
      </c>
      <c r="K123" s="2" t="n"/>
      <c r="L123" s="2">
        <f>IF((ROW()-12)&lt;=$L$5,IF($L$2=0,"E1","D"),IF((ROW()-12)=$L$5+1,"",IF((ROW()-12)=$L$5+2,"T",IF((ROW()-12)=$L$5+3,IF($L$3=0,"E2","H"),IF((ROW()-12)&lt;=$L$5+3+$L$3,"U","")))))</f>
        <v/>
      </c>
      <c r="M123" s="2">
        <f>IF(L123="D",MATCH(LARGE('Zgłoszenia'!$Q$5:$Q$504,(ROW()-12)),'Zgłoszenia'!$Q$5:$Q$504,0),IF(L123="U",MATCH(LARGE('Dane rozpisek'!$I$2:$I$2600,(ROW()-12)-$L$5-3),'Dane rozpisek'!$I$2:$I$2600,0),""))</f>
        <v/>
      </c>
    </row>
    <row r="124">
      <c r="A124" s="47">
        <f>IF($L124="D",INDEX('Zgłoszenia'!$D$5:$D$504,$M124),IF($L124="U",INDEX('Dane rozpisek'!$A$2:$A$2600,$M124),IF($L124="T","KTO JEŹDZIŁ",IF($L124="E1","Brak zgłoszonych usterek w tym okresie.",IF($L124="E2","Brak wpisów z tym wózkiem w rozpiskach dla tego okresu.",IF($L124="H","Data",""))))))</f>
        <v/>
      </c>
      <c r="B124" s="48">
        <f>IF($L124="D",INDEX('Zgłoszenia'!$B$5:$B$504,$M124)&amp;"",IF($L124="U",INDEX('Dane rozpisek'!$F$2:$F$2600,$M124)&amp;"",IF($L124="H","Wózek","")))</f>
        <v/>
      </c>
      <c r="C124" s="48">
        <f>IF($L124="D",INDEX('Zgłoszenia'!$E$5:$E$504,$M124)&amp;"",IF($L124="U",INDEX('Dane rozpisek'!$B$2:$B$2600,$M124)&amp;" · "&amp;INDEX('Dane rozpisek'!$J$2:$J$2600,$M124),IF($L124="H","Zmiana","")))</f>
        <v/>
      </c>
      <c r="D124" s="49">
        <f>IF($L124="D",INDEX('Zgłoszenia'!$H$5:$H$504,$M124)&amp;"",IF($L124="U",INDEX('Dane rozpisek'!$E$2:$E$2600,$M124)&amp;"",IF($L124="H","Operator","")))</f>
        <v/>
      </c>
      <c r="E124" s="49">
        <f>IF($L124="D",INDEX('Zgłoszenia'!$I$5:$I$504,$M124)&amp;"",IF($L124="U",INDEX('Dane rozpisek'!$C$2:$C$2600,$M124)&amp;"",IF($L124="H","Stanowisko","")))</f>
        <v/>
      </c>
      <c r="F124" s="48">
        <f>IF($L124="D",INDEX('Zgłoszenia'!$J$5:$J$504,$M124)&amp;"",IF($L124="U",INDEX('Dane rozpisek'!$G$2:$G$2600,$M124)&amp;"",IF($L124="H","Uwagi","")))</f>
        <v/>
      </c>
      <c r="G124" s="49">
        <f>IF($L124="D",INDEX('Zgłoszenia'!$F$5:$F$504,$M124)&amp;"",IF($L124="U",INDEX('Dane rozpisek'!$L$2:$L$2600,$M124)&amp;"",IF($L124="H","Usterki (dzień / następny)","")))</f>
        <v/>
      </c>
      <c r="H124" s="49">
        <f>IF($L124="D",INDEX('Zgłoszenia'!$P$5:$P$504,$M124)&amp;"",IF($L124="U","",""))</f>
        <v/>
      </c>
      <c r="I124" s="48">
        <f>IF($L124="D",IF(INDEX('Zgłoszenia'!$M$5:$M$504,$M124)="","Zgłoszona",INDEX('Zgłoszenia'!$M$5:$M$504,$M124)),IF($L124="U","",""))</f>
        <v/>
      </c>
      <c r="J124" s="49">
        <f>IF($L124="D",INDEX('Zgłoszenia'!$K$5:$K$504,$M124)&amp;"",IF($L124="U","",""))</f>
        <v/>
      </c>
      <c r="K124" s="2" t="n"/>
      <c r="L124" s="2">
        <f>IF((ROW()-12)&lt;=$L$5,IF($L$2=0,"E1","D"),IF((ROW()-12)=$L$5+1,"",IF((ROW()-12)=$L$5+2,"T",IF((ROW()-12)=$L$5+3,IF($L$3=0,"E2","H"),IF((ROW()-12)&lt;=$L$5+3+$L$3,"U","")))))</f>
        <v/>
      </c>
      <c r="M124" s="2">
        <f>IF(L124="D",MATCH(LARGE('Zgłoszenia'!$Q$5:$Q$504,(ROW()-12)),'Zgłoszenia'!$Q$5:$Q$504,0),IF(L124="U",MATCH(LARGE('Dane rozpisek'!$I$2:$I$2600,(ROW()-12)-$L$5-3),'Dane rozpisek'!$I$2:$I$2600,0),""))</f>
        <v/>
      </c>
    </row>
    <row r="125">
      <c r="A125" s="47">
        <f>IF($L125="D",INDEX('Zgłoszenia'!$D$5:$D$504,$M125),IF($L125="U",INDEX('Dane rozpisek'!$A$2:$A$2600,$M125),IF($L125="T","KTO JEŹDZIŁ",IF($L125="E1","Brak zgłoszonych usterek w tym okresie.",IF($L125="E2","Brak wpisów z tym wózkiem w rozpiskach dla tego okresu.",IF($L125="H","Data",""))))))</f>
        <v/>
      </c>
      <c r="B125" s="48">
        <f>IF($L125="D",INDEX('Zgłoszenia'!$B$5:$B$504,$M125)&amp;"",IF($L125="U",INDEX('Dane rozpisek'!$F$2:$F$2600,$M125)&amp;"",IF($L125="H","Wózek","")))</f>
        <v/>
      </c>
      <c r="C125" s="48">
        <f>IF($L125="D",INDEX('Zgłoszenia'!$E$5:$E$504,$M125)&amp;"",IF($L125="U",INDEX('Dane rozpisek'!$B$2:$B$2600,$M125)&amp;" · "&amp;INDEX('Dane rozpisek'!$J$2:$J$2600,$M125),IF($L125="H","Zmiana","")))</f>
        <v/>
      </c>
      <c r="D125" s="49">
        <f>IF($L125="D",INDEX('Zgłoszenia'!$H$5:$H$504,$M125)&amp;"",IF($L125="U",INDEX('Dane rozpisek'!$E$2:$E$2600,$M125)&amp;"",IF($L125="H","Operator","")))</f>
        <v/>
      </c>
      <c r="E125" s="49">
        <f>IF($L125="D",INDEX('Zgłoszenia'!$I$5:$I$504,$M125)&amp;"",IF($L125="U",INDEX('Dane rozpisek'!$C$2:$C$2600,$M125)&amp;"",IF($L125="H","Stanowisko","")))</f>
        <v/>
      </c>
      <c r="F125" s="48">
        <f>IF($L125="D",INDEX('Zgłoszenia'!$J$5:$J$504,$M125)&amp;"",IF($L125="U",INDEX('Dane rozpisek'!$G$2:$G$2600,$M125)&amp;"",IF($L125="H","Uwagi","")))</f>
        <v/>
      </c>
      <c r="G125" s="49">
        <f>IF($L125="D",INDEX('Zgłoszenia'!$F$5:$F$504,$M125)&amp;"",IF($L125="U",INDEX('Dane rozpisek'!$L$2:$L$2600,$M125)&amp;"",IF($L125="H","Usterki (dzień / następny)","")))</f>
        <v/>
      </c>
      <c r="H125" s="49">
        <f>IF($L125="D",INDEX('Zgłoszenia'!$P$5:$P$504,$M125)&amp;"",IF($L125="U","",""))</f>
        <v/>
      </c>
      <c r="I125" s="48">
        <f>IF($L125="D",IF(INDEX('Zgłoszenia'!$M$5:$M$504,$M125)="","Zgłoszona",INDEX('Zgłoszenia'!$M$5:$M$504,$M125)),IF($L125="U","",""))</f>
        <v/>
      </c>
      <c r="J125" s="49">
        <f>IF($L125="D",INDEX('Zgłoszenia'!$K$5:$K$504,$M125)&amp;"",IF($L125="U","",""))</f>
        <v/>
      </c>
      <c r="K125" s="2" t="n"/>
      <c r="L125" s="2">
        <f>IF((ROW()-12)&lt;=$L$5,IF($L$2=0,"E1","D"),IF((ROW()-12)=$L$5+1,"",IF((ROW()-12)=$L$5+2,"T",IF((ROW()-12)=$L$5+3,IF($L$3=0,"E2","H"),IF((ROW()-12)&lt;=$L$5+3+$L$3,"U","")))))</f>
        <v/>
      </c>
      <c r="M125" s="2">
        <f>IF(L125="D",MATCH(LARGE('Zgłoszenia'!$Q$5:$Q$504,(ROW()-12)),'Zgłoszenia'!$Q$5:$Q$504,0),IF(L125="U",MATCH(LARGE('Dane rozpisek'!$I$2:$I$2600,(ROW()-12)-$L$5-3),'Dane rozpisek'!$I$2:$I$2600,0),""))</f>
        <v/>
      </c>
    </row>
    <row r="126">
      <c r="A126" s="47">
        <f>IF($L126="D",INDEX('Zgłoszenia'!$D$5:$D$504,$M126),IF($L126="U",INDEX('Dane rozpisek'!$A$2:$A$2600,$M126),IF($L126="T","KTO JEŹDZIŁ",IF($L126="E1","Brak zgłoszonych usterek w tym okresie.",IF($L126="E2","Brak wpisów z tym wózkiem w rozpiskach dla tego okresu.",IF($L126="H","Data",""))))))</f>
        <v/>
      </c>
      <c r="B126" s="48">
        <f>IF($L126="D",INDEX('Zgłoszenia'!$B$5:$B$504,$M126)&amp;"",IF($L126="U",INDEX('Dane rozpisek'!$F$2:$F$2600,$M126)&amp;"",IF($L126="H","Wózek","")))</f>
        <v/>
      </c>
      <c r="C126" s="48">
        <f>IF($L126="D",INDEX('Zgłoszenia'!$E$5:$E$504,$M126)&amp;"",IF($L126="U",INDEX('Dane rozpisek'!$B$2:$B$2600,$M126)&amp;" · "&amp;INDEX('Dane rozpisek'!$J$2:$J$2600,$M126),IF($L126="H","Zmiana","")))</f>
        <v/>
      </c>
      <c r="D126" s="49">
        <f>IF($L126="D",INDEX('Zgłoszenia'!$H$5:$H$504,$M126)&amp;"",IF($L126="U",INDEX('Dane rozpisek'!$E$2:$E$2600,$M126)&amp;"",IF($L126="H","Operator","")))</f>
        <v/>
      </c>
      <c r="E126" s="49">
        <f>IF($L126="D",INDEX('Zgłoszenia'!$I$5:$I$504,$M126)&amp;"",IF($L126="U",INDEX('Dane rozpisek'!$C$2:$C$2600,$M126)&amp;"",IF($L126="H","Stanowisko","")))</f>
        <v/>
      </c>
      <c r="F126" s="48">
        <f>IF($L126="D",INDEX('Zgłoszenia'!$J$5:$J$504,$M126)&amp;"",IF($L126="U",INDEX('Dane rozpisek'!$G$2:$G$2600,$M126)&amp;"",IF($L126="H","Uwagi","")))</f>
        <v/>
      </c>
      <c r="G126" s="49">
        <f>IF($L126="D",INDEX('Zgłoszenia'!$F$5:$F$504,$M126)&amp;"",IF($L126="U",INDEX('Dane rozpisek'!$L$2:$L$2600,$M126)&amp;"",IF($L126="H","Usterki (dzień / następny)","")))</f>
        <v/>
      </c>
      <c r="H126" s="49">
        <f>IF($L126="D",INDEX('Zgłoszenia'!$P$5:$P$504,$M126)&amp;"",IF($L126="U","",""))</f>
        <v/>
      </c>
      <c r="I126" s="48">
        <f>IF($L126="D",IF(INDEX('Zgłoszenia'!$M$5:$M$504,$M126)="","Zgłoszona",INDEX('Zgłoszenia'!$M$5:$M$504,$M126)),IF($L126="U","",""))</f>
        <v/>
      </c>
      <c r="J126" s="49">
        <f>IF($L126="D",INDEX('Zgłoszenia'!$K$5:$K$504,$M126)&amp;"",IF($L126="U","",""))</f>
        <v/>
      </c>
      <c r="K126" s="2" t="n"/>
      <c r="L126" s="2">
        <f>IF((ROW()-12)&lt;=$L$5,IF($L$2=0,"E1","D"),IF((ROW()-12)=$L$5+1,"",IF((ROW()-12)=$L$5+2,"T",IF((ROW()-12)=$L$5+3,IF($L$3=0,"E2","H"),IF((ROW()-12)&lt;=$L$5+3+$L$3,"U","")))))</f>
        <v/>
      </c>
      <c r="M126" s="2">
        <f>IF(L126="D",MATCH(LARGE('Zgłoszenia'!$Q$5:$Q$504,(ROW()-12)),'Zgłoszenia'!$Q$5:$Q$504,0),IF(L126="U",MATCH(LARGE('Dane rozpisek'!$I$2:$I$2600,(ROW()-12)-$L$5-3),'Dane rozpisek'!$I$2:$I$2600,0),""))</f>
        <v/>
      </c>
    </row>
    <row r="127">
      <c r="A127" s="47">
        <f>IF($L127="D",INDEX('Zgłoszenia'!$D$5:$D$504,$M127),IF($L127="U",INDEX('Dane rozpisek'!$A$2:$A$2600,$M127),IF($L127="T","KTO JEŹDZIŁ",IF($L127="E1","Brak zgłoszonych usterek w tym okresie.",IF($L127="E2","Brak wpisów z tym wózkiem w rozpiskach dla tego okresu.",IF($L127="H","Data",""))))))</f>
        <v/>
      </c>
      <c r="B127" s="48">
        <f>IF($L127="D",INDEX('Zgłoszenia'!$B$5:$B$504,$M127)&amp;"",IF($L127="U",INDEX('Dane rozpisek'!$F$2:$F$2600,$M127)&amp;"",IF($L127="H","Wózek","")))</f>
        <v/>
      </c>
      <c r="C127" s="48">
        <f>IF($L127="D",INDEX('Zgłoszenia'!$E$5:$E$504,$M127)&amp;"",IF($L127="U",INDEX('Dane rozpisek'!$B$2:$B$2600,$M127)&amp;" · "&amp;INDEX('Dane rozpisek'!$J$2:$J$2600,$M127),IF($L127="H","Zmiana","")))</f>
        <v/>
      </c>
      <c r="D127" s="49">
        <f>IF($L127="D",INDEX('Zgłoszenia'!$H$5:$H$504,$M127)&amp;"",IF($L127="U",INDEX('Dane rozpisek'!$E$2:$E$2600,$M127)&amp;"",IF($L127="H","Operator","")))</f>
        <v/>
      </c>
      <c r="E127" s="49">
        <f>IF($L127="D",INDEX('Zgłoszenia'!$I$5:$I$504,$M127)&amp;"",IF($L127="U",INDEX('Dane rozpisek'!$C$2:$C$2600,$M127)&amp;"",IF($L127="H","Stanowisko","")))</f>
        <v/>
      </c>
      <c r="F127" s="48">
        <f>IF($L127="D",INDEX('Zgłoszenia'!$J$5:$J$504,$M127)&amp;"",IF($L127="U",INDEX('Dane rozpisek'!$G$2:$G$2600,$M127)&amp;"",IF($L127="H","Uwagi","")))</f>
        <v/>
      </c>
      <c r="G127" s="49">
        <f>IF($L127="D",INDEX('Zgłoszenia'!$F$5:$F$504,$M127)&amp;"",IF($L127="U",INDEX('Dane rozpisek'!$L$2:$L$2600,$M127)&amp;"",IF($L127="H","Usterki (dzień / następny)","")))</f>
        <v/>
      </c>
      <c r="H127" s="49">
        <f>IF($L127="D",INDEX('Zgłoszenia'!$P$5:$P$504,$M127)&amp;"",IF($L127="U","",""))</f>
        <v/>
      </c>
      <c r="I127" s="48">
        <f>IF($L127="D",IF(INDEX('Zgłoszenia'!$M$5:$M$504,$M127)="","Zgłoszona",INDEX('Zgłoszenia'!$M$5:$M$504,$M127)),IF($L127="U","",""))</f>
        <v/>
      </c>
      <c r="J127" s="49">
        <f>IF($L127="D",INDEX('Zgłoszenia'!$K$5:$K$504,$M127)&amp;"",IF($L127="U","",""))</f>
        <v/>
      </c>
      <c r="K127" s="2" t="n"/>
      <c r="L127" s="2">
        <f>IF((ROW()-12)&lt;=$L$5,IF($L$2=0,"E1","D"),IF((ROW()-12)=$L$5+1,"",IF((ROW()-12)=$L$5+2,"T",IF((ROW()-12)=$L$5+3,IF($L$3=0,"E2","H"),IF((ROW()-12)&lt;=$L$5+3+$L$3,"U","")))))</f>
        <v/>
      </c>
      <c r="M127" s="2">
        <f>IF(L127="D",MATCH(LARGE('Zgłoszenia'!$Q$5:$Q$504,(ROW()-12)),'Zgłoszenia'!$Q$5:$Q$504,0),IF(L127="U",MATCH(LARGE('Dane rozpisek'!$I$2:$I$2600,(ROW()-12)-$L$5-3),'Dane rozpisek'!$I$2:$I$2600,0),""))</f>
        <v/>
      </c>
    </row>
    <row r="128">
      <c r="A128" s="47">
        <f>IF($L128="D",INDEX('Zgłoszenia'!$D$5:$D$504,$M128),IF($L128="U",INDEX('Dane rozpisek'!$A$2:$A$2600,$M128),IF($L128="T","KTO JEŹDZIŁ",IF($L128="E1","Brak zgłoszonych usterek w tym okresie.",IF($L128="E2","Brak wpisów z tym wózkiem w rozpiskach dla tego okresu.",IF($L128="H","Data",""))))))</f>
        <v/>
      </c>
      <c r="B128" s="48">
        <f>IF($L128="D",INDEX('Zgłoszenia'!$B$5:$B$504,$M128)&amp;"",IF($L128="U",INDEX('Dane rozpisek'!$F$2:$F$2600,$M128)&amp;"",IF($L128="H","Wózek","")))</f>
        <v/>
      </c>
      <c r="C128" s="48">
        <f>IF($L128="D",INDEX('Zgłoszenia'!$E$5:$E$504,$M128)&amp;"",IF($L128="U",INDEX('Dane rozpisek'!$B$2:$B$2600,$M128)&amp;" · "&amp;INDEX('Dane rozpisek'!$J$2:$J$2600,$M128),IF($L128="H","Zmiana","")))</f>
        <v/>
      </c>
      <c r="D128" s="49">
        <f>IF($L128="D",INDEX('Zgłoszenia'!$H$5:$H$504,$M128)&amp;"",IF($L128="U",INDEX('Dane rozpisek'!$E$2:$E$2600,$M128)&amp;"",IF($L128="H","Operator","")))</f>
        <v/>
      </c>
      <c r="E128" s="49">
        <f>IF($L128="D",INDEX('Zgłoszenia'!$I$5:$I$504,$M128)&amp;"",IF($L128="U",INDEX('Dane rozpisek'!$C$2:$C$2600,$M128)&amp;"",IF($L128="H","Stanowisko","")))</f>
        <v/>
      </c>
      <c r="F128" s="48">
        <f>IF($L128="D",INDEX('Zgłoszenia'!$J$5:$J$504,$M128)&amp;"",IF($L128="U",INDEX('Dane rozpisek'!$G$2:$G$2600,$M128)&amp;"",IF($L128="H","Uwagi","")))</f>
        <v/>
      </c>
      <c r="G128" s="49">
        <f>IF($L128="D",INDEX('Zgłoszenia'!$F$5:$F$504,$M128)&amp;"",IF($L128="U",INDEX('Dane rozpisek'!$L$2:$L$2600,$M128)&amp;"",IF($L128="H","Usterki (dzień / następny)","")))</f>
        <v/>
      </c>
      <c r="H128" s="49">
        <f>IF($L128="D",INDEX('Zgłoszenia'!$P$5:$P$504,$M128)&amp;"",IF($L128="U","",""))</f>
        <v/>
      </c>
      <c r="I128" s="48">
        <f>IF($L128="D",IF(INDEX('Zgłoszenia'!$M$5:$M$504,$M128)="","Zgłoszona",INDEX('Zgłoszenia'!$M$5:$M$504,$M128)),IF($L128="U","",""))</f>
        <v/>
      </c>
      <c r="J128" s="49">
        <f>IF($L128="D",INDEX('Zgłoszenia'!$K$5:$K$504,$M128)&amp;"",IF($L128="U","",""))</f>
        <v/>
      </c>
      <c r="K128" s="2" t="n"/>
      <c r="L128" s="2">
        <f>IF((ROW()-12)&lt;=$L$5,IF($L$2=0,"E1","D"),IF((ROW()-12)=$L$5+1,"",IF((ROW()-12)=$L$5+2,"T",IF((ROW()-12)=$L$5+3,IF($L$3=0,"E2","H"),IF((ROW()-12)&lt;=$L$5+3+$L$3,"U","")))))</f>
        <v/>
      </c>
      <c r="M128" s="2">
        <f>IF(L128="D",MATCH(LARGE('Zgłoszenia'!$Q$5:$Q$504,(ROW()-12)),'Zgłoszenia'!$Q$5:$Q$504,0),IF(L128="U",MATCH(LARGE('Dane rozpisek'!$I$2:$I$2600,(ROW()-12)-$L$5-3),'Dane rozpisek'!$I$2:$I$2600,0),""))</f>
        <v/>
      </c>
    </row>
    <row r="129">
      <c r="A129" s="47">
        <f>IF($L129="D",INDEX('Zgłoszenia'!$D$5:$D$504,$M129),IF($L129="U",INDEX('Dane rozpisek'!$A$2:$A$2600,$M129),IF($L129="T","KTO JEŹDZIŁ",IF($L129="E1","Brak zgłoszonych usterek w tym okresie.",IF($L129="E2","Brak wpisów z tym wózkiem w rozpiskach dla tego okresu.",IF($L129="H","Data",""))))))</f>
        <v/>
      </c>
      <c r="B129" s="48">
        <f>IF($L129="D",INDEX('Zgłoszenia'!$B$5:$B$504,$M129)&amp;"",IF($L129="U",INDEX('Dane rozpisek'!$F$2:$F$2600,$M129)&amp;"",IF($L129="H","Wózek","")))</f>
        <v/>
      </c>
      <c r="C129" s="48">
        <f>IF($L129="D",INDEX('Zgłoszenia'!$E$5:$E$504,$M129)&amp;"",IF($L129="U",INDEX('Dane rozpisek'!$B$2:$B$2600,$M129)&amp;" · "&amp;INDEX('Dane rozpisek'!$J$2:$J$2600,$M129),IF($L129="H","Zmiana","")))</f>
        <v/>
      </c>
      <c r="D129" s="49">
        <f>IF($L129="D",INDEX('Zgłoszenia'!$H$5:$H$504,$M129)&amp;"",IF($L129="U",INDEX('Dane rozpisek'!$E$2:$E$2600,$M129)&amp;"",IF($L129="H","Operator","")))</f>
        <v/>
      </c>
      <c r="E129" s="49">
        <f>IF($L129="D",INDEX('Zgłoszenia'!$I$5:$I$504,$M129)&amp;"",IF($L129="U",INDEX('Dane rozpisek'!$C$2:$C$2600,$M129)&amp;"",IF($L129="H","Stanowisko","")))</f>
        <v/>
      </c>
      <c r="F129" s="48">
        <f>IF($L129="D",INDEX('Zgłoszenia'!$J$5:$J$504,$M129)&amp;"",IF($L129="U",INDEX('Dane rozpisek'!$G$2:$G$2600,$M129)&amp;"",IF($L129="H","Uwagi","")))</f>
        <v/>
      </c>
      <c r="G129" s="49">
        <f>IF($L129="D",INDEX('Zgłoszenia'!$F$5:$F$504,$M129)&amp;"",IF($L129="U",INDEX('Dane rozpisek'!$L$2:$L$2600,$M129)&amp;"",IF($L129="H","Usterki (dzień / następny)","")))</f>
        <v/>
      </c>
      <c r="H129" s="49">
        <f>IF($L129="D",INDEX('Zgłoszenia'!$P$5:$P$504,$M129)&amp;"",IF($L129="U","",""))</f>
        <v/>
      </c>
      <c r="I129" s="48">
        <f>IF($L129="D",IF(INDEX('Zgłoszenia'!$M$5:$M$504,$M129)="","Zgłoszona",INDEX('Zgłoszenia'!$M$5:$M$504,$M129)),IF($L129="U","",""))</f>
        <v/>
      </c>
      <c r="J129" s="49">
        <f>IF($L129="D",INDEX('Zgłoszenia'!$K$5:$K$504,$M129)&amp;"",IF($L129="U","",""))</f>
        <v/>
      </c>
      <c r="K129" s="2" t="n"/>
      <c r="L129" s="2">
        <f>IF((ROW()-12)&lt;=$L$5,IF($L$2=0,"E1","D"),IF((ROW()-12)=$L$5+1,"",IF((ROW()-12)=$L$5+2,"T",IF((ROW()-12)=$L$5+3,IF($L$3=0,"E2","H"),IF((ROW()-12)&lt;=$L$5+3+$L$3,"U","")))))</f>
        <v/>
      </c>
      <c r="M129" s="2">
        <f>IF(L129="D",MATCH(LARGE('Zgłoszenia'!$Q$5:$Q$504,(ROW()-12)),'Zgłoszenia'!$Q$5:$Q$504,0),IF(L129="U",MATCH(LARGE('Dane rozpisek'!$I$2:$I$2600,(ROW()-12)-$L$5-3),'Dane rozpisek'!$I$2:$I$2600,0),""))</f>
        <v/>
      </c>
    </row>
    <row r="130">
      <c r="A130" s="47">
        <f>IF($L130="D",INDEX('Zgłoszenia'!$D$5:$D$504,$M130),IF($L130="U",INDEX('Dane rozpisek'!$A$2:$A$2600,$M130),IF($L130="T","KTO JEŹDZIŁ",IF($L130="E1","Brak zgłoszonych usterek w tym okresie.",IF($L130="E2","Brak wpisów z tym wózkiem w rozpiskach dla tego okresu.",IF($L130="H","Data",""))))))</f>
        <v/>
      </c>
      <c r="B130" s="48">
        <f>IF($L130="D",INDEX('Zgłoszenia'!$B$5:$B$504,$M130)&amp;"",IF($L130="U",INDEX('Dane rozpisek'!$F$2:$F$2600,$M130)&amp;"",IF($L130="H","Wózek","")))</f>
        <v/>
      </c>
      <c r="C130" s="48">
        <f>IF($L130="D",INDEX('Zgłoszenia'!$E$5:$E$504,$M130)&amp;"",IF($L130="U",INDEX('Dane rozpisek'!$B$2:$B$2600,$M130)&amp;" · "&amp;INDEX('Dane rozpisek'!$J$2:$J$2600,$M130),IF($L130="H","Zmiana","")))</f>
        <v/>
      </c>
      <c r="D130" s="49">
        <f>IF($L130="D",INDEX('Zgłoszenia'!$H$5:$H$504,$M130)&amp;"",IF($L130="U",INDEX('Dane rozpisek'!$E$2:$E$2600,$M130)&amp;"",IF($L130="H","Operator","")))</f>
        <v/>
      </c>
      <c r="E130" s="49">
        <f>IF($L130="D",INDEX('Zgłoszenia'!$I$5:$I$504,$M130)&amp;"",IF($L130="U",INDEX('Dane rozpisek'!$C$2:$C$2600,$M130)&amp;"",IF($L130="H","Stanowisko","")))</f>
        <v/>
      </c>
      <c r="F130" s="48">
        <f>IF($L130="D",INDEX('Zgłoszenia'!$J$5:$J$504,$M130)&amp;"",IF($L130="U",INDEX('Dane rozpisek'!$G$2:$G$2600,$M130)&amp;"",IF($L130="H","Uwagi","")))</f>
        <v/>
      </c>
      <c r="G130" s="49">
        <f>IF($L130="D",INDEX('Zgłoszenia'!$F$5:$F$504,$M130)&amp;"",IF($L130="U",INDEX('Dane rozpisek'!$L$2:$L$2600,$M130)&amp;"",IF($L130="H","Usterki (dzień / następny)","")))</f>
        <v/>
      </c>
      <c r="H130" s="49">
        <f>IF($L130="D",INDEX('Zgłoszenia'!$P$5:$P$504,$M130)&amp;"",IF($L130="U","",""))</f>
        <v/>
      </c>
      <c r="I130" s="48">
        <f>IF($L130="D",IF(INDEX('Zgłoszenia'!$M$5:$M$504,$M130)="","Zgłoszona",INDEX('Zgłoszenia'!$M$5:$M$504,$M130)),IF($L130="U","",""))</f>
        <v/>
      </c>
      <c r="J130" s="49">
        <f>IF($L130="D",INDEX('Zgłoszenia'!$K$5:$K$504,$M130)&amp;"",IF($L130="U","",""))</f>
        <v/>
      </c>
      <c r="K130" s="2" t="n"/>
      <c r="L130" s="2">
        <f>IF((ROW()-12)&lt;=$L$5,IF($L$2=0,"E1","D"),IF((ROW()-12)=$L$5+1,"",IF((ROW()-12)=$L$5+2,"T",IF((ROW()-12)=$L$5+3,IF($L$3=0,"E2","H"),IF((ROW()-12)&lt;=$L$5+3+$L$3,"U","")))))</f>
        <v/>
      </c>
      <c r="M130" s="2">
        <f>IF(L130="D",MATCH(LARGE('Zgłoszenia'!$Q$5:$Q$504,(ROW()-12)),'Zgłoszenia'!$Q$5:$Q$504,0),IF(L130="U",MATCH(LARGE('Dane rozpisek'!$I$2:$I$2600,(ROW()-12)-$L$5-3),'Dane rozpisek'!$I$2:$I$2600,0),""))</f>
        <v/>
      </c>
    </row>
    <row r="131">
      <c r="A131" s="47">
        <f>IF($L131="D",INDEX('Zgłoszenia'!$D$5:$D$504,$M131),IF($L131="U",INDEX('Dane rozpisek'!$A$2:$A$2600,$M131),IF($L131="T","KTO JEŹDZIŁ",IF($L131="E1","Brak zgłoszonych usterek w tym okresie.",IF($L131="E2","Brak wpisów z tym wózkiem w rozpiskach dla tego okresu.",IF($L131="H","Data",""))))))</f>
        <v/>
      </c>
      <c r="B131" s="48">
        <f>IF($L131="D",INDEX('Zgłoszenia'!$B$5:$B$504,$M131)&amp;"",IF($L131="U",INDEX('Dane rozpisek'!$F$2:$F$2600,$M131)&amp;"",IF($L131="H","Wózek","")))</f>
        <v/>
      </c>
      <c r="C131" s="48">
        <f>IF($L131="D",INDEX('Zgłoszenia'!$E$5:$E$504,$M131)&amp;"",IF($L131="U",INDEX('Dane rozpisek'!$B$2:$B$2600,$M131)&amp;" · "&amp;INDEX('Dane rozpisek'!$J$2:$J$2600,$M131),IF($L131="H","Zmiana","")))</f>
        <v/>
      </c>
      <c r="D131" s="49">
        <f>IF($L131="D",INDEX('Zgłoszenia'!$H$5:$H$504,$M131)&amp;"",IF($L131="U",INDEX('Dane rozpisek'!$E$2:$E$2600,$M131)&amp;"",IF($L131="H","Operator","")))</f>
        <v/>
      </c>
      <c r="E131" s="49">
        <f>IF($L131="D",INDEX('Zgłoszenia'!$I$5:$I$504,$M131)&amp;"",IF($L131="U",INDEX('Dane rozpisek'!$C$2:$C$2600,$M131)&amp;"",IF($L131="H","Stanowisko","")))</f>
        <v/>
      </c>
      <c r="F131" s="48">
        <f>IF($L131="D",INDEX('Zgłoszenia'!$J$5:$J$504,$M131)&amp;"",IF($L131="U",INDEX('Dane rozpisek'!$G$2:$G$2600,$M131)&amp;"",IF($L131="H","Uwagi","")))</f>
        <v/>
      </c>
      <c r="G131" s="49">
        <f>IF($L131="D",INDEX('Zgłoszenia'!$F$5:$F$504,$M131)&amp;"",IF($L131="U",INDEX('Dane rozpisek'!$L$2:$L$2600,$M131)&amp;"",IF($L131="H","Usterki (dzień / następny)","")))</f>
        <v/>
      </c>
      <c r="H131" s="49">
        <f>IF($L131="D",INDEX('Zgłoszenia'!$P$5:$P$504,$M131)&amp;"",IF($L131="U","",""))</f>
        <v/>
      </c>
      <c r="I131" s="48">
        <f>IF($L131="D",IF(INDEX('Zgłoszenia'!$M$5:$M$504,$M131)="","Zgłoszona",INDEX('Zgłoszenia'!$M$5:$M$504,$M131)),IF($L131="U","",""))</f>
        <v/>
      </c>
      <c r="J131" s="49">
        <f>IF($L131="D",INDEX('Zgłoszenia'!$K$5:$K$504,$M131)&amp;"",IF($L131="U","",""))</f>
        <v/>
      </c>
      <c r="K131" s="2" t="n"/>
      <c r="L131" s="2">
        <f>IF((ROW()-12)&lt;=$L$5,IF($L$2=0,"E1","D"),IF((ROW()-12)=$L$5+1,"",IF((ROW()-12)=$L$5+2,"T",IF((ROW()-12)=$L$5+3,IF($L$3=0,"E2","H"),IF((ROW()-12)&lt;=$L$5+3+$L$3,"U","")))))</f>
        <v/>
      </c>
      <c r="M131" s="2">
        <f>IF(L131="D",MATCH(LARGE('Zgłoszenia'!$Q$5:$Q$504,(ROW()-12)),'Zgłoszenia'!$Q$5:$Q$504,0),IF(L131="U",MATCH(LARGE('Dane rozpisek'!$I$2:$I$2600,(ROW()-12)-$L$5-3),'Dane rozpisek'!$I$2:$I$2600,0),""))</f>
        <v/>
      </c>
    </row>
    <row r="132">
      <c r="A132" s="47">
        <f>IF($L132="D",INDEX('Zgłoszenia'!$D$5:$D$504,$M132),IF($L132="U",INDEX('Dane rozpisek'!$A$2:$A$2600,$M132),IF($L132="T","KTO JEŹDZIŁ",IF($L132="E1","Brak zgłoszonych usterek w tym okresie.",IF($L132="E2","Brak wpisów z tym wózkiem w rozpiskach dla tego okresu.",IF($L132="H","Data",""))))))</f>
        <v/>
      </c>
      <c r="B132" s="48">
        <f>IF($L132="D",INDEX('Zgłoszenia'!$B$5:$B$504,$M132)&amp;"",IF($L132="U",INDEX('Dane rozpisek'!$F$2:$F$2600,$M132)&amp;"",IF($L132="H","Wózek","")))</f>
        <v/>
      </c>
      <c r="C132" s="48">
        <f>IF($L132="D",INDEX('Zgłoszenia'!$E$5:$E$504,$M132)&amp;"",IF($L132="U",INDEX('Dane rozpisek'!$B$2:$B$2600,$M132)&amp;" · "&amp;INDEX('Dane rozpisek'!$J$2:$J$2600,$M132),IF($L132="H","Zmiana","")))</f>
        <v/>
      </c>
      <c r="D132" s="49">
        <f>IF($L132="D",INDEX('Zgłoszenia'!$H$5:$H$504,$M132)&amp;"",IF($L132="U",INDEX('Dane rozpisek'!$E$2:$E$2600,$M132)&amp;"",IF($L132="H","Operator","")))</f>
        <v/>
      </c>
      <c r="E132" s="49">
        <f>IF($L132="D",INDEX('Zgłoszenia'!$I$5:$I$504,$M132)&amp;"",IF($L132="U",INDEX('Dane rozpisek'!$C$2:$C$2600,$M132)&amp;"",IF($L132="H","Stanowisko","")))</f>
        <v/>
      </c>
      <c r="F132" s="48">
        <f>IF($L132="D",INDEX('Zgłoszenia'!$J$5:$J$504,$M132)&amp;"",IF($L132="U",INDEX('Dane rozpisek'!$G$2:$G$2600,$M132)&amp;"",IF($L132="H","Uwagi","")))</f>
        <v/>
      </c>
      <c r="G132" s="49">
        <f>IF($L132="D",INDEX('Zgłoszenia'!$F$5:$F$504,$M132)&amp;"",IF($L132="U",INDEX('Dane rozpisek'!$L$2:$L$2600,$M132)&amp;"",IF($L132="H","Usterki (dzień / następny)","")))</f>
        <v/>
      </c>
      <c r="H132" s="49">
        <f>IF($L132="D",INDEX('Zgłoszenia'!$P$5:$P$504,$M132)&amp;"",IF($L132="U","",""))</f>
        <v/>
      </c>
      <c r="I132" s="48">
        <f>IF($L132="D",IF(INDEX('Zgłoszenia'!$M$5:$M$504,$M132)="","Zgłoszona",INDEX('Zgłoszenia'!$M$5:$M$504,$M132)),IF($L132="U","",""))</f>
        <v/>
      </c>
      <c r="J132" s="49">
        <f>IF($L132="D",INDEX('Zgłoszenia'!$K$5:$K$504,$M132)&amp;"",IF($L132="U","",""))</f>
        <v/>
      </c>
      <c r="K132" s="2" t="n"/>
      <c r="L132" s="2">
        <f>IF((ROW()-12)&lt;=$L$5,IF($L$2=0,"E1","D"),IF((ROW()-12)=$L$5+1,"",IF((ROW()-12)=$L$5+2,"T",IF((ROW()-12)=$L$5+3,IF($L$3=0,"E2","H"),IF((ROW()-12)&lt;=$L$5+3+$L$3,"U","")))))</f>
        <v/>
      </c>
      <c r="M132" s="2">
        <f>IF(L132="D",MATCH(LARGE('Zgłoszenia'!$Q$5:$Q$504,(ROW()-12)),'Zgłoszenia'!$Q$5:$Q$504,0),IF(L132="U",MATCH(LARGE('Dane rozpisek'!$I$2:$I$2600,(ROW()-12)-$L$5-3),'Dane rozpisek'!$I$2:$I$2600,0),""))</f>
        <v/>
      </c>
    </row>
    <row r="133">
      <c r="A133" s="47">
        <f>IF($L133="D",INDEX('Zgłoszenia'!$D$5:$D$504,$M133),IF($L133="U",INDEX('Dane rozpisek'!$A$2:$A$2600,$M133),IF($L133="T","KTO JEŹDZIŁ",IF($L133="E1","Brak zgłoszonych usterek w tym okresie.",IF($L133="E2","Brak wpisów z tym wózkiem w rozpiskach dla tego okresu.",IF($L133="H","Data",""))))))</f>
        <v/>
      </c>
      <c r="B133" s="48">
        <f>IF($L133="D",INDEX('Zgłoszenia'!$B$5:$B$504,$M133)&amp;"",IF($L133="U",INDEX('Dane rozpisek'!$F$2:$F$2600,$M133)&amp;"",IF($L133="H","Wózek","")))</f>
        <v/>
      </c>
      <c r="C133" s="48">
        <f>IF($L133="D",INDEX('Zgłoszenia'!$E$5:$E$504,$M133)&amp;"",IF($L133="U",INDEX('Dane rozpisek'!$B$2:$B$2600,$M133)&amp;" · "&amp;INDEX('Dane rozpisek'!$J$2:$J$2600,$M133),IF($L133="H","Zmiana","")))</f>
        <v/>
      </c>
      <c r="D133" s="49">
        <f>IF($L133="D",INDEX('Zgłoszenia'!$H$5:$H$504,$M133)&amp;"",IF($L133="U",INDEX('Dane rozpisek'!$E$2:$E$2600,$M133)&amp;"",IF($L133="H","Operator","")))</f>
        <v/>
      </c>
      <c r="E133" s="49">
        <f>IF($L133="D",INDEX('Zgłoszenia'!$I$5:$I$504,$M133)&amp;"",IF($L133="U",INDEX('Dane rozpisek'!$C$2:$C$2600,$M133)&amp;"",IF($L133="H","Stanowisko","")))</f>
        <v/>
      </c>
      <c r="F133" s="48">
        <f>IF($L133="D",INDEX('Zgłoszenia'!$J$5:$J$504,$M133)&amp;"",IF($L133="U",INDEX('Dane rozpisek'!$G$2:$G$2600,$M133)&amp;"",IF($L133="H","Uwagi","")))</f>
        <v/>
      </c>
      <c r="G133" s="49">
        <f>IF($L133="D",INDEX('Zgłoszenia'!$F$5:$F$504,$M133)&amp;"",IF($L133="U",INDEX('Dane rozpisek'!$L$2:$L$2600,$M133)&amp;"",IF($L133="H","Usterki (dzień / następny)","")))</f>
        <v/>
      </c>
      <c r="H133" s="49">
        <f>IF($L133="D",INDEX('Zgłoszenia'!$P$5:$P$504,$M133)&amp;"",IF($L133="U","",""))</f>
        <v/>
      </c>
      <c r="I133" s="48">
        <f>IF($L133="D",IF(INDEX('Zgłoszenia'!$M$5:$M$504,$M133)="","Zgłoszona",INDEX('Zgłoszenia'!$M$5:$M$504,$M133)),IF($L133="U","",""))</f>
        <v/>
      </c>
      <c r="J133" s="49">
        <f>IF($L133="D",INDEX('Zgłoszenia'!$K$5:$K$504,$M133)&amp;"",IF($L133="U","",""))</f>
        <v/>
      </c>
      <c r="K133" s="2" t="n"/>
      <c r="L133" s="2">
        <f>IF((ROW()-12)&lt;=$L$5,IF($L$2=0,"E1","D"),IF((ROW()-12)=$L$5+1,"",IF((ROW()-12)=$L$5+2,"T",IF((ROW()-12)=$L$5+3,IF($L$3=0,"E2","H"),IF((ROW()-12)&lt;=$L$5+3+$L$3,"U","")))))</f>
        <v/>
      </c>
      <c r="M133" s="2">
        <f>IF(L133="D",MATCH(LARGE('Zgłoszenia'!$Q$5:$Q$504,(ROW()-12)),'Zgłoszenia'!$Q$5:$Q$504,0),IF(L133="U",MATCH(LARGE('Dane rozpisek'!$I$2:$I$2600,(ROW()-12)-$L$5-3),'Dane rozpisek'!$I$2:$I$2600,0),""))</f>
        <v/>
      </c>
    </row>
    <row r="134">
      <c r="A134" s="47">
        <f>IF($L134="D",INDEX('Zgłoszenia'!$D$5:$D$504,$M134),IF($L134="U",INDEX('Dane rozpisek'!$A$2:$A$2600,$M134),IF($L134="T","KTO JEŹDZIŁ",IF($L134="E1","Brak zgłoszonych usterek w tym okresie.",IF($L134="E2","Brak wpisów z tym wózkiem w rozpiskach dla tego okresu.",IF($L134="H","Data",""))))))</f>
        <v/>
      </c>
      <c r="B134" s="48">
        <f>IF($L134="D",INDEX('Zgłoszenia'!$B$5:$B$504,$M134)&amp;"",IF($L134="U",INDEX('Dane rozpisek'!$F$2:$F$2600,$M134)&amp;"",IF($L134="H","Wózek","")))</f>
        <v/>
      </c>
      <c r="C134" s="48">
        <f>IF($L134="D",INDEX('Zgłoszenia'!$E$5:$E$504,$M134)&amp;"",IF($L134="U",INDEX('Dane rozpisek'!$B$2:$B$2600,$M134)&amp;" · "&amp;INDEX('Dane rozpisek'!$J$2:$J$2600,$M134),IF($L134="H","Zmiana","")))</f>
        <v/>
      </c>
      <c r="D134" s="49">
        <f>IF($L134="D",INDEX('Zgłoszenia'!$H$5:$H$504,$M134)&amp;"",IF($L134="U",INDEX('Dane rozpisek'!$E$2:$E$2600,$M134)&amp;"",IF($L134="H","Operator","")))</f>
        <v/>
      </c>
      <c r="E134" s="49">
        <f>IF($L134="D",INDEX('Zgłoszenia'!$I$5:$I$504,$M134)&amp;"",IF($L134="U",INDEX('Dane rozpisek'!$C$2:$C$2600,$M134)&amp;"",IF($L134="H","Stanowisko","")))</f>
        <v/>
      </c>
      <c r="F134" s="48">
        <f>IF($L134="D",INDEX('Zgłoszenia'!$J$5:$J$504,$M134)&amp;"",IF($L134="U",INDEX('Dane rozpisek'!$G$2:$G$2600,$M134)&amp;"",IF($L134="H","Uwagi","")))</f>
        <v/>
      </c>
      <c r="G134" s="49">
        <f>IF($L134="D",INDEX('Zgłoszenia'!$F$5:$F$504,$M134)&amp;"",IF($L134="U",INDEX('Dane rozpisek'!$L$2:$L$2600,$M134)&amp;"",IF($L134="H","Usterki (dzień / następny)","")))</f>
        <v/>
      </c>
      <c r="H134" s="49">
        <f>IF($L134="D",INDEX('Zgłoszenia'!$P$5:$P$504,$M134)&amp;"",IF($L134="U","",""))</f>
        <v/>
      </c>
      <c r="I134" s="48">
        <f>IF($L134="D",IF(INDEX('Zgłoszenia'!$M$5:$M$504,$M134)="","Zgłoszona",INDEX('Zgłoszenia'!$M$5:$M$504,$M134)),IF($L134="U","",""))</f>
        <v/>
      </c>
      <c r="J134" s="49">
        <f>IF($L134="D",INDEX('Zgłoszenia'!$K$5:$K$504,$M134)&amp;"",IF($L134="U","",""))</f>
        <v/>
      </c>
      <c r="K134" s="2" t="n"/>
      <c r="L134" s="2">
        <f>IF((ROW()-12)&lt;=$L$5,IF($L$2=0,"E1","D"),IF((ROW()-12)=$L$5+1,"",IF((ROW()-12)=$L$5+2,"T",IF((ROW()-12)=$L$5+3,IF($L$3=0,"E2","H"),IF((ROW()-12)&lt;=$L$5+3+$L$3,"U","")))))</f>
        <v/>
      </c>
      <c r="M134" s="2">
        <f>IF(L134="D",MATCH(LARGE('Zgłoszenia'!$Q$5:$Q$504,(ROW()-12)),'Zgłoszenia'!$Q$5:$Q$504,0),IF(L134="U",MATCH(LARGE('Dane rozpisek'!$I$2:$I$2600,(ROW()-12)-$L$5-3),'Dane rozpisek'!$I$2:$I$2600,0),""))</f>
        <v/>
      </c>
    </row>
    <row r="135">
      <c r="A135" s="47">
        <f>IF($L135="D",INDEX('Zgłoszenia'!$D$5:$D$504,$M135),IF($L135="U",INDEX('Dane rozpisek'!$A$2:$A$2600,$M135),IF($L135="T","KTO JEŹDZIŁ",IF($L135="E1","Brak zgłoszonych usterek w tym okresie.",IF($L135="E2","Brak wpisów z tym wózkiem w rozpiskach dla tego okresu.",IF($L135="H","Data",""))))))</f>
        <v/>
      </c>
      <c r="B135" s="48">
        <f>IF($L135="D",INDEX('Zgłoszenia'!$B$5:$B$504,$M135)&amp;"",IF($L135="U",INDEX('Dane rozpisek'!$F$2:$F$2600,$M135)&amp;"",IF($L135="H","Wózek","")))</f>
        <v/>
      </c>
      <c r="C135" s="48">
        <f>IF($L135="D",INDEX('Zgłoszenia'!$E$5:$E$504,$M135)&amp;"",IF($L135="U",INDEX('Dane rozpisek'!$B$2:$B$2600,$M135)&amp;" · "&amp;INDEX('Dane rozpisek'!$J$2:$J$2600,$M135),IF($L135="H","Zmiana","")))</f>
        <v/>
      </c>
      <c r="D135" s="49">
        <f>IF($L135="D",INDEX('Zgłoszenia'!$H$5:$H$504,$M135)&amp;"",IF($L135="U",INDEX('Dane rozpisek'!$E$2:$E$2600,$M135)&amp;"",IF($L135="H","Operator","")))</f>
        <v/>
      </c>
      <c r="E135" s="49">
        <f>IF($L135="D",INDEX('Zgłoszenia'!$I$5:$I$504,$M135)&amp;"",IF($L135="U",INDEX('Dane rozpisek'!$C$2:$C$2600,$M135)&amp;"",IF($L135="H","Stanowisko","")))</f>
        <v/>
      </c>
      <c r="F135" s="48">
        <f>IF($L135="D",INDEX('Zgłoszenia'!$J$5:$J$504,$M135)&amp;"",IF($L135="U",INDEX('Dane rozpisek'!$G$2:$G$2600,$M135)&amp;"",IF($L135="H","Uwagi","")))</f>
        <v/>
      </c>
      <c r="G135" s="49">
        <f>IF($L135="D",INDEX('Zgłoszenia'!$F$5:$F$504,$M135)&amp;"",IF($L135="U",INDEX('Dane rozpisek'!$L$2:$L$2600,$M135)&amp;"",IF($L135="H","Usterki (dzień / następny)","")))</f>
        <v/>
      </c>
      <c r="H135" s="49">
        <f>IF($L135="D",INDEX('Zgłoszenia'!$P$5:$P$504,$M135)&amp;"",IF($L135="U","",""))</f>
        <v/>
      </c>
      <c r="I135" s="48">
        <f>IF($L135="D",IF(INDEX('Zgłoszenia'!$M$5:$M$504,$M135)="","Zgłoszona",INDEX('Zgłoszenia'!$M$5:$M$504,$M135)),IF($L135="U","",""))</f>
        <v/>
      </c>
      <c r="J135" s="49">
        <f>IF($L135="D",INDEX('Zgłoszenia'!$K$5:$K$504,$M135)&amp;"",IF($L135="U","",""))</f>
        <v/>
      </c>
      <c r="K135" s="2" t="n"/>
      <c r="L135" s="2">
        <f>IF((ROW()-12)&lt;=$L$5,IF($L$2=0,"E1","D"),IF((ROW()-12)=$L$5+1,"",IF((ROW()-12)=$L$5+2,"T",IF((ROW()-12)=$L$5+3,IF($L$3=0,"E2","H"),IF((ROW()-12)&lt;=$L$5+3+$L$3,"U","")))))</f>
        <v/>
      </c>
      <c r="M135" s="2">
        <f>IF(L135="D",MATCH(LARGE('Zgłoszenia'!$Q$5:$Q$504,(ROW()-12)),'Zgłoszenia'!$Q$5:$Q$504,0),IF(L135="U",MATCH(LARGE('Dane rozpisek'!$I$2:$I$2600,(ROW()-12)-$L$5-3),'Dane rozpisek'!$I$2:$I$2600,0),""))</f>
        <v/>
      </c>
    </row>
    <row r="136">
      <c r="A136" s="47">
        <f>IF($L136="D",INDEX('Zgłoszenia'!$D$5:$D$504,$M136),IF($L136="U",INDEX('Dane rozpisek'!$A$2:$A$2600,$M136),IF($L136="T","KTO JEŹDZIŁ",IF($L136="E1","Brak zgłoszonych usterek w tym okresie.",IF($L136="E2","Brak wpisów z tym wózkiem w rozpiskach dla tego okresu.",IF($L136="H","Data",""))))))</f>
        <v/>
      </c>
      <c r="B136" s="48">
        <f>IF($L136="D",INDEX('Zgłoszenia'!$B$5:$B$504,$M136)&amp;"",IF($L136="U",INDEX('Dane rozpisek'!$F$2:$F$2600,$M136)&amp;"",IF($L136="H","Wózek","")))</f>
        <v/>
      </c>
      <c r="C136" s="48">
        <f>IF($L136="D",INDEX('Zgłoszenia'!$E$5:$E$504,$M136)&amp;"",IF($L136="U",INDEX('Dane rozpisek'!$B$2:$B$2600,$M136)&amp;" · "&amp;INDEX('Dane rozpisek'!$J$2:$J$2600,$M136),IF($L136="H","Zmiana","")))</f>
        <v/>
      </c>
      <c r="D136" s="49">
        <f>IF($L136="D",INDEX('Zgłoszenia'!$H$5:$H$504,$M136)&amp;"",IF($L136="U",INDEX('Dane rozpisek'!$E$2:$E$2600,$M136)&amp;"",IF($L136="H","Operator","")))</f>
        <v/>
      </c>
      <c r="E136" s="49">
        <f>IF($L136="D",INDEX('Zgłoszenia'!$I$5:$I$504,$M136)&amp;"",IF($L136="U",INDEX('Dane rozpisek'!$C$2:$C$2600,$M136)&amp;"",IF($L136="H","Stanowisko","")))</f>
        <v/>
      </c>
      <c r="F136" s="48">
        <f>IF($L136="D",INDEX('Zgłoszenia'!$J$5:$J$504,$M136)&amp;"",IF($L136="U",INDEX('Dane rozpisek'!$G$2:$G$2600,$M136)&amp;"",IF($L136="H","Uwagi","")))</f>
        <v/>
      </c>
      <c r="G136" s="49">
        <f>IF($L136="D",INDEX('Zgłoszenia'!$F$5:$F$504,$M136)&amp;"",IF($L136="U",INDEX('Dane rozpisek'!$L$2:$L$2600,$M136)&amp;"",IF($L136="H","Usterki (dzień / następny)","")))</f>
        <v/>
      </c>
      <c r="H136" s="49">
        <f>IF($L136="D",INDEX('Zgłoszenia'!$P$5:$P$504,$M136)&amp;"",IF($L136="U","",""))</f>
        <v/>
      </c>
      <c r="I136" s="48">
        <f>IF($L136="D",IF(INDEX('Zgłoszenia'!$M$5:$M$504,$M136)="","Zgłoszona",INDEX('Zgłoszenia'!$M$5:$M$504,$M136)),IF($L136="U","",""))</f>
        <v/>
      </c>
      <c r="J136" s="49">
        <f>IF($L136="D",INDEX('Zgłoszenia'!$K$5:$K$504,$M136)&amp;"",IF($L136="U","",""))</f>
        <v/>
      </c>
      <c r="K136" s="2" t="n"/>
      <c r="L136" s="2">
        <f>IF((ROW()-12)&lt;=$L$5,IF($L$2=0,"E1","D"),IF((ROW()-12)=$L$5+1,"",IF((ROW()-12)=$L$5+2,"T",IF((ROW()-12)=$L$5+3,IF($L$3=0,"E2","H"),IF((ROW()-12)&lt;=$L$5+3+$L$3,"U","")))))</f>
        <v/>
      </c>
      <c r="M136" s="2">
        <f>IF(L136="D",MATCH(LARGE('Zgłoszenia'!$Q$5:$Q$504,(ROW()-12)),'Zgłoszenia'!$Q$5:$Q$504,0),IF(L136="U",MATCH(LARGE('Dane rozpisek'!$I$2:$I$2600,(ROW()-12)-$L$5-3),'Dane rozpisek'!$I$2:$I$2600,0),""))</f>
        <v/>
      </c>
    </row>
    <row r="137">
      <c r="A137" s="47">
        <f>IF($L137="D",INDEX('Zgłoszenia'!$D$5:$D$504,$M137),IF($L137="U",INDEX('Dane rozpisek'!$A$2:$A$2600,$M137),IF($L137="T","KTO JEŹDZIŁ",IF($L137="E1","Brak zgłoszonych usterek w tym okresie.",IF($L137="E2","Brak wpisów z tym wózkiem w rozpiskach dla tego okresu.",IF($L137="H","Data",""))))))</f>
        <v/>
      </c>
      <c r="B137" s="48">
        <f>IF($L137="D",INDEX('Zgłoszenia'!$B$5:$B$504,$M137)&amp;"",IF($L137="U",INDEX('Dane rozpisek'!$F$2:$F$2600,$M137)&amp;"",IF($L137="H","Wózek","")))</f>
        <v/>
      </c>
      <c r="C137" s="48">
        <f>IF($L137="D",INDEX('Zgłoszenia'!$E$5:$E$504,$M137)&amp;"",IF($L137="U",INDEX('Dane rozpisek'!$B$2:$B$2600,$M137)&amp;" · "&amp;INDEX('Dane rozpisek'!$J$2:$J$2600,$M137),IF($L137="H","Zmiana","")))</f>
        <v/>
      </c>
      <c r="D137" s="49">
        <f>IF($L137="D",INDEX('Zgłoszenia'!$H$5:$H$504,$M137)&amp;"",IF($L137="U",INDEX('Dane rozpisek'!$E$2:$E$2600,$M137)&amp;"",IF($L137="H","Operator","")))</f>
        <v/>
      </c>
      <c r="E137" s="49">
        <f>IF($L137="D",INDEX('Zgłoszenia'!$I$5:$I$504,$M137)&amp;"",IF($L137="U",INDEX('Dane rozpisek'!$C$2:$C$2600,$M137)&amp;"",IF($L137="H","Stanowisko","")))</f>
        <v/>
      </c>
      <c r="F137" s="48">
        <f>IF($L137="D",INDEX('Zgłoszenia'!$J$5:$J$504,$M137)&amp;"",IF($L137="U",INDEX('Dane rozpisek'!$G$2:$G$2600,$M137)&amp;"",IF($L137="H","Uwagi","")))</f>
        <v/>
      </c>
      <c r="G137" s="49">
        <f>IF($L137="D",INDEX('Zgłoszenia'!$F$5:$F$504,$M137)&amp;"",IF($L137="U",INDEX('Dane rozpisek'!$L$2:$L$2600,$M137)&amp;"",IF($L137="H","Usterki (dzień / następny)","")))</f>
        <v/>
      </c>
      <c r="H137" s="49">
        <f>IF($L137="D",INDEX('Zgłoszenia'!$P$5:$P$504,$M137)&amp;"",IF($L137="U","",""))</f>
        <v/>
      </c>
      <c r="I137" s="48">
        <f>IF($L137="D",IF(INDEX('Zgłoszenia'!$M$5:$M$504,$M137)="","Zgłoszona",INDEX('Zgłoszenia'!$M$5:$M$504,$M137)),IF($L137="U","",""))</f>
        <v/>
      </c>
      <c r="J137" s="49">
        <f>IF($L137="D",INDEX('Zgłoszenia'!$K$5:$K$504,$M137)&amp;"",IF($L137="U","",""))</f>
        <v/>
      </c>
      <c r="K137" s="2" t="n"/>
      <c r="L137" s="2">
        <f>IF((ROW()-12)&lt;=$L$5,IF($L$2=0,"E1","D"),IF((ROW()-12)=$L$5+1,"",IF((ROW()-12)=$L$5+2,"T",IF((ROW()-12)=$L$5+3,IF($L$3=0,"E2","H"),IF((ROW()-12)&lt;=$L$5+3+$L$3,"U","")))))</f>
        <v/>
      </c>
      <c r="M137" s="2">
        <f>IF(L137="D",MATCH(LARGE('Zgłoszenia'!$Q$5:$Q$504,(ROW()-12)),'Zgłoszenia'!$Q$5:$Q$504,0),IF(L137="U",MATCH(LARGE('Dane rozpisek'!$I$2:$I$2600,(ROW()-12)-$L$5-3),'Dane rozpisek'!$I$2:$I$2600,0),""))</f>
        <v/>
      </c>
    </row>
    <row r="138">
      <c r="A138" s="47">
        <f>IF($L138="D",INDEX('Zgłoszenia'!$D$5:$D$504,$M138),IF($L138="U",INDEX('Dane rozpisek'!$A$2:$A$2600,$M138),IF($L138="T","KTO JEŹDZIŁ",IF($L138="E1","Brak zgłoszonych usterek w tym okresie.",IF($L138="E2","Brak wpisów z tym wózkiem w rozpiskach dla tego okresu.",IF($L138="H","Data",""))))))</f>
        <v/>
      </c>
      <c r="B138" s="48">
        <f>IF($L138="D",INDEX('Zgłoszenia'!$B$5:$B$504,$M138)&amp;"",IF($L138="U",INDEX('Dane rozpisek'!$F$2:$F$2600,$M138)&amp;"",IF($L138="H","Wózek","")))</f>
        <v/>
      </c>
      <c r="C138" s="48">
        <f>IF($L138="D",INDEX('Zgłoszenia'!$E$5:$E$504,$M138)&amp;"",IF($L138="U",INDEX('Dane rozpisek'!$B$2:$B$2600,$M138)&amp;" · "&amp;INDEX('Dane rozpisek'!$J$2:$J$2600,$M138),IF($L138="H","Zmiana","")))</f>
        <v/>
      </c>
      <c r="D138" s="49">
        <f>IF($L138="D",INDEX('Zgłoszenia'!$H$5:$H$504,$M138)&amp;"",IF($L138="U",INDEX('Dane rozpisek'!$E$2:$E$2600,$M138)&amp;"",IF($L138="H","Operator","")))</f>
        <v/>
      </c>
      <c r="E138" s="49">
        <f>IF($L138="D",INDEX('Zgłoszenia'!$I$5:$I$504,$M138)&amp;"",IF($L138="U",INDEX('Dane rozpisek'!$C$2:$C$2600,$M138)&amp;"",IF($L138="H","Stanowisko","")))</f>
        <v/>
      </c>
      <c r="F138" s="48">
        <f>IF($L138="D",INDEX('Zgłoszenia'!$J$5:$J$504,$M138)&amp;"",IF($L138="U",INDEX('Dane rozpisek'!$G$2:$G$2600,$M138)&amp;"",IF($L138="H","Uwagi","")))</f>
        <v/>
      </c>
      <c r="G138" s="49">
        <f>IF($L138="D",INDEX('Zgłoszenia'!$F$5:$F$504,$M138)&amp;"",IF($L138="U",INDEX('Dane rozpisek'!$L$2:$L$2600,$M138)&amp;"",IF($L138="H","Usterki (dzień / następny)","")))</f>
        <v/>
      </c>
      <c r="H138" s="49">
        <f>IF($L138="D",INDEX('Zgłoszenia'!$P$5:$P$504,$M138)&amp;"",IF($L138="U","",""))</f>
        <v/>
      </c>
      <c r="I138" s="48">
        <f>IF($L138="D",IF(INDEX('Zgłoszenia'!$M$5:$M$504,$M138)="","Zgłoszona",INDEX('Zgłoszenia'!$M$5:$M$504,$M138)),IF($L138="U","",""))</f>
        <v/>
      </c>
      <c r="J138" s="49">
        <f>IF($L138="D",INDEX('Zgłoszenia'!$K$5:$K$504,$M138)&amp;"",IF($L138="U","",""))</f>
        <v/>
      </c>
      <c r="K138" s="2" t="n"/>
      <c r="L138" s="2">
        <f>IF((ROW()-12)&lt;=$L$5,IF($L$2=0,"E1","D"),IF((ROW()-12)=$L$5+1,"",IF((ROW()-12)=$L$5+2,"T",IF((ROW()-12)=$L$5+3,IF($L$3=0,"E2","H"),IF((ROW()-12)&lt;=$L$5+3+$L$3,"U","")))))</f>
        <v/>
      </c>
      <c r="M138" s="2">
        <f>IF(L138="D",MATCH(LARGE('Zgłoszenia'!$Q$5:$Q$504,(ROW()-12)),'Zgłoszenia'!$Q$5:$Q$504,0),IF(L138="U",MATCH(LARGE('Dane rozpisek'!$I$2:$I$2600,(ROW()-12)-$L$5-3),'Dane rozpisek'!$I$2:$I$2600,0),""))</f>
        <v/>
      </c>
    </row>
    <row r="139">
      <c r="A139" s="47">
        <f>IF($L139="D",INDEX('Zgłoszenia'!$D$5:$D$504,$M139),IF($L139="U",INDEX('Dane rozpisek'!$A$2:$A$2600,$M139),IF($L139="T","KTO JEŹDZIŁ",IF($L139="E1","Brak zgłoszonych usterek w tym okresie.",IF($L139="E2","Brak wpisów z tym wózkiem w rozpiskach dla tego okresu.",IF($L139="H","Data",""))))))</f>
        <v/>
      </c>
      <c r="B139" s="48">
        <f>IF($L139="D",INDEX('Zgłoszenia'!$B$5:$B$504,$M139)&amp;"",IF($L139="U",INDEX('Dane rozpisek'!$F$2:$F$2600,$M139)&amp;"",IF($L139="H","Wózek","")))</f>
        <v/>
      </c>
      <c r="C139" s="48">
        <f>IF($L139="D",INDEX('Zgłoszenia'!$E$5:$E$504,$M139)&amp;"",IF($L139="U",INDEX('Dane rozpisek'!$B$2:$B$2600,$M139)&amp;" · "&amp;INDEX('Dane rozpisek'!$J$2:$J$2600,$M139),IF($L139="H","Zmiana","")))</f>
        <v/>
      </c>
      <c r="D139" s="49">
        <f>IF($L139="D",INDEX('Zgłoszenia'!$H$5:$H$504,$M139)&amp;"",IF($L139="U",INDEX('Dane rozpisek'!$E$2:$E$2600,$M139)&amp;"",IF($L139="H","Operator","")))</f>
        <v/>
      </c>
      <c r="E139" s="49">
        <f>IF($L139="D",INDEX('Zgłoszenia'!$I$5:$I$504,$M139)&amp;"",IF($L139="U",INDEX('Dane rozpisek'!$C$2:$C$2600,$M139)&amp;"",IF($L139="H","Stanowisko","")))</f>
        <v/>
      </c>
      <c r="F139" s="48">
        <f>IF($L139="D",INDEX('Zgłoszenia'!$J$5:$J$504,$M139)&amp;"",IF($L139="U",INDEX('Dane rozpisek'!$G$2:$G$2600,$M139)&amp;"",IF($L139="H","Uwagi","")))</f>
        <v/>
      </c>
      <c r="G139" s="49">
        <f>IF($L139="D",INDEX('Zgłoszenia'!$F$5:$F$504,$M139)&amp;"",IF($L139="U",INDEX('Dane rozpisek'!$L$2:$L$2600,$M139)&amp;"",IF($L139="H","Usterki (dzień / następny)","")))</f>
        <v/>
      </c>
      <c r="H139" s="49">
        <f>IF($L139="D",INDEX('Zgłoszenia'!$P$5:$P$504,$M139)&amp;"",IF($L139="U","",""))</f>
        <v/>
      </c>
      <c r="I139" s="48">
        <f>IF($L139="D",IF(INDEX('Zgłoszenia'!$M$5:$M$504,$M139)="","Zgłoszona",INDEX('Zgłoszenia'!$M$5:$M$504,$M139)),IF($L139="U","",""))</f>
        <v/>
      </c>
      <c r="J139" s="49">
        <f>IF($L139="D",INDEX('Zgłoszenia'!$K$5:$K$504,$M139)&amp;"",IF($L139="U","",""))</f>
        <v/>
      </c>
      <c r="K139" s="2" t="n"/>
      <c r="L139" s="2">
        <f>IF((ROW()-12)&lt;=$L$5,IF($L$2=0,"E1","D"),IF((ROW()-12)=$L$5+1,"",IF((ROW()-12)=$L$5+2,"T",IF((ROW()-12)=$L$5+3,IF($L$3=0,"E2","H"),IF((ROW()-12)&lt;=$L$5+3+$L$3,"U","")))))</f>
        <v/>
      </c>
      <c r="M139" s="2">
        <f>IF(L139="D",MATCH(LARGE('Zgłoszenia'!$Q$5:$Q$504,(ROW()-12)),'Zgłoszenia'!$Q$5:$Q$504,0),IF(L139="U",MATCH(LARGE('Dane rozpisek'!$I$2:$I$2600,(ROW()-12)-$L$5-3),'Dane rozpisek'!$I$2:$I$2600,0),""))</f>
        <v/>
      </c>
    </row>
    <row r="140">
      <c r="A140" s="47">
        <f>IF($L140="D",INDEX('Zgłoszenia'!$D$5:$D$504,$M140),IF($L140="U",INDEX('Dane rozpisek'!$A$2:$A$2600,$M140),IF($L140="T","KTO JEŹDZIŁ",IF($L140="E1","Brak zgłoszonych usterek w tym okresie.",IF($L140="E2","Brak wpisów z tym wózkiem w rozpiskach dla tego okresu.",IF($L140="H","Data",""))))))</f>
        <v/>
      </c>
      <c r="B140" s="48">
        <f>IF($L140="D",INDEX('Zgłoszenia'!$B$5:$B$504,$M140)&amp;"",IF($L140="U",INDEX('Dane rozpisek'!$F$2:$F$2600,$M140)&amp;"",IF($L140="H","Wózek","")))</f>
        <v/>
      </c>
      <c r="C140" s="48">
        <f>IF($L140="D",INDEX('Zgłoszenia'!$E$5:$E$504,$M140)&amp;"",IF($L140="U",INDEX('Dane rozpisek'!$B$2:$B$2600,$M140)&amp;" · "&amp;INDEX('Dane rozpisek'!$J$2:$J$2600,$M140),IF($L140="H","Zmiana","")))</f>
        <v/>
      </c>
      <c r="D140" s="49">
        <f>IF($L140="D",INDEX('Zgłoszenia'!$H$5:$H$504,$M140)&amp;"",IF($L140="U",INDEX('Dane rozpisek'!$E$2:$E$2600,$M140)&amp;"",IF($L140="H","Operator","")))</f>
        <v/>
      </c>
      <c r="E140" s="49">
        <f>IF($L140="D",INDEX('Zgłoszenia'!$I$5:$I$504,$M140)&amp;"",IF($L140="U",INDEX('Dane rozpisek'!$C$2:$C$2600,$M140)&amp;"",IF($L140="H","Stanowisko","")))</f>
        <v/>
      </c>
      <c r="F140" s="48">
        <f>IF($L140="D",INDEX('Zgłoszenia'!$J$5:$J$504,$M140)&amp;"",IF($L140="U",INDEX('Dane rozpisek'!$G$2:$G$2600,$M140)&amp;"",IF($L140="H","Uwagi","")))</f>
        <v/>
      </c>
      <c r="G140" s="49">
        <f>IF($L140="D",INDEX('Zgłoszenia'!$F$5:$F$504,$M140)&amp;"",IF($L140="U",INDEX('Dane rozpisek'!$L$2:$L$2600,$M140)&amp;"",IF($L140="H","Usterki (dzień / następny)","")))</f>
        <v/>
      </c>
      <c r="H140" s="49">
        <f>IF($L140="D",INDEX('Zgłoszenia'!$P$5:$P$504,$M140)&amp;"",IF($L140="U","",""))</f>
        <v/>
      </c>
      <c r="I140" s="48">
        <f>IF($L140="D",IF(INDEX('Zgłoszenia'!$M$5:$M$504,$M140)="","Zgłoszona",INDEX('Zgłoszenia'!$M$5:$M$504,$M140)),IF($L140="U","",""))</f>
        <v/>
      </c>
      <c r="J140" s="49">
        <f>IF($L140="D",INDEX('Zgłoszenia'!$K$5:$K$504,$M140)&amp;"",IF($L140="U","",""))</f>
        <v/>
      </c>
      <c r="K140" s="2" t="n"/>
      <c r="L140" s="2">
        <f>IF((ROW()-12)&lt;=$L$5,IF($L$2=0,"E1","D"),IF((ROW()-12)=$L$5+1,"",IF((ROW()-12)=$L$5+2,"T",IF((ROW()-12)=$L$5+3,IF($L$3=0,"E2","H"),IF((ROW()-12)&lt;=$L$5+3+$L$3,"U","")))))</f>
        <v/>
      </c>
      <c r="M140" s="2">
        <f>IF(L140="D",MATCH(LARGE('Zgłoszenia'!$Q$5:$Q$504,(ROW()-12)),'Zgłoszenia'!$Q$5:$Q$504,0),IF(L140="U",MATCH(LARGE('Dane rozpisek'!$I$2:$I$2600,(ROW()-12)-$L$5-3),'Dane rozpisek'!$I$2:$I$2600,0),""))</f>
        <v/>
      </c>
    </row>
    <row r="141">
      <c r="A141" s="47">
        <f>IF($L141="D",INDEX('Zgłoszenia'!$D$5:$D$504,$M141),IF($L141="U",INDEX('Dane rozpisek'!$A$2:$A$2600,$M141),IF($L141="T","KTO JEŹDZIŁ",IF($L141="E1","Brak zgłoszonych usterek w tym okresie.",IF($L141="E2","Brak wpisów z tym wózkiem w rozpiskach dla tego okresu.",IF($L141="H","Data",""))))))</f>
        <v/>
      </c>
      <c r="B141" s="48">
        <f>IF($L141="D",INDEX('Zgłoszenia'!$B$5:$B$504,$M141)&amp;"",IF($L141="U",INDEX('Dane rozpisek'!$F$2:$F$2600,$M141)&amp;"",IF($L141="H","Wózek","")))</f>
        <v/>
      </c>
      <c r="C141" s="48">
        <f>IF($L141="D",INDEX('Zgłoszenia'!$E$5:$E$504,$M141)&amp;"",IF($L141="U",INDEX('Dane rozpisek'!$B$2:$B$2600,$M141)&amp;" · "&amp;INDEX('Dane rozpisek'!$J$2:$J$2600,$M141),IF($L141="H","Zmiana","")))</f>
        <v/>
      </c>
      <c r="D141" s="49">
        <f>IF($L141="D",INDEX('Zgłoszenia'!$H$5:$H$504,$M141)&amp;"",IF($L141="U",INDEX('Dane rozpisek'!$E$2:$E$2600,$M141)&amp;"",IF($L141="H","Operator","")))</f>
        <v/>
      </c>
      <c r="E141" s="49">
        <f>IF($L141="D",INDEX('Zgłoszenia'!$I$5:$I$504,$M141)&amp;"",IF($L141="U",INDEX('Dane rozpisek'!$C$2:$C$2600,$M141)&amp;"",IF($L141="H","Stanowisko","")))</f>
        <v/>
      </c>
      <c r="F141" s="48">
        <f>IF($L141="D",INDEX('Zgłoszenia'!$J$5:$J$504,$M141)&amp;"",IF($L141="U",INDEX('Dane rozpisek'!$G$2:$G$2600,$M141)&amp;"",IF($L141="H","Uwagi","")))</f>
        <v/>
      </c>
      <c r="G141" s="49">
        <f>IF($L141="D",INDEX('Zgłoszenia'!$F$5:$F$504,$M141)&amp;"",IF($L141="U",INDEX('Dane rozpisek'!$L$2:$L$2600,$M141)&amp;"",IF($L141="H","Usterki (dzień / następny)","")))</f>
        <v/>
      </c>
      <c r="H141" s="49">
        <f>IF($L141="D",INDEX('Zgłoszenia'!$P$5:$P$504,$M141)&amp;"",IF($L141="U","",""))</f>
        <v/>
      </c>
      <c r="I141" s="48">
        <f>IF($L141="D",IF(INDEX('Zgłoszenia'!$M$5:$M$504,$M141)="","Zgłoszona",INDEX('Zgłoszenia'!$M$5:$M$504,$M141)),IF($L141="U","",""))</f>
        <v/>
      </c>
      <c r="J141" s="49">
        <f>IF($L141="D",INDEX('Zgłoszenia'!$K$5:$K$504,$M141)&amp;"",IF($L141="U","",""))</f>
        <v/>
      </c>
      <c r="K141" s="2" t="n"/>
      <c r="L141" s="2">
        <f>IF((ROW()-12)&lt;=$L$5,IF($L$2=0,"E1","D"),IF((ROW()-12)=$L$5+1,"",IF((ROW()-12)=$L$5+2,"T",IF((ROW()-12)=$L$5+3,IF($L$3=0,"E2","H"),IF((ROW()-12)&lt;=$L$5+3+$L$3,"U","")))))</f>
        <v/>
      </c>
      <c r="M141" s="2">
        <f>IF(L141="D",MATCH(LARGE('Zgłoszenia'!$Q$5:$Q$504,(ROW()-12)),'Zgłoszenia'!$Q$5:$Q$504,0),IF(L141="U",MATCH(LARGE('Dane rozpisek'!$I$2:$I$2600,(ROW()-12)-$L$5-3),'Dane rozpisek'!$I$2:$I$2600,0),""))</f>
        <v/>
      </c>
    </row>
    <row r="142">
      <c r="A142" s="47">
        <f>IF($L142="D",INDEX('Zgłoszenia'!$D$5:$D$504,$M142),IF($L142="U",INDEX('Dane rozpisek'!$A$2:$A$2600,$M142),IF($L142="T","KTO JEŹDZIŁ",IF($L142="E1","Brak zgłoszonych usterek w tym okresie.",IF($L142="E2","Brak wpisów z tym wózkiem w rozpiskach dla tego okresu.",IF($L142="H","Data",""))))))</f>
        <v/>
      </c>
      <c r="B142" s="48">
        <f>IF($L142="D",INDEX('Zgłoszenia'!$B$5:$B$504,$M142)&amp;"",IF($L142="U",INDEX('Dane rozpisek'!$F$2:$F$2600,$M142)&amp;"",IF($L142="H","Wózek","")))</f>
        <v/>
      </c>
      <c r="C142" s="48">
        <f>IF($L142="D",INDEX('Zgłoszenia'!$E$5:$E$504,$M142)&amp;"",IF($L142="U",INDEX('Dane rozpisek'!$B$2:$B$2600,$M142)&amp;" · "&amp;INDEX('Dane rozpisek'!$J$2:$J$2600,$M142),IF($L142="H","Zmiana","")))</f>
        <v/>
      </c>
      <c r="D142" s="49">
        <f>IF($L142="D",INDEX('Zgłoszenia'!$H$5:$H$504,$M142)&amp;"",IF($L142="U",INDEX('Dane rozpisek'!$E$2:$E$2600,$M142)&amp;"",IF($L142="H","Operator","")))</f>
        <v/>
      </c>
      <c r="E142" s="49">
        <f>IF($L142="D",INDEX('Zgłoszenia'!$I$5:$I$504,$M142)&amp;"",IF($L142="U",INDEX('Dane rozpisek'!$C$2:$C$2600,$M142)&amp;"",IF($L142="H","Stanowisko","")))</f>
        <v/>
      </c>
      <c r="F142" s="48">
        <f>IF($L142="D",INDEX('Zgłoszenia'!$J$5:$J$504,$M142)&amp;"",IF($L142="U",INDEX('Dane rozpisek'!$G$2:$G$2600,$M142)&amp;"",IF($L142="H","Uwagi","")))</f>
        <v/>
      </c>
      <c r="G142" s="49">
        <f>IF($L142="D",INDEX('Zgłoszenia'!$F$5:$F$504,$M142)&amp;"",IF($L142="U",INDEX('Dane rozpisek'!$L$2:$L$2600,$M142)&amp;"",IF($L142="H","Usterki (dzień / następny)","")))</f>
        <v/>
      </c>
      <c r="H142" s="49">
        <f>IF($L142="D",INDEX('Zgłoszenia'!$P$5:$P$504,$M142)&amp;"",IF($L142="U","",""))</f>
        <v/>
      </c>
      <c r="I142" s="48">
        <f>IF($L142="D",IF(INDEX('Zgłoszenia'!$M$5:$M$504,$M142)="","Zgłoszona",INDEX('Zgłoszenia'!$M$5:$M$504,$M142)),IF($L142="U","",""))</f>
        <v/>
      </c>
      <c r="J142" s="49">
        <f>IF($L142="D",INDEX('Zgłoszenia'!$K$5:$K$504,$M142)&amp;"",IF($L142="U","",""))</f>
        <v/>
      </c>
      <c r="K142" s="2" t="n"/>
      <c r="L142" s="2">
        <f>IF((ROW()-12)&lt;=$L$5,IF($L$2=0,"E1","D"),IF((ROW()-12)=$L$5+1,"",IF((ROW()-12)=$L$5+2,"T",IF((ROW()-12)=$L$5+3,IF($L$3=0,"E2","H"),IF((ROW()-12)&lt;=$L$5+3+$L$3,"U","")))))</f>
        <v/>
      </c>
      <c r="M142" s="2">
        <f>IF(L142="D",MATCH(LARGE('Zgłoszenia'!$Q$5:$Q$504,(ROW()-12)),'Zgłoszenia'!$Q$5:$Q$504,0),IF(L142="U",MATCH(LARGE('Dane rozpisek'!$I$2:$I$2600,(ROW()-12)-$L$5-3),'Dane rozpisek'!$I$2:$I$2600,0),""))</f>
        <v/>
      </c>
    </row>
    <row r="143">
      <c r="A143" s="47">
        <f>IF($L143="D",INDEX('Zgłoszenia'!$D$5:$D$504,$M143),IF($L143="U",INDEX('Dane rozpisek'!$A$2:$A$2600,$M143),IF($L143="T","KTO JEŹDZIŁ",IF($L143="E1","Brak zgłoszonych usterek w tym okresie.",IF($L143="E2","Brak wpisów z tym wózkiem w rozpiskach dla tego okresu.",IF($L143="H","Data",""))))))</f>
        <v/>
      </c>
      <c r="B143" s="48">
        <f>IF($L143="D",INDEX('Zgłoszenia'!$B$5:$B$504,$M143)&amp;"",IF($L143="U",INDEX('Dane rozpisek'!$F$2:$F$2600,$M143)&amp;"",IF($L143="H","Wózek","")))</f>
        <v/>
      </c>
      <c r="C143" s="48">
        <f>IF($L143="D",INDEX('Zgłoszenia'!$E$5:$E$504,$M143)&amp;"",IF($L143="U",INDEX('Dane rozpisek'!$B$2:$B$2600,$M143)&amp;" · "&amp;INDEX('Dane rozpisek'!$J$2:$J$2600,$M143),IF($L143="H","Zmiana","")))</f>
        <v/>
      </c>
      <c r="D143" s="49">
        <f>IF($L143="D",INDEX('Zgłoszenia'!$H$5:$H$504,$M143)&amp;"",IF($L143="U",INDEX('Dane rozpisek'!$E$2:$E$2600,$M143)&amp;"",IF($L143="H","Operator","")))</f>
        <v/>
      </c>
      <c r="E143" s="49">
        <f>IF($L143="D",INDEX('Zgłoszenia'!$I$5:$I$504,$M143)&amp;"",IF($L143="U",INDEX('Dane rozpisek'!$C$2:$C$2600,$M143)&amp;"",IF($L143="H","Stanowisko","")))</f>
        <v/>
      </c>
      <c r="F143" s="48">
        <f>IF($L143="D",INDEX('Zgłoszenia'!$J$5:$J$504,$M143)&amp;"",IF($L143="U",INDEX('Dane rozpisek'!$G$2:$G$2600,$M143)&amp;"",IF($L143="H","Uwagi","")))</f>
        <v/>
      </c>
      <c r="G143" s="49">
        <f>IF($L143="D",INDEX('Zgłoszenia'!$F$5:$F$504,$M143)&amp;"",IF($L143="U",INDEX('Dane rozpisek'!$L$2:$L$2600,$M143)&amp;"",IF($L143="H","Usterki (dzień / następny)","")))</f>
        <v/>
      </c>
      <c r="H143" s="49">
        <f>IF($L143="D",INDEX('Zgłoszenia'!$P$5:$P$504,$M143)&amp;"",IF($L143="U","",""))</f>
        <v/>
      </c>
      <c r="I143" s="48">
        <f>IF($L143="D",IF(INDEX('Zgłoszenia'!$M$5:$M$504,$M143)="","Zgłoszona",INDEX('Zgłoszenia'!$M$5:$M$504,$M143)),IF($L143="U","",""))</f>
        <v/>
      </c>
      <c r="J143" s="49">
        <f>IF($L143="D",INDEX('Zgłoszenia'!$K$5:$K$504,$M143)&amp;"",IF($L143="U","",""))</f>
        <v/>
      </c>
      <c r="K143" s="2" t="n"/>
      <c r="L143" s="2">
        <f>IF((ROW()-12)&lt;=$L$5,IF($L$2=0,"E1","D"),IF((ROW()-12)=$L$5+1,"",IF((ROW()-12)=$L$5+2,"T",IF((ROW()-12)=$L$5+3,IF($L$3=0,"E2","H"),IF((ROW()-12)&lt;=$L$5+3+$L$3,"U","")))))</f>
        <v/>
      </c>
      <c r="M143" s="2">
        <f>IF(L143="D",MATCH(LARGE('Zgłoszenia'!$Q$5:$Q$504,(ROW()-12)),'Zgłoszenia'!$Q$5:$Q$504,0),IF(L143="U",MATCH(LARGE('Dane rozpisek'!$I$2:$I$2600,(ROW()-12)-$L$5-3),'Dane rozpisek'!$I$2:$I$2600,0),""))</f>
        <v/>
      </c>
    </row>
    <row r="144">
      <c r="A144" s="47">
        <f>IF($L144="D",INDEX('Zgłoszenia'!$D$5:$D$504,$M144),IF($L144="U",INDEX('Dane rozpisek'!$A$2:$A$2600,$M144),IF($L144="T","KTO JEŹDZIŁ",IF($L144="E1","Brak zgłoszonych usterek w tym okresie.",IF($L144="E2","Brak wpisów z tym wózkiem w rozpiskach dla tego okresu.",IF($L144="H","Data",""))))))</f>
        <v/>
      </c>
      <c r="B144" s="48">
        <f>IF($L144="D",INDEX('Zgłoszenia'!$B$5:$B$504,$M144)&amp;"",IF($L144="U",INDEX('Dane rozpisek'!$F$2:$F$2600,$M144)&amp;"",IF($L144="H","Wózek","")))</f>
        <v/>
      </c>
      <c r="C144" s="48">
        <f>IF($L144="D",INDEX('Zgłoszenia'!$E$5:$E$504,$M144)&amp;"",IF($L144="U",INDEX('Dane rozpisek'!$B$2:$B$2600,$M144)&amp;" · "&amp;INDEX('Dane rozpisek'!$J$2:$J$2600,$M144),IF($L144="H","Zmiana","")))</f>
        <v/>
      </c>
      <c r="D144" s="49">
        <f>IF($L144="D",INDEX('Zgłoszenia'!$H$5:$H$504,$M144)&amp;"",IF($L144="U",INDEX('Dane rozpisek'!$E$2:$E$2600,$M144)&amp;"",IF($L144="H","Operator","")))</f>
        <v/>
      </c>
      <c r="E144" s="49">
        <f>IF($L144="D",INDEX('Zgłoszenia'!$I$5:$I$504,$M144)&amp;"",IF($L144="U",INDEX('Dane rozpisek'!$C$2:$C$2600,$M144)&amp;"",IF($L144="H","Stanowisko","")))</f>
        <v/>
      </c>
      <c r="F144" s="48">
        <f>IF($L144="D",INDEX('Zgłoszenia'!$J$5:$J$504,$M144)&amp;"",IF($L144="U",INDEX('Dane rozpisek'!$G$2:$G$2600,$M144)&amp;"",IF($L144="H","Uwagi","")))</f>
        <v/>
      </c>
      <c r="G144" s="49">
        <f>IF($L144="D",INDEX('Zgłoszenia'!$F$5:$F$504,$M144)&amp;"",IF($L144="U",INDEX('Dane rozpisek'!$L$2:$L$2600,$M144)&amp;"",IF($L144="H","Usterki (dzień / następny)","")))</f>
        <v/>
      </c>
      <c r="H144" s="49">
        <f>IF($L144="D",INDEX('Zgłoszenia'!$P$5:$P$504,$M144)&amp;"",IF($L144="U","",""))</f>
        <v/>
      </c>
      <c r="I144" s="48">
        <f>IF($L144="D",IF(INDEX('Zgłoszenia'!$M$5:$M$504,$M144)="","Zgłoszona",INDEX('Zgłoszenia'!$M$5:$M$504,$M144)),IF($L144="U","",""))</f>
        <v/>
      </c>
      <c r="J144" s="49">
        <f>IF($L144="D",INDEX('Zgłoszenia'!$K$5:$K$504,$M144)&amp;"",IF($L144="U","",""))</f>
        <v/>
      </c>
      <c r="K144" s="2" t="n"/>
      <c r="L144" s="2">
        <f>IF((ROW()-12)&lt;=$L$5,IF($L$2=0,"E1","D"),IF((ROW()-12)=$L$5+1,"",IF((ROW()-12)=$L$5+2,"T",IF((ROW()-12)=$L$5+3,IF($L$3=0,"E2","H"),IF((ROW()-12)&lt;=$L$5+3+$L$3,"U","")))))</f>
        <v/>
      </c>
      <c r="M144" s="2">
        <f>IF(L144="D",MATCH(LARGE('Zgłoszenia'!$Q$5:$Q$504,(ROW()-12)),'Zgłoszenia'!$Q$5:$Q$504,0),IF(L144="U",MATCH(LARGE('Dane rozpisek'!$I$2:$I$2600,(ROW()-12)-$L$5-3),'Dane rozpisek'!$I$2:$I$2600,0),""))</f>
        <v/>
      </c>
    </row>
    <row r="145">
      <c r="A145" s="47">
        <f>IF($L145="D",INDEX('Zgłoszenia'!$D$5:$D$504,$M145),IF($L145="U",INDEX('Dane rozpisek'!$A$2:$A$2600,$M145),IF($L145="T","KTO JEŹDZIŁ",IF($L145="E1","Brak zgłoszonych usterek w tym okresie.",IF($L145="E2","Brak wpisów z tym wózkiem w rozpiskach dla tego okresu.",IF($L145="H","Data",""))))))</f>
        <v/>
      </c>
      <c r="B145" s="48">
        <f>IF($L145="D",INDEX('Zgłoszenia'!$B$5:$B$504,$M145)&amp;"",IF($L145="U",INDEX('Dane rozpisek'!$F$2:$F$2600,$M145)&amp;"",IF($L145="H","Wózek","")))</f>
        <v/>
      </c>
      <c r="C145" s="48">
        <f>IF($L145="D",INDEX('Zgłoszenia'!$E$5:$E$504,$M145)&amp;"",IF($L145="U",INDEX('Dane rozpisek'!$B$2:$B$2600,$M145)&amp;" · "&amp;INDEX('Dane rozpisek'!$J$2:$J$2600,$M145),IF($L145="H","Zmiana","")))</f>
        <v/>
      </c>
      <c r="D145" s="49">
        <f>IF($L145="D",INDEX('Zgłoszenia'!$H$5:$H$504,$M145)&amp;"",IF($L145="U",INDEX('Dane rozpisek'!$E$2:$E$2600,$M145)&amp;"",IF($L145="H","Operator","")))</f>
        <v/>
      </c>
      <c r="E145" s="49">
        <f>IF($L145="D",INDEX('Zgłoszenia'!$I$5:$I$504,$M145)&amp;"",IF($L145="U",INDEX('Dane rozpisek'!$C$2:$C$2600,$M145)&amp;"",IF($L145="H","Stanowisko","")))</f>
        <v/>
      </c>
      <c r="F145" s="48">
        <f>IF($L145="D",INDEX('Zgłoszenia'!$J$5:$J$504,$M145)&amp;"",IF($L145="U",INDEX('Dane rozpisek'!$G$2:$G$2600,$M145)&amp;"",IF($L145="H","Uwagi","")))</f>
        <v/>
      </c>
      <c r="G145" s="49">
        <f>IF($L145="D",INDEX('Zgłoszenia'!$F$5:$F$504,$M145)&amp;"",IF($L145="U",INDEX('Dane rozpisek'!$L$2:$L$2600,$M145)&amp;"",IF($L145="H","Usterki (dzień / następny)","")))</f>
        <v/>
      </c>
      <c r="H145" s="49">
        <f>IF($L145="D",INDEX('Zgłoszenia'!$P$5:$P$504,$M145)&amp;"",IF($L145="U","",""))</f>
        <v/>
      </c>
      <c r="I145" s="48">
        <f>IF($L145="D",IF(INDEX('Zgłoszenia'!$M$5:$M$504,$M145)="","Zgłoszona",INDEX('Zgłoszenia'!$M$5:$M$504,$M145)),IF($L145="U","",""))</f>
        <v/>
      </c>
      <c r="J145" s="49">
        <f>IF($L145="D",INDEX('Zgłoszenia'!$K$5:$K$504,$M145)&amp;"",IF($L145="U","",""))</f>
        <v/>
      </c>
      <c r="K145" s="2" t="n"/>
      <c r="L145" s="2">
        <f>IF((ROW()-12)&lt;=$L$5,IF($L$2=0,"E1","D"),IF((ROW()-12)=$L$5+1,"",IF((ROW()-12)=$L$5+2,"T",IF((ROW()-12)=$L$5+3,IF($L$3=0,"E2","H"),IF((ROW()-12)&lt;=$L$5+3+$L$3,"U","")))))</f>
        <v/>
      </c>
      <c r="M145" s="2">
        <f>IF(L145="D",MATCH(LARGE('Zgłoszenia'!$Q$5:$Q$504,(ROW()-12)),'Zgłoszenia'!$Q$5:$Q$504,0),IF(L145="U",MATCH(LARGE('Dane rozpisek'!$I$2:$I$2600,(ROW()-12)-$L$5-3),'Dane rozpisek'!$I$2:$I$2600,0),""))</f>
        <v/>
      </c>
    </row>
    <row r="146">
      <c r="A146" s="47">
        <f>IF($L146="D",INDEX('Zgłoszenia'!$D$5:$D$504,$M146),IF($L146="U",INDEX('Dane rozpisek'!$A$2:$A$2600,$M146),IF($L146="T","KTO JEŹDZIŁ",IF($L146="E1","Brak zgłoszonych usterek w tym okresie.",IF($L146="E2","Brak wpisów z tym wózkiem w rozpiskach dla tego okresu.",IF($L146="H","Data",""))))))</f>
        <v/>
      </c>
      <c r="B146" s="48">
        <f>IF($L146="D",INDEX('Zgłoszenia'!$B$5:$B$504,$M146)&amp;"",IF($L146="U",INDEX('Dane rozpisek'!$F$2:$F$2600,$M146)&amp;"",IF($L146="H","Wózek","")))</f>
        <v/>
      </c>
      <c r="C146" s="48">
        <f>IF($L146="D",INDEX('Zgłoszenia'!$E$5:$E$504,$M146)&amp;"",IF($L146="U",INDEX('Dane rozpisek'!$B$2:$B$2600,$M146)&amp;" · "&amp;INDEX('Dane rozpisek'!$J$2:$J$2600,$M146),IF($L146="H","Zmiana","")))</f>
        <v/>
      </c>
      <c r="D146" s="49">
        <f>IF($L146="D",INDEX('Zgłoszenia'!$H$5:$H$504,$M146)&amp;"",IF($L146="U",INDEX('Dane rozpisek'!$E$2:$E$2600,$M146)&amp;"",IF($L146="H","Operator","")))</f>
        <v/>
      </c>
      <c r="E146" s="49">
        <f>IF($L146="D",INDEX('Zgłoszenia'!$I$5:$I$504,$M146)&amp;"",IF($L146="U",INDEX('Dane rozpisek'!$C$2:$C$2600,$M146)&amp;"",IF($L146="H","Stanowisko","")))</f>
        <v/>
      </c>
      <c r="F146" s="48">
        <f>IF($L146="D",INDEX('Zgłoszenia'!$J$5:$J$504,$M146)&amp;"",IF($L146="U",INDEX('Dane rozpisek'!$G$2:$G$2600,$M146)&amp;"",IF($L146="H","Uwagi","")))</f>
        <v/>
      </c>
      <c r="G146" s="49">
        <f>IF($L146="D",INDEX('Zgłoszenia'!$F$5:$F$504,$M146)&amp;"",IF($L146="U",INDEX('Dane rozpisek'!$L$2:$L$2600,$M146)&amp;"",IF($L146="H","Usterki (dzień / następny)","")))</f>
        <v/>
      </c>
      <c r="H146" s="49">
        <f>IF($L146="D",INDEX('Zgłoszenia'!$P$5:$P$504,$M146)&amp;"",IF($L146="U","",""))</f>
        <v/>
      </c>
      <c r="I146" s="48">
        <f>IF($L146="D",IF(INDEX('Zgłoszenia'!$M$5:$M$504,$M146)="","Zgłoszona",INDEX('Zgłoszenia'!$M$5:$M$504,$M146)),IF($L146="U","",""))</f>
        <v/>
      </c>
      <c r="J146" s="49">
        <f>IF($L146="D",INDEX('Zgłoszenia'!$K$5:$K$504,$M146)&amp;"",IF($L146="U","",""))</f>
        <v/>
      </c>
      <c r="K146" s="2" t="n"/>
      <c r="L146" s="2">
        <f>IF((ROW()-12)&lt;=$L$5,IF($L$2=0,"E1","D"),IF((ROW()-12)=$L$5+1,"",IF((ROW()-12)=$L$5+2,"T",IF((ROW()-12)=$L$5+3,IF($L$3=0,"E2","H"),IF((ROW()-12)&lt;=$L$5+3+$L$3,"U","")))))</f>
        <v/>
      </c>
      <c r="M146" s="2">
        <f>IF(L146="D",MATCH(LARGE('Zgłoszenia'!$Q$5:$Q$504,(ROW()-12)),'Zgłoszenia'!$Q$5:$Q$504,0),IF(L146="U",MATCH(LARGE('Dane rozpisek'!$I$2:$I$2600,(ROW()-12)-$L$5-3),'Dane rozpisek'!$I$2:$I$2600,0),""))</f>
        <v/>
      </c>
    </row>
    <row r="147">
      <c r="A147" s="47">
        <f>IF($L147="D",INDEX('Zgłoszenia'!$D$5:$D$504,$M147),IF($L147="U",INDEX('Dane rozpisek'!$A$2:$A$2600,$M147),IF($L147="T","KTO JEŹDZIŁ",IF($L147="E1","Brak zgłoszonych usterek w tym okresie.",IF($L147="E2","Brak wpisów z tym wózkiem w rozpiskach dla tego okresu.",IF($L147="H","Data",""))))))</f>
        <v/>
      </c>
      <c r="B147" s="48">
        <f>IF($L147="D",INDEX('Zgłoszenia'!$B$5:$B$504,$M147)&amp;"",IF($L147="U",INDEX('Dane rozpisek'!$F$2:$F$2600,$M147)&amp;"",IF($L147="H","Wózek","")))</f>
        <v/>
      </c>
      <c r="C147" s="48">
        <f>IF($L147="D",INDEX('Zgłoszenia'!$E$5:$E$504,$M147)&amp;"",IF($L147="U",INDEX('Dane rozpisek'!$B$2:$B$2600,$M147)&amp;" · "&amp;INDEX('Dane rozpisek'!$J$2:$J$2600,$M147),IF($L147="H","Zmiana","")))</f>
        <v/>
      </c>
      <c r="D147" s="49">
        <f>IF($L147="D",INDEX('Zgłoszenia'!$H$5:$H$504,$M147)&amp;"",IF($L147="U",INDEX('Dane rozpisek'!$E$2:$E$2600,$M147)&amp;"",IF($L147="H","Operator","")))</f>
        <v/>
      </c>
      <c r="E147" s="49">
        <f>IF($L147="D",INDEX('Zgłoszenia'!$I$5:$I$504,$M147)&amp;"",IF($L147="U",INDEX('Dane rozpisek'!$C$2:$C$2600,$M147)&amp;"",IF($L147="H","Stanowisko","")))</f>
        <v/>
      </c>
      <c r="F147" s="48">
        <f>IF($L147="D",INDEX('Zgłoszenia'!$J$5:$J$504,$M147)&amp;"",IF($L147="U",INDEX('Dane rozpisek'!$G$2:$G$2600,$M147)&amp;"",IF($L147="H","Uwagi","")))</f>
        <v/>
      </c>
      <c r="G147" s="49">
        <f>IF($L147="D",INDEX('Zgłoszenia'!$F$5:$F$504,$M147)&amp;"",IF($L147="U",INDEX('Dane rozpisek'!$L$2:$L$2600,$M147)&amp;"",IF($L147="H","Usterki (dzień / następny)","")))</f>
        <v/>
      </c>
      <c r="H147" s="49">
        <f>IF($L147="D",INDEX('Zgłoszenia'!$P$5:$P$504,$M147)&amp;"",IF($L147="U","",""))</f>
        <v/>
      </c>
      <c r="I147" s="48">
        <f>IF($L147="D",IF(INDEX('Zgłoszenia'!$M$5:$M$504,$M147)="","Zgłoszona",INDEX('Zgłoszenia'!$M$5:$M$504,$M147)),IF($L147="U","",""))</f>
        <v/>
      </c>
      <c r="J147" s="49">
        <f>IF($L147="D",INDEX('Zgłoszenia'!$K$5:$K$504,$M147)&amp;"",IF($L147="U","",""))</f>
        <v/>
      </c>
      <c r="K147" s="2" t="n"/>
      <c r="L147" s="2">
        <f>IF((ROW()-12)&lt;=$L$5,IF($L$2=0,"E1","D"),IF((ROW()-12)=$L$5+1,"",IF((ROW()-12)=$L$5+2,"T",IF((ROW()-12)=$L$5+3,IF($L$3=0,"E2","H"),IF((ROW()-12)&lt;=$L$5+3+$L$3,"U","")))))</f>
        <v/>
      </c>
      <c r="M147" s="2">
        <f>IF(L147="D",MATCH(LARGE('Zgłoszenia'!$Q$5:$Q$504,(ROW()-12)),'Zgłoszenia'!$Q$5:$Q$504,0),IF(L147="U",MATCH(LARGE('Dane rozpisek'!$I$2:$I$2600,(ROW()-12)-$L$5-3),'Dane rozpisek'!$I$2:$I$2600,0),""))</f>
        <v/>
      </c>
    </row>
    <row r="148">
      <c r="A148" s="47">
        <f>IF($L148="D",INDEX('Zgłoszenia'!$D$5:$D$504,$M148),IF($L148="U",INDEX('Dane rozpisek'!$A$2:$A$2600,$M148),IF($L148="T","KTO JEŹDZIŁ",IF($L148="E1","Brak zgłoszonych usterek w tym okresie.",IF($L148="E2","Brak wpisów z tym wózkiem w rozpiskach dla tego okresu.",IF($L148="H","Data",""))))))</f>
        <v/>
      </c>
      <c r="B148" s="48">
        <f>IF($L148="D",INDEX('Zgłoszenia'!$B$5:$B$504,$M148)&amp;"",IF($L148="U",INDEX('Dane rozpisek'!$F$2:$F$2600,$M148)&amp;"",IF($L148="H","Wózek","")))</f>
        <v/>
      </c>
      <c r="C148" s="48">
        <f>IF($L148="D",INDEX('Zgłoszenia'!$E$5:$E$504,$M148)&amp;"",IF($L148="U",INDEX('Dane rozpisek'!$B$2:$B$2600,$M148)&amp;" · "&amp;INDEX('Dane rozpisek'!$J$2:$J$2600,$M148),IF($L148="H","Zmiana","")))</f>
        <v/>
      </c>
      <c r="D148" s="49">
        <f>IF($L148="D",INDEX('Zgłoszenia'!$H$5:$H$504,$M148)&amp;"",IF($L148="U",INDEX('Dane rozpisek'!$E$2:$E$2600,$M148)&amp;"",IF($L148="H","Operator","")))</f>
        <v/>
      </c>
      <c r="E148" s="49">
        <f>IF($L148="D",INDEX('Zgłoszenia'!$I$5:$I$504,$M148)&amp;"",IF($L148="U",INDEX('Dane rozpisek'!$C$2:$C$2600,$M148)&amp;"",IF($L148="H","Stanowisko","")))</f>
        <v/>
      </c>
      <c r="F148" s="48">
        <f>IF($L148="D",INDEX('Zgłoszenia'!$J$5:$J$504,$M148)&amp;"",IF($L148="U",INDEX('Dane rozpisek'!$G$2:$G$2600,$M148)&amp;"",IF($L148="H","Uwagi","")))</f>
        <v/>
      </c>
      <c r="G148" s="49">
        <f>IF($L148="D",INDEX('Zgłoszenia'!$F$5:$F$504,$M148)&amp;"",IF($L148="U",INDEX('Dane rozpisek'!$L$2:$L$2600,$M148)&amp;"",IF($L148="H","Usterki (dzień / następny)","")))</f>
        <v/>
      </c>
      <c r="H148" s="49">
        <f>IF($L148="D",INDEX('Zgłoszenia'!$P$5:$P$504,$M148)&amp;"",IF($L148="U","",""))</f>
        <v/>
      </c>
      <c r="I148" s="48">
        <f>IF($L148="D",IF(INDEX('Zgłoszenia'!$M$5:$M$504,$M148)="","Zgłoszona",INDEX('Zgłoszenia'!$M$5:$M$504,$M148)),IF($L148="U","",""))</f>
        <v/>
      </c>
      <c r="J148" s="49">
        <f>IF($L148="D",INDEX('Zgłoszenia'!$K$5:$K$504,$M148)&amp;"",IF($L148="U","",""))</f>
        <v/>
      </c>
      <c r="K148" s="2" t="n"/>
      <c r="L148" s="2">
        <f>IF((ROW()-12)&lt;=$L$5,IF($L$2=0,"E1","D"),IF((ROW()-12)=$L$5+1,"",IF((ROW()-12)=$L$5+2,"T",IF((ROW()-12)=$L$5+3,IF($L$3=0,"E2","H"),IF((ROW()-12)&lt;=$L$5+3+$L$3,"U","")))))</f>
        <v/>
      </c>
      <c r="M148" s="2">
        <f>IF(L148="D",MATCH(LARGE('Zgłoszenia'!$Q$5:$Q$504,(ROW()-12)),'Zgłoszenia'!$Q$5:$Q$504,0),IF(L148="U",MATCH(LARGE('Dane rozpisek'!$I$2:$I$2600,(ROW()-12)-$L$5-3),'Dane rozpisek'!$I$2:$I$2600,0),""))</f>
        <v/>
      </c>
    </row>
    <row r="149">
      <c r="A149" s="47">
        <f>IF($L149="D",INDEX('Zgłoszenia'!$D$5:$D$504,$M149),IF($L149="U",INDEX('Dane rozpisek'!$A$2:$A$2600,$M149),IF($L149="T","KTO JEŹDZIŁ",IF($L149="E1","Brak zgłoszonych usterek w tym okresie.",IF($L149="E2","Brak wpisów z tym wózkiem w rozpiskach dla tego okresu.",IF($L149="H","Data",""))))))</f>
        <v/>
      </c>
      <c r="B149" s="48">
        <f>IF($L149="D",INDEX('Zgłoszenia'!$B$5:$B$504,$M149)&amp;"",IF($L149="U",INDEX('Dane rozpisek'!$F$2:$F$2600,$M149)&amp;"",IF($L149="H","Wózek","")))</f>
        <v/>
      </c>
      <c r="C149" s="48">
        <f>IF($L149="D",INDEX('Zgłoszenia'!$E$5:$E$504,$M149)&amp;"",IF($L149="U",INDEX('Dane rozpisek'!$B$2:$B$2600,$M149)&amp;" · "&amp;INDEX('Dane rozpisek'!$J$2:$J$2600,$M149),IF($L149="H","Zmiana","")))</f>
        <v/>
      </c>
      <c r="D149" s="49">
        <f>IF($L149="D",INDEX('Zgłoszenia'!$H$5:$H$504,$M149)&amp;"",IF($L149="U",INDEX('Dane rozpisek'!$E$2:$E$2600,$M149)&amp;"",IF($L149="H","Operator","")))</f>
        <v/>
      </c>
      <c r="E149" s="49">
        <f>IF($L149="D",INDEX('Zgłoszenia'!$I$5:$I$504,$M149)&amp;"",IF($L149="U",INDEX('Dane rozpisek'!$C$2:$C$2600,$M149)&amp;"",IF($L149="H","Stanowisko","")))</f>
        <v/>
      </c>
      <c r="F149" s="48">
        <f>IF($L149="D",INDEX('Zgłoszenia'!$J$5:$J$504,$M149)&amp;"",IF($L149="U",INDEX('Dane rozpisek'!$G$2:$G$2600,$M149)&amp;"",IF($L149="H","Uwagi","")))</f>
        <v/>
      </c>
      <c r="G149" s="49">
        <f>IF($L149="D",INDEX('Zgłoszenia'!$F$5:$F$504,$M149)&amp;"",IF($L149="U",INDEX('Dane rozpisek'!$L$2:$L$2600,$M149)&amp;"",IF($L149="H","Usterki (dzień / następny)","")))</f>
        <v/>
      </c>
      <c r="H149" s="49">
        <f>IF($L149="D",INDEX('Zgłoszenia'!$P$5:$P$504,$M149)&amp;"",IF($L149="U","",""))</f>
        <v/>
      </c>
      <c r="I149" s="48">
        <f>IF($L149="D",IF(INDEX('Zgłoszenia'!$M$5:$M$504,$M149)="","Zgłoszona",INDEX('Zgłoszenia'!$M$5:$M$504,$M149)),IF($L149="U","",""))</f>
        <v/>
      </c>
      <c r="J149" s="49">
        <f>IF($L149="D",INDEX('Zgłoszenia'!$K$5:$K$504,$M149)&amp;"",IF($L149="U","",""))</f>
        <v/>
      </c>
      <c r="K149" s="2" t="n"/>
      <c r="L149" s="2">
        <f>IF((ROW()-12)&lt;=$L$5,IF($L$2=0,"E1","D"),IF((ROW()-12)=$L$5+1,"",IF((ROW()-12)=$L$5+2,"T",IF((ROW()-12)=$L$5+3,IF($L$3=0,"E2","H"),IF((ROW()-12)&lt;=$L$5+3+$L$3,"U","")))))</f>
        <v/>
      </c>
      <c r="M149" s="2">
        <f>IF(L149="D",MATCH(LARGE('Zgłoszenia'!$Q$5:$Q$504,(ROW()-12)),'Zgłoszenia'!$Q$5:$Q$504,0),IF(L149="U",MATCH(LARGE('Dane rozpisek'!$I$2:$I$2600,(ROW()-12)-$L$5-3),'Dane rozpisek'!$I$2:$I$2600,0),""))</f>
        <v/>
      </c>
    </row>
    <row r="150">
      <c r="A150" s="47">
        <f>IF($L150="D",INDEX('Zgłoszenia'!$D$5:$D$504,$M150),IF($L150="U",INDEX('Dane rozpisek'!$A$2:$A$2600,$M150),IF($L150="T","KTO JEŹDZIŁ",IF($L150="E1","Brak zgłoszonych usterek w tym okresie.",IF($L150="E2","Brak wpisów z tym wózkiem w rozpiskach dla tego okresu.",IF($L150="H","Data",""))))))</f>
        <v/>
      </c>
      <c r="B150" s="48">
        <f>IF($L150="D",INDEX('Zgłoszenia'!$B$5:$B$504,$M150)&amp;"",IF($L150="U",INDEX('Dane rozpisek'!$F$2:$F$2600,$M150)&amp;"",IF($L150="H","Wózek","")))</f>
        <v/>
      </c>
      <c r="C150" s="48">
        <f>IF($L150="D",INDEX('Zgłoszenia'!$E$5:$E$504,$M150)&amp;"",IF($L150="U",INDEX('Dane rozpisek'!$B$2:$B$2600,$M150)&amp;" · "&amp;INDEX('Dane rozpisek'!$J$2:$J$2600,$M150),IF($L150="H","Zmiana","")))</f>
        <v/>
      </c>
      <c r="D150" s="49">
        <f>IF($L150="D",INDEX('Zgłoszenia'!$H$5:$H$504,$M150)&amp;"",IF($L150="U",INDEX('Dane rozpisek'!$E$2:$E$2600,$M150)&amp;"",IF($L150="H","Operator","")))</f>
        <v/>
      </c>
      <c r="E150" s="49">
        <f>IF($L150="D",INDEX('Zgłoszenia'!$I$5:$I$504,$M150)&amp;"",IF($L150="U",INDEX('Dane rozpisek'!$C$2:$C$2600,$M150)&amp;"",IF($L150="H","Stanowisko","")))</f>
        <v/>
      </c>
      <c r="F150" s="48">
        <f>IF($L150="D",INDEX('Zgłoszenia'!$J$5:$J$504,$M150)&amp;"",IF($L150="U",INDEX('Dane rozpisek'!$G$2:$G$2600,$M150)&amp;"",IF($L150="H","Uwagi","")))</f>
        <v/>
      </c>
      <c r="G150" s="49">
        <f>IF($L150="D",INDEX('Zgłoszenia'!$F$5:$F$504,$M150)&amp;"",IF($L150="U",INDEX('Dane rozpisek'!$L$2:$L$2600,$M150)&amp;"",IF($L150="H","Usterki (dzień / następny)","")))</f>
        <v/>
      </c>
      <c r="H150" s="49">
        <f>IF($L150="D",INDEX('Zgłoszenia'!$P$5:$P$504,$M150)&amp;"",IF($L150="U","",""))</f>
        <v/>
      </c>
      <c r="I150" s="48">
        <f>IF($L150="D",IF(INDEX('Zgłoszenia'!$M$5:$M$504,$M150)="","Zgłoszona",INDEX('Zgłoszenia'!$M$5:$M$504,$M150)),IF($L150="U","",""))</f>
        <v/>
      </c>
      <c r="J150" s="49">
        <f>IF($L150="D",INDEX('Zgłoszenia'!$K$5:$K$504,$M150)&amp;"",IF($L150="U","",""))</f>
        <v/>
      </c>
      <c r="K150" s="2" t="n"/>
      <c r="L150" s="2">
        <f>IF((ROW()-12)&lt;=$L$5,IF($L$2=0,"E1","D"),IF((ROW()-12)=$L$5+1,"",IF((ROW()-12)=$L$5+2,"T",IF((ROW()-12)=$L$5+3,IF($L$3=0,"E2","H"),IF((ROW()-12)&lt;=$L$5+3+$L$3,"U","")))))</f>
        <v/>
      </c>
      <c r="M150" s="2">
        <f>IF(L150="D",MATCH(LARGE('Zgłoszenia'!$Q$5:$Q$504,(ROW()-12)),'Zgłoszenia'!$Q$5:$Q$504,0),IF(L150="U",MATCH(LARGE('Dane rozpisek'!$I$2:$I$2600,(ROW()-12)-$L$5-3),'Dane rozpisek'!$I$2:$I$2600,0),""))</f>
        <v/>
      </c>
    </row>
    <row r="151">
      <c r="A151" s="47">
        <f>IF($L151="D",INDEX('Zgłoszenia'!$D$5:$D$504,$M151),IF($L151="U",INDEX('Dane rozpisek'!$A$2:$A$2600,$M151),IF($L151="T","KTO JEŹDZIŁ",IF($L151="E1","Brak zgłoszonych usterek w tym okresie.",IF($L151="E2","Brak wpisów z tym wózkiem w rozpiskach dla tego okresu.",IF($L151="H","Data",""))))))</f>
        <v/>
      </c>
      <c r="B151" s="48">
        <f>IF($L151="D",INDEX('Zgłoszenia'!$B$5:$B$504,$M151)&amp;"",IF($L151="U",INDEX('Dane rozpisek'!$F$2:$F$2600,$M151)&amp;"",IF($L151="H","Wózek","")))</f>
        <v/>
      </c>
      <c r="C151" s="48">
        <f>IF($L151="D",INDEX('Zgłoszenia'!$E$5:$E$504,$M151)&amp;"",IF($L151="U",INDEX('Dane rozpisek'!$B$2:$B$2600,$M151)&amp;" · "&amp;INDEX('Dane rozpisek'!$J$2:$J$2600,$M151),IF($L151="H","Zmiana","")))</f>
        <v/>
      </c>
      <c r="D151" s="49">
        <f>IF($L151="D",INDEX('Zgłoszenia'!$H$5:$H$504,$M151)&amp;"",IF($L151="U",INDEX('Dane rozpisek'!$E$2:$E$2600,$M151)&amp;"",IF($L151="H","Operator","")))</f>
        <v/>
      </c>
      <c r="E151" s="49">
        <f>IF($L151="D",INDEX('Zgłoszenia'!$I$5:$I$504,$M151)&amp;"",IF($L151="U",INDEX('Dane rozpisek'!$C$2:$C$2600,$M151)&amp;"",IF($L151="H","Stanowisko","")))</f>
        <v/>
      </c>
      <c r="F151" s="48">
        <f>IF($L151="D",INDEX('Zgłoszenia'!$J$5:$J$504,$M151)&amp;"",IF($L151="U",INDEX('Dane rozpisek'!$G$2:$G$2600,$M151)&amp;"",IF($L151="H","Uwagi","")))</f>
        <v/>
      </c>
      <c r="G151" s="49">
        <f>IF($L151="D",INDEX('Zgłoszenia'!$F$5:$F$504,$M151)&amp;"",IF($L151="U",INDEX('Dane rozpisek'!$L$2:$L$2600,$M151)&amp;"",IF($L151="H","Usterki (dzień / następny)","")))</f>
        <v/>
      </c>
      <c r="H151" s="49">
        <f>IF($L151="D",INDEX('Zgłoszenia'!$P$5:$P$504,$M151)&amp;"",IF($L151="U","",""))</f>
        <v/>
      </c>
      <c r="I151" s="48">
        <f>IF($L151="D",IF(INDEX('Zgłoszenia'!$M$5:$M$504,$M151)="","Zgłoszona",INDEX('Zgłoszenia'!$M$5:$M$504,$M151)),IF($L151="U","",""))</f>
        <v/>
      </c>
      <c r="J151" s="49">
        <f>IF($L151="D",INDEX('Zgłoszenia'!$K$5:$K$504,$M151)&amp;"",IF($L151="U","",""))</f>
        <v/>
      </c>
      <c r="K151" s="2" t="n"/>
      <c r="L151" s="2">
        <f>IF((ROW()-12)&lt;=$L$5,IF($L$2=0,"E1","D"),IF((ROW()-12)=$L$5+1,"",IF((ROW()-12)=$L$5+2,"T",IF((ROW()-12)=$L$5+3,IF($L$3=0,"E2","H"),IF((ROW()-12)&lt;=$L$5+3+$L$3,"U","")))))</f>
        <v/>
      </c>
      <c r="M151" s="2">
        <f>IF(L151="D",MATCH(LARGE('Zgłoszenia'!$Q$5:$Q$504,(ROW()-12)),'Zgłoszenia'!$Q$5:$Q$504,0),IF(L151="U",MATCH(LARGE('Dane rozpisek'!$I$2:$I$2600,(ROW()-12)-$L$5-3),'Dane rozpisek'!$I$2:$I$2600,0),""))</f>
        <v/>
      </c>
    </row>
    <row r="152">
      <c r="A152" s="47">
        <f>IF($L152="D",INDEX('Zgłoszenia'!$D$5:$D$504,$M152),IF($L152="U",INDEX('Dane rozpisek'!$A$2:$A$2600,$M152),IF($L152="T","KTO JEŹDZIŁ",IF($L152="E1","Brak zgłoszonych usterek w tym okresie.",IF($L152="E2","Brak wpisów z tym wózkiem w rozpiskach dla tego okresu.",IF($L152="H","Data",""))))))</f>
        <v/>
      </c>
      <c r="B152" s="48">
        <f>IF($L152="D",INDEX('Zgłoszenia'!$B$5:$B$504,$M152)&amp;"",IF($L152="U",INDEX('Dane rozpisek'!$F$2:$F$2600,$M152)&amp;"",IF($L152="H","Wózek","")))</f>
        <v/>
      </c>
      <c r="C152" s="48">
        <f>IF($L152="D",INDEX('Zgłoszenia'!$E$5:$E$504,$M152)&amp;"",IF($L152="U",INDEX('Dane rozpisek'!$B$2:$B$2600,$M152)&amp;" · "&amp;INDEX('Dane rozpisek'!$J$2:$J$2600,$M152),IF($L152="H","Zmiana","")))</f>
        <v/>
      </c>
      <c r="D152" s="49">
        <f>IF($L152="D",INDEX('Zgłoszenia'!$H$5:$H$504,$M152)&amp;"",IF($L152="U",INDEX('Dane rozpisek'!$E$2:$E$2600,$M152)&amp;"",IF($L152="H","Operator","")))</f>
        <v/>
      </c>
      <c r="E152" s="49">
        <f>IF($L152="D",INDEX('Zgłoszenia'!$I$5:$I$504,$M152)&amp;"",IF($L152="U",INDEX('Dane rozpisek'!$C$2:$C$2600,$M152)&amp;"",IF($L152="H","Stanowisko","")))</f>
        <v/>
      </c>
      <c r="F152" s="48">
        <f>IF($L152="D",INDEX('Zgłoszenia'!$J$5:$J$504,$M152)&amp;"",IF($L152="U",INDEX('Dane rozpisek'!$G$2:$G$2600,$M152)&amp;"",IF($L152="H","Uwagi","")))</f>
        <v/>
      </c>
      <c r="G152" s="49">
        <f>IF($L152="D",INDEX('Zgłoszenia'!$F$5:$F$504,$M152)&amp;"",IF($L152="U",INDEX('Dane rozpisek'!$L$2:$L$2600,$M152)&amp;"",IF($L152="H","Usterki (dzień / następny)","")))</f>
        <v/>
      </c>
      <c r="H152" s="49">
        <f>IF($L152="D",INDEX('Zgłoszenia'!$P$5:$P$504,$M152)&amp;"",IF($L152="U","",""))</f>
        <v/>
      </c>
      <c r="I152" s="48">
        <f>IF($L152="D",IF(INDEX('Zgłoszenia'!$M$5:$M$504,$M152)="","Zgłoszona",INDEX('Zgłoszenia'!$M$5:$M$504,$M152)),IF($L152="U","",""))</f>
        <v/>
      </c>
      <c r="J152" s="49">
        <f>IF($L152="D",INDEX('Zgłoszenia'!$K$5:$K$504,$M152)&amp;"",IF($L152="U","",""))</f>
        <v/>
      </c>
      <c r="K152" s="2" t="n"/>
      <c r="L152" s="2">
        <f>IF((ROW()-12)&lt;=$L$5,IF($L$2=0,"E1","D"),IF((ROW()-12)=$L$5+1,"",IF((ROW()-12)=$L$5+2,"T",IF((ROW()-12)=$L$5+3,IF($L$3=0,"E2","H"),IF((ROW()-12)&lt;=$L$5+3+$L$3,"U","")))))</f>
        <v/>
      </c>
      <c r="M152" s="2">
        <f>IF(L152="D",MATCH(LARGE('Zgłoszenia'!$Q$5:$Q$504,(ROW()-12)),'Zgłoszenia'!$Q$5:$Q$504,0),IF(L152="U",MATCH(LARGE('Dane rozpisek'!$I$2:$I$2600,(ROW()-12)-$L$5-3),'Dane rozpisek'!$I$2:$I$2600,0),""))</f>
        <v/>
      </c>
    </row>
    <row r="153">
      <c r="A153" s="47">
        <f>IF($L153="D",INDEX('Zgłoszenia'!$D$5:$D$504,$M153),IF($L153="U",INDEX('Dane rozpisek'!$A$2:$A$2600,$M153),IF($L153="T","KTO JEŹDZIŁ",IF($L153="E1","Brak zgłoszonych usterek w tym okresie.",IF($L153="E2","Brak wpisów z tym wózkiem w rozpiskach dla tego okresu.",IF($L153="H","Data",""))))))</f>
        <v/>
      </c>
      <c r="B153" s="48">
        <f>IF($L153="D",INDEX('Zgłoszenia'!$B$5:$B$504,$M153)&amp;"",IF($L153="U",INDEX('Dane rozpisek'!$F$2:$F$2600,$M153)&amp;"",IF($L153="H","Wózek","")))</f>
        <v/>
      </c>
      <c r="C153" s="48">
        <f>IF($L153="D",INDEX('Zgłoszenia'!$E$5:$E$504,$M153)&amp;"",IF($L153="U",INDEX('Dane rozpisek'!$B$2:$B$2600,$M153)&amp;" · "&amp;INDEX('Dane rozpisek'!$J$2:$J$2600,$M153),IF($L153="H","Zmiana","")))</f>
        <v/>
      </c>
      <c r="D153" s="49">
        <f>IF($L153="D",INDEX('Zgłoszenia'!$H$5:$H$504,$M153)&amp;"",IF($L153="U",INDEX('Dane rozpisek'!$E$2:$E$2600,$M153)&amp;"",IF($L153="H","Operator","")))</f>
        <v/>
      </c>
      <c r="E153" s="49">
        <f>IF($L153="D",INDEX('Zgłoszenia'!$I$5:$I$504,$M153)&amp;"",IF($L153="U",INDEX('Dane rozpisek'!$C$2:$C$2600,$M153)&amp;"",IF($L153="H","Stanowisko","")))</f>
        <v/>
      </c>
      <c r="F153" s="48">
        <f>IF($L153="D",INDEX('Zgłoszenia'!$J$5:$J$504,$M153)&amp;"",IF($L153="U",INDEX('Dane rozpisek'!$G$2:$G$2600,$M153)&amp;"",IF($L153="H","Uwagi","")))</f>
        <v/>
      </c>
      <c r="G153" s="49">
        <f>IF($L153="D",INDEX('Zgłoszenia'!$F$5:$F$504,$M153)&amp;"",IF($L153="U",INDEX('Dane rozpisek'!$L$2:$L$2600,$M153)&amp;"",IF($L153="H","Usterki (dzień / następny)","")))</f>
        <v/>
      </c>
      <c r="H153" s="49">
        <f>IF($L153="D",INDEX('Zgłoszenia'!$P$5:$P$504,$M153)&amp;"",IF($L153="U","",""))</f>
        <v/>
      </c>
      <c r="I153" s="48">
        <f>IF($L153="D",IF(INDEX('Zgłoszenia'!$M$5:$M$504,$M153)="","Zgłoszona",INDEX('Zgłoszenia'!$M$5:$M$504,$M153)),IF($L153="U","",""))</f>
        <v/>
      </c>
      <c r="J153" s="49">
        <f>IF($L153="D",INDEX('Zgłoszenia'!$K$5:$K$504,$M153)&amp;"",IF($L153="U","",""))</f>
        <v/>
      </c>
      <c r="K153" s="2" t="n"/>
      <c r="L153" s="2">
        <f>IF((ROW()-12)&lt;=$L$5,IF($L$2=0,"E1","D"),IF((ROW()-12)=$L$5+1,"",IF((ROW()-12)=$L$5+2,"T",IF((ROW()-12)=$L$5+3,IF($L$3=0,"E2","H"),IF((ROW()-12)&lt;=$L$5+3+$L$3,"U","")))))</f>
        <v/>
      </c>
      <c r="M153" s="2">
        <f>IF(L153="D",MATCH(LARGE('Zgłoszenia'!$Q$5:$Q$504,(ROW()-12)),'Zgłoszenia'!$Q$5:$Q$504,0),IF(L153="U",MATCH(LARGE('Dane rozpisek'!$I$2:$I$2600,(ROW()-12)-$L$5-3),'Dane rozpisek'!$I$2:$I$2600,0),""))</f>
        <v/>
      </c>
    </row>
    <row r="154">
      <c r="A154" s="47">
        <f>IF($L154="D",INDEX('Zgłoszenia'!$D$5:$D$504,$M154),IF($L154="U",INDEX('Dane rozpisek'!$A$2:$A$2600,$M154),IF($L154="T","KTO JEŹDZIŁ",IF($L154="E1","Brak zgłoszonych usterek w tym okresie.",IF($L154="E2","Brak wpisów z tym wózkiem w rozpiskach dla tego okresu.",IF($L154="H","Data",""))))))</f>
        <v/>
      </c>
      <c r="B154" s="48">
        <f>IF($L154="D",INDEX('Zgłoszenia'!$B$5:$B$504,$M154)&amp;"",IF($L154="U",INDEX('Dane rozpisek'!$F$2:$F$2600,$M154)&amp;"",IF($L154="H","Wózek","")))</f>
        <v/>
      </c>
      <c r="C154" s="48">
        <f>IF($L154="D",INDEX('Zgłoszenia'!$E$5:$E$504,$M154)&amp;"",IF($L154="U",INDEX('Dane rozpisek'!$B$2:$B$2600,$M154)&amp;" · "&amp;INDEX('Dane rozpisek'!$J$2:$J$2600,$M154),IF($L154="H","Zmiana","")))</f>
        <v/>
      </c>
      <c r="D154" s="49">
        <f>IF($L154="D",INDEX('Zgłoszenia'!$H$5:$H$504,$M154)&amp;"",IF($L154="U",INDEX('Dane rozpisek'!$E$2:$E$2600,$M154)&amp;"",IF($L154="H","Operator","")))</f>
        <v/>
      </c>
      <c r="E154" s="49">
        <f>IF($L154="D",INDEX('Zgłoszenia'!$I$5:$I$504,$M154)&amp;"",IF($L154="U",INDEX('Dane rozpisek'!$C$2:$C$2600,$M154)&amp;"",IF($L154="H","Stanowisko","")))</f>
        <v/>
      </c>
      <c r="F154" s="48">
        <f>IF($L154="D",INDEX('Zgłoszenia'!$J$5:$J$504,$M154)&amp;"",IF($L154="U",INDEX('Dane rozpisek'!$G$2:$G$2600,$M154)&amp;"",IF($L154="H","Uwagi","")))</f>
        <v/>
      </c>
      <c r="G154" s="49">
        <f>IF($L154="D",INDEX('Zgłoszenia'!$F$5:$F$504,$M154)&amp;"",IF($L154="U",INDEX('Dane rozpisek'!$L$2:$L$2600,$M154)&amp;"",IF($L154="H","Usterki (dzień / następny)","")))</f>
        <v/>
      </c>
      <c r="H154" s="49">
        <f>IF($L154="D",INDEX('Zgłoszenia'!$P$5:$P$504,$M154)&amp;"",IF($L154="U","",""))</f>
        <v/>
      </c>
      <c r="I154" s="48">
        <f>IF($L154="D",IF(INDEX('Zgłoszenia'!$M$5:$M$504,$M154)="","Zgłoszona",INDEX('Zgłoszenia'!$M$5:$M$504,$M154)),IF($L154="U","",""))</f>
        <v/>
      </c>
      <c r="J154" s="49">
        <f>IF($L154="D",INDEX('Zgłoszenia'!$K$5:$K$504,$M154)&amp;"",IF($L154="U","",""))</f>
        <v/>
      </c>
      <c r="K154" s="2" t="n"/>
      <c r="L154" s="2">
        <f>IF((ROW()-12)&lt;=$L$5,IF($L$2=0,"E1","D"),IF((ROW()-12)=$L$5+1,"",IF((ROW()-12)=$L$5+2,"T",IF((ROW()-12)=$L$5+3,IF($L$3=0,"E2","H"),IF((ROW()-12)&lt;=$L$5+3+$L$3,"U","")))))</f>
        <v/>
      </c>
      <c r="M154" s="2">
        <f>IF(L154="D",MATCH(LARGE('Zgłoszenia'!$Q$5:$Q$504,(ROW()-12)),'Zgłoszenia'!$Q$5:$Q$504,0),IF(L154="U",MATCH(LARGE('Dane rozpisek'!$I$2:$I$2600,(ROW()-12)-$L$5-3),'Dane rozpisek'!$I$2:$I$2600,0),""))</f>
        <v/>
      </c>
    </row>
    <row r="155">
      <c r="A155" s="47">
        <f>IF($L155="D",INDEX('Zgłoszenia'!$D$5:$D$504,$M155),IF($L155="U",INDEX('Dane rozpisek'!$A$2:$A$2600,$M155),IF($L155="T","KTO JEŹDZIŁ",IF($L155="E1","Brak zgłoszonych usterek w tym okresie.",IF($L155="E2","Brak wpisów z tym wózkiem w rozpiskach dla tego okresu.",IF($L155="H","Data",""))))))</f>
        <v/>
      </c>
      <c r="B155" s="48">
        <f>IF($L155="D",INDEX('Zgłoszenia'!$B$5:$B$504,$M155)&amp;"",IF($L155="U",INDEX('Dane rozpisek'!$F$2:$F$2600,$M155)&amp;"",IF($L155="H","Wózek","")))</f>
        <v/>
      </c>
      <c r="C155" s="48">
        <f>IF($L155="D",INDEX('Zgłoszenia'!$E$5:$E$504,$M155)&amp;"",IF($L155="U",INDEX('Dane rozpisek'!$B$2:$B$2600,$M155)&amp;" · "&amp;INDEX('Dane rozpisek'!$J$2:$J$2600,$M155),IF($L155="H","Zmiana","")))</f>
        <v/>
      </c>
      <c r="D155" s="49">
        <f>IF($L155="D",INDEX('Zgłoszenia'!$H$5:$H$504,$M155)&amp;"",IF($L155="U",INDEX('Dane rozpisek'!$E$2:$E$2600,$M155)&amp;"",IF($L155="H","Operator","")))</f>
        <v/>
      </c>
      <c r="E155" s="49">
        <f>IF($L155="D",INDEX('Zgłoszenia'!$I$5:$I$504,$M155)&amp;"",IF($L155="U",INDEX('Dane rozpisek'!$C$2:$C$2600,$M155)&amp;"",IF($L155="H","Stanowisko","")))</f>
        <v/>
      </c>
      <c r="F155" s="48">
        <f>IF($L155="D",INDEX('Zgłoszenia'!$J$5:$J$504,$M155)&amp;"",IF($L155="U",INDEX('Dane rozpisek'!$G$2:$G$2600,$M155)&amp;"",IF($L155="H","Uwagi","")))</f>
        <v/>
      </c>
      <c r="G155" s="49">
        <f>IF($L155="D",INDEX('Zgłoszenia'!$F$5:$F$504,$M155)&amp;"",IF($L155="U",INDEX('Dane rozpisek'!$L$2:$L$2600,$M155)&amp;"",IF($L155="H","Usterki (dzień / następny)","")))</f>
        <v/>
      </c>
      <c r="H155" s="49">
        <f>IF($L155="D",INDEX('Zgłoszenia'!$P$5:$P$504,$M155)&amp;"",IF($L155="U","",""))</f>
        <v/>
      </c>
      <c r="I155" s="48">
        <f>IF($L155="D",IF(INDEX('Zgłoszenia'!$M$5:$M$504,$M155)="","Zgłoszona",INDEX('Zgłoszenia'!$M$5:$M$504,$M155)),IF($L155="U","",""))</f>
        <v/>
      </c>
      <c r="J155" s="49">
        <f>IF($L155="D",INDEX('Zgłoszenia'!$K$5:$K$504,$M155)&amp;"",IF($L155="U","",""))</f>
        <v/>
      </c>
      <c r="K155" s="2" t="n"/>
      <c r="L155" s="2">
        <f>IF((ROW()-12)&lt;=$L$5,IF($L$2=0,"E1","D"),IF((ROW()-12)=$L$5+1,"",IF((ROW()-12)=$L$5+2,"T",IF((ROW()-12)=$L$5+3,IF($L$3=0,"E2","H"),IF((ROW()-12)&lt;=$L$5+3+$L$3,"U","")))))</f>
        <v/>
      </c>
      <c r="M155" s="2">
        <f>IF(L155="D",MATCH(LARGE('Zgłoszenia'!$Q$5:$Q$504,(ROW()-12)),'Zgłoszenia'!$Q$5:$Q$504,0),IF(L155="U",MATCH(LARGE('Dane rozpisek'!$I$2:$I$2600,(ROW()-12)-$L$5-3),'Dane rozpisek'!$I$2:$I$2600,0),""))</f>
        <v/>
      </c>
    </row>
    <row r="156">
      <c r="A156" s="47">
        <f>IF($L156="D",INDEX('Zgłoszenia'!$D$5:$D$504,$M156),IF($L156="U",INDEX('Dane rozpisek'!$A$2:$A$2600,$M156),IF($L156="T","KTO JEŹDZIŁ",IF($L156="E1","Brak zgłoszonych usterek w tym okresie.",IF($L156="E2","Brak wpisów z tym wózkiem w rozpiskach dla tego okresu.",IF($L156="H","Data",""))))))</f>
        <v/>
      </c>
      <c r="B156" s="48">
        <f>IF($L156="D",INDEX('Zgłoszenia'!$B$5:$B$504,$M156)&amp;"",IF($L156="U",INDEX('Dane rozpisek'!$F$2:$F$2600,$M156)&amp;"",IF($L156="H","Wózek","")))</f>
        <v/>
      </c>
      <c r="C156" s="48">
        <f>IF($L156="D",INDEX('Zgłoszenia'!$E$5:$E$504,$M156)&amp;"",IF($L156="U",INDEX('Dane rozpisek'!$B$2:$B$2600,$M156)&amp;" · "&amp;INDEX('Dane rozpisek'!$J$2:$J$2600,$M156),IF($L156="H","Zmiana","")))</f>
        <v/>
      </c>
      <c r="D156" s="49">
        <f>IF($L156="D",INDEX('Zgłoszenia'!$H$5:$H$504,$M156)&amp;"",IF($L156="U",INDEX('Dane rozpisek'!$E$2:$E$2600,$M156)&amp;"",IF($L156="H","Operator","")))</f>
        <v/>
      </c>
      <c r="E156" s="49">
        <f>IF($L156="D",INDEX('Zgłoszenia'!$I$5:$I$504,$M156)&amp;"",IF($L156="U",INDEX('Dane rozpisek'!$C$2:$C$2600,$M156)&amp;"",IF($L156="H","Stanowisko","")))</f>
        <v/>
      </c>
      <c r="F156" s="48">
        <f>IF($L156="D",INDEX('Zgłoszenia'!$J$5:$J$504,$M156)&amp;"",IF($L156="U",INDEX('Dane rozpisek'!$G$2:$G$2600,$M156)&amp;"",IF($L156="H","Uwagi","")))</f>
        <v/>
      </c>
      <c r="G156" s="49">
        <f>IF($L156="D",INDEX('Zgłoszenia'!$F$5:$F$504,$M156)&amp;"",IF($L156="U",INDEX('Dane rozpisek'!$L$2:$L$2600,$M156)&amp;"",IF($L156="H","Usterki (dzień / następny)","")))</f>
        <v/>
      </c>
      <c r="H156" s="49">
        <f>IF($L156="D",INDEX('Zgłoszenia'!$P$5:$P$504,$M156)&amp;"",IF($L156="U","",""))</f>
        <v/>
      </c>
      <c r="I156" s="48">
        <f>IF($L156="D",IF(INDEX('Zgłoszenia'!$M$5:$M$504,$M156)="","Zgłoszona",INDEX('Zgłoszenia'!$M$5:$M$504,$M156)),IF($L156="U","",""))</f>
        <v/>
      </c>
      <c r="J156" s="49">
        <f>IF($L156="D",INDEX('Zgłoszenia'!$K$5:$K$504,$M156)&amp;"",IF($L156="U","",""))</f>
        <v/>
      </c>
      <c r="K156" s="2" t="n"/>
      <c r="L156" s="2">
        <f>IF((ROW()-12)&lt;=$L$5,IF($L$2=0,"E1","D"),IF((ROW()-12)=$L$5+1,"",IF((ROW()-12)=$L$5+2,"T",IF((ROW()-12)=$L$5+3,IF($L$3=0,"E2","H"),IF((ROW()-12)&lt;=$L$5+3+$L$3,"U","")))))</f>
        <v/>
      </c>
      <c r="M156" s="2">
        <f>IF(L156="D",MATCH(LARGE('Zgłoszenia'!$Q$5:$Q$504,(ROW()-12)),'Zgłoszenia'!$Q$5:$Q$504,0),IF(L156="U",MATCH(LARGE('Dane rozpisek'!$I$2:$I$2600,(ROW()-12)-$L$5-3),'Dane rozpisek'!$I$2:$I$2600,0),""))</f>
        <v/>
      </c>
    </row>
    <row r="157">
      <c r="A157" s="47">
        <f>IF($L157="D",INDEX('Zgłoszenia'!$D$5:$D$504,$M157),IF($L157="U",INDEX('Dane rozpisek'!$A$2:$A$2600,$M157),IF($L157="T","KTO JEŹDZIŁ",IF($L157="E1","Brak zgłoszonych usterek w tym okresie.",IF($L157="E2","Brak wpisów z tym wózkiem w rozpiskach dla tego okresu.",IF($L157="H","Data",""))))))</f>
        <v/>
      </c>
      <c r="B157" s="48">
        <f>IF($L157="D",INDEX('Zgłoszenia'!$B$5:$B$504,$M157)&amp;"",IF($L157="U",INDEX('Dane rozpisek'!$F$2:$F$2600,$M157)&amp;"",IF($L157="H","Wózek","")))</f>
        <v/>
      </c>
      <c r="C157" s="48">
        <f>IF($L157="D",INDEX('Zgłoszenia'!$E$5:$E$504,$M157)&amp;"",IF($L157="U",INDEX('Dane rozpisek'!$B$2:$B$2600,$M157)&amp;" · "&amp;INDEX('Dane rozpisek'!$J$2:$J$2600,$M157),IF($L157="H","Zmiana","")))</f>
        <v/>
      </c>
      <c r="D157" s="49">
        <f>IF($L157="D",INDEX('Zgłoszenia'!$H$5:$H$504,$M157)&amp;"",IF($L157="U",INDEX('Dane rozpisek'!$E$2:$E$2600,$M157)&amp;"",IF($L157="H","Operator","")))</f>
        <v/>
      </c>
      <c r="E157" s="49">
        <f>IF($L157="D",INDEX('Zgłoszenia'!$I$5:$I$504,$M157)&amp;"",IF($L157="U",INDEX('Dane rozpisek'!$C$2:$C$2600,$M157)&amp;"",IF($L157="H","Stanowisko","")))</f>
        <v/>
      </c>
      <c r="F157" s="48">
        <f>IF($L157="D",INDEX('Zgłoszenia'!$J$5:$J$504,$M157)&amp;"",IF($L157="U",INDEX('Dane rozpisek'!$G$2:$G$2600,$M157)&amp;"",IF($L157="H","Uwagi","")))</f>
        <v/>
      </c>
      <c r="G157" s="49">
        <f>IF($L157="D",INDEX('Zgłoszenia'!$F$5:$F$504,$M157)&amp;"",IF($L157="U",INDEX('Dane rozpisek'!$L$2:$L$2600,$M157)&amp;"",IF($L157="H","Usterki (dzień / następny)","")))</f>
        <v/>
      </c>
      <c r="H157" s="49">
        <f>IF($L157="D",INDEX('Zgłoszenia'!$P$5:$P$504,$M157)&amp;"",IF($L157="U","",""))</f>
        <v/>
      </c>
      <c r="I157" s="48">
        <f>IF($L157="D",IF(INDEX('Zgłoszenia'!$M$5:$M$504,$M157)="","Zgłoszona",INDEX('Zgłoszenia'!$M$5:$M$504,$M157)),IF($L157="U","",""))</f>
        <v/>
      </c>
      <c r="J157" s="49">
        <f>IF($L157="D",INDEX('Zgłoszenia'!$K$5:$K$504,$M157)&amp;"",IF($L157="U","",""))</f>
        <v/>
      </c>
      <c r="K157" s="2" t="n"/>
      <c r="L157" s="2">
        <f>IF((ROW()-12)&lt;=$L$5,IF($L$2=0,"E1","D"),IF((ROW()-12)=$L$5+1,"",IF((ROW()-12)=$L$5+2,"T",IF((ROW()-12)=$L$5+3,IF($L$3=0,"E2","H"),IF((ROW()-12)&lt;=$L$5+3+$L$3,"U","")))))</f>
        <v/>
      </c>
      <c r="M157" s="2">
        <f>IF(L157="D",MATCH(LARGE('Zgłoszenia'!$Q$5:$Q$504,(ROW()-12)),'Zgłoszenia'!$Q$5:$Q$504,0),IF(L157="U",MATCH(LARGE('Dane rozpisek'!$I$2:$I$2600,(ROW()-12)-$L$5-3),'Dane rozpisek'!$I$2:$I$2600,0),""))</f>
        <v/>
      </c>
    </row>
    <row r="158">
      <c r="A158" s="47">
        <f>IF($L158="D",INDEX('Zgłoszenia'!$D$5:$D$504,$M158),IF($L158="U",INDEX('Dane rozpisek'!$A$2:$A$2600,$M158),IF($L158="T","KTO JEŹDZIŁ",IF($L158="E1","Brak zgłoszonych usterek w tym okresie.",IF($L158="E2","Brak wpisów z tym wózkiem w rozpiskach dla tego okresu.",IF($L158="H","Data",""))))))</f>
        <v/>
      </c>
      <c r="B158" s="48">
        <f>IF($L158="D",INDEX('Zgłoszenia'!$B$5:$B$504,$M158)&amp;"",IF($L158="U",INDEX('Dane rozpisek'!$F$2:$F$2600,$M158)&amp;"",IF($L158="H","Wózek","")))</f>
        <v/>
      </c>
      <c r="C158" s="48">
        <f>IF($L158="D",INDEX('Zgłoszenia'!$E$5:$E$504,$M158)&amp;"",IF($L158="U",INDEX('Dane rozpisek'!$B$2:$B$2600,$M158)&amp;" · "&amp;INDEX('Dane rozpisek'!$J$2:$J$2600,$M158),IF($L158="H","Zmiana","")))</f>
        <v/>
      </c>
      <c r="D158" s="49">
        <f>IF($L158="D",INDEX('Zgłoszenia'!$H$5:$H$504,$M158)&amp;"",IF($L158="U",INDEX('Dane rozpisek'!$E$2:$E$2600,$M158)&amp;"",IF($L158="H","Operator","")))</f>
        <v/>
      </c>
      <c r="E158" s="49">
        <f>IF($L158="D",INDEX('Zgłoszenia'!$I$5:$I$504,$M158)&amp;"",IF($L158="U",INDEX('Dane rozpisek'!$C$2:$C$2600,$M158)&amp;"",IF($L158="H","Stanowisko","")))</f>
        <v/>
      </c>
      <c r="F158" s="48">
        <f>IF($L158="D",INDEX('Zgłoszenia'!$J$5:$J$504,$M158)&amp;"",IF($L158="U",INDEX('Dane rozpisek'!$G$2:$G$2600,$M158)&amp;"",IF($L158="H","Uwagi","")))</f>
        <v/>
      </c>
      <c r="G158" s="49">
        <f>IF($L158="D",INDEX('Zgłoszenia'!$F$5:$F$504,$M158)&amp;"",IF($L158="U",INDEX('Dane rozpisek'!$L$2:$L$2600,$M158)&amp;"",IF($L158="H","Usterki (dzień / następny)","")))</f>
        <v/>
      </c>
      <c r="H158" s="49">
        <f>IF($L158="D",INDEX('Zgłoszenia'!$P$5:$P$504,$M158)&amp;"",IF($L158="U","",""))</f>
        <v/>
      </c>
      <c r="I158" s="48">
        <f>IF($L158="D",IF(INDEX('Zgłoszenia'!$M$5:$M$504,$M158)="","Zgłoszona",INDEX('Zgłoszenia'!$M$5:$M$504,$M158)),IF($L158="U","",""))</f>
        <v/>
      </c>
      <c r="J158" s="49">
        <f>IF($L158="D",INDEX('Zgłoszenia'!$K$5:$K$504,$M158)&amp;"",IF($L158="U","",""))</f>
        <v/>
      </c>
      <c r="K158" s="2" t="n"/>
      <c r="L158" s="2">
        <f>IF((ROW()-12)&lt;=$L$5,IF($L$2=0,"E1","D"),IF((ROW()-12)=$L$5+1,"",IF((ROW()-12)=$L$5+2,"T",IF((ROW()-12)=$L$5+3,IF($L$3=0,"E2","H"),IF((ROW()-12)&lt;=$L$5+3+$L$3,"U","")))))</f>
        <v/>
      </c>
      <c r="M158" s="2">
        <f>IF(L158="D",MATCH(LARGE('Zgłoszenia'!$Q$5:$Q$504,(ROW()-12)),'Zgłoszenia'!$Q$5:$Q$504,0),IF(L158="U",MATCH(LARGE('Dane rozpisek'!$I$2:$I$2600,(ROW()-12)-$L$5-3),'Dane rozpisek'!$I$2:$I$2600,0),""))</f>
        <v/>
      </c>
    </row>
    <row r="159">
      <c r="A159" s="47">
        <f>IF($L159="D",INDEX('Zgłoszenia'!$D$5:$D$504,$M159),IF($L159="U",INDEX('Dane rozpisek'!$A$2:$A$2600,$M159),IF($L159="T","KTO JEŹDZIŁ",IF($L159="E1","Brak zgłoszonych usterek w tym okresie.",IF($L159="E2","Brak wpisów z tym wózkiem w rozpiskach dla tego okresu.",IF($L159="H","Data",""))))))</f>
        <v/>
      </c>
      <c r="B159" s="48">
        <f>IF($L159="D",INDEX('Zgłoszenia'!$B$5:$B$504,$M159)&amp;"",IF($L159="U",INDEX('Dane rozpisek'!$F$2:$F$2600,$M159)&amp;"",IF($L159="H","Wózek","")))</f>
        <v/>
      </c>
      <c r="C159" s="48">
        <f>IF($L159="D",INDEX('Zgłoszenia'!$E$5:$E$504,$M159)&amp;"",IF($L159="U",INDEX('Dane rozpisek'!$B$2:$B$2600,$M159)&amp;" · "&amp;INDEX('Dane rozpisek'!$J$2:$J$2600,$M159),IF($L159="H","Zmiana","")))</f>
        <v/>
      </c>
      <c r="D159" s="49">
        <f>IF($L159="D",INDEX('Zgłoszenia'!$H$5:$H$504,$M159)&amp;"",IF($L159="U",INDEX('Dane rozpisek'!$E$2:$E$2600,$M159)&amp;"",IF($L159="H","Operator","")))</f>
        <v/>
      </c>
      <c r="E159" s="49">
        <f>IF($L159="D",INDEX('Zgłoszenia'!$I$5:$I$504,$M159)&amp;"",IF($L159="U",INDEX('Dane rozpisek'!$C$2:$C$2600,$M159)&amp;"",IF($L159="H","Stanowisko","")))</f>
        <v/>
      </c>
      <c r="F159" s="48">
        <f>IF($L159="D",INDEX('Zgłoszenia'!$J$5:$J$504,$M159)&amp;"",IF($L159="U",INDEX('Dane rozpisek'!$G$2:$G$2600,$M159)&amp;"",IF($L159="H","Uwagi","")))</f>
        <v/>
      </c>
      <c r="G159" s="49">
        <f>IF($L159="D",INDEX('Zgłoszenia'!$F$5:$F$504,$M159)&amp;"",IF($L159="U",INDEX('Dane rozpisek'!$L$2:$L$2600,$M159)&amp;"",IF($L159="H","Usterki (dzień / następny)","")))</f>
        <v/>
      </c>
      <c r="H159" s="49">
        <f>IF($L159="D",INDEX('Zgłoszenia'!$P$5:$P$504,$M159)&amp;"",IF($L159="U","",""))</f>
        <v/>
      </c>
      <c r="I159" s="48">
        <f>IF($L159="D",IF(INDEX('Zgłoszenia'!$M$5:$M$504,$M159)="","Zgłoszona",INDEX('Zgłoszenia'!$M$5:$M$504,$M159)),IF($L159="U","",""))</f>
        <v/>
      </c>
      <c r="J159" s="49">
        <f>IF($L159="D",INDEX('Zgłoszenia'!$K$5:$K$504,$M159)&amp;"",IF($L159="U","",""))</f>
        <v/>
      </c>
      <c r="K159" s="2" t="n"/>
      <c r="L159" s="2">
        <f>IF((ROW()-12)&lt;=$L$5,IF($L$2=0,"E1","D"),IF((ROW()-12)=$L$5+1,"",IF((ROW()-12)=$L$5+2,"T",IF((ROW()-12)=$L$5+3,IF($L$3=0,"E2","H"),IF((ROW()-12)&lt;=$L$5+3+$L$3,"U","")))))</f>
        <v/>
      </c>
      <c r="M159" s="2">
        <f>IF(L159="D",MATCH(LARGE('Zgłoszenia'!$Q$5:$Q$504,(ROW()-12)),'Zgłoszenia'!$Q$5:$Q$504,0),IF(L159="U",MATCH(LARGE('Dane rozpisek'!$I$2:$I$2600,(ROW()-12)-$L$5-3),'Dane rozpisek'!$I$2:$I$2600,0),""))</f>
        <v/>
      </c>
    </row>
    <row r="160">
      <c r="A160" s="47">
        <f>IF($L160="D",INDEX('Zgłoszenia'!$D$5:$D$504,$M160),IF($L160="U",INDEX('Dane rozpisek'!$A$2:$A$2600,$M160),IF($L160="T","KTO JEŹDZIŁ",IF($L160="E1","Brak zgłoszonych usterek w tym okresie.",IF($L160="E2","Brak wpisów z tym wózkiem w rozpiskach dla tego okresu.",IF($L160="H","Data",""))))))</f>
        <v/>
      </c>
      <c r="B160" s="48">
        <f>IF($L160="D",INDEX('Zgłoszenia'!$B$5:$B$504,$M160)&amp;"",IF($L160="U",INDEX('Dane rozpisek'!$F$2:$F$2600,$M160)&amp;"",IF($L160="H","Wózek","")))</f>
        <v/>
      </c>
      <c r="C160" s="48">
        <f>IF($L160="D",INDEX('Zgłoszenia'!$E$5:$E$504,$M160)&amp;"",IF($L160="U",INDEX('Dane rozpisek'!$B$2:$B$2600,$M160)&amp;" · "&amp;INDEX('Dane rozpisek'!$J$2:$J$2600,$M160),IF($L160="H","Zmiana","")))</f>
        <v/>
      </c>
      <c r="D160" s="49">
        <f>IF($L160="D",INDEX('Zgłoszenia'!$H$5:$H$504,$M160)&amp;"",IF($L160="U",INDEX('Dane rozpisek'!$E$2:$E$2600,$M160)&amp;"",IF($L160="H","Operator","")))</f>
        <v/>
      </c>
      <c r="E160" s="49">
        <f>IF($L160="D",INDEX('Zgłoszenia'!$I$5:$I$504,$M160)&amp;"",IF($L160="U",INDEX('Dane rozpisek'!$C$2:$C$2600,$M160)&amp;"",IF($L160="H","Stanowisko","")))</f>
        <v/>
      </c>
      <c r="F160" s="48">
        <f>IF($L160="D",INDEX('Zgłoszenia'!$J$5:$J$504,$M160)&amp;"",IF($L160="U",INDEX('Dane rozpisek'!$G$2:$G$2600,$M160)&amp;"",IF($L160="H","Uwagi","")))</f>
        <v/>
      </c>
      <c r="G160" s="49">
        <f>IF($L160="D",INDEX('Zgłoszenia'!$F$5:$F$504,$M160)&amp;"",IF($L160="U",INDEX('Dane rozpisek'!$L$2:$L$2600,$M160)&amp;"",IF($L160="H","Usterki (dzień / następny)","")))</f>
        <v/>
      </c>
      <c r="H160" s="49">
        <f>IF($L160="D",INDEX('Zgłoszenia'!$P$5:$P$504,$M160)&amp;"",IF($L160="U","",""))</f>
        <v/>
      </c>
      <c r="I160" s="48">
        <f>IF($L160="D",IF(INDEX('Zgłoszenia'!$M$5:$M$504,$M160)="","Zgłoszona",INDEX('Zgłoszenia'!$M$5:$M$504,$M160)),IF($L160="U","",""))</f>
        <v/>
      </c>
      <c r="J160" s="49">
        <f>IF($L160="D",INDEX('Zgłoszenia'!$K$5:$K$504,$M160)&amp;"",IF($L160="U","",""))</f>
        <v/>
      </c>
      <c r="K160" s="2" t="n"/>
      <c r="L160" s="2">
        <f>IF((ROW()-12)&lt;=$L$5,IF($L$2=0,"E1","D"),IF((ROW()-12)=$L$5+1,"",IF((ROW()-12)=$L$5+2,"T",IF((ROW()-12)=$L$5+3,IF($L$3=0,"E2","H"),IF((ROW()-12)&lt;=$L$5+3+$L$3,"U","")))))</f>
        <v/>
      </c>
      <c r="M160" s="2">
        <f>IF(L160="D",MATCH(LARGE('Zgłoszenia'!$Q$5:$Q$504,(ROW()-12)),'Zgłoszenia'!$Q$5:$Q$504,0),IF(L160="U",MATCH(LARGE('Dane rozpisek'!$I$2:$I$2600,(ROW()-12)-$L$5-3),'Dane rozpisek'!$I$2:$I$2600,0),""))</f>
        <v/>
      </c>
    </row>
    <row r="161">
      <c r="A161" s="47">
        <f>IF($L161="D",INDEX('Zgłoszenia'!$D$5:$D$504,$M161),IF($L161="U",INDEX('Dane rozpisek'!$A$2:$A$2600,$M161),IF($L161="T","KTO JEŹDZIŁ",IF($L161="E1","Brak zgłoszonych usterek w tym okresie.",IF($L161="E2","Brak wpisów z tym wózkiem w rozpiskach dla tego okresu.",IF($L161="H","Data",""))))))</f>
        <v/>
      </c>
      <c r="B161" s="48">
        <f>IF($L161="D",INDEX('Zgłoszenia'!$B$5:$B$504,$M161)&amp;"",IF($L161="U",INDEX('Dane rozpisek'!$F$2:$F$2600,$M161)&amp;"",IF($L161="H","Wózek","")))</f>
        <v/>
      </c>
      <c r="C161" s="48">
        <f>IF($L161="D",INDEX('Zgłoszenia'!$E$5:$E$504,$M161)&amp;"",IF($L161="U",INDEX('Dane rozpisek'!$B$2:$B$2600,$M161)&amp;" · "&amp;INDEX('Dane rozpisek'!$J$2:$J$2600,$M161),IF($L161="H","Zmiana","")))</f>
        <v/>
      </c>
      <c r="D161" s="49">
        <f>IF($L161="D",INDEX('Zgłoszenia'!$H$5:$H$504,$M161)&amp;"",IF($L161="U",INDEX('Dane rozpisek'!$E$2:$E$2600,$M161)&amp;"",IF($L161="H","Operator","")))</f>
        <v/>
      </c>
      <c r="E161" s="49">
        <f>IF($L161="D",INDEX('Zgłoszenia'!$I$5:$I$504,$M161)&amp;"",IF($L161="U",INDEX('Dane rozpisek'!$C$2:$C$2600,$M161)&amp;"",IF($L161="H","Stanowisko","")))</f>
        <v/>
      </c>
      <c r="F161" s="48">
        <f>IF($L161="D",INDEX('Zgłoszenia'!$J$5:$J$504,$M161)&amp;"",IF($L161="U",INDEX('Dane rozpisek'!$G$2:$G$2600,$M161)&amp;"",IF($L161="H","Uwagi","")))</f>
        <v/>
      </c>
      <c r="G161" s="49">
        <f>IF($L161="D",INDEX('Zgłoszenia'!$F$5:$F$504,$M161)&amp;"",IF($L161="U",INDEX('Dane rozpisek'!$L$2:$L$2600,$M161)&amp;"",IF($L161="H","Usterki (dzień / następny)","")))</f>
        <v/>
      </c>
      <c r="H161" s="49">
        <f>IF($L161="D",INDEX('Zgłoszenia'!$P$5:$P$504,$M161)&amp;"",IF($L161="U","",""))</f>
        <v/>
      </c>
      <c r="I161" s="48">
        <f>IF($L161="D",IF(INDEX('Zgłoszenia'!$M$5:$M$504,$M161)="","Zgłoszona",INDEX('Zgłoszenia'!$M$5:$M$504,$M161)),IF($L161="U","",""))</f>
        <v/>
      </c>
      <c r="J161" s="49">
        <f>IF($L161="D",INDEX('Zgłoszenia'!$K$5:$K$504,$M161)&amp;"",IF($L161="U","",""))</f>
        <v/>
      </c>
      <c r="K161" s="2" t="n"/>
      <c r="L161" s="2">
        <f>IF((ROW()-12)&lt;=$L$5,IF($L$2=0,"E1","D"),IF((ROW()-12)=$L$5+1,"",IF((ROW()-12)=$L$5+2,"T",IF((ROW()-12)=$L$5+3,IF($L$3=0,"E2","H"),IF((ROW()-12)&lt;=$L$5+3+$L$3,"U","")))))</f>
        <v/>
      </c>
      <c r="M161" s="2">
        <f>IF(L161="D",MATCH(LARGE('Zgłoszenia'!$Q$5:$Q$504,(ROW()-12)),'Zgłoszenia'!$Q$5:$Q$504,0),IF(L161="U",MATCH(LARGE('Dane rozpisek'!$I$2:$I$2600,(ROW()-12)-$L$5-3),'Dane rozpisek'!$I$2:$I$2600,0),""))</f>
        <v/>
      </c>
    </row>
    <row r="162">
      <c r="A162" s="47">
        <f>IF($L162="D",INDEX('Zgłoszenia'!$D$5:$D$504,$M162),IF($L162="U",INDEX('Dane rozpisek'!$A$2:$A$2600,$M162),IF($L162="T","KTO JEŹDZIŁ",IF($L162="E1","Brak zgłoszonych usterek w tym okresie.",IF($L162="E2","Brak wpisów z tym wózkiem w rozpiskach dla tego okresu.",IF($L162="H","Data",""))))))</f>
        <v/>
      </c>
      <c r="B162" s="48">
        <f>IF($L162="D",INDEX('Zgłoszenia'!$B$5:$B$504,$M162)&amp;"",IF($L162="U",INDEX('Dane rozpisek'!$F$2:$F$2600,$M162)&amp;"",IF($L162="H","Wózek","")))</f>
        <v/>
      </c>
      <c r="C162" s="48">
        <f>IF($L162="D",INDEX('Zgłoszenia'!$E$5:$E$504,$M162)&amp;"",IF($L162="U",INDEX('Dane rozpisek'!$B$2:$B$2600,$M162)&amp;" · "&amp;INDEX('Dane rozpisek'!$J$2:$J$2600,$M162),IF($L162="H","Zmiana","")))</f>
        <v/>
      </c>
      <c r="D162" s="49">
        <f>IF($L162="D",INDEX('Zgłoszenia'!$H$5:$H$504,$M162)&amp;"",IF($L162="U",INDEX('Dane rozpisek'!$E$2:$E$2600,$M162)&amp;"",IF($L162="H","Operator","")))</f>
        <v/>
      </c>
      <c r="E162" s="49">
        <f>IF($L162="D",INDEX('Zgłoszenia'!$I$5:$I$504,$M162)&amp;"",IF($L162="U",INDEX('Dane rozpisek'!$C$2:$C$2600,$M162)&amp;"",IF($L162="H","Stanowisko","")))</f>
        <v/>
      </c>
      <c r="F162" s="48">
        <f>IF($L162="D",INDEX('Zgłoszenia'!$J$5:$J$504,$M162)&amp;"",IF($L162="U",INDEX('Dane rozpisek'!$G$2:$G$2600,$M162)&amp;"",IF($L162="H","Uwagi","")))</f>
        <v/>
      </c>
      <c r="G162" s="49">
        <f>IF($L162="D",INDEX('Zgłoszenia'!$F$5:$F$504,$M162)&amp;"",IF($L162="U",INDEX('Dane rozpisek'!$L$2:$L$2600,$M162)&amp;"",IF($L162="H","Usterki (dzień / następny)","")))</f>
        <v/>
      </c>
      <c r="H162" s="49">
        <f>IF($L162="D",INDEX('Zgłoszenia'!$P$5:$P$504,$M162)&amp;"",IF($L162="U","",""))</f>
        <v/>
      </c>
      <c r="I162" s="48">
        <f>IF($L162="D",IF(INDEX('Zgłoszenia'!$M$5:$M$504,$M162)="","Zgłoszona",INDEX('Zgłoszenia'!$M$5:$M$504,$M162)),IF($L162="U","",""))</f>
        <v/>
      </c>
      <c r="J162" s="49">
        <f>IF($L162="D",INDEX('Zgłoszenia'!$K$5:$K$504,$M162)&amp;"",IF($L162="U","",""))</f>
        <v/>
      </c>
      <c r="K162" s="2" t="n"/>
      <c r="L162" s="2">
        <f>IF((ROW()-12)&lt;=$L$5,IF($L$2=0,"E1","D"),IF((ROW()-12)=$L$5+1,"",IF((ROW()-12)=$L$5+2,"T",IF((ROW()-12)=$L$5+3,IF($L$3=0,"E2","H"),IF((ROW()-12)&lt;=$L$5+3+$L$3,"U","")))))</f>
        <v/>
      </c>
      <c r="M162" s="2">
        <f>IF(L162="D",MATCH(LARGE('Zgłoszenia'!$Q$5:$Q$504,(ROW()-12)),'Zgłoszenia'!$Q$5:$Q$504,0),IF(L162="U",MATCH(LARGE('Dane rozpisek'!$I$2:$I$2600,(ROW()-12)-$L$5-3),'Dane rozpisek'!$I$2:$I$2600,0),""))</f>
        <v/>
      </c>
    </row>
    <row r="163">
      <c r="A163" s="47">
        <f>IF($L163="D",INDEX('Zgłoszenia'!$D$5:$D$504,$M163),IF($L163="U",INDEX('Dane rozpisek'!$A$2:$A$2600,$M163),IF($L163="T","KTO JEŹDZIŁ",IF($L163="E1","Brak zgłoszonych usterek w tym okresie.",IF($L163="E2","Brak wpisów z tym wózkiem w rozpiskach dla tego okresu.",IF($L163="H","Data",""))))))</f>
        <v/>
      </c>
      <c r="B163" s="48">
        <f>IF($L163="D",INDEX('Zgłoszenia'!$B$5:$B$504,$M163)&amp;"",IF($L163="U",INDEX('Dane rozpisek'!$F$2:$F$2600,$M163)&amp;"",IF($L163="H","Wózek","")))</f>
        <v/>
      </c>
      <c r="C163" s="48">
        <f>IF($L163="D",INDEX('Zgłoszenia'!$E$5:$E$504,$M163)&amp;"",IF($L163="U",INDEX('Dane rozpisek'!$B$2:$B$2600,$M163)&amp;" · "&amp;INDEX('Dane rozpisek'!$J$2:$J$2600,$M163),IF($L163="H","Zmiana","")))</f>
        <v/>
      </c>
      <c r="D163" s="49">
        <f>IF($L163="D",INDEX('Zgłoszenia'!$H$5:$H$504,$M163)&amp;"",IF($L163="U",INDEX('Dane rozpisek'!$E$2:$E$2600,$M163)&amp;"",IF($L163="H","Operator","")))</f>
        <v/>
      </c>
      <c r="E163" s="49">
        <f>IF($L163="D",INDEX('Zgłoszenia'!$I$5:$I$504,$M163)&amp;"",IF($L163="U",INDEX('Dane rozpisek'!$C$2:$C$2600,$M163)&amp;"",IF($L163="H","Stanowisko","")))</f>
        <v/>
      </c>
      <c r="F163" s="48">
        <f>IF($L163="D",INDEX('Zgłoszenia'!$J$5:$J$504,$M163)&amp;"",IF($L163="U",INDEX('Dane rozpisek'!$G$2:$G$2600,$M163)&amp;"",IF($L163="H","Uwagi","")))</f>
        <v/>
      </c>
      <c r="G163" s="49">
        <f>IF($L163="D",INDEX('Zgłoszenia'!$F$5:$F$504,$M163)&amp;"",IF($L163="U",INDEX('Dane rozpisek'!$L$2:$L$2600,$M163)&amp;"",IF($L163="H","Usterki (dzień / następny)","")))</f>
        <v/>
      </c>
      <c r="H163" s="49">
        <f>IF($L163="D",INDEX('Zgłoszenia'!$P$5:$P$504,$M163)&amp;"",IF($L163="U","",""))</f>
        <v/>
      </c>
      <c r="I163" s="48">
        <f>IF($L163="D",IF(INDEX('Zgłoszenia'!$M$5:$M$504,$M163)="","Zgłoszona",INDEX('Zgłoszenia'!$M$5:$M$504,$M163)),IF($L163="U","",""))</f>
        <v/>
      </c>
      <c r="J163" s="49">
        <f>IF($L163="D",INDEX('Zgłoszenia'!$K$5:$K$504,$M163)&amp;"",IF($L163="U","",""))</f>
        <v/>
      </c>
      <c r="K163" s="2" t="n"/>
      <c r="L163" s="2">
        <f>IF((ROW()-12)&lt;=$L$5,IF($L$2=0,"E1","D"),IF((ROW()-12)=$L$5+1,"",IF((ROW()-12)=$L$5+2,"T",IF((ROW()-12)=$L$5+3,IF($L$3=0,"E2","H"),IF((ROW()-12)&lt;=$L$5+3+$L$3,"U","")))))</f>
        <v/>
      </c>
      <c r="M163" s="2">
        <f>IF(L163="D",MATCH(LARGE('Zgłoszenia'!$Q$5:$Q$504,(ROW()-12)),'Zgłoszenia'!$Q$5:$Q$504,0),IF(L163="U",MATCH(LARGE('Dane rozpisek'!$I$2:$I$2600,(ROW()-12)-$L$5-3),'Dane rozpisek'!$I$2:$I$2600,0),""))</f>
        <v/>
      </c>
    </row>
    <row r="164">
      <c r="A164" s="47">
        <f>IF($L164="D",INDEX('Zgłoszenia'!$D$5:$D$504,$M164),IF($L164="U",INDEX('Dane rozpisek'!$A$2:$A$2600,$M164),IF($L164="T","KTO JEŹDZIŁ",IF($L164="E1","Brak zgłoszonych usterek w tym okresie.",IF($L164="E2","Brak wpisów z tym wózkiem w rozpiskach dla tego okresu.",IF($L164="H","Data",""))))))</f>
        <v/>
      </c>
      <c r="B164" s="48">
        <f>IF($L164="D",INDEX('Zgłoszenia'!$B$5:$B$504,$M164)&amp;"",IF($L164="U",INDEX('Dane rozpisek'!$F$2:$F$2600,$M164)&amp;"",IF($L164="H","Wózek","")))</f>
        <v/>
      </c>
      <c r="C164" s="48">
        <f>IF($L164="D",INDEX('Zgłoszenia'!$E$5:$E$504,$M164)&amp;"",IF($L164="U",INDEX('Dane rozpisek'!$B$2:$B$2600,$M164)&amp;" · "&amp;INDEX('Dane rozpisek'!$J$2:$J$2600,$M164),IF($L164="H","Zmiana","")))</f>
        <v/>
      </c>
      <c r="D164" s="49">
        <f>IF($L164="D",INDEX('Zgłoszenia'!$H$5:$H$504,$M164)&amp;"",IF($L164="U",INDEX('Dane rozpisek'!$E$2:$E$2600,$M164)&amp;"",IF($L164="H","Operator","")))</f>
        <v/>
      </c>
      <c r="E164" s="49">
        <f>IF($L164="D",INDEX('Zgłoszenia'!$I$5:$I$504,$M164)&amp;"",IF($L164="U",INDEX('Dane rozpisek'!$C$2:$C$2600,$M164)&amp;"",IF($L164="H","Stanowisko","")))</f>
        <v/>
      </c>
      <c r="F164" s="48">
        <f>IF($L164="D",INDEX('Zgłoszenia'!$J$5:$J$504,$M164)&amp;"",IF($L164="U",INDEX('Dane rozpisek'!$G$2:$G$2600,$M164)&amp;"",IF($L164="H","Uwagi","")))</f>
        <v/>
      </c>
      <c r="G164" s="49">
        <f>IF($L164="D",INDEX('Zgłoszenia'!$F$5:$F$504,$M164)&amp;"",IF($L164="U",INDEX('Dane rozpisek'!$L$2:$L$2600,$M164)&amp;"",IF($L164="H","Usterki (dzień / następny)","")))</f>
        <v/>
      </c>
      <c r="H164" s="49">
        <f>IF($L164="D",INDEX('Zgłoszenia'!$P$5:$P$504,$M164)&amp;"",IF($L164="U","",""))</f>
        <v/>
      </c>
      <c r="I164" s="48">
        <f>IF($L164="D",IF(INDEX('Zgłoszenia'!$M$5:$M$504,$M164)="","Zgłoszona",INDEX('Zgłoszenia'!$M$5:$M$504,$M164)),IF($L164="U","",""))</f>
        <v/>
      </c>
      <c r="J164" s="49">
        <f>IF($L164="D",INDEX('Zgłoszenia'!$K$5:$K$504,$M164)&amp;"",IF($L164="U","",""))</f>
        <v/>
      </c>
      <c r="K164" s="2" t="n"/>
      <c r="L164" s="2">
        <f>IF((ROW()-12)&lt;=$L$5,IF($L$2=0,"E1","D"),IF((ROW()-12)=$L$5+1,"",IF((ROW()-12)=$L$5+2,"T",IF((ROW()-12)=$L$5+3,IF($L$3=0,"E2","H"),IF((ROW()-12)&lt;=$L$5+3+$L$3,"U","")))))</f>
        <v/>
      </c>
      <c r="M164" s="2">
        <f>IF(L164="D",MATCH(LARGE('Zgłoszenia'!$Q$5:$Q$504,(ROW()-12)),'Zgłoszenia'!$Q$5:$Q$504,0),IF(L164="U",MATCH(LARGE('Dane rozpisek'!$I$2:$I$2600,(ROW()-12)-$L$5-3),'Dane rozpisek'!$I$2:$I$2600,0),""))</f>
        <v/>
      </c>
    </row>
    <row r="165">
      <c r="A165" s="47">
        <f>IF($L165="D",INDEX('Zgłoszenia'!$D$5:$D$504,$M165),IF($L165="U",INDEX('Dane rozpisek'!$A$2:$A$2600,$M165),IF($L165="T","KTO JEŹDZIŁ",IF($L165="E1","Brak zgłoszonych usterek w tym okresie.",IF($L165="E2","Brak wpisów z tym wózkiem w rozpiskach dla tego okresu.",IF($L165="H","Data",""))))))</f>
        <v/>
      </c>
      <c r="B165" s="48">
        <f>IF($L165="D",INDEX('Zgłoszenia'!$B$5:$B$504,$M165)&amp;"",IF($L165="U",INDEX('Dane rozpisek'!$F$2:$F$2600,$M165)&amp;"",IF($L165="H","Wózek","")))</f>
        <v/>
      </c>
      <c r="C165" s="48">
        <f>IF($L165="D",INDEX('Zgłoszenia'!$E$5:$E$504,$M165)&amp;"",IF($L165="U",INDEX('Dane rozpisek'!$B$2:$B$2600,$M165)&amp;" · "&amp;INDEX('Dane rozpisek'!$J$2:$J$2600,$M165),IF($L165="H","Zmiana","")))</f>
        <v/>
      </c>
      <c r="D165" s="49">
        <f>IF($L165="D",INDEX('Zgłoszenia'!$H$5:$H$504,$M165)&amp;"",IF($L165="U",INDEX('Dane rozpisek'!$E$2:$E$2600,$M165)&amp;"",IF($L165="H","Operator","")))</f>
        <v/>
      </c>
      <c r="E165" s="49">
        <f>IF($L165="D",INDEX('Zgłoszenia'!$I$5:$I$504,$M165)&amp;"",IF($L165="U",INDEX('Dane rozpisek'!$C$2:$C$2600,$M165)&amp;"",IF($L165="H","Stanowisko","")))</f>
        <v/>
      </c>
      <c r="F165" s="48">
        <f>IF($L165="D",INDEX('Zgłoszenia'!$J$5:$J$504,$M165)&amp;"",IF($L165="U",INDEX('Dane rozpisek'!$G$2:$G$2600,$M165)&amp;"",IF($L165="H","Uwagi","")))</f>
        <v/>
      </c>
      <c r="G165" s="49">
        <f>IF($L165="D",INDEX('Zgłoszenia'!$F$5:$F$504,$M165)&amp;"",IF($L165="U",INDEX('Dane rozpisek'!$L$2:$L$2600,$M165)&amp;"",IF($L165="H","Usterki (dzień / następny)","")))</f>
        <v/>
      </c>
      <c r="H165" s="49">
        <f>IF($L165="D",INDEX('Zgłoszenia'!$P$5:$P$504,$M165)&amp;"",IF($L165="U","",""))</f>
        <v/>
      </c>
      <c r="I165" s="48">
        <f>IF($L165="D",IF(INDEX('Zgłoszenia'!$M$5:$M$504,$M165)="","Zgłoszona",INDEX('Zgłoszenia'!$M$5:$M$504,$M165)),IF($L165="U","",""))</f>
        <v/>
      </c>
      <c r="J165" s="49">
        <f>IF($L165="D",INDEX('Zgłoszenia'!$K$5:$K$504,$M165)&amp;"",IF($L165="U","",""))</f>
        <v/>
      </c>
      <c r="K165" s="2" t="n"/>
      <c r="L165" s="2">
        <f>IF((ROW()-12)&lt;=$L$5,IF($L$2=0,"E1","D"),IF((ROW()-12)=$L$5+1,"",IF((ROW()-12)=$L$5+2,"T",IF((ROW()-12)=$L$5+3,IF($L$3=0,"E2","H"),IF((ROW()-12)&lt;=$L$5+3+$L$3,"U","")))))</f>
        <v/>
      </c>
      <c r="M165" s="2">
        <f>IF(L165="D",MATCH(LARGE('Zgłoszenia'!$Q$5:$Q$504,(ROW()-12)),'Zgłoszenia'!$Q$5:$Q$504,0),IF(L165="U",MATCH(LARGE('Dane rozpisek'!$I$2:$I$2600,(ROW()-12)-$L$5-3),'Dane rozpisek'!$I$2:$I$2600,0),""))</f>
        <v/>
      </c>
    </row>
    <row r="166">
      <c r="A166" s="47">
        <f>IF($L166="D",INDEX('Zgłoszenia'!$D$5:$D$504,$M166),IF($L166="U",INDEX('Dane rozpisek'!$A$2:$A$2600,$M166),IF($L166="T","KTO JEŹDZIŁ",IF($L166="E1","Brak zgłoszonych usterek w tym okresie.",IF($L166="E2","Brak wpisów z tym wózkiem w rozpiskach dla tego okresu.",IF($L166="H","Data",""))))))</f>
        <v/>
      </c>
      <c r="B166" s="48">
        <f>IF($L166="D",INDEX('Zgłoszenia'!$B$5:$B$504,$M166)&amp;"",IF($L166="U",INDEX('Dane rozpisek'!$F$2:$F$2600,$M166)&amp;"",IF($L166="H","Wózek","")))</f>
        <v/>
      </c>
      <c r="C166" s="48">
        <f>IF($L166="D",INDEX('Zgłoszenia'!$E$5:$E$504,$M166)&amp;"",IF($L166="U",INDEX('Dane rozpisek'!$B$2:$B$2600,$M166)&amp;" · "&amp;INDEX('Dane rozpisek'!$J$2:$J$2600,$M166),IF($L166="H","Zmiana","")))</f>
        <v/>
      </c>
      <c r="D166" s="49">
        <f>IF($L166="D",INDEX('Zgłoszenia'!$H$5:$H$504,$M166)&amp;"",IF($L166="U",INDEX('Dane rozpisek'!$E$2:$E$2600,$M166)&amp;"",IF($L166="H","Operator","")))</f>
        <v/>
      </c>
      <c r="E166" s="49">
        <f>IF($L166="D",INDEX('Zgłoszenia'!$I$5:$I$504,$M166)&amp;"",IF($L166="U",INDEX('Dane rozpisek'!$C$2:$C$2600,$M166)&amp;"",IF($L166="H","Stanowisko","")))</f>
        <v/>
      </c>
      <c r="F166" s="48">
        <f>IF($L166="D",INDEX('Zgłoszenia'!$J$5:$J$504,$M166)&amp;"",IF($L166="U",INDEX('Dane rozpisek'!$G$2:$G$2600,$M166)&amp;"",IF($L166="H","Uwagi","")))</f>
        <v/>
      </c>
      <c r="G166" s="49">
        <f>IF($L166="D",INDEX('Zgłoszenia'!$F$5:$F$504,$M166)&amp;"",IF($L166="U",INDEX('Dane rozpisek'!$L$2:$L$2600,$M166)&amp;"",IF($L166="H","Usterki (dzień / następny)","")))</f>
        <v/>
      </c>
      <c r="H166" s="49">
        <f>IF($L166="D",INDEX('Zgłoszenia'!$P$5:$P$504,$M166)&amp;"",IF($L166="U","",""))</f>
        <v/>
      </c>
      <c r="I166" s="48">
        <f>IF($L166="D",IF(INDEX('Zgłoszenia'!$M$5:$M$504,$M166)="","Zgłoszona",INDEX('Zgłoszenia'!$M$5:$M$504,$M166)),IF($L166="U","",""))</f>
        <v/>
      </c>
      <c r="J166" s="49">
        <f>IF($L166="D",INDEX('Zgłoszenia'!$K$5:$K$504,$M166)&amp;"",IF($L166="U","",""))</f>
        <v/>
      </c>
      <c r="K166" s="2" t="n"/>
      <c r="L166" s="2">
        <f>IF((ROW()-12)&lt;=$L$5,IF($L$2=0,"E1","D"),IF((ROW()-12)=$L$5+1,"",IF((ROW()-12)=$L$5+2,"T",IF((ROW()-12)=$L$5+3,IF($L$3=0,"E2","H"),IF((ROW()-12)&lt;=$L$5+3+$L$3,"U","")))))</f>
        <v/>
      </c>
      <c r="M166" s="2">
        <f>IF(L166="D",MATCH(LARGE('Zgłoszenia'!$Q$5:$Q$504,(ROW()-12)),'Zgłoszenia'!$Q$5:$Q$504,0),IF(L166="U",MATCH(LARGE('Dane rozpisek'!$I$2:$I$2600,(ROW()-12)-$L$5-3),'Dane rozpisek'!$I$2:$I$2600,0),""))</f>
        <v/>
      </c>
    </row>
    <row r="167">
      <c r="A167" s="47">
        <f>IF($L167="D",INDEX('Zgłoszenia'!$D$5:$D$504,$M167),IF($L167="U",INDEX('Dane rozpisek'!$A$2:$A$2600,$M167),IF($L167="T","KTO JEŹDZIŁ",IF($L167="E1","Brak zgłoszonych usterek w tym okresie.",IF($L167="E2","Brak wpisów z tym wózkiem w rozpiskach dla tego okresu.",IF($L167="H","Data",""))))))</f>
        <v/>
      </c>
      <c r="B167" s="48">
        <f>IF($L167="D",INDEX('Zgłoszenia'!$B$5:$B$504,$M167)&amp;"",IF($L167="U",INDEX('Dane rozpisek'!$F$2:$F$2600,$M167)&amp;"",IF($L167="H","Wózek","")))</f>
        <v/>
      </c>
      <c r="C167" s="48">
        <f>IF($L167="D",INDEX('Zgłoszenia'!$E$5:$E$504,$M167)&amp;"",IF($L167="U",INDEX('Dane rozpisek'!$B$2:$B$2600,$M167)&amp;" · "&amp;INDEX('Dane rozpisek'!$J$2:$J$2600,$M167),IF($L167="H","Zmiana","")))</f>
        <v/>
      </c>
      <c r="D167" s="49">
        <f>IF($L167="D",INDEX('Zgłoszenia'!$H$5:$H$504,$M167)&amp;"",IF($L167="U",INDEX('Dane rozpisek'!$E$2:$E$2600,$M167)&amp;"",IF($L167="H","Operator","")))</f>
        <v/>
      </c>
      <c r="E167" s="49">
        <f>IF($L167="D",INDEX('Zgłoszenia'!$I$5:$I$504,$M167)&amp;"",IF($L167="U",INDEX('Dane rozpisek'!$C$2:$C$2600,$M167)&amp;"",IF($L167="H","Stanowisko","")))</f>
        <v/>
      </c>
      <c r="F167" s="48">
        <f>IF($L167="D",INDEX('Zgłoszenia'!$J$5:$J$504,$M167)&amp;"",IF($L167="U",INDEX('Dane rozpisek'!$G$2:$G$2600,$M167)&amp;"",IF($L167="H","Uwagi","")))</f>
        <v/>
      </c>
      <c r="G167" s="49">
        <f>IF($L167="D",INDEX('Zgłoszenia'!$F$5:$F$504,$M167)&amp;"",IF($L167="U",INDEX('Dane rozpisek'!$L$2:$L$2600,$M167)&amp;"",IF($L167="H","Usterki (dzień / następny)","")))</f>
        <v/>
      </c>
      <c r="H167" s="49">
        <f>IF($L167="D",INDEX('Zgłoszenia'!$P$5:$P$504,$M167)&amp;"",IF($L167="U","",""))</f>
        <v/>
      </c>
      <c r="I167" s="48">
        <f>IF($L167="D",IF(INDEX('Zgłoszenia'!$M$5:$M$504,$M167)="","Zgłoszona",INDEX('Zgłoszenia'!$M$5:$M$504,$M167)),IF($L167="U","",""))</f>
        <v/>
      </c>
      <c r="J167" s="49">
        <f>IF($L167="D",INDEX('Zgłoszenia'!$K$5:$K$504,$M167)&amp;"",IF($L167="U","",""))</f>
        <v/>
      </c>
      <c r="K167" s="2" t="n"/>
      <c r="L167" s="2">
        <f>IF((ROW()-12)&lt;=$L$5,IF($L$2=0,"E1","D"),IF((ROW()-12)=$L$5+1,"",IF((ROW()-12)=$L$5+2,"T",IF((ROW()-12)=$L$5+3,IF($L$3=0,"E2","H"),IF((ROW()-12)&lt;=$L$5+3+$L$3,"U","")))))</f>
        <v/>
      </c>
      <c r="M167" s="2">
        <f>IF(L167="D",MATCH(LARGE('Zgłoszenia'!$Q$5:$Q$504,(ROW()-12)),'Zgłoszenia'!$Q$5:$Q$504,0),IF(L167="U",MATCH(LARGE('Dane rozpisek'!$I$2:$I$2600,(ROW()-12)-$L$5-3),'Dane rozpisek'!$I$2:$I$2600,0),""))</f>
        <v/>
      </c>
    </row>
    <row r="168">
      <c r="A168" s="47">
        <f>IF($L168="D",INDEX('Zgłoszenia'!$D$5:$D$504,$M168),IF($L168="U",INDEX('Dane rozpisek'!$A$2:$A$2600,$M168),IF($L168="T","KTO JEŹDZIŁ",IF($L168="E1","Brak zgłoszonych usterek w tym okresie.",IF($L168="E2","Brak wpisów z tym wózkiem w rozpiskach dla tego okresu.",IF($L168="H","Data",""))))))</f>
        <v/>
      </c>
      <c r="B168" s="48">
        <f>IF($L168="D",INDEX('Zgłoszenia'!$B$5:$B$504,$M168)&amp;"",IF($L168="U",INDEX('Dane rozpisek'!$F$2:$F$2600,$M168)&amp;"",IF($L168="H","Wózek","")))</f>
        <v/>
      </c>
      <c r="C168" s="48">
        <f>IF($L168="D",INDEX('Zgłoszenia'!$E$5:$E$504,$M168)&amp;"",IF($L168="U",INDEX('Dane rozpisek'!$B$2:$B$2600,$M168)&amp;" · "&amp;INDEX('Dane rozpisek'!$J$2:$J$2600,$M168),IF($L168="H","Zmiana","")))</f>
        <v/>
      </c>
      <c r="D168" s="49">
        <f>IF($L168="D",INDEX('Zgłoszenia'!$H$5:$H$504,$M168)&amp;"",IF($L168="U",INDEX('Dane rozpisek'!$E$2:$E$2600,$M168)&amp;"",IF($L168="H","Operator","")))</f>
        <v/>
      </c>
      <c r="E168" s="49">
        <f>IF($L168="D",INDEX('Zgłoszenia'!$I$5:$I$504,$M168)&amp;"",IF($L168="U",INDEX('Dane rozpisek'!$C$2:$C$2600,$M168)&amp;"",IF($L168="H","Stanowisko","")))</f>
        <v/>
      </c>
      <c r="F168" s="48">
        <f>IF($L168="D",INDEX('Zgłoszenia'!$J$5:$J$504,$M168)&amp;"",IF($L168="U",INDEX('Dane rozpisek'!$G$2:$G$2600,$M168)&amp;"",IF($L168="H","Uwagi","")))</f>
        <v/>
      </c>
      <c r="G168" s="49">
        <f>IF($L168="D",INDEX('Zgłoszenia'!$F$5:$F$504,$M168)&amp;"",IF($L168="U",INDEX('Dane rozpisek'!$L$2:$L$2600,$M168)&amp;"",IF($L168="H","Usterki (dzień / następny)","")))</f>
        <v/>
      </c>
      <c r="H168" s="49">
        <f>IF($L168="D",INDEX('Zgłoszenia'!$P$5:$P$504,$M168)&amp;"",IF($L168="U","",""))</f>
        <v/>
      </c>
      <c r="I168" s="48">
        <f>IF($L168="D",IF(INDEX('Zgłoszenia'!$M$5:$M$504,$M168)="","Zgłoszona",INDEX('Zgłoszenia'!$M$5:$M$504,$M168)),IF($L168="U","",""))</f>
        <v/>
      </c>
      <c r="J168" s="49">
        <f>IF($L168="D",INDEX('Zgłoszenia'!$K$5:$K$504,$M168)&amp;"",IF($L168="U","",""))</f>
        <v/>
      </c>
      <c r="K168" s="2" t="n"/>
      <c r="L168" s="2">
        <f>IF((ROW()-12)&lt;=$L$5,IF($L$2=0,"E1","D"),IF((ROW()-12)=$L$5+1,"",IF((ROW()-12)=$L$5+2,"T",IF((ROW()-12)=$L$5+3,IF($L$3=0,"E2","H"),IF((ROW()-12)&lt;=$L$5+3+$L$3,"U","")))))</f>
        <v/>
      </c>
      <c r="M168" s="2">
        <f>IF(L168="D",MATCH(LARGE('Zgłoszenia'!$Q$5:$Q$504,(ROW()-12)),'Zgłoszenia'!$Q$5:$Q$504,0),IF(L168="U",MATCH(LARGE('Dane rozpisek'!$I$2:$I$2600,(ROW()-12)-$L$5-3),'Dane rozpisek'!$I$2:$I$2600,0),""))</f>
        <v/>
      </c>
    </row>
    <row r="169">
      <c r="A169" s="47">
        <f>IF($L169="D",INDEX('Zgłoszenia'!$D$5:$D$504,$M169),IF($L169="U",INDEX('Dane rozpisek'!$A$2:$A$2600,$M169),IF($L169="T","KTO JEŹDZIŁ",IF($L169="E1","Brak zgłoszonych usterek w tym okresie.",IF($L169="E2","Brak wpisów z tym wózkiem w rozpiskach dla tego okresu.",IF($L169="H","Data",""))))))</f>
        <v/>
      </c>
      <c r="B169" s="48">
        <f>IF($L169="D",INDEX('Zgłoszenia'!$B$5:$B$504,$M169)&amp;"",IF($L169="U",INDEX('Dane rozpisek'!$F$2:$F$2600,$M169)&amp;"",IF($L169="H","Wózek","")))</f>
        <v/>
      </c>
      <c r="C169" s="48">
        <f>IF($L169="D",INDEX('Zgłoszenia'!$E$5:$E$504,$M169)&amp;"",IF($L169="U",INDEX('Dane rozpisek'!$B$2:$B$2600,$M169)&amp;" · "&amp;INDEX('Dane rozpisek'!$J$2:$J$2600,$M169),IF($L169="H","Zmiana","")))</f>
        <v/>
      </c>
      <c r="D169" s="49">
        <f>IF($L169="D",INDEX('Zgłoszenia'!$H$5:$H$504,$M169)&amp;"",IF($L169="U",INDEX('Dane rozpisek'!$E$2:$E$2600,$M169)&amp;"",IF($L169="H","Operator","")))</f>
        <v/>
      </c>
      <c r="E169" s="49">
        <f>IF($L169="D",INDEX('Zgłoszenia'!$I$5:$I$504,$M169)&amp;"",IF($L169="U",INDEX('Dane rozpisek'!$C$2:$C$2600,$M169)&amp;"",IF($L169="H","Stanowisko","")))</f>
        <v/>
      </c>
      <c r="F169" s="48">
        <f>IF($L169="D",INDEX('Zgłoszenia'!$J$5:$J$504,$M169)&amp;"",IF($L169="U",INDEX('Dane rozpisek'!$G$2:$G$2600,$M169)&amp;"",IF($L169="H","Uwagi","")))</f>
        <v/>
      </c>
      <c r="G169" s="49">
        <f>IF($L169="D",INDEX('Zgłoszenia'!$F$5:$F$504,$M169)&amp;"",IF($L169="U",INDEX('Dane rozpisek'!$L$2:$L$2600,$M169)&amp;"",IF($L169="H","Usterki (dzień / następny)","")))</f>
        <v/>
      </c>
      <c r="H169" s="49">
        <f>IF($L169="D",INDEX('Zgłoszenia'!$P$5:$P$504,$M169)&amp;"",IF($L169="U","",""))</f>
        <v/>
      </c>
      <c r="I169" s="48">
        <f>IF($L169="D",IF(INDEX('Zgłoszenia'!$M$5:$M$504,$M169)="","Zgłoszona",INDEX('Zgłoszenia'!$M$5:$M$504,$M169)),IF($L169="U","",""))</f>
        <v/>
      </c>
      <c r="J169" s="49">
        <f>IF($L169="D",INDEX('Zgłoszenia'!$K$5:$K$504,$M169)&amp;"",IF($L169="U","",""))</f>
        <v/>
      </c>
      <c r="K169" s="2" t="n"/>
      <c r="L169" s="2">
        <f>IF((ROW()-12)&lt;=$L$5,IF($L$2=0,"E1","D"),IF((ROW()-12)=$L$5+1,"",IF((ROW()-12)=$L$5+2,"T",IF((ROW()-12)=$L$5+3,IF($L$3=0,"E2","H"),IF((ROW()-12)&lt;=$L$5+3+$L$3,"U","")))))</f>
        <v/>
      </c>
      <c r="M169" s="2">
        <f>IF(L169="D",MATCH(LARGE('Zgłoszenia'!$Q$5:$Q$504,(ROW()-12)),'Zgłoszenia'!$Q$5:$Q$504,0),IF(L169="U",MATCH(LARGE('Dane rozpisek'!$I$2:$I$2600,(ROW()-12)-$L$5-3),'Dane rozpisek'!$I$2:$I$2600,0),""))</f>
        <v/>
      </c>
    </row>
    <row r="170">
      <c r="A170" s="47">
        <f>IF($L170="D",INDEX('Zgłoszenia'!$D$5:$D$504,$M170),IF($L170="U",INDEX('Dane rozpisek'!$A$2:$A$2600,$M170),IF($L170="T","KTO JEŹDZIŁ",IF($L170="E1","Brak zgłoszonych usterek w tym okresie.",IF($L170="E2","Brak wpisów z tym wózkiem w rozpiskach dla tego okresu.",IF($L170="H","Data",""))))))</f>
        <v/>
      </c>
      <c r="B170" s="48">
        <f>IF($L170="D",INDEX('Zgłoszenia'!$B$5:$B$504,$M170)&amp;"",IF($L170="U",INDEX('Dane rozpisek'!$F$2:$F$2600,$M170)&amp;"",IF($L170="H","Wózek","")))</f>
        <v/>
      </c>
      <c r="C170" s="48">
        <f>IF($L170="D",INDEX('Zgłoszenia'!$E$5:$E$504,$M170)&amp;"",IF($L170="U",INDEX('Dane rozpisek'!$B$2:$B$2600,$M170)&amp;" · "&amp;INDEX('Dane rozpisek'!$J$2:$J$2600,$M170),IF($L170="H","Zmiana","")))</f>
        <v/>
      </c>
      <c r="D170" s="49">
        <f>IF($L170="D",INDEX('Zgłoszenia'!$H$5:$H$504,$M170)&amp;"",IF($L170="U",INDEX('Dane rozpisek'!$E$2:$E$2600,$M170)&amp;"",IF($L170="H","Operator","")))</f>
        <v/>
      </c>
      <c r="E170" s="49">
        <f>IF($L170="D",INDEX('Zgłoszenia'!$I$5:$I$504,$M170)&amp;"",IF($L170="U",INDEX('Dane rozpisek'!$C$2:$C$2600,$M170)&amp;"",IF($L170="H","Stanowisko","")))</f>
        <v/>
      </c>
      <c r="F170" s="48">
        <f>IF($L170="D",INDEX('Zgłoszenia'!$J$5:$J$504,$M170)&amp;"",IF($L170="U",INDEX('Dane rozpisek'!$G$2:$G$2600,$M170)&amp;"",IF($L170="H","Uwagi","")))</f>
        <v/>
      </c>
      <c r="G170" s="49">
        <f>IF($L170="D",INDEX('Zgłoszenia'!$F$5:$F$504,$M170)&amp;"",IF($L170="U",INDEX('Dane rozpisek'!$L$2:$L$2600,$M170)&amp;"",IF($L170="H","Usterki (dzień / następny)","")))</f>
        <v/>
      </c>
      <c r="H170" s="49">
        <f>IF($L170="D",INDEX('Zgłoszenia'!$P$5:$P$504,$M170)&amp;"",IF($L170="U","",""))</f>
        <v/>
      </c>
      <c r="I170" s="48">
        <f>IF($L170="D",IF(INDEX('Zgłoszenia'!$M$5:$M$504,$M170)="","Zgłoszona",INDEX('Zgłoszenia'!$M$5:$M$504,$M170)),IF($L170="U","",""))</f>
        <v/>
      </c>
      <c r="J170" s="49">
        <f>IF($L170="D",INDEX('Zgłoszenia'!$K$5:$K$504,$M170)&amp;"",IF($L170="U","",""))</f>
        <v/>
      </c>
      <c r="K170" s="2" t="n"/>
      <c r="L170" s="2">
        <f>IF((ROW()-12)&lt;=$L$5,IF($L$2=0,"E1","D"),IF((ROW()-12)=$L$5+1,"",IF((ROW()-12)=$L$5+2,"T",IF((ROW()-12)=$L$5+3,IF($L$3=0,"E2","H"),IF((ROW()-12)&lt;=$L$5+3+$L$3,"U","")))))</f>
        <v/>
      </c>
      <c r="M170" s="2">
        <f>IF(L170="D",MATCH(LARGE('Zgłoszenia'!$Q$5:$Q$504,(ROW()-12)),'Zgłoszenia'!$Q$5:$Q$504,0),IF(L170="U",MATCH(LARGE('Dane rozpisek'!$I$2:$I$2600,(ROW()-12)-$L$5-3),'Dane rozpisek'!$I$2:$I$2600,0),""))</f>
        <v/>
      </c>
    </row>
    <row r="171">
      <c r="A171" s="47">
        <f>IF($L171="D",INDEX('Zgłoszenia'!$D$5:$D$504,$M171),IF($L171="U",INDEX('Dane rozpisek'!$A$2:$A$2600,$M171),IF($L171="T","KTO JEŹDZIŁ",IF($L171="E1","Brak zgłoszonych usterek w tym okresie.",IF($L171="E2","Brak wpisów z tym wózkiem w rozpiskach dla tego okresu.",IF($L171="H","Data",""))))))</f>
        <v/>
      </c>
      <c r="B171" s="48">
        <f>IF($L171="D",INDEX('Zgłoszenia'!$B$5:$B$504,$M171)&amp;"",IF($L171="U",INDEX('Dane rozpisek'!$F$2:$F$2600,$M171)&amp;"",IF($L171="H","Wózek","")))</f>
        <v/>
      </c>
      <c r="C171" s="48">
        <f>IF($L171="D",INDEX('Zgłoszenia'!$E$5:$E$504,$M171)&amp;"",IF($L171="U",INDEX('Dane rozpisek'!$B$2:$B$2600,$M171)&amp;" · "&amp;INDEX('Dane rozpisek'!$J$2:$J$2600,$M171),IF($L171="H","Zmiana","")))</f>
        <v/>
      </c>
      <c r="D171" s="49">
        <f>IF($L171="D",INDEX('Zgłoszenia'!$H$5:$H$504,$M171)&amp;"",IF($L171="U",INDEX('Dane rozpisek'!$E$2:$E$2600,$M171)&amp;"",IF($L171="H","Operator","")))</f>
        <v/>
      </c>
      <c r="E171" s="49">
        <f>IF($L171="D",INDEX('Zgłoszenia'!$I$5:$I$504,$M171)&amp;"",IF($L171="U",INDEX('Dane rozpisek'!$C$2:$C$2600,$M171)&amp;"",IF($L171="H","Stanowisko","")))</f>
        <v/>
      </c>
      <c r="F171" s="48">
        <f>IF($L171="D",INDEX('Zgłoszenia'!$J$5:$J$504,$M171)&amp;"",IF($L171="U",INDEX('Dane rozpisek'!$G$2:$G$2600,$M171)&amp;"",IF($L171="H","Uwagi","")))</f>
        <v/>
      </c>
      <c r="G171" s="49">
        <f>IF($L171="D",INDEX('Zgłoszenia'!$F$5:$F$504,$M171)&amp;"",IF($L171="U",INDEX('Dane rozpisek'!$L$2:$L$2600,$M171)&amp;"",IF($L171="H","Usterki (dzień / następny)","")))</f>
        <v/>
      </c>
      <c r="H171" s="49">
        <f>IF($L171="D",INDEX('Zgłoszenia'!$P$5:$P$504,$M171)&amp;"",IF($L171="U","",""))</f>
        <v/>
      </c>
      <c r="I171" s="48">
        <f>IF($L171="D",IF(INDEX('Zgłoszenia'!$M$5:$M$504,$M171)="","Zgłoszona",INDEX('Zgłoszenia'!$M$5:$M$504,$M171)),IF($L171="U","",""))</f>
        <v/>
      </c>
      <c r="J171" s="49">
        <f>IF($L171="D",INDEX('Zgłoszenia'!$K$5:$K$504,$M171)&amp;"",IF($L171="U","",""))</f>
        <v/>
      </c>
      <c r="K171" s="2" t="n"/>
      <c r="L171" s="2">
        <f>IF((ROW()-12)&lt;=$L$5,IF($L$2=0,"E1","D"),IF((ROW()-12)=$L$5+1,"",IF((ROW()-12)=$L$5+2,"T",IF((ROW()-12)=$L$5+3,IF($L$3=0,"E2","H"),IF((ROW()-12)&lt;=$L$5+3+$L$3,"U","")))))</f>
        <v/>
      </c>
      <c r="M171" s="2">
        <f>IF(L171="D",MATCH(LARGE('Zgłoszenia'!$Q$5:$Q$504,(ROW()-12)),'Zgłoszenia'!$Q$5:$Q$504,0),IF(L171="U",MATCH(LARGE('Dane rozpisek'!$I$2:$I$2600,(ROW()-12)-$L$5-3),'Dane rozpisek'!$I$2:$I$2600,0),""))</f>
        <v/>
      </c>
    </row>
    <row r="172">
      <c r="A172" s="47">
        <f>IF($L172="D",INDEX('Zgłoszenia'!$D$5:$D$504,$M172),IF($L172="U",INDEX('Dane rozpisek'!$A$2:$A$2600,$M172),IF($L172="T","KTO JEŹDZIŁ",IF($L172="E1","Brak zgłoszonych usterek w tym okresie.",IF($L172="E2","Brak wpisów z tym wózkiem w rozpiskach dla tego okresu.",IF($L172="H","Data",""))))))</f>
        <v/>
      </c>
      <c r="B172" s="48">
        <f>IF($L172="D",INDEX('Zgłoszenia'!$B$5:$B$504,$M172)&amp;"",IF($L172="U",INDEX('Dane rozpisek'!$F$2:$F$2600,$M172)&amp;"",IF($L172="H","Wózek","")))</f>
        <v/>
      </c>
      <c r="C172" s="48">
        <f>IF($L172="D",INDEX('Zgłoszenia'!$E$5:$E$504,$M172)&amp;"",IF($L172="U",INDEX('Dane rozpisek'!$B$2:$B$2600,$M172)&amp;" · "&amp;INDEX('Dane rozpisek'!$J$2:$J$2600,$M172),IF($L172="H","Zmiana","")))</f>
        <v/>
      </c>
      <c r="D172" s="49">
        <f>IF($L172="D",INDEX('Zgłoszenia'!$H$5:$H$504,$M172)&amp;"",IF($L172="U",INDEX('Dane rozpisek'!$E$2:$E$2600,$M172)&amp;"",IF($L172="H","Operator","")))</f>
        <v/>
      </c>
      <c r="E172" s="49">
        <f>IF($L172="D",INDEX('Zgłoszenia'!$I$5:$I$504,$M172)&amp;"",IF($L172="U",INDEX('Dane rozpisek'!$C$2:$C$2600,$M172)&amp;"",IF($L172="H","Stanowisko","")))</f>
        <v/>
      </c>
      <c r="F172" s="48">
        <f>IF($L172="D",INDEX('Zgłoszenia'!$J$5:$J$504,$M172)&amp;"",IF($L172="U",INDEX('Dane rozpisek'!$G$2:$G$2600,$M172)&amp;"",IF($L172="H","Uwagi","")))</f>
        <v/>
      </c>
      <c r="G172" s="49">
        <f>IF($L172="D",INDEX('Zgłoszenia'!$F$5:$F$504,$M172)&amp;"",IF($L172="U",INDEX('Dane rozpisek'!$L$2:$L$2600,$M172)&amp;"",IF($L172="H","Usterki (dzień / następny)","")))</f>
        <v/>
      </c>
      <c r="H172" s="49">
        <f>IF($L172="D",INDEX('Zgłoszenia'!$P$5:$P$504,$M172)&amp;"",IF($L172="U","",""))</f>
        <v/>
      </c>
      <c r="I172" s="48">
        <f>IF($L172="D",IF(INDEX('Zgłoszenia'!$M$5:$M$504,$M172)="","Zgłoszona",INDEX('Zgłoszenia'!$M$5:$M$504,$M172)),IF($L172="U","",""))</f>
        <v/>
      </c>
      <c r="J172" s="49">
        <f>IF($L172="D",INDEX('Zgłoszenia'!$K$5:$K$504,$M172)&amp;"",IF($L172="U","",""))</f>
        <v/>
      </c>
      <c r="K172" s="2" t="n"/>
      <c r="L172" s="2">
        <f>IF((ROW()-12)&lt;=$L$5,IF($L$2=0,"E1","D"),IF((ROW()-12)=$L$5+1,"",IF((ROW()-12)=$L$5+2,"T",IF((ROW()-12)=$L$5+3,IF($L$3=0,"E2","H"),IF((ROW()-12)&lt;=$L$5+3+$L$3,"U","")))))</f>
        <v/>
      </c>
      <c r="M172" s="2">
        <f>IF(L172="D",MATCH(LARGE('Zgłoszenia'!$Q$5:$Q$504,(ROW()-12)),'Zgłoszenia'!$Q$5:$Q$504,0),IF(L172="U",MATCH(LARGE('Dane rozpisek'!$I$2:$I$2600,(ROW()-12)-$L$5-3),'Dane rozpisek'!$I$2:$I$2600,0),""))</f>
        <v/>
      </c>
    </row>
    <row r="173">
      <c r="A173" s="47">
        <f>IF($L173="D",INDEX('Zgłoszenia'!$D$5:$D$504,$M173),IF($L173="U",INDEX('Dane rozpisek'!$A$2:$A$2600,$M173),IF($L173="T","KTO JEŹDZIŁ",IF($L173="E1","Brak zgłoszonych usterek w tym okresie.",IF($L173="E2","Brak wpisów z tym wózkiem w rozpiskach dla tego okresu.",IF($L173="H","Data",""))))))</f>
        <v/>
      </c>
      <c r="B173" s="48">
        <f>IF($L173="D",INDEX('Zgłoszenia'!$B$5:$B$504,$M173)&amp;"",IF($L173="U",INDEX('Dane rozpisek'!$F$2:$F$2600,$M173)&amp;"",IF($L173="H","Wózek","")))</f>
        <v/>
      </c>
      <c r="C173" s="48">
        <f>IF($L173="D",INDEX('Zgłoszenia'!$E$5:$E$504,$M173)&amp;"",IF($L173="U",INDEX('Dane rozpisek'!$B$2:$B$2600,$M173)&amp;" · "&amp;INDEX('Dane rozpisek'!$J$2:$J$2600,$M173),IF($L173="H","Zmiana","")))</f>
        <v/>
      </c>
      <c r="D173" s="49">
        <f>IF($L173="D",INDEX('Zgłoszenia'!$H$5:$H$504,$M173)&amp;"",IF($L173="U",INDEX('Dane rozpisek'!$E$2:$E$2600,$M173)&amp;"",IF($L173="H","Operator","")))</f>
        <v/>
      </c>
      <c r="E173" s="49">
        <f>IF($L173="D",INDEX('Zgłoszenia'!$I$5:$I$504,$M173)&amp;"",IF($L173="U",INDEX('Dane rozpisek'!$C$2:$C$2600,$M173)&amp;"",IF($L173="H","Stanowisko","")))</f>
        <v/>
      </c>
      <c r="F173" s="48">
        <f>IF($L173="D",INDEX('Zgłoszenia'!$J$5:$J$504,$M173)&amp;"",IF($L173="U",INDEX('Dane rozpisek'!$G$2:$G$2600,$M173)&amp;"",IF($L173="H","Uwagi","")))</f>
        <v/>
      </c>
      <c r="G173" s="49">
        <f>IF($L173="D",INDEX('Zgłoszenia'!$F$5:$F$504,$M173)&amp;"",IF($L173="U",INDEX('Dane rozpisek'!$L$2:$L$2600,$M173)&amp;"",IF($L173="H","Usterki (dzień / następny)","")))</f>
        <v/>
      </c>
      <c r="H173" s="49">
        <f>IF($L173="D",INDEX('Zgłoszenia'!$P$5:$P$504,$M173)&amp;"",IF($L173="U","",""))</f>
        <v/>
      </c>
      <c r="I173" s="48">
        <f>IF($L173="D",IF(INDEX('Zgłoszenia'!$M$5:$M$504,$M173)="","Zgłoszona",INDEX('Zgłoszenia'!$M$5:$M$504,$M173)),IF($L173="U","",""))</f>
        <v/>
      </c>
      <c r="J173" s="49">
        <f>IF($L173="D",INDEX('Zgłoszenia'!$K$5:$K$504,$M173)&amp;"",IF($L173="U","",""))</f>
        <v/>
      </c>
      <c r="K173" s="2" t="n"/>
      <c r="L173" s="2">
        <f>IF((ROW()-12)&lt;=$L$5,IF($L$2=0,"E1","D"),IF((ROW()-12)=$L$5+1,"",IF((ROW()-12)=$L$5+2,"T",IF((ROW()-12)=$L$5+3,IF($L$3=0,"E2","H"),IF((ROW()-12)&lt;=$L$5+3+$L$3,"U","")))))</f>
        <v/>
      </c>
      <c r="M173" s="2">
        <f>IF(L173="D",MATCH(LARGE('Zgłoszenia'!$Q$5:$Q$504,(ROW()-12)),'Zgłoszenia'!$Q$5:$Q$504,0),IF(L173="U",MATCH(LARGE('Dane rozpisek'!$I$2:$I$2600,(ROW()-12)-$L$5-3),'Dane rozpisek'!$I$2:$I$2600,0),""))</f>
        <v/>
      </c>
    </row>
    <row r="174">
      <c r="A174" s="47">
        <f>IF($L174="D",INDEX('Zgłoszenia'!$D$5:$D$504,$M174),IF($L174="U",INDEX('Dane rozpisek'!$A$2:$A$2600,$M174),IF($L174="T","KTO JEŹDZIŁ",IF($L174="E1","Brak zgłoszonych usterek w tym okresie.",IF($L174="E2","Brak wpisów z tym wózkiem w rozpiskach dla tego okresu.",IF($L174="H","Data",""))))))</f>
        <v/>
      </c>
      <c r="B174" s="48">
        <f>IF($L174="D",INDEX('Zgłoszenia'!$B$5:$B$504,$M174)&amp;"",IF($L174="U",INDEX('Dane rozpisek'!$F$2:$F$2600,$M174)&amp;"",IF($L174="H","Wózek","")))</f>
        <v/>
      </c>
      <c r="C174" s="48">
        <f>IF($L174="D",INDEX('Zgłoszenia'!$E$5:$E$504,$M174)&amp;"",IF($L174="U",INDEX('Dane rozpisek'!$B$2:$B$2600,$M174)&amp;" · "&amp;INDEX('Dane rozpisek'!$J$2:$J$2600,$M174),IF($L174="H","Zmiana","")))</f>
        <v/>
      </c>
      <c r="D174" s="49">
        <f>IF($L174="D",INDEX('Zgłoszenia'!$H$5:$H$504,$M174)&amp;"",IF($L174="U",INDEX('Dane rozpisek'!$E$2:$E$2600,$M174)&amp;"",IF($L174="H","Operator","")))</f>
        <v/>
      </c>
      <c r="E174" s="49">
        <f>IF($L174="D",INDEX('Zgłoszenia'!$I$5:$I$504,$M174)&amp;"",IF($L174="U",INDEX('Dane rozpisek'!$C$2:$C$2600,$M174)&amp;"",IF($L174="H","Stanowisko","")))</f>
        <v/>
      </c>
      <c r="F174" s="48">
        <f>IF($L174="D",INDEX('Zgłoszenia'!$J$5:$J$504,$M174)&amp;"",IF($L174="U",INDEX('Dane rozpisek'!$G$2:$G$2600,$M174)&amp;"",IF($L174="H","Uwagi","")))</f>
        <v/>
      </c>
      <c r="G174" s="49">
        <f>IF($L174="D",INDEX('Zgłoszenia'!$F$5:$F$504,$M174)&amp;"",IF($L174="U",INDEX('Dane rozpisek'!$L$2:$L$2600,$M174)&amp;"",IF($L174="H","Usterki (dzień / następny)","")))</f>
        <v/>
      </c>
      <c r="H174" s="49">
        <f>IF($L174="D",INDEX('Zgłoszenia'!$P$5:$P$504,$M174)&amp;"",IF($L174="U","",""))</f>
        <v/>
      </c>
      <c r="I174" s="48">
        <f>IF($L174="D",IF(INDEX('Zgłoszenia'!$M$5:$M$504,$M174)="","Zgłoszona",INDEX('Zgłoszenia'!$M$5:$M$504,$M174)),IF($L174="U","",""))</f>
        <v/>
      </c>
      <c r="J174" s="49">
        <f>IF($L174="D",INDEX('Zgłoszenia'!$K$5:$K$504,$M174)&amp;"",IF($L174="U","",""))</f>
        <v/>
      </c>
      <c r="K174" s="2" t="n"/>
      <c r="L174" s="2">
        <f>IF((ROW()-12)&lt;=$L$5,IF($L$2=0,"E1","D"),IF((ROW()-12)=$L$5+1,"",IF((ROW()-12)=$L$5+2,"T",IF((ROW()-12)=$L$5+3,IF($L$3=0,"E2","H"),IF((ROW()-12)&lt;=$L$5+3+$L$3,"U","")))))</f>
        <v/>
      </c>
      <c r="M174" s="2">
        <f>IF(L174="D",MATCH(LARGE('Zgłoszenia'!$Q$5:$Q$504,(ROW()-12)),'Zgłoszenia'!$Q$5:$Q$504,0),IF(L174="U",MATCH(LARGE('Dane rozpisek'!$I$2:$I$2600,(ROW()-12)-$L$5-3),'Dane rozpisek'!$I$2:$I$2600,0),""))</f>
        <v/>
      </c>
    </row>
    <row r="175">
      <c r="A175" s="47">
        <f>IF($L175="D",INDEX('Zgłoszenia'!$D$5:$D$504,$M175),IF($L175="U",INDEX('Dane rozpisek'!$A$2:$A$2600,$M175),IF($L175="T","KTO JEŹDZIŁ",IF($L175="E1","Brak zgłoszonych usterek w tym okresie.",IF($L175="E2","Brak wpisów z tym wózkiem w rozpiskach dla tego okresu.",IF($L175="H","Data",""))))))</f>
        <v/>
      </c>
      <c r="B175" s="48">
        <f>IF($L175="D",INDEX('Zgłoszenia'!$B$5:$B$504,$M175)&amp;"",IF($L175="U",INDEX('Dane rozpisek'!$F$2:$F$2600,$M175)&amp;"",IF($L175="H","Wózek","")))</f>
        <v/>
      </c>
      <c r="C175" s="48">
        <f>IF($L175="D",INDEX('Zgłoszenia'!$E$5:$E$504,$M175)&amp;"",IF($L175="U",INDEX('Dane rozpisek'!$B$2:$B$2600,$M175)&amp;" · "&amp;INDEX('Dane rozpisek'!$J$2:$J$2600,$M175),IF($L175="H","Zmiana","")))</f>
        <v/>
      </c>
      <c r="D175" s="49">
        <f>IF($L175="D",INDEX('Zgłoszenia'!$H$5:$H$504,$M175)&amp;"",IF($L175="U",INDEX('Dane rozpisek'!$E$2:$E$2600,$M175)&amp;"",IF($L175="H","Operator","")))</f>
        <v/>
      </c>
      <c r="E175" s="49">
        <f>IF($L175="D",INDEX('Zgłoszenia'!$I$5:$I$504,$M175)&amp;"",IF($L175="U",INDEX('Dane rozpisek'!$C$2:$C$2600,$M175)&amp;"",IF($L175="H","Stanowisko","")))</f>
        <v/>
      </c>
      <c r="F175" s="48">
        <f>IF($L175="D",INDEX('Zgłoszenia'!$J$5:$J$504,$M175)&amp;"",IF($L175="U",INDEX('Dane rozpisek'!$G$2:$G$2600,$M175)&amp;"",IF($L175="H","Uwagi","")))</f>
        <v/>
      </c>
      <c r="G175" s="49">
        <f>IF($L175="D",INDEX('Zgłoszenia'!$F$5:$F$504,$M175)&amp;"",IF($L175="U",INDEX('Dane rozpisek'!$L$2:$L$2600,$M175)&amp;"",IF($L175="H","Usterki (dzień / następny)","")))</f>
        <v/>
      </c>
      <c r="H175" s="49">
        <f>IF($L175="D",INDEX('Zgłoszenia'!$P$5:$P$504,$M175)&amp;"",IF($L175="U","",""))</f>
        <v/>
      </c>
      <c r="I175" s="48">
        <f>IF($L175="D",IF(INDEX('Zgłoszenia'!$M$5:$M$504,$M175)="","Zgłoszona",INDEX('Zgłoszenia'!$M$5:$M$504,$M175)),IF($L175="U","",""))</f>
        <v/>
      </c>
      <c r="J175" s="49">
        <f>IF($L175="D",INDEX('Zgłoszenia'!$K$5:$K$504,$M175)&amp;"",IF($L175="U","",""))</f>
        <v/>
      </c>
      <c r="K175" s="2" t="n"/>
      <c r="L175" s="2">
        <f>IF((ROW()-12)&lt;=$L$5,IF($L$2=0,"E1","D"),IF((ROW()-12)=$L$5+1,"",IF((ROW()-12)=$L$5+2,"T",IF((ROW()-12)=$L$5+3,IF($L$3=0,"E2","H"),IF((ROW()-12)&lt;=$L$5+3+$L$3,"U","")))))</f>
        <v/>
      </c>
      <c r="M175" s="2">
        <f>IF(L175="D",MATCH(LARGE('Zgłoszenia'!$Q$5:$Q$504,(ROW()-12)),'Zgłoszenia'!$Q$5:$Q$504,0),IF(L175="U",MATCH(LARGE('Dane rozpisek'!$I$2:$I$2600,(ROW()-12)-$L$5-3),'Dane rozpisek'!$I$2:$I$2600,0),""))</f>
        <v/>
      </c>
    </row>
    <row r="176">
      <c r="A176" s="47">
        <f>IF($L176="D",INDEX('Zgłoszenia'!$D$5:$D$504,$M176),IF($L176="U",INDEX('Dane rozpisek'!$A$2:$A$2600,$M176),IF($L176="T","KTO JEŹDZIŁ",IF($L176="E1","Brak zgłoszonych usterek w tym okresie.",IF($L176="E2","Brak wpisów z tym wózkiem w rozpiskach dla tego okresu.",IF($L176="H","Data",""))))))</f>
        <v/>
      </c>
      <c r="B176" s="48">
        <f>IF($L176="D",INDEX('Zgłoszenia'!$B$5:$B$504,$M176)&amp;"",IF($L176="U",INDEX('Dane rozpisek'!$F$2:$F$2600,$M176)&amp;"",IF($L176="H","Wózek","")))</f>
        <v/>
      </c>
      <c r="C176" s="48">
        <f>IF($L176="D",INDEX('Zgłoszenia'!$E$5:$E$504,$M176)&amp;"",IF($L176="U",INDEX('Dane rozpisek'!$B$2:$B$2600,$M176)&amp;" · "&amp;INDEX('Dane rozpisek'!$J$2:$J$2600,$M176),IF($L176="H","Zmiana","")))</f>
        <v/>
      </c>
      <c r="D176" s="49">
        <f>IF($L176="D",INDEX('Zgłoszenia'!$H$5:$H$504,$M176)&amp;"",IF($L176="U",INDEX('Dane rozpisek'!$E$2:$E$2600,$M176)&amp;"",IF($L176="H","Operator","")))</f>
        <v/>
      </c>
      <c r="E176" s="49">
        <f>IF($L176="D",INDEX('Zgłoszenia'!$I$5:$I$504,$M176)&amp;"",IF($L176="U",INDEX('Dane rozpisek'!$C$2:$C$2600,$M176)&amp;"",IF($L176="H","Stanowisko","")))</f>
        <v/>
      </c>
      <c r="F176" s="48">
        <f>IF($L176="D",INDEX('Zgłoszenia'!$J$5:$J$504,$M176)&amp;"",IF($L176="U",INDEX('Dane rozpisek'!$G$2:$G$2600,$M176)&amp;"",IF($L176="H","Uwagi","")))</f>
        <v/>
      </c>
      <c r="G176" s="49">
        <f>IF($L176="D",INDEX('Zgłoszenia'!$F$5:$F$504,$M176)&amp;"",IF($L176="U",INDEX('Dane rozpisek'!$L$2:$L$2600,$M176)&amp;"",IF($L176="H","Usterki (dzień / następny)","")))</f>
        <v/>
      </c>
      <c r="H176" s="49">
        <f>IF($L176="D",INDEX('Zgłoszenia'!$P$5:$P$504,$M176)&amp;"",IF($L176="U","",""))</f>
        <v/>
      </c>
      <c r="I176" s="48">
        <f>IF($L176="D",IF(INDEX('Zgłoszenia'!$M$5:$M$504,$M176)="","Zgłoszona",INDEX('Zgłoszenia'!$M$5:$M$504,$M176)),IF($L176="U","",""))</f>
        <v/>
      </c>
      <c r="J176" s="49">
        <f>IF($L176="D",INDEX('Zgłoszenia'!$K$5:$K$504,$M176)&amp;"",IF($L176="U","",""))</f>
        <v/>
      </c>
      <c r="K176" s="2" t="n"/>
      <c r="L176" s="2">
        <f>IF((ROW()-12)&lt;=$L$5,IF($L$2=0,"E1","D"),IF((ROW()-12)=$L$5+1,"",IF((ROW()-12)=$L$5+2,"T",IF((ROW()-12)=$L$5+3,IF($L$3=0,"E2","H"),IF((ROW()-12)&lt;=$L$5+3+$L$3,"U","")))))</f>
        <v/>
      </c>
      <c r="M176" s="2">
        <f>IF(L176="D",MATCH(LARGE('Zgłoszenia'!$Q$5:$Q$504,(ROW()-12)),'Zgłoszenia'!$Q$5:$Q$504,0),IF(L176="U",MATCH(LARGE('Dane rozpisek'!$I$2:$I$2600,(ROW()-12)-$L$5-3),'Dane rozpisek'!$I$2:$I$2600,0),""))</f>
        <v/>
      </c>
    </row>
    <row r="177">
      <c r="A177" s="47">
        <f>IF($L177="D",INDEX('Zgłoszenia'!$D$5:$D$504,$M177),IF($L177="U",INDEX('Dane rozpisek'!$A$2:$A$2600,$M177),IF($L177="T","KTO JEŹDZIŁ",IF($L177="E1","Brak zgłoszonych usterek w tym okresie.",IF($L177="E2","Brak wpisów z tym wózkiem w rozpiskach dla tego okresu.",IF($L177="H","Data",""))))))</f>
        <v/>
      </c>
      <c r="B177" s="48">
        <f>IF($L177="D",INDEX('Zgłoszenia'!$B$5:$B$504,$M177)&amp;"",IF($L177="U",INDEX('Dane rozpisek'!$F$2:$F$2600,$M177)&amp;"",IF($L177="H","Wózek","")))</f>
        <v/>
      </c>
      <c r="C177" s="48">
        <f>IF($L177="D",INDEX('Zgłoszenia'!$E$5:$E$504,$M177)&amp;"",IF($L177="U",INDEX('Dane rozpisek'!$B$2:$B$2600,$M177)&amp;" · "&amp;INDEX('Dane rozpisek'!$J$2:$J$2600,$M177),IF($L177="H","Zmiana","")))</f>
        <v/>
      </c>
      <c r="D177" s="49">
        <f>IF($L177="D",INDEX('Zgłoszenia'!$H$5:$H$504,$M177)&amp;"",IF($L177="U",INDEX('Dane rozpisek'!$E$2:$E$2600,$M177)&amp;"",IF($L177="H","Operator","")))</f>
        <v/>
      </c>
      <c r="E177" s="49">
        <f>IF($L177="D",INDEX('Zgłoszenia'!$I$5:$I$504,$M177)&amp;"",IF($L177="U",INDEX('Dane rozpisek'!$C$2:$C$2600,$M177)&amp;"",IF($L177="H","Stanowisko","")))</f>
        <v/>
      </c>
      <c r="F177" s="48">
        <f>IF($L177="D",INDEX('Zgłoszenia'!$J$5:$J$504,$M177)&amp;"",IF($L177="U",INDEX('Dane rozpisek'!$G$2:$G$2600,$M177)&amp;"",IF($L177="H","Uwagi","")))</f>
        <v/>
      </c>
      <c r="G177" s="49">
        <f>IF($L177="D",INDEX('Zgłoszenia'!$F$5:$F$504,$M177)&amp;"",IF($L177="U",INDEX('Dane rozpisek'!$L$2:$L$2600,$M177)&amp;"",IF($L177="H","Usterki (dzień / następny)","")))</f>
        <v/>
      </c>
      <c r="H177" s="49">
        <f>IF($L177="D",INDEX('Zgłoszenia'!$P$5:$P$504,$M177)&amp;"",IF($L177="U","",""))</f>
        <v/>
      </c>
      <c r="I177" s="48">
        <f>IF($L177="D",IF(INDEX('Zgłoszenia'!$M$5:$M$504,$M177)="","Zgłoszona",INDEX('Zgłoszenia'!$M$5:$M$504,$M177)),IF($L177="U","",""))</f>
        <v/>
      </c>
      <c r="J177" s="49">
        <f>IF($L177="D",INDEX('Zgłoszenia'!$K$5:$K$504,$M177)&amp;"",IF($L177="U","",""))</f>
        <v/>
      </c>
      <c r="K177" s="2" t="n"/>
      <c r="L177" s="2">
        <f>IF((ROW()-12)&lt;=$L$5,IF($L$2=0,"E1","D"),IF((ROW()-12)=$L$5+1,"",IF((ROW()-12)=$L$5+2,"T",IF((ROW()-12)=$L$5+3,IF($L$3=0,"E2","H"),IF((ROW()-12)&lt;=$L$5+3+$L$3,"U","")))))</f>
        <v/>
      </c>
      <c r="M177" s="2">
        <f>IF(L177="D",MATCH(LARGE('Zgłoszenia'!$Q$5:$Q$504,(ROW()-12)),'Zgłoszenia'!$Q$5:$Q$504,0),IF(L177="U",MATCH(LARGE('Dane rozpisek'!$I$2:$I$2600,(ROW()-12)-$L$5-3),'Dane rozpisek'!$I$2:$I$2600,0),""))</f>
        <v/>
      </c>
    </row>
    <row r="178">
      <c r="A178" s="47">
        <f>IF($L178="D",INDEX('Zgłoszenia'!$D$5:$D$504,$M178),IF($L178="U",INDEX('Dane rozpisek'!$A$2:$A$2600,$M178),IF($L178="T","KTO JEŹDZIŁ",IF($L178="E1","Brak zgłoszonych usterek w tym okresie.",IF($L178="E2","Brak wpisów z tym wózkiem w rozpiskach dla tego okresu.",IF($L178="H","Data",""))))))</f>
        <v/>
      </c>
      <c r="B178" s="48">
        <f>IF($L178="D",INDEX('Zgłoszenia'!$B$5:$B$504,$M178)&amp;"",IF($L178="U",INDEX('Dane rozpisek'!$F$2:$F$2600,$M178)&amp;"",IF($L178="H","Wózek","")))</f>
        <v/>
      </c>
      <c r="C178" s="48">
        <f>IF($L178="D",INDEX('Zgłoszenia'!$E$5:$E$504,$M178)&amp;"",IF($L178="U",INDEX('Dane rozpisek'!$B$2:$B$2600,$M178)&amp;" · "&amp;INDEX('Dane rozpisek'!$J$2:$J$2600,$M178),IF($L178="H","Zmiana","")))</f>
        <v/>
      </c>
      <c r="D178" s="49">
        <f>IF($L178="D",INDEX('Zgłoszenia'!$H$5:$H$504,$M178)&amp;"",IF($L178="U",INDEX('Dane rozpisek'!$E$2:$E$2600,$M178)&amp;"",IF($L178="H","Operator","")))</f>
        <v/>
      </c>
      <c r="E178" s="49">
        <f>IF($L178="D",INDEX('Zgłoszenia'!$I$5:$I$504,$M178)&amp;"",IF($L178="U",INDEX('Dane rozpisek'!$C$2:$C$2600,$M178)&amp;"",IF($L178="H","Stanowisko","")))</f>
        <v/>
      </c>
      <c r="F178" s="48">
        <f>IF($L178="D",INDEX('Zgłoszenia'!$J$5:$J$504,$M178)&amp;"",IF($L178="U",INDEX('Dane rozpisek'!$G$2:$G$2600,$M178)&amp;"",IF($L178="H","Uwagi","")))</f>
        <v/>
      </c>
      <c r="G178" s="49">
        <f>IF($L178="D",INDEX('Zgłoszenia'!$F$5:$F$504,$M178)&amp;"",IF($L178="U",INDEX('Dane rozpisek'!$L$2:$L$2600,$M178)&amp;"",IF($L178="H","Usterki (dzień / następny)","")))</f>
        <v/>
      </c>
      <c r="H178" s="49">
        <f>IF($L178="D",INDEX('Zgłoszenia'!$P$5:$P$504,$M178)&amp;"",IF($L178="U","",""))</f>
        <v/>
      </c>
      <c r="I178" s="48">
        <f>IF($L178="D",IF(INDEX('Zgłoszenia'!$M$5:$M$504,$M178)="","Zgłoszona",INDEX('Zgłoszenia'!$M$5:$M$504,$M178)),IF($L178="U","",""))</f>
        <v/>
      </c>
      <c r="J178" s="49">
        <f>IF($L178="D",INDEX('Zgłoszenia'!$K$5:$K$504,$M178)&amp;"",IF($L178="U","",""))</f>
        <v/>
      </c>
      <c r="K178" s="2" t="n"/>
      <c r="L178" s="2">
        <f>IF((ROW()-12)&lt;=$L$5,IF($L$2=0,"E1","D"),IF((ROW()-12)=$L$5+1,"",IF((ROW()-12)=$L$5+2,"T",IF((ROW()-12)=$L$5+3,IF($L$3=0,"E2","H"),IF((ROW()-12)&lt;=$L$5+3+$L$3,"U","")))))</f>
        <v/>
      </c>
      <c r="M178" s="2">
        <f>IF(L178="D",MATCH(LARGE('Zgłoszenia'!$Q$5:$Q$504,(ROW()-12)),'Zgłoszenia'!$Q$5:$Q$504,0),IF(L178="U",MATCH(LARGE('Dane rozpisek'!$I$2:$I$2600,(ROW()-12)-$L$5-3),'Dane rozpisek'!$I$2:$I$2600,0),""))</f>
        <v/>
      </c>
    </row>
    <row r="179">
      <c r="A179" s="47">
        <f>IF($L179="D",INDEX('Zgłoszenia'!$D$5:$D$504,$M179),IF($L179="U",INDEX('Dane rozpisek'!$A$2:$A$2600,$M179),IF($L179="T","KTO JEŹDZIŁ",IF($L179="E1","Brak zgłoszonych usterek w tym okresie.",IF($L179="E2","Brak wpisów z tym wózkiem w rozpiskach dla tego okresu.",IF($L179="H","Data",""))))))</f>
        <v/>
      </c>
      <c r="B179" s="48">
        <f>IF($L179="D",INDEX('Zgłoszenia'!$B$5:$B$504,$M179)&amp;"",IF($L179="U",INDEX('Dane rozpisek'!$F$2:$F$2600,$M179)&amp;"",IF($L179="H","Wózek","")))</f>
        <v/>
      </c>
      <c r="C179" s="48">
        <f>IF($L179="D",INDEX('Zgłoszenia'!$E$5:$E$504,$M179)&amp;"",IF($L179="U",INDEX('Dane rozpisek'!$B$2:$B$2600,$M179)&amp;" · "&amp;INDEX('Dane rozpisek'!$J$2:$J$2600,$M179),IF($L179="H","Zmiana","")))</f>
        <v/>
      </c>
      <c r="D179" s="49">
        <f>IF($L179="D",INDEX('Zgłoszenia'!$H$5:$H$504,$M179)&amp;"",IF($L179="U",INDEX('Dane rozpisek'!$E$2:$E$2600,$M179)&amp;"",IF($L179="H","Operator","")))</f>
        <v/>
      </c>
      <c r="E179" s="49">
        <f>IF($L179="D",INDEX('Zgłoszenia'!$I$5:$I$504,$M179)&amp;"",IF($L179="U",INDEX('Dane rozpisek'!$C$2:$C$2600,$M179)&amp;"",IF($L179="H","Stanowisko","")))</f>
        <v/>
      </c>
      <c r="F179" s="48">
        <f>IF($L179="D",INDEX('Zgłoszenia'!$J$5:$J$504,$M179)&amp;"",IF($L179="U",INDEX('Dane rozpisek'!$G$2:$G$2600,$M179)&amp;"",IF($L179="H","Uwagi","")))</f>
        <v/>
      </c>
      <c r="G179" s="49">
        <f>IF($L179="D",INDEX('Zgłoszenia'!$F$5:$F$504,$M179)&amp;"",IF($L179="U",INDEX('Dane rozpisek'!$L$2:$L$2600,$M179)&amp;"",IF($L179="H","Usterki (dzień / następny)","")))</f>
        <v/>
      </c>
      <c r="H179" s="49">
        <f>IF($L179="D",INDEX('Zgłoszenia'!$P$5:$P$504,$M179)&amp;"",IF($L179="U","",""))</f>
        <v/>
      </c>
      <c r="I179" s="48">
        <f>IF($L179="D",IF(INDEX('Zgłoszenia'!$M$5:$M$504,$M179)="","Zgłoszona",INDEX('Zgłoszenia'!$M$5:$M$504,$M179)),IF($L179="U","",""))</f>
        <v/>
      </c>
      <c r="J179" s="49">
        <f>IF($L179="D",INDEX('Zgłoszenia'!$K$5:$K$504,$M179)&amp;"",IF($L179="U","",""))</f>
        <v/>
      </c>
      <c r="K179" s="2" t="n"/>
      <c r="L179" s="2">
        <f>IF((ROW()-12)&lt;=$L$5,IF($L$2=0,"E1","D"),IF((ROW()-12)=$L$5+1,"",IF((ROW()-12)=$L$5+2,"T",IF((ROW()-12)=$L$5+3,IF($L$3=0,"E2","H"),IF((ROW()-12)&lt;=$L$5+3+$L$3,"U","")))))</f>
        <v/>
      </c>
      <c r="M179" s="2">
        <f>IF(L179="D",MATCH(LARGE('Zgłoszenia'!$Q$5:$Q$504,(ROW()-12)),'Zgłoszenia'!$Q$5:$Q$504,0),IF(L179="U",MATCH(LARGE('Dane rozpisek'!$I$2:$I$2600,(ROW()-12)-$L$5-3),'Dane rozpisek'!$I$2:$I$2600,0),""))</f>
        <v/>
      </c>
    </row>
    <row r="180">
      <c r="A180" s="47">
        <f>IF($L180="D",INDEX('Zgłoszenia'!$D$5:$D$504,$M180),IF($L180="U",INDEX('Dane rozpisek'!$A$2:$A$2600,$M180),IF($L180="T","KTO JEŹDZIŁ",IF($L180="E1","Brak zgłoszonych usterek w tym okresie.",IF($L180="E2","Brak wpisów z tym wózkiem w rozpiskach dla tego okresu.",IF($L180="H","Data",""))))))</f>
        <v/>
      </c>
      <c r="B180" s="48">
        <f>IF($L180="D",INDEX('Zgłoszenia'!$B$5:$B$504,$M180)&amp;"",IF($L180="U",INDEX('Dane rozpisek'!$F$2:$F$2600,$M180)&amp;"",IF($L180="H","Wózek","")))</f>
        <v/>
      </c>
      <c r="C180" s="48">
        <f>IF($L180="D",INDEX('Zgłoszenia'!$E$5:$E$504,$M180)&amp;"",IF($L180="U",INDEX('Dane rozpisek'!$B$2:$B$2600,$M180)&amp;" · "&amp;INDEX('Dane rozpisek'!$J$2:$J$2600,$M180),IF($L180="H","Zmiana","")))</f>
        <v/>
      </c>
      <c r="D180" s="49">
        <f>IF($L180="D",INDEX('Zgłoszenia'!$H$5:$H$504,$M180)&amp;"",IF($L180="U",INDEX('Dane rozpisek'!$E$2:$E$2600,$M180)&amp;"",IF($L180="H","Operator","")))</f>
        <v/>
      </c>
      <c r="E180" s="49">
        <f>IF($L180="D",INDEX('Zgłoszenia'!$I$5:$I$504,$M180)&amp;"",IF($L180="U",INDEX('Dane rozpisek'!$C$2:$C$2600,$M180)&amp;"",IF($L180="H","Stanowisko","")))</f>
        <v/>
      </c>
      <c r="F180" s="48">
        <f>IF($L180="D",INDEX('Zgłoszenia'!$J$5:$J$504,$M180)&amp;"",IF($L180="U",INDEX('Dane rozpisek'!$G$2:$G$2600,$M180)&amp;"",IF($L180="H","Uwagi","")))</f>
        <v/>
      </c>
      <c r="G180" s="49">
        <f>IF($L180="D",INDEX('Zgłoszenia'!$F$5:$F$504,$M180)&amp;"",IF($L180="U",INDEX('Dane rozpisek'!$L$2:$L$2600,$M180)&amp;"",IF($L180="H","Usterki (dzień / następny)","")))</f>
        <v/>
      </c>
      <c r="H180" s="49">
        <f>IF($L180="D",INDEX('Zgłoszenia'!$P$5:$P$504,$M180)&amp;"",IF($L180="U","",""))</f>
        <v/>
      </c>
      <c r="I180" s="48">
        <f>IF($L180="D",IF(INDEX('Zgłoszenia'!$M$5:$M$504,$M180)="","Zgłoszona",INDEX('Zgłoszenia'!$M$5:$M$504,$M180)),IF($L180="U","",""))</f>
        <v/>
      </c>
      <c r="J180" s="49">
        <f>IF($L180="D",INDEX('Zgłoszenia'!$K$5:$K$504,$M180)&amp;"",IF($L180="U","",""))</f>
        <v/>
      </c>
      <c r="K180" s="2" t="n"/>
      <c r="L180" s="2">
        <f>IF((ROW()-12)&lt;=$L$5,IF($L$2=0,"E1","D"),IF((ROW()-12)=$L$5+1,"",IF((ROW()-12)=$L$5+2,"T",IF((ROW()-12)=$L$5+3,IF($L$3=0,"E2","H"),IF((ROW()-12)&lt;=$L$5+3+$L$3,"U","")))))</f>
        <v/>
      </c>
      <c r="M180" s="2">
        <f>IF(L180="D",MATCH(LARGE('Zgłoszenia'!$Q$5:$Q$504,(ROW()-12)),'Zgłoszenia'!$Q$5:$Q$504,0),IF(L180="U",MATCH(LARGE('Dane rozpisek'!$I$2:$I$2600,(ROW()-12)-$L$5-3),'Dane rozpisek'!$I$2:$I$2600,0),""))</f>
        <v/>
      </c>
    </row>
    <row r="181">
      <c r="A181" s="47">
        <f>IF($L181="D",INDEX('Zgłoszenia'!$D$5:$D$504,$M181),IF($L181="U",INDEX('Dane rozpisek'!$A$2:$A$2600,$M181),IF($L181="T","KTO JEŹDZIŁ",IF($L181="E1","Brak zgłoszonych usterek w tym okresie.",IF($L181="E2","Brak wpisów z tym wózkiem w rozpiskach dla tego okresu.",IF($L181="H","Data",""))))))</f>
        <v/>
      </c>
      <c r="B181" s="48">
        <f>IF($L181="D",INDEX('Zgłoszenia'!$B$5:$B$504,$M181)&amp;"",IF($L181="U",INDEX('Dane rozpisek'!$F$2:$F$2600,$M181)&amp;"",IF($L181="H","Wózek","")))</f>
        <v/>
      </c>
      <c r="C181" s="48">
        <f>IF($L181="D",INDEX('Zgłoszenia'!$E$5:$E$504,$M181)&amp;"",IF($L181="U",INDEX('Dane rozpisek'!$B$2:$B$2600,$M181)&amp;" · "&amp;INDEX('Dane rozpisek'!$J$2:$J$2600,$M181),IF($L181="H","Zmiana","")))</f>
        <v/>
      </c>
      <c r="D181" s="49">
        <f>IF($L181="D",INDEX('Zgłoszenia'!$H$5:$H$504,$M181)&amp;"",IF($L181="U",INDEX('Dane rozpisek'!$E$2:$E$2600,$M181)&amp;"",IF($L181="H","Operator","")))</f>
        <v/>
      </c>
      <c r="E181" s="49">
        <f>IF($L181="D",INDEX('Zgłoszenia'!$I$5:$I$504,$M181)&amp;"",IF($L181="U",INDEX('Dane rozpisek'!$C$2:$C$2600,$M181)&amp;"",IF($L181="H","Stanowisko","")))</f>
        <v/>
      </c>
      <c r="F181" s="48">
        <f>IF($L181="D",INDEX('Zgłoszenia'!$J$5:$J$504,$M181)&amp;"",IF($L181="U",INDEX('Dane rozpisek'!$G$2:$G$2600,$M181)&amp;"",IF($L181="H","Uwagi","")))</f>
        <v/>
      </c>
      <c r="G181" s="49">
        <f>IF($L181="D",INDEX('Zgłoszenia'!$F$5:$F$504,$M181)&amp;"",IF($L181="U",INDEX('Dane rozpisek'!$L$2:$L$2600,$M181)&amp;"",IF($L181="H","Usterki (dzień / następny)","")))</f>
        <v/>
      </c>
      <c r="H181" s="49">
        <f>IF($L181="D",INDEX('Zgłoszenia'!$P$5:$P$504,$M181)&amp;"",IF($L181="U","",""))</f>
        <v/>
      </c>
      <c r="I181" s="48">
        <f>IF($L181="D",IF(INDEX('Zgłoszenia'!$M$5:$M$504,$M181)="","Zgłoszona",INDEX('Zgłoszenia'!$M$5:$M$504,$M181)),IF($L181="U","",""))</f>
        <v/>
      </c>
      <c r="J181" s="49">
        <f>IF($L181="D",INDEX('Zgłoszenia'!$K$5:$K$504,$M181)&amp;"",IF($L181="U","",""))</f>
        <v/>
      </c>
      <c r="K181" s="2" t="n"/>
      <c r="L181" s="2">
        <f>IF((ROW()-12)&lt;=$L$5,IF($L$2=0,"E1","D"),IF((ROW()-12)=$L$5+1,"",IF((ROW()-12)=$L$5+2,"T",IF((ROW()-12)=$L$5+3,IF($L$3=0,"E2","H"),IF((ROW()-12)&lt;=$L$5+3+$L$3,"U","")))))</f>
        <v/>
      </c>
      <c r="M181" s="2">
        <f>IF(L181="D",MATCH(LARGE('Zgłoszenia'!$Q$5:$Q$504,(ROW()-12)),'Zgłoszenia'!$Q$5:$Q$504,0),IF(L181="U",MATCH(LARGE('Dane rozpisek'!$I$2:$I$2600,(ROW()-12)-$L$5-3),'Dane rozpisek'!$I$2:$I$2600,0),""))</f>
        <v/>
      </c>
    </row>
    <row r="182">
      <c r="A182" s="47">
        <f>IF($L182="D",INDEX('Zgłoszenia'!$D$5:$D$504,$M182),IF($L182="U",INDEX('Dane rozpisek'!$A$2:$A$2600,$M182),IF($L182="T","KTO JEŹDZIŁ",IF($L182="E1","Brak zgłoszonych usterek w tym okresie.",IF($L182="E2","Brak wpisów z tym wózkiem w rozpiskach dla tego okresu.",IF($L182="H","Data",""))))))</f>
        <v/>
      </c>
      <c r="B182" s="48">
        <f>IF($L182="D",INDEX('Zgłoszenia'!$B$5:$B$504,$M182)&amp;"",IF($L182="U",INDEX('Dane rozpisek'!$F$2:$F$2600,$M182)&amp;"",IF($L182="H","Wózek","")))</f>
        <v/>
      </c>
      <c r="C182" s="48">
        <f>IF($L182="D",INDEX('Zgłoszenia'!$E$5:$E$504,$M182)&amp;"",IF($L182="U",INDEX('Dane rozpisek'!$B$2:$B$2600,$M182)&amp;" · "&amp;INDEX('Dane rozpisek'!$J$2:$J$2600,$M182),IF($L182="H","Zmiana","")))</f>
        <v/>
      </c>
      <c r="D182" s="49">
        <f>IF($L182="D",INDEX('Zgłoszenia'!$H$5:$H$504,$M182)&amp;"",IF($L182="U",INDEX('Dane rozpisek'!$E$2:$E$2600,$M182)&amp;"",IF($L182="H","Operator","")))</f>
        <v/>
      </c>
      <c r="E182" s="49">
        <f>IF($L182="D",INDEX('Zgłoszenia'!$I$5:$I$504,$M182)&amp;"",IF($L182="U",INDEX('Dane rozpisek'!$C$2:$C$2600,$M182)&amp;"",IF($L182="H","Stanowisko","")))</f>
        <v/>
      </c>
      <c r="F182" s="48">
        <f>IF($L182="D",INDEX('Zgłoszenia'!$J$5:$J$504,$M182)&amp;"",IF($L182="U",INDEX('Dane rozpisek'!$G$2:$G$2600,$M182)&amp;"",IF($L182="H","Uwagi","")))</f>
        <v/>
      </c>
      <c r="G182" s="49">
        <f>IF($L182="D",INDEX('Zgłoszenia'!$F$5:$F$504,$M182)&amp;"",IF($L182="U",INDEX('Dane rozpisek'!$L$2:$L$2600,$M182)&amp;"",IF($L182="H","Usterki (dzień / następny)","")))</f>
        <v/>
      </c>
      <c r="H182" s="49">
        <f>IF($L182="D",INDEX('Zgłoszenia'!$P$5:$P$504,$M182)&amp;"",IF($L182="U","",""))</f>
        <v/>
      </c>
      <c r="I182" s="48">
        <f>IF($L182="D",IF(INDEX('Zgłoszenia'!$M$5:$M$504,$M182)="","Zgłoszona",INDEX('Zgłoszenia'!$M$5:$M$504,$M182)),IF($L182="U","",""))</f>
        <v/>
      </c>
      <c r="J182" s="49">
        <f>IF($L182="D",INDEX('Zgłoszenia'!$K$5:$K$504,$M182)&amp;"",IF($L182="U","",""))</f>
        <v/>
      </c>
      <c r="K182" s="2" t="n"/>
      <c r="L182" s="2">
        <f>IF((ROW()-12)&lt;=$L$5,IF($L$2=0,"E1","D"),IF((ROW()-12)=$L$5+1,"",IF((ROW()-12)=$L$5+2,"T",IF((ROW()-12)=$L$5+3,IF($L$3=0,"E2","H"),IF((ROW()-12)&lt;=$L$5+3+$L$3,"U","")))))</f>
        <v/>
      </c>
      <c r="M182" s="2">
        <f>IF(L182="D",MATCH(LARGE('Zgłoszenia'!$Q$5:$Q$504,(ROW()-12)),'Zgłoszenia'!$Q$5:$Q$504,0),IF(L182="U",MATCH(LARGE('Dane rozpisek'!$I$2:$I$2600,(ROW()-12)-$L$5-3),'Dane rozpisek'!$I$2:$I$2600,0),""))</f>
        <v/>
      </c>
    </row>
    <row r="183">
      <c r="A183" s="47">
        <f>IF($L183="D",INDEX('Zgłoszenia'!$D$5:$D$504,$M183),IF($L183="U",INDEX('Dane rozpisek'!$A$2:$A$2600,$M183),IF($L183="T","KTO JEŹDZIŁ",IF($L183="E1","Brak zgłoszonych usterek w tym okresie.",IF($L183="E2","Brak wpisów z tym wózkiem w rozpiskach dla tego okresu.",IF($L183="H","Data",""))))))</f>
        <v/>
      </c>
      <c r="B183" s="48">
        <f>IF($L183="D",INDEX('Zgłoszenia'!$B$5:$B$504,$M183)&amp;"",IF($L183="U",INDEX('Dane rozpisek'!$F$2:$F$2600,$M183)&amp;"",IF($L183="H","Wózek","")))</f>
        <v/>
      </c>
      <c r="C183" s="48">
        <f>IF($L183="D",INDEX('Zgłoszenia'!$E$5:$E$504,$M183)&amp;"",IF($L183="U",INDEX('Dane rozpisek'!$B$2:$B$2600,$M183)&amp;" · "&amp;INDEX('Dane rozpisek'!$J$2:$J$2600,$M183),IF($L183="H","Zmiana","")))</f>
        <v/>
      </c>
      <c r="D183" s="49">
        <f>IF($L183="D",INDEX('Zgłoszenia'!$H$5:$H$504,$M183)&amp;"",IF($L183="U",INDEX('Dane rozpisek'!$E$2:$E$2600,$M183)&amp;"",IF($L183="H","Operator","")))</f>
        <v/>
      </c>
      <c r="E183" s="49">
        <f>IF($L183="D",INDEX('Zgłoszenia'!$I$5:$I$504,$M183)&amp;"",IF($L183="U",INDEX('Dane rozpisek'!$C$2:$C$2600,$M183)&amp;"",IF($L183="H","Stanowisko","")))</f>
        <v/>
      </c>
      <c r="F183" s="48">
        <f>IF($L183="D",INDEX('Zgłoszenia'!$J$5:$J$504,$M183)&amp;"",IF($L183="U",INDEX('Dane rozpisek'!$G$2:$G$2600,$M183)&amp;"",IF($L183="H","Uwagi","")))</f>
        <v/>
      </c>
      <c r="G183" s="49">
        <f>IF($L183="D",INDEX('Zgłoszenia'!$F$5:$F$504,$M183)&amp;"",IF($L183="U",INDEX('Dane rozpisek'!$L$2:$L$2600,$M183)&amp;"",IF($L183="H","Usterki (dzień / następny)","")))</f>
        <v/>
      </c>
      <c r="H183" s="49">
        <f>IF($L183="D",INDEX('Zgłoszenia'!$P$5:$P$504,$M183)&amp;"",IF($L183="U","",""))</f>
        <v/>
      </c>
      <c r="I183" s="48">
        <f>IF($L183="D",IF(INDEX('Zgłoszenia'!$M$5:$M$504,$M183)="","Zgłoszona",INDEX('Zgłoszenia'!$M$5:$M$504,$M183)),IF($L183="U","",""))</f>
        <v/>
      </c>
      <c r="J183" s="49">
        <f>IF($L183="D",INDEX('Zgłoszenia'!$K$5:$K$504,$M183)&amp;"",IF($L183="U","",""))</f>
        <v/>
      </c>
      <c r="K183" s="2" t="n"/>
      <c r="L183" s="2">
        <f>IF((ROW()-12)&lt;=$L$5,IF($L$2=0,"E1","D"),IF((ROW()-12)=$L$5+1,"",IF((ROW()-12)=$L$5+2,"T",IF((ROW()-12)=$L$5+3,IF($L$3=0,"E2","H"),IF((ROW()-12)&lt;=$L$5+3+$L$3,"U","")))))</f>
        <v/>
      </c>
      <c r="M183" s="2">
        <f>IF(L183="D",MATCH(LARGE('Zgłoszenia'!$Q$5:$Q$504,(ROW()-12)),'Zgłoszenia'!$Q$5:$Q$504,0),IF(L183="U",MATCH(LARGE('Dane rozpisek'!$I$2:$I$2600,(ROW()-12)-$L$5-3),'Dane rozpisek'!$I$2:$I$2600,0),""))</f>
        <v/>
      </c>
    </row>
    <row r="184">
      <c r="A184" s="47">
        <f>IF($L184="D",INDEX('Zgłoszenia'!$D$5:$D$504,$M184),IF($L184="U",INDEX('Dane rozpisek'!$A$2:$A$2600,$M184),IF($L184="T","KTO JEŹDZIŁ",IF($L184="E1","Brak zgłoszonych usterek w tym okresie.",IF($L184="E2","Brak wpisów z tym wózkiem w rozpiskach dla tego okresu.",IF($L184="H","Data",""))))))</f>
        <v/>
      </c>
      <c r="B184" s="48">
        <f>IF($L184="D",INDEX('Zgłoszenia'!$B$5:$B$504,$M184)&amp;"",IF($L184="U",INDEX('Dane rozpisek'!$F$2:$F$2600,$M184)&amp;"",IF($L184="H","Wózek","")))</f>
        <v/>
      </c>
      <c r="C184" s="48">
        <f>IF($L184="D",INDEX('Zgłoszenia'!$E$5:$E$504,$M184)&amp;"",IF($L184="U",INDEX('Dane rozpisek'!$B$2:$B$2600,$M184)&amp;" · "&amp;INDEX('Dane rozpisek'!$J$2:$J$2600,$M184),IF($L184="H","Zmiana","")))</f>
        <v/>
      </c>
      <c r="D184" s="49">
        <f>IF($L184="D",INDEX('Zgłoszenia'!$H$5:$H$504,$M184)&amp;"",IF($L184="U",INDEX('Dane rozpisek'!$E$2:$E$2600,$M184)&amp;"",IF($L184="H","Operator","")))</f>
        <v/>
      </c>
      <c r="E184" s="49">
        <f>IF($L184="D",INDEX('Zgłoszenia'!$I$5:$I$504,$M184)&amp;"",IF($L184="U",INDEX('Dane rozpisek'!$C$2:$C$2600,$M184)&amp;"",IF($L184="H","Stanowisko","")))</f>
        <v/>
      </c>
      <c r="F184" s="48">
        <f>IF($L184="D",INDEX('Zgłoszenia'!$J$5:$J$504,$M184)&amp;"",IF($L184="U",INDEX('Dane rozpisek'!$G$2:$G$2600,$M184)&amp;"",IF($L184="H","Uwagi","")))</f>
        <v/>
      </c>
      <c r="G184" s="49">
        <f>IF($L184="D",INDEX('Zgłoszenia'!$F$5:$F$504,$M184)&amp;"",IF($L184="U",INDEX('Dane rozpisek'!$L$2:$L$2600,$M184)&amp;"",IF($L184="H","Usterki (dzień / następny)","")))</f>
        <v/>
      </c>
      <c r="H184" s="49">
        <f>IF($L184="D",INDEX('Zgłoszenia'!$P$5:$P$504,$M184)&amp;"",IF($L184="U","",""))</f>
        <v/>
      </c>
      <c r="I184" s="48">
        <f>IF($L184="D",IF(INDEX('Zgłoszenia'!$M$5:$M$504,$M184)="","Zgłoszona",INDEX('Zgłoszenia'!$M$5:$M$504,$M184)),IF($L184="U","",""))</f>
        <v/>
      </c>
      <c r="J184" s="49">
        <f>IF($L184="D",INDEX('Zgłoszenia'!$K$5:$K$504,$M184)&amp;"",IF($L184="U","",""))</f>
        <v/>
      </c>
      <c r="K184" s="2" t="n"/>
      <c r="L184" s="2">
        <f>IF((ROW()-12)&lt;=$L$5,IF($L$2=0,"E1","D"),IF((ROW()-12)=$L$5+1,"",IF((ROW()-12)=$L$5+2,"T",IF((ROW()-12)=$L$5+3,IF($L$3=0,"E2","H"),IF((ROW()-12)&lt;=$L$5+3+$L$3,"U","")))))</f>
        <v/>
      </c>
      <c r="M184" s="2">
        <f>IF(L184="D",MATCH(LARGE('Zgłoszenia'!$Q$5:$Q$504,(ROW()-12)),'Zgłoszenia'!$Q$5:$Q$504,0),IF(L184="U",MATCH(LARGE('Dane rozpisek'!$I$2:$I$2600,(ROW()-12)-$L$5-3),'Dane rozpisek'!$I$2:$I$2600,0),""))</f>
        <v/>
      </c>
    </row>
    <row r="185">
      <c r="A185" s="47">
        <f>IF($L185="D",INDEX('Zgłoszenia'!$D$5:$D$504,$M185),IF($L185="U",INDEX('Dane rozpisek'!$A$2:$A$2600,$M185),IF($L185="T","KTO JEŹDZIŁ",IF($L185="E1","Brak zgłoszonych usterek w tym okresie.",IF($L185="E2","Brak wpisów z tym wózkiem w rozpiskach dla tego okresu.",IF($L185="H","Data",""))))))</f>
        <v/>
      </c>
      <c r="B185" s="48">
        <f>IF($L185="D",INDEX('Zgłoszenia'!$B$5:$B$504,$M185)&amp;"",IF($L185="U",INDEX('Dane rozpisek'!$F$2:$F$2600,$M185)&amp;"",IF($L185="H","Wózek","")))</f>
        <v/>
      </c>
      <c r="C185" s="48">
        <f>IF($L185="D",INDEX('Zgłoszenia'!$E$5:$E$504,$M185)&amp;"",IF($L185="U",INDEX('Dane rozpisek'!$B$2:$B$2600,$M185)&amp;" · "&amp;INDEX('Dane rozpisek'!$J$2:$J$2600,$M185),IF($L185="H","Zmiana","")))</f>
        <v/>
      </c>
      <c r="D185" s="49">
        <f>IF($L185="D",INDEX('Zgłoszenia'!$H$5:$H$504,$M185)&amp;"",IF($L185="U",INDEX('Dane rozpisek'!$E$2:$E$2600,$M185)&amp;"",IF($L185="H","Operator","")))</f>
        <v/>
      </c>
      <c r="E185" s="49">
        <f>IF($L185="D",INDEX('Zgłoszenia'!$I$5:$I$504,$M185)&amp;"",IF($L185="U",INDEX('Dane rozpisek'!$C$2:$C$2600,$M185)&amp;"",IF($L185="H","Stanowisko","")))</f>
        <v/>
      </c>
      <c r="F185" s="48">
        <f>IF($L185="D",INDEX('Zgłoszenia'!$J$5:$J$504,$M185)&amp;"",IF($L185="U",INDEX('Dane rozpisek'!$G$2:$G$2600,$M185)&amp;"",IF($L185="H","Uwagi","")))</f>
        <v/>
      </c>
      <c r="G185" s="49">
        <f>IF($L185="D",INDEX('Zgłoszenia'!$F$5:$F$504,$M185)&amp;"",IF($L185="U",INDEX('Dane rozpisek'!$L$2:$L$2600,$M185)&amp;"",IF($L185="H","Usterki (dzień / następny)","")))</f>
        <v/>
      </c>
      <c r="H185" s="49">
        <f>IF($L185="D",INDEX('Zgłoszenia'!$P$5:$P$504,$M185)&amp;"",IF($L185="U","",""))</f>
        <v/>
      </c>
      <c r="I185" s="48">
        <f>IF($L185="D",IF(INDEX('Zgłoszenia'!$M$5:$M$504,$M185)="","Zgłoszona",INDEX('Zgłoszenia'!$M$5:$M$504,$M185)),IF($L185="U","",""))</f>
        <v/>
      </c>
      <c r="J185" s="49">
        <f>IF($L185="D",INDEX('Zgłoszenia'!$K$5:$K$504,$M185)&amp;"",IF($L185="U","",""))</f>
        <v/>
      </c>
      <c r="K185" s="2" t="n"/>
      <c r="L185" s="2">
        <f>IF((ROW()-12)&lt;=$L$5,IF($L$2=0,"E1","D"),IF((ROW()-12)=$L$5+1,"",IF((ROW()-12)=$L$5+2,"T",IF((ROW()-12)=$L$5+3,IF($L$3=0,"E2","H"),IF((ROW()-12)&lt;=$L$5+3+$L$3,"U","")))))</f>
        <v/>
      </c>
      <c r="M185" s="2">
        <f>IF(L185="D",MATCH(LARGE('Zgłoszenia'!$Q$5:$Q$504,(ROW()-12)),'Zgłoszenia'!$Q$5:$Q$504,0),IF(L185="U",MATCH(LARGE('Dane rozpisek'!$I$2:$I$2600,(ROW()-12)-$L$5-3),'Dane rozpisek'!$I$2:$I$2600,0),""))</f>
        <v/>
      </c>
    </row>
    <row r="186">
      <c r="A186" s="47">
        <f>IF($L186="D",INDEX('Zgłoszenia'!$D$5:$D$504,$M186),IF($L186="U",INDEX('Dane rozpisek'!$A$2:$A$2600,$M186),IF($L186="T","KTO JEŹDZIŁ",IF($L186="E1","Brak zgłoszonych usterek w tym okresie.",IF($L186="E2","Brak wpisów z tym wózkiem w rozpiskach dla tego okresu.",IF($L186="H","Data",""))))))</f>
        <v/>
      </c>
      <c r="B186" s="48">
        <f>IF($L186="D",INDEX('Zgłoszenia'!$B$5:$B$504,$M186)&amp;"",IF($L186="U",INDEX('Dane rozpisek'!$F$2:$F$2600,$M186)&amp;"",IF($L186="H","Wózek","")))</f>
        <v/>
      </c>
      <c r="C186" s="48">
        <f>IF($L186="D",INDEX('Zgłoszenia'!$E$5:$E$504,$M186)&amp;"",IF($L186="U",INDEX('Dane rozpisek'!$B$2:$B$2600,$M186)&amp;" · "&amp;INDEX('Dane rozpisek'!$J$2:$J$2600,$M186),IF($L186="H","Zmiana","")))</f>
        <v/>
      </c>
      <c r="D186" s="49">
        <f>IF($L186="D",INDEX('Zgłoszenia'!$H$5:$H$504,$M186)&amp;"",IF($L186="U",INDEX('Dane rozpisek'!$E$2:$E$2600,$M186)&amp;"",IF($L186="H","Operator","")))</f>
        <v/>
      </c>
      <c r="E186" s="49">
        <f>IF($L186="D",INDEX('Zgłoszenia'!$I$5:$I$504,$M186)&amp;"",IF($L186="U",INDEX('Dane rozpisek'!$C$2:$C$2600,$M186)&amp;"",IF($L186="H","Stanowisko","")))</f>
        <v/>
      </c>
      <c r="F186" s="48">
        <f>IF($L186="D",INDEX('Zgłoszenia'!$J$5:$J$504,$M186)&amp;"",IF($L186="U",INDEX('Dane rozpisek'!$G$2:$G$2600,$M186)&amp;"",IF($L186="H","Uwagi","")))</f>
        <v/>
      </c>
      <c r="G186" s="49">
        <f>IF($L186="D",INDEX('Zgłoszenia'!$F$5:$F$504,$M186)&amp;"",IF($L186="U",INDEX('Dane rozpisek'!$L$2:$L$2600,$M186)&amp;"",IF($L186="H","Usterki (dzień / następny)","")))</f>
        <v/>
      </c>
      <c r="H186" s="49">
        <f>IF($L186="D",INDEX('Zgłoszenia'!$P$5:$P$504,$M186)&amp;"",IF($L186="U","",""))</f>
        <v/>
      </c>
      <c r="I186" s="48">
        <f>IF($L186="D",IF(INDEX('Zgłoszenia'!$M$5:$M$504,$M186)="","Zgłoszona",INDEX('Zgłoszenia'!$M$5:$M$504,$M186)),IF($L186="U","",""))</f>
        <v/>
      </c>
      <c r="J186" s="49">
        <f>IF($L186="D",INDEX('Zgłoszenia'!$K$5:$K$504,$M186)&amp;"",IF($L186="U","",""))</f>
        <v/>
      </c>
      <c r="K186" s="2" t="n"/>
      <c r="L186" s="2">
        <f>IF((ROW()-12)&lt;=$L$5,IF($L$2=0,"E1","D"),IF((ROW()-12)=$L$5+1,"",IF((ROW()-12)=$L$5+2,"T",IF((ROW()-12)=$L$5+3,IF($L$3=0,"E2","H"),IF((ROW()-12)&lt;=$L$5+3+$L$3,"U","")))))</f>
        <v/>
      </c>
      <c r="M186" s="2">
        <f>IF(L186="D",MATCH(LARGE('Zgłoszenia'!$Q$5:$Q$504,(ROW()-12)),'Zgłoszenia'!$Q$5:$Q$504,0),IF(L186="U",MATCH(LARGE('Dane rozpisek'!$I$2:$I$2600,(ROW()-12)-$L$5-3),'Dane rozpisek'!$I$2:$I$2600,0),""))</f>
        <v/>
      </c>
    </row>
    <row r="187">
      <c r="A187" s="47">
        <f>IF($L187="D",INDEX('Zgłoszenia'!$D$5:$D$504,$M187),IF($L187="U",INDEX('Dane rozpisek'!$A$2:$A$2600,$M187),IF($L187="T","KTO JEŹDZIŁ",IF($L187="E1","Brak zgłoszonych usterek w tym okresie.",IF($L187="E2","Brak wpisów z tym wózkiem w rozpiskach dla tego okresu.",IF($L187="H","Data",""))))))</f>
        <v/>
      </c>
      <c r="B187" s="48">
        <f>IF($L187="D",INDEX('Zgłoszenia'!$B$5:$B$504,$M187)&amp;"",IF($L187="U",INDEX('Dane rozpisek'!$F$2:$F$2600,$M187)&amp;"",IF($L187="H","Wózek","")))</f>
        <v/>
      </c>
      <c r="C187" s="48">
        <f>IF($L187="D",INDEX('Zgłoszenia'!$E$5:$E$504,$M187)&amp;"",IF($L187="U",INDEX('Dane rozpisek'!$B$2:$B$2600,$M187)&amp;" · "&amp;INDEX('Dane rozpisek'!$J$2:$J$2600,$M187),IF($L187="H","Zmiana","")))</f>
        <v/>
      </c>
      <c r="D187" s="49">
        <f>IF($L187="D",INDEX('Zgłoszenia'!$H$5:$H$504,$M187)&amp;"",IF($L187="U",INDEX('Dane rozpisek'!$E$2:$E$2600,$M187)&amp;"",IF($L187="H","Operator","")))</f>
        <v/>
      </c>
      <c r="E187" s="49">
        <f>IF($L187="D",INDEX('Zgłoszenia'!$I$5:$I$504,$M187)&amp;"",IF($L187="U",INDEX('Dane rozpisek'!$C$2:$C$2600,$M187)&amp;"",IF($L187="H","Stanowisko","")))</f>
        <v/>
      </c>
      <c r="F187" s="48">
        <f>IF($L187="D",INDEX('Zgłoszenia'!$J$5:$J$504,$M187)&amp;"",IF($L187="U",INDEX('Dane rozpisek'!$G$2:$G$2600,$M187)&amp;"",IF($L187="H","Uwagi","")))</f>
        <v/>
      </c>
      <c r="G187" s="49">
        <f>IF($L187="D",INDEX('Zgłoszenia'!$F$5:$F$504,$M187)&amp;"",IF($L187="U",INDEX('Dane rozpisek'!$L$2:$L$2600,$M187)&amp;"",IF($L187="H","Usterki (dzień / następny)","")))</f>
        <v/>
      </c>
      <c r="H187" s="49">
        <f>IF($L187="D",INDEX('Zgłoszenia'!$P$5:$P$504,$M187)&amp;"",IF($L187="U","",""))</f>
        <v/>
      </c>
      <c r="I187" s="48">
        <f>IF($L187="D",IF(INDEX('Zgłoszenia'!$M$5:$M$504,$M187)="","Zgłoszona",INDEX('Zgłoszenia'!$M$5:$M$504,$M187)),IF($L187="U","",""))</f>
        <v/>
      </c>
      <c r="J187" s="49">
        <f>IF($L187="D",INDEX('Zgłoszenia'!$K$5:$K$504,$M187)&amp;"",IF($L187="U","",""))</f>
        <v/>
      </c>
      <c r="K187" s="2" t="n"/>
      <c r="L187" s="2">
        <f>IF((ROW()-12)&lt;=$L$5,IF($L$2=0,"E1","D"),IF((ROW()-12)=$L$5+1,"",IF((ROW()-12)=$L$5+2,"T",IF((ROW()-12)=$L$5+3,IF($L$3=0,"E2","H"),IF((ROW()-12)&lt;=$L$5+3+$L$3,"U","")))))</f>
        <v/>
      </c>
      <c r="M187" s="2">
        <f>IF(L187="D",MATCH(LARGE('Zgłoszenia'!$Q$5:$Q$504,(ROW()-12)),'Zgłoszenia'!$Q$5:$Q$504,0),IF(L187="U",MATCH(LARGE('Dane rozpisek'!$I$2:$I$2600,(ROW()-12)-$L$5-3),'Dane rozpisek'!$I$2:$I$2600,0),""))</f>
        <v/>
      </c>
    </row>
    <row r="188">
      <c r="A188" s="47">
        <f>IF($L188="D",INDEX('Zgłoszenia'!$D$5:$D$504,$M188),IF($L188="U",INDEX('Dane rozpisek'!$A$2:$A$2600,$M188),IF($L188="T","KTO JEŹDZIŁ",IF($L188="E1","Brak zgłoszonych usterek w tym okresie.",IF($L188="E2","Brak wpisów z tym wózkiem w rozpiskach dla tego okresu.",IF($L188="H","Data",""))))))</f>
        <v/>
      </c>
      <c r="B188" s="48">
        <f>IF($L188="D",INDEX('Zgłoszenia'!$B$5:$B$504,$M188)&amp;"",IF($L188="U",INDEX('Dane rozpisek'!$F$2:$F$2600,$M188)&amp;"",IF($L188="H","Wózek","")))</f>
        <v/>
      </c>
      <c r="C188" s="48">
        <f>IF($L188="D",INDEX('Zgłoszenia'!$E$5:$E$504,$M188)&amp;"",IF($L188="U",INDEX('Dane rozpisek'!$B$2:$B$2600,$M188)&amp;" · "&amp;INDEX('Dane rozpisek'!$J$2:$J$2600,$M188),IF($L188="H","Zmiana","")))</f>
        <v/>
      </c>
      <c r="D188" s="49">
        <f>IF($L188="D",INDEX('Zgłoszenia'!$H$5:$H$504,$M188)&amp;"",IF($L188="U",INDEX('Dane rozpisek'!$E$2:$E$2600,$M188)&amp;"",IF($L188="H","Operator","")))</f>
        <v/>
      </c>
      <c r="E188" s="49">
        <f>IF($L188="D",INDEX('Zgłoszenia'!$I$5:$I$504,$M188)&amp;"",IF($L188="U",INDEX('Dane rozpisek'!$C$2:$C$2600,$M188)&amp;"",IF($L188="H","Stanowisko","")))</f>
        <v/>
      </c>
      <c r="F188" s="48">
        <f>IF($L188="D",INDEX('Zgłoszenia'!$J$5:$J$504,$M188)&amp;"",IF($L188="U",INDEX('Dane rozpisek'!$G$2:$G$2600,$M188)&amp;"",IF($L188="H","Uwagi","")))</f>
        <v/>
      </c>
      <c r="G188" s="49">
        <f>IF($L188="D",INDEX('Zgłoszenia'!$F$5:$F$504,$M188)&amp;"",IF($L188="U",INDEX('Dane rozpisek'!$L$2:$L$2600,$M188)&amp;"",IF($L188="H","Usterki (dzień / następny)","")))</f>
        <v/>
      </c>
      <c r="H188" s="49">
        <f>IF($L188="D",INDEX('Zgłoszenia'!$P$5:$P$504,$M188)&amp;"",IF($L188="U","",""))</f>
        <v/>
      </c>
      <c r="I188" s="48">
        <f>IF($L188="D",IF(INDEX('Zgłoszenia'!$M$5:$M$504,$M188)="","Zgłoszona",INDEX('Zgłoszenia'!$M$5:$M$504,$M188)),IF($L188="U","",""))</f>
        <v/>
      </c>
      <c r="J188" s="49">
        <f>IF($L188="D",INDEX('Zgłoszenia'!$K$5:$K$504,$M188)&amp;"",IF($L188="U","",""))</f>
        <v/>
      </c>
      <c r="K188" s="2" t="n"/>
      <c r="L188" s="2">
        <f>IF((ROW()-12)&lt;=$L$5,IF($L$2=0,"E1","D"),IF((ROW()-12)=$L$5+1,"",IF((ROW()-12)=$L$5+2,"T",IF((ROW()-12)=$L$5+3,IF($L$3=0,"E2","H"),IF((ROW()-12)&lt;=$L$5+3+$L$3,"U","")))))</f>
        <v/>
      </c>
      <c r="M188" s="2">
        <f>IF(L188="D",MATCH(LARGE('Zgłoszenia'!$Q$5:$Q$504,(ROW()-12)),'Zgłoszenia'!$Q$5:$Q$504,0),IF(L188="U",MATCH(LARGE('Dane rozpisek'!$I$2:$I$2600,(ROW()-12)-$L$5-3),'Dane rozpisek'!$I$2:$I$2600,0),""))</f>
        <v/>
      </c>
    </row>
    <row r="189">
      <c r="A189" s="47">
        <f>IF($L189="D",INDEX('Zgłoszenia'!$D$5:$D$504,$M189),IF($L189="U",INDEX('Dane rozpisek'!$A$2:$A$2600,$M189),IF($L189="T","KTO JEŹDZIŁ",IF($L189="E1","Brak zgłoszonych usterek w tym okresie.",IF($L189="E2","Brak wpisów z tym wózkiem w rozpiskach dla tego okresu.",IF($L189="H","Data",""))))))</f>
        <v/>
      </c>
      <c r="B189" s="48">
        <f>IF($L189="D",INDEX('Zgłoszenia'!$B$5:$B$504,$M189)&amp;"",IF($L189="U",INDEX('Dane rozpisek'!$F$2:$F$2600,$M189)&amp;"",IF($L189="H","Wózek","")))</f>
        <v/>
      </c>
      <c r="C189" s="48">
        <f>IF($L189="D",INDEX('Zgłoszenia'!$E$5:$E$504,$M189)&amp;"",IF($L189="U",INDEX('Dane rozpisek'!$B$2:$B$2600,$M189)&amp;" · "&amp;INDEX('Dane rozpisek'!$J$2:$J$2600,$M189),IF($L189="H","Zmiana","")))</f>
        <v/>
      </c>
      <c r="D189" s="49">
        <f>IF($L189="D",INDEX('Zgłoszenia'!$H$5:$H$504,$M189)&amp;"",IF($L189="U",INDEX('Dane rozpisek'!$E$2:$E$2600,$M189)&amp;"",IF($L189="H","Operator","")))</f>
        <v/>
      </c>
      <c r="E189" s="49">
        <f>IF($L189="D",INDEX('Zgłoszenia'!$I$5:$I$504,$M189)&amp;"",IF($L189="U",INDEX('Dane rozpisek'!$C$2:$C$2600,$M189)&amp;"",IF($L189="H","Stanowisko","")))</f>
        <v/>
      </c>
      <c r="F189" s="48">
        <f>IF($L189="D",INDEX('Zgłoszenia'!$J$5:$J$504,$M189)&amp;"",IF($L189="U",INDEX('Dane rozpisek'!$G$2:$G$2600,$M189)&amp;"",IF($L189="H","Uwagi","")))</f>
        <v/>
      </c>
      <c r="G189" s="49">
        <f>IF($L189="D",INDEX('Zgłoszenia'!$F$5:$F$504,$M189)&amp;"",IF($L189="U",INDEX('Dane rozpisek'!$L$2:$L$2600,$M189)&amp;"",IF($L189="H","Usterki (dzień / następny)","")))</f>
        <v/>
      </c>
      <c r="H189" s="49">
        <f>IF($L189="D",INDEX('Zgłoszenia'!$P$5:$P$504,$M189)&amp;"",IF($L189="U","",""))</f>
        <v/>
      </c>
      <c r="I189" s="48">
        <f>IF($L189="D",IF(INDEX('Zgłoszenia'!$M$5:$M$504,$M189)="","Zgłoszona",INDEX('Zgłoszenia'!$M$5:$M$504,$M189)),IF($L189="U","",""))</f>
        <v/>
      </c>
      <c r="J189" s="49">
        <f>IF($L189="D",INDEX('Zgłoszenia'!$K$5:$K$504,$M189)&amp;"",IF($L189="U","",""))</f>
        <v/>
      </c>
      <c r="K189" s="2" t="n"/>
      <c r="L189" s="2">
        <f>IF((ROW()-12)&lt;=$L$5,IF($L$2=0,"E1","D"),IF((ROW()-12)=$L$5+1,"",IF((ROW()-12)=$L$5+2,"T",IF((ROW()-12)=$L$5+3,IF($L$3=0,"E2","H"),IF((ROW()-12)&lt;=$L$5+3+$L$3,"U","")))))</f>
        <v/>
      </c>
      <c r="M189" s="2">
        <f>IF(L189="D",MATCH(LARGE('Zgłoszenia'!$Q$5:$Q$504,(ROW()-12)),'Zgłoszenia'!$Q$5:$Q$504,0),IF(L189="U",MATCH(LARGE('Dane rozpisek'!$I$2:$I$2600,(ROW()-12)-$L$5-3),'Dane rozpisek'!$I$2:$I$2600,0),""))</f>
        <v/>
      </c>
    </row>
    <row r="190">
      <c r="A190" s="47">
        <f>IF($L190="D",INDEX('Zgłoszenia'!$D$5:$D$504,$M190),IF($L190="U",INDEX('Dane rozpisek'!$A$2:$A$2600,$M190),IF($L190="T","KTO JEŹDZIŁ",IF($L190="E1","Brak zgłoszonych usterek w tym okresie.",IF($L190="E2","Brak wpisów z tym wózkiem w rozpiskach dla tego okresu.",IF($L190="H","Data",""))))))</f>
        <v/>
      </c>
      <c r="B190" s="48">
        <f>IF($L190="D",INDEX('Zgłoszenia'!$B$5:$B$504,$M190)&amp;"",IF($L190="U",INDEX('Dane rozpisek'!$F$2:$F$2600,$M190)&amp;"",IF($L190="H","Wózek","")))</f>
        <v/>
      </c>
      <c r="C190" s="48">
        <f>IF($L190="D",INDEX('Zgłoszenia'!$E$5:$E$504,$M190)&amp;"",IF($L190="U",INDEX('Dane rozpisek'!$B$2:$B$2600,$M190)&amp;" · "&amp;INDEX('Dane rozpisek'!$J$2:$J$2600,$M190),IF($L190="H","Zmiana","")))</f>
        <v/>
      </c>
      <c r="D190" s="49">
        <f>IF($L190="D",INDEX('Zgłoszenia'!$H$5:$H$504,$M190)&amp;"",IF($L190="U",INDEX('Dane rozpisek'!$E$2:$E$2600,$M190)&amp;"",IF($L190="H","Operator","")))</f>
        <v/>
      </c>
      <c r="E190" s="49">
        <f>IF($L190="D",INDEX('Zgłoszenia'!$I$5:$I$504,$M190)&amp;"",IF($L190="U",INDEX('Dane rozpisek'!$C$2:$C$2600,$M190)&amp;"",IF($L190="H","Stanowisko","")))</f>
        <v/>
      </c>
      <c r="F190" s="48">
        <f>IF($L190="D",INDEX('Zgłoszenia'!$J$5:$J$504,$M190)&amp;"",IF($L190="U",INDEX('Dane rozpisek'!$G$2:$G$2600,$M190)&amp;"",IF($L190="H","Uwagi","")))</f>
        <v/>
      </c>
      <c r="G190" s="49">
        <f>IF($L190="D",INDEX('Zgłoszenia'!$F$5:$F$504,$M190)&amp;"",IF($L190="U",INDEX('Dane rozpisek'!$L$2:$L$2600,$M190)&amp;"",IF($L190="H","Usterki (dzień / następny)","")))</f>
        <v/>
      </c>
      <c r="H190" s="49">
        <f>IF($L190="D",INDEX('Zgłoszenia'!$P$5:$P$504,$M190)&amp;"",IF($L190="U","",""))</f>
        <v/>
      </c>
      <c r="I190" s="48">
        <f>IF($L190="D",IF(INDEX('Zgłoszenia'!$M$5:$M$504,$M190)="","Zgłoszona",INDEX('Zgłoszenia'!$M$5:$M$504,$M190)),IF($L190="U","",""))</f>
        <v/>
      </c>
      <c r="J190" s="49">
        <f>IF($L190="D",INDEX('Zgłoszenia'!$K$5:$K$504,$M190)&amp;"",IF($L190="U","",""))</f>
        <v/>
      </c>
      <c r="K190" s="2" t="n"/>
      <c r="L190" s="2">
        <f>IF((ROW()-12)&lt;=$L$5,IF($L$2=0,"E1","D"),IF((ROW()-12)=$L$5+1,"",IF((ROW()-12)=$L$5+2,"T",IF((ROW()-12)=$L$5+3,IF($L$3=0,"E2","H"),IF((ROW()-12)&lt;=$L$5+3+$L$3,"U","")))))</f>
        <v/>
      </c>
      <c r="M190" s="2">
        <f>IF(L190="D",MATCH(LARGE('Zgłoszenia'!$Q$5:$Q$504,(ROW()-12)),'Zgłoszenia'!$Q$5:$Q$504,0),IF(L190="U",MATCH(LARGE('Dane rozpisek'!$I$2:$I$2600,(ROW()-12)-$L$5-3),'Dane rozpisek'!$I$2:$I$2600,0),""))</f>
        <v/>
      </c>
    </row>
    <row r="191">
      <c r="A191" s="47">
        <f>IF($L191="D",INDEX('Zgłoszenia'!$D$5:$D$504,$M191),IF($L191="U",INDEX('Dane rozpisek'!$A$2:$A$2600,$M191),IF($L191="T","KTO JEŹDZIŁ",IF($L191="E1","Brak zgłoszonych usterek w tym okresie.",IF($L191="E2","Brak wpisów z tym wózkiem w rozpiskach dla tego okresu.",IF($L191="H","Data",""))))))</f>
        <v/>
      </c>
      <c r="B191" s="48">
        <f>IF($L191="D",INDEX('Zgłoszenia'!$B$5:$B$504,$M191)&amp;"",IF($L191="U",INDEX('Dane rozpisek'!$F$2:$F$2600,$M191)&amp;"",IF($L191="H","Wózek","")))</f>
        <v/>
      </c>
      <c r="C191" s="48">
        <f>IF($L191="D",INDEX('Zgłoszenia'!$E$5:$E$504,$M191)&amp;"",IF($L191="U",INDEX('Dane rozpisek'!$B$2:$B$2600,$M191)&amp;" · "&amp;INDEX('Dane rozpisek'!$J$2:$J$2600,$M191),IF($L191="H","Zmiana","")))</f>
        <v/>
      </c>
      <c r="D191" s="49">
        <f>IF($L191="D",INDEX('Zgłoszenia'!$H$5:$H$504,$M191)&amp;"",IF($L191="U",INDEX('Dane rozpisek'!$E$2:$E$2600,$M191)&amp;"",IF($L191="H","Operator","")))</f>
        <v/>
      </c>
      <c r="E191" s="49">
        <f>IF($L191="D",INDEX('Zgłoszenia'!$I$5:$I$504,$M191)&amp;"",IF($L191="U",INDEX('Dane rozpisek'!$C$2:$C$2600,$M191)&amp;"",IF($L191="H","Stanowisko","")))</f>
        <v/>
      </c>
      <c r="F191" s="48">
        <f>IF($L191="D",INDEX('Zgłoszenia'!$J$5:$J$504,$M191)&amp;"",IF($L191="U",INDEX('Dane rozpisek'!$G$2:$G$2600,$M191)&amp;"",IF($L191="H","Uwagi","")))</f>
        <v/>
      </c>
      <c r="G191" s="49">
        <f>IF($L191="D",INDEX('Zgłoszenia'!$F$5:$F$504,$M191)&amp;"",IF($L191="U",INDEX('Dane rozpisek'!$L$2:$L$2600,$M191)&amp;"",IF($L191="H","Usterki (dzień / następny)","")))</f>
        <v/>
      </c>
      <c r="H191" s="49">
        <f>IF($L191="D",INDEX('Zgłoszenia'!$P$5:$P$504,$M191)&amp;"",IF($L191="U","",""))</f>
        <v/>
      </c>
      <c r="I191" s="48">
        <f>IF($L191="D",IF(INDEX('Zgłoszenia'!$M$5:$M$504,$M191)="","Zgłoszona",INDEX('Zgłoszenia'!$M$5:$M$504,$M191)),IF($L191="U","",""))</f>
        <v/>
      </c>
      <c r="J191" s="49">
        <f>IF($L191="D",INDEX('Zgłoszenia'!$K$5:$K$504,$M191)&amp;"",IF($L191="U","",""))</f>
        <v/>
      </c>
      <c r="K191" s="2" t="n"/>
      <c r="L191" s="2">
        <f>IF((ROW()-12)&lt;=$L$5,IF($L$2=0,"E1","D"),IF((ROW()-12)=$L$5+1,"",IF((ROW()-12)=$L$5+2,"T",IF((ROW()-12)=$L$5+3,IF($L$3=0,"E2","H"),IF((ROW()-12)&lt;=$L$5+3+$L$3,"U","")))))</f>
        <v/>
      </c>
      <c r="M191" s="2">
        <f>IF(L191="D",MATCH(LARGE('Zgłoszenia'!$Q$5:$Q$504,(ROW()-12)),'Zgłoszenia'!$Q$5:$Q$504,0),IF(L191="U",MATCH(LARGE('Dane rozpisek'!$I$2:$I$2600,(ROW()-12)-$L$5-3),'Dane rozpisek'!$I$2:$I$2600,0),""))</f>
        <v/>
      </c>
    </row>
    <row r="192">
      <c r="A192" s="47">
        <f>IF($L192="D",INDEX('Zgłoszenia'!$D$5:$D$504,$M192),IF($L192="U",INDEX('Dane rozpisek'!$A$2:$A$2600,$M192),IF($L192="T","KTO JEŹDZIŁ",IF($L192="E1","Brak zgłoszonych usterek w tym okresie.",IF($L192="E2","Brak wpisów z tym wózkiem w rozpiskach dla tego okresu.",IF($L192="H","Data",""))))))</f>
        <v/>
      </c>
      <c r="B192" s="48">
        <f>IF($L192="D",INDEX('Zgłoszenia'!$B$5:$B$504,$M192)&amp;"",IF($L192="U",INDEX('Dane rozpisek'!$F$2:$F$2600,$M192)&amp;"",IF($L192="H","Wózek","")))</f>
        <v/>
      </c>
      <c r="C192" s="48">
        <f>IF($L192="D",INDEX('Zgłoszenia'!$E$5:$E$504,$M192)&amp;"",IF($L192="U",INDEX('Dane rozpisek'!$B$2:$B$2600,$M192)&amp;" · "&amp;INDEX('Dane rozpisek'!$J$2:$J$2600,$M192),IF($L192="H","Zmiana","")))</f>
        <v/>
      </c>
      <c r="D192" s="49">
        <f>IF($L192="D",INDEX('Zgłoszenia'!$H$5:$H$504,$M192)&amp;"",IF($L192="U",INDEX('Dane rozpisek'!$E$2:$E$2600,$M192)&amp;"",IF($L192="H","Operator","")))</f>
        <v/>
      </c>
      <c r="E192" s="49">
        <f>IF($L192="D",INDEX('Zgłoszenia'!$I$5:$I$504,$M192)&amp;"",IF($L192="U",INDEX('Dane rozpisek'!$C$2:$C$2600,$M192)&amp;"",IF($L192="H","Stanowisko","")))</f>
        <v/>
      </c>
      <c r="F192" s="48">
        <f>IF($L192="D",INDEX('Zgłoszenia'!$J$5:$J$504,$M192)&amp;"",IF($L192="U",INDEX('Dane rozpisek'!$G$2:$G$2600,$M192)&amp;"",IF($L192="H","Uwagi","")))</f>
        <v/>
      </c>
      <c r="G192" s="49">
        <f>IF($L192="D",INDEX('Zgłoszenia'!$F$5:$F$504,$M192)&amp;"",IF($L192="U",INDEX('Dane rozpisek'!$L$2:$L$2600,$M192)&amp;"",IF($L192="H","Usterki (dzień / następny)","")))</f>
        <v/>
      </c>
      <c r="H192" s="49">
        <f>IF($L192="D",INDEX('Zgłoszenia'!$P$5:$P$504,$M192)&amp;"",IF($L192="U","",""))</f>
        <v/>
      </c>
      <c r="I192" s="48">
        <f>IF($L192="D",IF(INDEX('Zgłoszenia'!$M$5:$M$504,$M192)="","Zgłoszona",INDEX('Zgłoszenia'!$M$5:$M$504,$M192)),IF($L192="U","",""))</f>
        <v/>
      </c>
      <c r="J192" s="49">
        <f>IF($L192="D",INDEX('Zgłoszenia'!$K$5:$K$504,$M192)&amp;"",IF($L192="U","",""))</f>
        <v/>
      </c>
      <c r="K192" s="2" t="n"/>
      <c r="L192" s="2">
        <f>IF((ROW()-12)&lt;=$L$5,IF($L$2=0,"E1","D"),IF((ROW()-12)=$L$5+1,"",IF((ROW()-12)=$L$5+2,"T",IF((ROW()-12)=$L$5+3,IF($L$3=0,"E2","H"),IF((ROW()-12)&lt;=$L$5+3+$L$3,"U","")))))</f>
        <v/>
      </c>
      <c r="M192" s="2">
        <f>IF(L192="D",MATCH(LARGE('Zgłoszenia'!$Q$5:$Q$504,(ROW()-12)),'Zgłoszenia'!$Q$5:$Q$504,0),IF(L192="U",MATCH(LARGE('Dane rozpisek'!$I$2:$I$2600,(ROW()-12)-$L$5-3),'Dane rozpisek'!$I$2:$I$2600,0),""))</f>
        <v/>
      </c>
    </row>
    <row r="193">
      <c r="A193" s="47">
        <f>IF($L193="D",INDEX('Zgłoszenia'!$D$5:$D$504,$M193),IF($L193="U",INDEX('Dane rozpisek'!$A$2:$A$2600,$M193),IF($L193="T","KTO JEŹDZIŁ",IF($L193="E1","Brak zgłoszonych usterek w tym okresie.",IF($L193="E2","Brak wpisów z tym wózkiem w rozpiskach dla tego okresu.",IF($L193="H","Data",""))))))</f>
        <v/>
      </c>
      <c r="B193" s="48">
        <f>IF($L193="D",INDEX('Zgłoszenia'!$B$5:$B$504,$M193)&amp;"",IF($L193="U",INDEX('Dane rozpisek'!$F$2:$F$2600,$M193)&amp;"",IF($L193="H","Wózek","")))</f>
        <v/>
      </c>
      <c r="C193" s="48">
        <f>IF($L193="D",INDEX('Zgłoszenia'!$E$5:$E$504,$M193)&amp;"",IF($L193="U",INDEX('Dane rozpisek'!$B$2:$B$2600,$M193)&amp;" · "&amp;INDEX('Dane rozpisek'!$J$2:$J$2600,$M193),IF($L193="H","Zmiana","")))</f>
        <v/>
      </c>
      <c r="D193" s="49">
        <f>IF($L193="D",INDEX('Zgłoszenia'!$H$5:$H$504,$M193)&amp;"",IF($L193="U",INDEX('Dane rozpisek'!$E$2:$E$2600,$M193)&amp;"",IF($L193="H","Operator","")))</f>
        <v/>
      </c>
      <c r="E193" s="49">
        <f>IF($L193="D",INDEX('Zgłoszenia'!$I$5:$I$504,$M193)&amp;"",IF($L193="U",INDEX('Dane rozpisek'!$C$2:$C$2600,$M193)&amp;"",IF($L193="H","Stanowisko","")))</f>
        <v/>
      </c>
      <c r="F193" s="48">
        <f>IF($L193="D",INDEX('Zgłoszenia'!$J$5:$J$504,$M193)&amp;"",IF($L193="U",INDEX('Dane rozpisek'!$G$2:$G$2600,$M193)&amp;"",IF($L193="H","Uwagi","")))</f>
        <v/>
      </c>
      <c r="G193" s="49">
        <f>IF($L193="D",INDEX('Zgłoszenia'!$F$5:$F$504,$M193)&amp;"",IF($L193="U",INDEX('Dane rozpisek'!$L$2:$L$2600,$M193)&amp;"",IF($L193="H","Usterki (dzień / następny)","")))</f>
        <v/>
      </c>
      <c r="H193" s="49">
        <f>IF($L193="D",INDEX('Zgłoszenia'!$P$5:$P$504,$M193)&amp;"",IF($L193="U","",""))</f>
        <v/>
      </c>
      <c r="I193" s="48">
        <f>IF($L193="D",IF(INDEX('Zgłoszenia'!$M$5:$M$504,$M193)="","Zgłoszona",INDEX('Zgłoszenia'!$M$5:$M$504,$M193)),IF($L193="U","",""))</f>
        <v/>
      </c>
      <c r="J193" s="49">
        <f>IF($L193="D",INDEX('Zgłoszenia'!$K$5:$K$504,$M193)&amp;"",IF($L193="U","",""))</f>
        <v/>
      </c>
      <c r="K193" s="2" t="n"/>
      <c r="L193" s="2">
        <f>IF((ROW()-12)&lt;=$L$5,IF($L$2=0,"E1","D"),IF((ROW()-12)=$L$5+1,"",IF((ROW()-12)=$L$5+2,"T",IF((ROW()-12)=$L$5+3,IF($L$3=0,"E2","H"),IF((ROW()-12)&lt;=$L$5+3+$L$3,"U","")))))</f>
        <v/>
      </c>
      <c r="M193" s="2">
        <f>IF(L193="D",MATCH(LARGE('Zgłoszenia'!$Q$5:$Q$504,(ROW()-12)),'Zgłoszenia'!$Q$5:$Q$504,0),IF(L193="U",MATCH(LARGE('Dane rozpisek'!$I$2:$I$2600,(ROW()-12)-$L$5-3),'Dane rozpisek'!$I$2:$I$2600,0),""))</f>
        <v/>
      </c>
    </row>
    <row r="194">
      <c r="A194" s="47">
        <f>IF($L194="D",INDEX('Zgłoszenia'!$D$5:$D$504,$M194),IF($L194="U",INDEX('Dane rozpisek'!$A$2:$A$2600,$M194),IF($L194="T","KTO JEŹDZIŁ",IF($L194="E1","Brak zgłoszonych usterek w tym okresie.",IF($L194="E2","Brak wpisów z tym wózkiem w rozpiskach dla tego okresu.",IF($L194="H","Data",""))))))</f>
        <v/>
      </c>
      <c r="B194" s="48">
        <f>IF($L194="D",INDEX('Zgłoszenia'!$B$5:$B$504,$M194)&amp;"",IF($L194="U",INDEX('Dane rozpisek'!$F$2:$F$2600,$M194)&amp;"",IF($L194="H","Wózek","")))</f>
        <v/>
      </c>
      <c r="C194" s="48">
        <f>IF($L194="D",INDEX('Zgłoszenia'!$E$5:$E$504,$M194)&amp;"",IF($L194="U",INDEX('Dane rozpisek'!$B$2:$B$2600,$M194)&amp;" · "&amp;INDEX('Dane rozpisek'!$J$2:$J$2600,$M194),IF($L194="H","Zmiana","")))</f>
        <v/>
      </c>
      <c r="D194" s="49">
        <f>IF($L194="D",INDEX('Zgłoszenia'!$H$5:$H$504,$M194)&amp;"",IF($L194="U",INDEX('Dane rozpisek'!$E$2:$E$2600,$M194)&amp;"",IF($L194="H","Operator","")))</f>
        <v/>
      </c>
      <c r="E194" s="49">
        <f>IF($L194="D",INDEX('Zgłoszenia'!$I$5:$I$504,$M194)&amp;"",IF($L194="U",INDEX('Dane rozpisek'!$C$2:$C$2600,$M194)&amp;"",IF($L194="H","Stanowisko","")))</f>
        <v/>
      </c>
      <c r="F194" s="48">
        <f>IF($L194="D",INDEX('Zgłoszenia'!$J$5:$J$504,$M194)&amp;"",IF($L194="U",INDEX('Dane rozpisek'!$G$2:$G$2600,$M194)&amp;"",IF($L194="H","Uwagi","")))</f>
        <v/>
      </c>
      <c r="G194" s="49">
        <f>IF($L194="D",INDEX('Zgłoszenia'!$F$5:$F$504,$M194)&amp;"",IF($L194="U",INDEX('Dane rozpisek'!$L$2:$L$2600,$M194)&amp;"",IF($L194="H","Usterki (dzień / następny)","")))</f>
        <v/>
      </c>
      <c r="H194" s="49">
        <f>IF($L194="D",INDEX('Zgłoszenia'!$P$5:$P$504,$M194)&amp;"",IF($L194="U","",""))</f>
        <v/>
      </c>
      <c r="I194" s="48">
        <f>IF($L194="D",IF(INDEX('Zgłoszenia'!$M$5:$M$504,$M194)="","Zgłoszona",INDEX('Zgłoszenia'!$M$5:$M$504,$M194)),IF($L194="U","",""))</f>
        <v/>
      </c>
      <c r="J194" s="49">
        <f>IF($L194="D",INDEX('Zgłoszenia'!$K$5:$K$504,$M194)&amp;"",IF($L194="U","",""))</f>
        <v/>
      </c>
      <c r="K194" s="2" t="n"/>
      <c r="L194" s="2">
        <f>IF((ROW()-12)&lt;=$L$5,IF($L$2=0,"E1","D"),IF((ROW()-12)=$L$5+1,"",IF((ROW()-12)=$L$5+2,"T",IF((ROW()-12)=$L$5+3,IF($L$3=0,"E2","H"),IF((ROW()-12)&lt;=$L$5+3+$L$3,"U","")))))</f>
        <v/>
      </c>
      <c r="M194" s="2">
        <f>IF(L194="D",MATCH(LARGE('Zgłoszenia'!$Q$5:$Q$504,(ROW()-12)),'Zgłoszenia'!$Q$5:$Q$504,0),IF(L194="U",MATCH(LARGE('Dane rozpisek'!$I$2:$I$2600,(ROW()-12)-$L$5-3),'Dane rozpisek'!$I$2:$I$2600,0),""))</f>
        <v/>
      </c>
    </row>
    <row r="195">
      <c r="A195" s="47">
        <f>IF($L195="D",INDEX('Zgłoszenia'!$D$5:$D$504,$M195),IF($L195="U",INDEX('Dane rozpisek'!$A$2:$A$2600,$M195),IF($L195="T","KTO JEŹDZIŁ",IF($L195="E1","Brak zgłoszonych usterek w tym okresie.",IF($L195="E2","Brak wpisów z tym wózkiem w rozpiskach dla tego okresu.",IF($L195="H","Data",""))))))</f>
        <v/>
      </c>
      <c r="B195" s="48">
        <f>IF($L195="D",INDEX('Zgłoszenia'!$B$5:$B$504,$M195)&amp;"",IF($L195="U",INDEX('Dane rozpisek'!$F$2:$F$2600,$M195)&amp;"",IF($L195="H","Wózek","")))</f>
        <v/>
      </c>
      <c r="C195" s="48">
        <f>IF($L195="D",INDEX('Zgłoszenia'!$E$5:$E$504,$M195)&amp;"",IF($L195="U",INDEX('Dane rozpisek'!$B$2:$B$2600,$M195)&amp;" · "&amp;INDEX('Dane rozpisek'!$J$2:$J$2600,$M195),IF($L195="H","Zmiana","")))</f>
        <v/>
      </c>
      <c r="D195" s="49">
        <f>IF($L195="D",INDEX('Zgłoszenia'!$H$5:$H$504,$M195)&amp;"",IF($L195="U",INDEX('Dane rozpisek'!$E$2:$E$2600,$M195)&amp;"",IF($L195="H","Operator","")))</f>
        <v/>
      </c>
      <c r="E195" s="49">
        <f>IF($L195="D",INDEX('Zgłoszenia'!$I$5:$I$504,$M195)&amp;"",IF($L195="U",INDEX('Dane rozpisek'!$C$2:$C$2600,$M195)&amp;"",IF($L195="H","Stanowisko","")))</f>
        <v/>
      </c>
      <c r="F195" s="48">
        <f>IF($L195="D",INDEX('Zgłoszenia'!$J$5:$J$504,$M195)&amp;"",IF($L195="U",INDEX('Dane rozpisek'!$G$2:$G$2600,$M195)&amp;"",IF($L195="H","Uwagi","")))</f>
        <v/>
      </c>
      <c r="G195" s="49">
        <f>IF($L195="D",INDEX('Zgłoszenia'!$F$5:$F$504,$M195)&amp;"",IF($L195="U",INDEX('Dane rozpisek'!$L$2:$L$2600,$M195)&amp;"",IF($L195="H","Usterki (dzień / następny)","")))</f>
        <v/>
      </c>
      <c r="H195" s="49">
        <f>IF($L195="D",INDEX('Zgłoszenia'!$P$5:$P$504,$M195)&amp;"",IF($L195="U","",""))</f>
        <v/>
      </c>
      <c r="I195" s="48">
        <f>IF($L195="D",IF(INDEX('Zgłoszenia'!$M$5:$M$504,$M195)="","Zgłoszona",INDEX('Zgłoszenia'!$M$5:$M$504,$M195)),IF($L195="U","",""))</f>
        <v/>
      </c>
      <c r="J195" s="49">
        <f>IF($L195="D",INDEX('Zgłoszenia'!$K$5:$K$504,$M195)&amp;"",IF($L195="U","",""))</f>
        <v/>
      </c>
      <c r="K195" s="2" t="n"/>
      <c r="L195" s="2">
        <f>IF((ROW()-12)&lt;=$L$5,IF($L$2=0,"E1","D"),IF((ROW()-12)=$L$5+1,"",IF((ROW()-12)=$L$5+2,"T",IF((ROW()-12)=$L$5+3,IF($L$3=0,"E2","H"),IF((ROW()-12)&lt;=$L$5+3+$L$3,"U","")))))</f>
        <v/>
      </c>
      <c r="M195" s="2">
        <f>IF(L195="D",MATCH(LARGE('Zgłoszenia'!$Q$5:$Q$504,(ROW()-12)),'Zgłoszenia'!$Q$5:$Q$504,0),IF(L195="U",MATCH(LARGE('Dane rozpisek'!$I$2:$I$2600,(ROW()-12)-$L$5-3),'Dane rozpisek'!$I$2:$I$2600,0),""))</f>
        <v/>
      </c>
    </row>
    <row r="196">
      <c r="A196" s="47">
        <f>IF($L196="D",INDEX('Zgłoszenia'!$D$5:$D$504,$M196),IF($L196="U",INDEX('Dane rozpisek'!$A$2:$A$2600,$M196),IF($L196="T","KTO JEŹDZIŁ",IF($L196="E1","Brak zgłoszonych usterek w tym okresie.",IF($L196="E2","Brak wpisów z tym wózkiem w rozpiskach dla tego okresu.",IF($L196="H","Data",""))))))</f>
        <v/>
      </c>
      <c r="B196" s="48">
        <f>IF($L196="D",INDEX('Zgłoszenia'!$B$5:$B$504,$M196)&amp;"",IF($L196="U",INDEX('Dane rozpisek'!$F$2:$F$2600,$M196)&amp;"",IF($L196="H","Wózek","")))</f>
        <v/>
      </c>
      <c r="C196" s="48">
        <f>IF($L196="D",INDEX('Zgłoszenia'!$E$5:$E$504,$M196)&amp;"",IF($L196="U",INDEX('Dane rozpisek'!$B$2:$B$2600,$M196)&amp;" · "&amp;INDEX('Dane rozpisek'!$J$2:$J$2600,$M196),IF($L196="H","Zmiana","")))</f>
        <v/>
      </c>
      <c r="D196" s="49">
        <f>IF($L196="D",INDEX('Zgłoszenia'!$H$5:$H$504,$M196)&amp;"",IF($L196="U",INDEX('Dane rozpisek'!$E$2:$E$2600,$M196)&amp;"",IF($L196="H","Operator","")))</f>
        <v/>
      </c>
      <c r="E196" s="49">
        <f>IF($L196="D",INDEX('Zgłoszenia'!$I$5:$I$504,$M196)&amp;"",IF($L196="U",INDEX('Dane rozpisek'!$C$2:$C$2600,$M196)&amp;"",IF($L196="H","Stanowisko","")))</f>
        <v/>
      </c>
      <c r="F196" s="48">
        <f>IF($L196="D",INDEX('Zgłoszenia'!$J$5:$J$504,$M196)&amp;"",IF($L196="U",INDEX('Dane rozpisek'!$G$2:$G$2600,$M196)&amp;"",IF($L196="H","Uwagi","")))</f>
        <v/>
      </c>
      <c r="G196" s="49">
        <f>IF($L196="D",INDEX('Zgłoszenia'!$F$5:$F$504,$M196)&amp;"",IF($L196="U",INDEX('Dane rozpisek'!$L$2:$L$2600,$M196)&amp;"",IF($L196="H","Usterki (dzień / następny)","")))</f>
        <v/>
      </c>
      <c r="H196" s="49">
        <f>IF($L196="D",INDEX('Zgłoszenia'!$P$5:$P$504,$M196)&amp;"",IF($L196="U","",""))</f>
        <v/>
      </c>
      <c r="I196" s="48">
        <f>IF($L196="D",IF(INDEX('Zgłoszenia'!$M$5:$M$504,$M196)="","Zgłoszona",INDEX('Zgłoszenia'!$M$5:$M$504,$M196)),IF($L196="U","",""))</f>
        <v/>
      </c>
      <c r="J196" s="49">
        <f>IF($L196="D",INDEX('Zgłoszenia'!$K$5:$K$504,$M196)&amp;"",IF($L196="U","",""))</f>
        <v/>
      </c>
      <c r="K196" s="2" t="n"/>
      <c r="L196" s="2">
        <f>IF((ROW()-12)&lt;=$L$5,IF($L$2=0,"E1","D"),IF((ROW()-12)=$L$5+1,"",IF((ROW()-12)=$L$5+2,"T",IF((ROW()-12)=$L$5+3,IF($L$3=0,"E2","H"),IF((ROW()-12)&lt;=$L$5+3+$L$3,"U","")))))</f>
        <v/>
      </c>
      <c r="M196" s="2">
        <f>IF(L196="D",MATCH(LARGE('Zgłoszenia'!$Q$5:$Q$504,(ROW()-12)),'Zgłoszenia'!$Q$5:$Q$504,0),IF(L196="U",MATCH(LARGE('Dane rozpisek'!$I$2:$I$2600,(ROW()-12)-$L$5-3),'Dane rozpisek'!$I$2:$I$2600,0),""))</f>
        <v/>
      </c>
    </row>
    <row r="197">
      <c r="A197" s="47">
        <f>IF($L197="D",INDEX('Zgłoszenia'!$D$5:$D$504,$M197),IF($L197="U",INDEX('Dane rozpisek'!$A$2:$A$2600,$M197),IF($L197="T","KTO JEŹDZIŁ",IF($L197="E1","Brak zgłoszonych usterek w tym okresie.",IF($L197="E2","Brak wpisów z tym wózkiem w rozpiskach dla tego okresu.",IF($L197="H","Data",""))))))</f>
        <v/>
      </c>
      <c r="B197" s="48">
        <f>IF($L197="D",INDEX('Zgłoszenia'!$B$5:$B$504,$M197)&amp;"",IF($L197="U",INDEX('Dane rozpisek'!$F$2:$F$2600,$M197)&amp;"",IF($L197="H","Wózek","")))</f>
        <v/>
      </c>
      <c r="C197" s="48">
        <f>IF($L197="D",INDEX('Zgłoszenia'!$E$5:$E$504,$M197)&amp;"",IF($L197="U",INDEX('Dane rozpisek'!$B$2:$B$2600,$M197)&amp;" · "&amp;INDEX('Dane rozpisek'!$J$2:$J$2600,$M197),IF($L197="H","Zmiana","")))</f>
        <v/>
      </c>
      <c r="D197" s="49">
        <f>IF($L197="D",INDEX('Zgłoszenia'!$H$5:$H$504,$M197)&amp;"",IF($L197="U",INDEX('Dane rozpisek'!$E$2:$E$2600,$M197)&amp;"",IF($L197="H","Operator","")))</f>
        <v/>
      </c>
      <c r="E197" s="49">
        <f>IF($L197="D",INDEX('Zgłoszenia'!$I$5:$I$504,$M197)&amp;"",IF($L197="U",INDEX('Dane rozpisek'!$C$2:$C$2600,$M197)&amp;"",IF($L197="H","Stanowisko","")))</f>
        <v/>
      </c>
      <c r="F197" s="48">
        <f>IF($L197="D",INDEX('Zgłoszenia'!$J$5:$J$504,$M197)&amp;"",IF($L197="U",INDEX('Dane rozpisek'!$G$2:$G$2600,$M197)&amp;"",IF($L197="H","Uwagi","")))</f>
        <v/>
      </c>
      <c r="G197" s="49">
        <f>IF($L197="D",INDEX('Zgłoszenia'!$F$5:$F$504,$M197)&amp;"",IF($L197="U",INDEX('Dane rozpisek'!$L$2:$L$2600,$M197)&amp;"",IF($L197="H","Usterki (dzień / następny)","")))</f>
        <v/>
      </c>
      <c r="H197" s="49">
        <f>IF($L197="D",INDEX('Zgłoszenia'!$P$5:$P$504,$M197)&amp;"",IF($L197="U","",""))</f>
        <v/>
      </c>
      <c r="I197" s="48">
        <f>IF($L197="D",IF(INDEX('Zgłoszenia'!$M$5:$M$504,$M197)="","Zgłoszona",INDEX('Zgłoszenia'!$M$5:$M$504,$M197)),IF($L197="U","",""))</f>
        <v/>
      </c>
      <c r="J197" s="49">
        <f>IF($L197="D",INDEX('Zgłoszenia'!$K$5:$K$504,$M197)&amp;"",IF($L197="U","",""))</f>
        <v/>
      </c>
      <c r="K197" s="2" t="n"/>
      <c r="L197" s="2">
        <f>IF((ROW()-12)&lt;=$L$5,IF($L$2=0,"E1","D"),IF((ROW()-12)=$L$5+1,"",IF((ROW()-12)=$L$5+2,"T",IF((ROW()-12)=$L$5+3,IF($L$3=0,"E2","H"),IF((ROW()-12)&lt;=$L$5+3+$L$3,"U","")))))</f>
        <v/>
      </c>
      <c r="M197" s="2">
        <f>IF(L197="D",MATCH(LARGE('Zgłoszenia'!$Q$5:$Q$504,(ROW()-12)),'Zgłoszenia'!$Q$5:$Q$504,0),IF(L197="U",MATCH(LARGE('Dane rozpisek'!$I$2:$I$2600,(ROW()-12)-$L$5-3),'Dane rozpisek'!$I$2:$I$2600,0),""))</f>
        <v/>
      </c>
    </row>
    <row r="198">
      <c r="A198" s="47">
        <f>IF($L198="D",INDEX('Zgłoszenia'!$D$5:$D$504,$M198),IF($L198="U",INDEX('Dane rozpisek'!$A$2:$A$2600,$M198),IF($L198="T","KTO JEŹDZIŁ",IF($L198="E1","Brak zgłoszonych usterek w tym okresie.",IF($L198="E2","Brak wpisów z tym wózkiem w rozpiskach dla tego okresu.",IF($L198="H","Data",""))))))</f>
        <v/>
      </c>
      <c r="B198" s="48">
        <f>IF($L198="D",INDEX('Zgłoszenia'!$B$5:$B$504,$M198)&amp;"",IF($L198="U",INDEX('Dane rozpisek'!$F$2:$F$2600,$M198)&amp;"",IF($L198="H","Wózek","")))</f>
        <v/>
      </c>
      <c r="C198" s="48">
        <f>IF($L198="D",INDEX('Zgłoszenia'!$E$5:$E$504,$M198)&amp;"",IF($L198="U",INDEX('Dane rozpisek'!$B$2:$B$2600,$M198)&amp;" · "&amp;INDEX('Dane rozpisek'!$J$2:$J$2600,$M198),IF($L198="H","Zmiana","")))</f>
        <v/>
      </c>
      <c r="D198" s="49">
        <f>IF($L198="D",INDEX('Zgłoszenia'!$H$5:$H$504,$M198)&amp;"",IF($L198="U",INDEX('Dane rozpisek'!$E$2:$E$2600,$M198)&amp;"",IF($L198="H","Operator","")))</f>
        <v/>
      </c>
      <c r="E198" s="49">
        <f>IF($L198="D",INDEX('Zgłoszenia'!$I$5:$I$504,$M198)&amp;"",IF($L198="U",INDEX('Dane rozpisek'!$C$2:$C$2600,$M198)&amp;"",IF($L198="H","Stanowisko","")))</f>
        <v/>
      </c>
      <c r="F198" s="48">
        <f>IF($L198="D",INDEX('Zgłoszenia'!$J$5:$J$504,$M198)&amp;"",IF($L198="U",INDEX('Dane rozpisek'!$G$2:$G$2600,$M198)&amp;"",IF($L198="H","Uwagi","")))</f>
        <v/>
      </c>
      <c r="G198" s="49">
        <f>IF($L198="D",INDEX('Zgłoszenia'!$F$5:$F$504,$M198)&amp;"",IF($L198="U",INDEX('Dane rozpisek'!$L$2:$L$2600,$M198)&amp;"",IF($L198="H","Usterki (dzień / następny)","")))</f>
        <v/>
      </c>
      <c r="H198" s="49">
        <f>IF($L198="D",INDEX('Zgłoszenia'!$P$5:$P$504,$M198)&amp;"",IF($L198="U","",""))</f>
        <v/>
      </c>
      <c r="I198" s="48">
        <f>IF($L198="D",IF(INDEX('Zgłoszenia'!$M$5:$M$504,$M198)="","Zgłoszona",INDEX('Zgłoszenia'!$M$5:$M$504,$M198)),IF($L198="U","",""))</f>
        <v/>
      </c>
      <c r="J198" s="49">
        <f>IF($L198="D",INDEX('Zgłoszenia'!$K$5:$K$504,$M198)&amp;"",IF($L198="U","",""))</f>
        <v/>
      </c>
      <c r="K198" s="2" t="n"/>
      <c r="L198" s="2">
        <f>IF((ROW()-12)&lt;=$L$5,IF($L$2=0,"E1","D"),IF((ROW()-12)=$L$5+1,"",IF((ROW()-12)=$L$5+2,"T",IF((ROW()-12)=$L$5+3,IF($L$3=0,"E2","H"),IF((ROW()-12)&lt;=$L$5+3+$L$3,"U","")))))</f>
        <v/>
      </c>
      <c r="M198" s="2">
        <f>IF(L198="D",MATCH(LARGE('Zgłoszenia'!$Q$5:$Q$504,(ROW()-12)),'Zgłoszenia'!$Q$5:$Q$504,0),IF(L198="U",MATCH(LARGE('Dane rozpisek'!$I$2:$I$2600,(ROW()-12)-$L$5-3),'Dane rozpisek'!$I$2:$I$2600,0),""))</f>
        <v/>
      </c>
    </row>
    <row r="199">
      <c r="A199" s="47">
        <f>IF($L199="D",INDEX('Zgłoszenia'!$D$5:$D$504,$M199),IF($L199="U",INDEX('Dane rozpisek'!$A$2:$A$2600,$M199),IF($L199="T","KTO JEŹDZIŁ",IF($L199="E1","Brak zgłoszonych usterek w tym okresie.",IF($L199="E2","Brak wpisów z tym wózkiem w rozpiskach dla tego okresu.",IF($L199="H","Data",""))))))</f>
        <v/>
      </c>
      <c r="B199" s="48">
        <f>IF($L199="D",INDEX('Zgłoszenia'!$B$5:$B$504,$M199)&amp;"",IF($L199="U",INDEX('Dane rozpisek'!$F$2:$F$2600,$M199)&amp;"",IF($L199="H","Wózek","")))</f>
        <v/>
      </c>
      <c r="C199" s="48">
        <f>IF($L199="D",INDEX('Zgłoszenia'!$E$5:$E$504,$M199)&amp;"",IF($L199="U",INDEX('Dane rozpisek'!$B$2:$B$2600,$M199)&amp;" · "&amp;INDEX('Dane rozpisek'!$J$2:$J$2600,$M199),IF($L199="H","Zmiana","")))</f>
        <v/>
      </c>
      <c r="D199" s="49">
        <f>IF($L199="D",INDEX('Zgłoszenia'!$H$5:$H$504,$M199)&amp;"",IF($L199="U",INDEX('Dane rozpisek'!$E$2:$E$2600,$M199)&amp;"",IF($L199="H","Operator","")))</f>
        <v/>
      </c>
      <c r="E199" s="49">
        <f>IF($L199="D",INDEX('Zgłoszenia'!$I$5:$I$504,$M199)&amp;"",IF($L199="U",INDEX('Dane rozpisek'!$C$2:$C$2600,$M199)&amp;"",IF($L199="H","Stanowisko","")))</f>
        <v/>
      </c>
      <c r="F199" s="48">
        <f>IF($L199="D",INDEX('Zgłoszenia'!$J$5:$J$504,$M199)&amp;"",IF($L199="U",INDEX('Dane rozpisek'!$G$2:$G$2600,$M199)&amp;"",IF($L199="H","Uwagi","")))</f>
        <v/>
      </c>
      <c r="G199" s="49">
        <f>IF($L199="D",INDEX('Zgłoszenia'!$F$5:$F$504,$M199)&amp;"",IF($L199="U",INDEX('Dane rozpisek'!$L$2:$L$2600,$M199)&amp;"",IF($L199="H","Usterki (dzień / następny)","")))</f>
        <v/>
      </c>
      <c r="H199" s="49">
        <f>IF($L199="D",INDEX('Zgłoszenia'!$P$5:$P$504,$M199)&amp;"",IF($L199="U","",""))</f>
        <v/>
      </c>
      <c r="I199" s="48">
        <f>IF($L199="D",IF(INDEX('Zgłoszenia'!$M$5:$M$504,$M199)="","Zgłoszona",INDEX('Zgłoszenia'!$M$5:$M$504,$M199)),IF($L199="U","",""))</f>
        <v/>
      </c>
      <c r="J199" s="49">
        <f>IF($L199="D",INDEX('Zgłoszenia'!$K$5:$K$504,$M199)&amp;"",IF($L199="U","",""))</f>
        <v/>
      </c>
      <c r="K199" s="2" t="n"/>
      <c r="L199" s="2">
        <f>IF((ROW()-12)&lt;=$L$5,IF($L$2=0,"E1","D"),IF((ROW()-12)=$L$5+1,"",IF((ROW()-12)=$L$5+2,"T",IF((ROW()-12)=$L$5+3,IF($L$3=0,"E2","H"),IF((ROW()-12)&lt;=$L$5+3+$L$3,"U","")))))</f>
        <v/>
      </c>
      <c r="M199" s="2">
        <f>IF(L199="D",MATCH(LARGE('Zgłoszenia'!$Q$5:$Q$504,(ROW()-12)),'Zgłoszenia'!$Q$5:$Q$504,0),IF(L199="U",MATCH(LARGE('Dane rozpisek'!$I$2:$I$2600,(ROW()-12)-$L$5-3),'Dane rozpisek'!$I$2:$I$2600,0),""))</f>
        <v/>
      </c>
    </row>
    <row r="200">
      <c r="A200" s="47">
        <f>IF($L200="D",INDEX('Zgłoszenia'!$D$5:$D$504,$M200),IF($L200="U",INDEX('Dane rozpisek'!$A$2:$A$2600,$M200),IF($L200="T","KTO JEŹDZIŁ",IF($L200="E1","Brak zgłoszonych usterek w tym okresie.",IF($L200="E2","Brak wpisów z tym wózkiem w rozpiskach dla tego okresu.",IF($L200="H","Data",""))))))</f>
        <v/>
      </c>
      <c r="B200" s="48">
        <f>IF($L200="D",INDEX('Zgłoszenia'!$B$5:$B$504,$M200)&amp;"",IF($L200="U",INDEX('Dane rozpisek'!$F$2:$F$2600,$M200)&amp;"",IF($L200="H","Wózek","")))</f>
        <v/>
      </c>
      <c r="C200" s="48">
        <f>IF($L200="D",INDEX('Zgłoszenia'!$E$5:$E$504,$M200)&amp;"",IF($L200="U",INDEX('Dane rozpisek'!$B$2:$B$2600,$M200)&amp;" · "&amp;INDEX('Dane rozpisek'!$J$2:$J$2600,$M200),IF($L200="H","Zmiana","")))</f>
        <v/>
      </c>
      <c r="D200" s="49">
        <f>IF($L200="D",INDEX('Zgłoszenia'!$H$5:$H$504,$M200)&amp;"",IF($L200="U",INDEX('Dane rozpisek'!$E$2:$E$2600,$M200)&amp;"",IF($L200="H","Operator","")))</f>
        <v/>
      </c>
      <c r="E200" s="49">
        <f>IF($L200="D",INDEX('Zgłoszenia'!$I$5:$I$504,$M200)&amp;"",IF($L200="U",INDEX('Dane rozpisek'!$C$2:$C$2600,$M200)&amp;"",IF($L200="H","Stanowisko","")))</f>
        <v/>
      </c>
      <c r="F200" s="48">
        <f>IF($L200="D",INDEX('Zgłoszenia'!$J$5:$J$504,$M200)&amp;"",IF($L200="U",INDEX('Dane rozpisek'!$G$2:$G$2600,$M200)&amp;"",IF($L200="H","Uwagi","")))</f>
        <v/>
      </c>
      <c r="G200" s="49">
        <f>IF($L200="D",INDEX('Zgłoszenia'!$F$5:$F$504,$M200)&amp;"",IF($L200="U",INDEX('Dane rozpisek'!$L$2:$L$2600,$M200)&amp;"",IF($L200="H","Usterki (dzień / następny)","")))</f>
        <v/>
      </c>
      <c r="H200" s="49">
        <f>IF($L200="D",INDEX('Zgłoszenia'!$P$5:$P$504,$M200)&amp;"",IF($L200="U","",""))</f>
        <v/>
      </c>
      <c r="I200" s="48">
        <f>IF($L200="D",IF(INDEX('Zgłoszenia'!$M$5:$M$504,$M200)="","Zgłoszona",INDEX('Zgłoszenia'!$M$5:$M$504,$M200)),IF($L200="U","",""))</f>
        <v/>
      </c>
      <c r="J200" s="49">
        <f>IF($L200="D",INDEX('Zgłoszenia'!$K$5:$K$504,$M200)&amp;"",IF($L200="U","",""))</f>
        <v/>
      </c>
      <c r="K200" s="2" t="n"/>
      <c r="L200" s="2">
        <f>IF((ROW()-12)&lt;=$L$5,IF($L$2=0,"E1","D"),IF((ROW()-12)=$L$5+1,"",IF((ROW()-12)=$L$5+2,"T",IF((ROW()-12)=$L$5+3,IF($L$3=0,"E2","H"),IF((ROW()-12)&lt;=$L$5+3+$L$3,"U","")))))</f>
        <v/>
      </c>
      <c r="M200" s="2">
        <f>IF(L200="D",MATCH(LARGE('Zgłoszenia'!$Q$5:$Q$504,(ROW()-12)),'Zgłoszenia'!$Q$5:$Q$504,0),IF(L200="U",MATCH(LARGE('Dane rozpisek'!$I$2:$I$2600,(ROW()-12)-$L$5-3),'Dane rozpisek'!$I$2:$I$2600,0),""))</f>
        <v/>
      </c>
    </row>
    <row r="201">
      <c r="A201" s="47">
        <f>IF($L201="D",INDEX('Zgłoszenia'!$D$5:$D$504,$M201),IF($L201="U",INDEX('Dane rozpisek'!$A$2:$A$2600,$M201),IF($L201="T","KTO JEŹDZIŁ",IF($L201="E1","Brak zgłoszonych usterek w tym okresie.",IF($L201="E2","Brak wpisów z tym wózkiem w rozpiskach dla tego okresu.",IF($L201="H","Data",""))))))</f>
        <v/>
      </c>
      <c r="B201" s="48">
        <f>IF($L201="D",INDEX('Zgłoszenia'!$B$5:$B$504,$M201)&amp;"",IF($L201="U",INDEX('Dane rozpisek'!$F$2:$F$2600,$M201)&amp;"",IF($L201="H","Wózek","")))</f>
        <v/>
      </c>
      <c r="C201" s="48">
        <f>IF($L201="D",INDEX('Zgłoszenia'!$E$5:$E$504,$M201)&amp;"",IF($L201="U",INDEX('Dane rozpisek'!$B$2:$B$2600,$M201)&amp;" · "&amp;INDEX('Dane rozpisek'!$J$2:$J$2600,$M201),IF($L201="H","Zmiana","")))</f>
        <v/>
      </c>
      <c r="D201" s="49">
        <f>IF($L201="D",INDEX('Zgłoszenia'!$H$5:$H$504,$M201)&amp;"",IF($L201="U",INDEX('Dane rozpisek'!$E$2:$E$2600,$M201)&amp;"",IF($L201="H","Operator","")))</f>
        <v/>
      </c>
      <c r="E201" s="49">
        <f>IF($L201="D",INDEX('Zgłoszenia'!$I$5:$I$504,$M201)&amp;"",IF($L201="U",INDEX('Dane rozpisek'!$C$2:$C$2600,$M201)&amp;"",IF($L201="H","Stanowisko","")))</f>
        <v/>
      </c>
      <c r="F201" s="48">
        <f>IF($L201="D",INDEX('Zgłoszenia'!$J$5:$J$504,$M201)&amp;"",IF($L201="U",INDEX('Dane rozpisek'!$G$2:$G$2600,$M201)&amp;"",IF($L201="H","Uwagi","")))</f>
        <v/>
      </c>
      <c r="G201" s="49">
        <f>IF($L201="D",INDEX('Zgłoszenia'!$F$5:$F$504,$M201)&amp;"",IF($L201="U",INDEX('Dane rozpisek'!$L$2:$L$2600,$M201)&amp;"",IF($L201="H","Usterki (dzień / następny)","")))</f>
        <v/>
      </c>
      <c r="H201" s="49">
        <f>IF($L201="D",INDEX('Zgłoszenia'!$P$5:$P$504,$M201)&amp;"",IF($L201="U","",""))</f>
        <v/>
      </c>
      <c r="I201" s="48">
        <f>IF($L201="D",IF(INDEX('Zgłoszenia'!$M$5:$M$504,$M201)="","Zgłoszona",INDEX('Zgłoszenia'!$M$5:$M$504,$M201)),IF($L201="U","",""))</f>
        <v/>
      </c>
      <c r="J201" s="49">
        <f>IF($L201="D",INDEX('Zgłoszenia'!$K$5:$K$504,$M201)&amp;"",IF($L201="U","",""))</f>
        <v/>
      </c>
      <c r="K201" s="2" t="n"/>
      <c r="L201" s="2">
        <f>IF((ROW()-12)&lt;=$L$5,IF($L$2=0,"E1","D"),IF((ROW()-12)=$L$5+1,"",IF((ROW()-12)=$L$5+2,"T",IF((ROW()-12)=$L$5+3,IF($L$3=0,"E2","H"),IF((ROW()-12)&lt;=$L$5+3+$L$3,"U","")))))</f>
        <v/>
      </c>
      <c r="M201" s="2">
        <f>IF(L201="D",MATCH(LARGE('Zgłoszenia'!$Q$5:$Q$504,(ROW()-12)),'Zgłoszenia'!$Q$5:$Q$504,0),IF(L201="U",MATCH(LARGE('Dane rozpisek'!$I$2:$I$2600,(ROW()-12)-$L$5-3),'Dane rozpisek'!$I$2:$I$2600,0),""))</f>
        <v/>
      </c>
    </row>
    <row r="202">
      <c r="A202" s="47">
        <f>IF($L202="D",INDEX('Zgłoszenia'!$D$5:$D$504,$M202),IF($L202="U",INDEX('Dane rozpisek'!$A$2:$A$2600,$M202),IF($L202="T","KTO JEŹDZIŁ",IF($L202="E1","Brak zgłoszonych usterek w tym okresie.",IF($L202="E2","Brak wpisów z tym wózkiem w rozpiskach dla tego okresu.",IF($L202="H","Data",""))))))</f>
        <v/>
      </c>
      <c r="B202" s="48">
        <f>IF($L202="D",INDEX('Zgłoszenia'!$B$5:$B$504,$M202)&amp;"",IF($L202="U",INDEX('Dane rozpisek'!$F$2:$F$2600,$M202)&amp;"",IF($L202="H","Wózek","")))</f>
        <v/>
      </c>
      <c r="C202" s="48">
        <f>IF($L202="D",INDEX('Zgłoszenia'!$E$5:$E$504,$M202)&amp;"",IF($L202="U",INDEX('Dane rozpisek'!$B$2:$B$2600,$M202)&amp;" · "&amp;INDEX('Dane rozpisek'!$J$2:$J$2600,$M202),IF($L202="H","Zmiana","")))</f>
        <v/>
      </c>
      <c r="D202" s="49">
        <f>IF($L202="D",INDEX('Zgłoszenia'!$H$5:$H$504,$M202)&amp;"",IF($L202="U",INDEX('Dane rozpisek'!$E$2:$E$2600,$M202)&amp;"",IF($L202="H","Operator","")))</f>
        <v/>
      </c>
      <c r="E202" s="49">
        <f>IF($L202="D",INDEX('Zgłoszenia'!$I$5:$I$504,$M202)&amp;"",IF($L202="U",INDEX('Dane rozpisek'!$C$2:$C$2600,$M202)&amp;"",IF($L202="H","Stanowisko","")))</f>
        <v/>
      </c>
      <c r="F202" s="48">
        <f>IF($L202="D",INDEX('Zgłoszenia'!$J$5:$J$504,$M202)&amp;"",IF($L202="U",INDEX('Dane rozpisek'!$G$2:$G$2600,$M202)&amp;"",IF($L202="H","Uwagi","")))</f>
        <v/>
      </c>
      <c r="G202" s="49">
        <f>IF($L202="D",INDEX('Zgłoszenia'!$F$5:$F$504,$M202)&amp;"",IF($L202="U",INDEX('Dane rozpisek'!$L$2:$L$2600,$M202)&amp;"",IF($L202="H","Usterki (dzień / następny)","")))</f>
        <v/>
      </c>
      <c r="H202" s="49">
        <f>IF($L202="D",INDEX('Zgłoszenia'!$P$5:$P$504,$M202)&amp;"",IF($L202="U","",""))</f>
        <v/>
      </c>
      <c r="I202" s="48">
        <f>IF($L202="D",IF(INDEX('Zgłoszenia'!$M$5:$M$504,$M202)="","Zgłoszona",INDEX('Zgłoszenia'!$M$5:$M$504,$M202)),IF($L202="U","",""))</f>
        <v/>
      </c>
      <c r="J202" s="49">
        <f>IF($L202="D",INDEX('Zgłoszenia'!$K$5:$K$504,$M202)&amp;"",IF($L202="U","",""))</f>
        <v/>
      </c>
      <c r="K202" s="2" t="n"/>
      <c r="L202" s="2">
        <f>IF((ROW()-12)&lt;=$L$5,IF($L$2=0,"E1","D"),IF((ROW()-12)=$L$5+1,"",IF((ROW()-12)=$L$5+2,"T",IF((ROW()-12)=$L$5+3,IF($L$3=0,"E2","H"),IF((ROW()-12)&lt;=$L$5+3+$L$3,"U","")))))</f>
        <v/>
      </c>
      <c r="M202" s="2">
        <f>IF(L202="D",MATCH(LARGE('Zgłoszenia'!$Q$5:$Q$504,(ROW()-12)),'Zgłoszenia'!$Q$5:$Q$504,0),IF(L202="U",MATCH(LARGE('Dane rozpisek'!$I$2:$I$2600,(ROW()-12)-$L$5-3),'Dane rozpisek'!$I$2:$I$2600,0),""))</f>
        <v/>
      </c>
    </row>
    <row r="203">
      <c r="A203" s="47">
        <f>IF($L203="D",INDEX('Zgłoszenia'!$D$5:$D$504,$M203),IF($L203="U",INDEX('Dane rozpisek'!$A$2:$A$2600,$M203),IF($L203="T","KTO JEŹDZIŁ",IF($L203="E1","Brak zgłoszonych usterek w tym okresie.",IF($L203="E2","Brak wpisów z tym wózkiem w rozpiskach dla tego okresu.",IF($L203="H","Data",""))))))</f>
        <v/>
      </c>
      <c r="B203" s="48">
        <f>IF($L203="D",INDEX('Zgłoszenia'!$B$5:$B$504,$M203)&amp;"",IF($L203="U",INDEX('Dane rozpisek'!$F$2:$F$2600,$M203)&amp;"",IF($L203="H","Wózek","")))</f>
        <v/>
      </c>
      <c r="C203" s="48">
        <f>IF($L203="D",INDEX('Zgłoszenia'!$E$5:$E$504,$M203)&amp;"",IF($L203="U",INDEX('Dane rozpisek'!$B$2:$B$2600,$M203)&amp;" · "&amp;INDEX('Dane rozpisek'!$J$2:$J$2600,$M203),IF($L203="H","Zmiana","")))</f>
        <v/>
      </c>
      <c r="D203" s="49">
        <f>IF($L203="D",INDEX('Zgłoszenia'!$H$5:$H$504,$M203)&amp;"",IF($L203="U",INDEX('Dane rozpisek'!$E$2:$E$2600,$M203)&amp;"",IF($L203="H","Operator","")))</f>
        <v/>
      </c>
      <c r="E203" s="49">
        <f>IF($L203="D",INDEX('Zgłoszenia'!$I$5:$I$504,$M203)&amp;"",IF($L203="U",INDEX('Dane rozpisek'!$C$2:$C$2600,$M203)&amp;"",IF($L203="H","Stanowisko","")))</f>
        <v/>
      </c>
      <c r="F203" s="48">
        <f>IF($L203="D",INDEX('Zgłoszenia'!$J$5:$J$504,$M203)&amp;"",IF($L203="U",INDEX('Dane rozpisek'!$G$2:$G$2600,$M203)&amp;"",IF($L203="H","Uwagi","")))</f>
        <v/>
      </c>
      <c r="G203" s="49">
        <f>IF($L203="D",INDEX('Zgłoszenia'!$F$5:$F$504,$M203)&amp;"",IF($L203="U",INDEX('Dane rozpisek'!$L$2:$L$2600,$M203)&amp;"",IF($L203="H","Usterki (dzień / następny)","")))</f>
        <v/>
      </c>
      <c r="H203" s="49">
        <f>IF($L203="D",INDEX('Zgłoszenia'!$P$5:$P$504,$M203)&amp;"",IF($L203="U","",""))</f>
        <v/>
      </c>
      <c r="I203" s="48">
        <f>IF($L203="D",IF(INDEX('Zgłoszenia'!$M$5:$M$504,$M203)="","Zgłoszona",INDEX('Zgłoszenia'!$M$5:$M$504,$M203)),IF($L203="U","",""))</f>
        <v/>
      </c>
      <c r="J203" s="49">
        <f>IF($L203="D",INDEX('Zgłoszenia'!$K$5:$K$504,$M203)&amp;"",IF($L203="U","",""))</f>
        <v/>
      </c>
      <c r="K203" s="2" t="n"/>
      <c r="L203" s="2">
        <f>IF((ROW()-12)&lt;=$L$5,IF($L$2=0,"E1","D"),IF((ROW()-12)=$L$5+1,"",IF((ROW()-12)=$L$5+2,"T",IF((ROW()-12)=$L$5+3,IF($L$3=0,"E2","H"),IF((ROW()-12)&lt;=$L$5+3+$L$3,"U","")))))</f>
        <v/>
      </c>
      <c r="M203" s="2">
        <f>IF(L203="D",MATCH(LARGE('Zgłoszenia'!$Q$5:$Q$504,(ROW()-12)),'Zgłoszenia'!$Q$5:$Q$504,0),IF(L203="U",MATCH(LARGE('Dane rozpisek'!$I$2:$I$2600,(ROW()-12)-$L$5-3),'Dane rozpisek'!$I$2:$I$2600,0),""))</f>
        <v/>
      </c>
    </row>
    <row r="204">
      <c r="A204" s="47">
        <f>IF($L204="D",INDEX('Zgłoszenia'!$D$5:$D$504,$M204),IF($L204="U",INDEX('Dane rozpisek'!$A$2:$A$2600,$M204),IF($L204="T","KTO JEŹDZIŁ",IF($L204="E1","Brak zgłoszonych usterek w tym okresie.",IF($L204="E2","Brak wpisów z tym wózkiem w rozpiskach dla tego okresu.",IF($L204="H","Data",""))))))</f>
        <v/>
      </c>
      <c r="B204" s="48">
        <f>IF($L204="D",INDEX('Zgłoszenia'!$B$5:$B$504,$M204)&amp;"",IF($L204="U",INDEX('Dane rozpisek'!$F$2:$F$2600,$M204)&amp;"",IF($L204="H","Wózek","")))</f>
        <v/>
      </c>
      <c r="C204" s="48">
        <f>IF($L204="D",INDEX('Zgłoszenia'!$E$5:$E$504,$M204)&amp;"",IF($L204="U",INDEX('Dane rozpisek'!$B$2:$B$2600,$M204)&amp;" · "&amp;INDEX('Dane rozpisek'!$J$2:$J$2600,$M204),IF($L204="H","Zmiana","")))</f>
        <v/>
      </c>
      <c r="D204" s="49">
        <f>IF($L204="D",INDEX('Zgłoszenia'!$H$5:$H$504,$M204)&amp;"",IF($L204="U",INDEX('Dane rozpisek'!$E$2:$E$2600,$M204)&amp;"",IF($L204="H","Operator","")))</f>
        <v/>
      </c>
      <c r="E204" s="49">
        <f>IF($L204="D",INDEX('Zgłoszenia'!$I$5:$I$504,$M204)&amp;"",IF($L204="U",INDEX('Dane rozpisek'!$C$2:$C$2600,$M204)&amp;"",IF($L204="H","Stanowisko","")))</f>
        <v/>
      </c>
      <c r="F204" s="48">
        <f>IF($L204="D",INDEX('Zgłoszenia'!$J$5:$J$504,$M204)&amp;"",IF($L204="U",INDEX('Dane rozpisek'!$G$2:$G$2600,$M204)&amp;"",IF($L204="H","Uwagi","")))</f>
        <v/>
      </c>
      <c r="G204" s="49">
        <f>IF($L204="D",INDEX('Zgłoszenia'!$F$5:$F$504,$M204)&amp;"",IF($L204="U",INDEX('Dane rozpisek'!$L$2:$L$2600,$M204)&amp;"",IF($L204="H","Usterki (dzień / następny)","")))</f>
        <v/>
      </c>
      <c r="H204" s="49">
        <f>IF($L204="D",INDEX('Zgłoszenia'!$P$5:$P$504,$M204)&amp;"",IF($L204="U","",""))</f>
        <v/>
      </c>
      <c r="I204" s="48">
        <f>IF($L204="D",IF(INDEX('Zgłoszenia'!$M$5:$M$504,$M204)="","Zgłoszona",INDEX('Zgłoszenia'!$M$5:$M$504,$M204)),IF($L204="U","",""))</f>
        <v/>
      </c>
      <c r="J204" s="49">
        <f>IF($L204="D",INDEX('Zgłoszenia'!$K$5:$K$504,$M204)&amp;"",IF($L204="U","",""))</f>
        <v/>
      </c>
      <c r="K204" s="2" t="n"/>
      <c r="L204" s="2">
        <f>IF((ROW()-12)&lt;=$L$5,IF($L$2=0,"E1","D"),IF((ROW()-12)=$L$5+1,"",IF((ROW()-12)=$L$5+2,"T",IF((ROW()-12)=$L$5+3,IF($L$3=0,"E2","H"),IF((ROW()-12)&lt;=$L$5+3+$L$3,"U","")))))</f>
        <v/>
      </c>
      <c r="M204" s="2">
        <f>IF(L204="D",MATCH(LARGE('Zgłoszenia'!$Q$5:$Q$504,(ROW()-12)),'Zgłoszenia'!$Q$5:$Q$504,0),IF(L204="U",MATCH(LARGE('Dane rozpisek'!$I$2:$I$2600,(ROW()-12)-$L$5-3),'Dane rozpisek'!$I$2:$I$2600,0),""))</f>
        <v/>
      </c>
    </row>
    <row r="205">
      <c r="A205" s="47">
        <f>IF($L205="D",INDEX('Zgłoszenia'!$D$5:$D$504,$M205),IF($L205="U",INDEX('Dane rozpisek'!$A$2:$A$2600,$M205),IF($L205="T","KTO JEŹDZIŁ",IF($L205="E1","Brak zgłoszonych usterek w tym okresie.",IF($L205="E2","Brak wpisów z tym wózkiem w rozpiskach dla tego okresu.",IF($L205="H","Data",""))))))</f>
        <v/>
      </c>
      <c r="B205" s="48">
        <f>IF($L205="D",INDEX('Zgłoszenia'!$B$5:$B$504,$M205)&amp;"",IF($L205="U",INDEX('Dane rozpisek'!$F$2:$F$2600,$M205)&amp;"",IF($L205="H","Wózek","")))</f>
        <v/>
      </c>
      <c r="C205" s="48">
        <f>IF($L205="D",INDEX('Zgłoszenia'!$E$5:$E$504,$M205)&amp;"",IF($L205="U",INDEX('Dane rozpisek'!$B$2:$B$2600,$M205)&amp;" · "&amp;INDEX('Dane rozpisek'!$J$2:$J$2600,$M205),IF($L205="H","Zmiana","")))</f>
        <v/>
      </c>
      <c r="D205" s="49">
        <f>IF($L205="D",INDEX('Zgłoszenia'!$H$5:$H$504,$M205)&amp;"",IF($L205="U",INDEX('Dane rozpisek'!$E$2:$E$2600,$M205)&amp;"",IF($L205="H","Operator","")))</f>
        <v/>
      </c>
      <c r="E205" s="49">
        <f>IF($L205="D",INDEX('Zgłoszenia'!$I$5:$I$504,$M205)&amp;"",IF($L205="U",INDEX('Dane rozpisek'!$C$2:$C$2600,$M205)&amp;"",IF($L205="H","Stanowisko","")))</f>
        <v/>
      </c>
      <c r="F205" s="48">
        <f>IF($L205="D",INDEX('Zgłoszenia'!$J$5:$J$504,$M205)&amp;"",IF($L205="U",INDEX('Dane rozpisek'!$G$2:$G$2600,$M205)&amp;"",IF($L205="H","Uwagi","")))</f>
        <v/>
      </c>
      <c r="G205" s="49">
        <f>IF($L205="D",INDEX('Zgłoszenia'!$F$5:$F$504,$M205)&amp;"",IF($L205="U",INDEX('Dane rozpisek'!$L$2:$L$2600,$M205)&amp;"",IF($L205="H","Usterki (dzień / następny)","")))</f>
        <v/>
      </c>
      <c r="H205" s="49">
        <f>IF($L205="D",INDEX('Zgłoszenia'!$P$5:$P$504,$M205)&amp;"",IF($L205="U","",""))</f>
        <v/>
      </c>
      <c r="I205" s="48">
        <f>IF($L205="D",IF(INDEX('Zgłoszenia'!$M$5:$M$504,$M205)="","Zgłoszona",INDEX('Zgłoszenia'!$M$5:$M$504,$M205)),IF($L205="U","",""))</f>
        <v/>
      </c>
      <c r="J205" s="49">
        <f>IF($L205="D",INDEX('Zgłoszenia'!$K$5:$K$504,$M205)&amp;"",IF($L205="U","",""))</f>
        <v/>
      </c>
      <c r="K205" s="2" t="n"/>
      <c r="L205" s="2">
        <f>IF((ROW()-12)&lt;=$L$5,IF($L$2=0,"E1","D"),IF((ROW()-12)=$L$5+1,"",IF((ROW()-12)=$L$5+2,"T",IF((ROW()-12)=$L$5+3,IF($L$3=0,"E2","H"),IF((ROW()-12)&lt;=$L$5+3+$L$3,"U","")))))</f>
        <v/>
      </c>
      <c r="M205" s="2">
        <f>IF(L205="D",MATCH(LARGE('Zgłoszenia'!$Q$5:$Q$504,(ROW()-12)),'Zgłoszenia'!$Q$5:$Q$504,0),IF(L205="U",MATCH(LARGE('Dane rozpisek'!$I$2:$I$2600,(ROW()-12)-$L$5-3),'Dane rozpisek'!$I$2:$I$2600,0),""))</f>
        <v/>
      </c>
    </row>
    <row r="206">
      <c r="A206" s="47">
        <f>IF($L206="D",INDEX('Zgłoszenia'!$D$5:$D$504,$M206),IF($L206="U",INDEX('Dane rozpisek'!$A$2:$A$2600,$M206),IF($L206="T","KTO JEŹDZIŁ",IF($L206="E1","Brak zgłoszonych usterek w tym okresie.",IF($L206="E2","Brak wpisów z tym wózkiem w rozpiskach dla tego okresu.",IF($L206="H","Data",""))))))</f>
        <v/>
      </c>
      <c r="B206" s="48">
        <f>IF($L206="D",INDEX('Zgłoszenia'!$B$5:$B$504,$M206)&amp;"",IF($L206="U",INDEX('Dane rozpisek'!$F$2:$F$2600,$M206)&amp;"",IF($L206="H","Wózek","")))</f>
        <v/>
      </c>
      <c r="C206" s="48">
        <f>IF($L206="D",INDEX('Zgłoszenia'!$E$5:$E$504,$M206)&amp;"",IF($L206="U",INDEX('Dane rozpisek'!$B$2:$B$2600,$M206)&amp;" · "&amp;INDEX('Dane rozpisek'!$J$2:$J$2600,$M206),IF($L206="H","Zmiana","")))</f>
        <v/>
      </c>
      <c r="D206" s="49">
        <f>IF($L206="D",INDEX('Zgłoszenia'!$H$5:$H$504,$M206)&amp;"",IF($L206="U",INDEX('Dane rozpisek'!$E$2:$E$2600,$M206)&amp;"",IF($L206="H","Operator","")))</f>
        <v/>
      </c>
      <c r="E206" s="49">
        <f>IF($L206="D",INDEX('Zgłoszenia'!$I$5:$I$504,$M206)&amp;"",IF($L206="U",INDEX('Dane rozpisek'!$C$2:$C$2600,$M206)&amp;"",IF($L206="H","Stanowisko","")))</f>
        <v/>
      </c>
      <c r="F206" s="48">
        <f>IF($L206="D",INDEX('Zgłoszenia'!$J$5:$J$504,$M206)&amp;"",IF($L206="U",INDEX('Dane rozpisek'!$G$2:$G$2600,$M206)&amp;"",IF($L206="H","Uwagi","")))</f>
        <v/>
      </c>
      <c r="G206" s="49">
        <f>IF($L206="D",INDEX('Zgłoszenia'!$F$5:$F$504,$M206)&amp;"",IF($L206="U",INDEX('Dane rozpisek'!$L$2:$L$2600,$M206)&amp;"",IF($L206="H","Usterki (dzień / następny)","")))</f>
        <v/>
      </c>
      <c r="H206" s="49">
        <f>IF($L206="D",INDEX('Zgłoszenia'!$P$5:$P$504,$M206)&amp;"",IF($L206="U","",""))</f>
        <v/>
      </c>
      <c r="I206" s="48">
        <f>IF($L206="D",IF(INDEX('Zgłoszenia'!$M$5:$M$504,$M206)="","Zgłoszona",INDEX('Zgłoszenia'!$M$5:$M$504,$M206)),IF($L206="U","",""))</f>
        <v/>
      </c>
      <c r="J206" s="49">
        <f>IF($L206="D",INDEX('Zgłoszenia'!$K$5:$K$504,$M206)&amp;"",IF($L206="U","",""))</f>
        <v/>
      </c>
      <c r="K206" s="2" t="n"/>
      <c r="L206" s="2">
        <f>IF((ROW()-12)&lt;=$L$5,IF($L$2=0,"E1","D"),IF((ROW()-12)=$L$5+1,"",IF((ROW()-12)=$L$5+2,"T",IF((ROW()-12)=$L$5+3,IF($L$3=0,"E2","H"),IF((ROW()-12)&lt;=$L$5+3+$L$3,"U","")))))</f>
        <v/>
      </c>
      <c r="M206" s="2">
        <f>IF(L206="D",MATCH(LARGE('Zgłoszenia'!$Q$5:$Q$504,(ROW()-12)),'Zgłoszenia'!$Q$5:$Q$504,0),IF(L206="U",MATCH(LARGE('Dane rozpisek'!$I$2:$I$2600,(ROW()-12)-$L$5-3),'Dane rozpisek'!$I$2:$I$2600,0),""))</f>
        <v/>
      </c>
    </row>
    <row r="207">
      <c r="A207" s="47">
        <f>IF($L207="D",INDEX('Zgłoszenia'!$D$5:$D$504,$M207),IF($L207="U",INDEX('Dane rozpisek'!$A$2:$A$2600,$M207),IF($L207="T","KTO JEŹDZIŁ",IF($L207="E1","Brak zgłoszonych usterek w tym okresie.",IF($L207="E2","Brak wpisów z tym wózkiem w rozpiskach dla tego okresu.",IF($L207="H","Data",""))))))</f>
        <v/>
      </c>
      <c r="B207" s="48">
        <f>IF($L207="D",INDEX('Zgłoszenia'!$B$5:$B$504,$M207)&amp;"",IF($L207="U",INDEX('Dane rozpisek'!$F$2:$F$2600,$M207)&amp;"",IF($L207="H","Wózek","")))</f>
        <v/>
      </c>
      <c r="C207" s="48">
        <f>IF($L207="D",INDEX('Zgłoszenia'!$E$5:$E$504,$M207)&amp;"",IF($L207="U",INDEX('Dane rozpisek'!$B$2:$B$2600,$M207)&amp;" · "&amp;INDEX('Dane rozpisek'!$J$2:$J$2600,$M207),IF($L207="H","Zmiana","")))</f>
        <v/>
      </c>
      <c r="D207" s="49">
        <f>IF($L207="D",INDEX('Zgłoszenia'!$H$5:$H$504,$M207)&amp;"",IF($L207="U",INDEX('Dane rozpisek'!$E$2:$E$2600,$M207)&amp;"",IF($L207="H","Operator","")))</f>
        <v/>
      </c>
      <c r="E207" s="49">
        <f>IF($L207="D",INDEX('Zgłoszenia'!$I$5:$I$504,$M207)&amp;"",IF($L207="U",INDEX('Dane rozpisek'!$C$2:$C$2600,$M207)&amp;"",IF($L207="H","Stanowisko","")))</f>
        <v/>
      </c>
      <c r="F207" s="48">
        <f>IF($L207="D",INDEX('Zgłoszenia'!$J$5:$J$504,$M207)&amp;"",IF($L207="U",INDEX('Dane rozpisek'!$G$2:$G$2600,$M207)&amp;"",IF($L207="H","Uwagi","")))</f>
        <v/>
      </c>
      <c r="G207" s="49">
        <f>IF($L207="D",INDEX('Zgłoszenia'!$F$5:$F$504,$M207)&amp;"",IF($L207="U",INDEX('Dane rozpisek'!$L$2:$L$2600,$M207)&amp;"",IF($L207="H","Usterki (dzień / następny)","")))</f>
        <v/>
      </c>
      <c r="H207" s="49">
        <f>IF($L207="D",INDEX('Zgłoszenia'!$P$5:$P$504,$M207)&amp;"",IF($L207="U","",""))</f>
        <v/>
      </c>
      <c r="I207" s="48">
        <f>IF($L207="D",IF(INDEX('Zgłoszenia'!$M$5:$M$504,$M207)="","Zgłoszona",INDEX('Zgłoszenia'!$M$5:$M$504,$M207)),IF($L207="U","",""))</f>
        <v/>
      </c>
      <c r="J207" s="49">
        <f>IF($L207="D",INDEX('Zgłoszenia'!$K$5:$K$504,$M207)&amp;"",IF($L207="U","",""))</f>
        <v/>
      </c>
      <c r="K207" s="2" t="n"/>
      <c r="L207" s="2">
        <f>IF((ROW()-12)&lt;=$L$5,IF($L$2=0,"E1","D"),IF((ROW()-12)=$L$5+1,"",IF((ROW()-12)=$L$5+2,"T",IF((ROW()-12)=$L$5+3,IF($L$3=0,"E2","H"),IF((ROW()-12)&lt;=$L$5+3+$L$3,"U","")))))</f>
        <v/>
      </c>
      <c r="M207" s="2">
        <f>IF(L207="D",MATCH(LARGE('Zgłoszenia'!$Q$5:$Q$504,(ROW()-12)),'Zgłoszenia'!$Q$5:$Q$504,0),IF(L207="U",MATCH(LARGE('Dane rozpisek'!$I$2:$I$2600,(ROW()-12)-$L$5-3),'Dane rozpisek'!$I$2:$I$2600,0),""))</f>
        <v/>
      </c>
    </row>
    <row r="208">
      <c r="A208" s="47">
        <f>IF($L208="D",INDEX('Zgłoszenia'!$D$5:$D$504,$M208),IF($L208="U",INDEX('Dane rozpisek'!$A$2:$A$2600,$M208),IF($L208="T","KTO JEŹDZIŁ",IF($L208="E1","Brak zgłoszonych usterek w tym okresie.",IF($L208="E2","Brak wpisów z tym wózkiem w rozpiskach dla tego okresu.",IF($L208="H","Data",""))))))</f>
        <v/>
      </c>
      <c r="B208" s="48">
        <f>IF($L208="D",INDEX('Zgłoszenia'!$B$5:$B$504,$M208)&amp;"",IF($L208="U",INDEX('Dane rozpisek'!$F$2:$F$2600,$M208)&amp;"",IF($L208="H","Wózek","")))</f>
        <v/>
      </c>
      <c r="C208" s="48">
        <f>IF($L208="D",INDEX('Zgłoszenia'!$E$5:$E$504,$M208)&amp;"",IF($L208="U",INDEX('Dane rozpisek'!$B$2:$B$2600,$M208)&amp;" · "&amp;INDEX('Dane rozpisek'!$J$2:$J$2600,$M208),IF($L208="H","Zmiana","")))</f>
        <v/>
      </c>
      <c r="D208" s="49">
        <f>IF($L208="D",INDEX('Zgłoszenia'!$H$5:$H$504,$M208)&amp;"",IF($L208="U",INDEX('Dane rozpisek'!$E$2:$E$2600,$M208)&amp;"",IF($L208="H","Operator","")))</f>
        <v/>
      </c>
      <c r="E208" s="49">
        <f>IF($L208="D",INDEX('Zgłoszenia'!$I$5:$I$504,$M208)&amp;"",IF($L208="U",INDEX('Dane rozpisek'!$C$2:$C$2600,$M208)&amp;"",IF($L208="H","Stanowisko","")))</f>
        <v/>
      </c>
      <c r="F208" s="48">
        <f>IF($L208="D",INDEX('Zgłoszenia'!$J$5:$J$504,$M208)&amp;"",IF($L208="U",INDEX('Dane rozpisek'!$G$2:$G$2600,$M208)&amp;"",IF($L208="H","Uwagi","")))</f>
        <v/>
      </c>
      <c r="G208" s="49">
        <f>IF($L208="D",INDEX('Zgłoszenia'!$F$5:$F$504,$M208)&amp;"",IF($L208="U",INDEX('Dane rozpisek'!$L$2:$L$2600,$M208)&amp;"",IF($L208="H","Usterki (dzień / następny)","")))</f>
        <v/>
      </c>
      <c r="H208" s="49">
        <f>IF($L208="D",INDEX('Zgłoszenia'!$P$5:$P$504,$M208)&amp;"",IF($L208="U","",""))</f>
        <v/>
      </c>
      <c r="I208" s="48">
        <f>IF($L208="D",IF(INDEX('Zgłoszenia'!$M$5:$M$504,$M208)="","Zgłoszona",INDEX('Zgłoszenia'!$M$5:$M$504,$M208)),IF($L208="U","",""))</f>
        <v/>
      </c>
      <c r="J208" s="49">
        <f>IF($L208="D",INDEX('Zgłoszenia'!$K$5:$K$504,$M208)&amp;"",IF($L208="U","",""))</f>
        <v/>
      </c>
      <c r="K208" s="2" t="n"/>
      <c r="L208" s="2">
        <f>IF((ROW()-12)&lt;=$L$5,IF($L$2=0,"E1","D"),IF((ROW()-12)=$L$5+1,"",IF((ROW()-12)=$L$5+2,"T",IF((ROW()-12)=$L$5+3,IF($L$3=0,"E2","H"),IF((ROW()-12)&lt;=$L$5+3+$L$3,"U","")))))</f>
        <v/>
      </c>
      <c r="M208" s="2">
        <f>IF(L208="D",MATCH(LARGE('Zgłoszenia'!$Q$5:$Q$504,(ROW()-12)),'Zgłoszenia'!$Q$5:$Q$504,0),IF(L208="U",MATCH(LARGE('Dane rozpisek'!$I$2:$I$2600,(ROW()-12)-$L$5-3),'Dane rozpisek'!$I$2:$I$2600,0),""))</f>
        <v/>
      </c>
    </row>
    <row r="209">
      <c r="A209" s="47">
        <f>IF($L209="D",INDEX('Zgłoszenia'!$D$5:$D$504,$M209),IF($L209="U",INDEX('Dane rozpisek'!$A$2:$A$2600,$M209),IF($L209="T","KTO JEŹDZIŁ",IF($L209="E1","Brak zgłoszonych usterek w tym okresie.",IF($L209="E2","Brak wpisów z tym wózkiem w rozpiskach dla tego okresu.",IF($L209="H","Data",""))))))</f>
        <v/>
      </c>
      <c r="B209" s="48">
        <f>IF($L209="D",INDEX('Zgłoszenia'!$B$5:$B$504,$M209)&amp;"",IF($L209="U",INDEX('Dane rozpisek'!$F$2:$F$2600,$M209)&amp;"",IF($L209="H","Wózek","")))</f>
        <v/>
      </c>
      <c r="C209" s="48">
        <f>IF($L209="D",INDEX('Zgłoszenia'!$E$5:$E$504,$M209)&amp;"",IF($L209="U",INDEX('Dane rozpisek'!$B$2:$B$2600,$M209)&amp;" · "&amp;INDEX('Dane rozpisek'!$J$2:$J$2600,$M209),IF($L209="H","Zmiana","")))</f>
        <v/>
      </c>
      <c r="D209" s="49">
        <f>IF($L209="D",INDEX('Zgłoszenia'!$H$5:$H$504,$M209)&amp;"",IF($L209="U",INDEX('Dane rozpisek'!$E$2:$E$2600,$M209)&amp;"",IF($L209="H","Operator","")))</f>
        <v/>
      </c>
      <c r="E209" s="49">
        <f>IF($L209="D",INDEX('Zgłoszenia'!$I$5:$I$504,$M209)&amp;"",IF($L209="U",INDEX('Dane rozpisek'!$C$2:$C$2600,$M209)&amp;"",IF($L209="H","Stanowisko","")))</f>
        <v/>
      </c>
      <c r="F209" s="48">
        <f>IF($L209="D",INDEX('Zgłoszenia'!$J$5:$J$504,$M209)&amp;"",IF($L209="U",INDEX('Dane rozpisek'!$G$2:$G$2600,$M209)&amp;"",IF($L209="H","Uwagi","")))</f>
        <v/>
      </c>
      <c r="G209" s="49">
        <f>IF($L209="D",INDEX('Zgłoszenia'!$F$5:$F$504,$M209)&amp;"",IF($L209="U",INDEX('Dane rozpisek'!$L$2:$L$2600,$M209)&amp;"",IF($L209="H","Usterki (dzień / następny)","")))</f>
        <v/>
      </c>
      <c r="H209" s="49">
        <f>IF($L209="D",INDEX('Zgłoszenia'!$P$5:$P$504,$M209)&amp;"",IF($L209="U","",""))</f>
        <v/>
      </c>
      <c r="I209" s="48">
        <f>IF($L209="D",IF(INDEX('Zgłoszenia'!$M$5:$M$504,$M209)="","Zgłoszona",INDEX('Zgłoszenia'!$M$5:$M$504,$M209)),IF($L209="U","",""))</f>
        <v/>
      </c>
      <c r="J209" s="49">
        <f>IF($L209="D",INDEX('Zgłoszenia'!$K$5:$K$504,$M209)&amp;"",IF($L209="U","",""))</f>
        <v/>
      </c>
      <c r="K209" s="2" t="n"/>
      <c r="L209" s="2">
        <f>IF((ROW()-12)&lt;=$L$5,IF($L$2=0,"E1","D"),IF((ROW()-12)=$L$5+1,"",IF((ROW()-12)=$L$5+2,"T",IF((ROW()-12)=$L$5+3,IF($L$3=0,"E2","H"),IF((ROW()-12)&lt;=$L$5+3+$L$3,"U","")))))</f>
        <v/>
      </c>
      <c r="M209" s="2">
        <f>IF(L209="D",MATCH(LARGE('Zgłoszenia'!$Q$5:$Q$504,(ROW()-12)),'Zgłoszenia'!$Q$5:$Q$504,0),IF(L209="U",MATCH(LARGE('Dane rozpisek'!$I$2:$I$2600,(ROW()-12)-$L$5-3),'Dane rozpisek'!$I$2:$I$2600,0),""))</f>
        <v/>
      </c>
    </row>
    <row r="210">
      <c r="A210" s="47">
        <f>IF($L210="D",INDEX('Zgłoszenia'!$D$5:$D$504,$M210),IF($L210="U",INDEX('Dane rozpisek'!$A$2:$A$2600,$M210),IF($L210="T","KTO JEŹDZIŁ",IF($L210="E1","Brak zgłoszonych usterek w tym okresie.",IF($L210="E2","Brak wpisów z tym wózkiem w rozpiskach dla tego okresu.",IF($L210="H","Data",""))))))</f>
        <v/>
      </c>
      <c r="B210" s="48">
        <f>IF($L210="D",INDEX('Zgłoszenia'!$B$5:$B$504,$M210)&amp;"",IF($L210="U",INDEX('Dane rozpisek'!$F$2:$F$2600,$M210)&amp;"",IF($L210="H","Wózek","")))</f>
        <v/>
      </c>
      <c r="C210" s="48">
        <f>IF($L210="D",INDEX('Zgłoszenia'!$E$5:$E$504,$M210)&amp;"",IF($L210="U",INDEX('Dane rozpisek'!$B$2:$B$2600,$M210)&amp;" · "&amp;INDEX('Dane rozpisek'!$J$2:$J$2600,$M210),IF($L210="H","Zmiana","")))</f>
        <v/>
      </c>
      <c r="D210" s="49">
        <f>IF($L210="D",INDEX('Zgłoszenia'!$H$5:$H$504,$M210)&amp;"",IF($L210="U",INDEX('Dane rozpisek'!$E$2:$E$2600,$M210)&amp;"",IF($L210="H","Operator","")))</f>
        <v/>
      </c>
      <c r="E210" s="49">
        <f>IF($L210="D",INDEX('Zgłoszenia'!$I$5:$I$504,$M210)&amp;"",IF($L210="U",INDEX('Dane rozpisek'!$C$2:$C$2600,$M210)&amp;"",IF($L210="H","Stanowisko","")))</f>
        <v/>
      </c>
      <c r="F210" s="48">
        <f>IF($L210="D",INDEX('Zgłoszenia'!$J$5:$J$504,$M210)&amp;"",IF($L210="U",INDEX('Dane rozpisek'!$G$2:$G$2600,$M210)&amp;"",IF($L210="H","Uwagi","")))</f>
        <v/>
      </c>
      <c r="G210" s="49">
        <f>IF($L210="D",INDEX('Zgłoszenia'!$F$5:$F$504,$M210)&amp;"",IF($L210="U",INDEX('Dane rozpisek'!$L$2:$L$2600,$M210)&amp;"",IF($L210="H","Usterki (dzień / następny)","")))</f>
        <v/>
      </c>
      <c r="H210" s="49">
        <f>IF($L210="D",INDEX('Zgłoszenia'!$P$5:$P$504,$M210)&amp;"",IF($L210="U","",""))</f>
        <v/>
      </c>
      <c r="I210" s="48">
        <f>IF($L210="D",IF(INDEX('Zgłoszenia'!$M$5:$M$504,$M210)="","Zgłoszona",INDEX('Zgłoszenia'!$M$5:$M$504,$M210)),IF($L210="U","",""))</f>
        <v/>
      </c>
      <c r="J210" s="49">
        <f>IF($L210="D",INDEX('Zgłoszenia'!$K$5:$K$504,$M210)&amp;"",IF($L210="U","",""))</f>
        <v/>
      </c>
      <c r="K210" s="2" t="n"/>
      <c r="L210" s="2">
        <f>IF((ROW()-12)&lt;=$L$5,IF($L$2=0,"E1","D"),IF((ROW()-12)=$L$5+1,"",IF((ROW()-12)=$L$5+2,"T",IF((ROW()-12)=$L$5+3,IF($L$3=0,"E2","H"),IF((ROW()-12)&lt;=$L$5+3+$L$3,"U","")))))</f>
        <v/>
      </c>
      <c r="M210" s="2">
        <f>IF(L210="D",MATCH(LARGE('Zgłoszenia'!$Q$5:$Q$504,(ROW()-12)),'Zgłoszenia'!$Q$5:$Q$504,0),IF(L210="U",MATCH(LARGE('Dane rozpisek'!$I$2:$I$2600,(ROW()-12)-$L$5-3),'Dane rozpisek'!$I$2:$I$2600,0),""))</f>
        <v/>
      </c>
    </row>
    <row r="211">
      <c r="A211" s="47">
        <f>IF($L211="D",INDEX('Zgłoszenia'!$D$5:$D$504,$M211),IF($L211="U",INDEX('Dane rozpisek'!$A$2:$A$2600,$M211),IF($L211="T","KTO JEŹDZIŁ",IF($L211="E1","Brak zgłoszonych usterek w tym okresie.",IF($L211="E2","Brak wpisów z tym wózkiem w rozpiskach dla tego okresu.",IF($L211="H","Data",""))))))</f>
        <v/>
      </c>
      <c r="B211" s="48">
        <f>IF($L211="D",INDEX('Zgłoszenia'!$B$5:$B$504,$M211)&amp;"",IF($L211="U",INDEX('Dane rozpisek'!$F$2:$F$2600,$M211)&amp;"",IF($L211="H","Wózek","")))</f>
        <v/>
      </c>
      <c r="C211" s="48">
        <f>IF($L211="D",INDEX('Zgłoszenia'!$E$5:$E$504,$M211)&amp;"",IF($L211="U",INDEX('Dane rozpisek'!$B$2:$B$2600,$M211)&amp;" · "&amp;INDEX('Dane rozpisek'!$J$2:$J$2600,$M211),IF($L211="H","Zmiana","")))</f>
        <v/>
      </c>
      <c r="D211" s="49">
        <f>IF($L211="D",INDEX('Zgłoszenia'!$H$5:$H$504,$M211)&amp;"",IF($L211="U",INDEX('Dane rozpisek'!$E$2:$E$2600,$M211)&amp;"",IF($L211="H","Operator","")))</f>
        <v/>
      </c>
      <c r="E211" s="49">
        <f>IF($L211="D",INDEX('Zgłoszenia'!$I$5:$I$504,$M211)&amp;"",IF($L211="U",INDEX('Dane rozpisek'!$C$2:$C$2600,$M211)&amp;"",IF($L211="H","Stanowisko","")))</f>
        <v/>
      </c>
      <c r="F211" s="48">
        <f>IF($L211="D",INDEX('Zgłoszenia'!$J$5:$J$504,$M211)&amp;"",IF($L211="U",INDEX('Dane rozpisek'!$G$2:$G$2600,$M211)&amp;"",IF($L211="H","Uwagi","")))</f>
        <v/>
      </c>
      <c r="G211" s="49">
        <f>IF($L211="D",INDEX('Zgłoszenia'!$F$5:$F$504,$M211)&amp;"",IF($L211="U",INDEX('Dane rozpisek'!$L$2:$L$2600,$M211)&amp;"",IF($L211="H","Usterki (dzień / następny)","")))</f>
        <v/>
      </c>
      <c r="H211" s="49">
        <f>IF($L211="D",INDEX('Zgłoszenia'!$P$5:$P$504,$M211)&amp;"",IF($L211="U","",""))</f>
        <v/>
      </c>
      <c r="I211" s="48">
        <f>IF($L211="D",IF(INDEX('Zgłoszenia'!$M$5:$M$504,$M211)="","Zgłoszona",INDEX('Zgłoszenia'!$M$5:$M$504,$M211)),IF($L211="U","",""))</f>
        <v/>
      </c>
      <c r="J211" s="49">
        <f>IF($L211="D",INDEX('Zgłoszenia'!$K$5:$K$504,$M211)&amp;"",IF($L211="U","",""))</f>
        <v/>
      </c>
      <c r="K211" s="2" t="n"/>
      <c r="L211" s="2">
        <f>IF((ROW()-12)&lt;=$L$5,IF($L$2=0,"E1","D"),IF((ROW()-12)=$L$5+1,"",IF((ROW()-12)=$L$5+2,"T",IF((ROW()-12)=$L$5+3,IF($L$3=0,"E2","H"),IF((ROW()-12)&lt;=$L$5+3+$L$3,"U","")))))</f>
        <v/>
      </c>
      <c r="M211" s="2">
        <f>IF(L211="D",MATCH(LARGE('Zgłoszenia'!$Q$5:$Q$504,(ROW()-12)),'Zgłoszenia'!$Q$5:$Q$504,0),IF(L211="U",MATCH(LARGE('Dane rozpisek'!$I$2:$I$2600,(ROW()-12)-$L$5-3),'Dane rozpisek'!$I$2:$I$2600,0),""))</f>
        <v/>
      </c>
    </row>
    <row r="212">
      <c r="A212" s="47">
        <f>IF($L212="D",INDEX('Zgłoszenia'!$D$5:$D$504,$M212),IF($L212="U",INDEX('Dane rozpisek'!$A$2:$A$2600,$M212),IF($L212="T","KTO JEŹDZIŁ",IF($L212="E1","Brak zgłoszonych usterek w tym okresie.",IF($L212="E2","Brak wpisów z tym wózkiem w rozpiskach dla tego okresu.",IF($L212="H","Data",""))))))</f>
        <v/>
      </c>
      <c r="B212" s="48">
        <f>IF($L212="D",INDEX('Zgłoszenia'!$B$5:$B$504,$M212)&amp;"",IF($L212="U",INDEX('Dane rozpisek'!$F$2:$F$2600,$M212)&amp;"",IF($L212="H","Wózek","")))</f>
        <v/>
      </c>
      <c r="C212" s="48">
        <f>IF($L212="D",INDEX('Zgłoszenia'!$E$5:$E$504,$M212)&amp;"",IF($L212="U",INDEX('Dane rozpisek'!$B$2:$B$2600,$M212)&amp;" · "&amp;INDEX('Dane rozpisek'!$J$2:$J$2600,$M212),IF($L212="H","Zmiana","")))</f>
        <v/>
      </c>
      <c r="D212" s="49">
        <f>IF($L212="D",INDEX('Zgłoszenia'!$H$5:$H$504,$M212)&amp;"",IF($L212="U",INDEX('Dane rozpisek'!$E$2:$E$2600,$M212)&amp;"",IF($L212="H","Operator","")))</f>
        <v/>
      </c>
      <c r="E212" s="49">
        <f>IF($L212="D",INDEX('Zgłoszenia'!$I$5:$I$504,$M212)&amp;"",IF($L212="U",INDEX('Dane rozpisek'!$C$2:$C$2600,$M212)&amp;"",IF($L212="H","Stanowisko","")))</f>
        <v/>
      </c>
      <c r="F212" s="48">
        <f>IF($L212="D",INDEX('Zgłoszenia'!$J$5:$J$504,$M212)&amp;"",IF($L212="U",INDEX('Dane rozpisek'!$G$2:$G$2600,$M212)&amp;"",IF($L212="H","Uwagi","")))</f>
        <v/>
      </c>
      <c r="G212" s="49">
        <f>IF($L212="D",INDEX('Zgłoszenia'!$F$5:$F$504,$M212)&amp;"",IF($L212="U",INDEX('Dane rozpisek'!$L$2:$L$2600,$M212)&amp;"",IF($L212="H","Usterki (dzień / następny)","")))</f>
        <v/>
      </c>
      <c r="H212" s="49">
        <f>IF($L212="D",INDEX('Zgłoszenia'!$P$5:$P$504,$M212)&amp;"",IF($L212="U","",""))</f>
        <v/>
      </c>
      <c r="I212" s="48">
        <f>IF($L212="D",IF(INDEX('Zgłoszenia'!$M$5:$M$504,$M212)="","Zgłoszona",INDEX('Zgłoszenia'!$M$5:$M$504,$M212)),IF($L212="U","",""))</f>
        <v/>
      </c>
      <c r="J212" s="49">
        <f>IF($L212="D",INDEX('Zgłoszenia'!$K$5:$K$504,$M212)&amp;"",IF($L212="U","",""))</f>
        <v/>
      </c>
      <c r="K212" s="2" t="n"/>
      <c r="L212" s="2">
        <f>IF((ROW()-12)&lt;=$L$5,IF($L$2=0,"E1","D"),IF((ROW()-12)=$L$5+1,"",IF((ROW()-12)=$L$5+2,"T",IF((ROW()-12)=$L$5+3,IF($L$3=0,"E2","H"),IF((ROW()-12)&lt;=$L$5+3+$L$3,"U","")))))</f>
        <v/>
      </c>
      <c r="M212" s="2">
        <f>IF(L212="D",MATCH(LARGE('Zgłoszenia'!$Q$5:$Q$504,(ROW()-12)),'Zgłoszenia'!$Q$5:$Q$504,0),IF(L212="U",MATCH(LARGE('Dane rozpisek'!$I$2:$I$2600,(ROW()-12)-$L$5-3),'Dane rozpisek'!$I$2:$I$2600,0),""))</f>
        <v/>
      </c>
    </row>
    <row r="213">
      <c r="A213" s="47">
        <f>IF($L213="D",INDEX('Zgłoszenia'!$D$5:$D$504,$M213),IF($L213="U",INDEX('Dane rozpisek'!$A$2:$A$2600,$M213),IF($L213="T","KTO JEŹDZIŁ",IF($L213="E1","Brak zgłoszonych usterek w tym okresie.",IF($L213="E2","Brak wpisów z tym wózkiem w rozpiskach dla tego okresu.",IF($L213="H","Data",""))))))</f>
        <v/>
      </c>
      <c r="B213" s="48">
        <f>IF($L213="D",INDEX('Zgłoszenia'!$B$5:$B$504,$M213)&amp;"",IF($L213="U",INDEX('Dane rozpisek'!$F$2:$F$2600,$M213)&amp;"",IF($L213="H","Wózek","")))</f>
        <v/>
      </c>
      <c r="C213" s="48">
        <f>IF($L213="D",INDEX('Zgłoszenia'!$E$5:$E$504,$M213)&amp;"",IF($L213="U",INDEX('Dane rozpisek'!$B$2:$B$2600,$M213)&amp;" · "&amp;INDEX('Dane rozpisek'!$J$2:$J$2600,$M213),IF($L213="H","Zmiana","")))</f>
        <v/>
      </c>
      <c r="D213" s="49">
        <f>IF($L213="D",INDEX('Zgłoszenia'!$H$5:$H$504,$M213)&amp;"",IF($L213="U",INDEX('Dane rozpisek'!$E$2:$E$2600,$M213)&amp;"",IF($L213="H","Operator","")))</f>
        <v/>
      </c>
      <c r="E213" s="49">
        <f>IF($L213="D",INDEX('Zgłoszenia'!$I$5:$I$504,$M213)&amp;"",IF($L213="U",INDEX('Dane rozpisek'!$C$2:$C$2600,$M213)&amp;"",IF($L213="H","Stanowisko","")))</f>
        <v/>
      </c>
      <c r="F213" s="48">
        <f>IF($L213="D",INDEX('Zgłoszenia'!$J$5:$J$504,$M213)&amp;"",IF($L213="U",INDEX('Dane rozpisek'!$G$2:$G$2600,$M213)&amp;"",IF($L213="H","Uwagi","")))</f>
        <v/>
      </c>
      <c r="G213" s="49">
        <f>IF($L213="D",INDEX('Zgłoszenia'!$F$5:$F$504,$M213)&amp;"",IF($L213="U",INDEX('Dane rozpisek'!$L$2:$L$2600,$M213)&amp;"",IF($L213="H","Usterki (dzień / następny)","")))</f>
        <v/>
      </c>
      <c r="H213" s="49">
        <f>IF($L213="D",INDEX('Zgłoszenia'!$P$5:$P$504,$M213)&amp;"",IF($L213="U","",""))</f>
        <v/>
      </c>
      <c r="I213" s="48">
        <f>IF($L213="D",IF(INDEX('Zgłoszenia'!$M$5:$M$504,$M213)="","Zgłoszona",INDEX('Zgłoszenia'!$M$5:$M$504,$M213)),IF($L213="U","",""))</f>
        <v/>
      </c>
      <c r="J213" s="49">
        <f>IF($L213="D",INDEX('Zgłoszenia'!$K$5:$K$504,$M213)&amp;"",IF($L213="U","",""))</f>
        <v/>
      </c>
      <c r="K213" s="2" t="n"/>
      <c r="L213" s="2">
        <f>IF((ROW()-12)&lt;=$L$5,IF($L$2=0,"E1","D"),IF((ROW()-12)=$L$5+1,"",IF((ROW()-12)=$L$5+2,"T",IF((ROW()-12)=$L$5+3,IF($L$3=0,"E2","H"),IF((ROW()-12)&lt;=$L$5+3+$L$3,"U","")))))</f>
        <v/>
      </c>
      <c r="M213" s="2">
        <f>IF(L213="D",MATCH(LARGE('Zgłoszenia'!$Q$5:$Q$504,(ROW()-12)),'Zgłoszenia'!$Q$5:$Q$504,0),IF(L213="U",MATCH(LARGE('Dane rozpisek'!$I$2:$I$2600,(ROW()-12)-$L$5-3),'Dane rozpisek'!$I$2:$I$2600,0),""))</f>
        <v/>
      </c>
    </row>
    <row r="214">
      <c r="A214" s="47">
        <f>IF($L214="D",INDEX('Zgłoszenia'!$D$5:$D$504,$M214),IF($L214="U",INDEX('Dane rozpisek'!$A$2:$A$2600,$M214),IF($L214="T","KTO JEŹDZIŁ",IF($L214="E1","Brak zgłoszonych usterek w tym okresie.",IF($L214="E2","Brak wpisów z tym wózkiem w rozpiskach dla tego okresu.",IF($L214="H","Data",""))))))</f>
        <v/>
      </c>
      <c r="B214" s="48">
        <f>IF($L214="D",INDEX('Zgłoszenia'!$B$5:$B$504,$M214)&amp;"",IF($L214="U",INDEX('Dane rozpisek'!$F$2:$F$2600,$M214)&amp;"",IF($L214="H","Wózek","")))</f>
        <v/>
      </c>
      <c r="C214" s="48">
        <f>IF($L214="D",INDEX('Zgłoszenia'!$E$5:$E$504,$M214)&amp;"",IF($L214="U",INDEX('Dane rozpisek'!$B$2:$B$2600,$M214)&amp;" · "&amp;INDEX('Dane rozpisek'!$J$2:$J$2600,$M214),IF($L214="H","Zmiana","")))</f>
        <v/>
      </c>
      <c r="D214" s="49">
        <f>IF($L214="D",INDEX('Zgłoszenia'!$H$5:$H$504,$M214)&amp;"",IF($L214="U",INDEX('Dane rozpisek'!$E$2:$E$2600,$M214)&amp;"",IF($L214="H","Operator","")))</f>
        <v/>
      </c>
      <c r="E214" s="49">
        <f>IF($L214="D",INDEX('Zgłoszenia'!$I$5:$I$504,$M214)&amp;"",IF($L214="U",INDEX('Dane rozpisek'!$C$2:$C$2600,$M214)&amp;"",IF($L214="H","Stanowisko","")))</f>
        <v/>
      </c>
      <c r="F214" s="48">
        <f>IF($L214="D",INDEX('Zgłoszenia'!$J$5:$J$504,$M214)&amp;"",IF($L214="U",INDEX('Dane rozpisek'!$G$2:$G$2600,$M214)&amp;"",IF($L214="H","Uwagi","")))</f>
        <v/>
      </c>
      <c r="G214" s="49">
        <f>IF($L214="D",INDEX('Zgłoszenia'!$F$5:$F$504,$M214)&amp;"",IF($L214="U",INDEX('Dane rozpisek'!$L$2:$L$2600,$M214)&amp;"",IF($L214="H","Usterki (dzień / następny)","")))</f>
        <v/>
      </c>
      <c r="H214" s="49">
        <f>IF($L214="D",INDEX('Zgłoszenia'!$P$5:$P$504,$M214)&amp;"",IF($L214="U","",""))</f>
        <v/>
      </c>
      <c r="I214" s="48">
        <f>IF($L214="D",IF(INDEX('Zgłoszenia'!$M$5:$M$504,$M214)="","Zgłoszona",INDEX('Zgłoszenia'!$M$5:$M$504,$M214)),IF($L214="U","",""))</f>
        <v/>
      </c>
      <c r="J214" s="49">
        <f>IF($L214="D",INDEX('Zgłoszenia'!$K$5:$K$504,$M214)&amp;"",IF($L214="U","",""))</f>
        <v/>
      </c>
      <c r="K214" s="2" t="n"/>
      <c r="L214" s="2">
        <f>IF((ROW()-12)&lt;=$L$5,IF($L$2=0,"E1","D"),IF((ROW()-12)=$L$5+1,"",IF((ROW()-12)=$L$5+2,"T",IF((ROW()-12)=$L$5+3,IF($L$3=0,"E2","H"),IF((ROW()-12)&lt;=$L$5+3+$L$3,"U","")))))</f>
        <v/>
      </c>
      <c r="M214" s="2">
        <f>IF(L214="D",MATCH(LARGE('Zgłoszenia'!$Q$5:$Q$504,(ROW()-12)),'Zgłoszenia'!$Q$5:$Q$504,0),IF(L214="U",MATCH(LARGE('Dane rozpisek'!$I$2:$I$2600,(ROW()-12)-$L$5-3),'Dane rozpisek'!$I$2:$I$2600,0),""))</f>
        <v/>
      </c>
    </row>
    <row r="215">
      <c r="A215" s="47">
        <f>IF($L215="D",INDEX('Zgłoszenia'!$D$5:$D$504,$M215),IF($L215="U",INDEX('Dane rozpisek'!$A$2:$A$2600,$M215),IF($L215="T","KTO JEŹDZIŁ",IF($L215="E1","Brak zgłoszonych usterek w tym okresie.",IF($L215="E2","Brak wpisów z tym wózkiem w rozpiskach dla tego okresu.",IF($L215="H","Data",""))))))</f>
        <v/>
      </c>
      <c r="B215" s="48">
        <f>IF($L215="D",INDEX('Zgłoszenia'!$B$5:$B$504,$M215)&amp;"",IF($L215="U",INDEX('Dane rozpisek'!$F$2:$F$2600,$M215)&amp;"",IF($L215="H","Wózek","")))</f>
        <v/>
      </c>
      <c r="C215" s="48">
        <f>IF($L215="D",INDEX('Zgłoszenia'!$E$5:$E$504,$M215)&amp;"",IF($L215="U",INDEX('Dane rozpisek'!$B$2:$B$2600,$M215)&amp;" · "&amp;INDEX('Dane rozpisek'!$J$2:$J$2600,$M215),IF($L215="H","Zmiana","")))</f>
        <v/>
      </c>
      <c r="D215" s="49">
        <f>IF($L215="D",INDEX('Zgłoszenia'!$H$5:$H$504,$M215)&amp;"",IF($L215="U",INDEX('Dane rozpisek'!$E$2:$E$2600,$M215)&amp;"",IF($L215="H","Operator","")))</f>
        <v/>
      </c>
      <c r="E215" s="49">
        <f>IF($L215="D",INDEX('Zgłoszenia'!$I$5:$I$504,$M215)&amp;"",IF($L215="U",INDEX('Dane rozpisek'!$C$2:$C$2600,$M215)&amp;"",IF($L215="H","Stanowisko","")))</f>
        <v/>
      </c>
      <c r="F215" s="48">
        <f>IF($L215="D",INDEX('Zgłoszenia'!$J$5:$J$504,$M215)&amp;"",IF($L215="U",INDEX('Dane rozpisek'!$G$2:$G$2600,$M215)&amp;"",IF($L215="H","Uwagi","")))</f>
        <v/>
      </c>
      <c r="G215" s="49">
        <f>IF($L215="D",INDEX('Zgłoszenia'!$F$5:$F$504,$M215)&amp;"",IF($L215="U",INDEX('Dane rozpisek'!$L$2:$L$2600,$M215)&amp;"",IF($L215="H","Usterki (dzień / następny)","")))</f>
        <v/>
      </c>
      <c r="H215" s="49">
        <f>IF($L215="D",INDEX('Zgłoszenia'!$P$5:$P$504,$M215)&amp;"",IF($L215="U","",""))</f>
        <v/>
      </c>
      <c r="I215" s="48">
        <f>IF($L215="D",IF(INDEX('Zgłoszenia'!$M$5:$M$504,$M215)="","Zgłoszona",INDEX('Zgłoszenia'!$M$5:$M$504,$M215)),IF($L215="U","",""))</f>
        <v/>
      </c>
      <c r="J215" s="49">
        <f>IF($L215="D",INDEX('Zgłoszenia'!$K$5:$K$504,$M215)&amp;"",IF($L215="U","",""))</f>
        <v/>
      </c>
      <c r="K215" s="2" t="n"/>
      <c r="L215" s="2">
        <f>IF((ROW()-12)&lt;=$L$5,IF($L$2=0,"E1","D"),IF((ROW()-12)=$L$5+1,"",IF((ROW()-12)=$L$5+2,"T",IF((ROW()-12)=$L$5+3,IF($L$3=0,"E2","H"),IF((ROW()-12)&lt;=$L$5+3+$L$3,"U","")))))</f>
        <v/>
      </c>
      <c r="M215" s="2">
        <f>IF(L215="D",MATCH(LARGE('Zgłoszenia'!$Q$5:$Q$504,(ROW()-12)),'Zgłoszenia'!$Q$5:$Q$504,0),IF(L215="U",MATCH(LARGE('Dane rozpisek'!$I$2:$I$2600,(ROW()-12)-$L$5-3),'Dane rozpisek'!$I$2:$I$2600,0),""))</f>
        <v/>
      </c>
    </row>
    <row r="216">
      <c r="A216" s="47">
        <f>IF($L216="D",INDEX('Zgłoszenia'!$D$5:$D$504,$M216),IF($L216="U",INDEX('Dane rozpisek'!$A$2:$A$2600,$M216),IF($L216="T","KTO JEŹDZIŁ",IF($L216="E1","Brak zgłoszonych usterek w tym okresie.",IF($L216="E2","Brak wpisów z tym wózkiem w rozpiskach dla tego okresu.",IF($L216="H","Data",""))))))</f>
        <v/>
      </c>
      <c r="B216" s="48">
        <f>IF($L216="D",INDEX('Zgłoszenia'!$B$5:$B$504,$M216)&amp;"",IF($L216="U",INDEX('Dane rozpisek'!$F$2:$F$2600,$M216)&amp;"",IF($L216="H","Wózek","")))</f>
        <v/>
      </c>
      <c r="C216" s="48">
        <f>IF($L216="D",INDEX('Zgłoszenia'!$E$5:$E$504,$M216)&amp;"",IF($L216="U",INDEX('Dane rozpisek'!$B$2:$B$2600,$M216)&amp;" · "&amp;INDEX('Dane rozpisek'!$J$2:$J$2600,$M216),IF($L216="H","Zmiana","")))</f>
        <v/>
      </c>
      <c r="D216" s="49">
        <f>IF($L216="D",INDEX('Zgłoszenia'!$H$5:$H$504,$M216)&amp;"",IF($L216="U",INDEX('Dane rozpisek'!$E$2:$E$2600,$M216)&amp;"",IF($L216="H","Operator","")))</f>
        <v/>
      </c>
      <c r="E216" s="49">
        <f>IF($L216="D",INDEX('Zgłoszenia'!$I$5:$I$504,$M216)&amp;"",IF($L216="U",INDEX('Dane rozpisek'!$C$2:$C$2600,$M216)&amp;"",IF($L216="H","Stanowisko","")))</f>
        <v/>
      </c>
      <c r="F216" s="48">
        <f>IF($L216="D",INDEX('Zgłoszenia'!$J$5:$J$504,$M216)&amp;"",IF($L216="U",INDEX('Dane rozpisek'!$G$2:$G$2600,$M216)&amp;"",IF($L216="H","Uwagi","")))</f>
        <v/>
      </c>
      <c r="G216" s="49">
        <f>IF($L216="D",INDEX('Zgłoszenia'!$F$5:$F$504,$M216)&amp;"",IF($L216="U",INDEX('Dane rozpisek'!$L$2:$L$2600,$M216)&amp;"",IF($L216="H","Usterki (dzień / następny)","")))</f>
        <v/>
      </c>
      <c r="H216" s="49">
        <f>IF($L216="D",INDEX('Zgłoszenia'!$P$5:$P$504,$M216)&amp;"",IF($L216="U","",""))</f>
        <v/>
      </c>
      <c r="I216" s="48">
        <f>IF($L216="D",IF(INDEX('Zgłoszenia'!$M$5:$M$504,$M216)="","Zgłoszona",INDEX('Zgłoszenia'!$M$5:$M$504,$M216)),IF($L216="U","",""))</f>
        <v/>
      </c>
      <c r="J216" s="49">
        <f>IF($L216="D",INDEX('Zgłoszenia'!$K$5:$K$504,$M216)&amp;"",IF($L216="U","",""))</f>
        <v/>
      </c>
      <c r="K216" s="2" t="n"/>
      <c r="L216" s="2">
        <f>IF((ROW()-12)&lt;=$L$5,IF($L$2=0,"E1","D"),IF((ROW()-12)=$L$5+1,"",IF((ROW()-12)=$L$5+2,"T",IF((ROW()-12)=$L$5+3,IF($L$3=0,"E2","H"),IF((ROW()-12)&lt;=$L$5+3+$L$3,"U","")))))</f>
        <v/>
      </c>
      <c r="M216" s="2">
        <f>IF(L216="D",MATCH(LARGE('Zgłoszenia'!$Q$5:$Q$504,(ROW()-12)),'Zgłoszenia'!$Q$5:$Q$504,0),IF(L216="U",MATCH(LARGE('Dane rozpisek'!$I$2:$I$2600,(ROW()-12)-$L$5-3),'Dane rozpisek'!$I$2:$I$2600,0),""))</f>
        <v/>
      </c>
    </row>
    <row r="217">
      <c r="A217" s="47">
        <f>IF($L217="D",INDEX('Zgłoszenia'!$D$5:$D$504,$M217),IF($L217="U",INDEX('Dane rozpisek'!$A$2:$A$2600,$M217),IF($L217="T","KTO JEŹDZIŁ",IF($L217="E1","Brak zgłoszonych usterek w tym okresie.",IF($L217="E2","Brak wpisów z tym wózkiem w rozpiskach dla tego okresu.",IF($L217="H","Data",""))))))</f>
        <v/>
      </c>
      <c r="B217" s="48">
        <f>IF($L217="D",INDEX('Zgłoszenia'!$B$5:$B$504,$M217)&amp;"",IF($L217="U",INDEX('Dane rozpisek'!$F$2:$F$2600,$M217)&amp;"",IF($L217="H","Wózek","")))</f>
        <v/>
      </c>
      <c r="C217" s="48">
        <f>IF($L217="D",INDEX('Zgłoszenia'!$E$5:$E$504,$M217)&amp;"",IF($L217="U",INDEX('Dane rozpisek'!$B$2:$B$2600,$M217)&amp;" · "&amp;INDEX('Dane rozpisek'!$J$2:$J$2600,$M217),IF($L217="H","Zmiana","")))</f>
        <v/>
      </c>
      <c r="D217" s="49">
        <f>IF($L217="D",INDEX('Zgłoszenia'!$H$5:$H$504,$M217)&amp;"",IF($L217="U",INDEX('Dane rozpisek'!$E$2:$E$2600,$M217)&amp;"",IF($L217="H","Operator","")))</f>
        <v/>
      </c>
      <c r="E217" s="49">
        <f>IF($L217="D",INDEX('Zgłoszenia'!$I$5:$I$504,$M217)&amp;"",IF($L217="U",INDEX('Dane rozpisek'!$C$2:$C$2600,$M217)&amp;"",IF($L217="H","Stanowisko","")))</f>
        <v/>
      </c>
      <c r="F217" s="48">
        <f>IF($L217="D",INDEX('Zgłoszenia'!$J$5:$J$504,$M217)&amp;"",IF($L217="U",INDEX('Dane rozpisek'!$G$2:$G$2600,$M217)&amp;"",IF($L217="H","Uwagi","")))</f>
        <v/>
      </c>
      <c r="G217" s="49">
        <f>IF($L217="D",INDEX('Zgłoszenia'!$F$5:$F$504,$M217)&amp;"",IF($L217="U",INDEX('Dane rozpisek'!$L$2:$L$2600,$M217)&amp;"",IF($L217="H","Usterki (dzień / następny)","")))</f>
        <v/>
      </c>
      <c r="H217" s="49">
        <f>IF($L217="D",INDEX('Zgłoszenia'!$P$5:$P$504,$M217)&amp;"",IF($L217="U","",""))</f>
        <v/>
      </c>
      <c r="I217" s="48">
        <f>IF($L217="D",IF(INDEX('Zgłoszenia'!$M$5:$M$504,$M217)="","Zgłoszona",INDEX('Zgłoszenia'!$M$5:$M$504,$M217)),IF($L217="U","",""))</f>
        <v/>
      </c>
      <c r="J217" s="49">
        <f>IF($L217="D",INDEX('Zgłoszenia'!$K$5:$K$504,$M217)&amp;"",IF($L217="U","",""))</f>
        <v/>
      </c>
      <c r="K217" s="2" t="n"/>
      <c r="L217" s="2">
        <f>IF((ROW()-12)&lt;=$L$5,IF($L$2=0,"E1","D"),IF((ROW()-12)=$L$5+1,"",IF((ROW()-12)=$L$5+2,"T",IF((ROW()-12)=$L$5+3,IF($L$3=0,"E2","H"),IF((ROW()-12)&lt;=$L$5+3+$L$3,"U","")))))</f>
        <v/>
      </c>
      <c r="M217" s="2">
        <f>IF(L217="D",MATCH(LARGE('Zgłoszenia'!$Q$5:$Q$504,(ROW()-12)),'Zgłoszenia'!$Q$5:$Q$504,0),IF(L217="U",MATCH(LARGE('Dane rozpisek'!$I$2:$I$2600,(ROW()-12)-$L$5-3),'Dane rozpisek'!$I$2:$I$2600,0),""))</f>
        <v/>
      </c>
    </row>
    <row r="218">
      <c r="A218" s="47">
        <f>IF($L218="D",INDEX('Zgłoszenia'!$D$5:$D$504,$M218),IF($L218="U",INDEX('Dane rozpisek'!$A$2:$A$2600,$M218),IF($L218="T","KTO JEŹDZIŁ",IF($L218="E1","Brak zgłoszonych usterek w tym okresie.",IF($L218="E2","Brak wpisów z tym wózkiem w rozpiskach dla tego okresu.",IF($L218="H","Data",""))))))</f>
        <v/>
      </c>
      <c r="B218" s="48">
        <f>IF($L218="D",INDEX('Zgłoszenia'!$B$5:$B$504,$M218)&amp;"",IF($L218="U",INDEX('Dane rozpisek'!$F$2:$F$2600,$M218)&amp;"",IF($L218="H","Wózek","")))</f>
        <v/>
      </c>
      <c r="C218" s="48">
        <f>IF($L218="D",INDEX('Zgłoszenia'!$E$5:$E$504,$M218)&amp;"",IF($L218="U",INDEX('Dane rozpisek'!$B$2:$B$2600,$M218)&amp;" · "&amp;INDEX('Dane rozpisek'!$J$2:$J$2600,$M218),IF($L218="H","Zmiana","")))</f>
        <v/>
      </c>
      <c r="D218" s="49">
        <f>IF($L218="D",INDEX('Zgłoszenia'!$H$5:$H$504,$M218)&amp;"",IF($L218="U",INDEX('Dane rozpisek'!$E$2:$E$2600,$M218)&amp;"",IF($L218="H","Operator","")))</f>
        <v/>
      </c>
      <c r="E218" s="49">
        <f>IF($L218="D",INDEX('Zgłoszenia'!$I$5:$I$504,$M218)&amp;"",IF($L218="U",INDEX('Dane rozpisek'!$C$2:$C$2600,$M218)&amp;"",IF($L218="H","Stanowisko","")))</f>
        <v/>
      </c>
      <c r="F218" s="48">
        <f>IF($L218="D",INDEX('Zgłoszenia'!$J$5:$J$504,$M218)&amp;"",IF($L218="U",INDEX('Dane rozpisek'!$G$2:$G$2600,$M218)&amp;"",IF($L218="H","Uwagi","")))</f>
        <v/>
      </c>
      <c r="G218" s="49">
        <f>IF($L218="D",INDEX('Zgłoszenia'!$F$5:$F$504,$M218)&amp;"",IF($L218="U",INDEX('Dane rozpisek'!$L$2:$L$2600,$M218)&amp;"",IF($L218="H","Usterki (dzień / następny)","")))</f>
        <v/>
      </c>
      <c r="H218" s="49">
        <f>IF($L218="D",INDEX('Zgłoszenia'!$P$5:$P$504,$M218)&amp;"",IF($L218="U","",""))</f>
        <v/>
      </c>
      <c r="I218" s="48">
        <f>IF($L218="D",IF(INDEX('Zgłoszenia'!$M$5:$M$504,$M218)="","Zgłoszona",INDEX('Zgłoszenia'!$M$5:$M$504,$M218)),IF($L218="U","",""))</f>
        <v/>
      </c>
      <c r="J218" s="49">
        <f>IF($L218="D",INDEX('Zgłoszenia'!$K$5:$K$504,$M218)&amp;"",IF($L218="U","",""))</f>
        <v/>
      </c>
      <c r="K218" s="2" t="n"/>
      <c r="L218" s="2">
        <f>IF((ROW()-12)&lt;=$L$5,IF($L$2=0,"E1","D"),IF((ROW()-12)=$L$5+1,"",IF((ROW()-12)=$L$5+2,"T",IF((ROW()-12)=$L$5+3,IF($L$3=0,"E2","H"),IF((ROW()-12)&lt;=$L$5+3+$L$3,"U","")))))</f>
        <v/>
      </c>
      <c r="M218" s="2">
        <f>IF(L218="D",MATCH(LARGE('Zgłoszenia'!$Q$5:$Q$504,(ROW()-12)),'Zgłoszenia'!$Q$5:$Q$504,0),IF(L218="U",MATCH(LARGE('Dane rozpisek'!$I$2:$I$2600,(ROW()-12)-$L$5-3),'Dane rozpisek'!$I$2:$I$2600,0),""))</f>
        <v/>
      </c>
    </row>
    <row r="219">
      <c r="A219" s="47">
        <f>IF($L219="D",INDEX('Zgłoszenia'!$D$5:$D$504,$M219),IF($L219="U",INDEX('Dane rozpisek'!$A$2:$A$2600,$M219),IF($L219="T","KTO JEŹDZIŁ",IF($L219="E1","Brak zgłoszonych usterek w tym okresie.",IF($L219="E2","Brak wpisów z tym wózkiem w rozpiskach dla tego okresu.",IF($L219="H","Data",""))))))</f>
        <v/>
      </c>
      <c r="B219" s="48">
        <f>IF($L219="D",INDEX('Zgłoszenia'!$B$5:$B$504,$M219)&amp;"",IF($L219="U",INDEX('Dane rozpisek'!$F$2:$F$2600,$M219)&amp;"",IF($L219="H","Wózek","")))</f>
        <v/>
      </c>
      <c r="C219" s="48">
        <f>IF($L219="D",INDEX('Zgłoszenia'!$E$5:$E$504,$M219)&amp;"",IF($L219="U",INDEX('Dane rozpisek'!$B$2:$B$2600,$M219)&amp;" · "&amp;INDEX('Dane rozpisek'!$J$2:$J$2600,$M219),IF($L219="H","Zmiana","")))</f>
        <v/>
      </c>
      <c r="D219" s="49">
        <f>IF($L219="D",INDEX('Zgłoszenia'!$H$5:$H$504,$M219)&amp;"",IF($L219="U",INDEX('Dane rozpisek'!$E$2:$E$2600,$M219)&amp;"",IF($L219="H","Operator","")))</f>
        <v/>
      </c>
      <c r="E219" s="49">
        <f>IF($L219="D",INDEX('Zgłoszenia'!$I$5:$I$504,$M219)&amp;"",IF($L219="U",INDEX('Dane rozpisek'!$C$2:$C$2600,$M219)&amp;"",IF($L219="H","Stanowisko","")))</f>
        <v/>
      </c>
      <c r="F219" s="48">
        <f>IF($L219="D",INDEX('Zgłoszenia'!$J$5:$J$504,$M219)&amp;"",IF($L219="U",INDEX('Dane rozpisek'!$G$2:$G$2600,$M219)&amp;"",IF($L219="H","Uwagi","")))</f>
        <v/>
      </c>
      <c r="G219" s="49">
        <f>IF($L219="D",INDEX('Zgłoszenia'!$F$5:$F$504,$M219)&amp;"",IF($L219="U",INDEX('Dane rozpisek'!$L$2:$L$2600,$M219)&amp;"",IF($L219="H","Usterki (dzień / następny)","")))</f>
        <v/>
      </c>
      <c r="H219" s="49">
        <f>IF($L219="D",INDEX('Zgłoszenia'!$P$5:$P$504,$M219)&amp;"",IF($L219="U","",""))</f>
        <v/>
      </c>
      <c r="I219" s="48">
        <f>IF($L219="D",IF(INDEX('Zgłoszenia'!$M$5:$M$504,$M219)="","Zgłoszona",INDEX('Zgłoszenia'!$M$5:$M$504,$M219)),IF($L219="U","",""))</f>
        <v/>
      </c>
      <c r="J219" s="49">
        <f>IF($L219="D",INDEX('Zgłoszenia'!$K$5:$K$504,$M219)&amp;"",IF($L219="U","",""))</f>
        <v/>
      </c>
      <c r="K219" s="2" t="n"/>
      <c r="L219" s="2">
        <f>IF((ROW()-12)&lt;=$L$5,IF($L$2=0,"E1","D"),IF((ROW()-12)=$L$5+1,"",IF((ROW()-12)=$L$5+2,"T",IF((ROW()-12)=$L$5+3,IF($L$3=0,"E2","H"),IF((ROW()-12)&lt;=$L$5+3+$L$3,"U","")))))</f>
        <v/>
      </c>
      <c r="M219" s="2">
        <f>IF(L219="D",MATCH(LARGE('Zgłoszenia'!$Q$5:$Q$504,(ROW()-12)),'Zgłoszenia'!$Q$5:$Q$504,0),IF(L219="U",MATCH(LARGE('Dane rozpisek'!$I$2:$I$2600,(ROW()-12)-$L$5-3),'Dane rozpisek'!$I$2:$I$2600,0),""))</f>
        <v/>
      </c>
    </row>
    <row r="220">
      <c r="A220" s="47">
        <f>IF($L220="D",INDEX('Zgłoszenia'!$D$5:$D$504,$M220),IF($L220="U",INDEX('Dane rozpisek'!$A$2:$A$2600,$M220),IF($L220="T","KTO JEŹDZIŁ",IF($L220="E1","Brak zgłoszonych usterek w tym okresie.",IF($L220="E2","Brak wpisów z tym wózkiem w rozpiskach dla tego okresu.",IF($L220="H","Data",""))))))</f>
        <v/>
      </c>
      <c r="B220" s="48">
        <f>IF($L220="D",INDEX('Zgłoszenia'!$B$5:$B$504,$M220)&amp;"",IF($L220="U",INDEX('Dane rozpisek'!$F$2:$F$2600,$M220)&amp;"",IF($L220="H","Wózek","")))</f>
        <v/>
      </c>
      <c r="C220" s="48">
        <f>IF($L220="D",INDEX('Zgłoszenia'!$E$5:$E$504,$M220)&amp;"",IF($L220="U",INDEX('Dane rozpisek'!$B$2:$B$2600,$M220)&amp;" · "&amp;INDEX('Dane rozpisek'!$J$2:$J$2600,$M220),IF($L220="H","Zmiana","")))</f>
        <v/>
      </c>
      <c r="D220" s="49">
        <f>IF($L220="D",INDEX('Zgłoszenia'!$H$5:$H$504,$M220)&amp;"",IF($L220="U",INDEX('Dane rozpisek'!$E$2:$E$2600,$M220)&amp;"",IF($L220="H","Operator","")))</f>
        <v/>
      </c>
      <c r="E220" s="49">
        <f>IF($L220="D",INDEX('Zgłoszenia'!$I$5:$I$504,$M220)&amp;"",IF($L220="U",INDEX('Dane rozpisek'!$C$2:$C$2600,$M220)&amp;"",IF($L220="H","Stanowisko","")))</f>
        <v/>
      </c>
      <c r="F220" s="48">
        <f>IF($L220="D",INDEX('Zgłoszenia'!$J$5:$J$504,$M220)&amp;"",IF($L220="U",INDEX('Dane rozpisek'!$G$2:$G$2600,$M220)&amp;"",IF($L220="H","Uwagi","")))</f>
        <v/>
      </c>
      <c r="G220" s="49">
        <f>IF($L220="D",INDEX('Zgłoszenia'!$F$5:$F$504,$M220)&amp;"",IF($L220="U",INDEX('Dane rozpisek'!$L$2:$L$2600,$M220)&amp;"",IF($L220="H","Usterki (dzień / następny)","")))</f>
        <v/>
      </c>
      <c r="H220" s="49">
        <f>IF($L220="D",INDEX('Zgłoszenia'!$P$5:$P$504,$M220)&amp;"",IF($L220="U","",""))</f>
        <v/>
      </c>
      <c r="I220" s="48">
        <f>IF($L220="D",IF(INDEX('Zgłoszenia'!$M$5:$M$504,$M220)="","Zgłoszona",INDEX('Zgłoszenia'!$M$5:$M$504,$M220)),IF($L220="U","",""))</f>
        <v/>
      </c>
      <c r="J220" s="49">
        <f>IF($L220="D",INDEX('Zgłoszenia'!$K$5:$K$504,$M220)&amp;"",IF($L220="U","",""))</f>
        <v/>
      </c>
      <c r="K220" s="2" t="n"/>
      <c r="L220" s="2">
        <f>IF((ROW()-12)&lt;=$L$5,IF($L$2=0,"E1","D"),IF((ROW()-12)=$L$5+1,"",IF((ROW()-12)=$L$5+2,"T",IF((ROW()-12)=$L$5+3,IF($L$3=0,"E2","H"),IF((ROW()-12)&lt;=$L$5+3+$L$3,"U","")))))</f>
        <v/>
      </c>
      <c r="M220" s="2">
        <f>IF(L220="D",MATCH(LARGE('Zgłoszenia'!$Q$5:$Q$504,(ROW()-12)),'Zgłoszenia'!$Q$5:$Q$504,0),IF(L220="U",MATCH(LARGE('Dane rozpisek'!$I$2:$I$2600,(ROW()-12)-$L$5-3),'Dane rozpisek'!$I$2:$I$2600,0),""))</f>
        <v/>
      </c>
    </row>
    <row r="221">
      <c r="A221" s="47">
        <f>IF($L221="D",INDEX('Zgłoszenia'!$D$5:$D$504,$M221),IF($L221="U",INDEX('Dane rozpisek'!$A$2:$A$2600,$M221),IF($L221="T","KTO JEŹDZIŁ",IF($L221="E1","Brak zgłoszonych usterek w tym okresie.",IF($L221="E2","Brak wpisów z tym wózkiem w rozpiskach dla tego okresu.",IF($L221="H","Data",""))))))</f>
        <v/>
      </c>
      <c r="B221" s="48">
        <f>IF($L221="D",INDEX('Zgłoszenia'!$B$5:$B$504,$M221)&amp;"",IF($L221="U",INDEX('Dane rozpisek'!$F$2:$F$2600,$M221)&amp;"",IF($L221="H","Wózek","")))</f>
        <v/>
      </c>
      <c r="C221" s="48">
        <f>IF($L221="D",INDEX('Zgłoszenia'!$E$5:$E$504,$M221)&amp;"",IF($L221="U",INDEX('Dane rozpisek'!$B$2:$B$2600,$M221)&amp;" · "&amp;INDEX('Dane rozpisek'!$J$2:$J$2600,$M221),IF($L221="H","Zmiana","")))</f>
        <v/>
      </c>
      <c r="D221" s="49">
        <f>IF($L221="D",INDEX('Zgłoszenia'!$H$5:$H$504,$M221)&amp;"",IF($L221="U",INDEX('Dane rozpisek'!$E$2:$E$2600,$M221)&amp;"",IF($L221="H","Operator","")))</f>
        <v/>
      </c>
      <c r="E221" s="49">
        <f>IF($L221="D",INDEX('Zgłoszenia'!$I$5:$I$504,$M221)&amp;"",IF($L221="U",INDEX('Dane rozpisek'!$C$2:$C$2600,$M221)&amp;"",IF($L221="H","Stanowisko","")))</f>
        <v/>
      </c>
      <c r="F221" s="48">
        <f>IF($L221="D",INDEX('Zgłoszenia'!$J$5:$J$504,$M221)&amp;"",IF($L221="U",INDEX('Dane rozpisek'!$G$2:$G$2600,$M221)&amp;"",IF($L221="H","Uwagi","")))</f>
        <v/>
      </c>
      <c r="G221" s="49">
        <f>IF($L221="D",INDEX('Zgłoszenia'!$F$5:$F$504,$M221)&amp;"",IF($L221="U",INDEX('Dane rozpisek'!$L$2:$L$2600,$M221)&amp;"",IF($L221="H","Usterki (dzień / następny)","")))</f>
        <v/>
      </c>
      <c r="H221" s="49">
        <f>IF($L221="D",INDEX('Zgłoszenia'!$P$5:$P$504,$M221)&amp;"",IF($L221="U","",""))</f>
        <v/>
      </c>
      <c r="I221" s="48">
        <f>IF($L221="D",IF(INDEX('Zgłoszenia'!$M$5:$M$504,$M221)="","Zgłoszona",INDEX('Zgłoszenia'!$M$5:$M$504,$M221)),IF($L221="U","",""))</f>
        <v/>
      </c>
      <c r="J221" s="49">
        <f>IF($L221="D",INDEX('Zgłoszenia'!$K$5:$K$504,$M221)&amp;"",IF($L221="U","",""))</f>
        <v/>
      </c>
      <c r="K221" s="2" t="n"/>
      <c r="L221" s="2">
        <f>IF((ROW()-12)&lt;=$L$5,IF($L$2=0,"E1","D"),IF((ROW()-12)=$L$5+1,"",IF((ROW()-12)=$L$5+2,"T",IF((ROW()-12)=$L$5+3,IF($L$3=0,"E2","H"),IF((ROW()-12)&lt;=$L$5+3+$L$3,"U","")))))</f>
        <v/>
      </c>
      <c r="M221" s="2">
        <f>IF(L221="D",MATCH(LARGE('Zgłoszenia'!$Q$5:$Q$504,(ROW()-12)),'Zgłoszenia'!$Q$5:$Q$504,0),IF(L221="U",MATCH(LARGE('Dane rozpisek'!$I$2:$I$2600,(ROW()-12)-$L$5-3),'Dane rozpisek'!$I$2:$I$2600,0),""))</f>
        <v/>
      </c>
    </row>
    <row r="222">
      <c r="A222" s="47">
        <f>IF($L222="D",INDEX('Zgłoszenia'!$D$5:$D$504,$M222),IF($L222="U",INDEX('Dane rozpisek'!$A$2:$A$2600,$M222),IF($L222="T","KTO JEŹDZIŁ",IF($L222="E1","Brak zgłoszonych usterek w tym okresie.",IF($L222="E2","Brak wpisów z tym wózkiem w rozpiskach dla tego okresu.",IF($L222="H","Data",""))))))</f>
        <v/>
      </c>
      <c r="B222" s="48">
        <f>IF($L222="D",INDEX('Zgłoszenia'!$B$5:$B$504,$M222)&amp;"",IF($L222="U",INDEX('Dane rozpisek'!$F$2:$F$2600,$M222)&amp;"",IF($L222="H","Wózek","")))</f>
        <v/>
      </c>
      <c r="C222" s="48">
        <f>IF($L222="D",INDEX('Zgłoszenia'!$E$5:$E$504,$M222)&amp;"",IF($L222="U",INDEX('Dane rozpisek'!$B$2:$B$2600,$M222)&amp;" · "&amp;INDEX('Dane rozpisek'!$J$2:$J$2600,$M222),IF($L222="H","Zmiana","")))</f>
        <v/>
      </c>
      <c r="D222" s="49">
        <f>IF($L222="D",INDEX('Zgłoszenia'!$H$5:$H$504,$M222)&amp;"",IF($L222="U",INDEX('Dane rozpisek'!$E$2:$E$2600,$M222)&amp;"",IF($L222="H","Operator","")))</f>
        <v/>
      </c>
      <c r="E222" s="49">
        <f>IF($L222="D",INDEX('Zgłoszenia'!$I$5:$I$504,$M222)&amp;"",IF($L222="U",INDEX('Dane rozpisek'!$C$2:$C$2600,$M222)&amp;"",IF($L222="H","Stanowisko","")))</f>
        <v/>
      </c>
      <c r="F222" s="48">
        <f>IF($L222="D",INDEX('Zgłoszenia'!$J$5:$J$504,$M222)&amp;"",IF($L222="U",INDEX('Dane rozpisek'!$G$2:$G$2600,$M222)&amp;"",IF($L222="H","Uwagi","")))</f>
        <v/>
      </c>
      <c r="G222" s="49">
        <f>IF($L222="D",INDEX('Zgłoszenia'!$F$5:$F$504,$M222)&amp;"",IF($L222="U",INDEX('Dane rozpisek'!$L$2:$L$2600,$M222)&amp;"",IF($L222="H","Usterki (dzień / następny)","")))</f>
        <v/>
      </c>
      <c r="H222" s="49">
        <f>IF($L222="D",INDEX('Zgłoszenia'!$P$5:$P$504,$M222)&amp;"",IF($L222="U","",""))</f>
        <v/>
      </c>
      <c r="I222" s="48">
        <f>IF($L222="D",IF(INDEX('Zgłoszenia'!$M$5:$M$504,$M222)="","Zgłoszona",INDEX('Zgłoszenia'!$M$5:$M$504,$M222)),IF($L222="U","",""))</f>
        <v/>
      </c>
      <c r="J222" s="49">
        <f>IF($L222="D",INDEX('Zgłoszenia'!$K$5:$K$504,$M222)&amp;"",IF($L222="U","",""))</f>
        <v/>
      </c>
      <c r="K222" s="2" t="n"/>
      <c r="L222" s="2">
        <f>IF((ROW()-12)&lt;=$L$5,IF($L$2=0,"E1","D"),IF((ROW()-12)=$L$5+1,"",IF((ROW()-12)=$L$5+2,"T",IF((ROW()-12)=$L$5+3,IF($L$3=0,"E2","H"),IF((ROW()-12)&lt;=$L$5+3+$L$3,"U","")))))</f>
        <v/>
      </c>
      <c r="M222" s="2">
        <f>IF(L222="D",MATCH(LARGE('Zgłoszenia'!$Q$5:$Q$504,(ROW()-12)),'Zgłoszenia'!$Q$5:$Q$504,0),IF(L222="U",MATCH(LARGE('Dane rozpisek'!$I$2:$I$2600,(ROW()-12)-$L$5-3),'Dane rozpisek'!$I$2:$I$2600,0),""))</f>
        <v/>
      </c>
    </row>
    <row r="223">
      <c r="A223" s="47">
        <f>IF($L223="D",INDEX('Zgłoszenia'!$D$5:$D$504,$M223),IF($L223="U",INDEX('Dane rozpisek'!$A$2:$A$2600,$M223),IF($L223="T","KTO JEŹDZIŁ",IF($L223="E1","Brak zgłoszonych usterek w tym okresie.",IF($L223="E2","Brak wpisów z tym wózkiem w rozpiskach dla tego okresu.",IF($L223="H","Data",""))))))</f>
        <v/>
      </c>
      <c r="B223" s="48">
        <f>IF($L223="D",INDEX('Zgłoszenia'!$B$5:$B$504,$M223)&amp;"",IF($L223="U",INDEX('Dane rozpisek'!$F$2:$F$2600,$M223)&amp;"",IF($L223="H","Wózek","")))</f>
        <v/>
      </c>
      <c r="C223" s="48">
        <f>IF($L223="D",INDEX('Zgłoszenia'!$E$5:$E$504,$M223)&amp;"",IF($L223="U",INDEX('Dane rozpisek'!$B$2:$B$2600,$M223)&amp;" · "&amp;INDEX('Dane rozpisek'!$J$2:$J$2600,$M223),IF($L223="H","Zmiana","")))</f>
        <v/>
      </c>
      <c r="D223" s="49">
        <f>IF($L223="D",INDEX('Zgłoszenia'!$H$5:$H$504,$M223)&amp;"",IF($L223="U",INDEX('Dane rozpisek'!$E$2:$E$2600,$M223)&amp;"",IF($L223="H","Operator","")))</f>
        <v/>
      </c>
      <c r="E223" s="49">
        <f>IF($L223="D",INDEX('Zgłoszenia'!$I$5:$I$504,$M223)&amp;"",IF($L223="U",INDEX('Dane rozpisek'!$C$2:$C$2600,$M223)&amp;"",IF($L223="H","Stanowisko","")))</f>
        <v/>
      </c>
      <c r="F223" s="48">
        <f>IF($L223="D",INDEX('Zgłoszenia'!$J$5:$J$504,$M223)&amp;"",IF($L223="U",INDEX('Dane rozpisek'!$G$2:$G$2600,$M223)&amp;"",IF($L223="H","Uwagi","")))</f>
        <v/>
      </c>
      <c r="G223" s="49">
        <f>IF($L223="D",INDEX('Zgłoszenia'!$F$5:$F$504,$M223)&amp;"",IF($L223="U",INDEX('Dane rozpisek'!$L$2:$L$2600,$M223)&amp;"",IF($L223="H","Usterki (dzień / następny)","")))</f>
        <v/>
      </c>
      <c r="H223" s="49">
        <f>IF($L223="D",INDEX('Zgłoszenia'!$P$5:$P$504,$M223)&amp;"",IF($L223="U","",""))</f>
        <v/>
      </c>
      <c r="I223" s="48">
        <f>IF($L223="D",IF(INDEX('Zgłoszenia'!$M$5:$M$504,$M223)="","Zgłoszona",INDEX('Zgłoszenia'!$M$5:$M$504,$M223)),IF($L223="U","",""))</f>
        <v/>
      </c>
      <c r="J223" s="49">
        <f>IF($L223="D",INDEX('Zgłoszenia'!$K$5:$K$504,$M223)&amp;"",IF($L223="U","",""))</f>
        <v/>
      </c>
      <c r="K223" s="2" t="n"/>
      <c r="L223" s="2">
        <f>IF((ROW()-12)&lt;=$L$5,IF($L$2=0,"E1","D"),IF((ROW()-12)=$L$5+1,"",IF((ROW()-12)=$L$5+2,"T",IF((ROW()-12)=$L$5+3,IF($L$3=0,"E2","H"),IF((ROW()-12)&lt;=$L$5+3+$L$3,"U","")))))</f>
        <v/>
      </c>
      <c r="M223" s="2">
        <f>IF(L223="D",MATCH(LARGE('Zgłoszenia'!$Q$5:$Q$504,(ROW()-12)),'Zgłoszenia'!$Q$5:$Q$504,0),IF(L223="U",MATCH(LARGE('Dane rozpisek'!$I$2:$I$2600,(ROW()-12)-$L$5-3),'Dane rozpisek'!$I$2:$I$2600,0),""))</f>
        <v/>
      </c>
    </row>
    <row r="224">
      <c r="A224" s="47">
        <f>IF($L224="D",INDEX('Zgłoszenia'!$D$5:$D$504,$M224),IF($L224="U",INDEX('Dane rozpisek'!$A$2:$A$2600,$M224),IF($L224="T","KTO JEŹDZIŁ",IF($L224="E1","Brak zgłoszonych usterek w tym okresie.",IF($L224="E2","Brak wpisów z tym wózkiem w rozpiskach dla tego okresu.",IF($L224="H","Data",""))))))</f>
        <v/>
      </c>
      <c r="B224" s="48">
        <f>IF($L224="D",INDEX('Zgłoszenia'!$B$5:$B$504,$M224)&amp;"",IF($L224="U",INDEX('Dane rozpisek'!$F$2:$F$2600,$M224)&amp;"",IF($L224="H","Wózek","")))</f>
        <v/>
      </c>
      <c r="C224" s="48">
        <f>IF($L224="D",INDEX('Zgłoszenia'!$E$5:$E$504,$M224)&amp;"",IF($L224="U",INDEX('Dane rozpisek'!$B$2:$B$2600,$M224)&amp;" · "&amp;INDEX('Dane rozpisek'!$J$2:$J$2600,$M224),IF($L224="H","Zmiana","")))</f>
        <v/>
      </c>
      <c r="D224" s="49">
        <f>IF($L224="D",INDEX('Zgłoszenia'!$H$5:$H$504,$M224)&amp;"",IF($L224="U",INDEX('Dane rozpisek'!$E$2:$E$2600,$M224)&amp;"",IF($L224="H","Operator","")))</f>
        <v/>
      </c>
      <c r="E224" s="49">
        <f>IF($L224="D",INDEX('Zgłoszenia'!$I$5:$I$504,$M224)&amp;"",IF($L224="U",INDEX('Dane rozpisek'!$C$2:$C$2600,$M224)&amp;"",IF($L224="H","Stanowisko","")))</f>
        <v/>
      </c>
      <c r="F224" s="48">
        <f>IF($L224="D",INDEX('Zgłoszenia'!$J$5:$J$504,$M224)&amp;"",IF($L224="U",INDEX('Dane rozpisek'!$G$2:$G$2600,$M224)&amp;"",IF($L224="H","Uwagi","")))</f>
        <v/>
      </c>
      <c r="G224" s="49">
        <f>IF($L224="D",INDEX('Zgłoszenia'!$F$5:$F$504,$M224)&amp;"",IF($L224="U",INDEX('Dane rozpisek'!$L$2:$L$2600,$M224)&amp;"",IF($L224="H","Usterki (dzień / następny)","")))</f>
        <v/>
      </c>
      <c r="H224" s="49">
        <f>IF($L224="D",INDEX('Zgłoszenia'!$P$5:$P$504,$M224)&amp;"",IF($L224="U","",""))</f>
        <v/>
      </c>
      <c r="I224" s="48">
        <f>IF($L224="D",IF(INDEX('Zgłoszenia'!$M$5:$M$504,$M224)="","Zgłoszona",INDEX('Zgłoszenia'!$M$5:$M$504,$M224)),IF($L224="U","",""))</f>
        <v/>
      </c>
      <c r="J224" s="49">
        <f>IF($L224="D",INDEX('Zgłoszenia'!$K$5:$K$504,$M224)&amp;"",IF($L224="U","",""))</f>
        <v/>
      </c>
      <c r="K224" s="2" t="n"/>
      <c r="L224" s="2">
        <f>IF((ROW()-12)&lt;=$L$5,IF($L$2=0,"E1","D"),IF((ROW()-12)=$L$5+1,"",IF((ROW()-12)=$L$5+2,"T",IF((ROW()-12)=$L$5+3,IF($L$3=0,"E2","H"),IF((ROW()-12)&lt;=$L$5+3+$L$3,"U","")))))</f>
        <v/>
      </c>
      <c r="M224" s="2">
        <f>IF(L224="D",MATCH(LARGE('Zgłoszenia'!$Q$5:$Q$504,(ROW()-12)),'Zgłoszenia'!$Q$5:$Q$504,0),IF(L224="U",MATCH(LARGE('Dane rozpisek'!$I$2:$I$2600,(ROW()-12)-$L$5-3),'Dane rozpisek'!$I$2:$I$2600,0),""))</f>
        <v/>
      </c>
    </row>
    <row r="225">
      <c r="A225" s="47">
        <f>IF($L225="D",INDEX('Zgłoszenia'!$D$5:$D$504,$M225),IF($L225="U",INDEX('Dane rozpisek'!$A$2:$A$2600,$M225),IF($L225="T","KTO JEŹDZIŁ",IF($L225="E1","Brak zgłoszonych usterek w tym okresie.",IF($L225="E2","Brak wpisów z tym wózkiem w rozpiskach dla tego okresu.",IF($L225="H","Data",""))))))</f>
        <v/>
      </c>
      <c r="B225" s="48">
        <f>IF($L225="D",INDEX('Zgłoszenia'!$B$5:$B$504,$M225)&amp;"",IF($L225="U",INDEX('Dane rozpisek'!$F$2:$F$2600,$M225)&amp;"",IF($L225="H","Wózek","")))</f>
        <v/>
      </c>
      <c r="C225" s="48">
        <f>IF($L225="D",INDEX('Zgłoszenia'!$E$5:$E$504,$M225)&amp;"",IF($L225="U",INDEX('Dane rozpisek'!$B$2:$B$2600,$M225)&amp;" · "&amp;INDEX('Dane rozpisek'!$J$2:$J$2600,$M225),IF($L225="H","Zmiana","")))</f>
        <v/>
      </c>
      <c r="D225" s="49">
        <f>IF($L225="D",INDEX('Zgłoszenia'!$H$5:$H$504,$M225)&amp;"",IF($L225="U",INDEX('Dane rozpisek'!$E$2:$E$2600,$M225)&amp;"",IF($L225="H","Operator","")))</f>
        <v/>
      </c>
      <c r="E225" s="49">
        <f>IF($L225="D",INDEX('Zgłoszenia'!$I$5:$I$504,$M225)&amp;"",IF($L225="U",INDEX('Dane rozpisek'!$C$2:$C$2600,$M225)&amp;"",IF($L225="H","Stanowisko","")))</f>
        <v/>
      </c>
      <c r="F225" s="48">
        <f>IF($L225="D",INDEX('Zgłoszenia'!$J$5:$J$504,$M225)&amp;"",IF($L225="U",INDEX('Dane rozpisek'!$G$2:$G$2600,$M225)&amp;"",IF($L225="H","Uwagi","")))</f>
        <v/>
      </c>
      <c r="G225" s="49">
        <f>IF($L225="D",INDEX('Zgłoszenia'!$F$5:$F$504,$M225)&amp;"",IF($L225="U",INDEX('Dane rozpisek'!$L$2:$L$2600,$M225)&amp;"",IF($L225="H","Usterki (dzień / następny)","")))</f>
        <v/>
      </c>
      <c r="H225" s="49">
        <f>IF($L225="D",INDEX('Zgłoszenia'!$P$5:$P$504,$M225)&amp;"",IF($L225="U","",""))</f>
        <v/>
      </c>
      <c r="I225" s="48">
        <f>IF($L225="D",IF(INDEX('Zgłoszenia'!$M$5:$M$504,$M225)="","Zgłoszona",INDEX('Zgłoszenia'!$M$5:$M$504,$M225)),IF($L225="U","",""))</f>
        <v/>
      </c>
      <c r="J225" s="49">
        <f>IF($L225="D",INDEX('Zgłoszenia'!$K$5:$K$504,$M225)&amp;"",IF($L225="U","",""))</f>
        <v/>
      </c>
      <c r="K225" s="2" t="n"/>
      <c r="L225" s="2">
        <f>IF((ROW()-12)&lt;=$L$5,IF($L$2=0,"E1","D"),IF((ROW()-12)=$L$5+1,"",IF((ROW()-12)=$L$5+2,"T",IF((ROW()-12)=$L$5+3,IF($L$3=0,"E2","H"),IF((ROW()-12)&lt;=$L$5+3+$L$3,"U","")))))</f>
        <v/>
      </c>
      <c r="M225" s="2">
        <f>IF(L225="D",MATCH(LARGE('Zgłoszenia'!$Q$5:$Q$504,(ROW()-12)),'Zgłoszenia'!$Q$5:$Q$504,0),IF(L225="U",MATCH(LARGE('Dane rozpisek'!$I$2:$I$2600,(ROW()-12)-$L$5-3),'Dane rozpisek'!$I$2:$I$2600,0),""))</f>
        <v/>
      </c>
    </row>
    <row r="226">
      <c r="A226" s="47">
        <f>IF($L226="D",INDEX('Zgłoszenia'!$D$5:$D$504,$M226),IF($L226="U",INDEX('Dane rozpisek'!$A$2:$A$2600,$M226),IF($L226="T","KTO JEŹDZIŁ",IF($L226="E1","Brak zgłoszonych usterek w tym okresie.",IF($L226="E2","Brak wpisów z tym wózkiem w rozpiskach dla tego okresu.",IF($L226="H","Data",""))))))</f>
        <v/>
      </c>
      <c r="B226" s="48">
        <f>IF($L226="D",INDEX('Zgłoszenia'!$B$5:$B$504,$M226)&amp;"",IF($L226="U",INDEX('Dane rozpisek'!$F$2:$F$2600,$M226)&amp;"",IF($L226="H","Wózek","")))</f>
        <v/>
      </c>
      <c r="C226" s="48">
        <f>IF($L226="D",INDEX('Zgłoszenia'!$E$5:$E$504,$M226)&amp;"",IF($L226="U",INDEX('Dane rozpisek'!$B$2:$B$2600,$M226)&amp;" · "&amp;INDEX('Dane rozpisek'!$J$2:$J$2600,$M226),IF($L226="H","Zmiana","")))</f>
        <v/>
      </c>
      <c r="D226" s="49">
        <f>IF($L226="D",INDEX('Zgłoszenia'!$H$5:$H$504,$M226)&amp;"",IF($L226="U",INDEX('Dane rozpisek'!$E$2:$E$2600,$M226)&amp;"",IF($L226="H","Operator","")))</f>
        <v/>
      </c>
      <c r="E226" s="49">
        <f>IF($L226="D",INDEX('Zgłoszenia'!$I$5:$I$504,$M226)&amp;"",IF($L226="U",INDEX('Dane rozpisek'!$C$2:$C$2600,$M226)&amp;"",IF($L226="H","Stanowisko","")))</f>
        <v/>
      </c>
      <c r="F226" s="48">
        <f>IF($L226="D",INDEX('Zgłoszenia'!$J$5:$J$504,$M226)&amp;"",IF($L226="U",INDEX('Dane rozpisek'!$G$2:$G$2600,$M226)&amp;"",IF($L226="H","Uwagi","")))</f>
        <v/>
      </c>
      <c r="G226" s="49">
        <f>IF($L226="D",INDEX('Zgłoszenia'!$F$5:$F$504,$M226)&amp;"",IF($L226="U",INDEX('Dane rozpisek'!$L$2:$L$2600,$M226)&amp;"",IF($L226="H","Usterki (dzień / następny)","")))</f>
        <v/>
      </c>
      <c r="H226" s="49">
        <f>IF($L226="D",INDEX('Zgłoszenia'!$P$5:$P$504,$M226)&amp;"",IF($L226="U","",""))</f>
        <v/>
      </c>
      <c r="I226" s="48">
        <f>IF($L226="D",IF(INDEX('Zgłoszenia'!$M$5:$M$504,$M226)="","Zgłoszona",INDEX('Zgłoszenia'!$M$5:$M$504,$M226)),IF($L226="U","",""))</f>
        <v/>
      </c>
      <c r="J226" s="49">
        <f>IF($L226="D",INDEX('Zgłoszenia'!$K$5:$K$504,$M226)&amp;"",IF($L226="U","",""))</f>
        <v/>
      </c>
      <c r="K226" s="2" t="n"/>
      <c r="L226" s="2">
        <f>IF((ROW()-12)&lt;=$L$5,IF($L$2=0,"E1","D"),IF((ROW()-12)=$L$5+1,"",IF((ROW()-12)=$L$5+2,"T",IF((ROW()-12)=$L$5+3,IF($L$3=0,"E2","H"),IF((ROW()-12)&lt;=$L$5+3+$L$3,"U","")))))</f>
        <v/>
      </c>
      <c r="M226" s="2">
        <f>IF(L226="D",MATCH(LARGE('Zgłoszenia'!$Q$5:$Q$504,(ROW()-12)),'Zgłoszenia'!$Q$5:$Q$504,0),IF(L226="U",MATCH(LARGE('Dane rozpisek'!$I$2:$I$2600,(ROW()-12)-$L$5-3),'Dane rozpisek'!$I$2:$I$2600,0),""))</f>
        <v/>
      </c>
    </row>
    <row r="227">
      <c r="A227" s="47">
        <f>IF($L227="D",INDEX('Zgłoszenia'!$D$5:$D$504,$M227),IF($L227="U",INDEX('Dane rozpisek'!$A$2:$A$2600,$M227),IF($L227="T","KTO JEŹDZIŁ",IF($L227="E1","Brak zgłoszonych usterek w tym okresie.",IF($L227="E2","Brak wpisów z tym wózkiem w rozpiskach dla tego okresu.",IF($L227="H","Data",""))))))</f>
        <v/>
      </c>
      <c r="B227" s="48">
        <f>IF($L227="D",INDEX('Zgłoszenia'!$B$5:$B$504,$M227)&amp;"",IF($L227="U",INDEX('Dane rozpisek'!$F$2:$F$2600,$M227)&amp;"",IF($L227="H","Wózek","")))</f>
        <v/>
      </c>
      <c r="C227" s="48">
        <f>IF($L227="D",INDEX('Zgłoszenia'!$E$5:$E$504,$M227)&amp;"",IF($L227="U",INDEX('Dane rozpisek'!$B$2:$B$2600,$M227)&amp;" · "&amp;INDEX('Dane rozpisek'!$J$2:$J$2600,$M227),IF($L227="H","Zmiana","")))</f>
        <v/>
      </c>
      <c r="D227" s="49">
        <f>IF($L227="D",INDEX('Zgłoszenia'!$H$5:$H$504,$M227)&amp;"",IF($L227="U",INDEX('Dane rozpisek'!$E$2:$E$2600,$M227)&amp;"",IF($L227="H","Operator","")))</f>
        <v/>
      </c>
      <c r="E227" s="49">
        <f>IF($L227="D",INDEX('Zgłoszenia'!$I$5:$I$504,$M227)&amp;"",IF($L227="U",INDEX('Dane rozpisek'!$C$2:$C$2600,$M227)&amp;"",IF($L227="H","Stanowisko","")))</f>
        <v/>
      </c>
      <c r="F227" s="48">
        <f>IF($L227="D",INDEX('Zgłoszenia'!$J$5:$J$504,$M227)&amp;"",IF($L227="U",INDEX('Dane rozpisek'!$G$2:$G$2600,$M227)&amp;"",IF($L227="H","Uwagi","")))</f>
        <v/>
      </c>
      <c r="G227" s="49">
        <f>IF($L227="D",INDEX('Zgłoszenia'!$F$5:$F$504,$M227)&amp;"",IF($L227="U",INDEX('Dane rozpisek'!$L$2:$L$2600,$M227)&amp;"",IF($L227="H","Usterki (dzień / następny)","")))</f>
        <v/>
      </c>
      <c r="H227" s="49">
        <f>IF($L227="D",INDEX('Zgłoszenia'!$P$5:$P$504,$M227)&amp;"",IF($L227="U","",""))</f>
        <v/>
      </c>
      <c r="I227" s="48">
        <f>IF($L227="D",IF(INDEX('Zgłoszenia'!$M$5:$M$504,$M227)="","Zgłoszona",INDEX('Zgłoszenia'!$M$5:$M$504,$M227)),IF($L227="U","",""))</f>
        <v/>
      </c>
      <c r="J227" s="49">
        <f>IF($L227="D",INDEX('Zgłoszenia'!$K$5:$K$504,$M227)&amp;"",IF($L227="U","",""))</f>
        <v/>
      </c>
      <c r="K227" s="2" t="n"/>
      <c r="L227" s="2">
        <f>IF((ROW()-12)&lt;=$L$5,IF($L$2=0,"E1","D"),IF((ROW()-12)=$L$5+1,"",IF((ROW()-12)=$L$5+2,"T",IF((ROW()-12)=$L$5+3,IF($L$3=0,"E2","H"),IF((ROW()-12)&lt;=$L$5+3+$L$3,"U","")))))</f>
        <v/>
      </c>
      <c r="M227" s="2">
        <f>IF(L227="D",MATCH(LARGE('Zgłoszenia'!$Q$5:$Q$504,(ROW()-12)),'Zgłoszenia'!$Q$5:$Q$504,0),IF(L227="U",MATCH(LARGE('Dane rozpisek'!$I$2:$I$2600,(ROW()-12)-$L$5-3),'Dane rozpisek'!$I$2:$I$2600,0),""))</f>
        <v/>
      </c>
    </row>
    <row r="228">
      <c r="A228" s="47">
        <f>IF($L228="D",INDEX('Zgłoszenia'!$D$5:$D$504,$M228),IF($L228="U",INDEX('Dane rozpisek'!$A$2:$A$2600,$M228),IF($L228="T","KTO JEŹDZIŁ",IF($L228="E1","Brak zgłoszonych usterek w tym okresie.",IF($L228="E2","Brak wpisów z tym wózkiem w rozpiskach dla tego okresu.",IF($L228="H","Data",""))))))</f>
        <v/>
      </c>
      <c r="B228" s="48">
        <f>IF($L228="D",INDEX('Zgłoszenia'!$B$5:$B$504,$M228)&amp;"",IF($L228="U",INDEX('Dane rozpisek'!$F$2:$F$2600,$M228)&amp;"",IF($L228="H","Wózek","")))</f>
        <v/>
      </c>
      <c r="C228" s="48">
        <f>IF($L228="D",INDEX('Zgłoszenia'!$E$5:$E$504,$M228)&amp;"",IF($L228="U",INDEX('Dane rozpisek'!$B$2:$B$2600,$M228)&amp;" · "&amp;INDEX('Dane rozpisek'!$J$2:$J$2600,$M228),IF($L228="H","Zmiana","")))</f>
        <v/>
      </c>
      <c r="D228" s="49">
        <f>IF($L228="D",INDEX('Zgłoszenia'!$H$5:$H$504,$M228)&amp;"",IF($L228="U",INDEX('Dane rozpisek'!$E$2:$E$2600,$M228)&amp;"",IF($L228="H","Operator","")))</f>
        <v/>
      </c>
      <c r="E228" s="49">
        <f>IF($L228="D",INDEX('Zgłoszenia'!$I$5:$I$504,$M228)&amp;"",IF($L228="U",INDEX('Dane rozpisek'!$C$2:$C$2600,$M228)&amp;"",IF($L228="H","Stanowisko","")))</f>
        <v/>
      </c>
      <c r="F228" s="48">
        <f>IF($L228="D",INDEX('Zgłoszenia'!$J$5:$J$504,$M228)&amp;"",IF($L228="U",INDEX('Dane rozpisek'!$G$2:$G$2600,$M228)&amp;"",IF($L228="H","Uwagi","")))</f>
        <v/>
      </c>
      <c r="G228" s="49">
        <f>IF($L228="D",INDEX('Zgłoszenia'!$F$5:$F$504,$M228)&amp;"",IF($L228="U",INDEX('Dane rozpisek'!$L$2:$L$2600,$M228)&amp;"",IF($L228="H","Usterki (dzień / następny)","")))</f>
        <v/>
      </c>
      <c r="H228" s="49">
        <f>IF($L228="D",INDEX('Zgłoszenia'!$P$5:$P$504,$M228)&amp;"",IF($L228="U","",""))</f>
        <v/>
      </c>
      <c r="I228" s="48">
        <f>IF($L228="D",IF(INDEX('Zgłoszenia'!$M$5:$M$504,$M228)="","Zgłoszona",INDEX('Zgłoszenia'!$M$5:$M$504,$M228)),IF($L228="U","",""))</f>
        <v/>
      </c>
      <c r="J228" s="49">
        <f>IF($L228="D",INDEX('Zgłoszenia'!$K$5:$K$504,$M228)&amp;"",IF($L228="U","",""))</f>
        <v/>
      </c>
      <c r="K228" s="2" t="n"/>
      <c r="L228" s="2">
        <f>IF((ROW()-12)&lt;=$L$5,IF($L$2=0,"E1","D"),IF((ROW()-12)=$L$5+1,"",IF((ROW()-12)=$L$5+2,"T",IF((ROW()-12)=$L$5+3,IF($L$3=0,"E2","H"),IF((ROW()-12)&lt;=$L$5+3+$L$3,"U","")))))</f>
        <v/>
      </c>
      <c r="M228" s="2">
        <f>IF(L228="D",MATCH(LARGE('Zgłoszenia'!$Q$5:$Q$504,(ROW()-12)),'Zgłoszenia'!$Q$5:$Q$504,0),IF(L228="U",MATCH(LARGE('Dane rozpisek'!$I$2:$I$2600,(ROW()-12)-$L$5-3),'Dane rozpisek'!$I$2:$I$2600,0),""))</f>
        <v/>
      </c>
    </row>
    <row r="229">
      <c r="A229" s="47">
        <f>IF($L229="D",INDEX('Zgłoszenia'!$D$5:$D$504,$M229),IF($L229="U",INDEX('Dane rozpisek'!$A$2:$A$2600,$M229),IF($L229="T","KTO JEŹDZIŁ",IF($L229="E1","Brak zgłoszonych usterek w tym okresie.",IF($L229="E2","Brak wpisów z tym wózkiem w rozpiskach dla tego okresu.",IF($L229="H","Data",""))))))</f>
        <v/>
      </c>
      <c r="B229" s="48">
        <f>IF($L229="D",INDEX('Zgłoszenia'!$B$5:$B$504,$M229)&amp;"",IF($L229="U",INDEX('Dane rozpisek'!$F$2:$F$2600,$M229)&amp;"",IF($L229="H","Wózek","")))</f>
        <v/>
      </c>
      <c r="C229" s="48">
        <f>IF($L229="D",INDEX('Zgłoszenia'!$E$5:$E$504,$M229)&amp;"",IF($L229="U",INDEX('Dane rozpisek'!$B$2:$B$2600,$M229)&amp;" · "&amp;INDEX('Dane rozpisek'!$J$2:$J$2600,$M229),IF($L229="H","Zmiana","")))</f>
        <v/>
      </c>
      <c r="D229" s="49">
        <f>IF($L229="D",INDEX('Zgłoszenia'!$H$5:$H$504,$M229)&amp;"",IF($L229="U",INDEX('Dane rozpisek'!$E$2:$E$2600,$M229)&amp;"",IF($L229="H","Operator","")))</f>
        <v/>
      </c>
      <c r="E229" s="49">
        <f>IF($L229="D",INDEX('Zgłoszenia'!$I$5:$I$504,$M229)&amp;"",IF($L229="U",INDEX('Dane rozpisek'!$C$2:$C$2600,$M229)&amp;"",IF($L229="H","Stanowisko","")))</f>
        <v/>
      </c>
      <c r="F229" s="48">
        <f>IF($L229="D",INDEX('Zgłoszenia'!$J$5:$J$504,$M229)&amp;"",IF($L229="U",INDEX('Dane rozpisek'!$G$2:$G$2600,$M229)&amp;"",IF($L229="H","Uwagi","")))</f>
        <v/>
      </c>
      <c r="G229" s="49">
        <f>IF($L229="D",INDEX('Zgłoszenia'!$F$5:$F$504,$M229)&amp;"",IF($L229="U",INDEX('Dane rozpisek'!$L$2:$L$2600,$M229)&amp;"",IF($L229="H","Usterki (dzień / następny)","")))</f>
        <v/>
      </c>
      <c r="H229" s="49">
        <f>IF($L229="D",INDEX('Zgłoszenia'!$P$5:$P$504,$M229)&amp;"",IF($L229="U","",""))</f>
        <v/>
      </c>
      <c r="I229" s="48">
        <f>IF($L229="D",IF(INDEX('Zgłoszenia'!$M$5:$M$504,$M229)="","Zgłoszona",INDEX('Zgłoszenia'!$M$5:$M$504,$M229)),IF($L229="U","",""))</f>
        <v/>
      </c>
      <c r="J229" s="49">
        <f>IF($L229="D",INDEX('Zgłoszenia'!$K$5:$K$504,$M229)&amp;"",IF($L229="U","",""))</f>
        <v/>
      </c>
      <c r="K229" s="2" t="n"/>
      <c r="L229" s="2">
        <f>IF((ROW()-12)&lt;=$L$5,IF($L$2=0,"E1","D"),IF((ROW()-12)=$L$5+1,"",IF((ROW()-12)=$L$5+2,"T",IF((ROW()-12)=$L$5+3,IF($L$3=0,"E2","H"),IF((ROW()-12)&lt;=$L$5+3+$L$3,"U","")))))</f>
        <v/>
      </c>
      <c r="M229" s="2">
        <f>IF(L229="D",MATCH(LARGE('Zgłoszenia'!$Q$5:$Q$504,(ROW()-12)),'Zgłoszenia'!$Q$5:$Q$504,0),IF(L229="U",MATCH(LARGE('Dane rozpisek'!$I$2:$I$2600,(ROW()-12)-$L$5-3),'Dane rozpisek'!$I$2:$I$2600,0),""))</f>
        <v/>
      </c>
    </row>
    <row r="230">
      <c r="A230" s="47">
        <f>IF($L230="D",INDEX('Zgłoszenia'!$D$5:$D$504,$M230),IF($L230="U",INDEX('Dane rozpisek'!$A$2:$A$2600,$M230),IF($L230="T","KTO JEŹDZIŁ",IF($L230="E1","Brak zgłoszonych usterek w tym okresie.",IF($L230="E2","Brak wpisów z tym wózkiem w rozpiskach dla tego okresu.",IF($L230="H","Data",""))))))</f>
        <v/>
      </c>
      <c r="B230" s="48">
        <f>IF($L230="D",INDEX('Zgłoszenia'!$B$5:$B$504,$M230)&amp;"",IF($L230="U",INDEX('Dane rozpisek'!$F$2:$F$2600,$M230)&amp;"",IF($L230="H","Wózek","")))</f>
        <v/>
      </c>
      <c r="C230" s="48">
        <f>IF($L230="D",INDEX('Zgłoszenia'!$E$5:$E$504,$M230)&amp;"",IF($L230="U",INDEX('Dane rozpisek'!$B$2:$B$2600,$M230)&amp;" · "&amp;INDEX('Dane rozpisek'!$J$2:$J$2600,$M230),IF($L230="H","Zmiana","")))</f>
        <v/>
      </c>
      <c r="D230" s="49">
        <f>IF($L230="D",INDEX('Zgłoszenia'!$H$5:$H$504,$M230)&amp;"",IF($L230="U",INDEX('Dane rozpisek'!$E$2:$E$2600,$M230)&amp;"",IF($L230="H","Operator","")))</f>
        <v/>
      </c>
      <c r="E230" s="49">
        <f>IF($L230="D",INDEX('Zgłoszenia'!$I$5:$I$504,$M230)&amp;"",IF($L230="U",INDEX('Dane rozpisek'!$C$2:$C$2600,$M230)&amp;"",IF($L230="H","Stanowisko","")))</f>
        <v/>
      </c>
      <c r="F230" s="48">
        <f>IF($L230="D",INDEX('Zgłoszenia'!$J$5:$J$504,$M230)&amp;"",IF($L230="U",INDEX('Dane rozpisek'!$G$2:$G$2600,$M230)&amp;"",IF($L230="H","Uwagi","")))</f>
        <v/>
      </c>
      <c r="G230" s="49">
        <f>IF($L230="D",INDEX('Zgłoszenia'!$F$5:$F$504,$M230)&amp;"",IF($L230="U",INDEX('Dane rozpisek'!$L$2:$L$2600,$M230)&amp;"",IF($L230="H","Usterki (dzień / następny)","")))</f>
        <v/>
      </c>
      <c r="H230" s="49">
        <f>IF($L230="D",INDEX('Zgłoszenia'!$P$5:$P$504,$M230)&amp;"",IF($L230="U","",""))</f>
        <v/>
      </c>
      <c r="I230" s="48">
        <f>IF($L230="D",IF(INDEX('Zgłoszenia'!$M$5:$M$504,$M230)="","Zgłoszona",INDEX('Zgłoszenia'!$M$5:$M$504,$M230)),IF($L230="U","",""))</f>
        <v/>
      </c>
      <c r="J230" s="49">
        <f>IF($L230="D",INDEX('Zgłoszenia'!$K$5:$K$504,$M230)&amp;"",IF($L230="U","",""))</f>
        <v/>
      </c>
      <c r="K230" s="2" t="n"/>
      <c r="L230" s="2">
        <f>IF((ROW()-12)&lt;=$L$5,IF($L$2=0,"E1","D"),IF((ROW()-12)=$L$5+1,"",IF((ROW()-12)=$L$5+2,"T",IF((ROW()-12)=$L$5+3,IF($L$3=0,"E2","H"),IF((ROW()-12)&lt;=$L$5+3+$L$3,"U","")))))</f>
        <v/>
      </c>
      <c r="M230" s="2">
        <f>IF(L230="D",MATCH(LARGE('Zgłoszenia'!$Q$5:$Q$504,(ROW()-12)),'Zgłoszenia'!$Q$5:$Q$504,0),IF(L230="U",MATCH(LARGE('Dane rozpisek'!$I$2:$I$2600,(ROW()-12)-$L$5-3),'Dane rozpisek'!$I$2:$I$2600,0),""))</f>
        <v/>
      </c>
    </row>
    <row r="231">
      <c r="A231" s="47">
        <f>IF($L231="D",INDEX('Zgłoszenia'!$D$5:$D$504,$M231),IF($L231="U",INDEX('Dane rozpisek'!$A$2:$A$2600,$M231),IF($L231="T","KTO JEŹDZIŁ",IF($L231="E1","Brak zgłoszonych usterek w tym okresie.",IF($L231="E2","Brak wpisów z tym wózkiem w rozpiskach dla tego okresu.",IF($L231="H","Data",""))))))</f>
        <v/>
      </c>
      <c r="B231" s="48">
        <f>IF($L231="D",INDEX('Zgłoszenia'!$B$5:$B$504,$M231)&amp;"",IF($L231="U",INDEX('Dane rozpisek'!$F$2:$F$2600,$M231)&amp;"",IF($L231="H","Wózek","")))</f>
        <v/>
      </c>
      <c r="C231" s="48">
        <f>IF($L231="D",INDEX('Zgłoszenia'!$E$5:$E$504,$M231)&amp;"",IF($L231="U",INDEX('Dane rozpisek'!$B$2:$B$2600,$M231)&amp;" · "&amp;INDEX('Dane rozpisek'!$J$2:$J$2600,$M231),IF($L231="H","Zmiana","")))</f>
        <v/>
      </c>
      <c r="D231" s="49">
        <f>IF($L231="D",INDEX('Zgłoszenia'!$H$5:$H$504,$M231)&amp;"",IF($L231="U",INDEX('Dane rozpisek'!$E$2:$E$2600,$M231)&amp;"",IF($L231="H","Operator","")))</f>
        <v/>
      </c>
      <c r="E231" s="49">
        <f>IF($L231="D",INDEX('Zgłoszenia'!$I$5:$I$504,$M231)&amp;"",IF($L231="U",INDEX('Dane rozpisek'!$C$2:$C$2600,$M231)&amp;"",IF($L231="H","Stanowisko","")))</f>
        <v/>
      </c>
      <c r="F231" s="48">
        <f>IF($L231="D",INDEX('Zgłoszenia'!$J$5:$J$504,$M231)&amp;"",IF($L231="U",INDEX('Dane rozpisek'!$G$2:$G$2600,$M231)&amp;"",IF($L231="H","Uwagi","")))</f>
        <v/>
      </c>
      <c r="G231" s="49">
        <f>IF($L231="D",INDEX('Zgłoszenia'!$F$5:$F$504,$M231)&amp;"",IF($L231="U",INDEX('Dane rozpisek'!$L$2:$L$2600,$M231)&amp;"",IF($L231="H","Usterki (dzień / następny)","")))</f>
        <v/>
      </c>
      <c r="H231" s="49">
        <f>IF($L231="D",INDEX('Zgłoszenia'!$P$5:$P$504,$M231)&amp;"",IF($L231="U","",""))</f>
        <v/>
      </c>
      <c r="I231" s="48">
        <f>IF($L231="D",IF(INDEX('Zgłoszenia'!$M$5:$M$504,$M231)="","Zgłoszona",INDEX('Zgłoszenia'!$M$5:$M$504,$M231)),IF($L231="U","",""))</f>
        <v/>
      </c>
      <c r="J231" s="49">
        <f>IF($L231="D",INDEX('Zgłoszenia'!$K$5:$K$504,$M231)&amp;"",IF($L231="U","",""))</f>
        <v/>
      </c>
      <c r="K231" s="2" t="n"/>
      <c r="L231" s="2">
        <f>IF((ROW()-12)&lt;=$L$5,IF($L$2=0,"E1","D"),IF((ROW()-12)=$L$5+1,"",IF((ROW()-12)=$L$5+2,"T",IF((ROW()-12)=$L$5+3,IF($L$3=0,"E2","H"),IF((ROW()-12)&lt;=$L$5+3+$L$3,"U","")))))</f>
        <v/>
      </c>
      <c r="M231" s="2">
        <f>IF(L231="D",MATCH(LARGE('Zgłoszenia'!$Q$5:$Q$504,(ROW()-12)),'Zgłoszenia'!$Q$5:$Q$504,0),IF(L231="U",MATCH(LARGE('Dane rozpisek'!$I$2:$I$2600,(ROW()-12)-$L$5-3),'Dane rozpisek'!$I$2:$I$2600,0),""))</f>
        <v/>
      </c>
    </row>
    <row r="232">
      <c r="A232" s="47">
        <f>IF($L232="D",INDEX('Zgłoszenia'!$D$5:$D$504,$M232),IF($L232="U",INDEX('Dane rozpisek'!$A$2:$A$2600,$M232),IF($L232="T","KTO JEŹDZIŁ",IF($L232="E1","Brak zgłoszonych usterek w tym okresie.",IF($L232="E2","Brak wpisów z tym wózkiem w rozpiskach dla tego okresu.",IF($L232="H","Data",""))))))</f>
        <v/>
      </c>
      <c r="B232" s="48">
        <f>IF($L232="D",INDEX('Zgłoszenia'!$B$5:$B$504,$M232)&amp;"",IF($L232="U",INDEX('Dane rozpisek'!$F$2:$F$2600,$M232)&amp;"",IF($L232="H","Wózek","")))</f>
        <v/>
      </c>
      <c r="C232" s="48">
        <f>IF($L232="D",INDEX('Zgłoszenia'!$E$5:$E$504,$M232)&amp;"",IF($L232="U",INDEX('Dane rozpisek'!$B$2:$B$2600,$M232)&amp;" · "&amp;INDEX('Dane rozpisek'!$J$2:$J$2600,$M232),IF($L232="H","Zmiana","")))</f>
        <v/>
      </c>
      <c r="D232" s="49">
        <f>IF($L232="D",INDEX('Zgłoszenia'!$H$5:$H$504,$M232)&amp;"",IF($L232="U",INDEX('Dane rozpisek'!$E$2:$E$2600,$M232)&amp;"",IF($L232="H","Operator","")))</f>
        <v/>
      </c>
      <c r="E232" s="49">
        <f>IF($L232="D",INDEX('Zgłoszenia'!$I$5:$I$504,$M232)&amp;"",IF($L232="U",INDEX('Dane rozpisek'!$C$2:$C$2600,$M232)&amp;"",IF($L232="H","Stanowisko","")))</f>
        <v/>
      </c>
      <c r="F232" s="48">
        <f>IF($L232="D",INDEX('Zgłoszenia'!$J$5:$J$504,$M232)&amp;"",IF($L232="U",INDEX('Dane rozpisek'!$G$2:$G$2600,$M232)&amp;"",IF($L232="H","Uwagi","")))</f>
        <v/>
      </c>
      <c r="G232" s="49">
        <f>IF($L232="D",INDEX('Zgłoszenia'!$F$5:$F$504,$M232)&amp;"",IF($L232="U",INDEX('Dane rozpisek'!$L$2:$L$2600,$M232)&amp;"",IF($L232="H","Usterki (dzień / następny)","")))</f>
        <v/>
      </c>
      <c r="H232" s="49">
        <f>IF($L232="D",INDEX('Zgłoszenia'!$P$5:$P$504,$M232)&amp;"",IF($L232="U","",""))</f>
        <v/>
      </c>
      <c r="I232" s="48">
        <f>IF($L232="D",IF(INDEX('Zgłoszenia'!$M$5:$M$504,$M232)="","Zgłoszona",INDEX('Zgłoszenia'!$M$5:$M$504,$M232)),IF($L232="U","",""))</f>
        <v/>
      </c>
      <c r="J232" s="49">
        <f>IF($L232="D",INDEX('Zgłoszenia'!$K$5:$K$504,$M232)&amp;"",IF($L232="U","",""))</f>
        <v/>
      </c>
      <c r="K232" s="2" t="n"/>
      <c r="L232" s="2">
        <f>IF((ROW()-12)&lt;=$L$5,IF($L$2=0,"E1","D"),IF((ROW()-12)=$L$5+1,"",IF((ROW()-12)=$L$5+2,"T",IF((ROW()-12)=$L$5+3,IF($L$3=0,"E2","H"),IF((ROW()-12)&lt;=$L$5+3+$L$3,"U","")))))</f>
        <v/>
      </c>
      <c r="M232" s="2">
        <f>IF(L232="D",MATCH(LARGE('Zgłoszenia'!$Q$5:$Q$504,(ROW()-12)),'Zgłoszenia'!$Q$5:$Q$504,0),IF(L232="U",MATCH(LARGE('Dane rozpisek'!$I$2:$I$2600,(ROW()-12)-$L$5-3),'Dane rozpisek'!$I$2:$I$2600,0),""))</f>
        <v/>
      </c>
    </row>
    <row r="233">
      <c r="A233" s="47">
        <f>IF($L233="D",INDEX('Zgłoszenia'!$D$5:$D$504,$M233),IF($L233="U",INDEX('Dane rozpisek'!$A$2:$A$2600,$M233),IF($L233="T","KTO JEŹDZIŁ",IF($L233="E1","Brak zgłoszonych usterek w tym okresie.",IF($L233="E2","Brak wpisów z tym wózkiem w rozpiskach dla tego okresu.",IF($L233="H","Data",""))))))</f>
        <v/>
      </c>
      <c r="B233" s="48">
        <f>IF($L233="D",INDEX('Zgłoszenia'!$B$5:$B$504,$M233)&amp;"",IF($L233="U",INDEX('Dane rozpisek'!$F$2:$F$2600,$M233)&amp;"",IF($L233="H","Wózek","")))</f>
        <v/>
      </c>
      <c r="C233" s="48">
        <f>IF($L233="D",INDEX('Zgłoszenia'!$E$5:$E$504,$M233)&amp;"",IF($L233="U",INDEX('Dane rozpisek'!$B$2:$B$2600,$M233)&amp;" · "&amp;INDEX('Dane rozpisek'!$J$2:$J$2600,$M233),IF($L233="H","Zmiana","")))</f>
        <v/>
      </c>
      <c r="D233" s="49">
        <f>IF($L233="D",INDEX('Zgłoszenia'!$H$5:$H$504,$M233)&amp;"",IF($L233="U",INDEX('Dane rozpisek'!$E$2:$E$2600,$M233)&amp;"",IF($L233="H","Operator","")))</f>
        <v/>
      </c>
      <c r="E233" s="49">
        <f>IF($L233="D",INDEX('Zgłoszenia'!$I$5:$I$504,$M233)&amp;"",IF($L233="U",INDEX('Dane rozpisek'!$C$2:$C$2600,$M233)&amp;"",IF($L233="H","Stanowisko","")))</f>
        <v/>
      </c>
      <c r="F233" s="48">
        <f>IF($L233="D",INDEX('Zgłoszenia'!$J$5:$J$504,$M233)&amp;"",IF($L233="U",INDEX('Dane rozpisek'!$G$2:$G$2600,$M233)&amp;"",IF($L233="H","Uwagi","")))</f>
        <v/>
      </c>
      <c r="G233" s="49">
        <f>IF($L233="D",INDEX('Zgłoszenia'!$F$5:$F$504,$M233)&amp;"",IF($L233="U",INDEX('Dane rozpisek'!$L$2:$L$2600,$M233)&amp;"",IF($L233="H","Usterki (dzień / następny)","")))</f>
        <v/>
      </c>
      <c r="H233" s="49">
        <f>IF($L233="D",INDEX('Zgłoszenia'!$P$5:$P$504,$M233)&amp;"",IF($L233="U","",""))</f>
        <v/>
      </c>
      <c r="I233" s="48">
        <f>IF($L233="D",IF(INDEX('Zgłoszenia'!$M$5:$M$504,$M233)="","Zgłoszona",INDEX('Zgłoszenia'!$M$5:$M$504,$M233)),IF($L233="U","",""))</f>
        <v/>
      </c>
      <c r="J233" s="49">
        <f>IF($L233="D",INDEX('Zgłoszenia'!$K$5:$K$504,$M233)&amp;"",IF($L233="U","",""))</f>
        <v/>
      </c>
      <c r="K233" s="2" t="n"/>
      <c r="L233" s="2">
        <f>IF((ROW()-12)&lt;=$L$5,IF($L$2=0,"E1","D"),IF((ROW()-12)=$L$5+1,"",IF((ROW()-12)=$L$5+2,"T",IF((ROW()-12)=$L$5+3,IF($L$3=0,"E2","H"),IF((ROW()-12)&lt;=$L$5+3+$L$3,"U","")))))</f>
        <v/>
      </c>
      <c r="M233" s="2">
        <f>IF(L233="D",MATCH(LARGE('Zgłoszenia'!$Q$5:$Q$504,(ROW()-12)),'Zgłoszenia'!$Q$5:$Q$504,0),IF(L233="U",MATCH(LARGE('Dane rozpisek'!$I$2:$I$2600,(ROW()-12)-$L$5-3),'Dane rozpisek'!$I$2:$I$2600,0),""))</f>
        <v/>
      </c>
    </row>
    <row r="234">
      <c r="A234" s="47">
        <f>IF($L234="D",INDEX('Zgłoszenia'!$D$5:$D$504,$M234),IF($L234="U",INDEX('Dane rozpisek'!$A$2:$A$2600,$M234),IF($L234="T","KTO JEŹDZIŁ",IF($L234="E1","Brak zgłoszonych usterek w tym okresie.",IF($L234="E2","Brak wpisów z tym wózkiem w rozpiskach dla tego okresu.",IF($L234="H","Data",""))))))</f>
        <v/>
      </c>
      <c r="B234" s="48">
        <f>IF($L234="D",INDEX('Zgłoszenia'!$B$5:$B$504,$M234)&amp;"",IF($L234="U",INDEX('Dane rozpisek'!$F$2:$F$2600,$M234)&amp;"",IF($L234="H","Wózek","")))</f>
        <v/>
      </c>
      <c r="C234" s="48">
        <f>IF($L234="D",INDEX('Zgłoszenia'!$E$5:$E$504,$M234)&amp;"",IF($L234="U",INDEX('Dane rozpisek'!$B$2:$B$2600,$M234)&amp;" · "&amp;INDEX('Dane rozpisek'!$J$2:$J$2600,$M234),IF($L234="H","Zmiana","")))</f>
        <v/>
      </c>
      <c r="D234" s="49">
        <f>IF($L234="D",INDEX('Zgłoszenia'!$H$5:$H$504,$M234)&amp;"",IF($L234="U",INDEX('Dane rozpisek'!$E$2:$E$2600,$M234)&amp;"",IF($L234="H","Operator","")))</f>
        <v/>
      </c>
      <c r="E234" s="49">
        <f>IF($L234="D",INDEX('Zgłoszenia'!$I$5:$I$504,$M234)&amp;"",IF($L234="U",INDEX('Dane rozpisek'!$C$2:$C$2600,$M234)&amp;"",IF($L234="H","Stanowisko","")))</f>
        <v/>
      </c>
      <c r="F234" s="48">
        <f>IF($L234="D",INDEX('Zgłoszenia'!$J$5:$J$504,$M234)&amp;"",IF($L234="U",INDEX('Dane rozpisek'!$G$2:$G$2600,$M234)&amp;"",IF($L234="H","Uwagi","")))</f>
        <v/>
      </c>
      <c r="G234" s="49">
        <f>IF($L234="D",INDEX('Zgłoszenia'!$F$5:$F$504,$M234)&amp;"",IF($L234="U",INDEX('Dane rozpisek'!$L$2:$L$2600,$M234)&amp;"",IF($L234="H","Usterki (dzień / następny)","")))</f>
        <v/>
      </c>
      <c r="H234" s="49">
        <f>IF($L234="D",INDEX('Zgłoszenia'!$P$5:$P$504,$M234)&amp;"",IF($L234="U","",""))</f>
        <v/>
      </c>
      <c r="I234" s="48">
        <f>IF($L234="D",IF(INDEX('Zgłoszenia'!$M$5:$M$504,$M234)="","Zgłoszona",INDEX('Zgłoszenia'!$M$5:$M$504,$M234)),IF($L234="U","",""))</f>
        <v/>
      </c>
      <c r="J234" s="49">
        <f>IF($L234="D",INDEX('Zgłoszenia'!$K$5:$K$504,$M234)&amp;"",IF($L234="U","",""))</f>
        <v/>
      </c>
      <c r="K234" s="2" t="n"/>
      <c r="L234" s="2">
        <f>IF((ROW()-12)&lt;=$L$5,IF($L$2=0,"E1","D"),IF((ROW()-12)=$L$5+1,"",IF((ROW()-12)=$L$5+2,"T",IF((ROW()-12)=$L$5+3,IF($L$3=0,"E2","H"),IF((ROW()-12)&lt;=$L$5+3+$L$3,"U","")))))</f>
        <v/>
      </c>
      <c r="M234" s="2">
        <f>IF(L234="D",MATCH(LARGE('Zgłoszenia'!$Q$5:$Q$504,(ROW()-12)),'Zgłoszenia'!$Q$5:$Q$504,0),IF(L234="U",MATCH(LARGE('Dane rozpisek'!$I$2:$I$2600,(ROW()-12)-$L$5-3),'Dane rozpisek'!$I$2:$I$2600,0),""))</f>
        <v/>
      </c>
    </row>
    <row r="235">
      <c r="A235" s="47">
        <f>IF($L235="D",INDEX('Zgłoszenia'!$D$5:$D$504,$M235),IF($L235="U",INDEX('Dane rozpisek'!$A$2:$A$2600,$M235),IF($L235="T","KTO JEŹDZIŁ",IF($L235="E1","Brak zgłoszonych usterek w tym okresie.",IF($L235="E2","Brak wpisów z tym wózkiem w rozpiskach dla tego okresu.",IF($L235="H","Data",""))))))</f>
        <v/>
      </c>
      <c r="B235" s="48">
        <f>IF($L235="D",INDEX('Zgłoszenia'!$B$5:$B$504,$M235)&amp;"",IF($L235="U",INDEX('Dane rozpisek'!$F$2:$F$2600,$M235)&amp;"",IF($L235="H","Wózek","")))</f>
        <v/>
      </c>
      <c r="C235" s="48">
        <f>IF($L235="D",INDEX('Zgłoszenia'!$E$5:$E$504,$M235)&amp;"",IF($L235="U",INDEX('Dane rozpisek'!$B$2:$B$2600,$M235)&amp;" · "&amp;INDEX('Dane rozpisek'!$J$2:$J$2600,$M235),IF($L235="H","Zmiana","")))</f>
        <v/>
      </c>
      <c r="D235" s="49">
        <f>IF($L235="D",INDEX('Zgłoszenia'!$H$5:$H$504,$M235)&amp;"",IF($L235="U",INDEX('Dane rozpisek'!$E$2:$E$2600,$M235)&amp;"",IF($L235="H","Operator","")))</f>
        <v/>
      </c>
      <c r="E235" s="49">
        <f>IF($L235="D",INDEX('Zgłoszenia'!$I$5:$I$504,$M235)&amp;"",IF($L235="U",INDEX('Dane rozpisek'!$C$2:$C$2600,$M235)&amp;"",IF($L235="H","Stanowisko","")))</f>
        <v/>
      </c>
      <c r="F235" s="48">
        <f>IF($L235="D",INDEX('Zgłoszenia'!$J$5:$J$504,$M235)&amp;"",IF($L235="U",INDEX('Dane rozpisek'!$G$2:$G$2600,$M235)&amp;"",IF($L235="H","Uwagi","")))</f>
        <v/>
      </c>
      <c r="G235" s="49">
        <f>IF($L235="D",INDEX('Zgłoszenia'!$F$5:$F$504,$M235)&amp;"",IF($L235="U",INDEX('Dane rozpisek'!$L$2:$L$2600,$M235)&amp;"",IF($L235="H","Usterki (dzień / następny)","")))</f>
        <v/>
      </c>
      <c r="H235" s="49">
        <f>IF($L235="D",INDEX('Zgłoszenia'!$P$5:$P$504,$M235)&amp;"",IF($L235="U","",""))</f>
        <v/>
      </c>
      <c r="I235" s="48">
        <f>IF($L235="D",IF(INDEX('Zgłoszenia'!$M$5:$M$504,$M235)="","Zgłoszona",INDEX('Zgłoszenia'!$M$5:$M$504,$M235)),IF($L235="U","",""))</f>
        <v/>
      </c>
      <c r="J235" s="49">
        <f>IF($L235="D",INDEX('Zgłoszenia'!$K$5:$K$504,$M235)&amp;"",IF($L235="U","",""))</f>
        <v/>
      </c>
      <c r="K235" s="2" t="n"/>
      <c r="L235" s="2">
        <f>IF((ROW()-12)&lt;=$L$5,IF($L$2=0,"E1","D"),IF((ROW()-12)=$L$5+1,"",IF((ROW()-12)=$L$5+2,"T",IF((ROW()-12)=$L$5+3,IF($L$3=0,"E2","H"),IF((ROW()-12)&lt;=$L$5+3+$L$3,"U","")))))</f>
        <v/>
      </c>
      <c r="M235" s="2">
        <f>IF(L235="D",MATCH(LARGE('Zgłoszenia'!$Q$5:$Q$504,(ROW()-12)),'Zgłoszenia'!$Q$5:$Q$504,0),IF(L235="U",MATCH(LARGE('Dane rozpisek'!$I$2:$I$2600,(ROW()-12)-$L$5-3),'Dane rozpisek'!$I$2:$I$2600,0),""))</f>
        <v/>
      </c>
    </row>
    <row r="236">
      <c r="A236" s="47">
        <f>IF($L236="D",INDEX('Zgłoszenia'!$D$5:$D$504,$M236),IF($L236="U",INDEX('Dane rozpisek'!$A$2:$A$2600,$M236),IF($L236="T","KTO JEŹDZIŁ",IF($L236="E1","Brak zgłoszonych usterek w tym okresie.",IF($L236="E2","Brak wpisów z tym wózkiem w rozpiskach dla tego okresu.",IF($L236="H","Data",""))))))</f>
        <v/>
      </c>
      <c r="B236" s="48">
        <f>IF($L236="D",INDEX('Zgłoszenia'!$B$5:$B$504,$M236)&amp;"",IF($L236="U",INDEX('Dane rozpisek'!$F$2:$F$2600,$M236)&amp;"",IF($L236="H","Wózek","")))</f>
        <v/>
      </c>
      <c r="C236" s="48">
        <f>IF($L236="D",INDEX('Zgłoszenia'!$E$5:$E$504,$M236)&amp;"",IF($L236="U",INDEX('Dane rozpisek'!$B$2:$B$2600,$M236)&amp;" · "&amp;INDEX('Dane rozpisek'!$J$2:$J$2600,$M236),IF($L236="H","Zmiana","")))</f>
        <v/>
      </c>
      <c r="D236" s="49">
        <f>IF($L236="D",INDEX('Zgłoszenia'!$H$5:$H$504,$M236)&amp;"",IF($L236="U",INDEX('Dane rozpisek'!$E$2:$E$2600,$M236)&amp;"",IF($L236="H","Operator","")))</f>
        <v/>
      </c>
      <c r="E236" s="49">
        <f>IF($L236="D",INDEX('Zgłoszenia'!$I$5:$I$504,$M236)&amp;"",IF($L236="U",INDEX('Dane rozpisek'!$C$2:$C$2600,$M236)&amp;"",IF($L236="H","Stanowisko","")))</f>
        <v/>
      </c>
      <c r="F236" s="48">
        <f>IF($L236="D",INDEX('Zgłoszenia'!$J$5:$J$504,$M236)&amp;"",IF($L236="U",INDEX('Dane rozpisek'!$G$2:$G$2600,$M236)&amp;"",IF($L236="H","Uwagi","")))</f>
        <v/>
      </c>
      <c r="G236" s="49">
        <f>IF($L236="D",INDEX('Zgłoszenia'!$F$5:$F$504,$M236)&amp;"",IF($L236="U",INDEX('Dane rozpisek'!$L$2:$L$2600,$M236)&amp;"",IF($L236="H","Usterki (dzień / następny)","")))</f>
        <v/>
      </c>
      <c r="H236" s="49">
        <f>IF($L236="D",INDEX('Zgłoszenia'!$P$5:$P$504,$M236)&amp;"",IF($L236="U","",""))</f>
        <v/>
      </c>
      <c r="I236" s="48">
        <f>IF($L236="D",IF(INDEX('Zgłoszenia'!$M$5:$M$504,$M236)="","Zgłoszona",INDEX('Zgłoszenia'!$M$5:$M$504,$M236)),IF($L236="U","",""))</f>
        <v/>
      </c>
      <c r="J236" s="49">
        <f>IF($L236="D",INDEX('Zgłoszenia'!$K$5:$K$504,$M236)&amp;"",IF($L236="U","",""))</f>
        <v/>
      </c>
      <c r="K236" s="2" t="n"/>
      <c r="L236" s="2">
        <f>IF((ROW()-12)&lt;=$L$5,IF($L$2=0,"E1","D"),IF((ROW()-12)=$L$5+1,"",IF((ROW()-12)=$L$5+2,"T",IF((ROW()-12)=$L$5+3,IF($L$3=0,"E2","H"),IF((ROW()-12)&lt;=$L$5+3+$L$3,"U","")))))</f>
        <v/>
      </c>
      <c r="M236" s="2">
        <f>IF(L236="D",MATCH(LARGE('Zgłoszenia'!$Q$5:$Q$504,(ROW()-12)),'Zgłoszenia'!$Q$5:$Q$504,0),IF(L236="U",MATCH(LARGE('Dane rozpisek'!$I$2:$I$2600,(ROW()-12)-$L$5-3),'Dane rozpisek'!$I$2:$I$2600,0),""))</f>
        <v/>
      </c>
    </row>
    <row r="237">
      <c r="A237" s="47">
        <f>IF($L237="D",INDEX('Zgłoszenia'!$D$5:$D$504,$M237),IF($L237="U",INDEX('Dane rozpisek'!$A$2:$A$2600,$M237),IF($L237="T","KTO JEŹDZIŁ",IF($L237="E1","Brak zgłoszonych usterek w tym okresie.",IF($L237="E2","Brak wpisów z tym wózkiem w rozpiskach dla tego okresu.",IF($L237="H","Data",""))))))</f>
        <v/>
      </c>
      <c r="B237" s="48">
        <f>IF($L237="D",INDEX('Zgłoszenia'!$B$5:$B$504,$M237)&amp;"",IF($L237="U",INDEX('Dane rozpisek'!$F$2:$F$2600,$M237)&amp;"",IF($L237="H","Wózek","")))</f>
        <v/>
      </c>
      <c r="C237" s="48">
        <f>IF($L237="D",INDEX('Zgłoszenia'!$E$5:$E$504,$M237)&amp;"",IF($L237="U",INDEX('Dane rozpisek'!$B$2:$B$2600,$M237)&amp;" · "&amp;INDEX('Dane rozpisek'!$J$2:$J$2600,$M237),IF($L237="H","Zmiana","")))</f>
        <v/>
      </c>
      <c r="D237" s="49">
        <f>IF($L237="D",INDEX('Zgłoszenia'!$H$5:$H$504,$M237)&amp;"",IF($L237="U",INDEX('Dane rozpisek'!$E$2:$E$2600,$M237)&amp;"",IF($L237="H","Operator","")))</f>
        <v/>
      </c>
      <c r="E237" s="49">
        <f>IF($L237="D",INDEX('Zgłoszenia'!$I$5:$I$504,$M237)&amp;"",IF($L237="U",INDEX('Dane rozpisek'!$C$2:$C$2600,$M237)&amp;"",IF($L237="H","Stanowisko","")))</f>
        <v/>
      </c>
      <c r="F237" s="48">
        <f>IF($L237="D",INDEX('Zgłoszenia'!$J$5:$J$504,$M237)&amp;"",IF($L237="U",INDEX('Dane rozpisek'!$G$2:$G$2600,$M237)&amp;"",IF($L237="H","Uwagi","")))</f>
        <v/>
      </c>
      <c r="G237" s="49">
        <f>IF($L237="D",INDEX('Zgłoszenia'!$F$5:$F$504,$M237)&amp;"",IF($L237="U",INDEX('Dane rozpisek'!$L$2:$L$2600,$M237)&amp;"",IF($L237="H","Usterki (dzień / następny)","")))</f>
        <v/>
      </c>
      <c r="H237" s="49">
        <f>IF($L237="D",INDEX('Zgłoszenia'!$P$5:$P$504,$M237)&amp;"",IF($L237="U","",""))</f>
        <v/>
      </c>
      <c r="I237" s="48">
        <f>IF($L237="D",IF(INDEX('Zgłoszenia'!$M$5:$M$504,$M237)="","Zgłoszona",INDEX('Zgłoszenia'!$M$5:$M$504,$M237)),IF($L237="U","",""))</f>
        <v/>
      </c>
      <c r="J237" s="49">
        <f>IF($L237="D",INDEX('Zgłoszenia'!$K$5:$K$504,$M237)&amp;"",IF($L237="U","",""))</f>
        <v/>
      </c>
      <c r="K237" s="2" t="n"/>
      <c r="L237" s="2">
        <f>IF((ROW()-12)&lt;=$L$5,IF($L$2=0,"E1","D"),IF((ROW()-12)=$L$5+1,"",IF((ROW()-12)=$L$5+2,"T",IF((ROW()-12)=$L$5+3,IF($L$3=0,"E2","H"),IF((ROW()-12)&lt;=$L$5+3+$L$3,"U","")))))</f>
        <v/>
      </c>
      <c r="M237" s="2">
        <f>IF(L237="D",MATCH(LARGE('Zgłoszenia'!$Q$5:$Q$504,(ROW()-12)),'Zgłoszenia'!$Q$5:$Q$504,0),IF(L237="U",MATCH(LARGE('Dane rozpisek'!$I$2:$I$2600,(ROW()-12)-$L$5-3),'Dane rozpisek'!$I$2:$I$2600,0),""))</f>
        <v/>
      </c>
    </row>
    <row r="238">
      <c r="A238" s="47">
        <f>IF($L238="D",INDEX('Zgłoszenia'!$D$5:$D$504,$M238),IF($L238="U",INDEX('Dane rozpisek'!$A$2:$A$2600,$M238),IF($L238="T","KTO JEŹDZIŁ",IF($L238="E1","Brak zgłoszonych usterek w tym okresie.",IF($L238="E2","Brak wpisów z tym wózkiem w rozpiskach dla tego okresu.",IF($L238="H","Data",""))))))</f>
        <v/>
      </c>
      <c r="B238" s="48">
        <f>IF($L238="D",INDEX('Zgłoszenia'!$B$5:$B$504,$M238)&amp;"",IF($L238="U",INDEX('Dane rozpisek'!$F$2:$F$2600,$M238)&amp;"",IF($L238="H","Wózek","")))</f>
        <v/>
      </c>
      <c r="C238" s="48">
        <f>IF($L238="D",INDEX('Zgłoszenia'!$E$5:$E$504,$M238)&amp;"",IF($L238="U",INDEX('Dane rozpisek'!$B$2:$B$2600,$M238)&amp;" · "&amp;INDEX('Dane rozpisek'!$J$2:$J$2600,$M238),IF($L238="H","Zmiana","")))</f>
        <v/>
      </c>
      <c r="D238" s="49">
        <f>IF($L238="D",INDEX('Zgłoszenia'!$H$5:$H$504,$M238)&amp;"",IF($L238="U",INDEX('Dane rozpisek'!$E$2:$E$2600,$M238)&amp;"",IF($L238="H","Operator","")))</f>
        <v/>
      </c>
      <c r="E238" s="49">
        <f>IF($L238="D",INDEX('Zgłoszenia'!$I$5:$I$504,$M238)&amp;"",IF($L238="U",INDEX('Dane rozpisek'!$C$2:$C$2600,$M238)&amp;"",IF($L238="H","Stanowisko","")))</f>
        <v/>
      </c>
      <c r="F238" s="48">
        <f>IF($L238="D",INDEX('Zgłoszenia'!$J$5:$J$504,$M238)&amp;"",IF($L238="U",INDEX('Dane rozpisek'!$G$2:$G$2600,$M238)&amp;"",IF($L238="H","Uwagi","")))</f>
        <v/>
      </c>
      <c r="G238" s="49">
        <f>IF($L238="D",INDEX('Zgłoszenia'!$F$5:$F$504,$M238)&amp;"",IF($L238="U",INDEX('Dane rozpisek'!$L$2:$L$2600,$M238)&amp;"",IF($L238="H","Usterki (dzień / następny)","")))</f>
        <v/>
      </c>
      <c r="H238" s="49">
        <f>IF($L238="D",INDEX('Zgłoszenia'!$P$5:$P$504,$M238)&amp;"",IF($L238="U","",""))</f>
        <v/>
      </c>
      <c r="I238" s="48">
        <f>IF($L238="D",IF(INDEX('Zgłoszenia'!$M$5:$M$504,$M238)="","Zgłoszona",INDEX('Zgłoszenia'!$M$5:$M$504,$M238)),IF($L238="U","",""))</f>
        <v/>
      </c>
      <c r="J238" s="49">
        <f>IF($L238="D",INDEX('Zgłoszenia'!$K$5:$K$504,$M238)&amp;"",IF($L238="U","",""))</f>
        <v/>
      </c>
      <c r="K238" s="2" t="n"/>
      <c r="L238" s="2">
        <f>IF((ROW()-12)&lt;=$L$5,IF($L$2=0,"E1","D"),IF((ROW()-12)=$L$5+1,"",IF((ROW()-12)=$L$5+2,"T",IF((ROW()-12)=$L$5+3,IF($L$3=0,"E2","H"),IF((ROW()-12)&lt;=$L$5+3+$L$3,"U","")))))</f>
        <v/>
      </c>
      <c r="M238" s="2">
        <f>IF(L238="D",MATCH(LARGE('Zgłoszenia'!$Q$5:$Q$504,(ROW()-12)),'Zgłoszenia'!$Q$5:$Q$504,0),IF(L238="U",MATCH(LARGE('Dane rozpisek'!$I$2:$I$2600,(ROW()-12)-$L$5-3),'Dane rozpisek'!$I$2:$I$2600,0),""))</f>
        <v/>
      </c>
    </row>
    <row r="239">
      <c r="A239" s="47">
        <f>IF($L239="D",INDEX('Zgłoszenia'!$D$5:$D$504,$M239),IF($L239="U",INDEX('Dane rozpisek'!$A$2:$A$2600,$M239),IF($L239="T","KTO JEŹDZIŁ",IF($L239="E1","Brak zgłoszonych usterek w tym okresie.",IF($L239="E2","Brak wpisów z tym wózkiem w rozpiskach dla tego okresu.",IF($L239="H","Data",""))))))</f>
        <v/>
      </c>
      <c r="B239" s="48">
        <f>IF($L239="D",INDEX('Zgłoszenia'!$B$5:$B$504,$M239)&amp;"",IF($L239="U",INDEX('Dane rozpisek'!$F$2:$F$2600,$M239)&amp;"",IF($L239="H","Wózek","")))</f>
        <v/>
      </c>
      <c r="C239" s="48">
        <f>IF($L239="D",INDEX('Zgłoszenia'!$E$5:$E$504,$M239)&amp;"",IF($L239="U",INDEX('Dane rozpisek'!$B$2:$B$2600,$M239)&amp;" · "&amp;INDEX('Dane rozpisek'!$J$2:$J$2600,$M239),IF($L239="H","Zmiana","")))</f>
        <v/>
      </c>
      <c r="D239" s="49">
        <f>IF($L239="D",INDEX('Zgłoszenia'!$H$5:$H$504,$M239)&amp;"",IF($L239="U",INDEX('Dane rozpisek'!$E$2:$E$2600,$M239)&amp;"",IF($L239="H","Operator","")))</f>
        <v/>
      </c>
      <c r="E239" s="49">
        <f>IF($L239="D",INDEX('Zgłoszenia'!$I$5:$I$504,$M239)&amp;"",IF($L239="U",INDEX('Dane rozpisek'!$C$2:$C$2600,$M239)&amp;"",IF($L239="H","Stanowisko","")))</f>
        <v/>
      </c>
      <c r="F239" s="48">
        <f>IF($L239="D",INDEX('Zgłoszenia'!$J$5:$J$504,$M239)&amp;"",IF($L239="U",INDEX('Dane rozpisek'!$G$2:$G$2600,$M239)&amp;"",IF($L239="H","Uwagi","")))</f>
        <v/>
      </c>
      <c r="G239" s="49">
        <f>IF($L239="D",INDEX('Zgłoszenia'!$F$5:$F$504,$M239)&amp;"",IF($L239="U",INDEX('Dane rozpisek'!$L$2:$L$2600,$M239)&amp;"",IF($L239="H","Usterki (dzień / następny)","")))</f>
        <v/>
      </c>
      <c r="H239" s="49">
        <f>IF($L239="D",INDEX('Zgłoszenia'!$P$5:$P$504,$M239)&amp;"",IF($L239="U","",""))</f>
        <v/>
      </c>
      <c r="I239" s="48">
        <f>IF($L239="D",IF(INDEX('Zgłoszenia'!$M$5:$M$504,$M239)="","Zgłoszona",INDEX('Zgłoszenia'!$M$5:$M$504,$M239)),IF($L239="U","",""))</f>
        <v/>
      </c>
      <c r="J239" s="49">
        <f>IF($L239="D",INDEX('Zgłoszenia'!$K$5:$K$504,$M239)&amp;"",IF($L239="U","",""))</f>
        <v/>
      </c>
      <c r="K239" s="2" t="n"/>
      <c r="L239" s="2">
        <f>IF((ROW()-12)&lt;=$L$5,IF($L$2=0,"E1","D"),IF((ROW()-12)=$L$5+1,"",IF((ROW()-12)=$L$5+2,"T",IF((ROW()-12)=$L$5+3,IF($L$3=0,"E2","H"),IF((ROW()-12)&lt;=$L$5+3+$L$3,"U","")))))</f>
        <v/>
      </c>
      <c r="M239" s="2">
        <f>IF(L239="D",MATCH(LARGE('Zgłoszenia'!$Q$5:$Q$504,(ROW()-12)),'Zgłoszenia'!$Q$5:$Q$504,0),IF(L239="U",MATCH(LARGE('Dane rozpisek'!$I$2:$I$2600,(ROW()-12)-$L$5-3),'Dane rozpisek'!$I$2:$I$2600,0),""))</f>
        <v/>
      </c>
    </row>
    <row r="240">
      <c r="A240" s="47">
        <f>IF($L240="D",INDEX('Zgłoszenia'!$D$5:$D$504,$M240),IF($L240="U",INDEX('Dane rozpisek'!$A$2:$A$2600,$M240),IF($L240="T","KTO JEŹDZIŁ",IF($L240="E1","Brak zgłoszonych usterek w tym okresie.",IF($L240="E2","Brak wpisów z tym wózkiem w rozpiskach dla tego okresu.",IF($L240="H","Data",""))))))</f>
        <v/>
      </c>
      <c r="B240" s="48">
        <f>IF($L240="D",INDEX('Zgłoszenia'!$B$5:$B$504,$M240)&amp;"",IF($L240="U",INDEX('Dane rozpisek'!$F$2:$F$2600,$M240)&amp;"",IF($L240="H","Wózek","")))</f>
        <v/>
      </c>
      <c r="C240" s="48">
        <f>IF($L240="D",INDEX('Zgłoszenia'!$E$5:$E$504,$M240)&amp;"",IF($L240="U",INDEX('Dane rozpisek'!$B$2:$B$2600,$M240)&amp;" · "&amp;INDEX('Dane rozpisek'!$J$2:$J$2600,$M240),IF($L240="H","Zmiana","")))</f>
        <v/>
      </c>
      <c r="D240" s="49">
        <f>IF($L240="D",INDEX('Zgłoszenia'!$H$5:$H$504,$M240)&amp;"",IF($L240="U",INDEX('Dane rozpisek'!$E$2:$E$2600,$M240)&amp;"",IF($L240="H","Operator","")))</f>
        <v/>
      </c>
      <c r="E240" s="49">
        <f>IF($L240="D",INDEX('Zgłoszenia'!$I$5:$I$504,$M240)&amp;"",IF($L240="U",INDEX('Dane rozpisek'!$C$2:$C$2600,$M240)&amp;"",IF($L240="H","Stanowisko","")))</f>
        <v/>
      </c>
      <c r="F240" s="48">
        <f>IF($L240="D",INDEX('Zgłoszenia'!$J$5:$J$504,$M240)&amp;"",IF($L240="U",INDEX('Dane rozpisek'!$G$2:$G$2600,$M240)&amp;"",IF($L240="H","Uwagi","")))</f>
        <v/>
      </c>
      <c r="G240" s="49">
        <f>IF($L240="D",INDEX('Zgłoszenia'!$F$5:$F$504,$M240)&amp;"",IF($L240="U",INDEX('Dane rozpisek'!$L$2:$L$2600,$M240)&amp;"",IF($L240="H","Usterki (dzień / następny)","")))</f>
        <v/>
      </c>
      <c r="H240" s="49">
        <f>IF($L240="D",INDEX('Zgłoszenia'!$P$5:$P$504,$M240)&amp;"",IF($L240="U","",""))</f>
        <v/>
      </c>
      <c r="I240" s="48">
        <f>IF($L240="D",IF(INDEX('Zgłoszenia'!$M$5:$M$504,$M240)="","Zgłoszona",INDEX('Zgłoszenia'!$M$5:$M$504,$M240)),IF($L240="U","",""))</f>
        <v/>
      </c>
      <c r="J240" s="49">
        <f>IF($L240="D",INDEX('Zgłoszenia'!$K$5:$K$504,$M240)&amp;"",IF($L240="U","",""))</f>
        <v/>
      </c>
      <c r="K240" s="2" t="n"/>
      <c r="L240" s="2">
        <f>IF((ROW()-12)&lt;=$L$5,IF($L$2=0,"E1","D"),IF((ROW()-12)=$L$5+1,"",IF((ROW()-12)=$L$5+2,"T",IF((ROW()-12)=$L$5+3,IF($L$3=0,"E2","H"),IF((ROW()-12)&lt;=$L$5+3+$L$3,"U","")))))</f>
        <v/>
      </c>
      <c r="M240" s="2">
        <f>IF(L240="D",MATCH(LARGE('Zgłoszenia'!$Q$5:$Q$504,(ROW()-12)),'Zgłoszenia'!$Q$5:$Q$504,0),IF(L240="U",MATCH(LARGE('Dane rozpisek'!$I$2:$I$2600,(ROW()-12)-$L$5-3),'Dane rozpisek'!$I$2:$I$2600,0),""))</f>
        <v/>
      </c>
    </row>
    <row r="241">
      <c r="A241" s="47">
        <f>IF($L241="D",INDEX('Zgłoszenia'!$D$5:$D$504,$M241),IF($L241="U",INDEX('Dane rozpisek'!$A$2:$A$2600,$M241),IF($L241="T","KTO JEŹDZIŁ",IF($L241="E1","Brak zgłoszonych usterek w tym okresie.",IF($L241="E2","Brak wpisów z tym wózkiem w rozpiskach dla tego okresu.",IF($L241="H","Data",""))))))</f>
        <v/>
      </c>
      <c r="B241" s="48">
        <f>IF($L241="D",INDEX('Zgłoszenia'!$B$5:$B$504,$M241)&amp;"",IF($L241="U",INDEX('Dane rozpisek'!$F$2:$F$2600,$M241)&amp;"",IF($L241="H","Wózek","")))</f>
        <v/>
      </c>
      <c r="C241" s="48">
        <f>IF($L241="D",INDEX('Zgłoszenia'!$E$5:$E$504,$M241)&amp;"",IF($L241="U",INDEX('Dane rozpisek'!$B$2:$B$2600,$M241)&amp;" · "&amp;INDEX('Dane rozpisek'!$J$2:$J$2600,$M241),IF($L241="H","Zmiana","")))</f>
        <v/>
      </c>
      <c r="D241" s="49">
        <f>IF($L241="D",INDEX('Zgłoszenia'!$H$5:$H$504,$M241)&amp;"",IF($L241="U",INDEX('Dane rozpisek'!$E$2:$E$2600,$M241)&amp;"",IF($L241="H","Operator","")))</f>
        <v/>
      </c>
      <c r="E241" s="49">
        <f>IF($L241="D",INDEX('Zgłoszenia'!$I$5:$I$504,$M241)&amp;"",IF($L241="U",INDEX('Dane rozpisek'!$C$2:$C$2600,$M241)&amp;"",IF($L241="H","Stanowisko","")))</f>
        <v/>
      </c>
      <c r="F241" s="48">
        <f>IF($L241="D",INDEX('Zgłoszenia'!$J$5:$J$504,$M241)&amp;"",IF($L241="U",INDEX('Dane rozpisek'!$G$2:$G$2600,$M241)&amp;"",IF($L241="H","Uwagi","")))</f>
        <v/>
      </c>
      <c r="G241" s="49">
        <f>IF($L241="D",INDEX('Zgłoszenia'!$F$5:$F$504,$M241)&amp;"",IF($L241="U",INDEX('Dane rozpisek'!$L$2:$L$2600,$M241)&amp;"",IF($L241="H","Usterki (dzień / następny)","")))</f>
        <v/>
      </c>
      <c r="H241" s="49">
        <f>IF($L241="D",INDEX('Zgłoszenia'!$P$5:$P$504,$M241)&amp;"",IF($L241="U","",""))</f>
        <v/>
      </c>
      <c r="I241" s="48">
        <f>IF($L241="D",IF(INDEX('Zgłoszenia'!$M$5:$M$504,$M241)="","Zgłoszona",INDEX('Zgłoszenia'!$M$5:$M$504,$M241)),IF($L241="U","",""))</f>
        <v/>
      </c>
      <c r="J241" s="49">
        <f>IF($L241="D",INDEX('Zgłoszenia'!$K$5:$K$504,$M241)&amp;"",IF($L241="U","",""))</f>
        <v/>
      </c>
      <c r="K241" s="2" t="n"/>
      <c r="L241" s="2">
        <f>IF((ROW()-12)&lt;=$L$5,IF($L$2=0,"E1","D"),IF((ROW()-12)=$L$5+1,"",IF((ROW()-12)=$L$5+2,"T",IF((ROW()-12)=$L$5+3,IF($L$3=0,"E2","H"),IF((ROW()-12)&lt;=$L$5+3+$L$3,"U","")))))</f>
        <v/>
      </c>
      <c r="M241" s="2">
        <f>IF(L241="D",MATCH(LARGE('Zgłoszenia'!$Q$5:$Q$504,(ROW()-12)),'Zgłoszenia'!$Q$5:$Q$504,0),IF(L241="U",MATCH(LARGE('Dane rozpisek'!$I$2:$I$2600,(ROW()-12)-$L$5-3),'Dane rozpisek'!$I$2:$I$2600,0),""))</f>
        <v/>
      </c>
    </row>
    <row r="242">
      <c r="A242" s="47">
        <f>IF($L242="D",INDEX('Zgłoszenia'!$D$5:$D$504,$M242),IF($L242="U",INDEX('Dane rozpisek'!$A$2:$A$2600,$M242),IF($L242="T","KTO JEŹDZIŁ",IF($L242="E1","Brak zgłoszonych usterek w tym okresie.",IF($L242="E2","Brak wpisów z tym wózkiem w rozpiskach dla tego okresu.",IF($L242="H","Data",""))))))</f>
        <v/>
      </c>
      <c r="B242" s="48">
        <f>IF($L242="D",INDEX('Zgłoszenia'!$B$5:$B$504,$M242)&amp;"",IF($L242="U",INDEX('Dane rozpisek'!$F$2:$F$2600,$M242)&amp;"",IF($L242="H","Wózek","")))</f>
        <v/>
      </c>
      <c r="C242" s="48">
        <f>IF($L242="D",INDEX('Zgłoszenia'!$E$5:$E$504,$M242)&amp;"",IF($L242="U",INDEX('Dane rozpisek'!$B$2:$B$2600,$M242)&amp;" · "&amp;INDEX('Dane rozpisek'!$J$2:$J$2600,$M242),IF($L242="H","Zmiana","")))</f>
        <v/>
      </c>
      <c r="D242" s="49">
        <f>IF($L242="D",INDEX('Zgłoszenia'!$H$5:$H$504,$M242)&amp;"",IF($L242="U",INDEX('Dane rozpisek'!$E$2:$E$2600,$M242)&amp;"",IF($L242="H","Operator","")))</f>
        <v/>
      </c>
      <c r="E242" s="49">
        <f>IF($L242="D",INDEX('Zgłoszenia'!$I$5:$I$504,$M242)&amp;"",IF($L242="U",INDEX('Dane rozpisek'!$C$2:$C$2600,$M242)&amp;"",IF($L242="H","Stanowisko","")))</f>
        <v/>
      </c>
      <c r="F242" s="48">
        <f>IF($L242="D",INDEX('Zgłoszenia'!$J$5:$J$504,$M242)&amp;"",IF($L242="U",INDEX('Dane rozpisek'!$G$2:$G$2600,$M242)&amp;"",IF($L242="H","Uwagi","")))</f>
        <v/>
      </c>
      <c r="G242" s="49">
        <f>IF($L242="D",INDEX('Zgłoszenia'!$F$5:$F$504,$M242)&amp;"",IF($L242="U",INDEX('Dane rozpisek'!$L$2:$L$2600,$M242)&amp;"",IF($L242="H","Usterki (dzień / następny)","")))</f>
        <v/>
      </c>
      <c r="H242" s="49">
        <f>IF($L242="D",INDEX('Zgłoszenia'!$P$5:$P$504,$M242)&amp;"",IF($L242="U","",""))</f>
        <v/>
      </c>
      <c r="I242" s="48">
        <f>IF($L242="D",IF(INDEX('Zgłoszenia'!$M$5:$M$504,$M242)="","Zgłoszona",INDEX('Zgłoszenia'!$M$5:$M$504,$M242)),IF($L242="U","",""))</f>
        <v/>
      </c>
      <c r="J242" s="49">
        <f>IF($L242="D",INDEX('Zgłoszenia'!$K$5:$K$504,$M242)&amp;"",IF($L242="U","",""))</f>
        <v/>
      </c>
      <c r="K242" s="2" t="n"/>
      <c r="L242" s="2">
        <f>IF((ROW()-12)&lt;=$L$5,IF($L$2=0,"E1","D"),IF((ROW()-12)=$L$5+1,"",IF((ROW()-12)=$L$5+2,"T",IF((ROW()-12)=$L$5+3,IF($L$3=0,"E2","H"),IF((ROW()-12)&lt;=$L$5+3+$L$3,"U","")))))</f>
        <v/>
      </c>
      <c r="M242" s="2">
        <f>IF(L242="D",MATCH(LARGE('Zgłoszenia'!$Q$5:$Q$504,(ROW()-12)),'Zgłoszenia'!$Q$5:$Q$504,0),IF(L242="U",MATCH(LARGE('Dane rozpisek'!$I$2:$I$2600,(ROW()-12)-$L$5-3),'Dane rozpisek'!$I$2:$I$2600,0),""))</f>
        <v/>
      </c>
    </row>
    <row r="243">
      <c r="A243" s="47">
        <f>IF($L243="D",INDEX('Zgłoszenia'!$D$5:$D$504,$M243),IF($L243="U",INDEX('Dane rozpisek'!$A$2:$A$2600,$M243),IF($L243="T","KTO JEŹDZIŁ",IF($L243="E1","Brak zgłoszonych usterek w tym okresie.",IF($L243="E2","Brak wpisów z tym wózkiem w rozpiskach dla tego okresu.",IF($L243="H","Data",""))))))</f>
        <v/>
      </c>
      <c r="B243" s="48">
        <f>IF($L243="D",INDEX('Zgłoszenia'!$B$5:$B$504,$M243)&amp;"",IF($L243="U",INDEX('Dane rozpisek'!$F$2:$F$2600,$M243)&amp;"",IF($L243="H","Wózek","")))</f>
        <v/>
      </c>
      <c r="C243" s="48">
        <f>IF($L243="D",INDEX('Zgłoszenia'!$E$5:$E$504,$M243)&amp;"",IF($L243="U",INDEX('Dane rozpisek'!$B$2:$B$2600,$M243)&amp;" · "&amp;INDEX('Dane rozpisek'!$J$2:$J$2600,$M243),IF($L243="H","Zmiana","")))</f>
        <v/>
      </c>
      <c r="D243" s="49">
        <f>IF($L243="D",INDEX('Zgłoszenia'!$H$5:$H$504,$M243)&amp;"",IF($L243="U",INDEX('Dane rozpisek'!$E$2:$E$2600,$M243)&amp;"",IF($L243="H","Operator","")))</f>
        <v/>
      </c>
      <c r="E243" s="49">
        <f>IF($L243="D",INDEX('Zgłoszenia'!$I$5:$I$504,$M243)&amp;"",IF($L243="U",INDEX('Dane rozpisek'!$C$2:$C$2600,$M243)&amp;"",IF($L243="H","Stanowisko","")))</f>
        <v/>
      </c>
      <c r="F243" s="48">
        <f>IF($L243="D",INDEX('Zgłoszenia'!$J$5:$J$504,$M243)&amp;"",IF($L243="U",INDEX('Dane rozpisek'!$G$2:$G$2600,$M243)&amp;"",IF($L243="H","Uwagi","")))</f>
        <v/>
      </c>
      <c r="G243" s="49">
        <f>IF($L243="D",INDEX('Zgłoszenia'!$F$5:$F$504,$M243)&amp;"",IF($L243="U",INDEX('Dane rozpisek'!$L$2:$L$2600,$M243)&amp;"",IF($L243="H","Usterki (dzień / następny)","")))</f>
        <v/>
      </c>
      <c r="H243" s="49">
        <f>IF($L243="D",INDEX('Zgłoszenia'!$P$5:$P$504,$M243)&amp;"",IF($L243="U","",""))</f>
        <v/>
      </c>
      <c r="I243" s="48">
        <f>IF($L243="D",IF(INDEX('Zgłoszenia'!$M$5:$M$504,$M243)="","Zgłoszona",INDEX('Zgłoszenia'!$M$5:$M$504,$M243)),IF($L243="U","",""))</f>
        <v/>
      </c>
      <c r="J243" s="49">
        <f>IF($L243="D",INDEX('Zgłoszenia'!$K$5:$K$504,$M243)&amp;"",IF($L243="U","",""))</f>
        <v/>
      </c>
      <c r="K243" s="2" t="n"/>
      <c r="L243" s="2">
        <f>IF((ROW()-12)&lt;=$L$5,IF($L$2=0,"E1","D"),IF((ROW()-12)=$L$5+1,"",IF((ROW()-12)=$L$5+2,"T",IF((ROW()-12)=$L$5+3,IF($L$3=0,"E2","H"),IF((ROW()-12)&lt;=$L$5+3+$L$3,"U","")))))</f>
        <v/>
      </c>
      <c r="M243" s="2">
        <f>IF(L243="D",MATCH(LARGE('Zgłoszenia'!$Q$5:$Q$504,(ROW()-12)),'Zgłoszenia'!$Q$5:$Q$504,0),IF(L243="U",MATCH(LARGE('Dane rozpisek'!$I$2:$I$2600,(ROW()-12)-$L$5-3),'Dane rozpisek'!$I$2:$I$2600,0),""))</f>
        <v/>
      </c>
    </row>
    <row r="244">
      <c r="A244" s="47">
        <f>IF($L244="D",INDEX('Zgłoszenia'!$D$5:$D$504,$M244),IF($L244="U",INDEX('Dane rozpisek'!$A$2:$A$2600,$M244),IF($L244="T","KTO JEŹDZIŁ",IF($L244="E1","Brak zgłoszonych usterek w tym okresie.",IF($L244="E2","Brak wpisów z tym wózkiem w rozpiskach dla tego okresu.",IF($L244="H","Data",""))))))</f>
        <v/>
      </c>
      <c r="B244" s="48">
        <f>IF($L244="D",INDEX('Zgłoszenia'!$B$5:$B$504,$M244)&amp;"",IF($L244="U",INDEX('Dane rozpisek'!$F$2:$F$2600,$M244)&amp;"",IF($L244="H","Wózek","")))</f>
        <v/>
      </c>
      <c r="C244" s="48">
        <f>IF($L244="D",INDEX('Zgłoszenia'!$E$5:$E$504,$M244)&amp;"",IF($L244="U",INDEX('Dane rozpisek'!$B$2:$B$2600,$M244)&amp;" · "&amp;INDEX('Dane rozpisek'!$J$2:$J$2600,$M244),IF($L244="H","Zmiana","")))</f>
        <v/>
      </c>
      <c r="D244" s="49">
        <f>IF($L244="D",INDEX('Zgłoszenia'!$H$5:$H$504,$M244)&amp;"",IF($L244="U",INDEX('Dane rozpisek'!$E$2:$E$2600,$M244)&amp;"",IF($L244="H","Operator","")))</f>
        <v/>
      </c>
      <c r="E244" s="49">
        <f>IF($L244="D",INDEX('Zgłoszenia'!$I$5:$I$504,$M244)&amp;"",IF($L244="U",INDEX('Dane rozpisek'!$C$2:$C$2600,$M244)&amp;"",IF($L244="H","Stanowisko","")))</f>
        <v/>
      </c>
      <c r="F244" s="48">
        <f>IF($L244="D",INDEX('Zgłoszenia'!$J$5:$J$504,$M244)&amp;"",IF($L244="U",INDEX('Dane rozpisek'!$G$2:$G$2600,$M244)&amp;"",IF($L244="H","Uwagi","")))</f>
        <v/>
      </c>
      <c r="G244" s="49">
        <f>IF($L244="D",INDEX('Zgłoszenia'!$F$5:$F$504,$M244)&amp;"",IF($L244="U",INDEX('Dane rozpisek'!$L$2:$L$2600,$M244)&amp;"",IF($L244="H","Usterki (dzień / następny)","")))</f>
        <v/>
      </c>
      <c r="H244" s="49">
        <f>IF($L244="D",INDEX('Zgłoszenia'!$P$5:$P$504,$M244)&amp;"",IF($L244="U","",""))</f>
        <v/>
      </c>
      <c r="I244" s="48">
        <f>IF($L244="D",IF(INDEX('Zgłoszenia'!$M$5:$M$504,$M244)="","Zgłoszona",INDEX('Zgłoszenia'!$M$5:$M$504,$M244)),IF($L244="U","",""))</f>
        <v/>
      </c>
      <c r="J244" s="49">
        <f>IF($L244="D",INDEX('Zgłoszenia'!$K$5:$K$504,$M244)&amp;"",IF($L244="U","",""))</f>
        <v/>
      </c>
      <c r="K244" s="2" t="n"/>
      <c r="L244" s="2">
        <f>IF((ROW()-12)&lt;=$L$5,IF($L$2=0,"E1","D"),IF((ROW()-12)=$L$5+1,"",IF((ROW()-12)=$L$5+2,"T",IF((ROW()-12)=$L$5+3,IF($L$3=0,"E2","H"),IF((ROW()-12)&lt;=$L$5+3+$L$3,"U","")))))</f>
        <v/>
      </c>
      <c r="M244" s="2">
        <f>IF(L244="D",MATCH(LARGE('Zgłoszenia'!$Q$5:$Q$504,(ROW()-12)),'Zgłoszenia'!$Q$5:$Q$504,0),IF(L244="U",MATCH(LARGE('Dane rozpisek'!$I$2:$I$2600,(ROW()-12)-$L$5-3),'Dane rozpisek'!$I$2:$I$2600,0),""))</f>
        <v/>
      </c>
    </row>
    <row r="245">
      <c r="A245" s="47">
        <f>IF($L245="D",INDEX('Zgłoszenia'!$D$5:$D$504,$M245),IF($L245="U",INDEX('Dane rozpisek'!$A$2:$A$2600,$M245),IF($L245="T","KTO JEŹDZIŁ",IF($L245="E1","Brak zgłoszonych usterek w tym okresie.",IF($L245="E2","Brak wpisów z tym wózkiem w rozpiskach dla tego okresu.",IF($L245="H","Data",""))))))</f>
        <v/>
      </c>
      <c r="B245" s="48">
        <f>IF($L245="D",INDEX('Zgłoszenia'!$B$5:$B$504,$M245)&amp;"",IF($L245="U",INDEX('Dane rozpisek'!$F$2:$F$2600,$M245)&amp;"",IF($L245="H","Wózek","")))</f>
        <v/>
      </c>
      <c r="C245" s="48">
        <f>IF($L245="D",INDEX('Zgłoszenia'!$E$5:$E$504,$M245)&amp;"",IF($L245="U",INDEX('Dane rozpisek'!$B$2:$B$2600,$M245)&amp;" · "&amp;INDEX('Dane rozpisek'!$J$2:$J$2600,$M245),IF($L245="H","Zmiana","")))</f>
        <v/>
      </c>
      <c r="D245" s="49">
        <f>IF($L245="D",INDEX('Zgłoszenia'!$H$5:$H$504,$M245)&amp;"",IF($L245="U",INDEX('Dane rozpisek'!$E$2:$E$2600,$M245)&amp;"",IF($L245="H","Operator","")))</f>
        <v/>
      </c>
      <c r="E245" s="49">
        <f>IF($L245="D",INDEX('Zgłoszenia'!$I$5:$I$504,$M245)&amp;"",IF($L245="U",INDEX('Dane rozpisek'!$C$2:$C$2600,$M245)&amp;"",IF($L245="H","Stanowisko","")))</f>
        <v/>
      </c>
      <c r="F245" s="48">
        <f>IF($L245="D",INDEX('Zgłoszenia'!$J$5:$J$504,$M245)&amp;"",IF($L245="U",INDEX('Dane rozpisek'!$G$2:$G$2600,$M245)&amp;"",IF($L245="H","Uwagi","")))</f>
        <v/>
      </c>
      <c r="G245" s="49">
        <f>IF($L245="D",INDEX('Zgłoszenia'!$F$5:$F$504,$M245)&amp;"",IF($L245="U",INDEX('Dane rozpisek'!$L$2:$L$2600,$M245)&amp;"",IF($L245="H","Usterki (dzień / następny)","")))</f>
        <v/>
      </c>
      <c r="H245" s="49">
        <f>IF($L245="D",INDEX('Zgłoszenia'!$P$5:$P$504,$M245)&amp;"",IF($L245="U","",""))</f>
        <v/>
      </c>
      <c r="I245" s="48">
        <f>IF($L245="D",IF(INDEX('Zgłoszenia'!$M$5:$M$504,$M245)="","Zgłoszona",INDEX('Zgłoszenia'!$M$5:$M$504,$M245)),IF($L245="U","",""))</f>
        <v/>
      </c>
      <c r="J245" s="49">
        <f>IF($L245="D",INDEX('Zgłoszenia'!$K$5:$K$504,$M245)&amp;"",IF($L245="U","",""))</f>
        <v/>
      </c>
      <c r="K245" s="2" t="n"/>
      <c r="L245" s="2">
        <f>IF((ROW()-12)&lt;=$L$5,IF($L$2=0,"E1","D"),IF((ROW()-12)=$L$5+1,"",IF((ROW()-12)=$L$5+2,"T",IF((ROW()-12)=$L$5+3,IF($L$3=0,"E2","H"),IF((ROW()-12)&lt;=$L$5+3+$L$3,"U","")))))</f>
        <v/>
      </c>
      <c r="M245" s="2">
        <f>IF(L245="D",MATCH(LARGE('Zgłoszenia'!$Q$5:$Q$504,(ROW()-12)),'Zgłoszenia'!$Q$5:$Q$504,0),IF(L245="U",MATCH(LARGE('Dane rozpisek'!$I$2:$I$2600,(ROW()-12)-$L$5-3),'Dane rozpisek'!$I$2:$I$2600,0),""))</f>
        <v/>
      </c>
    </row>
    <row r="246">
      <c r="A246" s="47">
        <f>IF($L246="D",INDEX('Zgłoszenia'!$D$5:$D$504,$M246),IF($L246="U",INDEX('Dane rozpisek'!$A$2:$A$2600,$M246),IF($L246="T","KTO JEŹDZIŁ",IF($L246="E1","Brak zgłoszonych usterek w tym okresie.",IF($L246="E2","Brak wpisów z tym wózkiem w rozpiskach dla tego okresu.",IF($L246="H","Data",""))))))</f>
        <v/>
      </c>
      <c r="B246" s="48">
        <f>IF($L246="D",INDEX('Zgłoszenia'!$B$5:$B$504,$M246)&amp;"",IF($L246="U",INDEX('Dane rozpisek'!$F$2:$F$2600,$M246)&amp;"",IF($L246="H","Wózek","")))</f>
        <v/>
      </c>
      <c r="C246" s="48">
        <f>IF($L246="D",INDEX('Zgłoszenia'!$E$5:$E$504,$M246)&amp;"",IF($L246="U",INDEX('Dane rozpisek'!$B$2:$B$2600,$M246)&amp;" · "&amp;INDEX('Dane rozpisek'!$J$2:$J$2600,$M246),IF($L246="H","Zmiana","")))</f>
        <v/>
      </c>
      <c r="D246" s="49">
        <f>IF($L246="D",INDEX('Zgłoszenia'!$H$5:$H$504,$M246)&amp;"",IF($L246="U",INDEX('Dane rozpisek'!$E$2:$E$2600,$M246)&amp;"",IF($L246="H","Operator","")))</f>
        <v/>
      </c>
      <c r="E246" s="49">
        <f>IF($L246="D",INDEX('Zgłoszenia'!$I$5:$I$504,$M246)&amp;"",IF($L246="U",INDEX('Dane rozpisek'!$C$2:$C$2600,$M246)&amp;"",IF($L246="H","Stanowisko","")))</f>
        <v/>
      </c>
      <c r="F246" s="48">
        <f>IF($L246="D",INDEX('Zgłoszenia'!$J$5:$J$504,$M246)&amp;"",IF($L246="U",INDEX('Dane rozpisek'!$G$2:$G$2600,$M246)&amp;"",IF($L246="H","Uwagi","")))</f>
        <v/>
      </c>
      <c r="G246" s="49">
        <f>IF($L246="D",INDEX('Zgłoszenia'!$F$5:$F$504,$M246)&amp;"",IF($L246="U",INDEX('Dane rozpisek'!$L$2:$L$2600,$M246)&amp;"",IF($L246="H","Usterki (dzień / następny)","")))</f>
        <v/>
      </c>
      <c r="H246" s="49">
        <f>IF($L246="D",INDEX('Zgłoszenia'!$P$5:$P$504,$M246)&amp;"",IF($L246="U","",""))</f>
        <v/>
      </c>
      <c r="I246" s="48">
        <f>IF($L246="D",IF(INDEX('Zgłoszenia'!$M$5:$M$504,$M246)="","Zgłoszona",INDEX('Zgłoszenia'!$M$5:$M$504,$M246)),IF($L246="U","",""))</f>
        <v/>
      </c>
      <c r="J246" s="49">
        <f>IF($L246="D",INDEX('Zgłoszenia'!$K$5:$K$504,$M246)&amp;"",IF($L246="U","",""))</f>
        <v/>
      </c>
      <c r="K246" s="2" t="n"/>
      <c r="L246" s="2">
        <f>IF((ROW()-12)&lt;=$L$5,IF($L$2=0,"E1","D"),IF((ROW()-12)=$L$5+1,"",IF((ROW()-12)=$L$5+2,"T",IF((ROW()-12)=$L$5+3,IF($L$3=0,"E2","H"),IF((ROW()-12)&lt;=$L$5+3+$L$3,"U","")))))</f>
        <v/>
      </c>
      <c r="M246" s="2">
        <f>IF(L246="D",MATCH(LARGE('Zgłoszenia'!$Q$5:$Q$504,(ROW()-12)),'Zgłoszenia'!$Q$5:$Q$504,0),IF(L246="U",MATCH(LARGE('Dane rozpisek'!$I$2:$I$2600,(ROW()-12)-$L$5-3),'Dane rozpisek'!$I$2:$I$2600,0),""))</f>
        <v/>
      </c>
    </row>
    <row r="247">
      <c r="A247" s="47">
        <f>IF($L247="D",INDEX('Zgłoszenia'!$D$5:$D$504,$M247),IF($L247="U",INDEX('Dane rozpisek'!$A$2:$A$2600,$M247),IF($L247="T","KTO JEŹDZIŁ",IF($L247="E1","Brak zgłoszonych usterek w tym okresie.",IF($L247="E2","Brak wpisów z tym wózkiem w rozpiskach dla tego okresu.",IF($L247="H","Data",""))))))</f>
        <v/>
      </c>
      <c r="B247" s="48">
        <f>IF($L247="D",INDEX('Zgłoszenia'!$B$5:$B$504,$M247)&amp;"",IF($L247="U",INDEX('Dane rozpisek'!$F$2:$F$2600,$M247)&amp;"",IF($L247="H","Wózek","")))</f>
        <v/>
      </c>
      <c r="C247" s="48">
        <f>IF($L247="D",INDEX('Zgłoszenia'!$E$5:$E$504,$M247)&amp;"",IF($L247="U",INDEX('Dane rozpisek'!$B$2:$B$2600,$M247)&amp;" · "&amp;INDEX('Dane rozpisek'!$J$2:$J$2600,$M247),IF($L247="H","Zmiana","")))</f>
        <v/>
      </c>
      <c r="D247" s="49">
        <f>IF($L247="D",INDEX('Zgłoszenia'!$H$5:$H$504,$M247)&amp;"",IF($L247="U",INDEX('Dane rozpisek'!$E$2:$E$2600,$M247)&amp;"",IF($L247="H","Operator","")))</f>
        <v/>
      </c>
      <c r="E247" s="49">
        <f>IF($L247="D",INDEX('Zgłoszenia'!$I$5:$I$504,$M247)&amp;"",IF($L247="U",INDEX('Dane rozpisek'!$C$2:$C$2600,$M247)&amp;"",IF($L247="H","Stanowisko","")))</f>
        <v/>
      </c>
      <c r="F247" s="48">
        <f>IF($L247="D",INDEX('Zgłoszenia'!$J$5:$J$504,$M247)&amp;"",IF($L247="U",INDEX('Dane rozpisek'!$G$2:$G$2600,$M247)&amp;"",IF($L247="H","Uwagi","")))</f>
        <v/>
      </c>
      <c r="G247" s="49">
        <f>IF($L247="D",INDEX('Zgłoszenia'!$F$5:$F$504,$M247)&amp;"",IF($L247="U",INDEX('Dane rozpisek'!$L$2:$L$2600,$M247)&amp;"",IF($L247="H","Usterki (dzień / następny)","")))</f>
        <v/>
      </c>
      <c r="H247" s="49">
        <f>IF($L247="D",INDEX('Zgłoszenia'!$P$5:$P$504,$M247)&amp;"",IF($L247="U","",""))</f>
        <v/>
      </c>
      <c r="I247" s="48">
        <f>IF($L247="D",IF(INDEX('Zgłoszenia'!$M$5:$M$504,$M247)="","Zgłoszona",INDEX('Zgłoszenia'!$M$5:$M$504,$M247)),IF($L247="U","",""))</f>
        <v/>
      </c>
      <c r="J247" s="49">
        <f>IF($L247="D",INDEX('Zgłoszenia'!$K$5:$K$504,$M247)&amp;"",IF($L247="U","",""))</f>
        <v/>
      </c>
      <c r="K247" s="2" t="n"/>
      <c r="L247" s="2">
        <f>IF((ROW()-12)&lt;=$L$5,IF($L$2=0,"E1","D"),IF((ROW()-12)=$L$5+1,"",IF((ROW()-12)=$L$5+2,"T",IF((ROW()-12)=$L$5+3,IF($L$3=0,"E2","H"),IF((ROW()-12)&lt;=$L$5+3+$L$3,"U","")))))</f>
        <v/>
      </c>
      <c r="M247" s="2">
        <f>IF(L247="D",MATCH(LARGE('Zgłoszenia'!$Q$5:$Q$504,(ROW()-12)),'Zgłoszenia'!$Q$5:$Q$504,0),IF(L247="U",MATCH(LARGE('Dane rozpisek'!$I$2:$I$2600,(ROW()-12)-$L$5-3),'Dane rozpisek'!$I$2:$I$2600,0),""))</f>
        <v/>
      </c>
    </row>
    <row r="248">
      <c r="A248" s="47">
        <f>IF($L248="D",INDEX('Zgłoszenia'!$D$5:$D$504,$M248),IF($L248="U",INDEX('Dane rozpisek'!$A$2:$A$2600,$M248),IF($L248="T","KTO JEŹDZIŁ",IF($L248="E1","Brak zgłoszonych usterek w tym okresie.",IF($L248="E2","Brak wpisów z tym wózkiem w rozpiskach dla tego okresu.",IF($L248="H","Data",""))))))</f>
        <v/>
      </c>
      <c r="B248" s="48">
        <f>IF($L248="D",INDEX('Zgłoszenia'!$B$5:$B$504,$M248)&amp;"",IF($L248="U",INDEX('Dane rozpisek'!$F$2:$F$2600,$M248)&amp;"",IF($L248="H","Wózek","")))</f>
        <v/>
      </c>
      <c r="C248" s="48">
        <f>IF($L248="D",INDEX('Zgłoszenia'!$E$5:$E$504,$M248)&amp;"",IF($L248="U",INDEX('Dane rozpisek'!$B$2:$B$2600,$M248)&amp;" · "&amp;INDEX('Dane rozpisek'!$J$2:$J$2600,$M248),IF($L248="H","Zmiana","")))</f>
        <v/>
      </c>
      <c r="D248" s="49">
        <f>IF($L248="D",INDEX('Zgłoszenia'!$H$5:$H$504,$M248)&amp;"",IF($L248="U",INDEX('Dane rozpisek'!$E$2:$E$2600,$M248)&amp;"",IF($L248="H","Operator","")))</f>
        <v/>
      </c>
      <c r="E248" s="49">
        <f>IF($L248="D",INDEX('Zgłoszenia'!$I$5:$I$504,$M248)&amp;"",IF($L248="U",INDEX('Dane rozpisek'!$C$2:$C$2600,$M248)&amp;"",IF($L248="H","Stanowisko","")))</f>
        <v/>
      </c>
      <c r="F248" s="48">
        <f>IF($L248="D",INDEX('Zgłoszenia'!$J$5:$J$504,$M248)&amp;"",IF($L248="U",INDEX('Dane rozpisek'!$G$2:$G$2600,$M248)&amp;"",IF($L248="H","Uwagi","")))</f>
        <v/>
      </c>
      <c r="G248" s="49">
        <f>IF($L248="D",INDEX('Zgłoszenia'!$F$5:$F$504,$M248)&amp;"",IF($L248="U",INDEX('Dane rozpisek'!$L$2:$L$2600,$M248)&amp;"",IF($L248="H","Usterki (dzień / następny)","")))</f>
        <v/>
      </c>
      <c r="H248" s="49">
        <f>IF($L248="D",INDEX('Zgłoszenia'!$P$5:$P$504,$M248)&amp;"",IF($L248="U","",""))</f>
        <v/>
      </c>
      <c r="I248" s="48">
        <f>IF($L248="D",IF(INDEX('Zgłoszenia'!$M$5:$M$504,$M248)="","Zgłoszona",INDEX('Zgłoszenia'!$M$5:$M$504,$M248)),IF($L248="U","",""))</f>
        <v/>
      </c>
      <c r="J248" s="49">
        <f>IF($L248="D",INDEX('Zgłoszenia'!$K$5:$K$504,$M248)&amp;"",IF($L248="U","",""))</f>
        <v/>
      </c>
      <c r="K248" s="2" t="n"/>
      <c r="L248" s="2">
        <f>IF((ROW()-12)&lt;=$L$5,IF($L$2=0,"E1","D"),IF((ROW()-12)=$L$5+1,"",IF((ROW()-12)=$L$5+2,"T",IF((ROW()-12)=$L$5+3,IF($L$3=0,"E2","H"),IF((ROW()-12)&lt;=$L$5+3+$L$3,"U","")))))</f>
        <v/>
      </c>
      <c r="M248" s="2">
        <f>IF(L248="D",MATCH(LARGE('Zgłoszenia'!$Q$5:$Q$504,(ROW()-12)),'Zgłoszenia'!$Q$5:$Q$504,0),IF(L248="U",MATCH(LARGE('Dane rozpisek'!$I$2:$I$2600,(ROW()-12)-$L$5-3),'Dane rozpisek'!$I$2:$I$2600,0),""))</f>
        <v/>
      </c>
    </row>
    <row r="249">
      <c r="A249" s="47">
        <f>IF($L249="D",INDEX('Zgłoszenia'!$D$5:$D$504,$M249),IF($L249="U",INDEX('Dane rozpisek'!$A$2:$A$2600,$M249),IF($L249="T","KTO JEŹDZIŁ",IF($L249="E1","Brak zgłoszonych usterek w tym okresie.",IF($L249="E2","Brak wpisów z tym wózkiem w rozpiskach dla tego okresu.",IF($L249="H","Data",""))))))</f>
        <v/>
      </c>
      <c r="B249" s="48">
        <f>IF($L249="D",INDEX('Zgłoszenia'!$B$5:$B$504,$M249)&amp;"",IF($L249="U",INDEX('Dane rozpisek'!$F$2:$F$2600,$M249)&amp;"",IF($L249="H","Wózek","")))</f>
        <v/>
      </c>
      <c r="C249" s="48">
        <f>IF($L249="D",INDEX('Zgłoszenia'!$E$5:$E$504,$M249)&amp;"",IF($L249="U",INDEX('Dane rozpisek'!$B$2:$B$2600,$M249)&amp;" · "&amp;INDEX('Dane rozpisek'!$J$2:$J$2600,$M249),IF($L249="H","Zmiana","")))</f>
        <v/>
      </c>
      <c r="D249" s="49">
        <f>IF($L249="D",INDEX('Zgłoszenia'!$H$5:$H$504,$M249)&amp;"",IF($L249="U",INDEX('Dane rozpisek'!$E$2:$E$2600,$M249)&amp;"",IF($L249="H","Operator","")))</f>
        <v/>
      </c>
      <c r="E249" s="49">
        <f>IF($L249="D",INDEX('Zgłoszenia'!$I$5:$I$504,$M249)&amp;"",IF($L249="U",INDEX('Dane rozpisek'!$C$2:$C$2600,$M249)&amp;"",IF($L249="H","Stanowisko","")))</f>
        <v/>
      </c>
      <c r="F249" s="48">
        <f>IF($L249="D",INDEX('Zgłoszenia'!$J$5:$J$504,$M249)&amp;"",IF($L249="U",INDEX('Dane rozpisek'!$G$2:$G$2600,$M249)&amp;"",IF($L249="H","Uwagi","")))</f>
        <v/>
      </c>
      <c r="G249" s="49">
        <f>IF($L249="D",INDEX('Zgłoszenia'!$F$5:$F$504,$M249)&amp;"",IF($L249="U",INDEX('Dane rozpisek'!$L$2:$L$2600,$M249)&amp;"",IF($L249="H","Usterki (dzień / następny)","")))</f>
        <v/>
      </c>
      <c r="H249" s="49">
        <f>IF($L249="D",INDEX('Zgłoszenia'!$P$5:$P$504,$M249)&amp;"",IF($L249="U","",""))</f>
        <v/>
      </c>
      <c r="I249" s="48">
        <f>IF($L249="D",IF(INDEX('Zgłoszenia'!$M$5:$M$504,$M249)="","Zgłoszona",INDEX('Zgłoszenia'!$M$5:$M$504,$M249)),IF($L249="U","",""))</f>
        <v/>
      </c>
      <c r="J249" s="49">
        <f>IF($L249="D",INDEX('Zgłoszenia'!$K$5:$K$504,$M249)&amp;"",IF($L249="U","",""))</f>
        <v/>
      </c>
      <c r="K249" s="2" t="n"/>
      <c r="L249" s="2">
        <f>IF((ROW()-12)&lt;=$L$5,IF($L$2=0,"E1","D"),IF((ROW()-12)=$L$5+1,"",IF((ROW()-12)=$L$5+2,"T",IF((ROW()-12)=$L$5+3,IF($L$3=0,"E2","H"),IF((ROW()-12)&lt;=$L$5+3+$L$3,"U","")))))</f>
        <v/>
      </c>
      <c r="M249" s="2">
        <f>IF(L249="D",MATCH(LARGE('Zgłoszenia'!$Q$5:$Q$504,(ROW()-12)),'Zgłoszenia'!$Q$5:$Q$504,0),IF(L249="U",MATCH(LARGE('Dane rozpisek'!$I$2:$I$2600,(ROW()-12)-$L$5-3),'Dane rozpisek'!$I$2:$I$2600,0),""))</f>
        <v/>
      </c>
    </row>
    <row r="250">
      <c r="A250" s="47">
        <f>IF($L250="D",INDEX('Zgłoszenia'!$D$5:$D$504,$M250),IF($L250="U",INDEX('Dane rozpisek'!$A$2:$A$2600,$M250),IF($L250="T","KTO JEŹDZIŁ",IF($L250="E1","Brak zgłoszonych usterek w tym okresie.",IF($L250="E2","Brak wpisów z tym wózkiem w rozpiskach dla tego okresu.",IF($L250="H","Data",""))))))</f>
        <v/>
      </c>
      <c r="B250" s="48">
        <f>IF($L250="D",INDEX('Zgłoszenia'!$B$5:$B$504,$M250)&amp;"",IF($L250="U",INDEX('Dane rozpisek'!$F$2:$F$2600,$M250)&amp;"",IF($L250="H","Wózek","")))</f>
        <v/>
      </c>
      <c r="C250" s="48">
        <f>IF($L250="D",INDEX('Zgłoszenia'!$E$5:$E$504,$M250)&amp;"",IF($L250="U",INDEX('Dane rozpisek'!$B$2:$B$2600,$M250)&amp;" · "&amp;INDEX('Dane rozpisek'!$J$2:$J$2600,$M250),IF($L250="H","Zmiana","")))</f>
        <v/>
      </c>
      <c r="D250" s="49">
        <f>IF($L250="D",INDEX('Zgłoszenia'!$H$5:$H$504,$M250)&amp;"",IF($L250="U",INDEX('Dane rozpisek'!$E$2:$E$2600,$M250)&amp;"",IF($L250="H","Operator","")))</f>
        <v/>
      </c>
      <c r="E250" s="49">
        <f>IF($L250="D",INDEX('Zgłoszenia'!$I$5:$I$504,$M250)&amp;"",IF($L250="U",INDEX('Dane rozpisek'!$C$2:$C$2600,$M250)&amp;"",IF($L250="H","Stanowisko","")))</f>
        <v/>
      </c>
      <c r="F250" s="48">
        <f>IF($L250="D",INDEX('Zgłoszenia'!$J$5:$J$504,$M250)&amp;"",IF($L250="U",INDEX('Dane rozpisek'!$G$2:$G$2600,$M250)&amp;"",IF($L250="H","Uwagi","")))</f>
        <v/>
      </c>
      <c r="G250" s="49">
        <f>IF($L250="D",INDEX('Zgłoszenia'!$F$5:$F$504,$M250)&amp;"",IF($L250="U",INDEX('Dane rozpisek'!$L$2:$L$2600,$M250)&amp;"",IF($L250="H","Usterki (dzień / następny)","")))</f>
        <v/>
      </c>
      <c r="H250" s="49">
        <f>IF($L250="D",INDEX('Zgłoszenia'!$P$5:$P$504,$M250)&amp;"",IF($L250="U","",""))</f>
        <v/>
      </c>
      <c r="I250" s="48">
        <f>IF($L250="D",IF(INDEX('Zgłoszenia'!$M$5:$M$504,$M250)="","Zgłoszona",INDEX('Zgłoszenia'!$M$5:$M$504,$M250)),IF($L250="U","",""))</f>
        <v/>
      </c>
      <c r="J250" s="49">
        <f>IF($L250="D",INDEX('Zgłoszenia'!$K$5:$K$504,$M250)&amp;"",IF($L250="U","",""))</f>
        <v/>
      </c>
      <c r="K250" s="2" t="n"/>
      <c r="L250" s="2">
        <f>IF((ROW()-12)&lt;=$L$5,IF($L$2=0,"E1","D"),IF((ROW()-12)=$L$5+1,"",IF((ROW()-12)=$L$5+2,"T",IF((ROW()-12)=$L$5+3,IF($L$3=0,"E2","H"),IF((ROW()-12)&lt;=$L$5+3+$L$3,"U","")))))</f>
        <v/>
      </c>
      <c r="M250" s="2">
        <f>IF(L250="D",MATCH(LARGE('Zgłoszenia'!$Q$5:$Q$504,(ROW()-12)),'Zgłoszenia'!$Q$5:$Q$504,0),IF(L250="U",MATCH(LARGE('Dane rozpisek'!$I$2:$I$2600,(ROW()-12)-$L$5-3),'Dane rozpisek'!$I$2:$I$2600,0),""))</f>
        <v/>
      </c>
    </row>
    <row r="251">
      <c r="A251" s="47">
        <f>IF($L251="D",INDEX('Zgłoszenia'!$D$5:$D$504,$M251),IF($L251="U",INDEX('Dane rozpisek'!$A$2:$A$2600,$M251),IF($L251="T","KTO JEŹDZIŁ",IF($L251="E1","Brak zgłoszonych usterek w tym okresie.",IF($L251="E2","Brak wpisów z tym wózkiem w rozpiskach dla tego okresu.",IF($L251="H","Data",""))))))</f>
        <v/>
      </c>
      <c r="B251" s="48">
        <f>IF($L251="D",INDEX('Zgłoszenia'!$B$5:$B$504,$M251)&amp;"",IF($L251="U",INDEX('Dane rozpisek'!$F$2:$F$2600,$M251)&amp;"",IF($L251="H","Wózek","")))</f>
        <v/>
      </c>
      <c r="C251" s="48">
        <f>IF($L251="D",INDEX('Zgłoszenia'!$E$5:$E$504,$M251)&amp;"",IF($L251="U",INDEX('Dane rozpisek'!$B$2:$B$2600,$M251)&amp;" · "&amp;INDEX('Dane rozpisek'!$J$2:$J$2600,$M251),IF($L251="H","Zmiana","")))</f>
        <v/>
      </c>
      <c r="D251" s="49">
        <f>IF($L251="D",INDEX('Zgłoszenia'!$H$5:$H$504,$M251)&amp;"",IF($L251="U",INDEX('Dane rozpisek'!$E$2:$E$2600,$M251)&amp;"",IF($L251="H","Operator","")))</f>
        <v/>
      </c>
      <c r="E251" s="49">
        <f>IF($L251="D",INDEX('Zgłoszenia'!$I$5:$I$504,$M251)&amp;"",IF($L251="U",INDEX('Dane rozpisek'!$C$2:$C$2600,$M251)&amp;"",IF($L251="H","Stanowisko","")))</f>
        <v/>
      </c>
      <c r="F251" s="48">
        <f>IF($L251="D",INDEX('Zgłoszenia'!$J$5:$J$504,$M251)&amp;"",IF($L251="U",INDEX('Dane rozpisek'!$G$2:$G$2600,$M251)&amp;"",IF($L251="H","Uwagi","")))</f>
        <v/>
      </c>
      <c r="G251" s="49">
        <f>IF($L251="D",INDEX('Zgłoszenia'!$F$5:$F$504,$M251)&amp;"",IF($L251="U",INDEX('Dane rozpisek'!$L$2:$L$2600,$M251)&amp;"",IF($L251="H","Usterki (dzień / następny)","")))</f>
        <v/>
      </c>
      <c r="H251" s="49">
        <f>IF($L251="D",INDEX('Zgłoszenia'!$P$5:$P$504,$M251)&amp;"",IF($L251="U","",""))</f>
        <v/>
      </c>
      <c r="I251" s="48">
        <f>IF($L251="D",IF(INDEX('Zgłoszenia'!$M$5:$M$504,$M251)="","Zgłoszona",INDEX('Zgłoszenia'!$M$5:$M$504,$M251)),IF($L251="U","",""))</f>
        <v/>
      </c>
      <c r="J251" s="49">
        <f>IF($L251="D",INDEX('Zgłoszenia'!$K$5:$K$504,$M251)&amp;"",IF($L251="U","",""))</f>
        <v/>
      </c>
      <c r="K251" s="2" t="n"/>
      <c r="L251" s="2">
        <f>IF((ROW()-12)&lt;=$L$5,IF($L$2=0,"E1","D"),IF((ROW()-12)=$L$5+1,"",IF((ROW()-12)=$L$5+2,"T",IF((ROW()-12)=$L$5+3,IF($L$3=0,"E2","H"),IF((ROW()-12)&lt;=$L$5+3+$L$3,"U","")))))</f>
        <v/>
      </c>
      <c r="M251" s="2">
        <f>IF(L251="D",MATCH(LARGE('Zgłoszenia'!$Q$5:$Q$504,(ROW()-12)),'Zgłoszenia'!$Q$5:$Q$504,0),IF(L251="U",MATCH(LARGE('Dane rozpisek'!$I$2:$I$2600,(ROW()-12)-$L$5-3),'Dane rozpisek'!$I$2:$I$2600,0),""))</f>
        <v/>
      </c>
    </row>
    <row r="252">
      <c r="A252" s="47">
        <f>IF($L252="D",INDEX('Zgłoszenia'!$D$5:$D$504,$M252),IF($L252="U",INDEX('Dane rozpisek'!$A$2:$A$2600,$M252),IF($L252="T","KTO JEŹDZIŁ",IF($L252="E1","Brak zgłoszonych usterek w tym okresie.",IF($L252="E2","Brak wpisów z tym wózkiem w rozpiskach dla tego okresu.",IF($L252="H","Data",""))))))</f>
        <v/>
      </c>
      <c r="B252" s="48">
        <f>IF($L252="D",INDEX('Zgłoszenia'!$B$5:$B$504,$M252)&amp;"",IF($L252="U",INDEX('Dane rozpisek'!$F$2:$F$2600,$M252)&amp;"",IF($L252="H","Wózek","")))</f>
        <v/>
      </c>
      <c r="C252" s="48">
        <f>IF($L252="D",INDEX('Zgłoszenia'!$E$5:$E$504,$M252)&amp;"",IF($L252="U",INDEX('Dane rozpisek'!$B$2:$B$2600,$M252)&amp;" · "&amp;INDEX('Dane rozpisek'!$J$2:$J$2600,$M252),IF($L252="H","Zmiana","")))</f>
        <v/>
      </c>
      <c r="D252" s="49">
        <f>IF($L252="D",INDEX('Zgłoszenia'!$H$5:$H$504,$M252)&amp;"",IF($L252="U",INDEX('Dane rozpisek'!$E$2:$E$2600,$M252)&amp;"",IF($L252="H","Operator","")))</f>
        <v/>
      </c>
      <c r="E252" s="49">
        <f>IF($L252="D",INDEX('Zgłoszenia'!$I$5:$I$504,$M252)&amp;"",IF($L252="U",INDEX('Dane rozpisek'!$C$2:$C$2600,$M252)&amp;"",IF($L252="H","Stanowisko","")))</f>
        <v/>
      </c>
      <c r="F252" s="48">
        <f>IF($L252="D",INDEX('Zgłoszenia'!$J$5:$J$504,$M252)&amp;"",IF($L252="U",INDEX('Dane rozpisek'!$G$2:$G$2600,$M252)&amp;"",IF($L252="H","Uwagi","")))</f>
        <v/>
      </c>
      <c r="G252" s="49">
        <f>IF($L252="D",INDEX('Zgłoszenia'!$F$5:$F$504,$M252)&amp;"",IF($L252="U",INDEX('Dane rozpisek'!$L$2:$L$2600,$M252)&amp;"",IF($L252="H","Usterki (dzień / następny)","")))</f>
        <v/>
      </c>
      <c r="H252" s="49">
        <f>IF($L252="D",INDEX('Zgłoszenia'!$P$5:$P$504,$M252)&amp;"",IF($L252="U","",""))</f>
        <v/>
      </c>
      <c r="I252" s="48">
        <f>IF($L252="D",IF(INDEX('Zgłoszenia'!$M$5:$M$504,$M252)="","Zgłoszona",INDEX('Zgłoszenia'!$M$5:$M$504,$M252)),IF($L252="U","",""))</f>
        <v/>
      </c>
      <c r="J252" s="49">
        <f>IF($L252="D",INDEX('Zgłoszenia'!$K$5:$K$504,$M252)&amp;"",IF($L252="U","",""))</f>
        <v/>
      </c>
      <c r="K252" s="2" t="n"/>
      <c r="L252" s="2">
        <f>IF((ROW()-12)&lt;=$L$5,IF($L$2=0,"E1","D"),IF((ROW()-12)=$L$5+1,"",IF((ROW()-12)=$L$5+2,"T",IF((ROW()-12)=$L$5+3,IF($L$3=0,"E2","H"),IF((ROW()-12)&lt;=$L$5+3+$L$3,"U","")))))</f>
        <v/>
      </c>
      <c r="M252" s="2">
        <f>IF(L252="D",MATCH(LARGE('Zgłoszenia'!$Q$5:$Q$504,(ROW()-12)),'Zgłoszenia'!$Q$5:$Q$504,0),IF(L252="U",MATCH(LARGE('Dane rozpisek'!$I$2:$I$2600,(ROW()-12)-$L$5-3),'Dane rozpisek'!$I$2:$I$2600,0),""))</f>
        <v/>
      </c>
    </row>
    <row r="253">
      <c r="A253" s="47">
        <f>IF($L253="D",INDEX('Zgłoszenia'!$D$5:$D$504,$M253),IF($L253="U",INDEX('Dane rozpisek'!$A$2:$A$2600,$M253),IF($L253="T","KTO JEŹDZIŁ",IF($L253="E1","Brak zgłoszonych usterek w tym okresie.",IF($L253="E2","Brak wpisów z tym wózkiem w rozpiskach dla tego okresu.",IF($L253="H","Data",""))))))</f>
        <v/>
      </c>
      <c r="B253" s="48">
        <f>IF($L253="D",INDEX('Zgłoszenia'!$B$5:$B$504,$M253)&amp;"",IF($L253="U",INDEX('Dane rozpisek'!$F$2:$F$2600,$M253)&amp;"",IF($L253="H","Wózek","")))</f>
        <v/>
      </c>
      <c r="C253" s="48">
        <f>IF($L253="D",INDEX('Zgłoszenia'!$E$5:$E$504,$M253)&amp;"",IF($L253="U",INDEX('Dane rozpisek'!$B$2:$B$2600,$M253)&amp;" · "&amp;INDEX('Dane rozpisek'!$J$2:$J$2600,$M253),IF($L253="H","Zmiana","")))</f>
        <v/>
      </c>
      <c r="D253" s="49">
        <f>IF($L253="D",INDEX('Zgłoszenia'!$H$5:$H$504,$M253)&amp;"",IF($L253="U",INDEX('Dane rozpisek'!$E$2:$E$2600,$M253)&amp;"",IF($L253="H","Operator","")))</f>
        <v/>
      </c>
      <c r="E253" s="49">
        <f>IF($L253="D",INDEX('Zgłoszenia'!$I$5:$I$504,$M253)&amp;"",IF($L253="U",INDEX('Dane rozpisek'!$C$2:$C$2600,$M253)&amp;"",IF($L253="H","Stanowisko","")))</f>
        <v/>
      </c>
      <c r="F253" s="48">
        <f>IF($L253="D",INDEX('Zgłoszenia'!$J$5:$J$504,$M253)&amp;"",IF($L253="U",INDEX('Dane rozpisek'!$G$2:$G$2600,$M253)&amp;"",IF($L253="H","Uwagi","")))</f>
        <v/>
      </c>
      <c r="G253" s="49">
        <f>IF($L253="D",INDEX('Zgłoszenia'!$F$5:$F$504,$M253)&amp;"",IF($L253="U",INDEX('Dane rozpisek'!$L$2:$L$2600,$M253)&amp;"",IF($L253="H","Usterki (dzień / następny)","")))</f>
        <v/>
      </c>
      <c r="H253" s="49">
        <f>IF($L253="D",INDEX('Zgłoszenia'!$P$5:$P$504,$M253)&amp;"",IF($L253="U","",""))</f>
        <v/>
      </c>
      <c r="I253" s="48">
        <f>IF($L253="D",IF(INDEX('Zgłoszenia'!$M$5:$M$504,$M253)="","Zgłoszona",INDEX('Zgłoszenia'!$M$5:$M$504,$M253)),IF($L253="U","",""))</f>
        <v/>
      </c>
      <c r="J253" s="49">
        <f>IF($L253="D",INDEX('Zgłoszenia'!$K$5:$K$504,$M253)&amp;"",IF($L253="U","",""))</f>
        <v/>
      </c>
      <c r="K253" s="2" t="n"/>
      <c r="L253" s="2">
        <f>IF((ROW()-12)&lt;=$L$5,IF($L$2=0,"E1","D"),IF((ROW()-12)=$L$5+1,"",IF((ROW()-12)=$L$5+2,"T",IF((ROW()-12)=$L$5+3,IF($L$3=0,"E2","H"),IF((ROW()-12)&lt;=$L$5+3+$L$3,"U","")))))</f>
        <v/>
      </c>
      <c r="M253" s="2">
        <f>IF(L253="D",MATCH(LARGE('Zgłoszenia'!$Q$5:$Q$504,(ROW()-12)),'Zgłoszenia'!$Q$5:$Q$504,0),IF(L253="U",MATCH(LARGE('Dane rozpisek'!$I$2:$I$2600,(ROW()-12)-$L$5-3),'Dane rozpisek'!$I$2:$I$2600,0),""))</f>
        <v/>
      </c>
    </row>
    <row r="254">
      <c r="A254" s="47">
        <f>IF($L254="D",INDEX('Zgłoszenia'!$D$5:$D$504,$M254),IF($L254="U",INDEX('Dane rozpisek'!$A$2:$A$2600,$M254),IF($L254="T","KTO JEŹDZIŁ",IF($L254="E1","Brak zgłoszonych usterek w tym okresie.",IF($L254="E2","Brak wpisów z tym wózkiem w rozpiskach dla tego okresu.",IF($L254="H","Data",""))))))</f>
        <v/>
      </c>
      <c r="B254" s="48">
        <f>IF($L254="D",INDEX('Zgłoszenia'!$B$5:$B$504,$M254)&amp;"",IF($L254="U",INDEX('Dane rozpisek'!$F$2:$F$2600,$M254)&amp;"",IF($L254="H","Wózek","")))</f>
        <v/>
      </c>
      <c r="C254" s="48">
        <f>IF($L254="D",INDEX('Zgłoszenia'!$E$5:$E$504,$M254)&amp;"",IF($L254="U",INDEX('Dane rozpisek'!$B$2:$B$2600,$M254)&amp;" · "&amp;INDEX('Dane rozpisek'!$J$2:$J$2600,$M254),IF($L254="H","Zmiana","")))</f>
        <v/>
      </c>
      <c r="D254" s="49">
        <f>IF($L254="D",INDEX('Zgłoszenia'!$H$5:$H$504,$M254)&amp;"",IF($L254="U",INDEX('Dane rozpisek'!$E$2:$E$2600,$M254)&amp;"",IF($L254="H","Operator","")))</f>
        <v/>
      </c>
      <c r="E254" s="49">
        <f>IF($L254="D",INDEX('Zgłoszenia'!$I$5:$I$504,$M254)&amp;"",IF($L254="U",INDEX('Dane rozpisek'!$C$2:$C$2600,$M254)&amp;"",IF($L254="H","Stanowisko","")))</f>
        <v/>
      </c>
      <c r="F254" s="48">
        <f>IF($L254="D",INDEX('Zgłoszenia'!$J$5:$J$504,$M254)&amp;"",IF($L254="U",INDEX('Dane rozpisek'!$G$2:$G$2600,$M254)&amp;"",IF($L254="H","Uwagi","")))</f>
        <v/>
      </c>
      <c r="G254" s="49">
        <f>IF($L254="D",INDEX('Zgłoszenia'!$F$5:$F$504,$M254)&amp;"",IF($L254="U",INDEX('Dane rozpisek'!$L$2:$L$2600,$M254)&amp;"",IF($L254="H","Usterki (dzień / następny)","")))</f>
        <v/>
      </c>
      <c r="H254" s="49">
        <f>IF($L254="D",INDEX('Zgłoszenia'!$P$5:$P$504,$M254)&amp;"",IF($L254="U","",""))</f>
        <v/>
      </c>
      <c r="I254" s="48">
        <f>IF($L254="D",IF(INDEX('Zgłoszenia'!$M$5:$M$504,$M254)="","Zgłoszona",INDEX('Zgłoszenia'!$M$5:$M$504,$M254)),IF($L254="U","",""))</f>
        <v/>
      </c>
      <c r="J254" s="49">
        <f>IF($L254="D",INDEX('Zgłoszenia'!$K$5:$K$504,$M254)&amp;"",IF($L254="U","",""))</f>
        <v/>
      </c>
      <c r="K254" s="2" t="n"/>
      <c r="L254" s="2">
        <f>IF((ROW()-12)&lt;=$L$5,IF($L$2=0,"E1","D"),IF((ROW()-12)=$L$5+1,"",IF((ROW()-12)=$L$5+2,"T",IF((ROW()-12)=$L$5+3,IF($L$3=0,"E2","H"),IF((ROW()-12)&lt;=$L$5+3+$L$3,"U","")))))</f>
        <v/>
      </c>
      <c r="M254" s="2">
        <f>IF(L254="D",MATCH(LARGE('Zgłoszenia'!$Q$5:$Q$504,(ROW()-12)),'Zgłoszenia'!$Q$5:$Q$504,0),IF(L254="U",MATCH(LARGE('Dane rozpisek'!$I$2:$I$2600,(ROW()-12)-$L$5-3),'Dane rozpisek'!$I$2:$I$2600,0),""))</f>
        <v/>
      </c>
    </row>
    <row r="255">
      <c r="A255" s="47">
        <f>IF($L255="D",INDEX('Zgłoszenia'!$D$5:$D$504,$M255),IF($L255="U",INDEX('Dane rozpisek'!$A$2:$A$2600,$M255),IF($L255="T","KTO JEŹDZIŁ",IF($L255="E1","Brak zgłoszonych usterek w tym okresie.",IF($L255="E2","Brak wpisów z tym wózkiem w rozpiskach dla tego okresu.",IF($L255="H","Data",""))))))</f>
        <v/>
      </c>
      <c r="B255" s="48">
        <f>IF($L255="D",INDEX('Zgłoszenia'!$B$5:$B$504,$M255)&amp;"",IF($L255="U",INDEX('Dane rozpisek'!$F$2:$F$2600,$M255)&amp;"",IF($L255="H","Wózek","")))</f>
        <v/>
      </c>
      <c r="C255" s="48">
        <f>IF($L255="D",INDEX('Zgłoszenia'!$E$5:$E$504,$M255)&amp;"",IF($L255="U",INDEX('Dane rozpisek'!$B$2:$B$2600,$M255)&amp;" · "&amp;INDEX('Dane rozpisek'!$J$2:$J$2600,$M255),IF($L255="H","Zmiana","")))</f>
        <v/>
      </c>
      <c r="D255" s="49">
        <f>IF($L255="D",INDEX('Zgłoszenia'!$H$5:$H$504,$M255)&amp;"",IF($L255="U",INDEX('Dane rozpisek'!$E$2:$E$2600,$M255)&amp;"",IF($L255="H","Operator","")))</f>
        <v/>
      </c>
      <c r="E255" s="49">
        <f>IF($L255="D",INDEX('Zgłoszenia'!$I$5:$I$504,$M255)&amp;"",IF($L255="U",INDEX('Dane rozpisek'!$C$2:$C$2600,$M255)&amp;"",IF($L255="H","Stanowisko","")))</f>
        <v/>
      </c>
      <c r="F255" s="48">
        <f>IF($L255="D",INDEX('Zgłoszenia'!$J$5:$J$504,$M255)&amp;"",IF($L255="U",INDEX('Dane rozpisek'!$G$2:$G$2600,$M255)&amp;"",IF($L255="H","Uwagi","")))</f>
        <v/>
      </c>
      <c r="G255" s="49">
        <f>IF($L255="D",INDEX('Zgłoszenia'!$F$5:$F$504,$M255)&amp;"",IF($L255="U",INDEX('Dane rozpisek'!$L$2:$L$2600,$M255)&amp;"",IF($L255="H","Usterki (dzień / następny)","")))</f>
        <v/>
      </c>
      <c r="H255" s="49">
        <f>IF($L255="D",INDEX('Zgłoszenia'!$P$5:$P$504,$M255)&amp;"",IF($L255="U","",""))</f>
        <v/>
      </c>
      <c r="I255" s="48">
        <f>IF($L255="D",IF(INDEX('Zgłoszenia'!$M$5:$M$504,$M255)="","Zgłoszona",INDEX('Zgłoszenia'!$M$5:$M$504,$M255)),IF($L255="U","",""))</f>
        <v/>
      </c>
      <c r="J255" s="49">
        <f>IF($L255="D",INDEX('Zgłoszenia'!$K$5:$K$504,$M255)&amp;"",IF($L255="U","",""))</f>
        <v/>
      </c>
      <c r="K255" s="2" t="n"/>
      <c r="L255" s="2">
        <f>IF((ROW()-12)&lt;=$L$5,IF($L$2=0,"E1","D"),IF((ROW()-12)=$L$5+1,"",IF((ROW()-12)=$L$5+2,"T",IF((ROW()-12)=$L$5+3,IF($L$3=0,"E2","H"),IF((ROW()-12)&lt;=$L$5+3+$L$3,"U","")))))</f>
        <v/>
      </c>
      <c r="M255" s="2">
        <f>IF(L255="D",MATCH(LARGE('Zgłoszenia'!$Q$5:$Q$504,(ROW()-12)),'Zgłoszenia'!$Q$5:$Q$504,0),IF(L255="U",MATCH(LARGE('Dane rozpisek'!$I$2:$I$2600,(ROW()-12)-$L$5-3),'Dane rozpisek'!$I$2:$I$2600,0),""))</f>
        <v/>
      </c>
    </row>
    <row r="256">
      <c r="A256" s="47">
        <f>IF($L256="D",INDEX('Zgłoszenia'!$D$5:$D$504,$M256),IF($L256="U",INDEX('Dane rozpisek'!$A$2:$A$2600,$M256),IF($L256="T","KTO JEŹDZIŁ",IF($L256="E1","Brak zgłoszonych usterek w tym okresie.",IF($L256="E2","Brak wpisów z tym wózkiem w rozpiskach dla tego okresu.",IF($L256="H","Data",""))))))</f>
        <v/>
      </c>
      <c r="B256" s="48">
        <f>IF($L256="D",INDEX('Zgłoszenia'!$B$5:$B$504,$M256)&amp;"",IF($L256="U",INDEX('Dane rozpisek'!$F$2:$F$2600,$M256)&amp;"",IF($L256="H","Wózek","")))</f>
        <v/>
      </c>
      <c r="C256" s="48">
        <f>IF($L256="D",INDEX('Zgłoszenia'!$E$5:$E$504,$M256)&amp;"",IF($L256="U",INDEX('Dane rozpisek'!$B$2:$B$2600,$M256)&amp;" · "&amp;INDEX('Dane rozpisek'!$J$2:$J$2600,$M256),IF($L256="H","Zmiana","")))</f>
        <v/>
      </c>
      <c r="D256" s="49">
        <f>IF($L256="D",INDEX('Zgłoszenia'!$H$5:$H$504,$M256)&amp;"",IF($L256="U",INDEX('Dane rozpisek'!$E$2:$E$2600,$M256)&amp;"",IF($L256="H","Operator","")))</f>
        <v/>
      </c>
      <c r="E256" s="49">
        <f>IF($L256="D",INDEX('Zgłoszenia'!$I$5:$I$504,$M256)&amp;"",IF($L256="U",INDEX('Dane rozpisek'!$C$2:$C$2600,$M256)&amp;"",IF($L256="H","Stanowisko","")))</f>
        <v/>
      </c>
      <c r="F256" s="48">
        <f>IF($L256="D",INDEX('Zgłoszenia'!$J$5:$J$504,$M256)&amp;"",IF($L256="U",INDEX('Dane rozpisek'!$G$2:$G$2600,$M256)&amp;"",IF($L256="H","Uwagi","")))</f>
        <v/>
      </c>
      <c r="G256" s="49">
        <f>IF($L256="D",INDEX('Zgłoszenia'!$F$5:$F$504,$M256)&amp;"",IF($L256="U",INDEX('Dane rozpisek'!$L$2:$L$2600,$M256)&amp;"",IF($L256="H","Usterki (dzień / następny)","")))</f>
        <v/>
      </c>
      <c r="H256" s="49">
        <f>IF($L256="D",INDEX('Zgłoszenia'!$P$5:$P$504,$M256)&amp;"",IF($L256="U","",""))</f>
        <v/>
      </c>
      <c r="I256" s="48">
        <f>IF($L256="D",IF(INDEX('Zgłoszenia'!$M$5:$M$504,$M256)="","Zgłoszona",INDEX('Zgłoszenia'!$M$5:$M$504,$M256)),IF($L256="U","",""))</f>
        <v/>
      </c>
      <c r="J256" s="49">
        <f>IF($L256="D",INDEX('Zgłoszenia'!$K$5:$K$504,$M256)&amp;"",IF($L256="U","",""))</f>
        <v/>
      </c>
      <c r="K256" s="2" t="n"/>
      <c r="L256" s="2">
        <f>IF((ROW()-12)&lt;=$L$5,IF($L$2=0,"E1","D"),IF((ROW()-12)=$L$5+1,"",IF((ROW()-12)=$L$5+2,"T",IF((ROW()-12)=$L$5+3,IF($L$3=0,"E2","H"),IF((ROW()-12)&lt;=$L$5+3+$L$3,"U","")))))</f>
        <v/>
      </c>
      <c r="M256" s="2">
        <f>IF(L256="D",MATCH(LARGE('Zgłoszenia'!$Q$5:$Q$504,(ROW()-12)),'Zgłoszenia'!$Q$5:$Q$504,0),IF(L256="U",MATCH(LARGE('Dane rozpisek'!$I$2:$I$2600,(ROW()-12)-$L$5-3),'Dane rozpisek'!$I$2:$I$2600,0),""))</f>
        <v/>
      </c>
    </row>
    <row r="257">
      <c r="A257" s="47">
        <f>IF($L257="D",INDEX('Zgłoszenia'!$D$5:$D$504,$M257),IF($L257="U",INDEX('Dane rozpisek'!$A$2:$A$2600,$M257),IF($L257="T","KTO JEŹDZIŁ",IF($L257="E1","Brak zgłoszonych usterek w tym okresie.",IF($L257="E2","Brak wpisów z tym wózkiem w rozpiskach dla tego okresu.",IF($L257="H","Data",""))))))</f>
        <v/>
      </c>
      <c r="B257" s="48">
        <f>IF($L257="D",INDEX('Zgłoszenia'!$B$5:$B$504,$M257)&amp;"",IF($L257="U",INDEX('Dane rozpisek'!$F$2:$F$2600,$M257)&amp;"",IF($L257="H","Wózek","")))</f>
        <v/>
      </c>
      <c r="C257" s="48">
        <f>IF($L257="D",INDEX('Zgłoszenia'!$E$5:$E$504,$M257)&amp;"",IF($L257="U",INDEX('Dane rozpisek'!$B$2:$B$2600,$M257)&amp;" · "&amp;INDEX('Dane rozpisek'!$J$2:$J$2600,$M257),IF($L257="H","Zmiana","")))</f>
        <v/>
      </c>
      <c r="D257" s="49">
        <f>IF($L257="D",INDEX('Zgłoszenia'!$H$5:$H$504,$M257)&amp;"",IF($L257="U",INDEX('Dane rozpisek'!$E$2:$E$2600,$M257)&amp;"",IF($L257="H","Operator","")))</f>
        <v/>
      </c>
      <c r="E257" s="49">
        <f>IF($L257="D",INDEX('Zgłoszenia'!$I$5:$I$504,$M257)&amp;"",IF($L257="U",INDEX('Dane rozpisek'!$C$2:$C$2600,$M257)&amp;"",IF($L257="H","Stanowisko","")))</f>
        <v/>
      </c>
      <c r="F257" s="48">
        <f>IF($L257="D",INDEX('Zgłoszenia'!$J$5:$J$504,$M257)&amp;"",IF($L257="U",INDEX('Dane rozpisek'!$G$2:$G$2600,$M257)&amp;"",IF($L257="H","Uwagi","")))</f>
        <v/>
      </c>
      <c r="G257" s="49">
        <f>IF($L257="D",INDEX('Zgłoszenia'!$F$5:$F$504,$M257)&amp;"",IF($L257="U",INDEX('Dane rozpisek'!$L$2:$L$2600,$M257)&amp;"",IF($L257="H","Usterki (dzień / następny)","")))</f>
        <v/>
      </c>
      <c r="H257" s="49">
        <f>IF($L257="D",INDEX('Zgłoszenia'!$P$5:$P$504,$M257)&amp;"",IF($L257="U","",""))</f>
        <v/>
      </c>
      <c r="I257" s="48">
        <f>IF($L257="D",IF(INDEX('Zgłoszenia'!$M$5:$M$504,$M257)="","Zgłoszona",INDEX('Zgłoszenia'!$M$5:$M$504,$M257)),IF($L257="U","",""))</f>
        <v/>
      </c>
      <c r="J257" s="49">
        <f>IF($L257="D",INDEX('Zgłoszenia'!$K$5:$K$504,$M257)&amp;"",IF($L257="U","",""))</f>
        <v/>
      </c>
      <c r="K257" s="2" t="n"/>
      <c r="L257" s="2">
        <f>IF((ROW()-12)&lt;=$L$5,IF($L$2=0,"E1","D"),IF((ROW()-12)=$L$5+1,"",IF((ROW()-12)=$L$5+2,"T",IF((ROW()-12)=$L$5+3,IF($L$3=0,"E2","H"),IF((ROW()-12)&lt;=$L$5+3+$L$3,"U","")))))</f>
        <v/>
      </c>
      <c r="M257" s="2">
        <f>IF(L257="D",MATCH(LARGE('Zgłoszenia'!$Q$5:$Q$504,(ROW()-12)),'Zgłoszenia'!$Q$5:$Q$504,0),IF(L257="U",MATCH(LARGE('Dane rozpisek'!$I$2:$I$2600,(ROW()-12)-$L$5-3),'Dane rozpisek'!$I$2:$I$2600,0),""))</f>
        <v/>
      </c>
    </row>
    <row r="258">
      <c r="A258" s="47">
        <f>IF($L258="D",INDEX('Zgłoszenia'!$D$5:$D$504,$M258),IF($L258="U",INDEX('Dane rozpisek'!$A$2:$A$2600,$M258),IF($L258="T","KTO JEŹDZIŁ",IF($L258="E1","Brak zgłoszonych usterek w tym okresie.",IF($L258="E2","Brak wpisów z tym wózkiem w rozpiskach dla tego okresu.",IF($L258="H","Data",""))))))</f>
        <v/>
      </c>
      <c r="B258" s="48">
        <f>IF($L258="D",INDEX('Zgłoszenia'!$B$5:$B$504,$M258)&amp;"",IF($L258="U",INDEX('Dane rozpisek'!$F$2:$F$2600,$M258)&amp;"",IF($L258="H","Wózek","")))</f>
        <v/>
      </c>
      <c r="C258" s="48">
        <f>IF($L258="D",INDEX('Zgłoszenia'!$E$5:$E$504,$M258)&amp;"",IF($L258="U",INDEX('Dane rozpisek'!$B$2:$B$2600,$M258)&amp;" · "&amp;INDEX('Dane rozpisek'!$J$2:$J$2600,$M258),IF($L258="H","Zmiana","")))</f>
        <v/>
      </c>
      <c r="D258" s="49">
        <f>IF($L258="D",INDEX('Zgłoszenia'!$H$5:$H$504,$M258)&amp;"",IF($L258="U",INDEX('Dane rozpisek'!$E$2:$E$2600,$M258)&amp;"",IF($L258="H","Operator","")))</f>
        <v/>
      </c>
      <c r="E258" s="49">
        <f>IF($L258="D",INDEX('Zgłoszenia'!$I$5:$I$504,$M258)&amp;"",IF($L258="U",INDEX('Dane rozpisek'!$C$2:$C$2600,$M258)&amp;"",IF($L258="H","Stanowisko","")))</f>
        <v/>
      </c>
      <c r="F258" s="48">
        <f>IF($L258="D",INDEX('Zgłoszenia'!$J$5:$J$504,$M258)&amp;"",IF($L258="U",INDEX('Dane rozpisek'!$G$2:$G$2600,$M258)&amp;"",IF($L258="H","Uwagi","")))</f>
        <v/>
      </c>
      <c r="G258" s="49">
        <f>IF($L258="D",INDEX('Zgłoszenia'!$F$5:$F$504,$M258)&amp;"",IF($L258="U",INDEX('Dane rozpisek'!$L$2:$L$2600,$M258)&amp;"",IF($L258="H","Usterki (dzień / następny)","")))</f>
        <v/>
      </c>
      <c r="H258" s="49">
        <f>IF($L258="D",INDEX('Zgłoszenia'!$P$5:$P$504,$M258)&amp;"",IF($L258="U","",""))</f>
        <v/>
      </c>
      <c r="I258" s="48">
        <f>IF($L258="D",IF(INDEX('Zgłoszenia'!$M$5:$M$504,$M258)="","Zgłoszona",INDEX('Zgłoszenia'!$M$5:$M$504,$M258)),IF($L258="U","",""))</f>
        <v/>
      </c>
      <c r="J258" s="49">
        <f>IF($L258="D",INDEX('Zgłoszenia'!$K$5:$K$504,$M258)&amp;"",IF($L258="U","",""))</f>
        <v/>
      </c>
      <c r="K258" s="2" t="n"/>
      <c r="L258" s="2">
        <f>IF((ROW()-12)&lt;=$L$5,IF($L$2=0,"E1","D"),IF((ROW()-12)=$L$5+1,"",IF((ROW()-12)=$L$5+2,"T",IF((ROW()-12)=$L$5+3,IF($L$3=0,"E2","H"),IF((ROW()-12)&lt;=$L$5+3+$L$3,"U","")))))</f>
        <v/>
      </c>
      <c r="M258" s="2">
        <f>IF(L258="D",MATCH(LARGE('Zgłoszenia'!$Q$5:$Q$504,(ROW()-12)),'Zgłoszenia'!$Q$5:$Q$504,0),IF(L258="U",MATCH(LARGE('Dane rozpisek'!$I$2:$I$2600,(ROW()-12)-$L$5-3),'Dane rozpisek'!$I$2:$I$2600,0),""))</f>
        <v/>
      </c>
    </row>
    <row r="259">
      <c r="A259" s="47">
        <f>IF($L259="D",INDEX('Zgłoszenia'!$D$5:$D$504,$M259),IF($L259="U",INDEX('Dane rozpisek'!$A$2:$A$2600,$M259),IF($L259="T","KTO JEŹDZIŁ",IF($L259="E1","Brak zgłoszonych usterek w tym okresie.",IF($L259="E2","Brak wpisów z tym wózkiem w rozpiskach dla tego okresu.",IF($L259="H","Data",""))))))</f>
        <v/>
      </c>
      <c r="B259" s="48">
        <f>IF($L259="D",INDEX('Zgłoszenia'!$B$5:$B$504,$M259)&amp;"",IF($L259="U",INDEX('Dane rozpisek'!$F$2:$F$2600,$M259)&amp;"",IF($L259="H","Wózek","")))</f>
        <v/>
      </c>
      <c r="C259" s="48">
        <f>IF($L259="D",INDEX('Zgłoszenia'!$E$5:$E$504,$M259)&amp;"",IF($L259="U",INDEX('Dane rozpisek'!$B$2:$B$2600,$M259)&amp;" · "&amp;INDEX('Dane rozpisek'!$J$2:$J$2600,$M259),IF($L259="H","Zmiana","")))</f>
        <v/>
      </c>
      <c r="D259" s="49">
        <f>IF($L259="D",INDEX('Zgłoszenia'!$H$5:$H$504,$M259)&amp;"",IF($L259="U",INDEX('Dane rozpisek'!$E$2:$E$2600,$M259)&amp;"",IF($L259="H","Operator","")))</f>
        <v/>
      </c>
      <c r="E259" s="49">
        <f>IF($L259="D",INDEX('Zgłoszenia'!$I$5:$I$504,$M259)&amp;"",IF($L259="U",INDEX('Dane rozpisek'!$C$2:$C$2600,$M259)&amp;"",IF($L259="H","Stanowisko","")))</f>
        <v/>
      </c>
      <c r="F259" s="48">
        <f>IF($L259="D",INDEX('Zgłoszenia'!$J$5:$J$504,$M259)&amp;"",IF($L259="U",INDEX('Dane rozpisek'!$G$2:$G$2600,$M259)&amp;"",IF($L259="H","Uwagi","")))</f>
        <v/>
      </c>
      <c r="G259" s="49">
        <f>IF($L259="D",INDEX('Zgłoszenia'!$F$5:$F$504,$M259)&amp;"",IF($L259="U",INDEX('Dane rozpisek'!$L$2:$L$2600,$M259)&amp;"",IF($L259="H","Usterki (dzień / następny)","")))</f>
        <v/>
      </c>
      <c r="H259" s="49">
        <f>IF($L259="D",INDEX('Zgłoszenia'!$P$5:$P$504,$M259)&amp;"",IF($L259="U","",""))</f>
        <v/>
      </c>
      <c r="I259" s="48">
        <f>IF($L259="D",IF(INDEX('Zgłoszenia'!$M$5:$M$504,$M259)="","Zgłoszona",INDEX('Zgłoszenia'!$M$5:$M$504,$M259)),IF($L259="U","",""))</f>
        <v/>
      </c>
      <c r="J259" s="49">
        <f>IF($L259="D",INDEX('Zgłoszenia'!$K$5:$K$504,$M259)&amp;"",IF($L259="U","",""))</f>
        <v/>
      </c>
      <c r="K259" s="2" t="n"/>
      <c r="L259" s="2">
        <f>IF((ROW()-12)&lt;=$L$5,IF($L$2=0,"E1","D"),IF((ROW()-12)=$L$5+1,"",IF((ROW()-12)=$L$5+2,"T",IF((ROW()-12)=$L$5+3,IF($L$3=0,"E2","H"),IF((ROW()-12)&lt;=$L$5+3+$L$3,"U","")))))</f>
        <v/>
      </c>
      <c r="M259" s="2">
        <f>IF(L259="D",MATCH(LARGE('Zgłoszenia'!$Q$5:$Q$504,(ROW()-12)),'Zgłoszenia'!$Q$5:$Q$504,0),IF(L259="U",MATCH(LARGE('Dane rozpisek'!$I$2:$I$2600,(ROW()-12)-$L$5-3),'Dane rozpisek'!$I$2:$I$2600,0),""))</f>
        <v/>
      </c>
    </row>
    <row r="260">
      <c r="A260" s="47">
        <f>IF($L260="D",INDEX('Zgłoszenia'!$D$5:$D$504,$M260),IF($L260="U",INDEX('Dane rozpisek'!$A$2:$A$2600,$M260),IF($L260="T","KTO JEŹDZIŁ",IF($L260="E1","Brak zgłoszonych usterek w tym okresie.",IF($L260="E2","Brak wpisów z tym wózkiem w rozpiskach dla tego okresu.",IF($L260="H","Data",""))))))</f>
        <v/>
      </c>
      <c r="B260" s="48">
        <f>IF($L260="D",INDEX('Zgłoszenia'!$B$5:$B$504,$M260)&amp;"",IF($L260="U",INDEX('Dane rozpisek'!$F$2:$F$2600,$M260)&amp;"",IF($L260="H","Wózek","")))</f>
        <v/>
      </c>
      <c r="C260" s="48">
        <f>IF($L260="D",INDEX('Zgłoszenia'!$E$5:$E$504,$M260)&amp;"",IF($L260="U",INDEX('Dane rozpisek'!$B$2:$B$2600,$M260)&amp;" · "&amp;INDEX('Dane rozpisek'!$J$2:$J$2600,$M260),IF($L260="H","Zmiana","")))</f>
        <v/>
      </c>
      <c r="D260" s="49">
        <f>IF($L260="D",INDEX('Zgłoszenia'!$H$5:$H$504,$M260)&amp;"",IF($L260="U",INDEX('Dane rozpisek'!$E$2:$E$2600,$M260)&amp;"",IF($L260="H","Operator","")))</f>
        <v/>
      </c>
      <c r="E260" s="49">
        <f>IF($L260="D",INDEX('Zgłoszenia'!$I$5:$I$504,$M260)&amp;"",IF($L260="U",INDEX('Dane rozpisek'!$C$2:$C$2600,$M260)&amp;"",IF($L260="H","Stanowisko","")))</f>
        <v/>
      </c>
      <c r="F260" s="48">
        <f>IF($L260="D",INDEX('Zgłoszenia'!$J$5:$J$504,$M260)&amp;"",IF($L260="U",INDEX('Dane rozpisek'!$G$2:$G$2600,$M260)&amp;"",IF($L260="H","Uwagi","")))</f>
        <v/>
      </c>
      <c r="G260" s="49">
        <f>IF($L260="D",INDEX('Zgłoszenia'!$F$5:$F$504,$M260)&amp;"",IF($L260="U",INDEX('Dane rozpisek'!$L$2:$L$2600,$M260)&amp;"",IF($L260="H","Usterki (dzień / następny)","")))</f>
        <v/>
      </c>
      <c r="H260" s="49">
        <f>IF($L260="D",INDEX('Zgłoszenia'!$P$5:$P$504,$M260)&amp;"",IF($L260="U","",""))</f>
        <v/>
      </c>
      <c r="I260" s="48">
        <f>IF($L260="D",IF(INDEX('Zgłoszenia'!$M$5:$M$504,$M260)="","Zgłoszona",INDEX('Zgłoszenia'!$M$5:$M$504,$M260)),IF($L260="U","",""))</f>
        <v/>
      </c>
      <c r="J260" s="49">
        <f>IF($L260="D",INDEX('Zgłoszenia'!$K$5:$K$504,$M260)&amp;"",IF($L260="U","",""))</f>
        <v/>
      </c>
      <c r="K260" s="2" t="n"/>
      <c r="L260" s="2">
        <f>IF((ROW()-12)&lt;=$L$5,IF($L$2=0,"E1","D"),IF((ROW()-12)=$L$5+1,"",IF((ROW()-12)=$L$5+2,"T",IF((ROW()-12)=$L$5+3,IF($L$3=0,"E2","H"),IF((ROW()-12)&lt;=$L$5+3+$L$3,"U","")))))</f>
        <v/>
      </c>
      <c r="M260" s="2">
        <f>IF(L260="D",MATCH(LARGE('Zgłoszenia'!$Q$5:$Q$504,(ROW()-12)),'Zgłoszenia'!$Q$5:$Q$504,0),IF(L260="U",MATCH(LARGE('Dane rozpisek'!$I$2:$I$2600,(ROW()-12)-$L$5-3),'Dane rozpisek'!$I$2:$I$2600,0),""))</f>
        <v/>
      </c>
    </row>
    <row r="261">
      <c r="A261" s="47">
        <f>IF($L261="D",INDEX('Zgłoszenia'!$D$5:$D$504,$M261),IF($L261="U",INDEX('Dane rozpisek'!$A$2:$A$2600,$M261),IF($L261="T","KTO JEŹDZIŁ",IF($L261="E1","Brak zgłoszonych usterek w tym okresie.",IF($L261="E2","Brak wpisów z tym wózkiem w rozpiskach dla tego okresu.",IF($L261="H","Data",""))))))</f>
        <v/>
      </c>
      <c r="B261" s="48">
        <f>IF($L261="D",INDEX('Zgłoszenia'!$B$5:$B$504,$M261)&amp;"",IF($L261="U",INDEX('Dane rozpisek'!$F$2:$F$2600,$M261)&amp;"",IF($L261="H","Wózek","")))</f>
        <v/>
      </c>
      <c r="C261" s="48">
        <f>IF($L261="D",INDEX('Zgłoszenia'!$E$5:$E$504,$M261)&amp;"",IF($L261="U",INDEX('Dane rozpisek'!$B$2:$B$2600,$M261)&amp;" · "&amp;INDEX('Dane rozpisek'!$J$2:$J$2600,$M261),IF($L261="H","Zmiana","")))</f>
        <v/>
      </c>
      <c r="D261" s="49">
        <f>IF($L261="D",INDEX('Zgłoszenia'!$H$5:$H$504,$M261)&amp;"",IF($L261="U",INDEX('Dane rozpisek'!$E$2:$E$2600,$M261)&amp;"",IF($L261="H","Operator","")))</f>
        <v/>
      </c>
      <c r="E261" s="49">
        <f>IF($L261="D",INDEX('Zgłoszenia'!$I$5:$I$504,$M261)&amp;"",IF($L261="U",INDEX('Dane rozpisek'!$C$2:$C$2600,$M261)&amp;"",IF($L261="H","Stanowisko","")))</f>
        <v/>
      </c>
      <c r="F261" s="48">
        <f>IF($L261="D",INDEX('Zgłoszenia'!$J$5:$J$504,$M261)&amp;"",IF($L261="U",INDEX('Dane rozpisek'!$G$2:$G$2600,$M261)&amp;"",IF($L261="H","Uwagi","")))</f>
        <v/>
      </c>
      <c r="G261" s="49">
        <f>IF($L261="D",INDEX('Zgłoszenia'!$F$5:$F$504,$M261)&amp;"",IF($L261="U",INDEX('Dane rozpisek'!$L$2:$L$2600,$M261)&amp;"",IF($L261="H","Usterki (dzień / następny)","")))</f>
        <v/>
      </c>
      <c r="H261" s="49">
        <f>IF($L261="D",INDEX('Zgłoszenia'!$P$5:$P$504,$M261)&amp;"",IF($L261="U","",""))</f>
        <v/>
      </c>
      <c r="I261" s="48">
        <f>IF($L261="D",IF(INDEX('Zgłoszenia'!$M$5:$M$504,$M261)="","Zgłoszona",INDEX('Zgłoszenia'!$M$5:$M$504,$M261)),IF($L261="U","",""))</f>
        <v/>
      </c>
      <c r="J261" s="49">
        <f>IF($L261="D",INDEX('Zgłoszenia'!$K$5:$K$504,$M261)&amp;"",IF($L261="U","",""))</f>
        <v/>
      </c>
      <c r="K261" s="2" t="n"/>
      <c r="L261" s="2">
        <f>IF((ROW()-12)&lt;=$L$5,IF($L$2=0,"E1","D"),IF((ROW()-12)=$L$5+1,"",IF((ROW()-12)=$L$5+2,"T",IF((ROW()-12)=$L$5+3,IF($L$3=0,"E2","H"),IF((ROW()-12)&lt;=$L$5+3+$L$3,"U","")))))</f>
        <v/>
      </c>
      <c r="M261" s="2">
        <f>IF(L261="D",MATCH(LARGE('Zgłoszenia'!$Q$5:$Q$504,(ROW()-12)),'Zgłoszenia'!$Q$5:$Q$504,0),IF(L261="U",MATCH(LARGE('Dane rozpisek'!$I$2:$I$2600,(ROW()-12)-$L$5-3),'Dane rozpisek'!$I$2:$I$2600,0),""))</f>
        <v/>
      </c>
    </row>
    <row r="262">
      <c r="A262" s="47">
        <f>IF($L262="D",INDEX('Zgłoszenia'!$D$5:$D$504,$M262),IF($L262="U",INDEX('Dane rozpisek'!$A$2:$A$2600,$M262),IF($L262="T","KTO JEŹDZIŁ",IF($L262="E1","Brak zgłoszonych usterek w tym okresie.",IF($L262="E2","Brak wpisów z tym wózkiem w rozpiskach dla tego okresu.",IF($L262="H","Data",""))))))</f>
        <v/>
      </c>
      <c r="B262" s="48">
        <f>IF($L262="D",INDEX('Zgłoszenia'!$B$5:$B$504,$M262)&amp;"",IF($L262="U",INDEX('Dane rozpisek'!$F$2:$F$2600,$M262)&amp;"",IF($L262="H","Wózek","")))</f>
        <v/>
      </c>
      <c r="C262" s="48">
        <f>IF($L262="D",INDEX('Zgłoszenia'!$E$5:$E$504,$M262)&amp;"",IF($L262="U",INDEX('Dane rozpisek'!$B$2:$B$2600,$M262)&amp;" · "&amp;INDEX('Dane rozpisek'!$J$2:$J$2600,$M262),IF($L262="H","Zmiana","")))</f>
        <v/>
      </c>
      <c r="D262" s="49">
        <f>IF($L262="D",INDEX('Zgłoszenia'!$H$5:$H$504,$M262)&amp;"",IF($L262="U",INDEX('Dane rozpisek'!$E$2:$E$2600,$M262)&amp;"",IF($L262="H","Operator","")))</f>
        <v/>
      </c>
      <c r="E262" s="49">
        <f>IF($L262="D",INDEX('Zgłoszenia'!$I$5:$I$504,$M262)&amp;"",IF($L262="U",INDEX('Dane rozpisek'!$C$2:$C$2600,$M262)&amp;"",IF($L262="H","Stanowisko","")))</f>
        <v/>
      </c>
      <c r="F262" s="48">
        <f>IF($L262="D",INDEX('Zgłoszenia'!$J$5:$J$504,$M262)&amp;"",IF($L262="U",INDEX('Dane rozpisek'!$G$2:$G$2600,$M262)&amp;"",IF($L262="H","Uwagi","")))</f>
        <v/>
      </c>
      <c r="G262" s="49">
        <f>IF($L262="D",INDEX('Zgłoszenia'!$F$5:$F$504,$M262)&amp;"",IF($L262="U",INDEX('Dane rozpisek'!$L$2:$L$2600,$M262)&amp;"",IF($L262="H","Usterki (dzień / następny)","")))</f>
        <v/>
      </c>
      <c r="H262" s="49">
        <f>IF($L262="D",INDEX('Zgłoszenia'!$P$5:$P$504,$M262)&amp;"",IF($L262="U","",""))</f>
        <v/>
      </c>
      <c r="I262" s="48">
        <f>IF($L262="D",IF(INDEX('Zgłoszenia'!$M$5:$M$504,$M262)="","Zgłoszona",INDEX('Zgłoszenia'!$M$5:$M$504,$M262)),IF($L262="U","",""))</f>
        <v/>
      </c>
      <c r="J262" s="49">
        <f>IF($L262="D",INDEX('Zgłoszenia'!$K$5:$K$504,$M262)&amp;"",IF($L262="U","",""))</f>
        <v/>
      </c>
      <c r="K262" s="2" t="n"/>
      <c r="L262" s="2">
        <f>IF((ROW()-12)&lt;=$L$5,IF($L$2=0,"E1","D"),IF((ROW()-12)=$L$5+1,"",IF((ROW()-12)=$L$5+2,"T",IF((ROW()-12)=$L$5+3,IF($L$3=0,"E2","H"),IF((ROW()-12)&lt;=$L$5+3+$L$3,"U","")))))</f>
        <v/>
      </c>
      <c r="M262" s="2">
        <f>IF(L262="D",MATCH(LARGE('Zgłoszenia'!$Q$5:$Q$504,(ROW()-12)),'Zgłoszenia'!$Q$5:$Q$504,0),IF(L262="U",MATCH(LARGE('Dane rozpisek'!$I$2:$I$2600,(ROW()-12)-$L$5-3),'Dane rozpisek'!$I$2:$I$2600,0),""))</f>
        <v/>
      </c>
    </row>
    <row r="263">
      <c r="A263" s="47">
        <f>IF($L263="D",INDEX('Zgłoszenia'!$D$5:$D$504,$M263),IF($L263="U",INDEX('Dane rozpisek'!$A$2:$A$2600,$M263),IF($L263="T","KTO JEŹDZIŁ",IF($L263="E1","Brak zgłoszonych usterek w tym okresie.",IF($L263="E2","Brak wpisów z tym wózkiem w rozpiskach dla tego okresu.",IF($L263="H","Data",""))))))</f>
        <v/>
      </c>
      <c r="B263" s="48">
        <f>IF($L263="D",INDEX('Zgłoszenia'!$B$5:$B$504,$M263)&amp;"",IF($L263="U",INDEX('Dane rozpisek'!$F$2:$F$2600,$M263)&amp;"",IF($L263="H","Wózek","")))</f>
        <v/>
      </c>
      <c r="C263" s="48">
        <f>IF($L263="D",INDEX('Zgłoszenia'!$E$5:$E$504,$M263)&amp;"",IF($L263="U",INDEX('Dane rozpisek'!$B$2:$B$2600,$M263)&amp;" · "&amp;INDEX('Dane rozpisek'!$J$2:$J$2600,$M263),IF($L263="H","Zmiana","")))</f>
        <v/>
      </c>
      <c r="D263" s="49">
        <f>IF($L263="D",INDEX('Zgłoszenia'!$H$5:$H$504,$M263)&amp;"",IF($L263="U",INDEX('Dane rozpisek'!$E$2:$E$2600,$M263)&amp;"",IF($L263="H","Operator","")))</f>
        <v/>
      </c>
      <c r="E263" s="49">
        <f>IF($L263="D",INDEX('Zgłoszenia'!$I$5:$I$504,$M263)&amp;"",IF($L263="U",INDEX('Dane rozpisek'!$C$2:$C$2600,$M263)&amp;"",IF($L263="H","Stanowisko","")))</f>
        <v/>
      </c>
      <c r="F263" s="48">
        <f>IF($L263="D",INDEX('Zgłoszenia'!$J$5:$J$504,$M263)&amp;"",IF($L263="U",INDEX('Dane rozpisek'!$G$2:$G$2600,$M263)&amp;"",IF($L263="H","Uwagi","")))</f>
        <v/>
      </c>
      <c r="G263" s="49">
        <f>IF($L263="D",INDEX('Zgłoszenia'!$F$5:$F$504,$M263)&amp;"",IF($L263="U",INDEX('Dane rozpisek'!$L$2:$L$2600,$M263)&amp;"",IF($L263="H","Usterki (dzień / następny)","")))</f>
        <v/>
      </c>
      <c r="H263" s="49">
        <f>IF($L263="D",INDEX('Zgłoszenia'!$P$5:$P$504,$M263)&amp;"",IF($L263="U","",""))</f>
        <v/>
      </c>
      <c r="I263" s="48">
        <f>IF($L263="D",IF(INDEX('Zgłoszenia'!$M$5:$M$504,$M263)="","Zgłoszona",INDEX('Zgłoszenia'!$M$5:$M$504,$M263)),IF($L263="U","",""))</f>
        <v/>
      </c>
      <c r="J263" s="49">
        <f>IF($L263="D",INDEX('Zgłoszenia'!$K$5:$K$504,$M263)&amp;"",IF($L263="U","",""))</f>
        <v/>
      </c>
      <c r="K263" s="2" t="n"/>
      <c r="L263" s="2">
        <f>IF((ROW()-12)&lt;=$L$5,IF($L$2=0,"E1","D"),IF((ROW()-12)=$L$5+1,"",IF((ROW()-12)=$L$5+2,"T",IF((ROW()-12)=$L$5+3,IF($L$3=0,"E2","H"),IF((ROW()-12)&lt;=$L$5+3+$L$3,"U","")))))</f>
        <v/>
      </c>
      <c r="M263" s="2">
        <f>IF(L263="D",MATCH(LARGE('Zgłoszenia'!$Q$5:$Q$504,(ROW()-12)),'Zgłoszenia'!$Q$5:$Q$504,0),IF(L263="U",MATCH(LARGE('Dane rozpisek'!$I$2:$I$2600,(ROW()-12)-$L$5-3),'Dane rozpisek'!$I$2:$I$2600,0),""))</f>
        <v/>
      </c>
    </row>
    <row r="264">
      <c r="A264" s="47">
        <f>IF($L264="D",INDEX('Zgłoszenia'!$D$5:$D$504,$M264),IF($L264="U",INDEX('Dane rozpisek'!$A$2:$A$2600,$M264),IF($L264="T","KTO JEŹDZIŁ",IF($L264="E1","Brak zgłoszonych usterek w tym okresie.",IF($L264="E2","Brak wpisów z tym wózkiem w rozpiskach dla tego okresu.",IF($L264="H","Data",""))))))</f>
        <v/>
      </c>
      <c r="B264" s="48">
        <f>IF($L264="D",INDEX('Zgłoszenia'!$B$5:$B$504,$M264)&amp;"",IF($L264="U",INDEX('Dane rozpisek'!$F$2:$F$2600,$M264)&amp;"",IF($L264="H","Wózek","")))</f>
        <v/>
      </c>
      <c r="C264" s="48">
        <f>IF($L264="D",INDEX('Zgłoszenia'!$E$5:$E$504,$M264)&amp;"",IF($L264="U",INDEX('Dane rozpisek'!$B$2:$B$2600,$M264)&amp;" · "&amp;INDEX('Dane rozpisek'!$J$2:$J$2600,$M264),IF($L264="H","Zmiana","")))</f>
        <v/>
      </c>
      <c r="D264" s="49">
        <f>IF($L264="D",INDEX('Zgłoszenia'!$H$5:$H$504,$M264)&amp;"",IF($L264="U",INDEX('Dane rozpisek'!$E$2:$E$2600,$M264)&amp;"",IF($L264="H","Operator","")))</f>
        <v/>
      </c>
      <c r="E264" s="49">
        <f>IF($L264="D",INDEX('Zgłoszenia'!$I$5:$I$504,$M264)&amp;"",IF($L264="U",INDEX('Dane rozpisek'!$C$2:$C$2600,$M264)&amp;"",IF($L264="H","Stanowisko","")))</f>
        <v/>
      </c>
      <c r="F264" s="48">
        <f>IF($L264="D",INDEX('Zgłoszenia'!$J$5:$J$504,$M264)&amp;"",IF($L264="U",INDEX('Dane rozpisek'!$G$2:$G$2600,$M264)&amp;"",IF($L264="H","Uwagi","")))</f>
        <v/>
      </c>
      <c r="G264" s="49">
        <f>IF($L264="D",INDEX('Zgłoszenia'!$F$5:$F$504,$M264)&amp;"",IF($L264="U",INDEX('Dane rozpisek'!$L$2:$L$2600,$M264)&amp;"",IF($L264="H","Usterki (dzień / następny)","")))</f>
        <v/>
      </c>
      <c r="H264" s="49">
        <f>IF($L264="D",INDEX('Zgłoszenia'!$P$5:$P$504,$M264)&amp;"",IF($L264="U","",""))</f>
        <v/>
      </c>
      <c r="I264" s="48">
        <f>IF($L264="D",IF(INDEX('Zgłoszenia'!$M$5:$M$504,$M264)="","Zgłoszona",INDEX('Zgłoszenia'!$M$5:$M$504,$M264)),IF($L264="U","",""))</f>
        <v/>
      </c>
      <c r="J264" s="49">
        <f>IF($L264="D",INDEX('Zgłoszenia'!$K$5:$K$504,$M264)&amp;"",IF($L264="U","",""))</f>
        <v/>
      </c>
      <c r="K264" s="2" t="n"/>
      <c r="L264" s="2">
        <f>IF((ROW()-12)&lt;=$L$5,IF($L$2=0,"E1","D"),IF((ROW()-12)=$L$5+1,"",IF((ROW()-12)=$L$5+2,"T",IF((ROW()-12)=$L$5+3,IF($L$3=0,"E2","H"),IF((ROW()-12)&lt;=$L$5+3+$L$3,"U","")))))</f>
        <v/>
      </c>
      <c r="M264" s="2">
        <f>IF(L264="D",MATCH(LARGE('Zgłoszenia'!$Q$5:$Q$504,(ROW()-12)),'Zgłoszenia'!$Q$5:$Q$504,0),IF(L264="U",MATCH(LARGE('Dane rozpisek'!$I$2:$I$2600,(ROW()-12)-$L$5-3),'Dane rozpisek'!$I$2:$I$2600,0),""))</f>
        <v/>
      </c>
    </row>
    <row r="265">
      <c r="A265" s="47">
        <f>IF($L265="D",INDEX('Zgłoszenia'!$D$5:$D$504,$M265),IF($L265="U",INDEX('Dane rozpisek'!$A$2:$A$2600,$M265),IF($L265="T","KTO JEŹDZIŁ",IF($L265="E1","Brak zgłoszonych usterek w tym okresie.",IF($L265="E2","Brak wpisów z tym wózkiem w rozpiskach dla tego okresu.",IF($L265="H","Data",""))))))</f>
        <v/>
      </c>
      <c r="B265" s="48">
        <f>IF($L265="D",INDEX('Zgłoszenia'!$B$5:$B$504,$M265)&amp;"",IF($L265="U",INDEX('Dane rozpisek'!$F$2:$F$2600,$M265)&amp;"",IF($L265="H","Wózek","")))</f>
        <v/>
      </c>
      <c r="C265" s="48">
        <f>IF($L265="D",INDEX('Zgłoszenia'!$E$5:$E$504,$M265)&amp;"",IF($L265="U",INDEX('Dane rozpisek'!$B$2:$B$2600,$M265)&amp;" · "&amp;INDEX('Dane rozpisek'!$J$2:$J$2600,$M265),IF($L265="H","Zmiana","")))</f>
        <v/>
      </c>
      <c r="D265" s="49">
        <f>IF($L265="D",INDEX('Zgłoszenia'!$H$5:$H$504,$M265)&amp;"",IF($L265="U",INDEX('Dane rozpisek'!$E$2:$E$2600,$M265)&amp;"",IF($L265="H","Operator","")))</f>
        <v/>
      </c>
      <c r="E265" s="49">
        <f>IF($L265="D",INDEX('Zgłoszenia'!$I$5:$I$504,$M265)&amp;"",IF($L265="U",INDEX('Dane rozpisek'!$C$2:$C$2600,$M265)&amp;"",IF($L265="H","Stanowisko","")))</f>
        <v/>
      </c>
      <c r="F265" s="48">
        <f>IF($L265="D",INDEX('Zgłoszenia'!$J$5:$J$504,$M265)&amp;"",IF($L265="U",INDEX('Dane rozpisek'!$G$2:$G$2600,$M265)&amp;"",IF($L265="H","Uwagi","")))</f>
        <v/>
      </c>
      <c r="G265" s="49">
        <f>IF($L265="D",INDEX('Zgłoszenia'!$F$5:$F$504,$M265)&amp;"",IF($L265="U",INDEX('Dane rozpisek'!$L$2:$L$2600,$M265)&amp;"",IF($L265="H","Usterki (dzień / następny)","")))</f>
        <v/>
      </c>
      <c r="H265" s="49">
        <f>IF($L265="D",INDEX('Zgłoszenia'!$P$5:$P$504,$M265)&amp;"",IF($L265="U","",""))</f>
        <v/>
      </c>
      <c r="I265" s="48">
        <f>IF($L265="D",IF(INDEX('Zgłoszenia'!$M$5:$M$504,$M265)="","Zgłoszona",INDEX('Zgłoszenia'!$M$5:$M$504,$M265)),IF($L265="U","",""))</f>
        <v/>
      </c>
      <c r="J265" s="49">
        <f>IF($L265="D",INDEX('Zgłoszenia'!$K$5:$K$504,$M265)&amp;"",IF($L265="U","",""))</f>
        <v/>
      </c>
      <c r="K265" s="2" t="n"/>
      <c r="L265" s="2">
        <f>IF((ROW()-12)&lt;=$L$5,IF($L$2=0,"E1","D"),IF((ROW()-12)=$L$5+1,"",IF((ROW()-12)=$L$5+2,"T",IF((ROW()-12)=$L$5+3,IF($L$3=0,"E2","H"),IF((ROW()-12)&lt;=$L$5+3+$L$3,"U","")))))</f>
        <v/>
      </c>
      <c r="M265" s="2">
        <f>IF(L265="D",MATCH(LARGE('Zgłoszenia'!$Q$5:$Q$504,(ROW()-12)),'Zgłoszenia'!$Q$5:$Q$504,0),IF(L265="U",MATCH(LARGE('Dane rozpisek'!$I$2:$I$2600,(ROW()-12)-$L$5-3),'Dane rozpisek'!$I$2:$I$2600,0),""))</f>
        <v/>
      </c>
    </row>
    <row r="266">
      <c r="A266" s="47">
        <f>IF($L266="D",INDEX('Zgłoszenia'!$D$5:$D$504,$M266),IF($L266="U",INDEX('Dane rozpisek'!$A$2:$A$2600,$M266),IF($L266="T","KTO JEŹDZIŁ",IF($L266="E1","Brak zgłoszonych usterek w tym okresie.",IF($L266="E2","Brak wpisów z tym wózkiem w rozpiskach dla tego okresu.",IF($L266="H","Data",""))))))</f>
        <v/>
      </c>
      <c r="B266" s="48">
        <f>IF($L266="D",INDEX('Zgłoszenia'!$B$5:$B$504,$M266)&amp;"",IF($L266="U",INDEX('Dane rozpisek'!$F$2:$F$2600,$M266)&amp;"",IF($L266="H","Wózek","")))</f>
        <v/>
      </c>
      <c r="C266" s="48">
        <f>IF($L266="D",INDEX('Zgłoszenia'!$E$5:$E$504,$M266)&amp;"",IF($L266="U",INDEX('Dane rozpisek'!$B$2:$B$2600,$M266)&amp;" · "&amp;INDEX('Dane rozpisek'!$J$2:$J$2600,$M266),IF($L266="H","Zmiana","")))</f>
        <v/>
      </c>
      <c r="D266" s="49">
        <f>IF($L266="D",INDEX('Zgłoszenia'!$H$5:$H$504,$M266)&amp;"",IF($L266="U",INDEX('Dane rozpisek'!$E$2:$E$2600,$M266)&amp;"",IF($L266="H","Operator","")))</f>
        <v/>
      </c>
      <c r="E266" s="49">
        <f>IF($L266="D",INDEX('Zgłoszenia'!$I$5:$I$504,$M266)&amp;"",IF($L266="U",INDEX('Dane rozpisek'!$C$2:$C$2600,$M266)&amp;"",IF($L266="H","Stanowisko","")))</f>
        <v/>
      </c>
      <c r="F266" s="48">
        <f>IF($L266="D",INDEX('Zgłoszenia'!$J$5:$J$504,$M266)&amp;"",IF($L266="U",INDEX('Dane rozpisek'!$G$2:$G$2600,$M266)&amp;"",IF($L266="H","Uwagi","")))</f>
        <v/>
      </c>
      <c r="G266" s="49">
        <f>IF($L266="D",INDEX('Zgłoszenia'!$F$5:$F$504,$M266)&amp;"",IF($L266="U",INDEX('Dane rozpisek'!$L$2:$L$2600,$M266)&amp;"",IF($L266="H","Usterki (dzień / następny)","")))</f>
        <v/>
      </c>
      <c r="H266" s="49">
        <f>IF($L266="D",INDEX('Zgłoszenia'!$P$5:$P$504,$M266)&amp;"",IF($L266="U","",""))</f>
        <v/>
      </c>
      <c r="I266" s="48">
        <f>IF($L266="D",IF(INDEX('Zgłoszenia'!$M$5:$M$504,$M266)="","Zgłoszona",INDEX('Zgłoszenia'!$M$5:$M$504,$M266)),IF($L266="U","",""))</f>
        <v/>
      </c>
      <c r="J266" s="49">
        <f>IF($L266="D",INDEX('Zgłoszenia'!$K$5:$K$504,$M266)&amp;"",IF($L266="U","",""))</f>
        <v/>
      </c>
      <c r="K266" s="2" t="n"/>
      <c r="L266" s="2">
        <f>IF((ROW()-12)&lt;=$L$5,IF($L$2=0,"E1","D"),IF((ROW()-12)=$L$5+1,"",IF((ROW()-12)=$L$5+2,"T",IF((ROW()-12)=$L$5+3,IF($L$3=0,"E2","H"),IF((ROW()-12)&lt;=$L$5+3+$L$3,"U","")))))</f>
        <v/>
      </c>
      <c r="M266" s="2">
        <f>IF(L266="D",MATCH(LARGE('Zgłoszenia'!$Q$5:$Q$504,(ROW()-12)),'Zgłoszenia'!$Q$5:$Q$504,0),IF(L266="U",MATCH(LARGE('Dane rozpisek'!$I$2:$I$2600,(ROW()-12)-$L$5-3),'Dane rozpisek'!$I$2:$I$2600,0),""))</f>
        <v/>
      </c>
    </row>
    <row r="267">
      <c r="A267" s="47">
        <f>IF($L267="D",INDEX('Zgłoszenia'!$D$5:$D$504,$M267),IF($L267="U",INDEX('Dane rozpisek'!$A$2:$A$2600,$M267),IF($L267="T","KTO JEŹDZIŁ",IF($L267="E1","Brak zgłoszonych usterek w tym okresie.",IF($L267="E2","Brak wpisów z tym wózkiem w rozpiskach dla tego okresu.",IF($L267="H","Data",""))))))</f>
        <v/>
      </c>
      <c r="B267" s="48">
        <f>IF($L267="D",INDEX('Zgłoszenia'!$B$5:$B$504,$M267)&amp;"",IF($L267="U",INDEX('Dane rozpisek'!$F$2:$F$2600,$M267)&amp;"",IF($L267="H","Wózek","")))</f>
        <v/>
      </c>
      <c r="C267" s="48">
        <f>IF($L267="D",INDEX('Zgłoszenia'!$E$5:$E$504,$M267)&amp;"",IF($L267="U",INDEX('Dane rozpisek'!$B$2:$B$2600,$M267)&amp;" · "&amp;INDEX('Dane rozpisek'!$J$2:$J$2600,$M267),IF($L267="H","Zmiana","")))</f>
        <v/>
      </c>
      <c r="D267" s="49">
        <f>IF($L267="D",INDEX('Zgłoszenia'!$H$5:$H$504,$M267)&amp;"",IF($L267="U",INDEX('Dane rozpisek'!$E$2:$E$2600,$M267)&amp;"",IF($L267="H","Operator","")))</f>
        <v/>
      </c>
      <c r="E267" s="49">
        <f>IF($L267="D",INDEX('Zgłoszenia'!$I$5:$I$504,$M267)&amp;"",IF($L267="U",INDEX('Dane rozpisek'!$C$2:$C$2600,$M267)&amp;"",IF($L267="H","Stanowisko","")))</f>
        <v/>
      </c>
      <c r="F267" s="48">
        <f>IF($L267="D",INDEX('Zgłoszenia'!$J$5:$J$504,$M267)&amp;"",IF($L267="U",INDEX('Dane rozpisek'!$G$2:$G$2600,$M267)&amp;"",IF($L267="H","Uwagi","")))</f>
        <v/>
      </c>
      <c r="G267" s="49">
        <f>IF($L267="D",INDEX('Zgłoszenia'!$F$5:$F$504,$M267)&amp;"",IF($L267="U",INDEX('Dane rozpisek'!$L$2:$L$2600,$M267)&amp;"",IF($L267="H","Usterki (dzień / następny)","")))</f>
        <v/>
      </c>
      <c r="H267" s="49">
        <f>IF($L267="D",INDEX('Zgłoszenia'!$P$5:$P$504,$M267)&amp;"",IF($L267="U","",""))</f>
        <v/>
      </c>
      <c r="I267" s="48">
        <f>IF($L267="D",IF(INDEX('Zgłoszenia'!$M$5:$M$504,$M267)="","Zgłoszona",INDEX('Zgłoszenia'!$M$5:$M$504,$M267)),IF($L267="U","",""))</f>
        <v/>
      </c>
      <c r="J267" s="49">
        <f>IF($L267="D",INDEX('Zgłoszenia'!$K$5:$K$504,$M267)&amp;"",IF($L267="U","",""))</f>
        <v/>
      </c>
      <c r="K267" s="2" t="n"/>
      <c r="L267" s="2">
        <f>IF((ROW()-12)&lt;=$L$5,IF($L$2=0,"E1","D"),IF((ROW()-12)=$L$5+1,"",IF((ROW()-12)=$L$5+2,"T",IF((ROW()-12)=$L$5+3,IF($L$3=0,"E2","H"),IF((ROW()-12)&lt;=$L$5+3+$L$3,"U","")))))</f>
        <v/>
      </c>
      <c r="M267" s="2">
        <f>IF(L267="D",MATCH(LARGE('Zgłoszenia'!$Q$5:$Q$504,(ROW()-12)),'Zgłoszenia'!$Q$5:$Q$504,0),IF(L267="U",MATCH(LARGE('Dane rozpisek'!$I$2:$I$2600,(ROW()-12)-$L$5-3),'Dane rozpisek'!$I$2:$I$2600,0),""))</f>
        <v/>
      </c>
    </row>
    <row r="268">
      <c r="A268" s="47">
        <f>IF($L268="D",INDEX('Zgłoszenia'!$D$5:$D$504,$M268),IF($L268="U",INDEX('Dane rozpisek'!$A$2:$A$2600,$M268),IF($L268="T","KTO JEŹDZIŁ",IF($L268="E1","Brak zgłoszonych usterek w tym okresie.",IF($L268="E2","Brak wpisów z tym wózkiem w rozpiskach dla tego okresu.",IF($L268="H","Data",""))))))</f>
        <v/>
      </c>
      <c r="B268" s="48">
        <f>IF($L268="D",INDEX('Zgłoszenia'!$B$5:$B$504,$M268)&amp;"",IF($L268="U",INDEX('Dane rozpisek'!$F$2:$F$2600,$M268)&amp;"",IF($L268="H","Wózek","")))</f>
        <v/>
      </c>
      <c r="C268" s="48">
        <f>IF($L268="D",INDEX('Zgłoszenia'!$E$5:$E$504,$M268)&amp;"",IF($L268="U",INDEX('Dane rozpisek'!$B$2:$B$2600,$M268)&amp;" · "&amp;INDEX('Dane rozpisek'!$J$2:$J$2600,$M268),IF($L268="H","Zmiana","")))</f>
        <v/>
      </c>
      <c r="D268" s="49">
        <f>IF($L268="D",INDEX('Zgłoszenia'!$H$5:$H$504,$M268)&amp;"",IF($L268="U",INDEX('Dane rozpisek'!$E$2:$E$2600,$M268)&amp;"",IF($L268="H","Operator","")))</f>
        <v/>
      </c>
      <c r="E268" s="49">
        <f>IF($L268="D",INDEX('Zgłoszenia'!$I$5:$I$504,$M268)&amp;"",IF($L268="U",INDEX('Dane rozpisek'!$C$2:$C$2600,$M268)&amp;"",IF($L268="H","Stanowisko","")))</f>
        <v/>
      </c>
      <c r="F268" s="48">
        <f>IF($L268="D",INDEX('Zgłoszenia'!$J$5:$J$504,$M268)&amp;"",IF($L268="U",INDEX('Dane rozpisek'!$G$2:$G$2600,$M268)&amp;"",IF($L268="H","Uwagi","")))</f>
        <v/>
      </c>
      <c r="G268" s="49">
        <f>IF($L268="D",INDEX('Zgłoszenia'!$F$5:$F$504,$M268)&amp;"",IF($L268="U",INDEX('Dane rozpisek'!$L$2:$L$2600,$M268)&amp;"",IF($L268="H","Usterki (dzień / następny)","")))</f>
        <v/>
      </c>
      <c r="H268" s="49">
        <f>IF($L268="D",INDEX('Zgłoszenia'!$P$5:$P$504,$M268)&amp;"",IF($L268="U","",""))</f>
        <v/>
      </c>
      <c r="I268" s="48">
        <f>IF($L268="D",IF(INDEX('Zgłoszenia'!$M$5:$M$504,$M268)="","Zgłoszona",INDEX('Zgłoszenia'!$M$5:$M$504,$M268)),IF($L268="U","",""))</f>
        <v/>
      </c>
      <c r="J268" s="49">
        <f>IF($L268="D",INDEX('Zgłoszenia'!$K$5:$K$504,$M268)&amp;"",IF($L268="U","",""))</f>
        <v/>
      </c>
      <c r="K268" s="2" t="n"/>
      <c r="L268" s="2">
        <f>IF((ROW()-12)&lt;=$L$5,IF($L$2=0,"E1","D"),IF((ROW()-12)=$L$5+1,"",IF((ROW()-12)=$L$5+2,"T",IF((ROW()-12)=$L$5+3,IF($L$3=0,"E2","H"),IF((ROW()-12)&lt;=$L$5+3+$L$3,"U","")))))</f>
        <v/>
      </c>
      <c r="M268" s="2">
        <f>IF(L268="D",MATCH(LARGE('Zgłoszenia'!$Q$5:$Q$504,(ROW()-12)),'Zgłoszenia'!$Q$5:$Q$504,0),IF(L268="U",MATCH(LARGE('Dane rozpisek'!$I$2:$I$2600,(ROW()-12)-$L$5-3),'Dane rozpisek'!$I$2:$I$2600,0),""))</f>
        <v/>
      </c>
    </row>
    <row r="269">
      <c r="A269" s="47">
        <f>IF($L269="D",INDEX('Zgłoszenia'!$D$5:$D$504,$M269),IF($L269="U",INDEX('Dane rozpisek'!$A$2:$A$2600,$M269),IF($L269="T","KTO JEŹDZIŁ",IF($L269="E1","Brak zgłoszonych usterek w tym okresie.",IF($L269="E2","Brak wpisów z tym wózkiem w rozpiskach dla tego okresu.",IF($L269="H","Data",""))))))</f>
        <v/>
      </c>
      <c r="B269" s="48">
        <f>IF($L269="D",INDEX('Zgłoszenia'!$B$5:$B$504,$M269)&amp;"",IF($L269="U",INDEX('Dane rozpisek'!$F$2:$F$2600,$M269)&amp;"",IF($L269="H","Wózek","")))</f>
        <v/>
      </c>
      <c r="C269" s="48">
        <f>IF($L269="D",INDEX('Zgłoszenia'!$E$5:$E$504,$M269)&amp;"",IF($L269="U",INDEX('Dane rozpisek'!$B$2:$B$2600,$M269)&amp;" · "&amp;INDEX('Dane rozpisek'!$J$2:$J$2600,$M269),IF($L269="H","Zmiana","")))</f>
        <v/>
      </c>
      <c r="D269" s="49">
        <f>IF($L269="D",INDEX('Zgłoszenia'!$H$5:$H$504,$M269)&amp;"",IF($L269="U",INDEX('Dane rozpisek'!$E$2:$E$2600,$M269)&amp;"",IF($L269="H","Operator","")))</f>
        <v/>
      </c>
      <c r="E269" s="49">
        <f>IF($L269="D",INDEX('Zgłoszenia'!$I$5:$I$504,$M269)&amp;"",IF($L269="U",INDEX('Dane rozpisek'!$C$2:$C$2600,$M269)&amp;"",IF($L269="H","Stanowisko","")))</f>
        <v/>
      </c>
      <c r="F269" s="48">
        <f>IF($L269="D",INDEX('Zgłoszenia'!$J$5:$J$504,$M269)&amp;"",IF($L269="U",INDEX('Dane rozpisek'!$G$2:$G$2600,$M269)&amp;"",IF($L269="H","Uwagi","")))</f>
        <v/>
      </c>
      <c r="G269" s="49">
        <f>IF($L269="D",INDEX('Zgłoszenia'!$F$5:$F$504,$M269)&amp;"",IF($L269="U",INDEX('Dane rozpisek'!$L$2:$L$2600,$M269)&amp;"",IF($L269="H","Usterki (dzień / następny)","")))</f>
        <v/>
      </c>
      <c r="H269" s="49">
        <f>IF($L269="D",INDEX('Zgłoszenia'!$P$5:$P$504,$M269)&amp;"",IF($L269="U","",""))</f>
        <v/>
      </c>
      <c r="I269" s="48">
        <f>IF($L269="D",IF(INDEX('Zgłoszenia'!$M$5:$M$504,$M269)="","Zgłoszona",INDEX('Zgłoszenia'!$M$5:$M$504,$M269)),IF($L269="U","",""))</f>
        <v/>
      </c>
      <c r="J269" s="49">
        <f>IF($L269="D",INDEX('Zgłoszenia'!$K$5:$K$504,$M269)&amp;"",IF($L269="U","",""))</f>
        <v/>
      </c>
      <c r="K269" s="2" t="n"/>
      <c r="L269" s="2">
        <f>IF((ROW()-12)&lt;=$L$5,IF($L$2=0,"E1","D"),IF((ROW()-12)=$L$5+1,"",IF((ROW()-12)=$L$5+2,"T",IF((ROW()-12)=$L$5+3,IF($L$3=0,"E2","H"),IF((ROW()-12)&lt;=$L$5+3+$L$3,"U","")))))</f>
        <v/>
      </c>
      <c r="M269" s="2">
        <f>IF(L269="D",MATCH(LARGE('Zgłoszenia'!$Q$5:$Q$504,(ROW()-12)),'Zgłoszenia'!$Q$5:$Q$504,0),IF(L269="U",MATCH(LARGE('Dane rozpisek'!$I$2:$I$2600,(ROW()-12)-$L$5-3),'Dane rozpisek'!$I$2:$I$2600,0),""))</f>
        <v/>
      </c>
    </row>
    <row r="270">
      <c r="A270" s="47">
        <f>IF($L270="D",INDEX('Zgłoszenia'!$D$5:$D$504,$M270),IF($L270="U",INDEX('Dane rozpisek'!$A$2:$A$2600,$M270),IF($L270="T","KTO JEŹDZIŁ",IF($L270="E1","Brak zgłoszonych usterek w tym okresie.",IF($L270="E2","Brak wpisów z tym wózkiem w rozpiskach dla tego okresu.",IF($L270="H","Data",""))))))</f>
        <v/>
      </c>
      <c r="B270" s="48">
        <f>IF($L270="D",INDEX('Zgłoszenia'!$B$5:$B$504,$M270)&amp;"",IF($L270="U",INDEX('Dane rozpisek'!$F$2:$F$2600,$M270)&amp;"",IF($L270="H","Wózek","")))</f>
        <v/>
      </c>
      <c r="C270" s="48">
        <f>IF($L270="D",INDEX('Zgłoszenia'!$E$5:$E$504,$M270)&amp;"",IF($L270="U",INDEX('Dane rozpisek'!$B$2:$B$2600,$M270)&amp;" · "&amp;INDEX('Dane rozpisek'!$J$2:$J$2600,$M270),IF($L270="H","Zmiana","")))</f>
        <v/>
      </c>
      <c r="D270" s="49">
        <f>IF($L270="D",INDEX('Zgłoszenia'!$H$5:$H$504,$M270)&amp;"",IF($L270="U",INDEX('Dane rozpisek'!$E$2:$E$2600,$M270)&amp;"",IF($L270="H","Operator","")))</f>
        <v/>
      </c>
      <c r="E270" s="49">
        <f>IF($L270="D",INDEX('Zgłoszenia'!$I$5:$I$504,$M270)&amp;"",IF($L270="U",INDEX('Dane rozpisek'!$C$2:$C$2600,$M270)&amp;"",IF($L270="H","Stanowisko","")))</f>
        <v/>
      </c>
      <c r="F270" s="48">
        <f>IF($L270="D",INDEX('Zgłoszenia'!$J$5:$J$504,$M270)&amp;"",IF($L270="U",INDEX('Dane rozpisek'!$G$2:$G$2600,$M270)&amp;"",IF($L270="H","Uwagi","")))</f>
        <v/>
      </c>
      <c r="G270" s="49">
        <f>IF($L270="D",INDEX('Zgłoszenia'!$F$5:$F$504,$M270)&amp;"",IF($L270="U",INDEX('Dane rozpisek'!$L$2:$L$2600,$M270)&amp;"",IF($L270="H","Usterki (dzień / następny)","")))</f>
        <v/>
      </c>
      <c r="H270" s="49">
        <f>IF($L270="D",INDEX('Zgłoszenia'!$P$5:$P$504,$M270)&amp;"",IF($L270="U","",""))</f>
        <v/>
      </c>
      <c r="I270" s="48">
        <f>IF($L270="D",IF(INDEX('Zgłoszenia'!$M$5:$M$504,$M270)="","Zgłoszona",INDEX('Zgłoszenia'!$M$5:$M$504,$M270)),IF($L270="U","",""))</f>
        <v/>
      </c>
      <c r="J270" s="49">
        <f>IF($L270="D",INDEX('Zgłoszenia'!$K$5:$K$504,$M270)&amp;"",IF($L270="U","",""))</f>
        <v/>
      </c>
      <c r="K270" s="2" t="n"/>
      <c r="L270" s="2">
        <f>IF((ROW()-12)&lt;=$L$5,IF($L$2=0,"E1","D"),IF((ROW()-12)=$L$5+1,"",IF((ROW()-12)=$L$5+2,"T",IF((ROW()-12)=$L$5+3,IF($L$3=0,"E2","H"),IF((ROW()-12)&lt;=$L$5+3+$L$3,"U","")))))</f>
        <v/>
      </c>
      <c r="M270" s="2">
        <f>IF(L270="D",MATCH(LARGE('Zgłoszenia'!$Q$5:$Q$504,(ROW()-12)),'Zgłoszenia'!$Q$5:$Q$504,0),IF(L270="U",MATCH(LARGE('Dane rozpisek'!$I$2:$I$2600,(ROW()-12)-$L$5-3),'Dane rozpisek'!$I$2:$I$2600,0),""))</f>
        <v/>
      </c>
    </row>
    <row r="271">
      <c r="A271" s="47">
        <f>IF($L271="D",INDEX('Zgłoszenia'!$D$5:$D$504,$M271),IF($L271="U",INDEX('Dane rozpisek'!$A$2:$A$2600,$M271),IF($L271="T","KTO JEŹDZIŁ",IF($L271="E1","Brak zgłoszonych usterek w tym okresie.",IF($L271="E2","Brak wpisów z tym wózkiem w rozpiskach dla tego okresu.",IF($L271="H","Data",""))))))</f>
        <v/>
      </c>
      <c r="B271" s="48">
        <f>IF($L271="D",INDEX('Zgłoszenia'!$B$5:$B$504,$M271)&amp;"",IF($L271="U",INDEX('Dane rozpisek'!$F$2:$F$2600,$M271)&amp;"",IF($L271="H","Wózek","")))</f>
        <v/>
      </c>
      <c r="C271" s="48">
        <f>IF($L271="D",INDEX('Zgłoszenia'!$E$5:$E$504,$M271)&amp;"",IF($L271="U",INDEX('Dane rozpisek'!$B$2:$B$2600,$M271)&amp;" · "&amp;INDEX('Dane rozpisek'!$J$2:$J$2600,$M271),IF($L271="H","Zmiana","")))</f>
        <v/>
      </c>
      <c r="D271" s="49">
        <f>IF($L271="D",INDEX('Zgłoszenia'!$H$5:$H$504,$M271)&amp;"",IF($L271="U",INDEX('Dane rozpisek'!$E$2:$E$2600,$M271)&amp;"",IF($L271="H","Operator","")))</f>
        <v/>
      </c>
      <c r="E271" s="49">
        <f>IF($L271="D",INDEX('Zgłoszenia'!$I$5:$I$504,$M271)&amp;"",IF($L271="U",INDEX('Dane rozpisek'!$C$2:$C$2600,$M271)&amp;"",IF($L271="H","Stanowisko","")))</f>
        <v/>
      </c>
      <c r="F271" s="48">
        <f>IF($L271="D",INDEX('Zgłoszenia'!$J$5:$J$504,$M271)&amp;"",IF($L271="U",INDEX('Dane rozpisek'!$G$2:$G$2600,$M271)&amp;"",IF($L271="H","Uwagi","")))</f>
        <v/>
      </c>
      <c r="G271" s="49">
        <f>IF($L271="D",INDEX('Zgłoszenia'!$F$5:$F$504,$M271)&amp;"",IF($L271="U",INDEX('Dane rozpisek'!$L$2:$L$2600,$M271)&amp;"",IF($L271="H","Usterki (dzień / następny)","")))</f>
        <v/>
      </c>
      <c r="H271" s="49">
        <f>IF($L271="D",INDEX('Zgłoszenia'!$P$5:$P$504,$M271)&amp;"",IF($L271="U","",""))</f>
        <v/>
      </c>
      <c r="I271" s="48">
        <f>IF($L271="D",IF(INDEX('Zgłoszenia'!$M$5:$M$504,$M271)="","Zgłoszona",INDEX('Zgłoszenia'!$M$5:$M$504,$M271)),IF($L271="U","",""))</f>
        <v/>
      </c>
      <c r="J271" s="49">
        <f>IF($L271="D",INDEX('Zgłoszenia'!$K$5:$K$504,$M271)&amp;"",IF($L271="U","",""))</f>
        <v/>
      </c>
      <c r="K271" s="2" t="n"/>
      <c r="L271" s="2">
        <f>IF((ROW()-12)&lt;=$L$5,IF($L$2=0,"E1","D"),IF((ROW()-12)=$L$5+1,"",IF((ROW()-12)=$L$5+2,"T",IF((ROW()-12)=$L$5+3,IF($L$3=0,"E2","H"),IF((ROW()-12)&lt;=$L$5+3+$L$3,"U","")))))</f>
        <v/>
      </c>
      <c r="M271" s="2">
        <f>IF(L271="D",MATCH(LARGE('Zgłoszenia'!$Q$5:$Q$504,(ROW()-12)),'Zgłoszenia'!$Q$5:$Q$504,0),IF(L271="U",MATCH(LARGE('Dane rozpisek'!$I$2:$I$2600,(ROW()-12)-$L$5-3),'Dane rozpisek'!$I$2:$I$2600,0),""))</f>
        <v/>
      </c>
    </row>
    <row r="272">
      <c r="A272" s="47">
        <f>IF($L272="D",INDEX('Zgłoszenia'!$D$5:$D$504,$M272),IF($L272="U",INDEX('Dane rozpisek'!$A$2:$A$2600,$M272),IF($L272="T","KTO JEŹDZIŁ",IF($L272="E1","Brak zgłoszonych usterek w tym okresie.",IF($L272="E2","Brak wpisów z tym wózkiem w rozpiskach dla tego okresu.",IF($L272="H","Data",""))))))</f>
        <v/>
      </c>
      <c r="B272" s="48">
        <f>IF($L272="D",INDEX('Zgłoszenia'!$B$5:$B$504,$M272)&amp;"",IF($L272="U",INDEX('Dane rozpisek'!$F$2:$F$2600,$M272)&amp;"",IF($L272="H","Wózek","")))</f>
        <v/>
      </c>
      <c r="C272" s="48">
        <f>IF($L272="D",INDEX('Zgłoszenia'!$E$5:$E$504,$M272)&amp;"",IF($L272="U",INDEX('Dane rozpisek'!$B$2:$B$2600,$M272)&amp;" · "&amp;INDEX('Dane rozpisek'!$J$2:$J$2600,$M272),IF($L272="H","Zmiana","")))</f>
        <v/>
      </c>
      <c r="D272" s="49">
        <f>IF($L272="D",INDEX('Zgłoszenia'!$H$5:$H$504,$M272)&amp;"",IF($L272="U",INDEX('Dane rozpisek'!$E$2:$E$2600,$M272)&amp;"",IF($L272="H","Operator","")))</f>
        <v/>
      </c>
      <c r="E272" s="49">
        <f>IF($L272="D",INDEX('Zgłoszenia'!$I$5:$I$504,$M272)&amp;"",IF($L272="U",INDEX('Dane rozpisek'!$C$2:$C$2600,$M272)&amp;"",IF($L272="H","Stanowisko","")))</f>
        <v/>
      </c>
      <c r="F272" s="48">
        <f>IF($L272="D",INDEX('Zgłoszenia'!$J$5:$J$504,$M272)&amp;"",IF($L272="U",INDEX('Dane rozpisek'!$G$2:$G$2600,$M272)&amp;"",IF($L272="H","Uwagi","")))</f>
        <v/>
      </c>
      <c r="G272" s="49">
        <f>IF($L272="D",INDEX('Zgłoszenia'!$F$5:$F$504,$M272)&amp;"",IF($L272="U",INDEX('Dane rozpisek'!$L$2:$L$2600,$M272)&amp;"",IF($L272="H","Usterki (dzień / następny)","")))</f>
        <v/>
      </c>
      <c r="H272" s="49">
        <f>IF($L272="D",INDEX('Zgłoszenia'!$P$5:$P$504,$M272)&amp;"",IF($L272="U","",""))</f>
        <v/>
      </c>
      <c r="I272" s="48">
        <f>IF($L272="D",IF(INDEX('Zgłoszenia'!$M$5:$M$504,$M272)="","Zgłoszona",INDEX('Zgłoszenia'!$M$5:$M$504,$M272)),IF($L272="U","",""))</f>
        <v/>
      </c>
      <c r="J272" s="49">
        <f>IF($L272="D",INDEX('Zgłoszenia'!$K$5:$K$504,$M272)&amp;"",IF($L272="U","",""))</f>
        <v/>
      </c>
      <c r="K272" s="2" t="n"/>
      <c r="L272" s="2">
        <f>IF((ROW()-12)&lt;=$L$5,IF($L$2=0,"E1","D"),IF((ROW()-12)=$L$5+1,"",IF((ROW()-12)=$L$5+2,"T",IF((ROW()-12)=$L$5+3,IF($L$3=0,"E2","H"),IF((ROW()-12)&lt;=$L$5+3+$L$3,"U","")))))</f>
        <v/>
      </c>
      <c r="M272" s="2">
        <f>IF(L272="D",MATCH(LARGE('Zgłoszenia'!$Q$5:$Q$504,(ROW()-12)),'Zgłoszenia'!$Q$5:$Q$504,0),IF(L272="U",MATCH(LARGE('Dane rozpisek'!$I$2:$I$2600,(ROW()-12)-$L$5-3),'Dane rozpisek'!$I$2:$I$2600,0),""))</f>
        <v/>
      </c>
    </row>
    <row r="273">
      <c r="A273" s="47">
        <f>IF($L273="D",INDEX('Zgłoszenia'!$D$5:$D$504,$M273),IF($L273="U",INDEX('Dane rozpisek'!$A$2:$A$2600,$M273),IF($L273="T","KTO JEŹDZIŁ",IF($L273="E1","Brak zgłoszonych usterek w tym okresie.",IF($L273="E2","Brak wpisów z tym wózkiem w rozpiskach dla tego okresu.",IF($L273="H","Data",""))))))</f>
        <v/>
      </c>
      <c r="B273" s="48">
        <f>IF($L273="D",INDEX('Zgłoszenia'!$B$5:$B$504,$M273)&amp;"",IF($L273="U",INDEX('Dane rozpisek'!$F$2:$F$2600,$M273)&amp;"",IF($L273="H","Wózek","")))</f>
        <v/>
      </c>
      <c r="C273" s="48">
        <f>IF($L273="D",INDEX('Zgłoszenia'!$E$5:$E$504,$M273)&amp;"",IF($L273="U",INDEX('Dane rozpisek'!$B$2:$B$2600,$M273)&amp;" · "&amp;INDEX('Dane rozpisek'!$J$2:$J$2600,$M273),IF($L273="H","Zmiana","")))</f>
        <v/>
      </c>
      <c r="D273" s="49">
        <f>IF($L273="D",INDEX('Zgłoszenia'!$H$5:$H$504,$M273)&amp;"",IF($L273="U",INDEX('Dane rozpisek'!$E$2:$E$2600,$M273)&amp;"",IF($L273="H","Operator","")))</f>
        <v/>
      </c>
      <c r="E273" s="49">
        <f>IF($L273="D",INDEX('Zgłoszenia'!$I$5:$I$504,$M273)&amp;"",IF($L273="U",INDEX('Dane rozpisek'!$C$2:$C$2600,$M273)&amp;"",IF($L273="H","Stanowisko","")))</f>
        <v/>
      </c>
      <c r="F273" s="48">
        <f>IF($L273="D",INDEX('Zgłoszenia'!$J$5:$J$504,$M273)&amp;"",IF($L273="U",INDEX('Dane rozpisek'!$G$2:$G$2600,$M273)&amp;"",IF($L273="H","Uwagi","")))</f>
        <v/>
      </c>
      <c r="G273" s="49">
        <f>IF($L273="D",INDEX('Zgłoszenia'!$F$5:$F$504,$M273)&amp;"",IF($L273="U",INDEX('Dane rozpisek'!$L$2:$L$2600,$M273)&amp;"",IF($L273="H","Usterki (dzień / następny)","")))</f>
        <v/>
      </c>
      <c r="H273" s="49">
        <f>IF($L273="D",INDEX('Zgłoszenia'!$P$5:$P$504,$M273)&amp;"",IF($L273="U","",""))</f>
        <v/>
      </c>
      <c r="I273" s="48">
        <f>IF($L273="D",IF(INDEX('Zgłoszenia'!$M$5:$M$504,$M273)="","Zgłoszona",INDEX('Zgłoszenia'!$M$5:$M$504,$M273)),IF($L273="U","",""))</f>
        <v/>
      </c>
      <c r="J273" s="49">
        <f>IF($L273="D",INDEX('Zgłoszenia'!$K$5:$K$504,$M273)&amp;"",IF($L273="U","",""))</f>
        <v/>
      </c>
      <c r="K273" s="2" t="n"/>
      <c r="L273" s="2">
        <f>IF((ROW()-12)&lt;=$L$5,IF($L$2=0,"E1","D"),IF((ROW()-12)=$L$5+1,"",IF((ROW()-12)=$L$5+2,"T",IF((ROW()-12)=$L$5+3,IF($L$3=0,"E2","H"),IF((ROW()-12)&lt;=$L$5+3+$L$3,"U","")))))</f>
        <v/>
      </c>
      <c r="M273" s="2">
        <f>IF(L273="D",MATCH(LARGE('Zgłoszenia'!$Q$5:$Q$504,(ROW()-12)),'Zgłoszenia'!$Q$5:$Q$504,0),IF(L273="U",MATCH(LARGE('Dane rozpisek'!$I$2:$I$2600,(ROW()-12)-$L$5-3),'Dane rozpisek'!$I$2:$I$2600,0),""))</f>
        <v/>
      </c>
    </row>
    <row r="274">
      <c r="A274" s="47">
        <f>IF($L274="D",INDEX('Zgłoszenia'!$D$5:$D$504,$M274),IF($L274="U",INDEX('Dane rozpisek'!$A$2:$A$2600,$M274),IF($L274="T","KTO JEŹDZIŁ",IF($L274="E1","Brak zgłoszonych usterek w tym okresie.",IF($L274="E2","Brak wpisów z tym wózkiem w rozpiskach dla tego okresu.",IF($L274="H","Data",""))))))</f>
        <v/>
      </c>
      <c r="B274" s="48">
        <f>IF($L274="D",INDEX('Zgłoszenia'!$B$5:$B$504,$M274)&amp;"",IF($L274="U",INDEX('Dane rozpisek'!$F$2:$F$2600,$M274)&amp;"",IF($L274="H","Wózek","")))</f>
        <v/>
      </c>
      <c r="C274" s="48">
        <f>IF($L274="D",INDEX('Zgłoszenia'!$E$5:$E$504,$M274)&amp;"",IF($L274="U",INDEX('Dane rozpisek'!$B$2:$B$2600,$M274)&amp;" · "&amp;INDEX('Dane rozpisek'!$J$2:$J$2600,$M274),IF($L274="H","Zmiana","")))</f>
        <v/>
      </c>
      <c r="D274" s="49">
        <f>IF($L274="D",INDEX('Zgłoszenia'!$H$5:$H$504,$M274)&amp;"",IF($L274="U",INDEX('Dane rozpisek'!$E$2:$E$2600,$M274)&amp;"",IF($L274="H","Operator","")))</f>
        <v/>
      </c>
      <c r="E274" s="49">
        <f>IF($L274="D",INDEX('Zgłoszenia'!$I$5:$I$504,$M274)&amp;"",IF($L274="U",INDEX('Dane rozpisek'!$C$2:$C$2600,$M274)&amp;"",IF($L274="H","Stanowisko","")))</f>
        <v/>
      </c>
      <c r="F274" s="48">
        <f>IF($L274="D",INDEX('Zgłoszenia'!$J$5:$J$504,$M274)&amp;"",IF($L274="U",INDEX('Dane rozpisek'!$G$2:$G$2600,$M274)&amp;"",IF($L274="H","Uwagi","")))</f>
        <v/>
      </c>
      <c r="G274" s="49">
        <f>IF($L274="D",INDEX('Zgłoszenia'!$F$5:$F$504,$M274)&amp;"",IF($L274="U",INDEX('Dane rozpisek'!$L$2:$L$2600,$M274)&amp;"",IF($L274="H","Usterki (dzień / następny)","")))</f>
        <v/>
      </c>
      <c r="H274" s="49">
        <f>IF($L274="D",INDEX('Zgłoszenia'!$P$5:$P$504,$M274)&amp;"",IF($L274="U","",""))</f>
        <v/>
      </c>
      <c r="I274" s="48">
        <f>IF($L274="D",IF(INDEX('Zgłoszenia'!$M$5:$M$504,$M274)="","Zgłoszona",INDEX('Zgłoszenia'!$M$5:$M$504,$M274)),IF($L274="U","",""))</f>
        <v/>
      </c>
      <c r="J274" s="49">
        <f>IF($L274="D",INDEX('Zgłoszenia'!$K$5:$K$504,$M274)&amp;"",IF($L274="U","",""))</f>
        <v/>
      </c>
      <c r="K274" s="2" t="n"/>
      <c r="L274" s="2">
        <f>IF((ROW()-12)&lt;=$L$5,IF($L$2=0,"E1","D"),IF((ROW()-12)=$L$5+1,"",IF((ROW()-12)=$L$5+2,"T",IF((ROW()-12)=$L$5+3,IF($L$3=0,"E2","H"),IF((ROW()-12)&lt;=$L$5+3+$L$3,"U","")))))</f>
        <v/>
      </c>
      <c r="M274" s="2">
        <f>IF(L274="D",MATCH(LARGE('Zgłoszenia'!$Q$5:$Q$504,(ROW()-12)),'Zgłoszenia'!$Q$5:$Q$504,0),IF(L274="U",MATCH(LARGE('Dane rozpisek'!$I$2:$I$2600,(ROW()-12)-$L$5-3),'Dane rozpisek'!$I$2:$I$2600,0),""))</f>
        <v/>
      </c>
    </row>
    <row r="275">
      <c r="A275" s="47">
        <f>IF($L275="D",INDEX('Zgłoszenia'!$D$5:$D$504,$M275),IF($L275="U",INDEX('Dane rozpisek'!$A$2:$A$2600,$M275),IF($L275="T","KTO JEŹDZIŁ",IF($L275="E1","Brak zgłoszonych usterek w tym okresie.",IF($L275="E2","Brak wpisów z tym wózkiem w rozpiskach dla tego okresu.",IF($L275="H","Data",""))))))</f>
        <v/>
      </c>
      <c r="B275" s="48">
        <f>IF($L275="D",INDEX('Zgłoszenia'!$B$5:$B$504,$M275)&amp;"",IF($L275="U",INDEX('Dane rozpisek'!$F$2:$F$2600,$M275)&amp;"",IF($L275="H","Wózek","")))</f>
        <v/>
      </c>
      <c r="C275" s="48">
        <f>IF($L275="D",INDEX('Zgłoszenia'!$E$5:$E$504,$M275)&amp;"",IF($L275="U",INDEX('Dane rozpisek'!$B$2:$B$2600,$M275)&amp;" · "&amp;INDEX('Dane rozpisek'!$J$2:$J$2600,$M275),IF($L275="H","Zmiana","")))</f>
        <v/>
      </c>
      <c r="D275" s="49">
        <f>IF($L275="D",INDEX('Zgłoszenia'!$H$5:$H$504,$M275)&amp;"",IF($L275="U",INDEX('Dane rozpisek'!$E$2:$E$2600,$M275)&amp;"",IF($L275="H","Operator","")))</f>
        <v/>
      </c>
      <c r="E275" s="49">
        <f>IF($L275="D",INDEX('Zgłoszenia'!$I$5:$I$504,$M275)&amp;"",IF($L275="U",INDEX('Dane rozpisek'!$C$2:$C$2600,$M275)&amp;"",IF($L275="H","Stanowisko","")))</f>
        <v/>
      </c>
      <c r="F275" s="48">
        <f>IF($L275="D",INDEX('Zgłoszenia'!$J$5:$J$504,$M275)&amp;"",IF($L275="U",INDEX('Dane rozpisek'!$G$2:$G$2600,$M275)&amp;"",IF($L275="H","Uwagi","")))</f>
        <v/>
      </c>
      <c r="G275" s="49">
        <f>IF($L275="D",INDEX('Zgłoszenia'!$F$5:$F$504,$M275)&amp;"",IF($L275="U",INDEX('Dane rozpisek'!$L$2:$L$2600,$M275)&amp;"",IF($L275="H","Usterki (dzień / następny)","")))</f>
        <v/>
      </c>
      <c r="H275" s="49">
        <f>IF($L275="D",INDEX('Zgłoszenia'!$P$5:$P$504,$M275)&amp;"",IF($L275="U","",""))</f>
        <v/>
      </c>
      <c r="I275" s="48">
        <f>IF($L275="D",IF(INDEX('Zgłoszenia'!$M$5:$M$504,$M275)="","Zgłoszona",INDEX('Zgłoszenia'!$M$5:$M$504,$M275)),IF($L275="U","",""))</f>
        <v/>
      </c>
      <c r="J275" s="49">
        <f>IF($L275="D",INDEX('Zgłoszenia'!$K$5:$K$504,$M275)&amp;"",IF($L275="U","",""))</f>
        <v/>
      </c>
      <c r="K275" s="2" t="n"/>
      <c r="L275" s="2">
        <f>IF((ROW()-12)&lt;=$L$5,IF($L$2=0,"E1","D"),IF((ROW()-12)=$L$5+1,"",IF((ROW()-12)=$L$5+2,"T",IF((ROW()-12)=$L$5+3,IF($L$3=0,"E2","H"),IF((ROW()-12)&lt;=$L$5+3+$L$3,"U","")))))</f>
        <v/>
      </c>
      <c r="M275" s="2">
        <f>IF(L275="D",MATCH(LARGE('Zgłoszenia'!$Q$5:$Q$504,(ROW()-12)),'Zgłoszenia'!$Q$5:$Q$504,0),IF(L275="U",MATCH(LARGE('Dane rozpisek'!$I$2:$I$2600,(ROW()-12)-$L$5-3),'Dane rozpisek'!$I$2:$I$2600,0),""))</f>
        <v/>
      </c>
    </row>
    <row r="276">
      <c r="A276" s="47">
        <f>IF($L276="D",INDEX('Zgłoszenia'!$D$5:$D$504,$M276),IF($L276="U",INDEX('Dane rozpisek'!$A$2:$A$2600,$M276),IF($L276="T","KTO JEŹDZIŁ",IF($L276="E1","Brak zgłoszonych usterek w tym okresie.",IF($L276="E2","Brak wpisów z tym wózkiem w rozpiskach dla tego okresu.",IF($L276="H","Data",""))))))</f>
        <v/>
      </c>
      <c r="B276" s="48">
        <f>IF($L276="D",INDEX('Zgłoszenia'!$B$5:$B$504,$M276)&amp;"",IF($L276="U",INDEX('Dane rozpisek'!$F$2:$F$2600,$M276)&amp;"",IF($L276="H","Wózek","")))</f>
        <v/>
      </c>
      <c r="C276" s="48">
        <f>IF($L276="D",INDEX('Zgłoszenia'!$E$5:$E$504,$M276)&amp;"",IF($L276="U",INDEX('Dane rozpisek'!$B$2:$B$2600,$M276)&amp;" · "&amp;INDEX('Dane rozpisek'!$J$2:$J$2600,$M276),IF($L276="H","Zmiana","")))</f>
        <v/>
      </c>
      <c r="D276" s="49">
        <f>IF($L276="D",INDEX('Zgłoszenia'!$H$5:$H$504,$M276)&amp;"",IF($L276="U",INDEX('Dane rozpisek'!$E$2:$E$2600,$M276)&amp;"",IF($L276="H","Operator","")))</f>
        <v/>
      </c>
      <c r="E276" s="49">
        <f>IF($L276="D",INDEX('Zgłoszenia'!$I$5:$I$504,$M276)&amp;"",IF($L276="U",INDEX('Dane rozpisek'!$C$2:$C$2600,$M276)&amp;"",IF($L276="H","Stanowisko","")))</f>
        <v/>
      </c>
      <c r="F276" s="48">
        <f>IF($L276="D",INDEX('Zgłoszenia'!$J$5:$J$504,$M276)&amp;"",IF($L276="U",INDEX('Dane rozpisek'!$G$2:$G$2600,$M276)&amp;"",IF($L276="H","Uwagi","")))</f>
        <v/>
      </c>
      <c r="G276" s="49">
        <f>IF($L276="D",INDEX('Zgłoszenia'!$F$5:$F$504,$M276)&amp;"",IF($L276="U",INDEX('Dane rozpisek'!$L$2:$L$2600,$M276)&amp;"",IF($L276="H","Usterki (dzień / następny)","")))</f>
        <v/>
      </c>
      <c r="H276" s="49">
        <f>IF($L276="D",INDEX('Zgłoszenia'!$P$5:$P$504,$M276)&amp;"",IF($L276="U","",""))</f>
        <v/>
      </c>
      <c r="I276" s="48">
        <f>IF($L276="D",IF(INDEX('Zgłoszenia'!$M$5:$M$504,$M276)="","Zgłoszona",INDEX('Zgłoszenia'!$M$5:$M$504,$M276)),IF($L276="U","",""))</f>
        <v/>
      </c>
      <c r="J276" s="49">
        <f>IF($L276="D",INDEX('Zgłoszenia'!$K$5:$K$504,$M276)&amp;"",IF($L276="U","",""))</f>
        <v/>
      </c>
      <c r="K276" s="2" t="n"/>
      <c r="L276" s="2">
        <f>IF((ROW()-12)&lt;=$L$5,IF($L$2=0,"E1","D"),IF((ROW()-12)=$L$5+1,"",IF((ROW()-12)=$L$5+2,"T",IF((ROW()-12)=$L$5+3,IF($L$3=0,"E2","H"),IF((ROW()-12)&lt;=$L$5+3+$L$3,"U","")))))</f>
        <v/>
      </c>
      <c r="M276" s="2">
        <f>IF(L276="D",MATCH(LARGE('Zgłoszenia'!$Q$5:$Q$504,(ROW()-12)),'Zgłoszenia'!$Q$5:$Q$504,0),IF(L276="U",MATCH(LARGE('Dane rozpisek'!$I$2:$I$2600,(ROW()-12)-$L$5-3),'Dane rozpisek'!$I$2:$I$2600,0),""))</f>
        <v/>
      </c>
    </row>
    <row r="277">
      <c r="A277" s="47">
        <f>IF($L277="D",INDEX('Zgłoszenia'!$D$5:$D$504,$M277),IF($L277="U",INDEX('Dane rozpisek'!$A$2:$A$2600,$M277),IF($L277="T","KTO JEŹDZIŁ",IF($L277="E1","Brak zgłoszonych usterek w tym okresie.",IF($L277="E2","Brak wpisów z tym wózkiem w rozpiskach dla tego okresu.",IF($L277="H","Data",""))))))</f>
        <v/>
      </c>
      <c r="B277" s="48">
        <f>IF($L277="D",INDEX('Zgłoszenia'!$B$5:$B$504,$M277)&amp;"",IF($L277="U",INDEX('Dane rozpisek'!$F$2:$F$2600,$M277)&amp;"",IF($L277="H","Wózek","")))</f>
        <v/>
      </c>
      <c r="C277" s="48">
        <f>IF($L277="D",INDEX('Zgłoszenia'!$E$5:$E$504,$M277)&amp;"",IF($L277="U",INDEX('Dane rozpisek'!$B$2:$B$2600,$M277)&amp;" · "&amp;INDEX('Dane rozpisek'!$J$2:$J$2600,$M277),IF($L277="H","Zmiana","")))</f>
        <v/>
      </c>
      <c r="D277" s="49">
        <f>IF($L277="D",INDEX('Zgłoszenia'!$H$5:$H$504,$M277)&amp;"",IF($L277="U",INDEX('Dane rozpisek'!$E$2:$E$2600,$M277)&amp;"",IF($L277="H","Operator","")))</f>
        <v/>
      </c>
      <c r="E277" s="49">
        <f>IF($L277="D",INDEX('Zgłoszenia'!$I$5:$I$504,$M277)&amp;"",IF($L277="U",INDEX('Dane rozpisek'!$C$2:$C$2600,$M277)&amp;"",IF($L277="H","Stanowisko","")))</f>
        <v/>
      </c>
      <c r="F277" s="48">
        <f>IF($L277="D",INDEX('Zgłoszenia'!$J$5:$J$504,$M277)&amp;"",IF($L277="U",INDEX('Dane rozpisek'!$G$2:$G$2600,$M277)&amp;"",IF($L277="H","Uwagi","")))</f>
        <v/>
      </c>
      <c r="G277" s="49">
        <f>IF($L277="D",INDEX('Zgłoszenia'!$F$5:$F$504,$M277)&amp;"",IF($L277="U",INDEX('Dane rozpisek'!$L$2:$L$2600,$M277)&amp;"",IF($L277="H","Usterki (dzień / następny)","")))</f>
        <v/>
      </c>
      <c r="H277" s="49">
        <f>IF($L277="D",INDEX('Zgłoszenia'!$P$5:$P$504,$M277)&amp;"",IF($L277="U","",""))</f>
        <v/>
      </c>
      <c r="I277" s="48">
        <f>IF($L277="D",IF(INDEX('Zgłoszenia'!$M$5:$M$504,$M277)="","Zgłoszona",INDEX('Zgłoszenia'!$M$5:$M$504,$M277)),IF($L277="U","",""))</f>
        <v/>
      </c>
      <c r="J277" s="49">
        <f>IF($L277="D",INDEX('Zgłoszenia'!$K$5:$K$504,$M277)&amp;"",IF($L277="U","",""))</f>
        <v/>
      </c>
      <c r="K277" s="2" t="n"/>
      <c r="L277" s="2">
        <f>IF((ROW()-12)&lt;=$L$5,IF($L$2=0,"E1","D"),IF((ROW()-12)=$L$5+1,"",IF((ROW()-12)=$L$5+2,"T",IF((ROW()-12)=$L$5+3,IF($L$3=0,"E2","H"),IF((ROW()-12)&lt;=$L$5+3+$L$3,"U","")))))</f>
        <v/>
      </c>
      <c r="M277" s="2">
        <f>IF(L277="D",MATCH(LARGE('Zgłoszenia'!$Q$5:$Q$504,(ROW()-12)),'Zgłoszenia'!$Q$5:$Q$504,0),IF(L277="U",MATCH(LARGE('Dane rozpisek'!$I$2:$I$2600,(ROW()-12)-$L$5-3),'Dane rozpisek'!$I$2:$I$2600,0),""))</f>
        <v/>
      </c>
    </row>
    <row r="278">
      <c r="A278" s="47">
        <f>IF($L278="D",INDEX('Zgłoszenia'!$D$5:$D$504,$M278),IF($L278="U",INDEX('Dane rozpisek'!$A$2:$A$2600,$M278),IF($L278="T","KTO JEŹDZIŁ",IF($L278="E1","Brak zgłoszonych usterek w tym okresie.",IF($L278="E2","Brak wpisów z tym wózkiem w rozpiskach dla tego okresu.",IF($L278="H","Data",""))))))</f>
        <v/>
      </c>
      <c r="B278" s="48">
        <f>IF($L278="D",INDEX('Zgłoszenia'!$B$5:$B$504,$M278)&amp;"",IF($L278="U",INDEX('Dane rozpisek'!$F$2:$F$2600,$M278)&amp;"",IF($L278="H","Wózek","")))</f>
        <v/>
      </c>
      <c r="C278" s="48">
        <f>IF($L278="D",INDEX('Zgłoszenia'!$E$5:$E$504,$M278)&amp;"",IF($L278="U",INDEX('Dane rozpisek'!$B$2:$B$2600,$M278)&amp;" · "&amp;INDEX('Dane rozpisek'!$J$2:$J$2600,$M278),IF($L278="H","Zmiana","")))</f>
        <v/>
      </c>
      <c r="D278" s="49">
        <f>IF($L278="D",INDEX('Zgłoszenia'!$H$5:$H$504,$M278)&amp;"",IF($L278="U",INDEX('Dane rozpisek'!$E$2:$E$2600,$M278)&amp;"",IF($L278="H","Operator","")))</f>
        <v/>
      </c>
      <c r="E278" s="49">
        <f>IF($L278="D",INDEX('Zgłoszenia'!$I$5:$I$504,$M278)&amp;"",IF($L278="U",INDEX('Dane rozpisek'!$C$2:$C$2600,$M278)&amp;"",IF($L278="H","Stanowisko","")))</f>
        <v/>
      </c>
      <c r="F278" s="48">
        <f>IF($L278="D",INDEX('Zgłoszenia'!$J$5:$J$504,$M278)&amp;"",IF($L278="U",INDEX('Dane rozpisek'!$G$2:$G$2600,$M278)&amp;"",IF($L278="H","Uwagi","")))</f>
        <v/>
      </c>
      <c r="G278" s="49">
        <f>IF($L278="D",INDEX('Zgłoszenia'!$F$5:$F$504,$M278)&amp;"",IF($L278="U",INDEX('Dane rozpisek'!$L$2:$L$2600,$M278)&amp;"",IF($L278="H","Usterki (dzień / następny)","")))</f>
        <v/>
      </c>
      <c r="H278" s="49">
        <f>IF($L278="D",INDEX('Zgłoszenia'!$P$5:$P$504,$M278)&amp;"",IF($L278="U","",""))</f>
        <v/>
      </c>
      <c r="I278" s="48">
        <f>IF($L278="D",IF(INDEX('Zgłoszenia'!$M$5:$M$504,$M278)="","Zgłoszona",INDEX('Zgłoszenia'!$M$5:$M$504,$M278)),IF($L278="U","",""))</f>
        <v/>
      </c>
      <c r="J278" s="49">
        <f>IF($L278="D",INDEX('Zgłoszenia'!$K$5:$K$504,$M278)&amp;"",IF($L278="U","",""))</f>
        <v/>
      </c>
      <c r="K278" s="2" t="n"/>
      <c r="L278" s="2">
        <f>IF((ROW()-12)&lt;=$L$5,IF($L$2=0,"E1","D"),IF((ROW()-12)=$L$5+1,"",IF((ROW()-12)=$L$5+2,"T",IF((ROW()-12)=$L$5+3,IF($L$3=0,"E2","H"),IF((ROW()-12)&lt;=$L$5+3+$L$3,"U","")))))</f>
        <v/>
      </c>
      <c r="M278" s="2">
        <f>IF(L278="D",MATCH(LARGE('Zgłoszenia'!$Q$5:$Q$504,(ROW()-12)),'Zgłoszenia'!$Q$5:$Q$504,0),IF(L278="U",MATCH(LARGE('Dane rozpisek'!$I$2:$I$2600,(ROW()-12)-$L$5-3),'Dane rozpisek'!$I$2:$I$2600,0),""))</f>
        <v/>
      </c>
    </row>
    <row r="279">
      <c r="A279" s="47">
        <f>IF($L279="D",INDEX('Zgłoszenia'!$D$5:$D$504,$M279),IF($L279="U",INDEX('Dane rozpisek'!$A$2:$A$2600,$M279),IF($L279="T","KTO JEŹDZIŁ",IF($L279="E1","Brak zgłoszonych usterek w tym okresie.",IF($L279="E2","Brak wpisów z tym wózkiem w rozpiskach dla tego okresu.",IF($L279="H","Data",""))))))</f>
        <v/>
      </c>
      <c r="B279" s="48">
        <f>IF($L279="D",INDEX('Zgłoszenia'!$B$5:$B$504,$M279)&amp;"",IF($L279="U",INDEX('Dane rozpisek'!$F$2:$F$2600,$M279)&amp;"",IF($L279="H","Wózek","")))</f>
        <v/>
      </c>
      <c r="C279" s="48">
        <f>IF($L279="D",INDEX('Zgłoszenia'!$E$5:$E$504,$M279)&amp;"",IF($L279="U",INDEX('Dane rozpisek'!$B$2:$B$2600,$M279)&amp;" · "&amp;INDEX('Dane rozpisek'!$J$2:$J$2600,$M279),IF($L279="H","Zmiana","")))</f>
        <v/>
      </c>
      <c r="D279" s="49">
        <f>IF($L279="D",INDEX('Zgłoszenia'!$H$5:$H$504,$M279)&amp;"",IF($L279="U",INDEX('Dane rozpisek'!$E$2:$E$2600,$M279)&amp;"",IF($L279="H","Operator","")))</f>
        <v/>
      </c>
      <c r="E279" s="49">
        <f>IF($L279="D",INDEX('Zgłoszenia'!$I$5:$I$504,$M279)&amp;"",IF($L279="U",INDEX('Dane rozpisek'!$C$2:$C$2600,$M279)&amp;"",IF($L279="H","Stanowisko","")))</f>
        <v/>
      </c>
      <c r="F279" s="48">
        <f>IF($L279="D",INDEX('Zgłoszenia'!$J$5:$J$504,$M279)&amp;"",IF($L279="U",INDEX('Dane rozpisek'!$G$2:$G$2600,$M279)&amp;"",IF($L279="H","Uwagi","")))</f>
        <v/>
      </c>
      <c r="G279" s="49">
        <f>IF($L279="D",INDEX('Zgłoszenia'!$F$5:$F$504,$M279)&amp;"",IF($L279="U",INDEX('Dane rozpisek'!$L$2:$L$2600,$M279)&amp;"",IF($L279="H","Usterki (dzień / następny)","")))</f>
        <v/>
      </c>
      <c r="H279" s="49">
        <f>IF($L279="D",INDEX('Zgłoszenia'!$P$5:$P$504,$M279)&amp;"",IF($L279="U","",""))</f>
        <v/>
      </c>
      <c r="I279" s="48">
        <f>IF($L279="D",IF(INDEX('Zgłoszenia'!$M$5:$M$504,$M279)="","Zgłoszona",INDEX('Zgłoszenia'!$M$5:$M$504,$M279)),IF($L279="U","",""))</f>
        <v/>
      </c>
      <c r="J279" s="49">
        <f>IF($L279="D",INDEX('Zgłoszenia'!$K$5:$K$504,$M279)&amp;"",IF($L279="U","",""))</f>
        <v/>
      </c>
      <c r="K279" s="2" t="n"/>
      <c r="L279" s="2">
        <f>IF((ROW()-12)&lt;=$L$5,IF($L$2=0,"E1","D"),IF((ROW()-12)=$L$5+1,"",IF((ROW()-12)=$L$5+2,"T",IF((ROW()-12)=$L$5+3,IF($L$3=0,"E2","H"),IF((ROW()-12)&lt;=$L$5+3+$L$3,"U","")))))</f>
        <v/>
      </c>
      <c r="M279" s="2">
        <f>IF(L279="D",MATCH(LARGE('Zgłoszenia'!$Q$5:$Q$504,(ROW()-12)),'Zgłoszenia'!$Q$5:$Q$504,0),IF(L279="U",MATCH(LARGE('Dane rozpisek'!$I$2:$I$2600,(ROW()-12)-$L$5-3),'Dane rozpisek'!$I$2:$I$2600,0),""))</f>
        <v/>
      </c>
    </row>
    <row r="280">
      <c r="A280" s="47">
        <f>IF($L280="D",INDEX('Zgłoszenia'!$D$5:$D$504,$M280),IF($L280="U",INDEX('Dane rozpisek'!$A$2:$A$2600,$M280),IF($L280="T","KTO JEŹDZIŁ",IF($L280="E1","Brak zgłoszonych usterek w tym okresie.",IF($L280="E2","Brak wpisów z tym wózkiem w rozpiskach dla tego okresu.",IF($L280="H","Data",""))))))</f>
        <v/>
      </c>
      <c r="B280" s="48">
        <f>IF($L280="D",INDEX('Zgłoszenia'!$B$5:$B$504,$M280)&amp;"",IF($L280="U",INDEX('Dane rozpisek'!$F$2:$F$2600,$M280)&amp;"",IF($L280="H","Wózek","")))</f>
        <v/>
      </c>
      <c r="C280" s="48">
        <f>IF($L280="D",INDEX('Zgłoszenia'!$E$5:$E$504,$M280)&amp;"",IF($L280="U",INDEX('Dane rozpisek'!$B$2:$B$2600,$M280)&amp;" · "&amp;INDEX('Dane rozpisek'!$J$2:$J$2600,$M280),IF($L280="H","Zmiana","")))</f>
        <v/>
      </c>
      <c r="D280" s="49">
        <f>IF($L280="D",INDEX('Zgłoszenia'!$H$5:$H$504,$M280)&amp;"",IF($L280="U",INDEX('Dane rozpisek'!$E$2:$E$2600,$M280)&amp;"",IF($L280="H","Operator","")))</f>
        <v/>
      </c>
      <c r="E280" s="49">
        <f>IF($L280="D",INDEX('Zgłoszenia'!$I$5:$I$504,$M280)&amp;"",IF($L280="U",INDEX('Dane rozpisek'!$C$2:$C$2600,$M280)&amp;"",IF($L280="H","Stanowisko","")))</f>
        <v/>
      </c>
      <c r="F280" s="48">
        <f>IF($L280="D",INDEX('Zgłoszenia'!$J$5:$J$504,$M280)&amp;"",IF($L280="U",INDEX('Dane rozpisek'!$G$2:$G$2600,$M280)&amp;"",IF($L280="H","Uwagi","")))</f>
        <v/>
      </c>
      <c r="G280" s="49">
        <f>IF($L280="D",INDEX('Zgłoszenia'!$F$5:$F$504,$M280)&amp;"",IF($L280="U",INDEX('Dane rozpisek'!$L$2:$L$2600,$M280)&amp;"",IF($L280="H","Usterki (dzień / następny)","")))</f>
        <v/>
      </c>
      <c r="H280" s="49">
        <f>IF($L280="D",INDEX('Zgłoszenia'!$P$5:$P$504,$M280)&amp;"",IF($L280="U","",""))</f>
        <v/>
      </c>
      <c r="I280" s="48">
        <f>IF($L280="D",IF(INDEX('Zgłoszenia'!$M$5:$M$504,$M280)="","Zgłoszona",INDEX('Zgłoszenia'!$M$5:$M$504,$M280)),IF($L280="U","",""))</f>
        <v/>
      </c>
      <c r="J280" s="49">
        <f>IF($L280="D",INDEX('Zgłoszenia'!$K$5:$K$504,$M280)&amp;"",IF($L280="U","",""))</f>
        <v/>
      </c>
      <c r="K280" s="2" t="n"/>
      <c r="L280" s="2">
        <f>IF((ROW()-12)&lt;=$L$5,IF($L$2=0,"E1","D"),IF((ROW()-12)=$L$5+1,"",IF((ROW()-12)=$L$5+2,"T",IF((ROW()-12)=$L$5+3,IF($L$3=0,"E2","H"),IF((ROW()-12)&lt;=$L$5+3+$L$3,"U","")))))</f>
        <v/>
      </c>
      <c r="M280" s="2">
        <f>IF(L280="D",MATCH(LARGE('Zgłoszenia'!$Q$5:$Q$504,(ROW()-12)),'Zgłoszenia'!$Q$5:$Q$504,0),IF(L280="U",MATCH(LARGE('Dane rozpisek'!$I$2:$I$2600,(ROW()-12)-$L$5-3),'Dane rozpisek'!$I$2:$I$2600,0),""))</f>
        <v/>
      </c>
    </row>
    <row r="281">
      <c r="A281" s="47">
        <f>IF($L281="D",INDEX('Zgłoszenia'!$D$5:$D$504,$M281),IF($L281="U",INDEX('Dane rozpisek'!$A$2:$A$2600,$M281),IF($L281="T","KTO JEŹDZIŁ",IF($L281="E1","Brak zgłoszonych usterek w tym okresie.",IF($L281="E2","Brak wpisów z tym wózkiem w rozpiskach dla tego okresu.",IF($L281="H","Data",""))))))</f>
        <v/>
      </c>
      <c r="B281" s="48">
        <f>IF($L281="D",INDEX('Zgłoszenia'!$B$5:$B$504,$M281)&amp;"",IF($L281="U",INDEX('Dane rozpisek'!$F$2:$F$2600,$M281)&amp;"",IF($L281="H","Wózek","")))</f>
        <v/>
      </c>
      <c r="C281" s="48">
        <f>IF($L281="D",INDEX('Zgłoszenia'!$E$5:$E$504,$M281)&amp;"",IF($L281="U",INDEX('Dane rozpisek'!$B$2:$B$2600,$M281)&amp;" · "&amp;INDEX('Dane rozpisek'!$J$2:$J$2600,$M281),IF($L281="H","Zmiana","")))</f>
        <v/>
      </c>
      <c r="D281" s="49">
        <f>IF($L281="D",INDEX('Zgłoszenia'!$H$5:$H$504,$M281)&amp;"",IF($L281="U",INDEX('Dane rozpisek'!$E$2:$E$2600,$M281)&amp;"",IF($L281="H","Operator","")))</f>
        <v/>
      </c>
      <c r="E281" s="49">
        <f>IF($L281="D",INDEX('Zgłoszenia'!$I$5:$I$504,$M281)&amp;"",IF($L281="U",INDEX('Dane rozpisek'!$C$2:$C$2600,$M281)&amp;"",IF($L281="H","Stanowisko","")))</f>
        <v/>
      </c>
      <c r="F281" s="48">
        <f>IF($L281="D",INDEX('Zgłoszenia'!$J$5:$J$504,$M281)&amp;"",IF($L281="U",INDEX('Dane rozpisek'!$G$2:$G$2600,$M281)&amp;"",IF($L281="H","Uwagi","")))</f>
        <v/>
      </c>
      <c r="G281" s="49">
        <f>IF($L281="D",INDEX('Zgłoszenia'!$F$5:$F$504,$M281)&amp;"",IF($L281="U",INDEX('Dane rozpisek'!$L$2:$L$2600,$M281)&amp;"",IF($L281="H","Usterki (dzień / następny)","")))</f>
        <v/>
      </c>
      <c r="H281" s="49">
        <f>IF($L281="D",INDEX('Zgłoszenia'!$P$5:$P$504,$M281)&amp;"",IF($L281="U","",""))</f>
        <v/>
      </c>
      <c r="I281" s="48">
        <f>IF($L281="D",IF(INDEX('Zgłoszenia'!$M$5:$M$504,$M281)="","Zgłoszona",INDEX('Zgłoszenia'!$M$5:$M$504,$M281)),IF($L281="U","",""))</f>
        <v/>
      </c>
      <c r="J281" s="49">
        <f>IF($L281="D",INDEX('Zgłoszenia'!$K$5:$K$504,$M281)&amp;"",IF($L281="U","",""))</f>
        <v/>
      </c>
      <c r="K281" s="2" t="n"/>
      <c r="L281" s="2">
        <f>IF((ROW()-12)&lt;=$L$5,IF($L$2=0,"E1","D"),IF((ROW()-12)=$L$5+1,"",IF((ROW()-12)=$L$5+2,"T",IF((ROW()-12)=$L$5+3,IF($L$3=0,"E2","H"),IF((ROW()-12)&lt;=$L$5+3+$L$3,"U","")))))</f>
        <v/>
      </c>
      <c r="M281" s="2">
        <f>IF(L281="D",MATCH(LARGE('Zgłoszenia'!$Q$5:$Q$504,(ROW()-12)),'Zgłoszenia'!$Q$5:$Q$504,0),IF(L281="U",MATCH(LARGE('Dane rozpisek'!$I$2:$I$2600,(ROW()-12)-$L$5-3),'Dane rozpisek'!$I$2:$I$2600,0),""))</f>
        <v/>
      </c>
    </row>
    <row r="282">
      <c r="A282" s="47">
        <f>IF($L282="D",INDEX('Zgłoszenia'!$D$5:$D$504,$M282),IF($L282="U",INDEX('Dane rozpisek'!$A$2:$A$2600,$M282),IF($L282="T","KTO JEŹDZIŁ",IF($L282="E1","Brak zgłoszonych usterek w tym okresie.",IF($L282="E2","Brak wpisów z tym wózkiem w rozpiskach dla tego okresu.",IF($L282="H","Data",""))))))</f>
        <v/>
      </c>
      <c r="B282" s="48">
        <f>IF($L282="D",INDEX('Zgłoszenia'!$B$5:$B$504,$M282)&amp;"",IF($L282="U",INDEX('Dane rozpisek'!$F$2:$F$2600,$M282)&amp;"",IF($L282="H","Wózek","")))</f>
        <v/>
      </c>
      <c r="C282" s="48">
        <f>IF($L282="D",INDEX('Zgłoszenia'!$E$5:$E$504,$M282)&amp;"",IF($L282="U",INDEX('Dane rozpisek'!$B$2:$B$2600,$M282)&amp;" · "&amp;INDEX('Dane rozpisek'!$J$2:$J$2600,$M282),IF($L282="H","Zmiana","")))</f>
        <v/>
      </c>
      <c r="D282" s="49">
        <f>IF($L282="D",INDEX('Zgłoszenia'!$H$5:$H$504,$M282)&amp;"",IF($L282="U",INDEX('Dane rozpisek'!$E$2:$E$2600,$M282)&amp;"",IF($L282="H","Operator","")))</f>
        <v/>
      </c>
      <c r="E282" s="49">
        <f>IF($L282="D",INDEX('Zgłoszenia'!$I$5:$I$504,$M282)&amp;"",IF($L282="U",INDEX('Dane rozpisek'!$C$2:$C$2600,$M282)&amp;"",IF($L282="H","Stanowisko","")))</f>
        <v/>
      </c>
      <c r="F282" s="48">
        <f>IF($L282="D",INDEX('Zgłoszenia'!$J$5:$J$504,$M282)&amp;"",IF($L282="U",INDEX('Dane rozpisek'!$G$2:$G$2600,$M282)&amp;"",IF($L282="H","Uwagi","")))</f>
        <v/>
      </c>
      <c r="G282" s="49">
        <f>IF($L282="D",INDEX('Zgłoszenia'!$F$5:$F$504,$M282)&amp;"",IF($L282="U",INDEX('Dane rozpisek'!$L$2:$L$2600,$M282)&amp;"",IF($L282="H","Usterki (dzień / następny)","")))</f>
        <v/>
      </c>
      <c r="H282" s="49">
        <f>IF($L282="D",INDEX('Zgłoszenia'!$P$5:$P$504,$M282)&amp;"",IF($L282="U","",""))</f>
        <v/>
      </c>
      <c r="I282" s="48">
        <f>IF($L282="D",IF(INDEX('Zgłoszenia'!$M$5:$M$504,$M282)="","Zgłoszona",INDEX('Zgłoszenia'!$M$5:$M$504,$M282)),IF($L282="U","",""))</f>
        <v/>
      </c>
      <c r="J282" s="49">
        <f>IF($L282="D",INDEX('Zgłoszenia'!$K$5:$K$504,$M282)&amp;"",IF($L282="U","",""))</f>
        <v/>
      </c>
      <c r="K282" s="2" t="n"/>
      <c r="L282" s="2">
        <f>IF((ROW()-12)&lt;=$L$5,IF($L$2=0,"E1","D"),IF((ROW()-12)=$L$5+1,"",IF((ROW()-12)=$L$5+2,"T",IF((ROW()-12)=$L$5+3,IF($L$3=0,"E2","H"),IF((ROW()-12)&lt;=$L$5+3+$L$3,"U","")))))</f>
        <v/>
      </c>
      <c r="M282" s="2">
        <f>IF(L282="D",MATCH(LARGE('Zgłoszenia'!$Q$5:$Q$504,(ROW()-12)),'Zgłoszenia'!$Q$5:$Q$504,0),IF(L282="U",MATCH(LARGE('Dane rozpisek'!$I$2:$I$2600,(ROW()-12)-$L$5-3),'Dane rozpisek'!$I$2:$I$2600,0),""))</f>
        <v/>
      </c>
    </row>
    <row r="283">
      <c r="A283" s="47">
        <f>IF($L283="D",INDEX('Zgłoszenia'!$D$5:$D$504,$M283),IF($L283="U",INDEX('Dane rozpisek'!$A$2:$A$2600,$M283),IF($L283="T","KTO JEŹDZIŁ",IF($L283="E1","Brak zgłoszonych usterek w tym okresie.",IF($L283="E2","Brak wpisów z tym wózkiem w rozpiskach dla tego okresu.",IF($L283="H","Data",""))))))</f>
        <v/>
      </c>
      <c r="B283" s="48">
        <f>IF($L283="D",INDEX('Zgłoszenia'!$B$5:$B$504,$M283)&amp;"",IF($L283="U",INDEX('Dane rozpisek'!$F$2:$F$2600,$M283)&amp;"",IF($L283="H","Wózek","")))</f>
        <v/>
      </c>
      <c r="C283" s="48">
        <f>IF($L283="D",INDEX('Zgłoszenia'!$E$5:$E$504,$M283)&amp;"",IF($L283="U",INDEX('Dane rozpisek'!$B$2:$B$2600,$M283)&amp;" · "&amp;INDEX('Dane rozpisek'!$J$2:$J$2600,$M283),IF($L283="H","Zmiana","")))</f>
        <v/>
      </c>
      <c r="D283" s="49">
        <f>IF($L283="D",INDEX('Zgłoszenia'!$H$5:$H$504,$M283)&amp;"",IF($L283="U",INDEX('Dane rozpisek'!$E$2:$E$2600,$M283)&amp;"",IF($L283="H","Operator","")))</f>
        <v/>
      </c>
      <c r="E283" s="49">
        <f>IF($L283="D",INDEX('Zgłoszenia'!$I$5:$I$504,$M283)&amp;"",IF($L283="U",INDEX('Dane rozpisek'!$C$2:$C$2600,$M283)&amp;"",IF($L283="H","Stanowisko","")))</f>
        <v/>
      </c>
      <c r="F283" s="48">
        <f>IF($L283="D",INDEX('Zgłoszenia'!$J$5:$J$504,$M283)&amp;"",IF($L283="U",INDEX('Dane rozpisek'!$G$2:$G$2600,$M283)&amp;"",IF($L283="H","Uwagi","")))</f>
        <v/>
      </c>
      <c r="G283" s="49">
        <f>IF($L283="D",INDEX('Zgłoszenia'!$F$5:$F$504,$M283)&amp;"",IF($L283="U",INDEX('Dane rozpisek'!$L$2:$L$2600,$M283)&amp;"",IF($L283="H","Usterki (dzień / następny)","")))</f>
        <v/>
      </c>
      <c r="H283" s="49">
        <f>IF($L283="D",INDEX('Zgłoszenia'!$P$5:$P$504,$M283)&amp;"",IF($L283="U","",""))</f>
        <v/>
      </c>
      <c r="I283" s="48">
        <f>IF($L283="D",IF(INDEX('Zgłoszenia'!$M$5:$M$504,$M283)="","Zgłoszona",INDEX('Zgłoszenia'!$M$5:$M$504,$M283)),IF($L283="U","",""))</f>
        <v/>
      </c>
      <c r="J283" s="49">
        <f>IF($L283="D",INDEX('Zgłoszenia'!$K$5:$K$504,$M283)&amp;"",IF($L283="U","",""))</f>
        <v/>
      </c>
      <c r="K283" s="2" t="n"/>
      <c r="L283" s="2">
        <f>IF((ROW()-12)&lt;=$L$5,IF($L$2=0,"E1","D"),IF((ROW()-12)=$L$5+1,"",IF((ROW()-12)=$L$5+2,"T",IF((ROW()-12)=$L$5+3,IF($L$3=0,"E2","H"),IF((ROW()-12)&lt;=$L$5+3+$L$3,"U","")))))</f>
        <v/>
      </c>
      <c r="M283" s="2">
        <f>IF(L283="D",MATCH(LARGE('Zgłoszenia'!$Q$5:$Q$504,(ROW()-12)),'Zgłoszenia'!$Q$5:$Q$504,0),IF(L283="U",MATCH(LARGE('Dane rozpisek'!$I$2:$I$2600,(ROW()-12)-$L$5-3),'Dane rozpisek'!$I$2:$I$2600,0),""))</f>
        <v/>
      </c>
    </row>
    <row r="284">
      <c r="A284" s="47">
        <f>IF($L284="D",INDEX('Zgłoszenia'!$D$5:$D$504,$M284),IF($L284="U",INDEX('Dane rozpisek'!$A$2:$A$2600,$M284),IF($L284="T","KTO JEŹDZIŁ",IF($L284="E1","Brak zgłoszonych usterek w tym okresie.",IF($L284="E2","Brak wpisów z tym wózkiem w rozpiskach dla tego okresu.",IF($L284="H","Data",""))))))</f>
        <v/>
      </c>
      <c r="B284" s="48">
        <f>IF($L284="D",INDEX('Zgłoszenia'!$B$5:$B$504,$M284)&amp;"",IF($L284="U",INDEX('Dane rozpisek'!$F$2:$F$2600,$M284)&amp;"",IF($L284="H","Wózek","")))</f>
        <v/>
      </c>
      <c r="C284" s="48">
        <f>IF($L284="D",INDEX('Zgłoszenia'!$E$5:$E$504,$M284)&amp;"",IF($L284="U",INDEX('Dane rozpisek'!$B$2:$B$2600,$M284)&amp;" · "&amp;INDEX('Dane rozpisek'!$J$2:$J$2600,$M284),IF($L284="H","Zmiana","")))</f>
        <v/>
      </c>
      <c r="D284" s="49">
        <f>IF($L284="D",INDEX('Zgłoszenia'!$H$5:$H$504,$M284)&amp;"",IF($L284="U",INDEX('Dane rozpisek'!$E$2:$E$2600,$M284)&amp;"",IF($L284="H","Operator","")))</f>
        <v/>
      </c>
      <c r="E284" s="49">
        <f>IF($L284="D",INDEX('Zgłoszenia'!$I$5:$I$504,$M284)&amp;"",IF($L284="U",INDEX('Dane rozpisek'!$C$2:$C$2600,$M284)&amp;"",IF($L284="H","Stanowisko","")))</f>
        <v/>
      </c>
      <c r="F284" s="48">
        <f>IF($L284="D",INDEX('Zgłoszenia'!$J$5:$J$504,$M284)&amp;"",IF($L284="U",INDEX('Dane rozpisek'!$G$2:$G$2600,$M284)&amp;"",IF($L284="H","Uwagi","")))</f>
        <v/>
      </c>
      <c r="G284" s="49">
        <f>IF($L284="D",INDEX('Zgłoszenia'!$F$5:$F$504,$M284)&amp;"",IF($L284="U",INDEX('Dane rozpisek'!$L$2:$L$2600,$M284)&amp;"",IF($L284="H","Usterki (dzień / następny)","")))</f>
        <v/>
      </c>
      <c r="H284" s="49">
        <f>IF($L284="D",INDEX('Zgłoszenia'!$P$5:$P$504,$M284)&amp;"",IF($L284="U","",""))</f>
        <v/>
      </c>
      <c r="I284" s="48">
        <f>IF($L284="D",IF(INDEX('Zgłoszenia'!$M$5:$M$504,$M284)="","Zgłoszona",INDEX('Zgłoszenia'!$M$5:$M$504,$M284)),IF($L284="U","",""))</f>
        <v/>
      </c>
      <c r="J284" s="49">
        <f>IF($L284="D",INDEX('Zgłoszenia'!$K$5:$K$504,$M284)&amp;"",IF($L284="U","",""))</f>
        <v/>
      </c>
      <c r="K284" s="2" t="n"/>
      <c r="L284" s="2">
        <f>IF((ROW()-12)&lt;=$L$5,IF($L$2=0,"E1","D"),IF((ROW()-12)=$L$5+1,"",IF((ROW()-12)=$L$5+2,"T",IF((ROW()-12)=$L$5+3,IF($L$3=0,"E2","H"),IF((ROW()-12)&lt;=$L$5+3+$L$3,"U","")))))</f>
        <v/>
      </c>
      <c r="M284" s="2">
        <f>IF(L284="D",MATCH(LARGE('Zgłoszenia'!$Q$5:$Q$504,(ROW()-12)),'Zgłoszenia'!$Q$5:$Q$504,0),IF(L284="U",MATCH(LARGE('Dane rozpisek'!$I$2:$I$2600,(ROW()-12)-$L$5-3),'Dane rozpisek'!$I$2:$I$2600,0),""))</f>
        <v/>
      </c>
    </row>
    <row r="285">
      <c r="A285" s="47">
        <f>IF($L285="D",INDEX('Zgłoszenia'!$D$5:$D$504,$M285),IF($L285="U",INDEX('Dane rozpisek'!$A$2:$A$2600,$M285),IF($L285="T","KTO JEŹDZIŁ",IF($L285="E1","Brak zgłoszonych usterek w tym okresie.",IF($L285="E2","Brak wpisów z tym wózkiem w rozpiskach dla tego okresu.",IF($L285="H","Data",""))))))</f>
        <v/>
      </c>
      <c r="B285" s="48">
        <f>IF($L285="D",INDEX('Zgłoszenia'!$B$5:$B$504,$M285)&amp;"",IF($L285="U",INDEX('Dane rozpisek'!$F$2:$F$2600,$M285)&amp;"",IF($L285="H","Wózek","")))</f>
        <v/>
      </c>
      <c r="C285" s="48">
        <f>IF($L285="D",INDEX('Zgłoszenia'!$E$5:$E$504,$M285)&amp;"",IF($L285="U",INDEX('Dane rozpisek'!$B$2:$B$2600,$M285)&amp;" · "&amp;INDEX('Dane rozpisek'!$J$2:$J$2600,$M285),IF($L285="H","Zmiana","")))</f>
        <v/>
      </c>
      <c r="D285" s="49">
        <f>IF($L285="D",INDEX('Zgłoszenia'!$H$5:$H$504,$M285)&amp;"",IF($L285="U",INDEX('Dane rozpisek'!$E$2:$E$2600,$M285)&amp;"",IF($L285="H","Operator","")))</f>
        <v/>
      </c>
      <c r="E285" s="49">
        <f>IF($L285="D",INDEX('Zgłoszenia'!$I$5:$I$504,$M285)&amp;"",IF($L285="U",INDEX('Dane rozpisek'!$C$2:$C$2600,$M285)&amp;"",IF($L285="H","Stanowisko","")))</f>
        <v/>
      </c>
      <c r="F285" s="48">
        <f>IF($L285="D",INDEX('Zgłoszenia'!$J$5:$J$504,$M285)&amp;"",IF($L285="U",INDEX('Dane rozpisek'!$G$2:$G$2600,$M285)&amp;"",IF($L285="H","Uwagi","")))</f>
        <v/>
      </c>
      <c r="G285" s="49">
        <f>IF($L285="D",INDEX('Zgłoszenia'!$F$5:$F$504,$M285)&amp;"",IF($L285="U",INDEX('Dane rozpisek'!$L$2:$L$2600,$M285)&amp;"",IF($L285="H","Usterki (dzień / następny)","")))</f>
        <v/>
      </c>
      <c r="H285" s="49">
        <f>IF($L285="D",INDEX('Zgłoszenia'!$P$5:$P$504,$M285)&amp;"",IF($L285="U","",""))</f>
        <v/>
      </c>
      <c r="I285" s="48">
        <f>IF($L285="D",IF(INDEX('Zgłoszenia'!$M$5:$M$504,$M285)="","Zgłoszona",INDEX('Zgłoszenia'!$M$5:$M$504,$M285)),IF($L285="U","",""))</f>
        <v/>
      </c>
      <c r="J285" s="49">
        <f>IF($L285="D",INDEX('Zgłoszenia'!$K$5:$K$504,$M285)&amp;"",IF($L285="U","",""))</f>
        <v/>
      </c>
      <c r="K285" s="2" t="n"/>
      <c r="L285" s="2">
        <f>IF((ROW()-12)&lt;=$L$5,IF($L$2=0,"E1","D"),IF((ROW()-12)=$L$5+1,"",IF((ROW()-12)=$L$5+2,"T",IF((ROW()-12)=$L$5+3,IF($L$3=0,"E2","H"),IF((ROW()-12)&lt;=$L$5+3+$L$3,"U","")))))</f>
        <v/>
      </c>
      <c r="M285" s="2">
        <f>IF(L285="D",MATCH(LARGE('Zgłoszenia'!$Q$5:$Q$504,(ROW()-12)),'Zgłoszenia'!$Q$5:$Q$504,0),IF(L285="U",MATCH(LARGE('Dane rozpisek'!$I$2:$I$2600,(ROW()-12)-$L$5-3),'Dane rozpisek'!$I$2:$I$2600,0),""))</f>
        <v/>
      </c>
    </row>
    <row r="286">
      <c r="A286" s="47">
        <f>IF($L286="D",INDEX('Zgłoszenia'!$D$5:$D$504,$M286),IF($L286="U",INDEX('Dane rozpisek'!$A$2:$A$2600,$M286),IF($L286="T","KTO JEŹDZIŁ",IF($L286="E1","Brak zgłoszonych usterek w tym okresie.",IF($L286="E2","Brak wpisów z tym wózkiem w rozpiskach dla tego okresu.",IF($L286="H","Data",""))))))</f>
        <v/>
      </c>
      <c r="B286" s="48">
        <f>IF($L286="D",INDEX('Zgłoszenia'!$B$5:$B$504,$M286)&amp;"",IF($L286="U",INDEX('Dane rozpisek'!$F$2:$F$2600,$M286)&amp;"",IF($L286="H","Wózek","")))</f>
        <v/>
      </c>
      <c r="C286" s="48">
        <f>IF($L286="D",INDEX('Zgłoszenia'!$E$5:$E$504,$M286)&amp;"",IF($L286="U",INDEX('Dane rozpisek'!$B$2:$B$2600,$M286)&amp;" · "&amp;INDEX('Dane rozpisek'!$J$2:$J$2600,$M286),IF($L286="H","Zmiana","")))</f>
        <v/>
      </c>
      <c r="D286" s="49">
        <f>IF($L286="D",INDEX('Zgłoszenia'!$H$5:$H$504,$M286)&amp;"",IF($L286="U",INDEX('Dane rozpisek'!$E$2:$E$2600,$M286)&amp;"",IF($L286="H","Operator","")))</f>
        <v/>
      </c>
      <c r="E286" s="49">
        <f>IF($L286="D",INDEX('Zgłoszenia'!$I$5:$I$504,$M286)&amp;"",IF($L286="U",INDEX('Dane rozpisek'!$C$2:$C$2600,$M286)&amp;"",IF($L286="H","Stanowisko","")))</f>
        <v/>
      </c>
      <c r="F286" s="48">
        <f>IF($L286="D",INDEX('Zgłoszenia'!$J$5:$J$504,$M286)&amp;"",IF($L286="U",INDEX('Dane rozpisek'!$G$2:$G$2600,$M286)&amp;"",IF($L286="H","Uwagi","")))</f>
        <v/>
      </c>
      <c r="G286" s="49">
        <f>IF($L286="D",INDEX('Zgłoszenia'!$F$5:$F$504,$M286)&amp;"",IF($L286="U",INDEX('Dane rozpisek'!$L$2:$L$2600,$M286)&amp;"",IF($L286="H","Usterki (dzień / następny)","")))</f>
        <v/>
      </c>
      <c r="H286" s="49">
        <f>IF($L286="D",INDEX('Zgłoszenia'!$P$5:$P$504,$M286)&amp;"",IF($L286="U","",""))</f>
        <v/>
      </c>
      <c r="I286" s="48">
        <f>IF($L286="D",IF(INDEX('Zgłoszenia'!$M$5:$M$504,$M286)="","Zgłoszona",INDEX('Zgłoszenia'!$M$5:$M$504,$M286)),IF($L286="U","",""))</f>
        <v/>
      </c>
      <c r="J286" s="49">
        <f>IF($L286="D",INDEX('Zgłoszenia'!$K$5:$K$504,$M286)&amp;"",IF($L286="U","",""))</f>
        <v/>
      </c>
      <c r="K286" s="2" t="n"/>
      <c r="L286" s="2">
        <f>IF((ROW()-12)&lt;=$L$5,IF($L$2=0,"E1","D"),IF((ROW()-12)=$L$5+1,"",IF((ROW()-12)=$L$5+2,"T",IF((ROW()-12)=$L$5+3,IF($L$3=0,"E2","H"),IF((ROW()-12)&lt;=$L$5+3+$L$3,"U","")))))</f>
        <v/>
      </c>
      <c r="M286" s="2">
        <f>IF(L286="D",MATCH(LARGE('Zgłoszenia'!$Q$5:$Q$504,(ROW()-12)),'Zgłoszenia'!$Q$5:$Q$504,0),IF(L286="U",MATCH(LARGE('Dane rozpisek'!$I$2:$I$2600,(ROW()-12)-$L$5-3),'Dane rozpisek'!$I$2:$I$2600,0),""))</f>
        <v/>
      </c>
    </row>
    <row r="287">
      <c r="A287" s="47">
        <f>IF($L287="D",INDEX('Zgłoszenia'!$D$5:$D$504,$M287),IF($L287="U",INDEX('Dane rozpisek'!$A$2:$A$2600,$M287),IF($L287="T","KTO JEŹDZIŁ",IF($L287="E1","Brak zgłoszonych usterek w tym okresie.",IF($L287="E2","Brak wpisów z tym wózkiem w rozpiskach dla tego okresu.",IF($L287="H","Data",""))))))</f>
        <v/>
      </c>
      <c r="B287" s="48">
        <f>IF($L287="D",INDEX('Zgłoszenia'!$B$5:$B$504,$M287)&amp;"",IF($L287="U",INDEX('Dane rozpisek'!$F$2:$F$2600,$M287)&amp;"",IF($L287="H","Wózek","")))</f>
        <v/>
      </c>
      <c r="C287" s="48">
        <f>IF($L287="D",INDEX('Zgłoszenia'!$E$5:$E$504,$M287)&amp;"",IF($L287="U",INDEX('Dane rozpisek'!$B$2:$B$2600,$M287)&amp;" · "&amp;INDEX('Dane rozpisek'!$J$2:$J$2600,$M287),IF($L287="H","Zmiana","")))</f>
        <v/>
      </c>
      <c r="D287" s="49">
        <f>IF($L287="D",INDEX('Zgłoszenia'!$H$5:$H$504,$M287)&amp;"",IF($L287="U",INDEX('Dane rozpisek'!$E$2:$E$2600,$M287)&amp;"",IF($L287="H","Operator","")))</f>
        <v/>
      </c>
      <c r="E287" s="49">
        <f>IF($L287="D",INDEX('Zgłoszenia'!$I$5:$I$504,$M287)&amp;"",IF($L287="U",INDEX('Dane rozpisek'!$C$2:$C$2600,$M287)&amp;"",IF($L287="H","Stanowisko","")))</f>
        <v/>
      </c>
      <c r="F287" s="48">
        <f>IF($L287="D",INDEX('Zgłoszenia'!$J$5:$J$504,$M287)&amp;"",IF($L287="U",INDEX('Dane rozpisek'!$G$2:$G$2600,$M287)&amp;"",IF($L287="H","Uwagi","")))</f>
        <v/>
      </c>
      <c r="G287" s="49">
        <f>IF($L287="D",INDEX('Zgłoszenia'!$F$5:$F$504,$M287)&amp;"",IF($L287="U",INDEX('Dane rozpisek'!$L$2:$L$2600,$M287)&amp;"",IF($L287="H","Usterki (dzień / następny)","")))</f>
        <v/>
      </c>
      <c r="H287" s="49">
        <f>IF($L287="D",INDEX('Zgłoszenia'!$P$5:$P$504,$M287)&amp;"",IF($L287="U","",""))</f>
        <v/>
      </c>
      <c r="I287" s="48">
        <f>IF($L287="D",IF(INDEX('Zgłoszenia'!$M$5:$M$504,$M287)="","Zgłoszona",INDEX('Zgłoszenia'!$M$5:$M$504,$M287)),IF($L287="U","",""))</f>
        <v/>
      </c>
      <c r="J287" s="49">
        <f>IF($L287="D",INDEX('Zgłoszenia'!$K$5:$K$504,$M287)&amp;"",IF($L287="U","",""))</f>
        <v/>
      </c>
      <c r="K287" s="2" t="n"/>
      <c r="L287" s="2">
        <f>IF((ROW()-12)&lt;=$L$5,IF($L$2=0,"E1","D"),IF((ROW()-12)=$L$5+1,"",IF((ROW()-12)=$L$5+2,"T",IF((ROW()-12)=$L$5+3,IF($L$3=0,"E2","H"),IF((ROW()-12)&lt;=$L$5+3+$L$3,"U","")))))</f>
        <v/>
      </c>
      <c r="M287" s="2">
        <f>IF(L287="D",MATCH(LARGE('Zgłoszenia'!$Q$5:$Q$504,(ROW()-12)),'Zgłoszenia'!$Q$5:$Q$504,0),IF(L287="U",MATCH(LARGE('Dane rozpisek'!$I$2:$I$2600,(ROW()-12)-$L$5-3),'Dane rozpisek'!$I$2:$I$2600,0),""))</f>
        <v/>
      </c>
    </row>
    <row r="288">
      <c r="A288" s="47">
        <f>IF($L288="D",INDEX('Zgłoszenia'!$D$5:$D$504,$M288),IF($L288="U",INDEX('Dane rozpisek'!$A$2:$A$2600,$M288),IF($L288="T","KTO JEŹDZIŁ",IF($L288="E1","Brak zgłoszonych usterek w tym okresie.",IF($L288="E2","Brak wpisów z tym wózkiem w rozpiskach dla tego okresu.",IF($L288="H","Data",""))))))</f>
        <v/>
      </c>
      <c r="B288" s="48">
        <f>IF($L288="D",INDEX('Zgłoszenia'!$B$5:$B$504,$M288)&amp;"",IF($L288="U",INDEX('Dane rozpisek'!$F$2:$F$2600,$M288)&amp;"",IF($L288="H","Wózek","")))</f>
        <v/>
      </c>
      <c r="C288" s="48">
        <f>IF($L288="D",INDEX('Zgłoszenia'!$E$5:$E$504,$M288)&amp;"",IF($L288="U",INDEX('Dane rozpisek'!$B$2:$B$2600,$M288)&amp;" · "&amp;INDEX('Dane rozpisek'!$J$2:$J$2600,$M288),IF($L288="H","Zmiana","")))</f>
        <v/>
      </c>
      <c r="D288" s="49">
        <f>IF($L288="D",INDEX('Zgłoszenia'!$H$5:$H$504,$M288)&amp;"",IF($L288="U",INDEX('Dane rozpisek'!$E$2:$E$2600,$M288)&amp;"",IF($L288="H","Operator","")))</f>
        <v/>
      </c>
      <c r="E288" s="49">
        <f>IF($L288="D",INDEX('Zgłoszenia'!$I$5:$I$504,$M288)&amp;"",IF($L288="U",INDEX('Dane rozpisek'!$C$2:$C$2600,$M288)&amp;"",IF($L288="H","Stanowisko","")))</f>
        <v/>
      </c>
      <c r="F288" s="48">
        <f>IF($L288="D",INDEX('Zgłoszenia'!$J$5:$J$504,$M288)&amp;"",IF($L288="U",INDEX('Dane rozpisek'!$G$2:$G$2600,$M288)&amp;"",IF($L288="H","Uwagi","")))</f>
        <v/>
      </c>
      <c r="G288" s="49">
        <f>IF($L288="D",INDEX('Zgłoszenia'!$F$5:$F$504,$M288)&amp;"",IF($L288="U",INDEX('Dane rozpisek'!$L$2:$L$2600,$M288)&amp;"",IF($L288="H","Usterki (dzień / następny)","")))</f>
        <v/>
      </c>
      <c r="H288" s="49">
        <f>IF($L288="D",INDEX('Zgłoszenia'!$P$5:$P$504,$M288)&amp;"",IF($L288="U","",""))</f>
        <v/>
      </c>
      <c r="I288" s="48">
        <f>IF($L288="D",IF(INDEX('Zgłoszenia'!$M$5:$M$504,$M288)="","Zgłoszona",INDEX('Zgłoszenia'!$M$5:$M$504,$M288)),IF($L288="U","",""))</f>
        <v/>
      </c>
      <c r="J288" s="49">
        <f>IF($L288="D",INDEX('Zgłoszenia'!$K$5:$K$504,$M288)&amp;"",IF($L288="U","",""))</f>
        <v/>
      </c>
      <c r="K288" s="2" t="n"/>
      <c r="L288" s="2">
        <f>IF((ROW()-12)&lt;=$L$5,IF($L$2=0,"E1","D"),IF((ROW()-12)=$L$5+1,"",IF((ROW()-12)=$L$5+2,"T",IF((ROW()-12)=$L$5+3,IF($L$3=0,"E2","H"),IF((ROW()-12)&lt;=$L$5+3+$L$3,"U","")))))</f>
        <v/>
      </c>
      <c r="M288" s="2">
        <f>IF(L288="D",MATCH(LARGE('Zgłoszenia'!$Q$5:$Q$504,(ROW()-12)),'Zgłoszenia'!$Q$5:$Q$504,0),IF(L288="U",MATCH(LARGE('Dane rozpisek'!$I$2:$I$2600,(ROW()-12)-$L$5-3),'Dane rozpisek'!$I$2:$I$2600,0),""))</f>
        <v/>
      </c>
    </row>
    <row r="289">
      <c r="A289" s="47">
        <f>IF($L289="D",INDEX('Zgłoszenia'!$D$5:$D$504,$M289),IF($L289="U",INDEX('Dane rozpisek'!$A$2:$A$2600,$M289),IF($L289="T","KTO JEŹDZIŁ",IF($L289="E1","Brak zgłoszonych usterek w tym okresie.",IF($L289="E2","Brak wpisów z tym wózkiem w rozpiskach dla tego okresu.",IF($L289="H","Data",""))))))</f>
        <v/>
      </c>
      <c r="B289" s="48">
        <f>IF($L289="D",INDEX('Zgłoszenia'!$B$5:$B$504,$M289)&amp;"",IF($L289="U",INDEX('Dane rozpisek'!$F$2:$F$2600,$M289)&amp;"",IF($L289="H","Wózek","")))</f>
        <v/>
      </c>
      <c r="C289" s="48">
        <f>IF($L289="D",INDEX('Zgłoszenia'!$E$5:$E$504,$M289)&amp;"",IF($L289="U",INDEX('Dane rozpisek'!$B$2:$B$2600,$M289)&amp;" · "&amp;INDEX('Dane rozpisek'!$J$2:$J$2600,$M289),IF($L289="H","Zmiana","")))</f>
        <v/>
      </c>
      <c r="D289" s="49">
        <f>IF($L289="D",INDEX('Zgłoszenia'!$H$5:$H$504,$M289)&amp;"",IF($L289="U",INDEX('Dane rozpisek'!$E$2:$E$2600,$M289)&amp;"",IF($L289="H","Operator","")))</f>
        <v/>
      </c>
      <c r="E289" s="49">
        <f>IF($L289="D",INDEX('Zgłoszenia'!$I$5:$I$504,$M289)&amp;"",IF($L289="U",INDEX('Dane rozpisek'!$C$2:$C$2600,$M289)&amp;"",IF($L289="H","Stanowisko","")))</f>
        <v/>
      </c>
      <c r="F289" s="48">
        <f>IF($L289="D",INDEX('Zgłoszenia'!$J$5:$J$504,$M289)&amp;"",IF($L289="U",INDEX('Dane rozpisek'!$G$2:$G$2600,$M289)&amp;"",IF($L289="H","Uwagi","")))</f>
        <v/>
      </c>
      <c r="G289" s="49">
        <f>IF($L289="D",INDEX('Zgłoszenia'!$F$5:$F$504,$M289)&amp;"",IF($L289="U",INDEX('Dane rozpisek'!$L$2:$L$2600,$M289)&amp;"",IF($L289="H","Usterki (dzień / następny)","")))</f>
        <v/>
      </c>
      <c r="H289" s="49">
        <f>IF($L289="D",INDEX('Zgłoszenia'!$P$5:$P$504,$M289)&amp;"",IF($L289="U","",""))</f>
        <v/>
      </c>
      <c r="I289" s="48">
        <f>IF($L289="D",IF(INDEX('Zgłoszenia'!$M$5:$M$504,$M289)="","Zgłoszona",INDEX('Zgłoszenia'!$M$5:$M$504,$M289)),IF($L289="U","",""))</f>
        <v/>
      </c>
      <c r="J289" s="49">
        <f>IF($L289="D",INDEX('Zgłoszenia'!$K$5:$K$504,$M289)&amp;"",IF($L289="U","",""))</f>
        <v/>
      </c>
      <c r="K289" s="2" t="n"/>
      <c r="L289" s="2">
        <f>IF((ROW()-12)&lt;=$L$5,IF($L$2=0,"E1","D"),IF((ROW()-12)=$L$5+1,"",IF((ROW()-12)=$L$5+2,"T",IF((ROW()-12)=$L$5+3,IF($L$3=0,"E2","H"),IF((ROW()-12)&lt;=$L$5+3+$L$3,"U","")))))</f>
        <v/>
      </c>
      <c r="M289" s="2">
        <f>IF(L289="D",MATCH(LARGE('Zgłoszenia'!$Q$5:$Q$504,(ROW()-12)),'Zgłoszenia'!$Q$5:$Q$504,0),IF(L289="U",MATCH(LARGE('Dane rozpisek'!$I$2:$I$2600,(ROW()-12)-$L$5-3),'Dane rozpisek'!$I$2:$I$2600,0),""))</f>
        <v/>
      </c>
    </row>
    <row r="290">
      <c r="A290" s="47">
        <f>IF($L290="D",INDEX('Zgłoszenia'!$D$5:$D$504,$M290),IF($L290="U",INDEX('Dane rozpisek'!$A$2:$A$2600,$M290),IF($L290="T","KTO JEŹDZIŁ",IF($L290="E1","Brak zgłoszonych usterek w tym okresie.",IF($L290="E2","Brak wpisów z tym wózkiem w rozpiskach dla tego okresu.",IF($L290="H","Data",""))))))</f>
        <v/>
      </c>
      <c r="B290" s="48">
        <f>IF($L290="D",INDEX('Zgłoszenia'!$B$5:$B$504,$M290)&amp;"",IF($L290="U",INDEX('Dane rozpisek'!$F$2:$F$2600,$M290)&amp;"",IF($L290="H","Wózek","")))</f>
        <v/>
      </c>
      <c r="C290" s="48">
        <f>IF($L290="D",INDEX('Zgłoszenia'!$E$5:$E$504,$M290)&amp;"",IF($L290="U",INDEX('Dane rozpisek'!$B$2:$B$2600,$M290)&amp;" · "&amp;INDEX('Dane rozpisek'!$J$2:$J$2600,$M290),IF($L290="H","Zmiana","")))</f>
        <v/>
      </c>
      <c r="D290" s="49">
        <f>IF($L290="D",INDEX('Zgłoszenia'!$H$5:$H$504,$M290)&amp;"",IF($L290="U",INDEX('Dane rozpisek'!$E$2:$E$2600,$M290)&amp;"",IF($L290="H","Operator","")))</f>
        <v/>
      </c>
      <c r="E290" s="49">
        <f>IF($L290="D",INDEX('Zgłoszenia'!$I$5:$I$504,$M290)&amp;"",IF($L290="U",INDEX('Dane rozpisek'!$C$2:$C$2600,$M290)&amp;"",IF($L290="H","Stanowisko","")))</f>
        <v/>
      </c>
      <c r="F290" s="48">
        <f>IF($L290="D",INDEX('Zgłoszenia'!$J$5:$J$504,$M290)&amp;"",IF($L290="U",INDEX('Dane rozpisek'!$G$2:$G$2600,$M290)&amp;"",IF($L290="H","Uwagi","")))</f>
        <v/>
      </c>
      <c r="G290" s="49">
        <f>IF($L290="D",INDEX('Zgłoszenia'!$F$5:$F$504,$M290)&amp;"",IF($L290="U",INDEX('Dane rozpisek'!$L$2:$L$2600,$M290)&amp;"",IF($L290="H","Usterki (dzień / następny)","")))</f>
        <v/>
      </c>
      <c r="H290" s="49">
        <f>IF($L290="D",INDEX('Zgłoszenia'!$P$5:$P$504,$M290)&amp;"",IF($L290="U","",""))</f>
        <v/>
      </c>
      <c r="I290" s="48">
        <f>IF($L290="D",IF(INDEX('Zgłoszenia'!$M$5:$M$504,$M290)="","Zgłoszona",INDEX('Zgłoszenia'!$M$5:$M$504,$M290)),IF($L290="U","",""))</f>
        <v/>
      </c>
      <c r="J290" s="49">
        <f>IF($L290="D",INDEX('Zgłoszenia'!$K$5:$K$504,$M290)&amp;"",IF($L290="U","",""))</f>
        <v/>
      </c>
      <c r="K290" s="2" t="n"/>
      <c r="L290" s="2">
        <f>IF((ROW()-12)&lt;=$L$5,IF($L$2=0,"E1","D"),IF((ROW()-12)=$L$5+1,"",IF((ROW()-12)=$L$5+2,"T",IF((ROW()-12)=$L$5+3,IF($L$3=0,"E2","H"),IF((ROW()-12)&lt;=$L$5+3+$L$3,"U","")))))</f>
        <v/>
      </c>
      <c r="M290" s="2">
        <f>IF(L290="D",MATCH(LARGE('Zgłoszenia'!$Q$5:$Q$504,(ROW()-12)),'Zgłoszenia'!$Q$5:$Q$504,0),IF(L290="U",MATCH(LARGE('Dane rozpisek'!$I$2:$I$2600,(ROW()-12)-$L$5-3),'Dane rozpisek'!$I$2:$I$2600,0),""))</f>
        <v/>
      </c>
    </row>
    <row r="291">
      <c r="A291" s="47">
        <f>IF($L291="D",INDEX('Zgłoszenia'!$D$5:$D$504,$M291),IF($L291="U",INDEX('Dane rozpisek'!$A$2:$A$2600,$M291),IF($L291="T","KTO JEŹDZIŁ",IF($L291="E1","Brak zgłoszonych usterek w tym okresie.",IF($L291="E2","Brak wpisów z tym wózkiem w rozpiskach dla tego okresu.",IF($L291="H","Data",""))))))</f>
        <v/>
      </c>
      <c r="B291" s="48">
        <f>IF($L291="D",INDEX('Zgłoszenia'!$B$5:$B$504,$M291)&amp;"",IF($L291="U",INDEX('Dane rozpisek'!$F$2:$F$2600,$M291)&amp;"",IF($L291="H","Wózek","")))</f>
        <v/>
      </c>
      <c r="C291" s="48">
        <f>IF($L291="D",INDEX('Zgłoszenia'!$E$5:$E$504,$M291)&amp;"",IF($L291="U",INDEX('Dane rozpisek'!$B$2:$B$2600,$M291)&amp;" · "&amp;INDEX('Dane rozpisek'!$J$2:$J$2600,$M291),IF($L291="H","Zmiana","")))</f>
        <v/>
      </c>
      <c r="D291" s="49">
        <f>IF($L291="D",INDEX('Zgłoszenia'!$H$5:$H$504,$M291)&amp;"",IF($L291="U",INDEX('Dane rozpisek'!$E$2:$E$2600,$M291)&amp;"",IF($L291="H","Operator","")))</f>
        <v/>
      </c>
      <c r="E291" s="49">
        <f>IF($L291="D",INDEX('Zgłoszenia'!$I$5:$I$504,$M291)&amp;"",IF($L291="U",INDEX('Dane rozpisek'!$C$2:$C$2600,$M291)&amp;"",IF($L291="H","Stanowisko","")))</f>
        <v/>
      </c>
      <c r="F291" s="48">
        <f>IF($L291="D",INDEX('Zgłoszenia'!$J$5:$J$504,$M291)&amp;"",IF($L291="U",INDEX('Dane rozpisek'!$G$2:$G$2600,$M291)&amp;"",IF($L291="H","Uwagi","")))</f>
        <v/>
      </c>
      <c r="G291" s="49">
        <f>IF($L291="D",INDEX('Zgłoszenia'!$F$5:$F$504,$M291)&amp;"",IF($L291="U",INDEX('Dane rozpisek'!$L$2:$L$2600,$M291)&amp;"",IF($L291="H","Usterki (dzień / następny)","")))</f>
        <v/>
      </c>
      <c r="H291" s="49">
        <f>IF($L291="D",INDEX('Zgłoszenia'!$P$5:$P$504,$M291)&amp;"",IF($L291="U","",""))</f>
        <v/>
      </c>
      <c r="I291" s="48">
        <f>IF($L291="D",IF(INDEX('Zgłoszenia'!$M$5:$M$504,$M291)="","Zgłoszona",INDEX('Zgłoszenia'!$M$5:$M$504,$M291)),IF($L291="U","",""))</f>
        <v/>
      </c>
      <c r="J291" s="49">
        <f>IF($L291="D",INDEX('Zgłoszenia'!$K$5:$K$504,$M291)&amp;"",IF($L291="U","",""))</f>
        <v/>
      </c>
      <c r="K291" s="2" t="n"/>
      <c r="L291" s="2">
        <f>IF((ROW()-12)&lt;=$L$5,IF($L$2=0,"E1","D"),IF((ROW()-12)=$L$5+1,"",IF((ROW()-12)=$L$5+2,"T",IF((ROW()-12)=$L$5+3,IF($L$3=0,"E2","H"),IF((ROW()-12)&lt;=$L$5+3+$L$3,"U","")))))</f>
        <v/>
      </c>
      <c r="M291" s="2">
        <f>IF(L291="D",MATCH(LARGE('Zgłoszenia'!$Q$5:$Q$504,(ROW()-12)),'Zgłoszenia'!$Q$5:$Q$504,0),IF(L291="U",MATCH(LARGE('Dane rozpisek'!$I$2:$I$2600,(ROW()-12)-$L$5-3),'Dane rozpisek'!$I$2:$I$2600,0),""))</f>
        <v/>
      </c>
    </row>
    <row r="292">
      <c r="A292" s="47">
        <f>IF($L292="D",INDEX('Zgłoszenia'!$D$5:$D$504,$M292),IF($L292="U",INDEX('Dane rozpisek'!$A$2:$A$2600,$M292),IF($L292="T","KTO JEŹDZIŁ",IF($L292="E1","Brak zgłoszonych usterek w tym okresie.",IF($L292="E2","Brak wpisów z tym wózkiem w rozpiskach dla tego okresu.",IF($L292="H","Data",""))))))</f>
        <v/>
      </c>
      <c r="B292" s="48">
        <f>IF($L292="D",INDEX('Zgłoszenia'!$B$5:$B$504,$M292)&amp;"",IF($L292="U",INDEX('Dane rozpisek'!$F$2:$F$2600,$M292)&amp;"",IF($L292="H","Wózek","")))</f>
        <v/>
      </c>
      <c r="C292" s="48">
        <f>IF($L292="D",INDEX('Zgłoszenia'!$E$5:$E$504,$M292)&amp;"",IF($L292="U",INDEX('Dane rozpisek'!$B$2:$B$2600,$M292)&amp;" · "&amp;INDEX('Dane rozpisek'!$J$2:$J$2600,$M292),IF($L292="H","Zmiana","")))</f>
        <v/>
      </c>
      <c r="D292" s="49">
        <f>IF($L292="D",INDEX('Zgłoszenia'!$H$5:$H$504,$M292)&amp;"",IF($L292="U",INDEX('Dane rozpisek'!$E$2:$E$2600,$M292)&amp;"",IF($L292="H","Operator","")))</f>
        <v/>
      </c>
      <c r="E292" s="49">
        <f>IF($L292="D",INDEX('Zgłoszenia'!$I$5:$I$504,$M292)&amp;"",IF($L292="U",INDEX('Dane rozpisek'!$C$2:$C$2600,$M292)&amp;"",IF($L292="H","Stanowisko","")))</f>
        <v/>
      </c>
      <c r="F292" s="48">
        <f>IF($L292="D",INDEX('Zgłoszenia'!$J$5:$J$504,$M292)&amp;"",IF($L292="U",INDEX('Dane rozpisek'!$G$2:$G$2600,$M292)&amp;"",IF($L292="H","Uwagi","")))</f>
        <v/>
      </c>
      <c r="G292" s="49">
        <f>IF($L292="D",INDEX('Zgłoszenia'!$F$5:$F$504,$M292)&amp;"",IF($L292="U",INDEX('Dane rozpisek'!$L$2:$L$2600,$M292)&amp;"",IF($L292="H","Usterki (dzień / następny)","")))</f>
        <v/>
      </c>
      <c r="H292" s="49">
        <f>IF($L292="D",INDEX('Zgłoszenia'!$P$5:$P$504,$M292)&amp;"",IF($L292="U","",""))</f>
        <v/>
      </c>
      <c r="I292" s="48">
        <f>IF($L292="D",IF(INDEX('Zgłoszenia'!$M$5:$M$504,$M292)="","Zgłoszona",INDEX('Zgłoszenia'!$M$5:$M$504,$M292)),IF($L292="U","",""))</f>
        <v/>
      </c>
      <c r="J292" s="49">
        <f>IF($L292="D",INDEX('Zgłoszenia'!$K$5:$K$504,$M292)&amp;"",IF($L292="U","",""))</f>
        <v/>
      </c>
      <c r="K292" s="2" t="n"/>
      <c r="L292" s="2">
        <f>IF((ROW()-12)&lt;=$L$5,IF($L$2=0,"E1","D"),IF((ROW()-12)=$L$5+1,"",IF((ROW()-12)=$L$5+2,"T",IF((ROW()-12)=$L$5+3,IF($L$3=0,"E2","H"),IF((ROW()-12)&lt;=$L$5+3+$L$3,"U","")))))</f>
        <v/>
      </c>
      <c r="M292" s="2">
        <f>IF(L292="D",MATCH(LARGE('Zgłoszenia'!$Q$5:$Q$504,(ROW()-12)),'Zgłoszenia'!$Q$5:$Q$504,0),IF(L292="U",MATCH(LARGE('Dane rozpisek'!$I$2:$I$2600,(ROW()-12)-$L$5-3),'Dane rozpisek'!$I$2:$I$2600,0),""))</f>
        <v/>
      </c>
    </row>
    <row r="293">
      <c r="A293" s="47">
        <f>IF($L293="D",INDEX('Zgłoszenia'!$D$5:$D$504,$M293),IF($L293="U",INDEX('Dane rozpisek'!$A$2:$A$2600,$M293),IF($L293="T","KTO JEŹDZIŁ",IF($L293="E1","Brak zgłoszonych usterek w tym okresie.",IF($L293="E2","Brak wpisów z tym wózkiem w rozpiskach dla tego okresu.",IF($L293="H","Data",""))))))</f>
        <v/>
      </c>
      <c r="B293" s="48">
        <f>IF($L293="D",INDEX('Zgłoszenia'!$B$5:$B$504,$M293)&amp;"",IF($L293="U",INDEX('Dane rozpisek'!$F$2:$F$2600,$M293)&amp;"",IF($L293="H","Wózek","")))</f>
        <v/>
      </c>
      <c r="C293" s="48">
        <f>IF($L293="D",INDEX('Zgłoszenia'!$E$5:$E$504,$M293)&amp;"",IF($L293="U",INDEX('Dane rozpisek'!$B$2:$B$2600,$M293)&amp;" · "&amp;INDEX('Dane rozpisek'!$J$2:$J$2600,$M293),IF($L293="H","Zmiana","")))</f>
        <v/>
      </c>
      <c r="D293" s="49">
        <f>IF($L293="D",INDEX('Zgłoszenia'!$H$5:$H$504,$M293)&amp;"",IF($L293="U",INDEX('Dane rozpisek'!$E$2:$E$2600,$M293)&amp;"",IF($L293="H","Operator","")))</f>
        <v/>
      </c>
      <c r="E293" s="49">
        <f>IF($L293="D",INDEX('Zgłoszenia'!$I$5:$I$504,$M293)&amp;"",IF($L293="U",INDEX('Dane rozpisek'!$C$2:$C$2600,$M293)&amp;"",IF($L293="H","Stanowisko","")))</f>
        <v/>
      </c>
      <c r="F293" s="48">
        <f>IF($L293="D",INDEX('Zgłoszenia'!$J$5:$J$504,$M293)&amp;"",IF($L293="U",INDEX('Dane rozpisek'!$G$2:$G$2600,$M293)&amp;"",IF($L293="H","Uwagi","")))</f>
        <v/>
      </c>
      <c r="G293" s="49">
        <f>IF($L293="D",INDEX('Zgłoszenia'!$F$5:$F$504,$M293)&amp;"",IF($L293="U",INDEX('Dane rozpisek'!$L$2:$L$2600,$M293)&amp;"",IF($L293="H","Usterki (dzień / następny)","")))</f>
        <v/>
      </c>
      <c r="H293" s="49">
        <f>IF($L293="D",INDEX('Zgłoszenia'!$P$5:$P$504,$M293)&amp;"",IF($L293="U","",""))</f>
        <v/>
      </c>
      <c r="I293" s="48">
        <f>IF($L293="D",IF(INDEX('Zgłoszenia'!$M$5:$M$504,$M293)="","Zgłoszona",INDEX('Zgłoszenia'!$M$5:$M$504,$M293)),IF($L293="U","",""))</f>
        <v/>
      </c>
      <c r="J293" s="49">
        <f>IF($L293="D",INDEX('Zgłoszenia'!$K$5:$K$504,$M293)&amp;"",IF($L293="U","",""))</f>
        <v/>
      </c>
      <c r="K293" s="2" t="n"/>
      <c r="L293" s="2">
        <f>IF((ROW()-12)&lt;=$L$5,IF($L$2=0,"E1","D"),IF((ROW()-12)=$L$5+1,"",IF((ROW()-12)=$L$5+2,"T",IF((ROW()-12)=$L$5+3,IF($L$3=0,"E2","H"),IF((ROW()-12)&lt;=$L$5+3+$L$3,"U","")))))</f>
        <v/>
      </c>
      <c r="M293" s="2">
        <f>IF(L293="D",MATCH(LARGE('Zgłoszenia'!$Q$5:$Q$504,(ROW()-12)),'Zgłoszenia'!$Q$5:$Q$504,0),IF(L293="U",MATCH(LARGE('Dane rozpisek'!$I$2:$I$2600,(ROW()-12)-$L$5-3),'Dane rozpisek'!$I$2:$I$2600,0),""))</f>
        <v/>
      </c>
    </row>
    <row r="294">
      <c r="A294" s="47">
        <f>IF($L294="D",INDEX('Zgłoszenia'!$D$5:$D$504,$M294),IF($L294="U",INDEX('Dane rozpisek'!$A$2:$A$2600,$M294),IF($L294="T","KTO JEŹDZIŁ",IF($L294="E1","Brak zgłoszonych usterek w tym okresie.",IF($L294="E2","Brak wpisów z tym wózkiem w rozpiskach dla tego okresu.",IF($L294="H","Data",""))))))</f>
        <v/>
      </c>
      <c r="B294" s="48">
        <f>IF($L294="D",INDEX('Zgłoszenia'!$B$5:$B$504,$M294)&amp;"",IF($L294="U",INDEX('Dane rozpisek'!$F$2:$F$2600,$M294)&amp;"",IF($L294="H","Wózek","")))</f>
        <v/>
      </c>
      <c r="C294" s="48">
        <f>IF($L294="D",INDEX('Zgłoszenia'!$E$5:$E$504,$M294)&amp;"",IF($L294="U",INDEX('Dane rozpisek'!$B$2:$B$2600,$M294)&amp;" · "&amp;INDEX('Dane rozpisek'!$J$2:$J$2600,$M294),IF($L294="H","Zmiana","")))</f>
        <v/>
      </c>
      <c r="D294" s="49">
        <f>IF($L294="D",INDEX('Zgłoszenia'!$H$5:$H$504,$M294)&amp;"",IF($L294="U",INDEX('Dane rozpisek'!$E$2:$E$2600,$M294)&amp;"",IF($L294="H","Operator","")))</f>
        <v/>
      </c>
      <c r="E294" s="49">
        <f>IF($L294="D",INDEX('Zgłoszenia'!$I$5:$I$504,$M294)&amp;"",IF($L294="U",INDEX('Dane rozpisek'!$C$2:$C$2600,$M294)&amp;"",IF($L294="H","Stanowisko","")))</f>
        <v/>
      </c>
      <c r="F294" s="48">
        <f>IF($L294="D",INDEX('Zgłoszenia'!$J$5:$J$504,$M294)&amp;"",IF($L294="U",INDEX('Dane rozpisek'!$G$2:$G$2600,$M294)&amp;"",IF($L294="H","Uwagi","")))</f>
        <v/>
      </c>
      <c r="G294" s="49">
        <f>IF($L294="D",INDEX('Zgłoszenia'!$F$5:$F$504,$M294)&amp;"",IF($L294="U",INDEX('Dane rozpisek'!$L$2:$L$2600,$M294)&amp;"",IF($L294="H","Usterki (dzień / następny)","")))</f>
        <v/>
      </c>
      <c r="H294" s="49">
        <f>IF($L294="D",INDEX('Zgłoszenia'!$P$5:$P$504,$M294)&amp;"",IF($L294="U","",""))</f>
        <v/>
      </c>
      <c r="I294" s="48">
        <f>IF($L294="D",IF(INDEX('Zgłoszenia'!$M$5:$M$504,$M294)="","Zgłoszona",INDEX('Zgłoszenia'!$M$5:$M$504,$M294)),IF($L294="U","",""))</f>
        <v/>
      </c>
      <c r="J294" s="49">
        <f>IF($L294="D",INDEX('Zgłoszenia'!$K$5:$K$504,$M294)&amp;"",IF($L294="U","",""))</f>
        <v/>
      </c>
      <c r="K294" s="2" t="n"/>
      <c r="L294" s="2">
        <f>IF((ROW()-12)&lt;=$L$5,IF($L$2=0,"E1","D"),IF((ROW()-12)=$L$5+1,"",IF((ROW()-12)=$L$5+2,"T",IF((ROW()-12)=$L$5+3,IF($L$3=0,"E2","H"),IF((ROW()-12)&lt;=$L$5+3+$L$3,"U","")))))</f>
        <v/>
      </c>
      <c r="M294" s="2">
        <f>IF(L294="D",MATCH(LARGE('Zgłoszenia'!$Q$5:$Q$504,(ROW()-12)),'Zgłoszenia'!$Q$5:$Q$504,0),IF(L294="U",MATCH(LARGE('Dane rozpisek'!$I$2:$I$2600,(ROW()-12)-$L$5-3),'Dane rozpisek'!$I$2:$I$2600,0),""))</f>
        <v/>
      </c>
    </row>
    <row r="295">
      <c r="A295" s="47">
        <f>IF($L295="D",INDEX('Zgłoszenia'!$D$5:$D$504,$M295),IF($L295="U",INDEX('Dane rozpisek'!$A$2:$A$2600,$M295),IF($L295="T","KTO JEŹDZIŁ",IF($L295="E1","Brak zgłoszonych usterek w tym okresie.",IF($L295="E2","Brak wpisów z tym wózkiem w rozpiskach dla tego okresu.",IF($L295="H","Data",""))))))</f>
        <v/>
      </c>
      <c r="B295" s="48">
        <f>IF($L295="D",INDEX('Zgłoszenia'!$B$5:$B$504,$M295)&amp;"",IF($L295="U",INDEX('Dane rozpisek'!$F$2:$F$2600,$M295)&amp;"",IF($L295="H","Wózek","")))</f>
        <v/>
      </c>
      <c r="C295" s="48">
        <f>IF($L295="D",INDEX('Zgłoszenia'!$E$5:$E$504,$M295)&amp;"",IF($L295="U",INDEX('Dane rozpisek'!$B$2:$B$2600,$M295)&amp;" · "&amp;INDEX('Dane rozpisek'!$J$2:$J$2600,$M295),IF($L295="H","Zmiana","")))</f>
        <v/>
      </c>
      <c r="D295" s="49">
        <f>IF($L295="D",INDEX('Zgłoszenia'!$H$5:$H$504,$M295)&amp;"",IF($L295="U",INDEX('Dane rozpisek'!$E$2:$E$2600,$M295)&amp;"",IF($L295="H","Operator","")))</f>
        <v/>
      </c>
      <c r="E295" s="49">
        <f>IF($L295="D",INDEX('Zgłoszenia'!$I$5:$I$504,$M295)&amp;"",IF($L295="U",INDEX('Dane rozpisek'!$C$2:$C$2600,$M295)&amp;"",IF($L295="H","Stanowisko","")))</f>
        <v/>
      </c>
      <c r="F295" s="48">
        <f>IF($L295="D",INDEX('Zgłoszenia'!$J$5:$J$504,$M295)&amp;"",IF($L295="U",INDEX('Dane rozpisek'!$G$2:$G$2600,$M295)&amp;"",IF($L295="H","Uwagi","")))</f>
        <v/>
      </c>
      <c r="G295" s="49">
        <f>IF($L295="D",INDEX('Zgłoszenia'!$F$5:$F$504,$M295)&amp;"",IF($L295="U",INDEX('Dane rozpisek'!$L$2:$L$2600,$M295)&amp;"",IF($L295="H","Usterki (dzień / następny)","")))</f>
        <v/>
      </c>
      <c r="H295" s="49">
        <f>IF($L295="D",INDEX('Zgłoszenia'!$P$5:$P$504,$M295)&amp;"",IF($L295="U","",""))</f>
        <v/>
      </c>
      <c r="I295" s="48">
        <f>IF($L295="D",IF(INDEX('Zgłoszenia'!$M$5:$M$504,$M295)="","Zgłoszona",INDEX('Zgłoszenia'!$M$5:$M$504,$M295)),IF($L295="U","",""))</f>
        <v/>
      </c>
      <c r="J295" s="49">
        <f>IF($L295="D",INDEX('Zgłoszenia'!$K$5:$K$504,$M295)&amp;"",IF($L295="U","",""))</f>
        <v/>
      </c>
      <c r="K295" s="2" t="n"/>
      <c r="L295" s="2">
        <f>IF((ROW()-12)&lt;=$L$5,IF($L$2=0,"E1","D"),IF((ROW()-12)=$L$5+1,"",IF((ROW()-12)=$L$5+2,"T",IF((ROW()-12)=$L$5+3,IF($L$3=0,"E2","H"),IF((ROW()-12)&lt;=$L$5+3+$L$3,"U","")))))</f>
        <v/>
      </c>
      <c r="M295" s="2">
        <f>IF(L295="D",MATCH(LARGE('Zgłoszenia'!$Q$5:$Q$504,(ROW()-12)),'Zgłoszenia'!$Q$5:$Q$504,0),IF(L295="U",MATCH(LARGE('Dane rozpisek'!$I$2:$I$2600,(ROW()-12)-$L$5-3),'Dane rozpisek'!$I$2:$I$2600,0),""))</f>
        <v/>
      </c>
    </row>
    <row r="296">
      <c r="A296" s="47">
        <f>IF($L296="D",INDEX('Zgłoszenia'!$D$5:$D$504,$M296),IF($L296="U",INDEX('Dane rozpisek'!$A$2:$A$2600,$M296),IF($L296="T","KTO JEŹDZIŁ",IF($L296="E1","Brak zgłoszonych usterek w tym okresie.",IF($L296="E2","Brak wpisów z tym wózkiem w rozpiskach dla tego okresu.",IF($L296="H","Data",""))))))</f>
        <v/>
      </c>
      <c r="B296" s="48">
        <f>IF($L296="D",INDEX('Zgłoszenia'!$B$5:$B$504,$M296)&amp;"",IF($L296="U",INDEX('Dane rozpisek'!$F$2:$F$2600,$M296)&amp;"",IF($L296="H","Wózek","")))</f>
        <v/>
      </c>
      <c r="C296" s="48">
        <f>IF($L296="D",INDEX('Zgłoszenia'!$E$5:$E$504,$M296)&amp;"",IF($L296="U",INDEX('Dane rozpisek'!$B$2:$B$2600,$M296)&amp;" · "&amp;INDEX('Dane rozpisek'!$J$2:$J$2600,$M296),IF($L296="H","Zmiana","")))</f>
        <v/>
      </c>
      <c r="D296" s="49">
        <f>IF($L296="D",INDEX('Zgłoszenia'!$H$5:$H$504,$M296)&amp;"",IF($L296="U",INDEX('Dane rozpisek'!$E$2:$E$2600,$M296)&amp;"",IF($L296="H","Operator","")))</f>
        <v/>
      </c>
      <c r="E296" s="49">
        <f>IF($L296="D",INDEX('Zgłoszenia'!$I$5:$I$504,$M296)&amp;"",IF($L296="U",INDEX('Dane rozpisek'!$C$2:$C$2600,$M296)&amp;"",IF($L296="H","Stanowisko","")))</f>
        <v/>
      </c>
      <c r="F296" s="48">
        <f>IF($L296="D",INDEX('Zgłoszenia'!$J$5:$J$504,$M296)&amp;"",IF($L296="U",INDEX('Dane rozpisek'!$G$2:$G$2600,$M296)&amp;"",IF($L296="H","Uwagi","")))</f>
        <v/>
      </c>
      <c r="G296" s="49">
        <f>IF($L296="D",INDEX('Zgłoszenia'!$F$5:$F$504,$M296)&amp;"",IF($L296="U",INDEX('Dane rozpisek'!$L$2:$L$2600,$M296)&amp;"",IF($L296="H","Usterki (dzień / następny)","")))</f>
        <v/>
      </c>
      <c r="H296" s="49">
        <f>IF($L296="D",INDEX('Zgłoszenia'!$P$5:$P$504,$M296)&amp;"",IF($L296="U","",""))</f>
        <v/>
      </c>
      <c r="I296" s="48">
        <f>IF($L296="D",IF(INDEX('Zgłoszenia'!$M$5:$M$504,$M296)="","Zgłoszona",INDEX('Zgłoszenia'!$M$5:$M$504,$M296)),IF($L296="U","",""))</f>
        <v/>
      </c>
      <c r="J296" s="49">
        <f>IF($L296="D",INDEX('Zgłoszenia'!$K$5:$K$504,$M296)&amp;"",IF($L296="U","",""))</f>
        <v/>
      </c>
      <c r="K296" s="2" t="n"/>
      <c r="L296" s="2">
        <f>IF((ROW()-12)&lt;=$L$5,IF($L$2=0,"E1","D"),IF((ROW()-12)=$L$5+1,"",IF((ROW()-12)=$L$5+2,"T",IF((ROW()-12)=$L$5+3,IF($L$3=0,"E2","H"),IF((ROW()-12)&lt;=$L$5+3+$L$3,"U","")))))</f>
        <v/>
      </c>
      <c r="M296" s="2">
        <f>IF(L296="D",MATCH(LARGE('Zgłoszenia'!$Q$5:$Q$504,(ROW()-12)),'Zgłoszenia'!$Q$5:$Q$504,0),IF(L296="U",MATCH(LARGE('Dane rozpisek'!$I$2:$I$2600,(ROW()-12)-$L$5-3),'Dane rozpisek'!$I$2:$I$2600,0),""))</f>
        <v/>
      </c>
    </row>
    <row r="297">
      <c r="A297" s="47">
        <f>IF($L297="D",INDEX('Zgłoszenia'!$D$5:$D$504,$M297),IF($L297="U",INDEX('Dane rozpisek'!$A$2:$A$2600,$M297),IF($L297="T","KTO JEŹDZIŁ",IF($L297="E1","Brak zgłoszonych usterek w tym okresie.",IF($L297="E2","Brak wpisów z tym wózkiem w rozpiskach dla tego okresu.",IF($L297="H","Data",""))))))</f>
        <v/>
      </c>
      <c r="B297" s="48">
        <f>IF($L297="D",INDEX('Zgłoszenia'!$B$5:$B$504,$M297)&amp;"",IF($L297="U",INDEX('Dane rozpisek'!$F$2:$F$2600,$M297)&amp;"",IF($L297="H","Wózek","")))</f>
        <v/>
      </c>
      <c r="C297" s="48">
        <f>IF($L297="D",INDEX('Zgłoszenia'!$E$5:$E$504,$M297)&amp;"",IF($L297="U",INDEX('Dane rozpisek'!$B$2:$B$2600,$M297)&amp;" · "&amp;INDEX('Dane rozpisek'!$J$2:$J$2600,$M297),IF($L297="H","Zmiana","")))</f>
        <v/>
      </c>
      <c r="D297" s="49">
        <f>IF($L297="D",INDEX('Zgłoszenia'!$H$5:$H$504,$M297)&amp;"",IF($L297="U",INDEX('Dane rozpisek'!$E$2:$E$2600,$M297)&amp;"",IF($L297="H","Operator","")))</f>
        <v/>
      </c>
      <c r="E297" s="49">
        <f>IF($L297="D",INDEX('Zgłoszenia'!$I$5:$I$504,$M297)&amp;"",IF($L297="U",INDEX('Dane rozpisek'!$C$2:$C$2600,$M297)&amp;"",IF($L297="H","Stanowisko","")))</f>
        <v/>
      </c>
      <c r="F297" s="48">
        <f>IF($L297="D",INDEX('Zgłoszenia'!$J$5:$J$504,$M297)&amp;"",IF($L297="U",INDEX('Dane rozpisek'!$G$2:$G$2600,$M297)&amp;"",IF($L297="H","Uwagi","")))</f>
        <v/>
      </c>
      <c r="G297" s="49">
        <f>IF($L297="D",INDEX('Zgłoszenia'!$F$5:$F$504,$M297)&amp;"",IF($L297="U",INDEX('Dane rozpisek'!$L$2:$L$2600,$M297)&amp;"",IF($L297="H","Usterki (dzień / następny)","")))</f>
        <v/>
      </c>
      <c r="H297" s="49">
        <f>IF($L297="D",INDEX('Zgłoszenia'!$P$5:$P$504,$M297)&amp;"",IF($L297="U","",""))</f>
        <v/>
      </c>
      <c r="I297" s="48">
        <f>IF($L297="D",IF(INDEX('Zgłoszenia'!$M$5:$M$504,$M297)="","Zgłoszona",INDEX('Zgłoszenia'!$M$5:$M$504,$M297)),IF($L297="U","",""))</f>
        <v/>
      </c>
      <c r="J297" s="49">
        <f>IF($L297="D",INDEX('Zgłoszenia'!$K$5:$K$504,$M297)&amp;"",IF($L297="U","",""))</f>
        <v/>
      </c>
      <c r="K297" s="2" t="n"/>
      <c r="L297" s="2">
        <f>IF((ROW()-12)&lt;=$L$5,IF($L$2=0,"E1","D"),IF((ROW()-12)=$L$5+1,"",IF((ROW()-12)=$L$5+2,"T",IF((ROW()-12)=$L$5+3,IF($L$3=0,"E2","H"),IF((ROW()-12)&lt;=$L$5+3+$L$3,"U","")))))</f>
        <v/>
      </c>
      <c r="M297" s="2">
        <f>IF(L297="D",MATCH(LARGE('Zgłoszenia'!$Q$5:$Q$504,(ROW()-12)),'Zgłoszenia'!$Q$5:$Q$504,0),IF(L297="U",MATCH(LARGE('Dane rozpisek'!$I$2:$I$2600,(ROW()-12)-$L$5-3),'Dane rozpisek'!$I$2:$I$2600,0),""))</f>
        <v/>
      </c>
    </row>
    <row r="298">
      <c r="A298" s="47">
        <f>IF($L298="D",INDEX('Zgłoszenia'!$D$5:$D$504,$M298),IF($L298="U",INDEX('Dane rozpisek'!$A$2:$A$2600,$M298),IF($L298="T","KTO JEŹDZIŁ",IF($L298="E1","Brak zgłoszonych usterek w tym okresie.",IF($L298="E2","Brak wpisów z tym wózkiem w rozpiskach dla tego okresu.",IF($L298="H","Data",""))))))</f>
        <v/>
      </c>
      <c r="B298" s="48">
        <f>IF($L298="D",INDEX('Zgłoszenia'!$B$5:$B$504,$M298)&amp;"",IF($L298="U",INDEX('Dane rozpisek'!$F$2:$F$2600,$M298)&amp;"",IF($L298="H","Wózek","")))</f>
        <v/>
      </c>
      <c r="C298" s="48">
        <f>IF($L298="D",INDEX('Zgłoszenia'!$E$5:$E$504,$M298)&amp;"",IF($L298="U",INDEX('Dane rozpisek'!$B$2:$B$2600,$M298)&amp;" · "&amp;INDEX('Dane rozpisek'!$J$2:$J$2600,$M298),IF($L298="H","Zmiana","")))</f>
        <v/>
      </c>
      <c r="D298" s="49">
        <f>IF($L298="D",INDEX('Zgłoszenia'!$H$5:$H$504,$M298)&amp;"",IF($L298="U",INDEX('Dane rozpisek'!$E$2:$E$2600,$M298)&amp;"",IF($L298="H","Operator","")))</f>
        <v/>
      </c>
      <c r="E298" s="49">
        <f>IF($L298="D",INDEX('Zgłoszenia'!$I$5:$I$504,$M298)&amp;"",IF($L298="U",INDEX('Dane rozpisek'!$C$2:$C$2600,$M298)&amp;"",IF($L298="H","Stanowisko","")))</f>
        <v/>
      </c>
      <c r="F298" s="48">
        <f>IF($L298="D",INDEX('Zgłoszenia'!$J$5:$J$504,$M298)&amp;"",IF($L298="U",INDEX('Dane rozpisek'!$G$2:$G$2600,$M298)&amp;"",IF($L298="H","Uwagi","")))</f>
        <v/>
      </c>
      <c r="G298" s="49">
        <f>IF($L298="D",INDEX('Zgłoszenia'!$F$5:$F$504,$M298)&amp;"",IF($L298="U",INDEX('Dane rozpisek'!$L$2:$L$2600,$M298)&amp;"",IF($L298="H","Usterki (dzień / następny)","")))</f>
        <v/>
      </c>
      <c r="H298" s="49">
        <f>IF($L298="D",INDEX('Zgłoszenia'!$P$5:$P$504,$M298)&amp;"",IF($L298="U","",""))</f>
        <v/>
      </c>
      <c r="I298" s="48">
        <f>IF($L298="D",IF(INDEX('Zgłoszenia'!$M$5:$M$504,$M298)="","Zgłoszona",INDEX('Zgłoszenia'!$M$5:$M$504,$M298)),IF($L298="U","",""))</f>
        <v/>
      </c>
      <c r="J298" s="49">
        <f>IF($L298="D",INDEX('Zgłoszenia'!$K$5:$K$504,$M298)&amp;"",IF($L298="U","",""))</f>
        <v/>
      </c>
      <c r="K298" s="2" t="n"/>
      <c r="L298" s="2">
        <f>IF((ROW()-12)&lt;=$L$5,IF($L$2=0,"E1","D"),IF((ROW()-12)=$L$5+1,"",IF((ROW()-12)=$L$5+2,"T",IF((ROW()-12)=$L$5+3,IF($L$3=0,"E2","H"),IF((ROW()-12)&lt;=$L$5+3+$L$3,"U","")))))</f>
        <v/>
      </c>
      <c r="M298" s="2">
        <f>IF(L298="D",MATCH(LARGE('Zgłoszenia'!$Q$5:$Q$504,(ROW()-12)),'Zgłoszenia'!$Q$5:$Q$504,0),IF(L298="U",MATCH(LARGE('Dane rozpisek'!$I$2:$I$2600,(ROW()-12)-$L$5-3),'Dane rozpisek'!$I$2:$I$2600,0),""))</f>
        <v/>
      </c>
    </row>
    <row r="299">
      <c r="A299" s="47">
        <f>IF($L299="D",INDEX('Zgłoszenia'!$D$5:$D$504,$M299),IF($L299="U",INDEX('Dane rozpisek'!$A$2:$A$2600,$M299),IF($L299="T","KTO JEŹDZIŁ",IF($L299="E1","Brak zgłoszonych usterek w tym okresie.",IF($L299="E2","Brak wpisów z tym wózkiem w rozpiskach dla tego okresu.",IF($L299="H","Data",""))))))</f>
        <v/>
      </c>
      <c r="B299" s="48">
        <f>IF($L299="D",INDEX('Zgłoszenia'!$B$5:$B$504,$M299)&amp;"",IF($L299="U",INDEX('Dane rozpisek'!$F$2:$F$2600,$M299)&amp;"",IF($L299="H","Wózek","")))</f>
        <v/>
      </c>
      <c r="C299" s="48">
        <f>IF($L299="D",INDEX('Zgłoszenia'!$E$5:$E$504,$M299)&amp;"",IF($L299="U",INDEX('Dane rozpisek'!$B$2:$B$2600,$M299)&amp;" · "&amp;INDEX('Dane rozpisek'!$J$2:$J$2600,$M299),IF($L299="H","Zmiana","")))</f>
        <v/>
      </c>
      <c r="D299" s="49">
        <f>IF($L299="D",INDEX('Zgłoszenia'!$H$5:$H$504,$M299)&amp;"",IF($L299="U",INDEX('Dane rozpisek'!$E$2:$E$2600,$M299)&amp;"",IF($L299="H","Operator","")))</f>
        <v/>
      </c>
      <c r="E299" s="49">
        <f>IF($L299="D",INDEX('Zgłoszenia'!$I$5:$I$504,$M299)&amp;"",IF($L299="U",INDEX('Dane rozpisek'!$C$2:$C$2600,$M299)&amp;"",IF($L299="H","Stanowisko","")))</f>
        <v/>
      </c>
      <c r="F299" s="48">
        <f>IF($L299="D",INDEX('Zgłoszenia'!$J$5:$J$504,$M299)&amp;"",IF($L299="U",INDEX('Dane rozpisek'!$G$2:$G$2600,$M299)&amp;"",IF($L299="H","Uwagi","")))</f>
        <v/>
      </c>
      <c r="G299" s="49">
        <f>IF($L299="D",INDEX('Zgłoszenia'!$F$5:$F$504,$M299)&amp;"",IF($L299="U",INDEX('Dane rozpisek'!$L$2:$L$2600,$M299)&amp;"",IF($L299="H","Usterki (dzień / następny)","")))</f>
        <v/>
      </c>
      <c r="H299" s="49">
        <f>IF($L299="D",INDEX('Zgłoszenia'!$P$5:$P$504,$M299)&amp;"",IF($L299="U","",""))</f>
        <v/>
      </c>
      <c r="I299" s="48">
        <f>IF($L299="D",IF(INDEX('Zgłoszenia'!$M$5:$M$504,$M299)="","Zgłoszona",INDEX('Zgłoszenia'!$M$5:$M$504,$M299)),IF($L299="U","",""))</f>
        <v/>
      </c>
      <c r="J299" s="49">
        <f>IF($L299="D",INDEX('Zgłoszenia'!$K$5:$K$504,$M299)&amp;"",IF($L299="U","",""))</f>
        <v/>
      </c>
      <c r="K299" s="2" t="n"/>
      <c r="L299" s="2">
        <f>IF((ROW()-12)&lt;=$L$5,IF($L$2=0,"E1","D"),IF((ROW()-12)=$L$5+1,"",IF((ROW()-12)=$L$5+2,"T",IF((ROW()-12)=$L$5+3,IF($L$3=0,"E2","H"),IF((ROW()-12)&lt;=$L$5+3+$L$3,"U","")))))</f>
        <v/>
      </c>
      <c r="M299" s="2">
        <f>IF(L299="D",MATCH(LARGE('Zgłoszenia'!$Q$5:$Q$504,(ROW()-12)),'Zgłoszenia'!$Q$5:$Q$504,0),IF(L299="U",MATCH(LARGE('Dane rozpisek'!$I$2:$I$2600,(ROW()-12)-$L$5-3),'Dane rozpisek'!$I$2:$I$2600,0),""))</f>
        <v/>
      </c>
    </row>
    <row r="300">
      <c r="A300" s="47">
        <f>IF($L300="D",INDEX('Zgłoszenia'!$D$5:$D$504,$M300),IF($L300="U",INDEX('Dane rozpisek'!$A$2:$A$2600,$M300),IF($L300="T","KTO JEŹDZIŁ",IF($L300="E1","Brak zgłoszonych usterek w tym okresie.",IF($L300="E2","Brak wpisów z tym wózkiem w rozpiskach dla tego okresu.",IF($L300="H","Data",""))))))</f>
        <v/>
      </c>
      <c r="B300" s="48">
        <f>IF($L300="D",INDEX('Zgłoszenia'!$B$5:$B$504,$M300)&amp;"",IF($L300="U",INDEX('Dane rozpisek'!$F$2:$F$2600,$M300)&amp;"",IF($L300="H","Wózek","")))</f>
        <v/>
      </c>
      <c r="C300" s="48">
        <f>IF($L300="D",INDEX('Zgłoszenia'!$E$5:$E$504,$M300)&amp;"",IF($L300="U",INDEX('Dane rozpisek'!$B$2:$B$2600,$M300)&amp;" · "&amp;INDEX('Dane rozpisek'!$J$2:$J$2600,$M300),IF($L300="H","Zmiana","")))</f>
        <v/>
      </c>
      <c r="D300" s="49">
        <f>IF($L300="D",INDEX('Zgłoszenia'!$H$5:$H$504,$M300)&amp;"",IF($L300="U",INDEX('Dane rozpisek'!$E$2:$E$2600,$M300)&amp;"",IF($L300="H","Operator","")))</f>
        <v/>
      </c>
      <c r="E300" s="49">
        <f>IF($L300="D",INDEX('Zgłoszenia'!$I$5:$I$504,$M300)&amp;"",IF($L300="U",INDEX('Dane rozpisek'!$C$2:$C$2600,$M300)&amp;"",IF($L300="H","Stanowisko","")))</f>
        <v/>
      </c>
      <c r="F300" s="48">
        <f>IF($L300="D",INDEX('Zgłoszenia'!$J$5:$J$504,$M300)&amp;"",IF($L300="U",INDEX('Dane rozpisek'!$G$2:$G$2600,$M300)&amp;"",IF($L300="H","Uwagi","")))</f>
        <v/>
      </c>
      <c r="G300" s="49">
        <f>IF($L300="D",INDEX('Zgłoszenia'!$F$5:$F$504,$M300)&amp;"",IF($L300="U",INDEX('Dane rozpisek'!$L$2:$L$2600,$M300)&amp;"",IF($L300="H","Usterki (dzień / następny)","")))</f>
        <v/>
      </c>
      <c r="H300" s="49">
        <f>IF($L300="D",INDEX('Zgłoszenia'!$P$5:$P$504,$M300)&amp;"",IF($L300="U","",""))</f>
        <v/>
      </c>
      <c r="I300" s="48">
        <f>IF($L300="D",IF(INDEX('Zgłoszenia'!$M$5:$M$504,$M300)="","Zgłoszona",INDEX('Zgłoszenia'!$M$5:$M$504,$M300)),IF($L300="U","",""))</f>
        <v/>
      </c>
      <c r="J300" s="49">
        <f>IF($L300="D",INDEX('Zgłoszenia'!$K$5:$K$504,$M300)&amp;"",IF($L300="U","",""))</f>
        <v/>
      </c>
      <c r="K300" s="2" t="n"/>
      <c r="L300" s="2">
        <f>IF((ROW()-12)&lt;=$L$5,IF($L$2=0,"E1","D"),IF((ROW()-12)=$L$5+1,"",IF((ROW()-12)=$L$5+2,"T",IF((ROW()-12)=$L$5+3,IF($L$3=0,"E2","H"),IF((ROW()-12)&lt;=$L$5+3+$L$3,"U","")))))</f>
        <v/>
      </c>
      <c r="M300" s="2">
        <f>IF(L300="D",MATCH(LARGE('Zgłoszenia'!$Q$5:$Q$504,(ROW()-12)),'Zgłoszenia'!$Q$5:$Q$504,0),IF(L300="U",MATCH(LARGE('Dane rozpisek'!$I$2:$I$2600,(ROW()-12)-$L$5-3),'Dane rozpisek'!$I$2:$I$2600,0),""))</f>
        <v/>
      </c>
    </row>
    <row r="301">
      <c r="A301" s="47">
        <f>IF($L301="D",INDEX('Zgłoszenia'!$D$5:$D$504,$M301),IF($L301="U",INDEX('Dane rozpisek'!$A$2:$A$2600,$M301),IF($L301="T","KTO JEŹDZIŁ",IF($L301="E1","Brak zgłoszonych usterek w tym okresie.",IF($L301="E2","Brak wpisów z tym wózkiem w rozpiskach dla tego okresu.",IF($L301="H","Data",""))))))</f>
        <v/>
      </c>
      <c r="B301" s="48">
        <f>IF($L301="D",INDEX('Zgłoszenia'!$B$5:$B$504,$M301)&amp;"",IF($L301="U",INDEX('Dane rozpisek'!$F$2:$F$2600,$M301)&amp;"",IF($L301="H","Wózek","")))</f>
        <v/>
      </c>
      <c r="C301" s="48">
        <f>IF($L301="D",INDEX('Zgłoszenia'!$E$5:$E$504,$M301)&amp;"",IF($L301="U",INDEX('Dane rozpisek'!$B$2:$B$2600,$M301)&amp;" · "&amp;INDEX('Dane rozpisek'!$J$2:$J$2600,$M301),IF($L301="H","Zmiana","")))</f>
        <v/>
      </c>
      <c r="D301" s="49">
        <f>IF($L301="D",INDEX('Zgłoszenia'!$H$5:$H$504,$M301)&amp;"",IF($L301="U",INDEX('Dane rozpisek'!$E$2:$E$2600,$M301)&amp;"",IF($L301="H","Operator","")))</f>
        <v/>
      </c>
      <c r="E301" s="49">
        <f>IF($L301="D",INDEX('Zgłoszenia'!$I$5:$I$504,$M301)&amp;"",IF($L301="U",INDEX('Dane rozpisek'!$C$2:$C$2600,$M301)&amp;"",IF($L301="H","Stanowisko","")))</f>
        <v/>
      </c>
      <c r="F301" s="48">
        <f>IF($L301="D",INDEX('Zgłoszenia'!$J$5:$J$504,$M301)&amp;"",IF($L301="U",INDEX('Dane rozpisek'!$G$2:$G$2600,$M301)&amp;"",IF($L301="H","Uwagi","")))</f>
        <v/>
      </c>
      <c r="G301" s="49">
        <f>IF($L301="D",INDEX('Zgłoszenia'!$F$5:$F$504,$M301)&amp;"",IF($L301="U",INDEX('Dane rozpisek'!$L$2:$L$2600,$M301)&amp;"",IF($L301="H","Usterki (dzień / następny)","")))</f>
        <v/>
      </c>
      <c r="H301" s="49">
        <f>IF($L301="D",INDEX('Zgłoszenia'!$P$5:$P$504,$M301)&amp;"",IF($L301="U","",""))</f>
        <v/>
      </c>
      <c r="I301" s="48">
        <f>IF($L301="D",IF(INDEX('Zgłoszenia'!$M$5:$M$504,$M301)="","Zgłoszona",INDEX('Zgłoszenia'!$M$5:$M$504,$M301)),IF($L301="U","",""))</f>
        <v/>
      </c>
      <c r="J301" s="49">
        <f>IF($L301="D",INDEX('Zgłoszenia'!$K$5:$K$504,$M301)&amp;"",IF($L301="U","",""))</f>
        <v/>
      </c>
      <c r="K301" s="2" t="n"/>
      <c r="L301" s="2">
        <f>IF((ROW()-12)&lt;=$L$5,IF($L$2=0,"E1","D"),IF((ROW()-12)=$L$5+1,"",IF((ROW()-12)=$L$5+2,"T",IF((ROW()-12)=$L$5+3,IF($L$3=0,"E2","H"),IF((ROW()-12)&lt;=$L$5+3+$L$3,"U","")))))</f>
        <v/>
      </c>
      <c r="M301" s="2">
        <f>IF(L301="D",MATCH(LARGE('Zgłoszenia'!$Q$5:$Q$504,(ROW()-12)),'Zgłoszenia'!$Q$5:$Q$504,0),IF(L301="U",MATCH(LARGE('Dane rozpisek'!$I$2:$I$2600,(ROW()-12)-$L$5-3),'Dane rozpisek'!$I$2:$I$2600,0),""))</f>
        <v/>
      </c>
    </row>
    <row r="302">
      <c r="A302" s="47">
        <f>IF($L302="D",INDEX('Zgłoszenia'!$D$5:$D$504,$M302),IF($L302="U",INDEX('Dane rozpisek'!$A$2:$A$2600,$M302),IF($L302="T","KTO JEŹDZIŁ",IF($L302="E1","Brak zgłoszonych usterek w tym okresie.",IF($L302="E2","Brak wpisów z tym wózkiem w rozpiskach dla tego okresu.",IF($L302="H","Data",""))))))</f>
        <v/>
      </c>
      <c r="B302" s="48">
        <f>IF($L302="D",INDEX('Zgłoszenia'!$B$5:$B$504,$M302)&amp;"",IF($L302="U",INDEX('Dane rozpisek'!$F$2:$F$2600,$M302)&amp;"",IF($L302="H","Wózek","")))</f>
        <v/>
      </c>
      <c r="C302" s="48">
        <f>IF($L302="D",INDEX('Zgłoszenia'!$E$5:$E$504,$M302)&amp;"",IF($L302="U",INDEX('Dane rozpisek'!$B$2:$B$2600,$M302)&amp;" · "&amp;INDEX('Dane rozpisek'!$J$2:$J$2600,$M302),IF($L302="H","Zmiana","")))</f>
        <v/>
      </c>
      <c r="D302" s="49">
        <f>IF($L302="D",INDEX('Zgłoszenia'!$H$5:$H$504,$M302)&amp;"",IF($L302="U",INDEX('Dane rozpisek'!$E$2:$E$2600,$M302)&amp;"",IF($L302="H","Operator","")))</f>
        <v/>
      </c>
      <c r="E302" s="49">
        <f>IF($L302="D",INDEX('Zgłoszenia'!$I$5:$I$504,$M302)&amp;"",IF($L302="U",INDEX('Dane rozpisek'!$C$2:$C$2600,$M302)&amp;"",IF($L302="H","Stanowisko","")))</f>
        <v/>
      </c>
      <c r="F302" s="48">
        <f>IF($L302="D",INDEX('Zgłoszenia'!$J$5:$J$504,$M302)&amp;"",IF($L302="U",INDEX('Dane rozpisek'!$G$2:$G$2600,$M302)&amp;"",IF($L302="H","Uwagi","")))</f>
        <v/>
      </c>
      <c r="G302" s="49">
        <f>IF($L302="D",INDEX('Zgłoszenia'!$F$5:$F$504,$M302)&amp;"",IF($L302="U",INDEX('Dane rozpisek'!$L$2:$L$2600,$M302)&amp;"",IF($L302="H","Usterki (dzień / następny)","")))</f>
        <v/>
      </c>
      <c r="H302" s="49">
        <f>IF($L302="D",INDEX('Zgłoszenia'!$P$5:$P$504,$M302)&amp;"",IF($L302="U","",""))</f>
        <v/>
      </c>
      <c r="I302" s="48">
        <f>IF($L302="D",IF(INDEX('Zgłoszenia'!$M$5:$M$504,$M302)="","Zgłoszona",INDEX('Zgłoszenia'!$M$5:$M$504,$M302)),IF($L302="U","",""))</f>
        <v/>
      </c>
      <c r="J302" s="49">
        <f>IF($L302="D",INDEX('Zgłoszenia'!$K$5:$K$504,$M302)&amp;"",IF($L302="U","",""))</f>
        <v/>
      </c>
      <c r="K302" s="2" t="n"/>
      <c r="L302" s="2">
        <f>IF((ROW()-12)&lt;=$L$5,IF($L$2=0,"E1","D"),IF((ROW()-12)=$L$5+1,"",IF((ROW()-12)=$L$5+2,"T",IF((ROW()-12)=$L$5+3,IF($L$3=0,"E2","H"),IF((ROW()-12)&lt;=$L$5+3+$L$3,"U","")))))</f>
        <v/>
      </c>
      <c r="M302" s="2">
        <f>IF(L302="D",MATCH(LARGE('Zgłoszenia'!$Q$5:$Q$504,(ROW()-12)),'Zgłoszenia'!$Q$5:$Q$504,0),IF(L302="U",MATCH(LARGE('Dane rozpisek'!$I$2:$I$2600,(ROW()-12)-$L$5-3),'Dane rozpisek'!$I$2:$I$2600,0),""))</f>
        <v/>
      </c>
    </row>
    <row r="303">
      <c r="A303" s="47">
        <f>IF($L303="D",INDEX('Zgłoszenia'!$D$5:$D$504,$M303),IF($L303="U",INDEX('Dane rozpisek'!$A$2:$A$2600,$M303),IF($L303="T","KTO JEŹDZIŁ",IF($L303="E1","Brak zgłoszonych usterek w tym okresie.",IF($L303="E2","Brak wpisów z tym wózkiem w rozpiskach dla tego okresu.",IF($L303="H","Data",""))))))</f>
        <v/>
      </c>
      <c r="B303" s="48">
        <f>IF($L303="D",INDEX('Zgłoszenia'!$B$5:$B$504,$M303)&amp;"",IF($L303="U",INDEX('Dane rozpisek'!$F$2:$F$2600,$M303)&amp;"",IF($L303="H","Wózek","")))</f>
        <v/>
      </c>
      <c r="C303" s="48">
        <f>IF($L303="D",INDEX('Zgłoszenia'!$E$5:$E$504,$M303)&amp;"",IF($L303="U",INDEX('Dane rozpisek'!$B$2:$B$2600,$M303)&amp;" · "&amp;INDEX('Dane rozpisek'!$J$2:$J$2600,$M303),IF($L303="H","Zmiana","")))</f>
        <v/>
      </c>
      <c r="D303" s="49">
        <f>IF($L303="D",INDEX('Zgłoszenia'!$H$5:$H$504,$M303)&amp;"",IF($L303="U",INDEX('Dane rozpisek'!$E$2:$E$2600,$M303)&amp;"",IF($L303="H","Operator","")))</f>
        <v/>
      </c>
      <c r="E303" s="49">
        <f>IF($L303="D",INDEX('Zgłoszenia'!$I$5:$I$504,$M303)&amp;"",IF($L303="U",INDEX('Dane rozpisek'!$C$2:$C$2600,$M303)&amp;"",IF($L303="H","Stanowisko","")))</f>
        <v/>
      </c>
      <c r="F303" s="48">
        <f>IF($L303="D",INDEX('Zgłoszenia'!$J$5:$J$504,$M303)&amp;"",IF($L303="U",INDEX('Dane rozpisek'!$G$2:$G$2600,$M303)&amp;"",IF($L303="H","Uwagi","")))</f>
        <v/>
      </c>
      <c r="G303" s="49">
        <f>IF($L303="D",INDEX('Zgłoszenia'!$F$5:$F$504,$M303)&amp;"",IF($L303="U",INDEX('Dane rozpisek'!$L$2:$L$2600,$M303)&amp;"",IF($L303="H","Usterki (dzień / następny)","")))</f>
        <v/>
      </c>
      <c r="H303" s="49">
        <f>IF($L303="D",INDEX('Zgłoszenia'!$P$5:$P$504,$M303)&amp;"",IF($L303="U","",""))</f>
        <v/>
      </c>
      <c r="I303" s="48">
        <f>IF($L303="D",IF(INDEX('Zgłoszenia'!$M$5:$M$504,$M303)="","Zgłoszona",INDEX('Zgłoszenia'!$M$5:$M$504,$M303)),IF($L303="U","",""))</f>
        <v/>
      </c>
      <c r="J303" s="49">
        <f>IF($L303="D",INDEX('Zgłoszenia'!$K$5:$K$504,$M303)&amp;"",IF($L303="U","",""))</f>
        <v/>
      </c>
      <c r="K303" s="2" t="n"/>
      <c r="L303" s="2">
        <f>IF((ROW()-12)&lt;=$L$5,IF($L$2=0,"E1","D"),IF((ROW()-12)=$L$5+1,"",IF((ROW()-12)=$L$5+2,"T",IF((ROW()-12)=$L$5+3,IF($L$3=0,"E2","H"),IF((ROW()-12)&lt;=$L$5+3+$L$3,"U","")))))</f>
        <v/>
      </c>
      <c r="M303" s="2">
        <f>IF(L303="D",MATCH(LARGE('Zgłoszenia'!$Q$5:$Q$504,(ROW()-12)),'Zgłoszenia'!$Q$5:$Q$504,0),IF(L303="U",MATCH(LARGE('Dane rozpisek'!$I$2:$I$2600,(ROW()-12)-$L$5-3),'Dane rozpisek'!$I$2:$I$2600,0),""))</f>
        <v/>
      </c>
    </row>
    <row r="304">
      <c r="A304" s="47">
        <f>IF($L304="D",INDEX('Zgłoszenia'!$D$5:$D$504,$M304),IF($L304="U",INDEX('Dane rozpisek'!$A$2:$A$2600,$M304),IF($L304="T","KTO JEŹDZIŁ",IF($L304="E1","Brak zgłoszonych usterek w tym okresie.",IF($L304="E2","Brak wpisów z tym wózkiem w rozpiskach dla tego okresu.",IF($L304="H","Data",""))))))</f>
        <v/>
      </c>
      <c r="B304" s="48">
        <f>IF($L304="D",INDEX('Zgłoszenia'!$B$5:$B$504,$M304)&amp;"",IF($L304="U",INDEX('Dane rozpisek'!$F$2:$F$2600,$M304)&amp;"",IF($L304="H","Wózek","")))</f>
        <v/>
      </c>
      <c r="C304" s="48">
        <f>IF($L304="D",INDEX('Zgłoszenia'!$E$5:$E$504,$M304)&amp;"",IF($L304="U",INDEX('Dane rozpisek'!$B$2:$B$2600,$M304)&amp;" · "&amp;INDEX('Dane rozpisek'!$J$2:$J$2600,$M304),IF($L304="H","Zmiana","")))</f>
        <v/>
      </c>
      <c r="D304" s="49">
        <f>IF($L304="D",INDEX('Zgłoszenia'!$H$5:$H$504,$M304)&amp;"",IF($L304="U",INDEX('Dane rozpisek'!$E$2:$E$2600,$M304)&amp;"",IF($L304="H","Operator","")))</f>
        <v/>
      </c>
      <c r="E304" s="49">
        <f>IF($L304="D",INDEX('Zgłoszenia'!$I$5:$I$504,$M304)&amp;"",IF($L304="U",INDEX('Dane rozpisek'!$C$2:$C$2600,$M304)&amp;"",IF($L304="H","Stanowisko","")))</f>
        <v/>
      </c>
      <c r="F304" s="48">
        <f>IF($L304="D",INDEX('Zgłoszenia'!$J$5:$J$504,$M304)&amp;"",IF($L304="U",INDEX('Dane rozpisek'!$G$2:$G$2600,$M304)&amp;"",IF($L304="H","Uwagi","")))</f>
        <v/>
      </c>
      <c r="G304" s="49">
        <f>IF($L304="D",INDEX('Zgłoszenia'!$F$5:$F$504,$M304)&amp;"",IF($L304="U",INDEX('Dane rozpisek'!$L$2:$L$2600,$M304)&amp;"",IF($L304="H","Usterki (dzień / następny)","")))</f>
        <v/>
      </c>
      <c r="H304" s="49">
        <f>IF($L304="D",INDEX('Zgłoszenia'!$P$5:$P$504,$M304)&amp;"",IF($L304="U","",""))</f>
        <v/>
      </c>
      <c r="I304" s="48">
        <f>IF($L304="D",IF(INDEX('Zgłoszenia'!$M$5:$M$504,$M304)="","Zgłoszona",INDEX('Zgłoszenia'!$M$5:$M$504,$M304)),IF($L304="U","",""))</f>
        <v/>
      </c>
      <c r="J304" s="49">
        <f>IF($L304="D",INDEX('Zgłoszenia'!$K$5:$K$504,$M304)&amp;"",IF($L304="U","",""))</f>
        <v/>
      </c>
      <c r="K304" s="2" t="n"/>
      <c r="L304" s="2">
        <f>IF((ROW()-12)&lt;=$L$5,IF($L$2=0,"E1","D"),IF((ROW()-12)=$L$5+1,"",IF((ROW()-12)=$L$5+2,"T",IF((ROW()-12)=$L$5+3,IF($L$3=0,"E2","H"),IF((ROW()-12)&lt;=$L$5+3+$L$3,"U","")))))</f>
        <v/>
      </c>
      <c r="M304" s="2">
        <f>IF(L304="D",MATCH(LARGE('Zgłoszenia'!$Q$5:$Q$504,(ROW()-12)),'Zgłoszenia'!$Q$5:$Q$504,0),IF(L304="U",MATCH(LARGE('Dane rozpisek'!$I$2:$I$2600,(ROW()-12)-$L$5-3),'Dane rozpisek'!$I$2:$I$2600,0),""))</f>
        <v/>
      </c>
    </row>
    <row r="305">
      <c r="A305" s="47">
        <f>IF($L305="D",INDEX('Zgłoszenia'!$D$5:$D$504,$M305),IF($L305="U",INDEX('Dane rozpisek'!$A$2:$A$2600,$M305),IF($L305="T","KTO JEŹDZIŁ",IF($L305="E1","Brak zgłoszonych usterek w tym okresie.",IF($L305="E2","Brak wpisów z tym wózkiem w rozpiskach dla tego okresu.",IF($L305="H","Data",""))))))</f>
        <v/>
      </c>
      <c r="B305" s="48">
        <f>IF($L305="D",INDEX('Zgłoszenia'!$B$5:$B$504,$M305)&amp;"",IF($L305="U",INDEX('Dane rozpisek'!$F$2:$F$2600,$M305)&amp;"",IF($L305="H","Wózek","")))</f>
        <v/>
      </c>
      <c r="C305" s="48">
        <f>IF($L305="D",INDEX('Zgłoszenia'!$E$5:$E$504,$M305)&amp;"",IF($L305="U",INDEX('Dane rozpisek'!$B$2:$B$2600,$M305)&amp;" · "&amp;INDEX('Dane rozpisek'!$J$2:$J$2600,$M305),IF($L305="H","Zmiana","")))</f>
        <v/>
      </c>
      <c r="D305" s="49">
        <f>IF($L305="D",INDEX('Zgłoszenia'!$H$5:$H$504,$M305)&amp;"",IF($L305="U",INDEX('Dane rozpisek'!$E$2:$E$2600,$M305)&amp;"",IF($L305="H","Operator","")))</f>
        <v/>
      </c>
      <c r="E305" s="49">
        <f>IF($L305="D",INDEX('Zgłoszenia'!$I$5:$I$504,$M305)&amp;"",IF($L305="U",INDEX('Dane rozpisek'!$C$2:$C$2600,$M305)&amp;"",IF($L305="H","Stanowisko","")))</f>
        <v/>
      </c>
      <c r="F305" s="48">
        <f>IF($L305="D",INDEX('Zgłoszenia'!$J$5:$J$504,$M305)&amp;"",IF($L305="U",INDEX('Dane rozpisek'!$G$2:$G$2600,$M305)&amp;"",IF($L305="H","Uwagi","")))</f>
        <v/>
      </c>
      <c r="G305" s="49">
        <f>IF($L305="D",INDEX('Zgłoszenia'!$F$5:$F$504,$M305)&amp;"",IF($L305="U",INDEX('Dane rozpisek'!$L$2:$L$2600,$M305)&amp;"",IF($L305="H","Usterki (dzień / następny)","")))</f>
        <v/>
      </c>
      <c r="H305" s="49">
        <f>IF($L305="D",INDEX('Zgłoszenia'!$P$5:$P$504,$M305)&amp;"",IF($L305="U","",""))</f>
        <v/>
      </c>
      <c r="I305" s="48">
        <f>IF($L305="D",IF(INDEX('Zgłoszenia'!$M$5:$M$504,$M305)="","Zgłoszona",INDEX('Zgłoszenia'!$M$5:$M$504,$M305)),IF($L305="U","",""))</f>
        <v/>
      </c>
      <c r="J305" s="49">
        <f>IF($L305="D",INDEX('Zgłoszenia'!$K$5:$K$504,$M305)&amp;"",IF($L305="U","",""))</f>
        <v/>
      </c>
      <c r="K305" s="2" t="n"/>
      <c r="L305" s="2">
        <f>IF((ROW()-12)&lt;=$L$5,IF($L$2=0,"E1","D"),IF((ROW()-12)=$L$5+1,"",IF((ROW()-12)=$L$5+2,"T",IF((ROW()-12)=$L$5+3,IF($L$3=0,"E2","H"),IF((ROW()-12)&lt;=$L$5+3+$L$3,"U","")))))</f>
        <v/>
      </c>
      <c r="M305" s="2">
        <f>IF(L305="D",MATCH(LARGE('Zgłoszenia'!$Q$5:$Q$504,(ROW()-12)),'Zgłoszenia'!$Q$5:$Q$504,0),IF(L305="U",MATCH(LARGE('Dane rozpisek'!$I$2:$I$2600,(ROW()-12)-$L$5-3),'Dane rozpisek'!$I$2:$I$2600,0),""))</f>
        <v/>
      </c>
    </row>
    <row r="306">
      <c r="A306" s="47">
        <f>IF($L306="D",INDEX('Zgłoszenia'!$D$5:$D$504,$M306),IF($L306="U",INDEX('Dane rozpisek'!$A$2:$A$2600,$M306),IF($L306="T","KTO JEŹDZIŁ",IF($L306="E1","Brak zgłoszonych usterek w tym okresie.",IF($L306="E2","Brak wpisów z tym wózkiem w rozpiskach dla tego okresu.",IF($L306="H","Data",""))))))</f>
        <v/>
      </c>
      <c r="B306" s="48">
        <f>IF($L306="D",INDEX('Zgłoszenia'!$B$5:$B$504,$M306)&amp;"",IF($L306="U",INDEX('Dane rozpisek'!$F$2:$F$2600,$M306)&amp;"",IF($L306="H","Wózek","")))</f>
        <v/>
      </c>
      <c r="C306" s="48">
        <f>IF($L306="D",INDEX('Zgłoszenia'!$E$5:$E$504,$M306)&amp;"",IF($L306="U",INDEX('Dane rozpisek'!$B$2:$B$2600,$M306)&amp;" · "&amp;INDEX('Dane rozpisek'!$J$2:$J$2600,$M306),IF($L306="H","Zmiana","")))</f>
        <v/>
      </c>
      <c r="D306" s="49">
        <f>IF($L306="D",INDEX('Zgłoszenia'!$H$5:$H$504,$M306)&amp;"",IF($L306="U",INDEX('Dane rozpisek'!$E$2:$E$2600,$M306)&amp;"",IF($L306="H","Operator","")))</f>
        <v/>
      </c>
      <c r="E306" s="49">
        <f>IF($L306="D",INDEX('Zgłoszenia'!$I$5:$I$504,$M306)&amp;"",IF($L306="U",INDEX('Dane rozpisek'!$C$2:$C$2600,$M306)&amp;"",IF($L306="H","Stanowisko","")))</f>
        <v/>
      </c>
      <c r="F306" s="48">
        <f>IF($L306="D",INDEX('Zgłoszenia'!$J$5:$J$504,$M306)&amp;"",IF($L306="U",INDEX('Dane rozpisek'!$G$2:$G$2600,$M306)&amp;"",IF($L306="H","Uwagi","")))</f>
        <v/>
      </c>
      <c r="G306" s="49">
        <f>IF($L306="D",INDEX('Zgłoszenia'!$F$5:$F$504,$M306)&amp;"",IF($L306="U",INDEX('Dane rozpisek'!$L$2:$L$2600,$M306)&amp;"",IF($L306="H","Usterki (dzień / następny)","")))</f>
        <v/>
      </c>
      <c r="H306" s="49">
        <f>IF($L306="D",INDEX('Zgłoszenia'!$P$5:$P$504,$M306)&amp;"",IF($L306="U","",""))</f>
        <v/>
      </c>
      <c r="I306" s="48">
        <f>IF($L306="D",IF(INDEX('Zgłoszenia'!$M$5:$M$504,$M306)="","Zgłoszona",INDEX('Zgłoszenia'!$M$5:$M$504,$M306)),IF($L306="U","",""))</f>
        <v/>
      </c>
      <c r="J306" s="49">
        <f>IF($L306="D",INDEX('Zgłoszenia'!$K$5:$K$504,$M306)&amp;"",IF($L306="U","",""))</f>
        <v/>
      </c>
      <c r="K306" s="2" t="n"/>
      <c r="L306" s="2">
        <f>IF((ROW()-12)&lt;=$L$5,IF($L$2=0,"E1","D"),IF((ROW()-12)=$L$5+1,"",IF((ROW()-12)=$L$5+2,"T",IF((ROW()-12)=$L$5+3,IF($L$3=0,"E2","H"),IF((ROW()-12)&lt;=$L$5+3+$L$3,"U","")))))</f>
        <v/>
      </c>
      <c r="M306" s="2">
        <f>IF(L306="D",MATCH(LARGE('Zgłoszenia'!$Q$5:$Q$504,(ROW()-12)),'Zgłoszenia'!$Q$5:$Q$504,0),IF(L306="U",MATCH(LARGE('Dane rozpisek'!$I$2:$I$2600,(ROW()-12)-$L$5-3),'Dane rozpisek'!$I$2:$I$2600,0),""))</f>
        <v/>
      </c>
    </row>
    <row r="307">
      <c r="A307" s="47">
        <f>IF($L307="D",INDEX('Zgłoszenia'!$D$5:$D$504,$M307),IF($L307="U",INDEX('Dane rozpisek'!$A$2:$A$2600,$M307),IF($L307="T","KTO JEŹDZIŁ",IF($L307="E1","Brak zgłoszonych usterek w tym okresie.",IF($L307="E2","Brak wpisów z tym wózkiem w rozpiskach dla tego okresu.",IF($L307="H","Data",""))))))</f>
        <v/>
      </c>
      <c r="B307" s="48">
        <f>IF($L307="D",INDEX('Zgłoszenia'!$B$5:$B$504,$M307)&amp;"",IF($L307="U",INDEX('Dane rozpisek'!$F$2:$F$2600,$M307)&amp;"",IF($L307="H","Wózek","")))</f>
        <v/>
      </c>
      <c r="C307" s="48">
        <f>IF($L307="D",INDEX('Zgłoszenia'!$E$5:$E$504,$M307)&amp;"",IF($L307="U",INDEX('Dane rozpisek'!$B$2:$B$2600,$M307)&amp;" · "&amp;INDEX('Dane rozpisek'!$J$2:$J$2600,$M307),IF($L307="H","Zmiana","")))</f>
        <v/>
      </c>
      <c r="D307" s="49">
        <f>IF($L307="D",INDEX('Zgłoszenia'!$H$5:$H$504,$M307)&amp;"",IF($L307="U",INDEX('Dane rozpisek'!$E$2:$E$2600,$M307)&amp;"",IF($L307="H","Operator","")))</f>
        <v/>
      </c>
      <c r="E307" s="49">
        <f>IF($L307="D",INDEX('Zgłoszenia'!$I$5:$I$504,$M307)&amp;"",IF($L307="U",INDEX('Dane rozpisek'!$C$2:$C$2600,$M307)&amp;"",IF($L307="H","Stanowisko","")))</f>
        <v/>
      </c>
      <c r="F307" s="48">
        <f>IF($L307="D",INDEX('Zgłoszenia'!$J$5:$J$504,$M307)&amp;"",IF($L307="U",INDEX('Dane rozpisek'!$G$2:$G$2600,$M307)&amp;"",IF($L307="H","Uwagi","")))</f>
        <v/>
      </c>
      <c r="G307" s="49">
        <f>IF($L307="D",INDEX('Zgłoszenia'!$F$5:$F$504,$M307)&amp;"",IF($L307="U",INDEX('Dane rozpisek'!$L$2:$L$2600,$M307)&amp;"",IF($L307="H","Usterki (dzień / następny)","")))</f>
        <v/>
      </c>
      <c r="H307" s="49">
        <f>IF($L307="D",INDEX('Zgłoszenia'!$P$5:$P$504,$M307)&amp;"",IF($L307="U","",""))</f>
        <v/>
      </c>
      <c r="I307" s="48">
        <f>IF($L307="D",IF(INDEX('Zgłoszenia'!$M$5:$M$504,$M307)="","Zgłoszona",INDEX('Zgłoszenia'!$M$5:$M$504,$M307)),IF($L307="U","",""))</f>
        <v/>
      </c>
      <c r="J307" s="49">
        <f>IF($L307="D",INDEX('Zgłoszenia'!$K$5:$K$504,$M307)&amp;"",IF($L307="U","",""))</f>
        <v/>
      </c>
      <c r="K307" s="2" t="n"/>
      <c r="L307" s="2">
        <f>IF((ROW()-12)&lt;=$L$5,IF($L$2=0,"E1","D"),IF((ROW()-12)=$L$5+1,"",IF((ROW()-12)=$L$5+2,"T",IF((ROW()-12)=$L$5+3,IF($L$3=0,"E2","H"),IF((ROW()-12)&lt;=$L$5+3+$L$3,"U","")))))</f>
        <v/>
      </c>
      <c r="M307" s="2">
        <f>IF(L307="D",MATCH(LARGE('Zgłoszenia'!$Q$5:$Q$504,(ROW()-12)),'Zgłoszenia'!$Q$5:$Q$504,0),IF(L307="U",MATCH(LARGE('Dane rozpisek'!$I$2:$I$2600,(ROW()-12)-$L$5-3),'Dane rozpisek'!$I$2:$I$2600,0),""))</f>
        <v/>
      </c>
    </row>
    <row r="308">
      <c r="A308" s="47">
        <f>IF($L308="D",INDEX('Zgłoszenia'!$D$5:$D$504,$M308),IF($L308="U",INDEX('Dane rozpisek'!$A$2:$A$2600,$M308),IF($L308="T","KTO JEŹDZIŁ",IF($L308="E1","Brak zgłoszonych usterek w tym okresie.",IF($L308="E2","Brak wpisów z tym wózkiem w rozpiskach dla tego okresu.",IF($L308="H","Data",""))))))</f>
        <v/>
      </c>
      <c r="B308" s="48">
        <f>IF($L308="D",INDEX('Zgłoszenia'!$B$5:$B$504,$M308)&amp;"",IF($L308="U",INDEX('Dane rozpisek'!$F$2:$F$2600,$M308)&amp;"",IF($L308="H","Wózek","")))</f>
        <v/>
      </c>
      <c r="C308" s="48">
        <f>IF($L308="D",INDEX('Zgłoszenia'!$E$5:$E$504,$M308)&amp;"",IF($L308="U",INDEX('Dane rozpisek'!$B$2:$B$2600,$M308)&amp;" · "&amp;INDEX('Dane rozpisek'!$J$2:$J$2600,$M308),IF($L308="H","Zmiana","")))</f>
        <v/>
      </c>
      <c r="D308" s="49">
        <f>IF($L308="D",INDEX('Zgłoszenia'!$H$5:$H$504,$M308)&amp;"",IF($L308="U",INDEX('Dane rozpisek'!$E$2:$E$2600,$M308)&amp;"",IF($L308="H","Operator","")))</f>
        <v/>
      </c>
      <c r="E308" s="49">
        <f>IF($L308="D",INDEX('Zgłoszenia'!$I$5:$I$504,$M308)&amp;"",IF($L308="U",INDEX('Dane rozpisek'!$C$2:$C$2600,$M308)&amp;"",IF($L308="H","Stanowisko","")))</f>
        <v/>
      </c>
      <c r="F308" s="48">
        <f>IF($L308="D",INDEX('Zgłoszenia'!$J$5:$J$504,$M308)&amp;"",IF($L308="U",INDEX('Dane rozpisek'!$G$2:$G$2600,$M308)&amp;"",IF($L308="H","Uwagi","")))</f>
        <v/>
      </c>
      <c r="G308" s="49">
        <f>IF($L308="D",INDEX('Zgłoszenia'!$F$5:$F$504,$M308)&amp;"",IF($L308="U",INDEX('Dane rozpisek'!$L$2:$L$2600,$M308)&amp;"",IF($L308="H","Usterki (dzień / następny)","")))</f>
        <v/>
      </c>
      <c r="H308" s="49">
        <f>IF($L308="D",INDEX('Zgłoszenia'!$P$5:$P$504,$M308)&amp;"",IF($L308="U","",""))</f>
        <v/>
      </c>
      <c r="I308" s="48">
        <f>IF($L308="D",IF(INDEX('Zgłoszenia'!$M$5:$M$504,$M308)="","Zgłoszona",INDEX('Zgłoszenia'!$M$5:$M$504,$M308)),IF($L308="U","",""))</f>
        <v/>
      </c>
      <c r="J308" s="49">
        <f>IF($L308="D",INDEX('Zgłoszenia'!$K$5:$K$504,$M308)&amp;"",IF($L308="U","",""))</f>
        <v/>
      </c>
      <c r="K308" s="2" t="n"/>
      <c r="L308" s="2">
        <f>IF((ROW()-12)&lt;=$L$5,IF($L$2=0,"E1","D"),IF((ROW()-12)=$L$5+1,"",IF((ROW()-12)=$L$5+2,"T",IF((ROW()-12)=$L$5+3,IF($L$3=0,"E2","H"),IF((ROW()-12)&lt;=$L$5+3+$L$3,"U","")))))</f>
        <v/>
      </c>
      <c r="M308" s="2">
        <f>IF(L308="D",MATCH(LARGE('Zgłoszenia'!$Q$5:$Q$504,(ROW()-12)),'Zgłoszenia'!$Q$5:$Q$504,0),IF(L308="U",MATCH(LARGE('Dane rozpisek'!$I$2:$I$2600,(ROW()-12)-$L$5-3),'Dane rozpisek'!$I$2:$I$2600,0),""))</f>
        <v/>
      </c>
    </row>
    <row r="309">
      <c r="A309" s="47">
        <f>IF($L309="D",INDEX('Zgłoszenia'!$D$5:$D$504,$M309),IF($L309="U",INDEX('Dane rozpisek'!$A$2:$A$2600,$M309),IF($L309="T","KTO JEŹDZIŁ",IF($L309="E1","Brak zgłoszonych usterek w tym okresie.",IF($L309="E2","Brak wpisów z tym wózkiem w rozpiskach dla tego okresu.",IF($L309="H","Data",""))))))</f>
        <v/>
      </c>
      <c r="B309" s="48">
        <f>IF($L309="D",INDEX('Zgłoszenia'!$B$5:$B$504,$M309)&amp;"",IF($L309="U",INDEX('Dane rozpisek'!$F$2:$F$2600,$M309)&amp;"",IF($L309="H","Wózek","")))</f>
        <v/>
      </c>
      <c r="C309" s="48">
        <f>IF($L309="D",INDEX('Zgłoszenia'!$E$5:$E$504,$M309)&amp;"",IF($L309="U",INDEX('Dane rozpisek'!$B$2:$B$2600,$M309)&amp;" · "&amp;INDEX('Dane rozpisek'!$J$2:$J$2600,$M309),IF($L309="H","Zmiana","")))</f>
        <v/>
      </c>
      <c r="D309" s="49">
        <f>IF($L309="D",INDEX('Zgłoszenia'!$H$5:$H$504,$M309)&amp;"",IF($L309="U",INDEX('Dane rozpisek'!$E$2:$E$2600,$M309)&amp;"",IF($L309="H","Operator","")))</f>
        <v/>
      </c>
      <c r="E309" s="49">
        <f>IF($L309="D",INDEX('Zgłoszenia'!$I$5:$I$504,$M309)&amp;"",IF($L309="U",INDEX('Dane rozpisek'!$C$2:$C$2600,$M309)&amp;"",IF($L309="H","Stanowisko","")))</f>
        <v/>
      </c>
      <c r="F309" s="48">
        <f>IF($L309="D",INDEX('Zgłoszenia'!$J$5:$J$504,$M309)&amp;"",IF($L309="U",INDEX('Dane rozpisek'!$G$2:$G$2600,$M309)&amp;"",IF($L309="H","Uwagi","")))</f>
        <v/>
      </c>
      <c r="G309" s="49">
        <f>IF($L309="D",INDEX('Zgłoszenia'!$F$5:$F$504,$M309)&amp;"",IF($L309="U",INDEX('Dane rozpisek'!$L$2:$L$2600,$M309)&amp;"",IF($L309="H","Usterki (dzień / następny)","")))</f>
        <v/>
      </c>
      <c r="H309" s="49">
        <f>IF($L309="D",INDEX('Zgłoszenia'!$P$5:$P$504,$M309)&amp;"",IF($L309="U","",""))</f>
        <v/>
      </c>
      <c r="I309" s="48">
        <f>IF($L309="D",IF(INDEX('Zgłoszenia'!$M$5:$M$504,$M309)="","Zgłoszona",INDEX('Zgłoszenia'!$M$5:$M$504,$M309)),IF($L309="U","",""))</f>
        <v/>
      </c>
      <c r="J309" s="49">
        <f>IF($L309="D",INDEX('Zgłoszenia'!$K$5:$K$504,$M309)&amp;"",IF($L309="U","",""))</f>
        <v/>
      </c>
      <c r="K309" s="2" t="n"/>
      <c r="L309" s="2">
        <f>IF((ROW()-12)&lt;=$L$5,IF($L$2=0,"E1","D"),IF((ROW()-12)=$L$5+1,"",IF((ROW()-12)=$L$5+2,"T",IF((ROW()-12)=$L$5+3,IF($L$3=0,"E2","H"),IF((ROW()-12)&lt;=$L$5+3+$L$3,"U","")))))</f>
        <v/>
      </c>
      <c r="M309" s="2">
        <f>IF(L309="D",MATCH(LARGE('Zgłoszenia'!$Q$5:$Q$504,(ROW()-12)),'Zgłoszenia'!$Q$5:$Q$504,0),IF(L309="U",MATCH(LARGE('Dane rozpisek'!$I$2:$I$2600,(ROW()-12)-$L$5-3),'Dane rozpisek'!$I$2:$I$2600,0),""))</f>
        <v/>
      </c>
    </row>
    <row r="310">
      <c r="A310" s="47">
        <f>IF($L310="D",INDEX('Zgłoszenia'!$D$5:$D$504,$M310),IF($L310="U",INDEX('Dane rozpisek'!$A$2:$A$2600,$M310),IF($L310="T","KTO JEŹDZIŁ",IF($L310="E1","Brak zgłoszonych usterek w tym okresie.",IF($L310="E2","Brak wpisów z tym wózkiem w rozpiskach dla tego okresu.",IF($L310="H","Data",""))))))</f>
        <v/>
      </c>
      <c r="B310" s="48">
        <f>IF($L310="D",INDEX('Zgłoszenia'!$B$5:$B$504,$M310)&amp;"",IF($L310="U",INDEX('Dane rozpisek'!$F$2:$F$2600,$M310)&amp;"",IF($L310="H","Wózek","")))</f>
        <v/>
      </c>
      <c r="C310" s="48">
        <f>IF($L310="D",INDEX('Zgłoszenia'!$E$5:$E$504,$M310)&amp;"",IF($L310="U",INDEX('Dane rozpisek'!$B$2:$B$2600,$M310)&amp;" · "&amp;INDEX('Dane rozpisek'!$J$2:$J$2600,$M310),IF($L310="H","Zmiana","")))</f>
        <v/>
      </c>
      <c r="D310" s="49">
        <f>IF($L310="D",INDEX('Zgłoszenia'!$H$5:$H$504,$M310)&amp;"",IF($L310="U",INDEX('Dane rozpisek'!$E$2:$E$2600,$M310)&amp;"",IF($L310="H","Operator","")))</f>
        <v/>
      </c>
      <c r="E310" s="49">
        <f>IF($L310="D",INDEX('Zgłoszenia'!$I$5:$I$504,$M310)&amp;"",IF($L310="U",INDEX('Dane rozpisek'!$C$2:$C$2600,$M310)&amp;"",IF($L310="H","Stanowisko","")))</f>
        <v/>
      </c>
      <c r="F310" s="48">
        <f>IF($L310="D",INDEX('Zgłoszenia'!$J$5:$J$504,$M310)&amp;"",IF($L310="U",INDEX('Dane rozpisek'!$G$2:$G$2600,$M310)&amp;"",IF($L310="H","Uwagi","")))</f>
        <v/>
      </c>
      <c r="G310" s="49">
        <f>IF($L310="D",INDEX('Zgłoszenia'!$F$5:$F$504,$M310)&amp;"",IF($L310="U",INDEX('Dane rozpisek'!$L$2:$L$2600,$M310)&amp;"",IF($L310="H","Usterki (dzień / następny)","")))</f>
        <v/>
      </c>
      <c r="H310" s="49">
        <f>IF($L310="D",INDEX('Zgłoszenia'!$P$5:$P$504,$M310)&amp;"",IF($L310="U","",""))</f>
        <v/>
      </c>
      <c r="I310" s="48">
        <f>IF($L310="D",IF(INDEX('Zgłoszenia'!$M$5:$M$504,$M310)="","Zgłoszona",INDEX('Zgłoszenia'!$M$5:$M$504,$M310)),IF($L310="U","",""))</f>
        <v/>
      </c>
      <c r="J310" s="49">
        <f>IF($L310="D",INDEX('Zgłoszenia'!$K$5:$K$504,$M310)&amp;"",IF($L310="U","",""))</f>
        <v/>
      </c>
      <c r="K310" s="2" t="n"/>
      <c r="L310" s="2">
        <f>IF((ROW()-12)&lt;=$L$5,IF($L$2=0,"E1","D"),IF((ROW()-12)=$L$5+1,"",IF((ROW()-12)=$L$5+2,"T",IF((ROW()-12)=$L$5+3,IF($L$3=0,"E2","H"),IF((ROW()-12)&lt;=$L$5+3+$L$3,"U","")))))</f>
        <v/>
      </c>
      <c r="M310" s="2">
        <f>IF(L310="D",MATCH(LARGE('Zgłoszenia'!$Q$5:$Q$504,(ROW()-12)),'Zgłoszenia'!$Q$5:$Q$504,0),IF(L310="U",MATCH(LARGE('Dane rozpisek'!$I$2:$I$2600,(ROW()-12)-$L$5-3),'Dane rozpisek'!$I$2:$I$2600,0),""))</f>
        <v/>
      </c>
    </row>
    <row r="311">
      <c r="A311" s="47">
        <f>IF($L311="D",INDEX('Zgłoszenia'!$D$5:$D$504,$M311),IF($L311="U",INDEX('Dane rozpisek'!$A$2:$A$2600,$M311),IF($L311="T","KTO JEŹDZIŁ",IF($L311="E1","Brak zgłoszonych usterek w tym okresie.",IF($L311="E2","Brak wpisów z tym wózkiem w rozpiskach dla tego okresu.",IF($L311="H","Data",""))))))</f>
        <v/>
      </c>
      <c r="B311" s="48">
        <f>IF($L311="D",INDEX('Zgłoszenia'!$B$5:$B$504,$M311)&amp;"",IF($L311="U",INDEX('Dane rozpisek'!$F$2:$F$2600,$M311)&amp;"",IF($L311="H","Wózek","")))</f>
        <v/>
      </c>
      <c r="C311" s="48">
        <f>IF($L311="D",INDEX('Zgłoszenia'!$E$5:$E$504,$M311)&amp;"",IF($L311="U",INDEX('Dane rozpisek'!$B$2:$B$2600,$M311)&amp;" · "&amp;INDEX('Dane rozpisek'!$J$2:$J$2600,$M311),IF($L311="H","Zmiana","")))</f>
        <v/>
      </c>
      <c r="D311" s="49">
        <f>IF($L311="D",INDEX('Zgłoszenia'!$H$5:$H$504,$M311)&amp;"",IF($L311="U",INDEX('Dane rozpisek'!$E$2:$E$2600,$M311)&amp;"",IF($L311="H","Operator","")))</f>
        <v/>
      </c>
      <c r="E311" s="49">
        <f>IF($L311="D",INDEX('Zgłoszenia'!$I$5:$I$504,$M311)&amp;"",IF($L311="U",INDEX('Dane rozpisek'!$C$2:$C$2600,$M311)&amp;"",IF($L311="H","Stanowisko","")))</f>
        <v/>
      </c>
      <c r="F311" s="48">
        <f>IF($L311="D",INDEX('Zgłoszenia'!$J$5:$J$504,$M311)&amp;"",IF($L311="U",INDEX('Dane rozpisek'!$G$2:$G$2600,$M311)&amp;"",IF($L311="H","Uwagi","")))</f>
        <v/>
      </c>
      <c r="G311" s="49">
        <f>IF($L311="D",INDEX('Zgłoszenia'!$F$5:$F$504,$M311)&amp;"",IF($L311="U",INDEX('Dane rozpisek'!$L$2:$L$2600,$M311)&amp;"",IF($L311="H","Usterki (dzień / następny)","")))</f>
        <v/>
      </c>
      <c r="H311" s="49">
        <f>IF($L311="D",INDEX('Zgłoszenia'!$P$5:$P$504,$M311)&amp;"",IF($L311="U","",""))</f>
        <v/>
      </c>
      <c r="I311" s="48">
        <f>IF($L311="D",IF(INDEX('Zgłoszenia'!$M$5:$M$504,$M311)="","Zgłoszona",INDEX('Zgłoszenia'!$M$5:$M$504,$M311)),IF($L311="U","",""))</f>
        <v/>
      </c>
      <c r="J311" s="49">
        <f>IF($L311="D",INDEX('Zgłoszenia'!$K$5:$K$504,$M311)&amp;"",IF($L311="U","",""))</f>
        <v/>
      </c>
      <c r="K311" s="2" t="n"/>
      <c r="L311" s="2">
        <f>IF((ROW()-12)&lt;=$L$5,IF($L$2=0,"E1","D"),IF((ROW()-12)=$L$5+1,"",IF((ROW()-12)=$L$5+2,"T",IF((ROW()-12)=$L$5+3,IF($L$3=0,"E2","H"),IF((ROW()-12)&lt;=$L$5+3+$L$3,"U","")))))</f>
        <v/>
      </c>
      <c r="M311" s="2">
        <f>IF(L311="D",MATCH(LARGE('Zgłoszenia'!$Q$5:$Q$504,(ROW()-12)),'Zgłoszenia'!$Q$5:$Q$504,0),IF(L311="U",MATCH(LARGE('Dane rozpisek'!$I$2:$I$2600,(ROW()-12)-$L$5-3),'Dane rozpisek'!$I$2:$I$2600,0),""))</f>
        <v/>
      </c>
    </row>
    <row r="312">
      <c r="A312" s="47">
        <f>IF($L312="D",INDEX('Zgłoszenia'!$D$5:$D$504,$M312),IF($L312="U",INDEX('Dane rozpisek'!$A$2:$A$2600,$M312),IF($L312="T","KTO JEŹDZIŁ",IF($L312="E1","Brak zgłoszonych usterek w tym okresie.",IF($L312="E2","Brak wpisów z tym wózkiem w rozpiskach dla tego okresu.",IF($L312="H","Data",""))))))</f>
        <v/>
      </c>
      <c r="B312" s="48">
        <f>IF($L312="D",INDEX('Zgłoszenia'!$B$5:$B$504,$M312)&amp;"",IF($L312="U",INDEX('Dane rozpisek'!$F$2:$F$2600,$M312)&amp;"",IF($L312="H","Wózek","")))</f>
        <v/>
      </c>
      <c r="C312" s="48">
        <f>IF($L312="D",INDEX('Zgłoszenia'!$E$5:$E$504,$M312)&amp;"",IF($L312="U",INDEX('Dane rozpisek'!$B$2:$B$2600,$M312)&amp;" · "&amp;INDEX('Dane rozpisek'!$J$2:$J$2600,$M312),IF($L312="H","Zmiana","")))</f>
        <v/>
      </c>
      <c r="D312" s="49">
        <f>IF($L312="D",INDEX('Zgłoszenia'!$H$5:$H$504,$M312)&amp;"",IF($L312="U",INDEX('Dane rozpisek'!$E$2:$E$2600,$M312)&amp;"",IF($L312="H","Operator","")))</f>
        <v/>
      </c>
      <c r="E312" s="49">
        <f>IF($L312="D",INDEX('Zgłoszenia'!$I$5:$I$504,$M312)&amp;"",IF($L312="U",INDEX('Dane rozpisek'!$C$2:$C$2600,$M312)&amp;"",IF($L312="H","Stanowisko","")))</f>
        <v/>
      </c>
      <c r="F312" s="48">
        <f>IF($L312="D",INDEX('Zgłoszenia'!$J$5:$J$504,$M312)&amp;"",IF($L312="U",INDEX('Dane rozpisek'!$G$2:$G$2600,$M312)&amp;"",IF($L312="H","Uwagi","")))</f>
        <v/>
      </c>
      <c r="G312" s="49">
        <f>IF($L312="D",INDEX('Zgłoszenia'!$F$5:$F$504,$M312)&amp;"",IF($L312="U",INDEX('Dane rozpisek'!$L$2:$L$2600,$M312)&amp;"",IF($L312="H","Usterki (dzień / następny)","")))</f>
        <v/>
      </c>
      <c r="H312" s="49">
        <f>IF($L312="D",INDEX('Zgłoszenia'!$P$5:$P$504,$M312)&amp;"",IF($L312="U","",""))</f>
        <v/>
      </c>
      <c r="I312" s="48">
        <f>IF($L312="D",IF(INDEX('Zgłoszenia'!$M$5:$M$504,$M312)="","Zgłoszona",INDEX('Zgłoszenia'!$M$5:$M$504,$M312)),IF($L312="U","",""))</f>
        <v/>
      </c>
      <c r="J312" s="49">
        <f>IF($L312="D",INDEX('Zgłoszenia'!$K$5:$K$504,$M312)&amp;"",IF($L312="U","",""))</f>
        <v/>
      </c>
      <c r="K312" s="2" t="n"/>
      <c r="L312" s="2">
        <f>IF((ROW()-12)&lt;=$L$5,IF($L$2=0,"E1","D"),IF((ROW()-12)=$L$5+1,"",IF((ROW()-12)=$L$5+2,"T",IF((ROW()-12)=$L$5+3,IF($L$3=0,"E2","H"),IF((ROW()-12)&lt;=$L$5+3+$L$3,"U","")))))</f>
        <v/>
      </c>
      <c r="M312" s="2">
        <f>IF(L312="D",MATCH(LARGE('Zgłoszenia'!$Q$5:$Q$504,(ROW()-12)),'Zgłoszenia'!$Q$5:$Q$504,0),IF(L312="U",MATCH(LARGE('Dane rozpisek'!$I$2:$I$2600,(ROW()-12)-$L$5-3),'Dane rozpisek'!$I$2:$I$2600,0),""))</f>
        <v/>
      </c>
    </row>
    <row r="313">
      <c r="A313" s="47">
        <f>IF($L313="D",INDEX('Zgłoszenia'!$D$5:$D$504,$M313),IF($L313="U",INDEX('Dane rozpisek'!$A$2:$A$2600,$M313),IF($L313="T","KTO JEŹDZIŁ",IF($L313="E1","Brak zgłoszonych usterek w tym okresie.",IF($L313="E2","Brak wpisów z tym wózkiem w rozpiskach dla tego okresu.",IF($L313="H","Data",""))))))</f>
        <v/>
      </c>
      <c r="B313" s="48">
        <f>IF($L313="D",INDEX('Zgłoszenia'!$B$5:$B$504,$M313)&amp;"",IF($L313="U",INDEX('Dane rozpisek'!$F$2:$F$2600,$M313)&amp;"",IF($L313="H","Wózek","")))</f>
        <v/>
      </c>
      <c r="C313" s="48">
        <f>IF($L313="D",INDEX('Zgłoszenia'!$E$5:$E$504,$M313)&amp;"",IF($L313="U",INDEX('Dane rozpisek'!$B$2:$B$2600,$M313)&amp;" · "&amp;INDEX('Dane rozpisek'!$J$2:$J$2600,$M313),IF($L313="H","Zmiana","")))</f>
        <v/>
      </c>
      <c r="D313" s="49">
        <f>IF($L313="D",INDEX('Zgłoszenia'!$H$5:$H$504,$M313)&amp;"",IF($L313="U",INDEX('Dane rozpisek'!$E$2:$E$2600,$M313)&amp;"",IF($L313="H","Operator","")))</f>
        <v/>
      </c>
      <c r="E313" s="49">
        <f>IF($L313="D",INDEX('Zgłoszenia'!$I$5:$I$504,$M313)&amp;"",IF($L313="U",INDEX('Dane rozpisek'!$C$2:$C$2600,$M313)&amp;"",IF($L313="H","Stanowisko","")))</f>
        <v/>
      </c>
      <c r="F313" s="48">
        <f>IF($L313="D",INDEX('Zgłoszenia'!$J$5:$J$504,$M313)&amp;"",IF($L313="U",INDEX('Dane rozpisek'!$G$2:$G$2600,$M313)&amp;"",IF($L313="H","Uwagi","")))</f>
        <v/>
      </c>
      <c r="G313" s="49">
        <f>IF($L313="D",INDEX('Zgłoszenia'!$F$5:$F$504,$M313)&amp;"",IF($L313="U",INDEX('Dane rozpisek'!$L$2:$L$2600,$M313)&amp;"",IF($L313="H","Usterki (dzień / następny)","")))</f>
        <v/>
      </c>
      <c r="H313" s="49">
        <f>IF($L313="D",INDEX('Zgłoszenia'!$P$5:$P$504,$M313)&amp;"",IF($L313="U","",""))</f>
        <v/>
      </c>
      <c r="I313" s="48">
        <f>IF($L313="D",IF(INDEX('Zgłoszenia'!$M$5:$M$504,$M313)="","Zgłoszona",INDEX('Zgłoszenia'!$M$5:$M$504,$M313)),IF($L313="U","",""))</f>
        <v/>
      </c>
      <c r="J313" s="49">
        <f>IF($L313="D",INDEX('Zgłoszenia'!$K$5:$K$504,$M313)&amp;"",IF($L313="U","",""))</f>
        <v/>
      </c>
      <c r="K313" s="2" t="n"/>
      <c r="L313" s="2">
        <f>IF((ROW()-12)&lt;=$L$5,IF($L$2=0,"E1","D"),IF((ROW()-12)=$L$5+1,"",IF((ROW()-12)=$L$5+2,"T",IF((ROW()-12)=$L$5+3,IF($L$3=0,"E2","H"),IF((ROW()-12)&lt;=$L$5+3+$L$3,"U","")))))</f>
        <v/>
      </c>
      <c r="M313" s="2">
        <f>IF(L313="D",MATCH(LARGE('Zgłoszenia'!$Q$5:$Q$504,(ROW()-12)),'Zgłoszenia'!$Q$5:$Q$504,0),IF(L313="U",MATCH(LARGE('Dane rozpisek'!$I$2:$I$2600,(ROW()-12)-$L$5-3),'Dane rozpisek'!$I$2:$I$2600,0),""))</f>
        <v/>
      </c>
    </row>
    <row r="314">
      <c r="A314" s="47">
        <f>IF($L314="D",INDEX('Zgłoszenia'!$D$5:$D$504,$M314),IF($L314="U",INDEX('Dane rozpisek'!$A$2:$A$2600,$M314),IF($L314="T","KTO JEŹDZIŁ",IF($L314="E1","Brak zgłoszonych usterek w tym okresie.",IF($L314="E2","Brak wpisów z tym wózkiem w rozpiskach dla tego okresu.",IF($L314="H","Data",""))))))</f>
        <v/>
      </c>
      <c r="B314" s="48">
        <f>IF($L314="D",INDEX('Zgłoszenia'!$B$5:$B$504,$M314)&amp;"",IF($L314="U",INDEX('Dane rozpisek'!$F$2:$F$2600,$M314)&amp;"",IF($L314="H","Wózek","")))</f>
        <v/>
      </c>
      <c r="C314" s="48">
        <f>IF($L314="D",INDEX('Zgłoszenia'!$E$5:$E$504,$M314)&amp;"",IF($L314="U",INDEX('Dane rozpisek'!$B$2:$B$2600,$M314)&amp;" · "&amp;INDEX('Dane rozpisek'!$J$2:$J$2600,$M314),IF($L314="H","Zmiana","")))</f>
        <v/>
      </c>
      <c r="D314" s="49">
        <f>IF($L314="D",INDEX('Zgłoszenia'!$H$5:$H$504,$M314)&amp;"",IF($L314="U",INDEX('Dane rozpisek'!$E$2:$E$2600,$M314)&amp;"",IF($L314="H","Operator","")))</f>
        <v/>
      </c>
      <c r="E314" s="49">
        <f>IF($L314="D",INDEX('Zgłoszenia'!$I$5:$I$504,$M314)&amp;"",IF($L314="U",INDEX('Dane rozpisek'!$C$2:$C$2600,$M314)&amp;"",IF($L314="H","Stanowisko","")))</f>
        <v/>
      </c>
      <c r="F314" s="48">
        <f>IF($L314="D",INDEX('Zgłoszenia'!$J$5:$J$504,$M314)&amp;"",IF($L314="U",INDEX('Dane rozpisek'!$G$2:$G$2600,$M314)&amp;"",IF($L314="H","Uwagi","")))</f>
        <v/>
      </c>
      <c r="G314" s="49">
        <f>IF($L314="D",INDEX('Zgłoszenia'!$F$5:$F$504,$M314)&amp;"",IF($L314="U",INDEX('Dane rozpisek'!$L$2:$L$2600,$M314)&amp;"",IF($L314="H","Usterki (dzień / następny)","")))</f>
        <v/>
      </c>
      <c r="H314" s="49">
        <f>IF($L314="D",INDEX('Zgłoszenia'!$P$5:$P$504,$M314)&amp;"",IF($L314="U","",""))</f>
        <v/>
      </c>
      <c r="I314" s="48">
        <f>IF($L314="D",IF(INDEX('Zgłoszenia'!$M$5:$M$504,$M314)="","Zgłoszona",INDEX('Zgłoszenia'!$M$5:$M$504,$M314)),IF($L314="U","",""))</f>
        <v/>
      </c>
      <c r="J314" s="49">
        <f>IF($L314="D",INDEX('Zgłoszenia'!$K$5:$K$504,$M314)&amp;"",IF($L314="U","",""))</f>
        <v/>
      </c>
      <c r="K314" s="2" t="n"/>
      <c r="L314" s="2">
        <f>IF((ROW()-12)&lt;=$L$5,IF($L$2=0,"E1","D"),IF((ROW()-12)=$L$5+1,"",IF((ROW()-12)=$L$5+2,"T",IF((ROW()-12)=$L$5+3,IF($L$3=0,"E2","H"),IF((ROW()-12)&lt;=$L$5+3+$L$3,"U","")))))</f>
        <v/>
      </c>
      <c r="M314" s="2">
        <f>IF(L314="D",MATCH(LARGE('Zgłoszenia'!$Q$5:$Q$504,(ROW()-12)),'Zgłoszenia'!$Q$5:$Q$504,0),IF(L314="U",MATCH(LARGE('Dane rozpisek'!$I$2:$I$2600,(ROW()-12)-$L$5-3),'Dane rozpisek'!$I$2:$I$2600,0),""))</f>
        <v/>
      </c>
    </row>
    <row r="315">
      <c r="A315" s="47">
        <f>IF($L315="D",INDEX('Zgłoszenia'!$D$5:$D$504,$M315),IF($L315="U",INDEX('Dane rozpisek'!$A$2:$A$2600,$M315),IF($L315="T","KTO JEŹDZIŁ",IF($L315="E1","Brak zgłoszonych usterek w tym okresie.",IF($L315="E2","Brak wpisów z tym wózkiem w rozpiskach dla tego okresu.",IF($L315="H","Data",""))))))</f>
        <v/>
      </c>
      <c r="B315" s="48">
        <f>IF($L315="D",INDEX('Zgłoszenia'!$B$5:$B$504,$M315)&amp;"",IF($L315="U",INDEX('Dane rozpisek'!$F$2:$F$2600,$M315)&amp;"",IF($L315="H","Wózek","")))</f>
        <v/>
      </c>
      <c r="C315" s="48">
        <f>IF($L315="D",INDEX('Zgłoszenia'!$E$5:$E$504,$M315)&amp;"",IF($L315="U",INDEX('Dane rozpisek'!$B$2:$B$2600,$M315)&amp;" · "&amp;INDEX('Dane rozpisek'!$J$2:$J$2600,$M315),IF($L315="H","Zmiana","")))</f>
        <v/>
      </c>
      <c r="D315" s="49">
        <f>IF($L315="D",INDEX('Zgłoszenia'!$H$5:$H$504,$M315)&amp;"",IF($L315="U",INDEX('Dane rozpisek'!$E$2:$E$2600,$M315)&amp;"",IF($L315="H","Operator","")))</f>
        <v/>
      </c>
      <c r="E315" s="49">
        <f>IF($L315="D",INDEX('Zgłoszenia'!$I$5:$I$504,$M315)&amp;"",IF($L315="U",INDEX('Dane rozpisek'!$C$2:$C$2600,$M315)&amp;"",IF($L315="H","Stanowisko","")))</f>
        <v/>
      </c>
      <c r="F315" s="48">
        <f>IF($L315="D",INDEX('Zgłoszenia'!$J$5:$J$504,$M315)&amp;"",IF($L315="U",INDEX('Dane rozpisek'!$G$2:$G$2600,$M315)&amp;"",IF($L315="H","Uwagi","")))</f>
        <v/>
      </c>
      <c r="G315" s="49">
        <f>IF($L315="D",INDEX('Zgłoszenia'!$F$5:$F$504,$M315)&amp;"",IF($L315="U",INDEX('Dane rozpisek'!$L$2:$L$2600,$M315)&amp;"",IF($L315="H","Usterki (dzień / następny)","")))</f>
        <v/>
      </c>
      <c r="H315" s="49">
        <f>IF($L315="D",INDEX('Zgłoszenia'!$P$5:$P$504,$M315)&amp;"",IF($L315="U","",""))</f>
        <v/>
      </c>
      <c r="I315" s="48">
        <f>IF($L315="D",IF(INDEX('Zgłoszenia'!$M$5:$M$504,$M315)="","Zgłoszona",INDEX('Zgłoszenia'!$M$5:$M$504,$M315)),IF($L315="U","",""))</f>
        <v/>
      </c>
      <c r="J315" s="49">
        <f>IF($L315="D",INDEX('Zgłoszenia'!$K$5:$K$504,$M315)&amp;"",IF($L315="U","",""))</f>
        <v/>
      </c>
      <c r="K315" s="2" t="n"/>
      <c r="L315" s="2">
        <f>IF((ROW()-12)&lt;=$L$5,IF($L$2=0,"E1","D"),IF((ROW()-12)=$L$5+1,"",IF((ROW()-12)=$L$5+2,"T",IF((ROW()-12)=$L$5+3,IF($L$3=0,"E2","H"),IF((ROW()-12)&lt;=$L$5+3+$L$3,"U","")))))</f>
        <v/>
      </c>
      <c r="M315" s="2">
        <f>IF(L315="D",MATCH(LARGE('Zgłoszenia'!$Q$5:$Q$504,(ROW()-12)),'Zgłoszenia'!$Q$5:$Q$504,0),IF(L315="U",MATCH(LARGE('Dane rozpisek'!$I$2:$I$2600,(ROW()-12)-$L$5-3),'Dane rozpisek'!$I$2:$I$2600,0),""))</f>
        <v/>
      </c>
    </row>
    <row r="316">
      <c r="A316" s="47">
        <f>IF($L316="D",INDEX('Zgłoszenia'!$D$5:$D$504,$M316),IF($L316="U",INDEX('Dane rozpisek'!$A$2:$A$2600,$M316),IF($L316="T","KTO JEŹDZIŁ",IF($L316="E1","Brak zgłoszonych usterek w tym okresie.",IF($L316="E2","Brak wpisów z tym wózkiem w rozpiskach dla tego okresu.",IF($L316="H","Data",""))))))</f>
        <v/>
      </c>
      <c r="B316" s="48">
        <f>IF($L316="D",INDEX('Zgłoszenia'!$B$5:$B$504,$M316)&amp;"",IF($L316="U",INDEX('Dane rozpisek'!$F$2:$F$2600,$M316)&amp;"",IF($L316="H","Wózek","")))</f>
        <v/>
      </c>
      <c r="C316" s="48">
        <f>IF($L316="D",INDEX('Zgłoszenia'!$E$5:$E$504,$M316)&amp;"",IF($L316="U",INDEX('Dane rozpisek'!$B$2:$B$2600,$M316)&amp;" · "&amp;INDEX('Dane rozpisek'!$J$2:$J$2600,$M316),IF($L316="H","Zmiana","")))</f>
        <v/>
      </c>
      <c r="D316" s="49">
        <f>IF($L316="D",INDEX('Zgłoszenia'!$H$5:$H$504,$M316)&amp;"",IF($L316="U",INDEX('Dane rozpisek'!$E$2:$E$2600,$M316)&amp;"",IF($L316="H","Operator","")))</f>
        <v/>
      </c>
      <c r="E316" s="49">
        <f>IF($L316="D",INDEX('Zgłoszenia'!$I$5:$I$504,$M316)&amp;"",IF($L316="U",INDEX('Dane rozpisek'!$C$2:$C$2600,$M316)&amp;"",IF($L316="H","Stanowisko","")))</f>
        <v/>
      </c>
      <c r="F316" s="48">
        <f>IF($L316="D",INDEX('Zgłoszenia'!$J$5:$J$504,$M316)&amp;"",IF($L316="U",INDEX('Dane rozpisek'!$G$2:$G$2600,$M316)&amp;"",IF($L316="H","Uwagi","")))</f>
        <v/>
      </c>
      <c r="G316" s="49">
        <f>IF($L316="D",INDEX('Zgłoszenia'!$F$5:$F$504,$M316)&amp;"",IF($L316="U",INDEX('Dane rozpisek'!$L$2:$L$2600,$M316)&amp;"",IF($L316="H","Usterki (dzień / następny)","")))</f>
        <v/>
      </c>
      <c r="H316" s="49">
        <f>IF($L316="D",INDEX('Zgłoszenia'!$P$5:$P$504,$M316)&amp;"",IF($L316="U","",""))</f>
        <v/>
      </c>
      <c r="I316" s="48">
        <f>IF($L316="D",IF(INDEX('Zgłoszenia'!$M$5:$M$504,$M316)="","Zgłoszona",INDEX('Zgłoszenia'!$M$5:$M$504,$M316)),IF($L316="U","",""))</f>
        <v/>
      </c>
      <c r="J316" s="49">
        <f>IF($L316="D",INDEX('Zgłoszenia'!$K$5:$K$504,$M316)&amp;"",IF($L316="U","",""))</f>
        <v/>
      </c>
      <c r="K316" s="2" t="n"/>
      <c r="L316" s="2">
        <f>IF((ROW()-12)&lt;=$L$5,IF($L$2=0,"E1","D"),IF((ROW()-12)=$L$5+1,"",IF((ROW()-12)=$L$5+2,"T",IF((ROW()-12)=$L$5+3,IF($L$3=0,"E2","H"),IF((ROW()-12)&lt;=$L$5+3+$L$3,"U","")))))</f>
        <v/>
      </c>
      <c r="M316" s="2">
        <f>IF(L316="D",MATCH(LARGE('Zgłoszenia'!$Q$5:$Q$504,(ROW()-12)),'Zgłoszenia'!$Q$5:$Q$504,0),IF(L316="U",MATCH(LARGE('Dane rozpisek'!$I$2:$I$2600,(ROW()-12)-$L$5-3),'Dane rozpisek'!$I$2:$I$2600,0),""))</f>
        <v/>
      </c>
    </row>
    <row r="317">
      <c r="A317" s="47">
        <f>IF($L317="D",INDEX('Zgłoszenia'!$D$5:$D$504,$M317),IF($L317="U",INDEX('Dane rozpisek'!$A$2:$A$2600,$M317),IF($L317="T","KTO JEŹDZIŁ",IF($L317="E1","Brak zgłoszonych usterek w tym okresie.",IF($L317="E2","Brak wpisów z tym wózkiem w rozpiskach dla tego okresu.",IF($L317="H","Data",""))))))</f>
        <v/>
      </c>
      <c r="B317" s="48">
        <f>IF($L317="D",INDEX('Zgłoszenia'!$B$5:$B$504,$M317)&amp;"",IF($L317="U",INDEX('Dane rozpisek'!$F$2:$F$2600,$M317)&amp;"",IF($L317="H","Wózek","")))</f>
        <v/>
      </c>
      <c r="C317" s="48">
        <f>IF($L317="D",INDEX('Zgłoszenia'!$E$5:$E$504,$M317)&amp;"",IF($L317="U",INDEX('Dane rozpisek'!$B$2:$B$2600,$M317)&amp;" · "&amp;INDEX('Dane rozpisek'!$J$2:$J$2600,$M317),IF($L317="H","Zmiana","")))</f>
        <v/>
      </c>
      <c r="D317" s="49">
        <f>IF($L317="D",INDEX('Zgłoszenia'!$H$5:$H$504,$M317)&amp;"",IF($L317="U",INDEX('Dane rozpisek'!$E$2:$E$2600,$M317)&amp;"",IF($L317="H","Operator","")))</f>
        <v/>
      </c>
      <c r="E317" s="49">
        <f>IF($L317="D",INDEX('Zgłoszenia'!$I$5:$I$504,$M317)&amp;"",IF($L317="U",INDEX('Dane rozpisek'!$C$2:$C$2600,$M317)&amp;"",IF($L317="H","Stanowisko","")))</f>
        <v/>
      </c>
      <c r="F317" s="48">
        <f>IF($L317="D",INDEX('Zgłoszenia'!$J$5:$J$504,$M317)&amp;"",IF($L317="U",INDEX('Dane rozpisek'!$G$2:$G$2600,$M317)&amp;"",IF($L317="H","Uwagi","")))</f>
        <v/>
      </c>
      <c r="G317" s="49">
        <f>IF($L317="D",INDEX('Zgłoszenia'!$F$5:$F$504,$M317)&amp;"",IF($L317="U",INDEX('Dane rozpisek'!$L$2:$L$2600,$M317)&amp;"",IF($L317="H","Usterki (dzień / następny)","")))</f>
        <v/>
      </c>
      <c r="H317" s="49">
        <f>IF($L317="D",INDEX('Zgłoszenia'!$P$5:$P$504,$M317)&amp;"",IF($L317="U","",""))</f>
        <v/>
      </c>
      <c r="I317" s="48">
        <f>IF($L317="D",IF(INDEX('Zgłoszenia'!$M$5:$M$504,$M317)="","Zgłoszona",INDEX('Zgłoszenia'!$M$5:$M$504,$M317)),IF($L317="U","",""))</f>
        <v/>
      </c>
      <c r="J317" s="49">
        <f>IF($L317="D",INDEX('Zgłoszenia'!$K$5:$K$504,$M317)&amp;"",IF($L317="U","",""))</f>
        <v/>
      </c>
      <c r="K317" s="2" t="n"/>
      <c r="L317" s="2">
        <f>IF((ROW()-12)&lt;=$L$5,IF($L$2=0,"E1","D"),IF((ROW()-12)=$L$5+1,"",IF((ROW()-12)=$L$5+2,"T",IF((ROW()-12)=$L$5+3,IF($L$3=0,"E2","H"),IF((ROW()-12)&lt;=$L$5+3+$L$3,"U","")))))</f>
        <v/>
      </c>
      <c r="M317" s="2">
        <f>IF(L317="D",MATCH(LARGE('Zgłoszenia'!$Q$5:$Q$504,(ROW()-12)),'Zgłoszenia'!$Q$5:$Q$504,0),IF(L317="U",MATCH(LARGE('Dane rozpisek'!$I$2:$I$2600,(ROW()-12)-$L$5-3),'Dane rozpisek'!$I$2:$I$2600,0),""))</f>
        <v/>
      </c>
    </row>
    <row r="318">
      <c r="A318" s="47">
        <f>IF($L318="D",INDEX('Zgłoszenia'!$D$5:$D$504,$M318),IF($L318="U",INDEX('Dane rozpisek'!$A$2:$A$2600,$M318),IF($L318="T","KTO JEŹDZIŁ",IF($L318="E1","Brak zgłoszonych usterek w tym okresie.",IF($L318="E2","Brak wpisów z tym wózkiem w rozpiskach dla tego okresu.",IF($L318="H","Data",""))))))</f>
        <v/>
      </c>
      <c r="B318" s="48">
        <f>IF($L318="D",INDEX('Zgłoszenia'!$B$5:$B$504,$M318)&amp;"",IF($L318="U",INDEX('Dane rozpisek'!$F$2:$F$2600,$M318)&amp;"",IF($L318="H","Wózek","")))</f>
        <v/>
      </c>
      <c r="C318" s="48">
        <f>IF($L318="D",INDEX('Zgłoszenia'!$E$5:$E$504,$M318)&amp;"",IF($L318="U",INDEX('Dane rozpisek'!$B$2:$B$2600,$M318)&amp;" · "&amp;INDEX('Dane rozpisek'!$J$2:$J$2600,$M318),IF($L318="H","Zmiana","")))</f>
        <v/>
      </c>
      <c r="D318" s="49">
        <f>IF($L318="D",INDEX('Zgłoszenia'!$H$5:$H$504,$M318)&amp;"",IF($L318="U",INDEX('Dane rozpisek'!$E$2:$E$2600,$M318)&amp;"",IF($L318="H","Operator","")))</f>
        <v/>
      </c>
      <c r="E318" s="49">
        <f>IF($L318="D",INDEX('Zgłoszenia'!$I$5:$I$504,$M318)&amp;"",IF($L318="U",INDEX('Dane rozpisek'!$C$2:$C$2600,$M318)&amp;"",IF($L318="H","Stanowisko","")))</f>
        <v/>
      </c>
      <c r="F318" s="48">
        <f>IF($L318="D",INDEX('Zgłoszenia'!$J$5:$J$504,$M318)&amp;"",IF($L318="U",INDEX('Dane rozpisek'!$G$2:$G$2600,$M318)&amp;"",IF($L318="H","Uwagi","")))</f>
        <v/>
      </c>
      <c r="G318" s="49">
        <f>IF($L318="D",INDEX('Zgłoszenia'!$F$5:$F$504,$M318)&amp;"",IF($L318="U",INDEX('Dane rozpisek'!$L$2:$L$2600,$M318)&amp;"",IF($L318="H","Usterki (dzień / następny)","")))</f>
        <v/>
      </c>
      <c r="H318" s="49">
        <f>IF($L318="D",INDEX('Zgłoszenia'!$P$5:$P$504,$M318)&amp;"",IF($L318="U","",""))</f>
        <v/>
      </c>
      <c r="I318" s="48">
        <f>IF($L318="D",IF(INDEX('Zgłoszenia'!$M$5:$M$504,$M318)="","Zgłoszona",INDEX('Zgłoszenia'!$M$5:$M$504,$M318)),IF($L318="U","",""))</f>
        <v/>
      </c>
      <c r="J318" s="49">
        <f>IF($L318="D",INDEX('Zgłoszenia'!$K$5:$K$504,$M318)&amp;"",IF($L318="U","",""))</f>
        <v/>
      </c>
      <c r="K318" s="2" t="n"/>
      <c r="L318" s="2">
        <f>IF((ROW()-12)&lt;=$L$5,IF($L$2=0,"E1","D"),IF((ROW()-12)=$L$5+1,"",IF((ROW()-12)=$L$5+2,"T",IF((ROW()-12)=$L$5+3,IF($L$3=0,"E2","H"),IF((ROW()-12)&lt;=$L$5+3+$L$3,"U","")))))</f>
        <v/>
      </c>
      <c r="M318" s="2">
        <f>IF(L318="D",MATCH(LARGE('Zgłoszenia'!$Q$5:$Q$504,(ROW()-12)),'Zgłoszenia'!$Q$5:$Q$504,0),IF(L318="U",MATCH(LARGE('Dane rozpisek'!$I$2:$I$2600,(ROW()-12)-$L$5-3),'Dane rozpisek'!$I$2:$I$2600,0),""))</f>
        <v/>
      </c>
    </row>
    <row r="319">
      <c r="A319" s="47">
        <f>IF($L319="D",INDEX('Zgłoszenia'!$D$5:$D$504,$M319),IF($L319="U",INDEX('Dane rozpisek'!$A$2:$A$2600,$M319),IF($L319="T","KTO JEŹDZIŁ",IF($L319="E1","Brak zgłoszonych usterek w tym okresie.",IF($L319="E2","Brak wpisów z tym wózkiem w rozpiskach dla tego okresu.",IF($L319="H","Data",""))))))</f>
        <v/>
      </c>
      <c r="B319" s="48">
        <f>IF($L319="D",INDEX('Zgłoszenia'!$B$5:$B$504,$M319)&amp;"",IF($L319="U",INDEX('Dane rozpisek'!$F$2:$F$2600,$M319)&amp;"",IF($L319="H","Wózek","")))</f>
        <v/>
      </c>
      <c r="C319" s="48">
        <f>IF($L319="D",INDEX('Zgłoszenia'!$E$5:$E$504,$M319)&amp;"",IF($L319="U",INDEX('Dane rozpisek'!$B$2:$B$2600,$M319)&amp;" · "&amp;INDEX('Dane rozpisek'!$J$2:$J$2600,$M319),IF($L319="H","Zmiana","")))</f>
        <v/>
      </c>
      <c r="D319" s="49">
        <f>IF($L319="D",INDEX('Zgłoszenia'!$H$5:$H$504,$M319)&amp;"",IF($L319="U",INDEX('Dane rozpisek'!$E$2:$E$2600,$M319)&amp;"",IF($L319="H","Operator","")))</f>
        <v/>
      </c>
      <c r="E319" s="49">
        <f>IF($L319="D",INDEX('Zgłoszenia'!$I$5:$I$504,$M319)&amp;"",IF($L319="U",INDEX('Dane rozpisek'!$C$2:$C$2600,$M319)&amp;"",IF($L319="H","Stanowisko","")))</f>
        <v/>
      </c>
      <c r="F319" s="48">
        <f>IF($L319="D",INDEX('Zgłoszenia'!$J$5:$J$504,$M319)&amp;"",IF($L319="U",INDEX('Dane rozpisek'!$G$2:$G$2600,$M319)&amp;"",IF($L319="H","Uwagi","")))</f>
        <v/>
      </c>
      <c r="G319" s="49">
        <f>IF($L319="D",INDEX('Zgłoszenia'!$F$5:$F$504,$M319)&amp;"",IF($L319="U",INDEX('Dane rozpisek'!$L$2:$L$2600,$M319)&amp;"",IF($L319="H","Usterki (dzień / następny)","")))</f>
        <v/>
      </c>
      <c r="H319" s="49">
        <f>IF($L319="D",INDEX('Zgłoszenia'!$P$5:$P$504,$M319)&amp;"",IF($L319="U","",""))</f>
        <v/>
      </c>
      <c r="I319" s="48">
        <f>IF($L319="D",IF(INDEX('Zgłoszenia'!$M$5:$M$504,$M319)="","Zgłoszona",INDEX('Zgłoszenia'!$M$5:$M$504,$M319)),IF($L319="U","",""))</f>
        <v/>
      </c>
      <c r="J319" s="49">
        <f>IF($L319="D",INDEX('Zgłoszenia'!$K$5:$K$504,$M319)&amp;"",IF($L319="U","",""))</f>
        <v/>
      </c>
      <c r="K319" s="2" t="n"/>
      <c r="L319" s="2">
        <f>IF((ROW()-12)&lt;=$L$5,IF($L$2=0,"E1","D"),IF((ROW()-12)=$L$5+1,"",IF((ROW()-12)=$L$5+2,"T",IF((ROW()-12)=$L$5+3,IF($L$3=0,"E2","H"),IF((ROW()-12)&lt;=$L$5+3+$L$3,"U","")))))</f>
        <v/>
      </c>
      <c r="M319" s="2">
        <f>IF(L319="D",MATCH(LARGE('Zgłoszenia'!$Q$5:$Q$504,(ROW()-12)),'Zgłoszenia'!$Q$5:$Q$504,0),IF(L319="U",MATCH(LARGE('Dane rozpisek'!$I$2:$I$2600,(ROW()-12)-$L$5-3),'Dane rozpisek'!$I$2:$I$2600,0),""))</f>
        <v/>
      </c>
    </row>
    <row r="320">
      <c r="A320" s="47">
        <f>IF($L320="D",INDEX('Zgłoszenia'!$D$5:$D$504,$M320),IF($L320="U",INDEX('Dane rozpisek'!$A$2:$A$2600,$M320),IF($L320="T","KTO JEŹDZIŁ",IF($L320="E1","Brak zgłoszonych usterek w tym okresie.",IF($L320="E2","Brak wpisów z tym wózkiem w rozpiskach dla tego okresu.",IF($L320="H","Data",""))))))</f>
        <v/>
      </c>
      <c r="B320" s="48">
        <f>IF($L320="D",INDEX('Zgłoszenia'!$B$5:$B$504,$M320)&amp;"",IF($L320="U",INDEX('Dane rozpisek'!$F$2:$F$2600,$M320)&amp;"",IF($L320="H","Wózek","")))</f>
        <v/>
      </c>
      <c r="C320" s="48">
        <f>IF($L320="D",INDEX('Zgłoszenia'!$E$5:$E$504,$M320)&amp;"",IF($L320="U",INDEX('Dane rozpisek'!$B$2:$B$2600,$M320)&amp;" · "&amp;INDEX('Dane rozpisek'!$J$2:$J$2600,$M320),IF($L320="H","Zmiana","")))</f>
        <v/>
      </c>
      <c r="D320" s="49">
        <f>IF($L320="D",INDEX('Zgłoszenia'!$H$5:$H$504,$M320)&amp;"",IF($L320="U",INDEX('Dane rozpisek'!$E$2:$E$2600,$M320)&amp;"",IF($L320="H","Operator","")))</f>
        <v/>
      </c>
      <c r="E320" s="49">
        <f>IF($L320="D",INDEX('Zgłoszenia'!$I$5:$I$504,$M320)&amp;"",IF($L320="U",INDEX('Dane rozpisek'!$C$2:$C$2600,$M320)&amp;"",IF($L320="H","Stanowisko","")))</f>
        <v/>
      </c>
      <c r="F320" s="48">
        <f>IF($L320="D",INDEX('Zgłoszenia'!$J$5:$J$504,$M320)&amp;"",IF($L320="U",INDEX('Dane rozpisek'!$G$2:$G$2600,$M320)&amp;"",IF($L320="H","Uwagi","")))</f>
        <v/>
      </c>
      <c r="G320" s="49">
        <f>IF($L320="D",INDEX('Zgłoszenia'!$F$5:$F$504,$M320)&amp;"",IF($L320="U",INDEX('Dane rozpisek'!$L$2:$L$2600,$M320)&amp;"",IF($L320="H","Usterki (dzień / następny)","")))</f>
        <v/>
      </c>
      <c r="H320" s="49">
        <f>IF($L320="D",INDEX('Zgłoszenia'!$P$5:$P$504,$M320)&amp;"",IF($L320="U","",""))</f>
        <v/>
      </c>
      <c r="I320" s="48">
        <f>IF($L320="D",IF(INDEX('Zgłoszenia'!$M$5:$M$504,$M320)="","Zgłoszona",INDEX('Zgłoszenia'!$M$5:$M$504,$M320)),IF($L320="U","",""))</f>
        <v/>
      </c>
      <c r="J320" s="49">
        <f>IF($L320="D",INDEX('Zgłoszenia'!$K$5:$K$504,$M320)&amp;"",IF($L320="U","",""))</f>
        <v/>
      </c>
      <c r="K320" s="2" t="n"/>
      <c r="L320" s="2">
        <f>IF((ROW()-12)&lt;=$L$5,IF($L$2=0,"E1","D"),IF((ROW()-12)=$L$5+1,"",IF((ROW()-12)=$L$5+2,"T",IF((ROW()-12)=$L$5+3,IF($L$3=0,"E2","H"),IF((ROW()-12)&lt;=$L$5+3+$L$3,"U","")))))</f>
        <v/>
      </c>
      <c r="M320" s="2">
        <f>IF(L320="D",MATCH(LARGE('Zgłoszenia'!$Q$5:$Q$504,(ROW()-12)),'Zgłoszenia'!$Q$5:$Q$504,0),IF(L320="U",MATCH(LARGE('Dane rozpisek'!$I$2:$I$2600,(ROW()-12)-$L$5-3),'Dane rozpisek'!$I$2:$I$2600,0),""))</f>
        <v/>
      </c>
    </row>
    <row r="321">
      <c r="A321" s="47">
        <f>IF($L321="D",INDEX('Zgłoszenia'!$D$5:$D$504,$M321),IF($L321="U",INDEX('Dane rozpisek'!$A$2:$A$2600,$M321),IF($L321="T","KTO JEŹDZIŁ",IF($L321="E1","Brak zgłoszonych usterek w tym okresie.",IF($L321="E2","Brak wpisów z tym wózkiem w rozpiskach dla tego okresu.",IF($L321="H","Data",""))))))</f>
        <v/>
      </c>
      <c r="B321" s="48">
        <f>IF($L321="D",INDEX('Zgłoszenia'!$B$5:$B$504,$M321)&amp;"",IF($L321="U",INDEX('Dane rozpisek'!$F$2:$F$2600,$M321)&amp;"",IF($L321="H","Wózek","")))</f>
        <v/>
      </c>
      <c r="C321" s="48">
        <f>IF($L321="D",INDEX('Zgłoszenia'!$E$5:$E$504,$M321)&amp;"",IF($L321="U",INDEX('Dane rozpisek'!$B$2:$B$2600,$M321)&amp;" · "&amp;INDEX('Dane rozpisek'!$J$2:$J$2600,$M321),IF($L321="H","Zmiana","")))</f>
        <v/>
      </c>
      <c r="D321" s="49">
        <f>IF($L321="D",INDEX('Zgłoszenia'!$H$5:$H$504,$M321)&amp;"",IF($L321="U",INDEX('Dane rozpisek'!$E$2:$E$2600,$M321)&amp;"",IF($L321="H","Operator","")))</f>
        <v/>
      </c>
      <c r="E321" s="49">
        <f>IF($L321="D",INDEX('Zgłoszenia'!$I$5:$I$504,$M321)&amp;"",IF($L321="U",INDEX('Dane rozpisek'!$C$2:$C$2600,$M321)&amp;"",IF($L321="H","Stanowisko","")))</f>
        <v/>
      </c>
      <c r="F321" s="48">
        <f>IF($L321="D",INDEX('Zgłoszenia'!$J$5:$J$504,$M321)&amp;"",IF($L321="U",INDEX('Dane rozpisek'!$G$2:$G$2600,$M321)&amp;"",IF($L321="H","Uwagi","")))</f>
        <v/>
      </c>
      <c r="G321" s="49">
        <f>IF($L321="D",INDEX('Zgłoszenia'!$F$5:$F$504,$M321)&amp;"",IF($L321="U",INDEX('Dane rozpisek'!$L$2:$L$2600,$M321)&amp;"",IF($L321="H","Usterki (dzień / następny)","")))</f>
        <v/>
      </c>
      <c r="H321" s="49">
        <f>IF($L321="D",INDEX('Zgłoszenia'!$P$5:$P$504,$M321)&amp;"",IF($L321="U","",""))</f>
        <v/>
      </c>
      <c r="I321" s="48">
        <f>IF($L321="D",IF(INDEX('Zgłoszenia'!$M$5:$M$504,$M321)="","Zgłoszona",INDEX('Zgłoszenia'!$M$5:$M$504,$M321)),IF($L321="U","",""))</f>
        <v/>
      </c>
      <c r="J321" s="49">
        <f>IF($L321="D",INDEX('Zgłoszenia'!$K$5:$K$504,$M321)&amp;"",IF($L321="U","",""))</f>
        <v/>
      </c>
      <c r="K321" s="2" t="n"/>
      <c r="L321" s="2">
        <f>IF((ROW()-12)&lt;=$L$5,IF($L$2=0,"E1","D"),IF((ROW()-12)=$L$5+1,"",IF((ROW()-12)=$L$5+2,"T",IF((ROW()-12)=$L$5+3,IF($L$3=0,"E2","H"),IF((ROW()-12)&lt;=$L$5+3+$L$3,"U","")))))</f>
        <v/>
      </c>
      <c r="M321" s="2">
        <f>IF(L321="D",MATCH(LARGE('Zgłoszenia'!$Q$5:$Q$504,(ROW()-12)),'Zgłoszenia'!$Q$5:$Q$504,0),IF(L321="U",MATCH(LARGE('Dane rozpisek'!$I$2:$I$2600,(ROW()-12)-$L$5-3),'Dane rozpisek'!$I$2:$I$2600,0),""))</f>
        <v/>
      </c>
    </row>
    <row r="322">
      <c r="A322" s="47">
        <f>IF($L322="D",INDEX('Zgłoszenia'!$D$5:$D$504,$M322),IF($L322="U",INDEX('Dane rozpisek'!$A$2:$A$2600,$M322),IF($L322="T","KTO JEŹDZIŁ",IF($L322="E1","Brak zgłoszonych usterek w tym okresie.",IF($L322="E2","Brak wpisów z tym wózkiem w rozpiskach dla tego okresu.",IF($L322="H","Data",""))))))</f>
        <v/>
      </c>
      <c r="B322" s="48">
        <f>IF($L322="D",INDEX('Zgłoszenia'!$B$5:$B$504,$M322)&amp;"",IF($L322="U",INDEX('Dane rozpisek'!$F$2:$F$2600,$M322)&amp;"",IF($L322="H","Wózek","")))</f>
        <v/>
      </c>
      <c r="C322" s="48">
        <f>IF($L322="D",INDEX('Zgłoszenia'!$E$5:$E$504,$M322)&amp;"",IF($L322="U",INDEX('Dane rozpisek'!$B$2:$B$2600,$M322)&amp;" · "&amp;INDEX('Dane rozpisek'!$J$2:$J$2600,$M322),IF($L322="H","Zmiana","")))</f>
        <v/>
      </c>
      <c r="D322" s="49">
        <f>IF($L322="D",INDEX('Zgłoszenia'!$H$5:$H$504,$M322)&amp;"",IF($L322="U",INDEX('Dane rozpisek'!$E$2:$E$2600,$M322)&amp;"",IF($L322="H","Operator","")))</f>
        <v/>
      </c>
      <c r="E322" s="49">
        <f>IF($L322="D",INDEX('Zgłoszenia'!$I$5:$I$504,$M322)&amp;"",IF($L322="U",INDEX('Dane rozpisek'!$C$2:$C$2600,$M322)&amp;"",IF($L322="H","Stanowisko","")))</f>
        <v/>
      </c>
      <c r="F322" s="48">
        <f>IF($L322="D",INDEX('Zgłoszenia'!$J$5:$J$504,$M322)&amp;"",IF($L322="U",INDEX('Dane rozpisek'!$G$2:$G$2600,$M322)&amp;"",IF($L322="H","Uwagi","")))</f>
        <v/>
      </c>
      <c r="G322" s="49">
        <f>IF($L322="D",INDEX('Zgłoszenia'!$F$5:$F$504,$M322)&amp;"",IF($L322="U",INDEX('Dane rozpisek'!$L$2:$L$2600,$M322)&amp;"",IF($L322="H","Usterki (dzień / następny)","")))</f>
        <v/>
      </c>
      <c r="H322" s="49">
        <f>IF($L322="D",INDEX('Zgłoszenia'!$P$5:$P$504,$M322)&amp;"",IF($L322="U","",""))</f>
        <v/>
      </c>
      <c r="I322" s="48">
        <f>IF($L322="D",IF(INDEX('Zgłoszenia'!$M$5:$M$504,$M322)="","Zgłoszona",INDEX('Zgłoszenia'!$M$5:$M$504,$M322)),IF($L322="U","",""))</f>
        <v/>
      </c>
      <c r="J322" s="49">
        <f>IF($L322="D",INDEX('Zgłoszenia'!$K$5:$K$504,$M322)&amp;"",IF($L322="U","",""))</f>
        <v/>
      </c>
      <c r="K322" s="2" t="n"/>
      <c r="L322" s="2">
        <f>IF((ROW()-12)&lt;=$L$5,IF($L$2=0,"E1","D"),IF((ROW()-12)=$L$5+1,"",IF((ROW()-12)=$L$5+2,"T",IF((ROW()-12)=$L$5+3,IF($L$3=0,"E2","H"),IF((ROW()-12)&lt;=$L$5+3+$L$3,"U","")))))</f>
        <v/>
      </c>
      <c r="M322" s="2">
        <f>IF(L322="D",MATCH(LARGE('Zgłoszenia'!$Q$5:$Q$504,(ROW()-12)),'Zgłoszenia'!$Q$5:$Q$504,0),IF(L322="U",MATCH(LARGE('Dane rozpisek'!$I$2:$I$2600,(ROW()-12)-$L$5-3),'Dane rozpisek'!$I$2:$I$2600,0),""))</f>
        <v/>
      </c>
    </row>
    <row r="323">
      <c r="A323" s="47">
        <f>IF($L323="D",INDEX('Zgłoszenia'!$D$5:$D$504,$M323),IF($L323="U",INDEX('Dane rozpisek'!$A$2:$A$2600,$M323),IF($L323="T","KTO JEŹDZIŁ",IF($L323="E1","Brak zgłoszonych usterek w tym okresie.",IF($L323="E2","Brak wpisów z tym wózkiem w rozpiskach dla tego okresu.",IF($L323="H","Data",""))))))</f>
        <v/>
      </c>
      <c r="B323" s="48">
        <f>IF($L323="D",INDEX('Zgłoszenia'!$B$5:$B$504,$M323)&amp;"",IF($L323="U",INDEX('Dane rozpisek'!$F$2:$F$2600,$M323)&amp;"",IF($L323="H","Wózek","")))</f>
        <v/>
      </c>
      <c r="C323" s="48">
        <f>IF($L323="D",INDEX('Zgłoszenia'!$E$5:$E$504,$M323)&amp;"",IF($L323="U",INDEX('Dane rozpisek'!$B$2:$B$2600,$M323)&amp;" · "&amp;INDEX('Dane rozpisek'!$J$2:$J$2600,$M323),IF($L323="H","Zmiana","")))</f>
        <v/>
      </c>
      <c r="D323" s="49">
        <f>IF($L323="D",INDEX('Zgłoszenia'!$H$5:$H$504,$M323)&amp;"",IF($L323="U",INDEX('Dane rozpisek'!$E$2:$E$2600,$M323)&amp;"",IF($L323="H","Operator","")))</f>
        <v/>
      </c>
      <c r="E323" s="49">
        <f>IF($L323="D",INDEX('Zgłoszenia'!$I$5:$I$504,$M323)&amp;"",IF($L323="U",INDEX('Dane rozpisek'!$C$2:$C$2600,$M323)&amp;"",IF($L323="H","Stanowisko","")))</f>
        <v/>
      </c>
      <c r="F323" s="48">
        <f>IF($L323="D",INDEX('Zgłoszenia'!$J$5:$J$504,$M323)&amp;"",IF($L323="U",INDEX('Dane rozpisek'!$G$2:$G$2600,$M323)&amp;"",IF($L323="H","Uwagi","")))</f>
        <v/>
      </c>
      <c r="G323" s="49">
        <f>IF($L323="D",INDEX('Zgłoszenia'!$F$5:$F$504,$M323)&amp;"",IF($L323="U",INDEX('Dane rozpisek'!$L$2:$L$2600,$M323)&amp;"",IF($L323="H","Usterki (dzień / następny)","")))</f>
        <v/>
      </c>
      <c r="H323" s="49">
        <f>IF($L323="D",INDEX('Zgłoszenia'!$P$5:$P$504,$M323)&amp;"",IF($L323="U","",""))</f>
        <v/>
      </c>
      <c r="I323" s="48">
        <f>IF($L323="D",IF(INDEX('Zgłoszenia'!$M$5:$M$504,$M323)="","Zgłoszona",INDEX('Zgłoszenia'!$M$5:$M$504,$M323)),IF($L323="U","",""))</f>
        <v/>
      </c>
      <c r="J323" s="49">
        <f>IF($L323="D",INDEX('Zgłoszenia'!$K$5:$K$504,$M323)&amp;"",IF($L323="U","",""))</f>
        <v/>
      </c>
      <c r="K323" s="2" t="n"/>
      <c r="L323" s="2">
        <f>IF((ROW()-12)&lt;=$L$5,IF($L$2=0,"E1","D"),IF((ROW()-12)=$L$5+1,"",IF((ROW()-12)=$L$5+2,"T",IF((ROW()-12)=$L$5+3,IF($L$3=0,"E2","H"),IF((ROW()-12)&lt;=$L$5+3+$L$3,"U","")))))</f>
        <v/>
      </c>
      <c r="M323" s="2">
        <f>IF(L323="D",MATCH(LARGE('Zgłoszenia'!$Q$5:$Q$504,(ROW()-12)),'Zgłoszenia'!$Q$5:$Q$504,0),IF(L323="U",MATCH(LARGE('Dane rozpisek'!$I$2:$I$2600,(ROW()-12)-$L$5-3),'Dane rozpisek'!$I$2:$I$2600,0),""))</f>
        <v/>
      </c>
    </row>
    <row r="324">
      <c r="A324" s="47">
        <f>IF($L324="D",INDEX('Zgłoszenia'!$D$5:$D$504,$M324),IF($L324="U",INDEX('Dane rozpisek'!$A$2:$A$2600,$M324),IF($L324="T","KTO JEŹDZIŁ",IF($L324="E1","Brak zgłoszonych usterek w tym okresie.",IF($L324="E2","Brak wpisów z tym wózkiem w rozpiskach dla tego okresu.",IF($L324="H","Data",""))))))</f>
        <v/>
      </c>
      <c r="B324" s="48">
        <f>IF($L324="D",INDEX('Zgłoszenia'!$B$5:$B$504,$M324)&amp;"",IF($L324="U",INDEX('Dane rozpisek'!$F$2:$F$2600,$M324)&amp;"",IF($L324="H","Wózek","")))</f>
        <v/>
      </c>
      <c r="C324" s="48">
        <f>IF($L324="D",INDEX('Zgłoszenia'!$E$5:$E$504,$M324)&amp;"",IF($L324="U",INDEX('Dane rozpisek'!$B$2:$B$2600,$M324)&amp;" · "&amp;INDEX('Dane rozpisek'!$J$2:$J$2600,$M324),IF($L324="H","Zmiana","")))</f>
        <v/>
      </c>
      <c r="D324" s="49">
        <f>IF($L324="D",INDEX('Zgłoszenia'!$H$5:$H$504,$M324)&amp;"",IF($L324="U",INDEX('Dane rozpisek'!$E$2:$E$2600,$M324)&amp;"",IF($L324="H","Operator","")))</f>
        <v/>
      </c>
      <c r="E324" s="49">
        <f>IF($L324="D",INDEX('Zgłoszenia'!$I$5:$I$504,$M324)&amp;"",IF($L324="U",INDEX('Dane rozpisek'!$C$2:$C$2600,$M324)&amp;"",IF($L324="H","Stanowisko","")))</f>
        <v/>
      </c>
      <c r="F324" s="48">
        <f>IF($L324="D",INDEX('Zgłoszenia'!$J$5:$J$504,$M324)&amp;"",IF($L324="U",INDEX('Dane rozpisek'!$G$2:$G$2600,$M324)&amp;"",IF($L324="H","Uwagi","")))</f>
        <v/>
      </c>
      <c r="G324" s="49">
        <f>IF($L324="D",INDEX('Zgłoszenia'!$F$5:$F$504,$M324)&amp;"",IF($L324="U",INDEX('Dane rozpisek'!$L$2:$L$2600,$M324)&amp;"",IF($L324="H","Usterki (dzień / następny)","")))</f>
        <v/>
      </c>
      <c r="H324" s="49">
        <f>IF($L324="D",INDEX('Zgłoszenia'!$P$5:$P$504,$M324)&amp;"",IF($L324="U","",""))</f>
        <v/>
      </c>
      <c r="I324" s="48">
        <f>IF($L324="D",IF(INDEX('Zgłoszenia'!$M$5:$M$504,$M324)="","Zgłoszona",INDEX('Zgłoszenia'!$M$5:$M$504,$M324)),IF($L324="U","",""))</f>
        <v/>
      </c>
      <c r="J324" s="49">
        <f>IF($L324="D",INDEX('Zgłoszenia'!$K$5:$K$504,$M324)&amp;"",IF($L324="U","",""))</f>
        <v/>
      </c>
      <c r="K324" s="2" t="n"/>
      <c r="L324" s="2">
        <f>IF((ROW()-12)&lt;=$L$5,IF($L$2=0,"E1","D"),IF((ROW()-12)=$L$5+1,"",IF((ROW()-12)=$L$5+2,"T",IF((ROW()-12)=$L$5+3,IF($L$3=0,"E2","H"),IF((ROW()-12)&lt;=$L$5+3+$L$3,"U","")))))</f>
        <v/>
      </c>
      <c r="M324" s="2">
        <f>IF(L324="D",MATCH(LARGE('Zgłoszenia'!$Q$5:$Q$504,(ROW()-12)),'Zgłoszenia'!$Q$5:$Q$504,0),IF(L324="U",MATCH(LARGE('Dane rozpisek'!$I$2:$I$2600,(ROW()-12)-$L$5-3),'Dane rozpisek'!$I$2:$I$2600,0),""))</f>
        <v/>
      </c>
    </row>
    <row r="325">
      <c r="A325" s="47">
        <f>IF($L325="D",INDEX('Zgłoszenia'!$D$5:$D$504,$M325),IF($L325="U",INDEX('Dane rozpisek'!$A$2:$A$2600,$M325),IF($L325="T","KTO JEŹDZIŁ",IF($L325="E1","Brak zgłoszonych usterek w tym okresie.",IF($L325="E2","Brak wpisów z tym wózkiem w rozpiskach dla tego okresu.",IF($L325="H","Data",""))))))</f>
        <v/>
      </c>
      <c r="B325" s="48">
        <f>IF($L325="D",INDEX('Zgłoszenia'!$B$5:$B$504,$M325)&amp;"",IF($L325="U",INDEX('Dane rozpisek'!$F$2:$F$2600,$M325)&amp;"",IF($L325="H","Wózek","")))</f>
        <v/>
      </c>
      <c r="C325" s="48">
        <f>IF($L325="D",INDEX('Zgłoszenia'!$E$5:$E$504,$M325)&amp;"",IF($L325="U",INDEX('Dane rozpisek'!$B$2:$B$2600,$M325)&amp;" · "&amp;INDEX('Dane rozpisek'!$J$2:$J$2600,$M325),IF($L325="H","Zmiana","")))</f>
        <v/>
      </c>
      <c r="D325" s="49">
        <f>IF($L325="D",INDEX('Zgłoszenia'!$H$5:$H$504,$M325)&amp;"",IF($L325="U",INDEX('Dane rozpisek'!$E$2:$E$2600,$M325)&amp;"",IF($L325="H","Operator","")))</f>
        <v/>
      </c>
      <c r="E325" s="49">
        <f>IF($L325="D",INDEX('Zgłoszenia'!$I$5:$I$504,$M325)&amp;"",IF($L325="U",INDEX('Dane rozpisek'!$C$2:$C$2600,$M325)&amp;"",IF($L325="H","Stanowisko","")))</f>
        <v/>
      </c>
      <c r="F325" s="48">
        <f>IF($L325="D",INDEX('Zgłoszenia'!$J$5:$J$504,$M325)&amp;"",IF($L325="U",INDEX('Dane rozpisek'!$G$2:$G$2600,$M325)&amp;"",IF($L325="H","Uwagi","")))</f>
        <v/>
      </c>
      <c r="G325" s="49">
        <f>IF($L325="D",INDEX('Zgłoszenia'!$F$5:$F$504,$M325)&amp;"",IF($L325="U",INDEX('Dane rozpisek'!$L$2:$L$2600,$M325)&amp;"",IF($L325="H","Usterki (dzień / następny)","")))</f>
        <v/>
      </c>
      <c r="H325" s="49">
        <f>IF($L325="D",INDEX('Zgłoszenia'!$P$5:$P$504,$M325)&amp;"",IF($L325="U","",""))</f>
        <v/>
      </c>
      <c r="I325" s="48">
        <f>IF($L325="D",IF(INDEX('Zgłoszenia'!$M$5:$M$504,$M325)="","Zgłoszona",INDEX('Zgłoszenia'!$M$5:$M$504,$M325)),IF($L325="U","",""))</f>
        <v/>
      </c>
      <c r="J325" s="49">
        <f>IF($L325="D",INDEX('Zgłoszenia'!$K$5:$K$504,$M325)&amp;"",IF($L325="U","",""))</f>
        <v/>
      </c>
      <c r="K325" s="2" t="n"/>
      <c r="L325" s="2">
        <f>IF((ROW()-12)&lt;=$L$5,IF($L$2=0,"E1","D"),IF((ROW()-12)=$L$5+1,"",IF((ROW()-12)=$L$5+2,"T",IF((ROW()-12)=$L$5+3,IF($L$3=0,"E2","H"),IF((ROW()-12)&lt;=$L$5+3+$L$3,"U","")))))</f>
        <v/>
      </c>
      <c r="M325" s="2">
        <f>IF(L325="D",MATCH(LARGE('Zgłoszenia'!$Q$5:$Q$504,(ROW()-12)),'Zgłoszenia'!$Q$5:$Q$504,0),IF(L325="U",MATCH(LARGE('Dane rozpisek'!$I$2:$I$2600,(ROW()-12)-$L$5-3),'Dane rozpisek'!$I$2:$I$2600,0),""))</f>
        <v/>
      </c>
    </row>
    <row r="326">
      <c r="A326" s="47">
        <f>IF($L326="D",INDEX('Zgłoszenia'!$D$5:$D$504,$M326),IF($L326="U",INDEX('Dane rozpisek'!$A$2:$A$2600,$M326),IF($L326="T","KTO JEŹDZIŁ",IF($L326="E1","Brak zgłoszonych usterek w tym okresie.",IF($L326="E2","Brak wpisów z tym wózkiem w rozpiskach dla tego okresu.",IF($L326="H","Data",""))))))</f>
        <v/>
      </c>
      <c r="B326" s="48">
        <f>IF($L326="D",INDEX('Zgłoszenia'!$B$5:$B$504,$M326)&amp;"",IF($L326="U",INDEX('Dane rozpisek'!$F$2:$F$2600,$M326)&amp;"",IF($L326="H","Wózek","")))</f>
        <v/>
      </c>
      <c r="C326" s="48">
        <f>IF($L326="D",INDEX('Zgłoszenia'!$E$5:$E$504,$M326)&amp;"",IF($L326="U",INDEX('Dane rozpisek'!$B$2:$B$2600,$M326)&amp;" · "&amp;INDEX('Dane rozpisek'!$J$2:$J$2600,$M326),IF($L326="H","Zmiana","")))</f>
        <v/>
      </c>
      <c r="D326" s="49">
        <f>IF($L326="D",INDEX('Zgłoszenia'!$H$5:$H$504,$M326)&amp;"",IF($L326="U",INDEX('Dane rozpisek'!$E$2:$E$2600,$M326)&amp;"",IF($L326="H","Operator","")))</f>
        <v/>
      </c>
      <c r="E326" s="49">
        <f>IF($L326="D",INDEX('Zgłoszenia'!$I$5:$I$504,$M326)&amp;"",IF($L326="U",INDEX('Dane rozpisek'!$C$2:$C$2600,$M326)&amp;"",IF($L326="H","Stanowisko","")))</f>
        <v/>
      </c>
      <c r="F326" s="48">
        <f>IF($L326="D",INDEX('Zgłoszenia'!$J$5:$J$504,$M326)&amp;"",IF($L326="U",INDEX('Dane rozpisek'!$G$2:$G$2600,$M326)&amp;"",IF($L326="H","Uwagi","")))</f>
        <v/>
      </c>
      <c r="G326" s="49">
        <f>IF($L326="D",INDEX('Zgłoszenia'!$F$5:$F$504,$M326)&amp;"",IF($L326="U",INDEX('Dane rozpisek'!$L$2:$L$2600,$M326)&amp;"",IF($L326="H","Usterki (dzień / następny)","")))</f>
        <v/>
      </c>
      <c r="H326" s="49">
        <f>IF($L326="D",INDEX('Zgłoszenia'!$P$5:$P$504,$M326)&amp;"",IF($L326="U","",""))</f>
        <v/>
      </c>
      <c r="I326" s="48">
        <f>IF($L326="D",IF(INDEX('Zgłoszenia'!$M$5:$M$504,$M326)="","Zgłoszona",INDEX('Zgłoszenia'!$M$5:$M$504,$M326)),IF($L326="U","",""))</f>
        <v/>
      </c>
      <c r="J326" s="49">
        <f>IF($L326="D",INDEX('Zgłoszenia'!$K$5:$K$504,$M326)&amp;"",IF($L326="U","",""))</f>
        <v/>
      </c>
      <c r="K326" s="2" t="n"/>
      <c r="L326" s="2">
        <f>IF((ROW()-12)&lt;=$L$5,IF($L$2=0,"E1","D"),IF((ROW()-12)=$L$5+1,"",IF((ROW()-12)=$L$5+2,"T",IF((ROW()-12)=$L$5+3,IF($L$3=0,"E2","H"),IF((ROW()-12)&lt;=$L$5+3+$L$3,"U","")))))</f>
        <v/>
      </c>
      <c r="M326" s="2">
        <f>IF(L326="D",MATCH(LARGE('Zgłoszenia'!$Q$5:$Q$504,(ROW()-12)),'Zgłoszenia'!$Q$5:$Q$504,0),IF(L326="U",MATCH(LARGE('Dane rozpisek'!$I$2:$I$2600,(ROW()-12)-$L$5-3),'Dane rozpisek'!$I$2:$I$2600,0),""))</f>
        <v/>
      </c>
    </row>
    <row r="327">
      <c r="A327" s="47">
        <f>IF($L327="D",INDEX('Zgłoszenia'!$D$5:$D$504,$M327),IF($L327="U",INDEX('Dane rozpisek'!$A$2:$A$2600,$M327),IF($L327="T","KTO JEŹDZIŁ",IF($L327="E1","Brak zgłoszonych usterek w tym okresie.",IF($L327="E2","Brak wpisów z tym wózkiem w rozpiskach dla tego okresu.",IF($L327="H","Data",""))))))</f>
        <v/>
      </c>
      <c r="B327" s="48">
        <f>IF($L327="D",INDEX('Zgłoszenia'!$B$5:$B$504,$M327)&amp;"",IF($L327="U",INDEX('Dane rozpisek'!$F$2:$F$2600,$M327)&amp;"",IF($L327="H","Wózek","")))</f>
        <v/>
      </c>
      <c r="C327" s="48">
        <f>IF($L327="D",INDEX('Zgłoszenia'!$E$5:$E$504,$M327)&amp;"",IF($L327="U",INDEX('Dane rozpisek'!$B$2:$B$2600,$M327)&amp;" · "&amp;INDEX('Dane rozpisek'!$J$2:$J$2600,$M327),IF($L327="H","Zmiana","")))</f>
        <v/>
      </c>
      <c r="D327" s="49">
        <f>IF($L327="D",INDEX('Zgłoszenia'!$H$5:$H$504,$M327)&amp;"",IF($L327="U",INDEX('Dane rozpisek'!$E$2:$E$2600,$M327)&amp;"",IF($L327="H","Operator","")))</f>
        <v/>
      </c>
      <c r="E327" s="49">
        <f>IF($L327="D",INDEX('Zgłoszenia'!$I$5:$I$504,$M327)&amp;"",IF($L327="U",INDEX('Dane rozpisek'!$C$2:$C$2600,$M327)&amp;"",IF($L327="H","Stanowisko","")))</f>
        <v/>
      </c>
      <c r="F327" s="48">
        <f>IF($L327="D",INDEX('Zgłoszenia'!$J$5:$J$504,$M327)&amp;"",IF($L327="U",INDEX('Dane rozpisek'!$G$2:$G$2600,$M327)&amp;"",IF($L327="H","Uwagi","")))</f>
        <v/>
      </c>
      <c r="G327" s="49">
        <f>IF($L327="D",INDEX('Zgłoszenia'!$F$5:$F$504,$M327)&amp;"",IF($L327="U",INDEX('Dane rozpisek'!$L$2:$L$2600,$M327)&amp;"",IF($L327="H","Usterki (dzień / następny)","")))</f>
        <v/>
      </c>
      <c r="H327" s="49">
        <f>IF($L327="D",INDEX('Zgłoszenia'!$P$5:$P$504,$M327)&amp;"",IF($L327="U","",""))</f>
        <v/>
      </c>
      <c r="I327" s="48">
        <f>IF($L327="D",IF(INDEX('Zgłoszenia'!$M$5:$M$504,$M327)="","Zgłoszona",INDEX('Zgłoszenia'!$M$5:$M$504,$M327)),IF($L327="U","",""))</f>
        <v/>
      </c>
      <c r="J327" s="49">
        <f>IF($L327="D",INDEX('Zgłoszenia'!$K$5:$K$504,$M327)&amp;"",IF($L327="U","",""))</f>
        <v/>
      </c>
      <c r="K327" s="2" t="n"/>
      <c r="L327" s="2">
        <f>IF((ROW()-12)&lt;=$L$5,IF($L$2=0,"E1","D"),IF((ROW()-12)=$L$5+1,"",IF((ROW()-12)=$L$5+2,"T",IF((ROW()-12)=$L$5+3,IF($L$3=0,"E2","H"),IF((ROW()-12)&lt;=$L$5+3+$L$3,"U","")))))</f>
        <v/>
      </c>
      <c r="M327" s="2">
        <f>IF(L327="D",MATCH(LARGE('Zgłoszenia'!$Q$5:$Q$504,(ROW()-12)),'Zgłoszenia'!$Q$5:$Q$504,0),IF(L327="U",MATCH(LARGE('Dane rozpisek'!$I$2:$I$2600,(ROW()-12)-$L$5-3),'Dane rozpisek'!$I$2:$I$2600,0),""))</f>
        <v/>
      </c>
    </row>
    <row r="328">
      <c r="A328" s="47">
        <f>IF($L328="D",INDEX('Zgłoszenia'!$D$5:$D$504,$M328),IF($L328="U",INDEX('Dane rozpisek'!$A$2:$A$2600,$M328),IF($L328="T","KTO JEŹDZIŁ",IF($L328="E1","Brak zgłoszonych usterek w tym okresie.",IF($L328="E2","Brak wpisów z tym wózkiem w rozpiskach dla tego okresu.",IF($L328="H","Data",""))))))</f>
        <v/>
      </c>
      <c r="B328" s="48">
        <f>IF($L328="D",INDEX('Zgłoszenia'!$B$5:$B$504,$M328)&amp;"",IF($L328="U",INDEX('Dane rozpisek'!$F$2:$F$2600,$M328)&amp;"",IF($L328="H","Wózek","")))</f>
        <v/>
      </c>
      <c r="C328" s="48">
        <f>IF($L328="D",INDEX('Zgłoszenia'!$E$5:$E$504,$M328)&amp;"",IF($L328="U",INDEX('Dane rozpisek'!$B$2:$B$2600,$M328)&amp;" · "&amp;INDEX('Dane rozpisek'!$J$2:$J$2600,$M328),IF($L328="H","Zmiana","")))</f>
        <v/>
      </c>
      <c r="D328" s="49">
        <f>IF($L328="D",INDEX('Zgłoszenia'!$H$5:$H$504,$M328)&amp;"",IF($L328="U",INDEX('Dane rozpisek'!$E$2:$E$2600,$M328)&amp;"",IF($L328="H","Operator","")))</f>
        <v/>
      </c>
      <c r="E328" s="49">
        <f>IF($L328="D",INDEX('Zgłoszenia'!$I$5:$I$504,$M328)&amp;"",IF($L328="U",INDEX('Dane rozpisek'!$C$2:$C$2600,$M328)&amp;"",IF($L328="H","Stanowisko","")))</f>
        <v/>
      </c>
      <c r="F328" s="48">
        <f>IF($L328="D",INDEX('Zgłoszenia'!$J$5:$J$504,$M328)&amp;"",IF($L328="U",INDEX('Dane rozpisek'!$G$2:$G$2600,$M328)&amp;"",IF($L328="H","Uwagi","")))</f>
        <v/>
      </c>
      <c r="G328" s="49">
        <f>IF($L328="D",INDEX('Zgłoszenia'!$F$5:$F$504,$M328)&amp;"",IF($L328="U",INDEX('Dane rozpisek'!$L$2:$L$2600,$M328)&amp;"",IF($L328="H","Usterki (dzień / następny)","")))</f>
        <v/>
      </c>
      <c r="H328" s="49">
        <f>IF($L328="D",INDEX('Zgłoszenia'!$P$5:$P$504,$M328)&amp;"",IF($L328="U","",""))</f>
        <v/>
      </c>
      <c r="I328" s="48">
        <f>IF($L328="D",IF(INDEX('Zgłoszenia'!$M$5:$M$504,$M328)="","Zgłoszona",INDEX('Zgłoszenia'!$M$5:$M$504,$M328)),IF($L328="U","",""))</f>
        <v/>
      </c>
      <c r="J328" s="49">
        <f>IF($L328="D",INDEX('Zgłoszenia'!$K$5:$K$504,$M328)&amp;"",IF($L328="U","",""))</f>
        <v/>
      </c>
      <c r="K328" s="2" t="n"/>
      <c r="L328" s="2">
        <f>IF((ROW()-12)&lt;=$L$5,IF($L$2=0,"E1","D"),IF((ROW()-12)=$L$5+1,"",IF((ROW()-12)=$L$5+2,"T",IF((ROW()-12)=$L$5+3,IF($L$3=0,"E2","H"),IF((ROW()-12)&lt;=$L$5+3+$L$3,"U","")))))</f>
        <v/>
      </c>
      <c r="M328" s="2">
        <f>IF(L328="D",MATCH(LARGE('Zgłoszenia'!$Q$5:$Q$504,(ROW()-12)),'Zgłoszenia'!$Q$5:$Q$504,0),IF(L328="U",MATCH(LARGE('Dane rozpisek'!$I$2:$I$2600,(ROW()-12)-$L$5-3),'Dane rozpisek'!$I$2:$I$2600,0),""))</f>
        <v/>
      </c>
    </row>
    <row r="329">
      <c r="A329" s="47">
        <f>IF($L329="D",INDEX('Zgłoszenia'!$D$5:$D$504,$M329),IF($L329="U",INDEX('Dane rozpisek'!$A$2:$A$2600,$M329),IF($L329="T","KTO JEŹDZIŁ",IF($L329="E1","Brak zgłoszonych usterek w tym okresie.",IF($L329="E2","Brak wpisów z tym wózkiem w rozpiskach dla tego okresu.",IF($L329="H","Data",""))))))</f>
        <v/>
      </c>
      <c r="B329" s="48">
        <f>IF($L329="D",INDEX('Zgłoszenia'!$B$5:$B$504,$M329)&amp;"",IF($L329="U",INDEX('Dane rozpisek'!$F$2:$F$2600,$M329)&amp;"",IF($L329="H","Wózek","")))</f>
        <v/>
      </c>
      <c r="C329" s="48">
        <f>IF($L329="D",INDEX('Zgłoszenia'!$E$5:$E$504,$M329)&amp;"",IF($L329="U",INDEX('Dane rozpisek'!$B$2:$B$2600,$M329)&amp;" · "&amp;INDEX('Dane rozpisek'!$J$2:$J$2600,$M329),IF($L329="H","Zmiana","")))</f>
        <v/>
      </c>
      <c r="D329" s="49">
        <f>IF($L329="D",INDEX('Zgłoszenia'!$H$5:$H$504,$M329)&amp;"",IF($L329="U",INDEX('Dane rozpisek'!$E$2:$E$2600,$M329)&amp;"",IF($L329="H","Operator","")))</f>
        <v/>
      </c>
      <c r="E329" s="49">
        <f>IF($L329="D",INDEX('Zgłoszenia'!$I$5:$I$504,$M329)&amp;"",IF($L329="U",INDEX('Dane rozpisek'!$C$2:$C$2600,$M329)&amp;"",IF($L329="H","Stanowisko","")))</f>
        <v/>
      </c>
      <c r="F329" s="48">
        <f>IF($L329="D",INDEX('Zgłoszenia'!$J$5:$J$504,$M329)&amp;"",IF($L329="U",INDEX('Dane rozpisek'!$G$2:$G$2600,$M329)&amp;"",IF($L329="H","Uwagi","")))</f>
        <v/>
      </c>
      <c r="G329" s="49">
        <f>IF($L329="D",INDEX('Zgłoszenia'!$F$5:$F$504,$M329)&amp;"",IF($L329="U",INDEX('Dane rozpisek'!$L$2:$L$2600,$M329)&amp;"",IF($L329="H","Usterki (dzień / następny)","")))</f>
        <v/>
      </c>
      <c r="H329" s="49">
        <f>IF($L329="D",INDEX('Zgłoszenia'!$P$5:$P$504,$M329)&amp;"",IF($L329="U","",""))</f>
        <v/>
      </c>
      <c r="I329" s="48">
        <f>IF($L329="D",IF(INDEX('Zgłoszenia'!$M$5:$M$504,$M329)="","Zgłoszona",INDEX('Zgłoszenia'!$M$5:$M$504,$M329)),IF($L329="U","",""))</f>
        <v/>
      </c>
      <c r="J329" s="49">
        <f>IF($L329="D",INDEX('Zgłoszenia'!$K$5:$K$504,$M329)&amp;"",IF($L329="U","",""))</f>
        <v/>
      </c>
      <c r="K329" s="2" t="n"/>
      <c r="L329" s="2">
        <f>IF((ROW()-12)&lt;=$L$5,IF($L$2=0,"E1","D"),IF((ROW()-12)=$L$5+1,"",IF((ROW()-12)=$L$5+2,"T",IF((ROW()-12)=$L$5+3,IF($L$3=0,"E2","H"),IF((ROW()-12)&lt;=$L$5+3+$L$3,"U","")))))</f>
        <v/>
      </c>
      <c r="M329" s="2">
        <f>IF(L329="D",MATCH(LARGE('Zgłoszenia'!$Q$5:$Q$504,(ROW()-12)),'Zgłoszenia'!$Q$5:$Q$504,0),IF(L329="U",MATCH(LARGE('Dane rozpisek'!$I$2:$I$2600,(ROW()-12)-$L$5-3),'Dane rozpisek'!$I$2:$I$2600,0),""))</f>
        <v/>
      </c>
    </row>
    <row r="330">
      <c r="A330" s="47">
        <f>IF($L330="D",INDEX('Zgłoszenia'!$D$5:$D$504,$M330),IF($L330="U",INDEX('Dane rozpisek'!$A$2:$A$2600,$M330),IF($L330="T","KTO JEŹDZIŁ",IF($L330="E1","Brak zgłoszonych usterek w tym okresie.",IF($L330="E2","Brak wpisów z tym wózkiem w rozpiskach dla tego okresu.",IF($L330="H","Data",""))))))</f>
        <v/>
      </c>
      <c r="B330" s="48">
        <f>IF($L330="D",INDEX('Zgłoszenia'!$B$5:$B$504,$M330)&amp;"",IF($L330="U",INDEX('Dane rozpisek'!$F$2:$F$2600,$M330)&amp;"",IF($L330="H","Wózek","")))</f>
        <v/>
      </c>
      <c r="C330" s="48">
        <f>IF($L330="D",INDEX('Zgłoszenia'!$E$5:$E$504,$M330)&amp;"",IF($L330="U",INDEX('Dane rozpisek'!$B$2:$B$2600,$M330)&amp;" · "&amp;INDEX('Dane rozpisek'!$J$2:$J$2600,$M330),IF($L330="H","Zmiana","")))</f>
        <v/>
      </c>
      <c r="D330" s="49">
        <f>IF($L330="D",INDEX('Zgłoszenia'!$H$5:$H$504,$M330)&amp;"",IF($L330="U",INDEX('Dane rozpisek'!$E$2:$E$2600,$M330)&amp;"",IF($L330="H","Operator","")))</f>
        <v/>
      </c>
      <c r="E330" s="49">
        <f>IF($L330="D",INDEX('Zgłoszenia'!$I$5:$I$504,$M330)&amp;"",IF($L330="U",INDEX('Dane rozpisek'!$C$2:$C$2600,$M330)&amp;"",IF($L330="H","Stanowisko","")))</f>
        <v/>
      </c>
      <c r="F330" s="48">
        <f>IF($L330="D",INDEX('Zgłoszenia'!$J$5:$J$504,$M330)&amp;"",IF($L330="U",INDEX('Dane rozpisek'!$G$2:$G$2600,$M330)&amp;"",IF($L330="H","Uwagi","")))</f>
        <v/>
      </c>
      <c r="G330" s="49">
        <f>IF($L330="D",INDEX('Zgłoszenia'!$F$5:$F$504,$M330)&amp;"",IF($L330="U",INDEX('Dane rozpisek'!$L$2:$L$2600,$M330)&amp;"",IF($L330="H","Usterki (dzień / następny)","")))</f>
        <v/>
      </c>
      <c r="H330" s="49">
        <f>IF($L330="D",INDEX('Zgłoszenia'!$P$5:$P$504,$M330)&amp;"",IF($L330="U","",""))</f>
        <v/>
      </c>
      <c r="I330" s="48">
        <f>IF($L330="D",IF(INDEX('Zgłoszenia'!$M$5:$M$504,$M330)="","Zgłoszona",INDEX('Zgłoszenia'!$M$5:$M$504,$M330)),IF($L330="U","",""))</f>
        <v/>
      </c>
      <c r="J330" s="49">
        <f>IF($L330="D",INDEX('Zgłoszenia'!$K$5:$K$504,$M330)&amp;"",IF($L330="U","",""))</f>
        <v/>
      </c>
      <c r="K330" s="2" t="n"/>
      <c r="L330" s="2">
        <f>IF((ROW()-12)&lt;=$L$5,IF($L$2=0,"E1","D"),IF((ROW()-12)=$L$5+1,"",IF((ROW()-12)=$L$5+2,"T",IF((ROW()-12)=$L$5+3,IF($L$3=0,"E2","H"),IF((ROW()-12)&lt;=$L$5+3+$L$3,"U","")))))</f>
        <v/>
      </c>
      <c r="M330" s="2">
        <f>IF(L330="D",MATCH(LARGE('Zgłoszenia'!$Q$5:$Q$504,(ROW()-12)),'Zgłoszenia'!$Q$5:$Q$504,0),IF(L330="U",MATCH(LARGE('Dane rozpisek'!$I$2:$I$2600,(ROW()-12)-$L$5-3),'Dane rozpisek'!$I$2:$I$2600,0),""))</f>
        <v/>
      </c>
    </row>
    <row r="331">
      <c r="A331" s="47">
        <f>IF($L331="D",INDEX('Zgłoszenia'!$D$5:$D$504,$M331),IF($L331="U",INDEX('Dane rozpisek'!$A$2:$A$2600,$M331),IF($L331="T","KTO JEŹDZIŁ",IF($L331="E1","Brak zgłoszonych usterek w tym okresie.",IF($L331="E2","Brak wpisów z tym wózkiem w rozpiskach dla tego okresu.",IF($L331="H","Data",""))))))</f>
        <v/>
      </c>
      <c r="B331" s="48">
        <f>IF($L331="D",INDEX('Zgłoszenia'!$B$5:$B$504,$M331)&amp;"",IF($L331="U",INDEX('Dane rozpisek'!$F$2:$F$2600,$M331)&amp;"",IF($L331="H","Wózek","")))</f>
        <v/>
      </c>
      <c r="C331" s="48">
        <f>IF($L331="D",INDEX('Zgłoszenia'!$E$5:$E$504,$M331)&amp;"",IF($L331="U",INDEX('Dane rozpisek'!$B$2:$B$2600,$M331)&amp;" · "&amp;INDEX('Dane rozpisek'!$J$2:$J$2600,$M331),IF($L331="H","Zmiana","")))</f>
        <v/>
      </c>
      <c r="D331" s="49">
        <f>IF($L331="D",INDEX('Zgłoszenia'!$H$5:$H$504,$M331)&amp;"",IF($L331="U",INDEX('Dane rozpisek'!$E$2:$E$2600,$M331)&amp;"",IF($L331="H","Operator","")))</f>
        <v/>
      </c>
      <c r="E331" s="49">
        <f>IF($L331="D",INDEX('Zgłoszenia'!$I$5:$I$504,$M331)&amp;"",IF($L331="U",INDEX('Dane rozpisek'!$C$2:$C$2600,$M331)&amp;"",IF($L331="H","Stanowisko","")))</f>
        <v/>
      </c>
      <c r="F331" s="48">
        <f>IF($L331="D",INDEX('Zgłoszenia'!$J$5:$J$504,$M331)&amp;"",IF($L331="U",INDEX('Dane rozpisek'!$G$2:$G$2600,$M331)&amp;"",IF($L331="H","Uwagi","")))</f>
        <v/>
      </c>
      <c r="G331" s="49">
        <f>IF($L331="D",INDEX('Zgłoszenia'!$F$5:$F$504,$M331)&amp;"",IF($L331="U",INDEX('Dane rozpisek'!$L$2:$L$2600,$M331)&amp;"",IF($L331="H","Usterki (dzień / następny)","")))</f>
        <v/>
      </c>
      <c r="H331" s="49">
        <f>IF($L331="D",INDEX('Zgłoszenia'!$P$5:$P$504,$M331)&amp;"",IF($L331="U","",""))</f>
        <v/>
      </c>
      <c r="I331" s="48">
        <f>IF($L331="D",IF(INDEX('Zgłoszenia'!$M$5:$M$504,$M331)="","Zgłoszona",INDEX('Zgłoszenia'!$M$5:$M$504,$M331)),IF($L331="U","",""))</f>
        <v/>
      </c>
      <c r="J331" s="49">
        <f>IF($L331="D",INDEX('Zgłoszenia'!$K$5:$K$504,$M331)&amp;"",IF($L331="U","",""))</f>
        <v/>
      </c>
      <c r="K331" s="2" t="n"/>
      <c r="L331" s="2">
        <f>IF((ROW()-12)&lt;=$L$5,IF($L$2=0,"E1","D"),IF((ROW()-12)=$L$5+1,"",IF((ROW()-12)=$L$5+2,"T",IF((ROW()-12)=$L$5+3,IF($L$3=0,"E2","H"),IF((ROW()-12)&lt;=$L$5+3+$L$3,"U","")))))</f>
        <v/>
      </c>
      <c r="M331" s="2">
        <f>IF(L331="D",MATCH(LARGE('Zgłoszenia'!$Q$5:$Q$504,(ROW()-12)),'Zgłoszenia'!$Q$5:$Q$504,0),IF(L331="U",MATCH(LARGE('Dane rozpisek'!$I$2:$I$2600,(ROW()-12)-$L$5-3),'Dane rozpisek'!$I$2:$I$2600,0),""))</f>
        <v/>
      </c>
    </row>
    <row r="332">
      <c r="A332" s="47">
        <f>IF($L332="D",INDEX('Zgłoszenia'!$D$5:$D$504,$M332),IF($L332="U",INDEX('Dane rozpisek'!$A$2:$A$2600,$M332),IF($L332="T","KTO JEŹDZIŁ",IF($L332="E1","Brak zgłoszonych usterek w tym okresie.",IF($L332="E2","Brak wpisów z tym wózkiem w rozpiskach dla tego okresu.",IF($L332="H","Data",""))))))</f>
        <v/>
      </c>
      <c r="B332" s="48">
        <f>IF($L332="D",INDEX('Zgłoszenia'!$B$5:$B$504,$M332)&amp;"",IF($L332="U",INDEX('Dane rozpisek'!$F$2:$F$2600,$M332)&amp;"",IF($L332="H","Wózek","")))</f>
        <v/>
      </c>
      <c r="C332" s="48">
        <f>IF($L332="D",INDEX('Zgłoszenia'!$E$5:$E$504,$M332)&amp;"",IF($L332="U",INDEX('Dane rozpisek'!$B$2:$B$2600,$M332)&amp;" · "&amp;INDEX('Dane rozpisek'!$J$2:$J$2600,$M332),IF($L332="H","Zmiana","")))</f>
        <v/>
      </c>
      <c r="D332" s="49">
        <f>IF($L332="D",INDEX('Zgłoszenia'!$H$5:$H$504,$M332)&amp;"",IF($L332="U",INDEX('Dane rozpisek'!$E$2:$E$2600,$M332)&amp;"",IF($L332="H","Operator","")))</f>
        <v/>
      </c>
      <c r="E332" s="49">
        <f>IF($L332="D",INDEX('Zgłoszenia'!$I$5:$I$504,$M332)&amp;"",IF($L332="U",INDEX('Dane rozpisek'!$C$2:$C$2600,$M332)&amp;"",IF($L332="H","Stanowisko","")))</f>
        <v/>
      </c>
      <c r="F332" s="48">
        <f>IF($L332="D",INDEX('Zgłoszenia'!$J$5:$J$504,$M332)&amp;"",IF($L332="U",INDEX('Dane rozpisek'!$G$2:$G$2600,$M332)&amp;"",IF($L332="H","Uwagi","")))</f>
        <v/>
      </c>
      <c r="G332" s="49">
        <f>IF($L332="D",INDEX('Zgłoszenia'!$F$5:$F$504,$M332)&amp;"",IF($L332="U",INDEX('Dane rozpisek'!$L$2:$L$2600,$M332)&amp;"",IF($L332="H","Usterki (dzień / następny)","")))</f>
        <v/>
      </c>
      <c r="H332" s="49">
        <f>IF($L332="D",INDEX('Zgłoszenia'!$P$5:$P$504,$M332)&amp;"",IF($L332="U","",""))</f>
        <v/>
      </c>
      <c r="I332" s="48">
        <f>IF($L332="D",IF(INDEX('Zgłoszenia'!$M$5:$M$504,$M332)="","Zgłoszona",INDEX('Zgłoszenia'!$M$5:$M$504,$M332)),IF($L332="U","",""))</f>
        <v/>
      </c>
      <c r="J332" s="49">
        <f>IF($L332="D",INDEX('Zgłoszenia'!$K$5:$K$504,$M332)&amp;"",IF($L332="U","",""))</f>
        <v/>
      </c>
      <c r="K332" s="2" t="n"/>
      <c r="L332" s="2">
        <f>IF((ROW()-12)&lt;=$L$5,IF($L$2=0,"E1","D"),IF((ROW()-12)=$L$5+1,"",IF((ROW()-12)=$L$5+2,"T",IF((ROW()-12)=$L$5+3,IF($L$3=0,"E2","H"),IF((ROW()-12)&lt;=$L$5+3+$L$3,"U","")))))</f>
        <v/>
      </c>
      <c r="M332" s="2">
        <f>IF(L332="D",MATCH(LARGE('Zgłoszenia'!$Q$5:$Q$504,(ROW()-12)),'Zgłoszenia'!$Q$5:$Q$504,0),IF(L332="U",MATCH(LARGE('Dane rozpisek'!$I$2:$I$2600,(ROW()-12)-$L$5-3),'Dane rozpisek'!$I$2:$I$2600,0),""))</f>
        <v/>
      </c>
    </row>
    <row r="333">
      <c r="A333" s="47">
        <f>IF($L333="D",INDEX('Zgłoszenia'!$D$5:$D$504,$M333),IF($L333="U",INDEX('Dane rozpisek'!$A$2:$A$2600,$M333),IF($L333="T","KTO JEŹDZIŁ",IF($L333="E1","Brak zgłoszonych usterek w tym okresie.",IF($L333="E2","Brak wpisów z tym wózkiem w rozpiskach dla tego okresu.",IF($L333="H","Data",""))))))</f>
        <v/>
      </c>
      <c r="B333" s="48">
        <f>IF($L333="D",INDEX('Zgłoszenia'!$B$5:$B$504,$M333)&amp;"",IF($L333="U",INDEX('Dane rozpisek'!$F$2:$F$2600,$M333)&amp;"",IF($L333="H","Wózek","")))</f>
        <v/>
      </c>
      <c r="C333" s="48">
        <f>IF($L333="D",INDEX('Zgłoszenia'!$E$5:$E$504,$M333)&amp;"",IF($L333="U",INDEX('Dane rozpisek'!$B$2:$B$2600,$M333)&amp;" · "&amp;INDEX('Dane rozpisek'!$J$2:$J$2600,$M333),IF($L333="H","Zmiana","")))</f>
        <v/>
      </c>
      <c r="D333" s="49">
        <f>IF($L333="D",INDEX('Zgłoszenia'!$H$5:$H$504,$M333)&amp;"",IF($L333="U",INDEX('Dane rozpisek'!$E$2:$E$2600,$M333)&amp;"",IF($L333="H","Operator","")))</f>
        <v/>
      </c>
      <c r="E333" s="49">
        <f>IF($L333="D",INDEX('Zgłoszenia'!$I$5:$I$504,$M333)&amp;"",IF($L333="U",INDEX('Dane rozpisek'!$C$2:$C$2600,$M333)&amp;"",IF($L333="H","Stanowisko","")))</f>
        <v/>
      </c>
      <c r="F333" s="48">
        <f>IF($L333="D",INDEX('Zgłoszenia'!$J$5:$J$504,$M333)&amp;"",IF($L333="U",INDEX('Dane rozpisek'!$G$2:$G$2600,$M333)&amp;"",IF($L333="H","Uwagi","")))</f>
        <v/>
      </c>
      <c r="G333" s="49">
        <f>IF($L333="D",INDEX('Zgłoszenia'!$F$5:$F$504,$M333)&amp;"",IF($L333="U",INDEX('Dane rozpisek'!$L$2:$L$2600,$M333)&amp;"",IF($L333="H","Usterki (dzień / następny)","")))</f>
        <v/>
      </c>
      <c r="H333" s="49">
        <f>IF($L333="D",INDEX('Zgłoszenia'!$P$5:$P$504,$M333)&amp;"",IF($L333="U","",""))</f>
        <v/>
      </c>
      <c r="I333" s="48">
        <f>IF($L333="D",IF(INDEX('Zgłoszenia'!$M$5:$M$504,$M333)="","Zgłoszona",INDEX('Zgłoszenia'!$M$5:$M$504,$M333)),IF($L333="U","",""))</f>
        <v/>
      </c>
      <c r="J333" s="49">
        <f>IF($L333="D",INDEX('Zgłoszenia'!$K$5:$K$504,$M333)&amp;"",IF($L333="U","",""))</f>
        <v/>
      </c>
      <c r="K333" s="2" t="n"/>
      <c r="L333" s="2">
        <f>IF((ROW()-12)&lt;=$L$5,IF($L$2=0,"E1","D"),IF((ROW()-12)=$L$5+1,"",IF((ROW()-12)=$L$5+2,"T",IF((ROW()-12)=$L$5+3,IF($L$3=0,"E2","H"),IF((ROW()-12)&lt;=$L$5+3+$L$3,"U","")))))</f>
        <v/>
      </c>
      <c r="M333" s="2">
        <f>IF(L333="D",MATCH(LARGE('Zgłoszenia'!$Q$5:$Q$504,(ROW()-12)),'Zgłoszenia'!$Q$5:$Q$504,0),IF(L333="U",MATCH(LARGE('Dane rozpisek'!$I$2:$I$2600,(ROW()-12)-$L$5-3),'Dane rozpisek'!$I$2:$I$2600,0),""))</f>
        <v/>
      </c>
    </row>
    <row r="334">
      <c r="A334" s="47">
        <f>IF($L334="D",INDEX('Zgłoszenia'!$D$5:$D$504,$M334),IF($L334="U",INDEX('Dane rozpisek'!$A$2:$A$2600,$M334),IF($L334="T","KTO JEŹDZIŁ",IF($L334="E1","Brak zgłoszonych usterek w tym okresie.",IF($L334="E2","Brak wpisów z tym wózkiem w rozpiskach dla tego okresu.",IF($L334="H","Data",""))))))</f>
        <v/>
      </c>
      <c r="B334" s="48">
        <f>IF($L334="D",INDEX('Zgłoszenia'!$B$5:$B$504,$M334)&amp;"",IF($L334="U",INDEX('Dane rozpisek'!$F$2:$F$2600,$M334)&amp;"",IF($L334="H","Wózek","")))</f>
        <v/>
      </c>
      <c r="C334" s="48">
        <f>IF($L334="D",INDEX('Zgłoszenia'!$E$5:$E$504,$M334)&amp;"",IF($L334="U",INDEX('Dane rozpisek'!$B$2:$B$2600,$M334)&amp;" · "&amp;INDEX('Dane rozpisek'!$J$2:$J$2600,$M334),IF($L334="H","Zmiana","")))</f>
        <v/>
      </c>
      <c r="D334" s="49">
        <f>IF($L334="D",INDEX('Zgłoszenia'!$H$5:$H$504,$M334)&amp;"",IF($L334="U",INDEX('Dane rozpisek'!$E$2:$E$2600,$M334)&amp;"",IF($L334="H","Operator","")))</f>
        <v/>
      </c>
      <c r="E334" s="49">
        <f>IF($L334="D",INDEX('Zgłoszenia'!$I$5:$I$504,$M334)&amp;"",IF($L334="U",INDEX('Dane rozpisek'!$C$2:$C$2600,$M334)&amp;"",IF($L334="H","Stanowisko","")))</f>
        <v/>
      </c>
      <c r="F334" s="48">
        <f>IF($L334="D",INDEX('Zgłoszenia'!$J$5:$J$504,$M334)&amp;"",IF($L334="U",INDEX('Dane rozpisek'!$G$2:$G$2600,$M334)&amp;"",IF($L334="H","Uwagi","")))</f>
        <v/>
      </c>
      <c r="G334" s="49">
        <f>IF($L334="D",INDEX('Zgłoszenia'!$F$5:$F$504,$M334)&amp;"",IF($L334="U",INDEX('Dane rozpisek'!$L$2:$L$2600,$M334)&amp;"",IF($L334="H","Usterki (dzień / następny)","")))</f>
        <v/>
      </c>
      <c r="H334" s="49">
        <f>IF($L334="D",INDEX('Zgłoszenia'!$P$5:$P$504,$M334)&amp;"",IF($L334="U","",""))</f>
        <v/>
      </c>
      <c r="I334" s="48">
        <f>IF($L334="D",IF(INDEX('Zgłoszenia'!$M$5:$M$504,$M334)="","Zgłoszona",INDEX('Zgłoszenia'!$M$5:$M$504,$M334)),IF($L334="U","",""))</f>
        <v/>
      </c>
      <c r="J334" s="49">
        <f>IF($L334="D",INDEX('Zgłoszenia'!$K$5:$K$504,$M334)&amp;"",IF($L334="U","",""))</f>
        <v/>
      </c>
      <c r="K334" s="2" t="n"/>
      <c r="L334" s="2">
        <f>IF((ROW()-12)&lt;=$L$5,IF($L$2=0,"E1","D"),IF((ROW()-12)=$L$5+1,"",IF((ROW()-12)=$L$5+2,"T",IF((ROW()-12)=$L$5+3,IF($L$3=0,"E2","H"),IF((ROW()-12)&lt;=$L$5+3+$L$3,"U","")))))</f>
        <v/>
      </c>
      <c r="M334" s="2">
        <f>IF(L334="D",MATCH(LARGE('Zgłoszenia'!$Q$5:$Q$504,(ROW()-12)),'Zgłoszenia'!$Q$5:$Q$504,0),IF(L334="U",MATCH(LARGE('Dane rozpisek'!$I$2:$I$2600,(ROW()-12)-$L$5-3),'Dane rozpisek'!$I$2:$I$2600,0),""))</f>
        <v/>
      </c>
    </row>
    <row r="335">
      <c r="A335" s="47">
        <f>IF($L335="D",INDEX('Zgłoszenia'!$D$5:$D$504,$M335),IF($L335="U",INDEX('Dane rozpisek'!$A$2:$A$2600,$M335),IF($L335="T","KTO JEŹDZIŁ",IF($L335="E1","Brak zgłoszonych usterek w tym okresie.",IF($L335="E2","Brak wpisów z tym wózkiem w rozpiskach dla tego okresu.",IF($L335="H","Data",""))))))</f>
        <v/>
      </c>
      <c r="B335" s="48">
        <f>IF($L335="D",INDEX('Zgłoszenia'!$B$5:$B$504,$M335)&amp;"",IF($L335="U",INDEX('Dane rozpisek'!$F$2:$F$2600,$M335)&amp;"",IF($L335="H","Wózek","")))</f>
        <v/>
      </c>
      <c r="C335" s="48">
        <f>IF($L335="D",INDEX('Zgłoszenia'!$E$5:$E$504,$M335)&amp;"",IF($L335="U",INDEX('Dane rozpisek'!$B$2:$B$2600,$M335)&amp;" · "&amp;INDEX('Dane rozpisek'!$J$2:$J$2600,$M335),IF($L335="H","Zmiana","")))</f>
        <v/>
      </c>
      <c r="D335" s="49">
        <f>IF($L335="D",INDEX('Zgłoszenia'!$H$5:$H$504,$M335)&amp;"",IF($L335="U",INDEX('Dane rozpisek'!$E$2:$E$2600,$M335)&amp;"",IF($L335="H","Operator","")))</f>
        <v/>
      </c>
      <c r="E335" s="49">
        <f>IF($L335="D",INDEX('Zgłoszenia'!$I$5:$I$504,$M335)&amp;"",IF($L335="U",INDEX('Dane rozpisek'!$C$2:$C$2600,$M335)&amp;"",IF($L335="H","Stanowisko","")))</f>
        <v/>
      </c>
      <c r="F335" s="48">
        <f>IF($L335="D",INDEX('Zgłoszenia'!$J$5:$J$504,$M335)&amp;"",IF($L335="U",INDEX('Dane rozpisek'!$G$2:$G$2600,$M335)&amp;"",IF($L335="H","Uwagi","")))</f>
        <v/>
      </c>
      <c r="G335" s="49">
        <f>IF($L335="D",INDEX('Zgłoszenia'!$F$5:$F$504,$M335)&amp;"",IF($L335="U",INDEX('Dane rozpisek'!$L$2:$L$2600,$M335)&amp;"",IF($L335="H","Usterki (dzień / następny)","")))</f>
        <v/>
      </c>
      <c r="H335" s="49">
        <f>IF($L335="D",INDEX('Zgłoszenia'!$P$5:$P$504,$M335)&amp;"",IF($L335="U","",""))</f>
        <v/>
      </c>
      <c r="I335" s="48">
        <f>IF($L335="D",IF(INDEX('Zgłoszenia'!$M$5:$M$504,$M335)="","Zgłoszona",INDEX('Zgłoszenia'!$M$5:$M$504,$M335)),IF($L335="U","",""))</f>
        <v/>
      </c>
      <c r="J335" s="49">
        <f>IF($L335="D",INDEX('Zgłoszenia'!$K$5:$K$504,$M335)&amp;"",IF($L335="U","",""))</f>
        <v/>
      </c>
      <c r="K335" s="2" t="n"/>
      <c r="L335" s="2">
        <f>IF((ROW()-12)&lt;=$L$5,IF($L$2=0,"E1","D"),IF((ROW()-12)=$L$5+1,"",IF((ROW()-12)=$L$5+2,"T",IF((ROW()-12)=$L$5+3,IF($L$3=0,"E2","H"),IF((ROW()-12)&lt;=$L$5+3+$L$3,"U","")))))</f>
        <v/>
      </c>
      <c r="M335" s="2">
        <f>IF(L335="D",MATCH(LARGE('Zgłoszenia'!$Q$5:$Q$504,(ROW()-12)),'Zgłoszenia'!$Q$5:$Q$504,0),IF(L335="U",MATCH(LARGE('Dane rozpisek'!$I$2:$I$2600,(ROW()-12)-$L$5-3),'Dane rozpisek'!$I$2:$I$2600,0),""))</f>
        <v/>
      </c>
    </row>
    <row r="336">
      <c r="A336" s="47">
        <f>IF($L336="D",INDEX('Zgłoszenia'!$D$5:$D$504,$M336),IF($L336="U",INDEX('Dane rozpisek'!$A$2:$A$2600,$M336),IF($L336="T","KTO JEŹDZIŁ",IF($L336="E1","Brak zgłoszonych usterek w tym okresie.",IF($L336="E2","Brak wpisów z tym wózkiem w rozpiskach dla tego okresu.",IF($L336="H","Data",""))))))</f>
        <v/>
      </c>
      <c r="B336" s="48">
        <f>IF($L336="D",INDEX('Zgłoszenia'!$B$5:$B$504,$M336)&amp;"",IF($L336="U",INDEX('Dane rozpisek'!$F$2:$F$2600,$M336)&amp;"",IF($L336="H","Wózek","")))</f>
        <v/>
      </c>
      <c r="C336" s="48">
        <f>IF($L336="D",INDEX('Zgłoszenia'!$E$5:$E$504,$M336)&amp;"",IF($L336="U",INDEX('Dane rozpisek'!$B$2:$B$2600,$M336)&amp;" · "&amp;INDEX('Dane rozpisek'!$J$2:$J$2600,$M336),IF($L336="H","Zmiana","")))</f>
        <v/>
      </c>
      <c r="D336" s="49">
        <f>IF($L336="D",INDEX('Zgłoszenia'!$H$5:$H$504,$M336)&amp;"",IF($L336="U",INDEX('Dane rozpisek'!$E$2:$E$2600,$M336)&amp;"",IF($L336="H","Operator","")))</f>
        <v/>
      </c>
      <c r="E336" s="49">
        <f>IF($L336="D",INDEX('Zgłoszenia'!$I$5:$I$504,$M336)&amp;"",IF($L336="U",INDEX('Dane rozpisek'!$C$2:$C$2600,$M336)&amp;"",IF($L336="H","Stanowisko","")))</f>
        <v/>
      </c>
      <c r="F336" s="48">
        <f>IF($L336="D",INDEX('Zgłoszenia'!$J$5:$J$504,$M336)&amp;"",IF($L336="U",INDEX('Dane rozpisek'!$G$2:$G$2600,$M336)&amp;"",IF($L336="H","Uwagi","")))</f>
        <v/>
      </c>
      <c r="G336" s="49">
        <f>IF($L336="D",INDEX('Zgłoszenia'!$F$5:$F$504,$M336)&amp;"",IF($L336="U",INDEX('Dane rozpisek'!$L$2:$L$2600,$M336)&amp;"",IF($L336="H","Usterki (dzień / następny)","")))</f>
        <v/>
      </c>
      <c r="H336" s="49">
        <f>IF($L336="D",INDEX('Zgłoszenia'!$P$5:$P$504,$M336)&amp;"",IF($L336="U","",""))</f>
        <v/>
      </c>
      <c r="I336" s="48">
        <f>IF($L336="D",IF(INDEX('Zgłoszenia'!$M$5:$M$504,$M336)="","Zgłoszona",INDEX('Zgłoszenia'!$M$5:$M$504,$M336)),IF($L336="U","",""))</f>
        <v/>
      </c>
      <c r="J336" s="49">
        <f>IF($L336="D",INDEX('Zgłoszenia'!$K$5:$K$504,$M336)&amp;"",IF($L336="U","",""))</f>
        <v/>
      </c>
      <c r="K336" s="2" t="n"/>
      <c r="L336" s="2">
        <f>IF((ROW()-12)&lt;=$L$5,IF($L$2=0,"E1","D"),IF((ROW()-12)=$L$5+1,"",IF((ROW()-12)=$L$5+2,"T",IF((ROW()-12)=$L$5+3,IF($L$3=0,"E2","H"),IF((ROW()-12)&lt;=$L$5+3+$L$3,"U","")))))</f>
        <v/>
      </c>
      <c r="M336" s="2">
        <f>IF(L336="D",MATCH(LARGE('Zgłoszenia'!$Q$5:$Q$504,(ROW()-12)),'Zgłoszenia'!$Q$5:$Q$504,0),IF(L336="U",MATCH(LARGE('Dane rozpisek'!$I$2:$I$2600,(ROW()-12)-$L$5-3),'Dane rozpisek'!$I$2:$I$2600,0),""))</f>
        <v/>
      </c>
    </row>
    <row r="337">
      <c r="A337" s="47">
        <f>IF($L337="D",INDEX('Zgłoszenia'!$D$5:$D$504,$M337),IF($L337="U",INDEX('Dane rozpisek'!$A$2:$A$2600,$M337),IF($L337="T","KTO JEŹDZIŁ",IF($L337="E1","Brak zgłoszonych usterek w tym okresie.",IF($L337="E2","Brak wpisów z tym wózkiem w rozpiskach dla tego okresu.",IF($L337="H","Data",""))))))</f>
        <v/>
      </c>
      <c r="B337" s="48">
        <f>IF($L337="D",INDEX('Zgłoszenia'!$B$5:$B$504,$M337)&amp;"",IF($L337="U",INDEX('Dane rozpisek'!$F$2:$F$2600,$M337)&amp;"",IF($L337="H","Wózek","")))</f>
        <v/>
      </c>
      <c r="C337" s="48">
        <f>IF($L337="D",INDEX('Zgłoszenia'!$E$5:$E$504,$M337)&amp;"",IF($L337="U",INDEX('Dane rozpisek'!$B$2:$B$2600,$M337)&amp;" · "&amp;INDEX('Dane rozpisek'!$J$2:$J$2600,$M337),IF($L337="H","Zmiana","")))</f>
        <v/>
      </c>
      <c r="D337" s="49">
        <f>IF($L337="D",INDEX('Zgłoszenia'!$H$5:$H$504,$M337)&amp;"",IF($L337="U",INDEX('Dane rozpisek'!$E$2:$E$2600,$M337)&amp;"",IF($L337="H","Operator","")))</f>
        <v/>
      </c>
      <c r="E337" s="49">
        <f>IF($L337="D",INDEX('Zgłoszenia'!$I$5:$I$504,$M337)&amp;"",IF($L337="U",INDEX('Dane rozpisek'!$C$2:$C$2600,$M337)&amp;"",IF($L337="H","Stanowisko","")))</f>
        <v/>
      </c>
      <c r="F337" s="48">
        <f>IF($L337="D",INDEX('Zgłoszenia'!$J$5:$J$504,$M337)&amp;"",IF($L337="U",INDEX('Dane rozpisek'!$G$2:$G$2600,$M337)&amp;"",IF($L337="H","Uwagi","")))</f>
        <v/>
      </c>
      <c r="G337" s="49">
        <f>IF($L337="D",INDEX('Zgłoszenia'!$F$5:$F$504,$M337)&amp;"",IF($L337="U",INDEX('Dane rozpisek'!$L$2:$L$2600,$M337)&amp;"",IF($L337="H","Usterki (dzień / następny)","")))</f>
        <v/>
      </c>
      <c r="H337" s="49">
        <f>IF($L337="D",INDEX('Zgłoszenia'!$P$5:$P$504,$M337)&amp;"",IF($L337="U","",""))</f>
        <v/>
      </c>
      <c r="I337" s="48">
        <f>IF($L337="D",IF(INDEX('Zgłoszenia'!$M$5:$M$504,$M337)="","Zgłoszona",INDEX('Zgłoszenia'!$M$5:$M$504,$M337)),IF($L337="U","",""))</f>
        <v/>
      </c>
      <c r="J337" s="49">
        <f>IF($L337="D",INDEX('Zgłoszenia'!$K$5:$K$504,$M337)&amp;"",IF($L337="U","",""))</f>
        <v/>
      </c>
      <c r="K337" s="2" t="n"/>
      <c r="L337" s="2">
        <f>IF((ROW()-12)&lt;=$L$5,IF($L$2=0,"E1","D"),IF((ROW()-12)=$L$5+1,"",IF((ROW()-12)=$L$5+2,"T",IF((ROW()-12)=$L$5+3,IF($L$3=0,"E2","H"),IF((ROW()-12)&lt;=$L$5+3+$L$3,"U","")))))</f>
        <v/>
      </c>
      <c r="M337" s="2">
        <f>IF(L337="D",MATCH(LARGE('Zgłoszenia'!$Q$5:$Q$504,(ROW()-12)),'Zgłoszenia'!$Q$5:$Q$504,0),IF(L337="U",MATCH(LARGE('Dane rozpisek'!$I$2:$I$2600,(ROW()-12)-$L$5-3),'Dane rozpisek'!$I$2:$I$2600,0),""))</f>
        <v/>
      </c>
    </row>
    <row r="338">
      <c r="A338" s="47">
        <f>IF($L338="D",INDEX('Zgłoszenia'!$D$5:$D$504,$M338),IF($L338="U",INDEX('Dane rozpisek'!$A$2:$A$2600,$M338),IF($L338="T","KTO JEŹDZIŁ",IF($L338="E1","Brak zgłoszonych usterek w tym okresie.",IF($L338="E2","Brak wpisów z tym wózkiem w rozpiskach dla tego okresu.",IF($L338="H","Data",""))))))</f>
        <v/>
      </c>
      <c r="B338" s="48">
        <f>IF($L338="D",INDEX('Zgłoszenia'!$B$5:$B$504,$M338)&amp;"",IF($L338="U",INDEX('Dane rozpisek'!$F$2:$F$2600,$M338)&amp;"",IF($L338="H","Wózek","")))</f>
        <v/>
      </c>
      <c r="C338" s="48">
        <f>IF($L338="D",INDEX('Zgłoszenia'!$E$5:$E$504,$M338)&amp;"",IF($L338="U",INDEX('Dane rozpisek'!$B$2:$B$2600,$M338)&amp;" · "&amp;INDEX('Dane rozpisek'!$J$2:$J$2600,$M338),IF($L338="H","Zmiana","")))</f>
        <v/>
      </c>
      <c r="D338" s="49">
        <f>IF($L338="D",INDEX('Zgłoszenia'!$H$5:$H$504,$M338)&amp;"",IF($L338="U",INDEX('Dane rozpisek'!$E$2:$E$2600,$M338)&amp;"",IF($L338="H","Operator","")))</f>
        <v/>
      </c>
      <c r="E338" s="49">
        <f>IF($L338="D",INDEX('Zgłoszenia'!$I$5:$I$504,$M338)&amp;"",IF($L338="U",INDEX('Dane rozpisek'!$C$2:$C$2600,$M338)&amp;"",IF($L338="H","Stanowisko","")))</f>
        <v/>
      </c>
      <c r="F338" s="48">
        <f>IF($L338="D",INDEX('Zgłoszenia'!$J$5:$J$504,$M338)&amp;"",IF($L338="U",INDEX('Dane rozpisek'!$G$2:$G$2600,$M338)&amp;"",IF($L338="H","Uwagi","")))</f>
        <v/>
      </c>
      <c r="G338" s="49">
        <f>IF($L338="D",INDEX('Zgłoszenia'!$F$5:$F$504,$M338)&amp;"",IF($L338="U",INDEX('Dane rozpisek'!$L$2:$L$2600,$M338)&amp;"",IF($L338="H","Usterki (dzień / następny)","")))</f>
        <v/>
      </c>
      <c r="H338" s="49">
        <f>IF($L338="D",INDEX('Zgłoszenia'!$P$5:$P$504,$M338)&amp;"",IF($L338="U","",""))</f>
        <v/>
      </c>
      <c r="I338" s="48">
        <f>IF($L338="D",IF(INDEX('Zgłoszenia'!$M$5:$M$504,$M338)="","Zgłoszona",INDEX('Zgłoszenia'!$M$5:$M$504,$M338)),IF($L338="U","",""))</f>
        <v/>
      </c>
      <c r="J338" s="49">
        <f>IF($L338="D",INDEX('Zgłoszenia'!$K$5:$K$504,$M338)&amp;"",IF($L338="U","",""))</f>
        <v/>
      </c>
      <c r="K338" s="2" t="n"/>
      <c r="L338" s="2">
        <f>IF((ROW()-12)&lt;=$L$5,IF($L$2=0,"E1","D"),IF((ROW()-12)=$L$5+1,"",IF((ROW()-12)=$L$5+2,"T",IF((ROW()-12)=$L$5+3,IF($L$3=0,"E2","H"),IF((ROW()-12)&lt;=$L$5+3+$L$3,"U","")))))</f>
        <v/>
      </c>
      <c r="M338" s="2">
        <f>IF(L338="D",MATCH(LARGE('Zgłoszenia'!$Q$5:$Q$504,(ROW()-12)),'Zgłoszenia'!$Q$5:$Q$504,0),IF(L338="U",MATCH(LARGE('Dane rozpisek'!$I$2:$I$2600,(ROW()-12)-$L$5-3),'Dane rozpisek'!$I$2:$I$2600,0),""))</f>
        <v/>
      </c>
    </row>
    <row r="339">
      <c r="A339" s="47">
        <f>IF($L339="D",INDEX('Zgłoszenia'!$D$5:$D$504,$M339),IF($L339="U",INDEX('Dane rozpisek'!$A$2:$A$2600,$M339),IF($L339="T","KTO JEŹDZIŁ",IF($L339="E1","Brak zgłoszonych usterek w tym okresie.",IF($L339="E2","Brak wpisów z tym wózkiem w rozpiskach dla tego okresu.",IF($L339="H","Data",""))))))</f>
        <v/>
      </c>
      <c r="B339" s="48">
        <f>IF($L339="D",INDEX('Zgłoszenia'!$B$5:$B$504,$M339)&amp;"",IF($L339="U",INDEX('Dane rozpisek'!$F$2:$F$2600,$M339)&amp;"",IF($L339="H","Wózek","")))</f>
        <v/>
      </c>
      <c r="C339" s="48">
        <f>IF($L339="D",INDEX('Zgłoszenia'!$E$5:$E$504,$M339)&amp;"",IF($L339="U",INDEX('Dane rozpisek'!$B$2:$B$2600,$M339)&amp;" · "&amp;INDEX('Dane rozpisek'!$J$2:$J$2600,$M339),IF($L339="H","Zmiana","")))</f>
        <v/>
      </c>
      <c r="D339" s="49">
        <f>IF($L339="D",INDEX('Zgłoszenia'!$H$5:$H$504,$M339)&amp;"",IF($L339="U",INDEX('Dane rozpisek'!$E$2:$E$2600,$M339)&amp;"",IF($L339="H","Operator","")))</f>
        <v/>
      </c>
      <c r="E339" s="49">
        <f>IF($L339="D",INDEX('Zgłoszenia'!$I$5:$I$504,$M339)&amp;"",IF($L339="U",INDEX('Dane rozpisek'!$C$2:$C$2600,$M339)&amp;"",IF($L339="H","Stanowisko","")))</f>
        <v/>
      </c>
      <c r="F339" s="48">
        <f>IF($L339="D",INDEX('Zgłoszenia'!$J$5:$J$504,$M339)&amp;"",IF($L339="U",INDEX('Dane rozpisek'!$G$2:$G$2600,$M339)&amp;"",IF($L339="H","Uwagi","")))</f>
        <v/>
      </c>
      <c r="G339" s="49">
        <f>IF($L339="D",INDEX('Zgłoszenia'!$F$5:$F$504,$M339)&amp;"",IF($L339="U",INDEX('Dane rozpisek'!$L$2:$L$2600,$M339)&amp;"",IF($L339="H","Usterki (dzień / następny)","")))</f>
        <v/>
      </c>
      <c r="H339" s="49">
        <f>IF($L339="D",INDEX('Zgłoszenia'!$P$5:$P$504,$M339)&amp;"",IF($L339="U","",""))</f>
        <v/>
      </c>
      <c r="I339" s="48">
        <f>IF($L339="D",IF(INDEX('Zgłoszenia'!$M$5:$M$504,$M339)="","Zgłoszona",INDEX('Zgłoszenia'!$M$5:$M$504,$M339)),IF($L339="U","",""))</f>
        <v/>
      </c>
      <c r="J339" s="49">
        <f>IF($L339="D",INDEX('Zgłoszenia'!$K$5:$K$504,$M339)&amp;"",IF($L339="U","",""))</f>
        <v/>
      </c>
      <c r="K339" s="2" t="n"/>
      <c r="L339" s="2">
        <f>IF((ROW()-12)&lt;=$L$5,IF($L$2=0,"E1","D"),IF((ROW()-12)=$L$5+1,"",IF((ROW()-12)=$L$5+2,"T",IF((ROW()-12)=$L$5+3,IF($L$3=0,"E2","H"),IF((ROW()-12)&lt;=$L$5+3+$L$3,"U","")))))</f>
        <v/>
      </c>
      <c r="M339" s="2">
        <f>IF(L339="D",MATCH(LARGE('Zgłoszenia'!$Q$5:$Q$504,(ROW()-12)),'Zgłoszenia'!$Q$5:$Q$504,0),IF(L339="U",MATCH(LARGE('Dane rozpisek'!$I$2:$I$2600,(ROW()-12)-$L$5-3),'Dane rozpisek'!$I$2:$I$2600,0),""))</f>
        <v/>
      </c>
    </row>
    <row r="340">
      <c r="A340" s="47">
        <f>IF($L340="D",INDEX('Zgłoszenia'!$D$5:$D$504,$M340),IF($L340="U",INDEX('Dane rozpisek'!$A$2:$A$2600,$M340),IF($L340="T","KTO JEŹDZIŁ",IF($L340="E1","Brak zgłoszonych usterek w tym okresie.",IF($L340="E2","Brak wpisów z tym wózkiem w rozpiskach dla tego okresu.",IF($L340="H","Data",""))))))</f>
        <v/>
      </c>
      <c r="B340" s="48">
        <f>IF($L340="D",INDEX('Zgłoszenia'!$B$5:$B$504,$M340)&amp;"",IF($L340="U",INDEX('Dane rozpisek'!$F$2:$F$2600,$M340)&amp;"",IF($L340="H","Wózek","")))</f>
        <v/>
      </c>
      <c r="C340" s="48">
        <f>IF($L340="D",INDEX('Zgłoszenia'!$E$5:$E$504,$M340)&amp;"",IF($L340="U",INDEX('Dane rozpisek'!$B$2:$B$2600,$M340)&amp;" · "&amp;INDEX('Dane rozpisek'!$J$2:$J$2600,$M340),IF($L340="H","Zmiana","")))</f>
        <v/>
      </c>
      <c r="D340" s="49">
        <f>IF($L340="D",INDEX('Zgłoszenia'!$H$5:$H$504,$M340)&amp;"",IF($L340="U",INDEX('Dane rozpisek'!$E$2:$E$2600,$M340)&amp;"",IF($L340="H","Operator","")))</f>
        <v/>
      </c>
      <c r="E340" s="49">
        <f>IF($L340="D",INDEX('Zgłoszenia'!$I$5:$I$504,$M340)&amp;"",IF($L340="U",INDEX('Dane rozpisek'!$C$2:$C$2600,$M340)&amp;"",IF($L340="H","Stanowisko","")))</f>
        <v/>
      </c>
      <c r="F340" s="48">
        <f>IF($L340="D",INDEX('Zgłoszenia'!$J$5:$J$504,$M340)&amp;"",IF($L340="U",INDEX('Dane rozpisek'!$G$2:$G$2600,$M340)&amp;"",IF($L340="H","Uwagi","")))</f>
        <v/>
      </c>
      <c r="G340" s="49">
        <f>IF($L340="D",INDEX('Zgłoszenia'!$F$5:$F$504,$M340)&amp;"",IF($L340="U",INDEX('Dane rozpisek'!$L$2:$L$2600,$M340)&amp;"",IF($L340="H","Usterki (dzień / następny)","")))</f>
        <v/>
      </c>
      <c r="H340" s="49">
        <f>IF($L340="D",INDEX('Zgłoszenia'!$P$5:$P$504,$M340)&amp;"",IF($L340="U","",""))</f>
        <v/>
      </c>
      <c r="I340" s="48">
        <f>IF($L340="D",IF(INDEX('Zgłoszenia'!$M$5:$M$504,$M340)="","Zgłoszona",INDEX('Zgłoszenia'!$M$5:$M$504,$M340)),IF($L340="U","",""))</f>
        <v/>
      </c>
      <c r="J340" s="49">
        <f>IF($L340="D",INDEX('Zgłoszenia'!$K$5:$K$504,$M340)&amp;"",IF($L340="U","",""))</f>
        <v/>
      </c>
      <c r="K340" s="2" t="n"/>
      <c r="L340" s="2">
        <f>IF((ROW()-12)&lt;=$L$5,IF($L$2=0,"E1","D"),IF((ROW()-12)=$L$5+1,"",IF((ROW()-12)=$L$5+2,"T",IF((ROW()-12)=$L$5+3,IF($L$3=0,"E2","H"),IF((ROW()-12)&lt;=$L$5+3+$L$3,"U","")))))</f>
        <v/>
      </c>
      <c r="M340" s="2">
        <f>IF(L340="D",MATCH(LARGE('Zgłoszenia'!$Q$5:$Q$504,(ROW()-12)),'Zgłoszenia'!$Q$5:$Q$504,0),IF(L340="U",MATCH(LARGE('Dane rozpisek'!$I$2:$I$2600,(ROW()-12)-$L$5-3),'Dane rozpisek'!$I$2:$I$2600,0),""))</f>
        <v/>
      </c>
    </row>
    <row r="341">
      <c r="A341" s="47">
        <f>IF($L341="D",INDEX('Zgłoszenia'!$D$5:$D$504,$M341),IF($L341="U",INDEX('Dane rozpisek'!$A$2:$A$2600,$M341),IF($L341="T","KTO JEŹDZIŁ",IF($L341="E1","Brak zgłoszonych usterek w tym okresie.",IF($L341="E2","Brak wpisów z tym wózkiem w rozpiskach dla tego okresu.",IF($L341="H","Data",""))))))</f>
        <v/>
      </c>
      <c r="B341" s="48">
        <f>IF($L341="D",INDEX('Zgłoszenia'!$B$5:$B$504,$M341)&amp;"",IF($L341="U",INDEX('Dane rozpisek'!$F$2:$F$2600,$M341)&amp;"",IF($L341="H","Wózek","")))</f>
        <v/>
      </c>
      <c r="C341" s="48">
        <f>IF($L341="D",INDEX('Zgłoszenia'!$E$5:$E$504,$M341)&amp;"",IF($L341="U",INDEX('Dane rozpisek'!$B$2:$B$2600,$M341)&amp;" · "&amp;INDEX('Dane rozpisek'!$J$2:$J$2600,$M341),IF($L341="H","Zmiana","")))</f>
        <v/>
      </c>
      <c r="D341" s="49">
        <f>IF($L341="D",INDEX('Zgłoszenia'!$H$5:$H$504,$M341)&amp;"",IF($L341="U",INDEX('Dane rozpisek'!$E$2:$E$2600,$M341)&amp;"",IF($L341="H","Operator","")))</f>
        <v/>
      </c>
      <c r="E341" s="49">
        <f>IF($L341="D",INDEX('Zgłoszenia'!$I$5:$I$504,$M341)&amp;"",IF($L341="U",INDEX('Dane rozpisek'!$C$2:$C$2600,$M341)&amp;"",IF($L341="H","Stanowisko","")))</f>
        <v/>
      </c>
      <c r="F341" s="48">
        <f>IF($L341="D",INDEX('Zgłoszenia'!$J$5:$J$504,$M341)&amp;"",IF($L341="U",INDEX('Dane rozpisek'!$G$2:$G$2600,$M341)&amp;"",IF($L341="H","Uwagi","")))</f>
        <v/>
      </c>
      <c r="G341" s="49">
        <f>IF($L341="D",INDEX('Zgłoszenia'!$F$5:$F$504,$M341)&amp;"",IF($L341="U",INDEX('Dane rozpisek'!$L$2:$L$2600,$M341)&amp;"",IF($L341="H","Usterki (dzień / następny)","")))</f>
        <v/>
      </c>
      <c r="H341" s="49">
        <f>IF($L341="D",INDEX('Zgłoszenia'!$P$5:$P$504,$M341)&amp;"",IF($L341="U","",""))</f>
        <v/>
      </c>
      <c r="I341" s="48">
        <f>IF($L341="D",IF(INDEX('Zgłoszenia'!$M$5:$M$504,$M341)="","Zgłoszona",INDEX('Zgłoszenia'!$M$5:$M$504,$M341)),IF($L341="U","",""))</f>
        <v/>
      </c>
      <c r="J341" s="49">
        <f>IF($L341="D",INDEX('Zgłoszenia'!$K$5:$K$504,$M341)&amp;"",IF($L341="U","",""))</f>
        <v/>
      </c>
      <c r="K341" s="2" t="n"/>
      <c r="L341" s="2">
        <f>IF((ROW()-12)&lt;=$L$5,IF($L$2=0,"E1","D"),IF((ROW()-12)=$L$5+1,"",IF((ROW()-12)=$L$5+2,"T",IF((ROW()-12)=$L$5+3,IF($L$3=0,"E2","H"),IF((ROW()-12)&lt;=$L$5+3+$L$3,"U","")))))</f>
        <v/>
      </c>
      <c r="M341" s="2">
        <f>IF(L341="D",MATCH(LARGE('Zgłoszenia'!$Q$5:$Q$504,(ROW()-12)),'Zgłoszenia'!$Q$5:$Q$504,0),IF(L341="U",MATCH(LARGE('Dane rozpisek'!$I$2:$I$2600,(ROW()-12)-$L$5-3),'Dane rozpisek'!$I$2:$I$2600,0),""))</f>
        <v/>
      </c>
    </row>
    <row r="342">
      <c r="A342" s="47">
        <f>IF($L342="D",INDEX('Zgłoszenia'!$D$5:$D$504,$M342),IF($L342="U",INDEX('Dane rozpisek'!$A$2:$A$2600,$M342),IF($L342="T","KTO JEŹDZIŁ",IF($L342="E1","Brak zgłoszonych usterek w tym okresie.",IF($L342="E2","Brak wpisów z tym wózkiem w rozpiskach dla tego okresu.",IF($L342="H","Data",""))))))</f>
        <v/>
      </c>
      <c r="B342" s="48">
        <f>IF($L342="D",INDEX('Zgłoszenia'!$B$5:$B$504,$M342)&amp;"",IF($L342="U",INDEX('Dane rozpisek'!$F$2:$F$2600,$M342)&amp;"",IF($L342="H","Wózek","")))</f>
        <v/>
      </c>
      <c r="C342" s="48">
        <f>IF($L342="D",INDEX('Zgłoszenia'!$E$5:$E$504,$M342)&amp;"",IF($L342="U",INDEX('Dane rozpisek'!$B$2:$B$2600,$M342)&amp;" · "&amp;INDEX('Dane rozpisek'!$J$2:$J$2600,$M342),IF($L342="H","Zmiana","")))</f>
        <v/>
      </c>
      <c r="D342" s="49">
        <f>IF($L342="D",INDEX('Zgłoszenia'!$H$5:$H$504,$M342)&amp;"",IF($L342="U",INDEX('Dane rozpisek'!$E$2:$E$2600,$M342)&amp;"",IF($L342="H","Operator","")))</f>
        <v/>
      </c>
      <c r="E342" s="49">
        <f>IF($L342="D",INDEX('Zgłoszenia'!$I$5:$I$504,$M342)&amp;"",IF($L342="U",INDEX('Dane rozpisek'!$C$2:$C$2600,$M342)&amp;"",IF($L342="H","Stanowisko","")))</f>
        <v/>
      </c>
      <c r="F342" s="48">
        <f>IF($L342="D",INDEX('Zgłoszenia'!$J$5:$J$504,$M342)&amp;"",IF($L342="U",INDEX('Dane rozpisek'!$G$2:$G$2600,$M342)&amp;"",IF($L342="H","Uwagi","")))</f>
        <v/>
      </c>
      <c r="G342" s="49">
        <f>IF($L342="D",INDEX('Zgłoszenia'!$F$5:$F$504,$M342)&amp;"",IF($L342="U",INDEX('Dane rozpisek'!$L$2:$L$2600,$M342)&amp;"",IF($L342="H","Usterki (dzień / następny)","")))</f>
        <v/>
      </c>
      <c r="H342" s="49">
        <f>IF($L342="D",INDEX('Zgłoszenia'!$P$5:$P$504,$M342)&amp;"",IF($L342="U","",""))</f>
        <v/>
      </c>
      <c r="I342" s="48">
        <f>IF($L342="D",IF(INDEX('Zgłoszenia'!$M$5:$M$504,$M342)="","Zgłoszona",INDEX('Zgłoszenia'!$M$5:$M$504,$M342)),IF($L342="U","",""))</f>
        <v/>
      </c>
      <c r="J342" s="49">
        <f>IF($L342="D",INDEX('Zgłoszenia'!$K$5:$K$504,$M342)&amp;"",IF($L342="U","",""))</f>
        <v/>
      </c>
      <c r="K342" s="2" t="n"/>
      <c r="L342" s="2">
        <f>IF((ROW()-12)&lt;=$L$5,IF($L$2=0,"E1","D"),IF((ROW()-12)=$L$5+1,"",IF((ROW()-12)=$L$5+2,"T",IF((ROW()-12)=$L$5+3,IF($L$3=0,"E2","H"),IF((ROW()-12)&lt;=$L$5+3+$L$3,"U","")))))</f>
        <v/>
      </c>
      <c r="M342" s="2">
        <f>IF(L342="D",MATCH(LARGE('Zgłoszenia'!$Q$5:$Q$504,(ROW()-12)),'Zgłoszenia'!$Q$5:$Q$504,0),IF(L342="U",MATCH(LARGE('Dane rozpisek'!$I$2:$I$2600,(ROW()-12)-$L$5-3),'Dane rozpisek'!$I$2:$I$2600,0),""))</f>
        <v/>
      </c>
    </row>
    <row r="343">
      <c r="A343" s="47">
        <f>IF($L343="D",INDEX('Zgłoszenia'!$D$5:$D$504,$M343),IF($L343="U",INDEX('Dane rozpisek'!$A$2:$A$2600,$M343),IF($L343="T","KTO JEŹDZIŁ",IF($L343="E1","Brak zgłoszonych usterek w tym okresie.",IF($L343="E2","Brak wpisów z tym wózkiem w rozpiskach dla tego okresu.",IF($L343="H","Data",""))))))</f>
        <v/>
      </c>
      <c r="B343" s="48">
        <f>IF($L343="D",INDEX('Zgłoszenia'!$B$5:$B$504,$M343)&amp;"",IF($L343="U",INDEX('Dane rozpisek'!$F$2:$F$2600,$M343)&amp;"",IF($L343="H","Wózek","")))</f>
        <v/>
      </c>
      <c r="C343" s="48">
        <f>IF($L343="D",INDEX('Zgłoszenia'!$E$5:$E$504,$M343)&amp;"",IF($L343="U",INDEX('Dane rozpisek'!$B$2:$B$2600,$M343)&amp;" · "&amp;INDEX('Dane rozpisek'!$J$2:$J$2600,$M343),IF($L343="H","Zmiana","")))</f>
        <v/>
      </c>
      <c r="D343" s="49">
        <f>IF($L343="D",INDEX('Zgłoszenia'!$H$5:$H$504,$M343)&amp;"",IF($L343="U",INDEX('Dane rozpisek'!$E$2:$E$2600,$M343)&amp;"",IF($L343="H","Operator","")))</f>
        <v/>
      </c>
      <c r="E343" s="49">
        <f>IF($L343="D",INDEX('Zgłoszenia'!$I$5:$I$504,$M343)&amp;"",IF($L343="U",INDEX('Dane rozpisek'!$C$2:$C$2600,$M343)&amp;"",IF($L343="H","Stanowisko","")))</f>
        <v/>
      </c>
      <c r="F343" s="48">
        <f>IF($L343="D",INDEX('Zgłoszenia'!$J$5:$J$504,$M343)&amp;"",IF($L343="U",INDEX('Dane rozpisek'!$G$2:$G$2600,$M343)&amp;"",IF($L343="H","Uwagi","")))</f>
        <v/>
      </c>
      <c r="G343" s="49">
        <f>IF($L343="D",INDEX('Zgłoszenia'!$F$5:$F$504,$M343)&amp;"",IF($L343="U",INDEX('Dane rozpisek'!$L$2:$L$2600,$M343)&amp;"",IF($L343="H","Usterki (dzień / następny)","")))</f>
        <v/>
      </c>
      <c r="H343" s="49">
        <f>IF($L343="D",INDEX('Zgłoszenia'!$P$5:$P$504,$M343)&amp;"",IF($L343="U","",""))</f>
        <v/>
      </c>
      <c r="I343" s="48">
        <f>IF($L343="D",IF(INDEX('Zgłoszenia'!$M$5:$M$504,$M343)="","Zgłoszona",INDEX('Zgłoszenia'!$M$5:$M$504,$M343)),IF($L343="U","",""))</f>
        <v/>
      </c>
      <c r="J343" s="49">
        <f>IF($L343="D",INDEX('Zgłoszenia'!$K$5:$K$504,$M343)&amp;"",IF($L343="U","",""))</f>
        <v/>
      </c>
      <c r="K343" s="2" t="n"/>
      <c r="L343" s="2">
        <f>IF((ROW()-12)&lt;=$L$5,IF($L$2=0,"E1","D"),IF((ROW()-12)=$L$5+1,"",IF((ROW()-12)=$L$5+2,"T",IF((ROW()-12)=$L$5+3,IF($L$3=0,"E2","H"),IF((ROW()-12)&lt;=$L$5+3+$L$3,"U","")))))</f>
        <v/>
      </c>
      <c r="M343" s="2">
        <f>IF(L343="D",MATCH(LARGE('Zgłoszenia'!$Q$5:$Q$504,(ROW()-12)),'Zgłoszenia'!$Q$5:$Q$504,0),IF(L343="U",MATCH(LARGE('Dane rozpisek'!$I$2:$I$2600,(ROW()-12)-$L$5-3),'Dane rozpisek'!$I$2:$I$2600,0),""))</f>
        <v/>
      </c>
    </row>
    <row r="344">
      <c r="A344" s="47">
        <f>IF($L344="D",INDEX('Zgłoszenia'!$D$5:$D$504,$M344),IF($L344="U",INDEX('Dane rozpisek'!$A$2:$A$2600,$M344),IF($L344="T","KTO JEŹDZIŁ",IF($L344="E1","Brak zgłoszonych usterek w tym okresie.",IF($L344="E2","Brak wpisów z tym wózkiem w rozpiskach dla tego okresu.",IF($L344="H","Data",""))))))</f>
        <v/>
      </c>
      <c r="B344" s="48">
        <f>IF($L344="D",INDEX('Zgłoszenia'!$B$5:$B$504,$M344)&amp;"",IF($L344="U",INDEX('Dane rozpisek'!$F$2:$F$2600,$M344)&amp;"",IF($L344="H","Wózek","")))</f>
        <v/>
      </c>
      <c r="C344" s="48">
        <f>IF($L344="D",INDEX('Zgłoszenia'!$E$5:$E$504,$M344)&amp;"",IF($L344="U",INDEX('Dane rozpisek'!$B$2:$B$2600,$M344)&amp;" · "&amp;INDEX('Dane rozpisek'!$J$2:$J$2600,$M344),IF($L344="H","Zmiana","")))</f>
        <v/>
      </c>
      <c r="D344" s="49">
        <f>IF($L344="D",INDEX('Zgłoszenia'!$H$5:$H$504,$M344)&amp;"",IF($L344="U",INDEX('Dane rozpisek'!$E$2:$E$2600,$M344)&amp;"",IF($L344="H","Operator","")))</f>
        <v/>
      </c>
      <c r="E344" s="49">
        <f>IF($L344="D",INDEX('Zgłoszenia'!$I$5:$I$504,$M344)&amp;"",IF($L344="U",INDEX('Dane rozpisek'!$C$2:$C$2600,$M344)&amp;"",IF($L344="H","Stanowisko","")))</f>
        <v/>
      </c>
      <c r="F344" s="48">
        <f>IF($L344="D",INDEX('Zgłoszenia'!$J$5:$J$504,$M344)&amp;"",IF($L344="U",INDEX('Dane rozpisek'!$G$2:$G$2600,$M344)&amp;"",IF($L344="H","Uwagi","")))</f>
        <v/>
      </c>
      <c r="G344" s="49">
        <f>IF($L344="D",INDEX('Zgłoszenia'!$F$5:$F$504,$M344)&amp;"",IF($L344="U",INDEX('Dane rozpisek'!$L$2:$L$2600,$M344)&amp;"",IF($L344="H","Usterki (dzień / następny)","")))</f>
        <v/>
      </c>
      <c r="H344" s="49">
        <f>IF($L344="D",INDEX('Zgłoszenia'!$P$5:$P$504,$M344)&amp;"",IF($L344="U","",""))</f>
        <v/>
      </c>
      <c r="I344" s="48">
        <f>IF($L344="D",IF(INDEX('Zgłoszenia'!$M$5:$M$504,$M344)="","Zgłoszona",INDEX('Zgłoszenia'!$M$5:$M$504,$M344)),IF($L344="U","",""))</f>
        <v/>
      </c>
      <c r="J344" s="49">
        <f>IF($L344="D",INDEX('Zgłoszenia'!$K$5:$K$504,$M344)&amp;"",IF($L344="U","",""))</f>
        <v/>
      </c>
      <c r="K344" s="2" t="n"/>
      <c r="L344" s="2">
        <f>IF((ROW()-12)&lt;=$L$5,IF($L$2=0,"E1","D"),IF((ROW()-12)=$L$5+1,"",IF((ROW()-12)=$L$5+2,"T",IF((ROW()-12)=$L$5+3,IF($L$3=0,"E2","H"),IF((ROW()-12)&lt;=$L$5+3+$L$3,"U","")))))</f>
        <v/>
      </c>
      <c r="M344" s="2">
        <f>IF(L344="D",MATCH(LARGE('Zgłoszenia'!$Q$5:$Q$504,(ROW()-12)),'Zgłoszenia'!$Q$5:$Q$504,0),IF(L344="U",MATCH(LARGE('Dane rozpisek'!$I$2:$I$2600,(ROW()-12)-$L$5-3),'Dane rozpisek'!$I$2:$I$2600,0),""))</f>
        <v/>
      </c>
    </row>
    <row r="345">
      <c r="A345" s="47">
        <f>IF($L345="D",INDEX('Zgłoszenia'!$D$5:$D$504,$M345),IF($L345="U",INDEX('Dane rozpisek'!$A$2:$A$2600,$M345),IF($L345="T","KTO JEŹDZIŁ",IF($L345="E1","Brak zgłoszonych usterek w tym okresie.",IF($L345="E2","Brak wpisów z tym wózkiem w rozpiskach dla tego okresu.",IF($L345="H","Data",""))))))</f>
        <v/>
      </c>
      <c r="B345" s="48">
        <f>IF($L345="D",INDEX('Zgłoszenia'!$B$5:$B$504,$M345)&amp;"",IF($L345="U",INDEX('Dane rozpisek'!$F$2:$F$2600,$M345)&amp;"",IF($L345="H","Wózek","")))</f>
        <v/>
      </c>
      <c r="C345" s="48">
        <f>IF($L345="D",INDEX('Zgłoszenia'!$E$5:$E$504,$M345)&amp;"",IF($L345="U",INDEX('Dane rozpisek'!$B$2:$B$2600,$M345)&amp;" · "&amp;INDEX('Dane rozpisek'!$J$2:$J$2600,$M345),IF($L345="H","Zmiana","")))</f>
        <v/>
      </c>
      <c r="D345" s="49">
        <f>IF($L345="D",INDEX('Zgłoszenia'!$H$5:$H$504,$M345)&amp;"",IF($L345="U",INDEX('Dane rozpisek'!$E$2:$E$2600,$M345)&amp;"",IF($L345="H","Operator","")))</f>
        <v/>
      </c>
      <c r="E345" s="49">
        <f>IF($L345="D",INDEX('Zgłoszenia'!$I$5:$I$504,$M345)&amp;"",IF($L345="U",INDEX('Dane rozpisek'!$C$2:$C$2600,$M345)&amp;"",IF($L345="H","Stanowisko","")))</f>
        <v/>
      </c>
      <c r="F345" s="48">
        <f>IF($L345="D",INDEX('Zgłoszenia'!$J$5:$J$504,$M345)&amp;"",IF($L345="U",INDEX('Dane rozpisek'!$G$2:$G$2600,$M345)&amp;"",IF($L345="H","Uwagi","")))</f>
        <v/>
      </c>
      <c r="G345" s="49">
        <f>IF($L345="D",INDEX('Zgłoszenia'!$F$5:$F$504,$M345)&amp;"",IF($L345="U",INDEX('Dane rozpisek'!$L$2:$L$2600,$M345)&amp;"",IF($L345="H","Usterki (dzień / następny)","")))</f>
        <v/>
      </c>
      <c r="H345" s="49">
        <f>IF($L345="D",INDEX('Zgłoszenia'!$P$5:$P$504,$M345)&amp;"",IF($L345="U","",""))</f>
        <v/>
      </c>
      <c r="I345" s="48">
        <f>IF($L345="D",IF(INDEX('Zgłoszenia'!$M$5:$M$504,$M345)="","Zgłoszona",INDEX('Zgłoszenia'!$M$5:$M$504,$M345)),IF($L345="U","",""))</f>
        <v/>
      </c>
      <c r="J345" s="49">
        <f>IF($L345="D",INDEX('Zgłoszenia'!$K$5:$K$504,$M345)&amp;"",IF($L345="U","",""))</f>
        <v/>
      </c>
      <c r="K345" s="2" t="n"/>
      <c r="L345" s="2">
        <f>IF((ROW()-12)&lt;=$L$5,IF($L$2=0,"E1","D"),IF((ROW()-12)=$L$5+1,"",IF((ROW()-12)=$L$5+2,"T",IF((ROW()-12)=$L$5+3,IF($L$3=0,"E2","H"),IF((ROW()-12)&lt;=$L$5+3+$L$3,"U","")))))</f>
        <v/>
      </c>
      <c r="M345" s="2">
        <f>IF(L345="D",MATCH(LARGE('Zgłoszenia'!$Q$5:$Q$504,(ROW()-12)),'Zgłoszenia'!$Q$5:$Q$504,0),IF(L345="U",MATCH(LARGE('Dane rozpisek'!$I$2:$I$2600,(ROW()-12)-$L$5-3),'Dane rozpisek'!$I$2:$I$2600,0),""))</f>
        <v/>
      </c>
    </row>
    <row r="346">
      <c r="A346" s="47">
        <f>IF($L346="D",INDEX('Zgłoszenia'!$D$5:$D$504,$M346),IF($L346="U",INDEX('Dane rozpisek'!$A$2:$A$2600,$M346),IF($L346="T","KTO JEŹDZIŁ",IF($L346="E1","Brak zgłoszonych usterek w tym okresie.",IF($L346="E2","Brak wpisów z tym wózkiem w rozpiskach dla tego okresu.",IF($L346="H","Data",""))))))</f>
        <v/>
      </c>
      <c r="B346" s="48">
        <f>IF($L346="D",INDEX('Zgłoszenia'!$B$5:$B$504,$M346)&amp;"",IF($L346="U",INDEX('Dane rozpisek'!$F$2:$F$2600,$M346)&amp;"",IF($L346="H","Wózek","")))</f>
        <v/>
      </c>
      <c r="C346" s="48">
        <f>IF($L346="D",INDEX('Zgłoszenia'!$E$5:$E$504,$M346)&amp;"",IF($L346="U",INDEX('Dane rozpisek'!$B$2:$B$2600,$M346)&amp;" · "&amp;INDEX('Dane rozpisek'!$J$2:$J$2600,$M346),IF($L346="H","Zmiana","")))</f>
        <v/>
      </c>
      <c r="D346" s="49">
        <f>IF($L346="D",INDEX('Zgłoszenia'!$H$5:$H$504,$M346)&amp;"",IF($L346="U",INDEX('Dane rozpisek'!$E$2:$E$2600,$M346)&amp;"",IF($L346="H","Operator","")))</f>
        <v/>
      </c>
      <c r="E346" s="49">
        <f>IF($L346="D",INDEX('Zgłoszenia'!$I$5:$I$504,$M346)&amp;"",IF($L346="U",INDEX('Dane rozpisek'!$C$2:$C$2600,$M346)&amp;"",IF($L346="H","Stanowisko","")))</f>
        <v/>
      </c>
      <c r="F346" s="48">
        <f>IF($L346="D",INDEX('Zgłoszenia'!$J$5:$J$504,$M346)&amp;"",IF($L346="U",INDEX('Dane rozpisek'!$G$2:$G$2600,$M346)&amp;"",IF($L346="H","Uwagi","")))</f>
        <v/>
      </c>
      <c r="G346" s="49">
        <f>IF($L346="D",INDEX('Zgłoszenia'!$F$5:$F$504,$M346)&amp;"",IF($L346="U",INDEX('Dane rozpisek'!$L$2:$L$2600,$M346)&amp;"",IF($L346="H","Usterki (dzień / następny)","")))</f>
        <v/>
      </c>
      <c r="H346" s="49">
        <f>IF($L346="D",INDEX('Zgłoszenia'!$P$5:$P$504,$M346)&amp;"",IF($L346="U","",""))</f>
        <v/>
      </c>
      <c r="I346" s="48">
        <f>IF($L346="D",IF(INDEX('Zgłoszenia'!$M$5:$M$504,$M346)="","Zgłoszona",INDEX('Zgłoszenia'!$M$5:$M$504,$M346)),IF($L346="U","",""))</f>
        <v/>
      </c>
      <c r="J346" s="49">
        <f>IF($L346="D",INDEX('Zgłoszenia'!$K$5:$K$504,$M346)&amp;"",IF($L346="U","",""))</f>
        <v/>
      </c>
      <c r="K346" s="2" t="n"/>
      <c r="L346" s="2">
        <f>IF((ROW()-12)&lt;=$L$5,IF($L$2=0,"E1","D"),IF((ROW()-12)=$L$5+1,"",IF((ROW()-12)=$L$5+2,"T",IF((ROW()-12)=$L$5+3,IF($L$3=0,"E2","H"),IF((ROW()-12)&lt;=$L$5+3+$L$3,"U","")))))</f>
        <v/>
      </c>
      <c r="M346" s="2">
        <f>IF(L346="D",MATCH(LARGE('Zgłoszenia'!$Q$5:$Q$504,(ROW()-12)),'Zgłoszenia'!$Q$5:$Q$504,0),IF(L346="U",MATCH(LARGE('Dane rozpisek'!$I$2:$I$2600,(ROW()-12)-$L$5-3),'Dane rozpisek'!$I$2:$I$2600,0),""))</f>
        <v/>
      </c>
    </row>
    <row r="347">
      <c r="A347" s="47">
        <f>IF($L347="D",INDEX('Zgłoszenia'!$D$5:$D$504,$M347),IF($L347="U",INDEX('Dane rozpisek'!$A$2:$A$2600,$M347),IF($L347="T","KTO JEŹDZIŁ",IF($L347="E1","Brak zgłoszonych usterek w tym okresie.",IF($L347="E2","Brak wpisów z tym wózkiem w rozpiskach dla tego okresu.",IF($L347="H","Data",""))))))</f>
        <v/>
      </c>
      <c r="B347" s="48">
        <f>IF($L347="D",INDEX('Zgłoszenia'!$B$5:$B$504,$M347)&amp;"",IF($L347="U",INDEX('Dane rozpisek'!$F$2:$F$2600,$M347)&amp;"",IF($L347="H","Wózek","")))</f>
        <v/>
      </c>
      <c r="C347" s="48">
        <f>IF($L347="D",INDEX('Zgłoszenia'!$E$5:$E$504,$M347)&amp;"",IF($L347="U",INDEX('Dane rozpisek'!$B$2:$B$2600,$M347)&amp;" · "&amp;INDEX('Dane rozpisek'!$J$2:$J$2600,$M347),IF($L347="H","Zmiana","")))</f>
        <v/>
      </c>
      <c r="D347" s="49">
        <f>IF($L347="D",INDEX('Zgłoszenia'!$H$5:$H$504,$M347)&amp;"",IF($L347="U",INDEX('Dane rozpisek'!$E$2:$E$2600,$M347)&amp;"",IF($L347="H","Operator","")))</f>
        <v/>
      </c>
      <c r="E347" s="49">
        <f>IF($L347="D",INDEX('Zgłoszenia'!$I$5:$I$504,$M347)&amp;"",IF($L347="U",INDEX('Dane rozpisek'!$C$2:$C$2600,$M347)&amp;"",IF($L347="H","Stanowisko","")))</f>
        <v/>
      </c>
      <c r="F347" s="48">
        <f>IF($L347="D",INDEX('Zgłoszenia'!$J$5:$J$504,$M347)&amp;"",IF($L347="U",INDEX('Dane rozpisek'!$G$2:$G$2600,$M347)&amp;"",IF($L347="H","Uwagi","")))</f>
        <v/>
      </c>
      <c r="G347" s="49">
        <f>IF($L347="D",INDEX('Zgłoszenia'!$F$5:$F$504,$M347)&amp;"",IF($L347="U",INDEX('Dane rozpisek'!$L$2:$L$2600,$M347)&amp;"",IF($L347="H","Usterki (dzień / następny)","")))</f>
        <v/>
      </c>
      <c r="H347" s="49">
        <f>IF($L347="D",INDEX('Zgłoszenia'!$P$5:$P$504,$M347)&amp;"",IF($L347="U","",""))</f>
        <v/>
      </c>
      <c r="I347" s="48">
        <f>IF($L347="D",IF(INDEX('Zgłoszenia'!$M$5:$M$504,$M347)="","Zgłoszona",INDEX('Zgłoszenia'!$M$5:$M$504,$M347)),IF($L347="U","",""))</f>
        <v/>
      </c>
      <c r="J347" s="49">
        <f>IF($L347="D",INDEX('Zgłoszenia'!$K$5:$K$504,$M347)&amp;"",IF($L347="U","",""))</f>
        <v/>
      </c>
      <c r="K347" s="2" t="n"/>
      <c r="L347" s="2">
        <f>IF((ROW()-12)&lt;=$L$5,IF($L$2=0,"E1","D"),IF((ROW()-12)=$L$5+1,"",IF((ROW()-12)=$L$5+2,"T",IF((ROW()-12)=$L$5+3,IF($L$3=0,"E2","H"),IF((ROW()-12)&lt;=$L$5+3+$L$3,"U","")))))</f>
        <v/>
      </c>
      <c r="M347" s="2">
        <f>IF(L347="D",MATCH(LARGE('Zgłoszenia'!$Q$5:$Q$504,(ROW()-12)),'Zgłoszenia'!$Q$5:$Q$504,0),IF(L347="U",MATCH(LARGE('Dane rozpisek'!$I$2:$I$2600,(ROW()-12)-$L$5-3),'Dane rozpisek'!$I$2:$I$2600,0),""))</f>
        <v/>
      </c>
    </row>
    <row r="348">
      <c r="A348" s="47">
        <f>IF($L348="D",INDEX('Zgłoszenia'!$D$5:$D$504,$M348),IF($L348="U",INDEX('Dane rozpisek'!$A$2:$A$2600,$M348),IF($L348="T","KTO JEŹDZIŁ",IF($L348="E1","Brak zgłoszonych usterek w tym okresie.",IF($L348="E2","Brak wpisów z tym wózkiem w rozpiskach dla tego okresu.",IF($L348="H","Data",""))))))</f>
        <v/>
      </c>
      <c r="B348" s="48">
        <f>IF($L348="D",INDEX('Zgłoszenia'!$B$5:$B$504,$M348)&amp;"",IF($L348="U",INDEX('Dane rozpisek'!$F$2:$F$2600,$M348)&amp;"",IF($L348="H","Wózek","")))</f>
        <v/>
      </c>
      <c r="C348" s="48">
        <f>IF($L348="D",INDEX('Zgłoszenia'!$E$5:$E$504,$M348)&amp;"",IF($L348="U",INDEX('Dane rozpisek'!$B$2:$B$2600,$M348)&amp;" · "&amp;INDEX('Dane rozpisek'!$J$2:$J$2600,$M348),IF($L348="H","Zmiana","")))</f>
        <v/>
      </c>
      <c r="D348" s="49">
        <f>IF($L348="D",INDEX('Zgłoszenia'!$H$5:$H$504,$M348)&amp;"",IF($L348="U",INDEX('Dane rozpisek'!$E$2:$E$2600,$M348)&amp;"",IF($L348="H","Operator","")))</f>
        <v/>
      </c>
      <c r="E348" s="49">
        <f>IF($L348="D",INDEX('Zgłoszenia'!$I$5:$I$504,$M348)&amp;"",IF($L348="U",INDEX('Dane rozpisek'!$C$2:$C$2600,$M348)&amp;"",IF($L348="H","Stanowisko","")))</f>
        <v/>
      </c>
      <c r="F348" s="48">
        <f>IF($L348="D",INDEX('Zgłoszenia'!$J$5:$J$504,$M348)&amp;"",IF($L348="U",INDEX('Dane rozpisek'!$G$2:$G$2600,$M348)&amp;"",IF($L348="H","Uwagi","")))</f>
        <v/>
      </c>
      <c r="G348" s="49">
        <f>IF($L348="D",INDEX('Zgłoszenia'!$F$5:$F$504,$M348)&amp;"",IF($L348="U",INDEX('Dane rozpisek'!$L$2:$L$2600,$M348)&amp;"",IF($L348="H","Usterki (dzień / następny)","")))</f>
        <v/>
      </c>
      <c r="H348" s="49">
        <f>IF($L348="D",INDEX('Zgłoszenia'!$P$5:$P$504,$M348)&amp;"",IF($L348="U","",""))</f>
        <v/>
      </c>
      <c r="I348" s="48">
        <f>IF($L348="D",IF(INDEX('Zgłoszenia'!$M$5:$M$504,$M348)="","Zgłoszona",INDEX('Zgłoszenia'!$M$5:$M$504,$M348)),IF($L348="U","",""))</f>
        <v/>
      </c>
      <c r="J348" s="49">
        <f>IF($L348="D",INDEX('Zgłoszenia'!$K$5:$K$504,$M348)&amp;"",IF($L348="U","",""))</f>
        <v/>
      </c>
      <c r="K348" s="2" t="n"/>
      <c r="L348" s="2">
        <f>IF((ROW()-12)&lt;=$L$5,IF($L$2=0,"E1","D"),IF((ROW()-12)=$L$5+1,"",IF((ROW()-12)=$L$5+2,"T",IF((ROW()-12)=$L$5+3,IF($L$3=0,"E2","H"),IF((ROW()-12)&lt;=$L$5+3+$L$3,"U","")))))</f>
        <v/>
      </c>
      <c r="M348" s="2">
        <f>IF(L348="D",MATCH(LARGE('Zgłoszenia'!$Q$5:$Q$504,(ROW()-12)),'Zgłoszenia'!$Q$5:$Q$504,0),IF(L348="U",MATCH(LARGE('Dane rozpisek'!$I$2:$I$2600,(ROW()-12)-$L$5-3),'Dane rozpisek'!$I$2:$I$2600,0),""))</f>
        <v/>
      </c>
    </row>
    <row r="349">
      <c r="A349" s="47">
        <f>IF($L349="D",INDEX('Zgłoszenia'!$D$5:$D$504,$M349),IF($L349="U",INDEX('Dane rozpisek'!$A$2:$A$2600,$M349),IF($L349="T","KTO JEŹDZIŁ",IF($L349="E1","Brak zgłoszonych usterek w tym okresie.",IF($L349="E2","Brak wpisów z tym wózkiem w rozpiskach dla tego okresu.",IF($L349="H","Data",""))))))</f>
        <v/>
      </c>
      <c r="B349" s="48">
        <f>IF($L349="D",INDEX('Zgłoszenia'!$B$5:$B$504,$M349)&amp;"",IF($L349="U",INDEX('Dane rozpisek'!$F$2:$F$2600,$M349)&amp;"",IF($L349="H","Wózek","")))</f>
        <v/>
      </c>
      <c r="C349" s="48">
        <f>IF($L349="D",INDEX('Zgłoszenia'!$E$5:$E$504,$M349)&amp;"",IF($L349="U",INDEX('Dane rozpisek'!$B$2:$B$2600,$M349)&amp;" · "&amp;INDEX('Dane rozpisek'!$J$2:$J$2600,$M349),IF($L349="H","Zmiana","")))</f>
        <v/>
      </c>
      <c r="D349" s="49">
        <f>IF($L349="D",INDEX('Zgłoszenia'!$H$5:$H$504,$M349)&amp;"",IF($L349="U",INDEX('Dane rozpisek'!$E$2:$E$2600,$M349)&amp;"",IF($L349="H","Operator","")))</f>
        <v/>
      </c>
      <c r="E349" s="49">
        <f>IF($L349="D",INDEX('Zgłoszenia'!$I$5:$I$504,$M349)&amp;"",IF($L349="U",INDEX('Dane rozpisek'!$C$2:$C$2600,$M349)&amp;"",IF($L349="H","Stanowisko","")))</f>
        <v/>
      </c>
      <c r="F349" s="48">
        <f>IF($L349="D",INDEX('Zgłoszenia'!$J$5:$J$504,$M349)&amp;"",IF($L349="U",INDEX('Dane rozpisek'!$G$2:$G$2600,$M349)&amp;"",IF($L349="H","Uwagi","")))</f>
        <v/>
      </c>
      <c r="G349" s="49">
        <f>IF($L349="D",INDEX('Zgłoszenia'!$F$5:$F$504,$M349)&amp;"",IF($L349="U",INDEX('Dane rozpisek'!$L$2:$L$2600,$M349)&amp;"",IF($L349="H","Usterki (dzień / następny)","")))</f>
        <v/>
      </c>
      <c r="H349" s="49">
        <f>IF($L349="D",INDEX('Zgłoszenia'!$P$5:$P$504,$M349)&amp;"",IF($L349="U","",""))</f>
        <v/>
      </c>
      <c r="I349" s="48">
        <f>IF($L349="D",IF(INDEX('Zgłoszenia'!$M$5:$M$504,$M349)="","Zgłoszona",INDEX('Zgłoszenia'!$M$5:$M$504,$M349)),IF($L349="U","",""))</f>
        <v/>
      </c>
      <c r="J349" s="49">
        <f>IF($L349="D",INDEX('Zgłoszenia'!$K$5:$K$504,$M349)&amp;"",IF($L349="U","",""))</f>
        <v/>
      </c>
      <c r="K349" s="2" t="n"/>
      <c r="L349" s="2">
        <f>IF((ROW()-12)&lt;=$L$5,IF($L$2=0,"E1","D"),IF((ROW()-12)=$L$5+1,"",IF((ROW()-12)=$L$5+2,"T",IF((ROW()-12)=$L$5+3,IF($L$3=0,"E2","H"),IF((ROW()-12)&lt;=$L$5+3+$L$3,"U","")))))</f>
        <v/>
      </c>
      <c r="M349" s="2">
        <f>IF(L349="D",MATCH(LARGE('Zgłoszenia'!$Q$5:$Q$504,(ROW()-12)),'Zgłoszenia'!$Q$5:$Q$504,0),IF(L349="U",MATCH(LARGE('Dane rozpisek'!$I$2:$I$2600,(ROW()-12)-$L$5-3),'Dane rozpisek'!$I$2:$I$2600,0),""))</f>
        <v/>
      </c>
    </row>
    <row r="350">
      <c r="A350" s="47">
        <f>IF($L350="D",INDEX('Zgłoszenia'!$D$5:$D$504,$M350),IF($L350="U",INDEX('Dane rozpisek'!$A$2:$A$2600,$M350),IF($L350="T","KTO JEŹDZIŁ",IF($L350="E1","Brak zgłoszonych usterek w tym okresie.",IF($L350="E2","Brak wpisów z tym wózkiem w rozpiskach dla tego okresu.",IF($L350="H","Data",""))))))</f>
        <v/>
      </c>
      <c r="B350" s="48">
        <f>IF($L350="D",INDEX('Zgłoszenia'!$B$5:$B$504,$M350)&amp;"",IF($L350="U",INDEX('Dane rozpisek'!$F$2:$F$2600,$M350)&amp;"",IF($L350="H","Wózek","")))</f>
        <v/>
      </c>
      <c r="C350" s="48">
        <f>IF($L350="D",INDEX('Zgłoszenia'!$E$5:$E$504,$M350)&amp;"",IF($L350="U",INDEX('Dane rozpisek'!$B$2:$B$2600,$M350)&amp;" · "&amp;INDEX('Dane rozpisek'!$J$2:$J$2600,$M350),IF($L350="H","Zmiana","")))</f>
        <v/>
      </c>
      <c r="D350" s="49">
        <f>IF($L350="D",INDEX('Zgłoszenia'!$H$5:$H$504,$M350)&amp;"",IF($L350="U",INDEX('Dane rozpisek'!$E$2:$E$2600,$M350)&amp;"",IF($L350="H","Operator","")))</f>
        <v/>
      </c>
      <c r="E350" s="49">
        <f>IF($L350="D",INDEX('Zgłoszenia'!$I$5:$I$504,$M350)&amp;"",IF($L350="U",INDEX('Dane rozpisek'!$C$2:$C$2600,$M350)&amp;"",IF($L350="H","Stanowisko","")))</f>
        <v/>
      </c>
      <c r="F350" s="48">
        <f>IF($L350="D",INDEX('Zgłoszenia'!$J$5:$J$504,$M350)&amp;"",IF($L350="U",INDEX('Dane rozpisek'!$G$2:$G$2600,$M350)&amp;"",IF($L350="H","Uwagi","")))</f>
        <v/>
      </c>
      <c r="G350" s="49">
        <f>IF($L350="D",INDEX('Zgłoszenia'!$F$5:$F$504,$M350)&amp;"",IF($L350="U",INDEX('Dane rozpisek'!$L$2:$L$2600,$M350)&amp;"",IF($L350="H","Usterki (dzień / następny)","")))</f>
        <v/>
      </c>
      <c r="H350" s="49">
        <f>IF($L350="D",INDEX('Zgłoszenia'!$P$5:$P$504,$M350)&amp;"",IF($L350="U","",""))</f>
        <v/>
      </c>
      <c r="I350" s="48">
        <f>IF($L350="D",IF(INDEX('Zgłoszenia'!$M$5:$M$504,$M350)="","Zgłoszona",INDEX('Zgłoszenia'!$M$5:$M$504,$M350)),IF($L350="U","",""))</f>
        <v/>
      </c>
      <c r="J350" s="49">
        <f>IF($L350="D",INDEX('Zgłoszenia'!$K$5:$K$504,$M350)&amp;"",IF($L350="U","",""))</f>
        <v/>
      </c>
      <c r="K350" s="2" t="n"/>
      <c r="L350" s="2">
        <f>IF((ROW()-12)&lt;=$L$5,IF($L$2=0,"E1","D"),IF((ROW()-12)=$L$5+1,"",IF((ROW()-12)=$L$5+2,"T",IF((ROW()-12)=$L$5+3,IF($L$3=0,"E2","H"),IF((ROW()-12)&lt;=$L$5+3+$L$3,"U","")))))</f>
        <v/>
      </c>
      <c r="M350" s="2">
        <f>IF(L350="D",MATCH(LARGE('Zgłoszenia'!$Q$5:$Q$504,(ROW()-12)),'Zgłoszenia'!$Q$5:$Q$504,0),IF(L350="U",MATCH(LARGE('Dane rozpisek'!$I$2:$I$2600,(ROW()-12)-$L$5-3),'Dane rozpisek'!$I$2:$I$2600,0),""))</f>
        <v/>
      </c>
    </row>
    <row r="351">
      <c r="A351" s="47">
        <f>IF($L351="D",INDEX('Zgłoszenia'!$D$5:$D$504,$M351),IF($L351="U",INDEX('Dane rozpisek'!$A$2:$A$2600,$M351),IF($L351="T","KTO JEŹDZIŁ",IF($L351="E1","Brak zgłoszonych usterek w tym okresie.",IF($L351="E2","Brak wpisów z tym wózkiem w rozpiskach dla tego okresu.",IF($L351="H","Data",""))))))</f>
        <v/>
      </c>
      <c r="B351" s="48">
        <f>IF($L351="D",INDEX('Zgłoszenia'!$B$5:$B$504,$M351)&amp;"",IF($L351="U",INDEX('Dane rozpisek'!$F$2:$F$2600,$M351)&amp;"",IF($L351="H","Wózek","")))</f>
        <v/>
      </c>
      <c r="C351" s="48">
        <f>IF($L351="D",INDEX('Zgłoszenia'!$E$5:$E$504,$M351)&amp;"",IF($L351="U",INDEX('Dane rozpisek'!$B$2:$B$2600,$M351)&amp;" · "&amp;INDEX('Dane rozpisek'!$J$2:$J$2600,$M351),IF($L351="H","Zmiana","")))</f>
        <v/>
      </c>
      <c r="D351" s="49">
        <f>IF($L351="D",INDEX('Zgłoszenia'!$H$5:$H$504,$M351)&amp;"",IF($L351="U",INDEX('Dane rozpisek'!$E$2:$E$2600,$M351)&amp;"",IF($L351="H","Operator","")))</f>
        <v/>
      </c>
      <c r="E351" s="49">
        <f>IF($L351="D",INDEX('Zgłoszenia'!$I$5:$I$504,$M351)&amp;"",IF($L351="U",INDEX('Dane rozpisek'!$C$2:$C$2600,$M351)&amp;"",IF($L351="H","Stanowisko","")))</f>
        <v/>
      </c>
      <c r="F351" s="48">
        <f>IF($L351="D",INDEX('Zgłoszenia'!$J$5:$J$504,$M351)&amp;"",IF($L351="U",INDEX('Dane rozpisek'!$G$2:$G$2600,$M351)&amp;"",IF($L351="H","Uwagi","")))</f>
        <v/>
      </c>
      <c r="G351" s="49">
        <f>IF($L351="D",INDEX('Zgłoszenia'!$F$5:$F$504,$M351)&amp;"",IF($L351="U",INDEX('Dane rozpisek'!$L$2:$L$2600,$M351)&amp;"",IF($L351="H","Usterki (dzień / następny)","")))</f>
        <v/>
      </c>
      <c r="H351" s="49">
        <f>IF($L351="D",INDEX('Zgłoszenia'!$P$5:$P$504,$M351)&amp;"",IF($L351="U","",""))</f>
        <v/>
      </c>
      <c r="I351" s="48">
        <f>IF($L351="D",IF(INDEX('Zgłoszenia'!$M$5:$M$504,$M351)="","Zgłoszona",INDEX('Zgłoszenia'!$M$5:$M$504,$M351)),IF($L351="U","",""))</f>
        <v/>
      </c>
      <c r="J351" s="49">
        <f>IF($L351="D",INDEX('Zgłoszenia'!$K$5:$K$504,$M351)&amp;"",IF($L351="U","",""))</f>
        <v/>
      </c>
      <c r="K351" s="2" t="n"/>
      <c r="L351" s="2">
        <f>IF((ROW()-12)&lt;=$L$5,IF($L$2=0,"E1","D"),IF((ROW()-12)=$L$5+1,"",IF((ROW()-12)=$L$5+2,"T",IF((ROW()-12)=$L$5+3,IF($L$3=0,"E2","H"),IF((ROW()-12)&lt;=$L$5+3+$L$3,"U","")))))</f>
        <v/>
      </c>
      <c r="M351" s="2">
        <f>IF(L351="D",MATCH(LARGE('Zgłoszenia'!$Q$5:$Q$504,(ROW()-12)),'Zgłoszenia'!$Q$5:$Q$504,0),IF(L351="U",MATCH(LARGE('Dane rozpisek'!$I$2:$I$2600,(ROW()-12)-$L$5-3),'Dane rozpisek'!$I$2:$I$2600,0),""))</f>
        <v/>
      </c>
    </row>
    <row r="352">
      <c r="A352" s="47">
        <f>IF($L352="D",INDEX('Zgłoszenia'!$D$5:$D$504,$M352),IF($L352="U",INDEX('Dane rozpisek'!$A$2:$A$2600,$M352),IF($L352="T","KTO JEŹDZIŁ",IF($L352="E1","Brak zgłoszonych usterek w tym okresie.",IF($L352="E2","Brak wpisów z tym wózkiem w rozpiskach dla tego okresu.",IF($L352="H","Data",""))))))</f>
        <v/>
      </c>
      <c r="B352" s="48">
        <f>IF($L352="D",INDEX('Zgłoszenia'!$B$5:$B$504,$M352)&amp;"",IF($L352="U",INDEX('Dane rozpisek'!$F$2:$F$2600,$M352)&amp;"",IF($L352="H","Wózek","")))</f>
        <v/>
      </c>
      <c r="C352" s="48">
        <f>IF($L352="D",INDEX('Zgłoszenia'!$E$5:$E$504,$M352)&amp;"",IF($L352="U",INDEX('Dane rozpisek'!$B$2:$B$2600,$M352)&amp;" · "&amp;INDEX('Dane rozpisek'!$J$2:$J$2600,$M352),IF($L352="H","Zmiana","")))</f>
        <v/>
      </c>
      <c r="D352" s="49">
        <f>IF($L352="D",INDEX('Zgłoszenia'!$H$5:$H$504,$M352)&amp;"",IF($L352="U",INDEX('Dane rozpisek'!$E$2:$E$2600,$M352)&amp;"",IF($L352="H","Operator","")))</f>
        <v/>
      </c>
      <c r="E352" s="49">
        <f>IF($L352="D",INDEX('Zgłoszenia'!$I$5:$I$504,$M352)&amp;"",IF($L352="U",INDEX('Dane rozpisek'!$C$2:$C$2600,$M352)&amp;"",IF($L352="H","Stanowisko","")))</f>
        <v/>
      </c>
      <c r="F352" s="48">
        <f>IF($L352="D",INDEX('Zgłoszenia'!$J$5:$J$504,$M352)&amp;"",IF($L352="U",INDEX('Dane rozpisek'!$G$2:$G$2600,$M352)&amp;"",IF($L352="H","Uwagi","")))</f>
        <v/>
      </c>
      <c r="G352" s="49">
        <f>IF($L352="D",INDEX('Zgłoszenia'!$F$5:$F$504,$M352)&amp;"",IF($L352="U",INDEX('Dane rozpisek'!$L$2:$L$2600,$M352)&amp;"",IF($L352="H","Usterki (dzień / następny)","")))</f>
        <v/>
      </c>
      <c r="H352" s="49">
        <f>IF($L352="D",INDEX('Zgłoszenia'!$P$5:$P$504,$M352)&amp;"",IF($L352="U","",""))</f>
        <v/>
      </c>
      <c r="I352" s="48">
        <f>IF($L352="D",IF(INDEX('Zgłoszenia'!$M$5:$M$504,$M352)="","Zgłoszona",INDEX('Zgłoszenia'!$M$5:$M$504,$M352)),IF($L352="U","",""))</f>
        <v/>
      </c>
      <c r="J352" s="49">
        <f>IF($L352="D",INDEX('Zgłoszenia'!$K$5:$K$504,$M352)&amp;"",IF($L352="U","",""))</f>
        <v/>
      </c>
      <c r="K352" s="2" t="n"/>
      <c r="L352" s="2">
        <f>IF((ROW()-12)&lt;=$L$5,IF($L$2=0,"E1","D"),IF((ROW()-12)=$L$5+1,"",IF((ROW()-12)=$L$5+2,"T",IF((ROW()-12)=$L$5+3,IF($L$3=0,"E2","H"),IF((ROW()-12)&lt;=$L$5+3+$L$3,"U","")))))</f>
        <v/>
      </c>
      <c r="M352" s="2">
        <f>IF(L352="D",MATCH(LARGE('Zgłoszenia'!$Q$5:$Q$504,(ROW()-12)),'Zgłoszenia'!$Q$5:$Q$504,0),IF(L352="U",MATCH(LARGE('Dane rozpisek'!$I$2:$I$2600,(ROW()-12)-$L$5-3),'Dane rozpisek'!$I$2:$I$2600,0),""))</f>
        <v/>
      </c>
    </row>
    <row r="353">
      <c r="A353" s="47">
        <f>IF($L353="D",INDEX('Zgłoszenia'!$D$5:$D$504,$M353),IF($L353="U",INDEX('Dane rozpisek'!$A$2:$A$2600,$M353),IF($L353="T","KTO JEŹDZIŁ",IF($L353="E1","Brak zgłoszonych usterek w tym okresie.",IF($L353="E2","Brak wpisów z tym wózkiem w rozpiskach dla tego okresu.",IF($L353="H","Data",""))))))</f>
        <v/>
      </c>
      <c r="B353" s="48">
        <f>IF($L353="D",INDEX('Zgłoszenia'!$B$5:$B$504,$M353)&amp;"",IF($L353="U",INDEX('Dane rozpisek'!$F$2:$F$2600,$M353)&amp;"",IF($L353="H","Wózek","")))</f>
        <v/>
      </c>
      <c r="C353" s="48">
        <f>IF($L353="D",INDEX('Zgłoszenia'!$E$5:$E$504,$M353)&amp;"",IF($L353="U",INDEX('Dane rozpisek'!$B$2:$B$2600,$M353)&amp;" · "&amp;INDEX('Dane rozpisek'!$J$2:$J$2600,$M353),IF($L353="H","Zmiana","")))</f>
        <v/>
      </c>
      <c r="D353" s="49">
        <f>IF($L353="D",INDEX('Zgłoszenia'!$H$5:$H$504,$M353)&amp;"",IF($L353="U",INDEX('Dane rozpisek'!$E$2:$E$2600,$M353)&amp;"",IF($L353="H","Operator","")))</f>
        <v/>
      </c>
      <c r="E353" s="49">
        <f>IF($L353="D",INDEX('Zgłoszenia'!$I$5:$I$504,$M353)&amp;"",IF($L353="U",INDEX('Dane rozpisek'!$C$2:$C$2600,$M353)&amp;"",IF($L353="H","Stanowisko","")))</f>
        <v/>
      </c>
      <c r="F353" s="48">
        <f>IF($L353="D",INDEX('Zgłoszenia'!$J$5:$J$504,$M353)&amp;"",IF($L353="U",INDEX('Dane rozpisek'!$G$2:$G$2600,$M353)&amp;"",IF($L353="H","Uwagi","")))</f>
        <v/>
      </c>
      <c r="G353" s="49">
        <f>IF($L353="D",INDEX('Zgłoszenia'!$F$5:$F$504,$M353)&amp;"",IF($L353="U",INDEX('Dane rozpisek'!$L$2:$L$2600,$M353)&amp;"",IF($L353="H","Usterki (dzień / następny)","")))</f>
        <v/>
      </c>
      <c r="H353" s="49">
        <f>IF($L353="D",INDEX('Zgłoszenia'!$P$5:$P$504,$M353)&amp;"",IF($L353="U","",""))</f>
        <v/>
      </c>
      <c r="I353" s="48">
        <f>IF($L353="D",IF(INDEX('Zgłoszenia'!$M$5:$M$504,$M353)="","Zgłoszona",INDEX('Zgłoszenia'!$M$5:$M$504,$M353)),IF($L353="U","",""))</f>
        <v/>
      </c>
      <c r="J353" s="49">
        <f>IF($L353="D",INDEX('Zgłoszenia'!$K$5:$K$504,$M353)&amp;"",IF($L353="U","",""))</f>
        <v/>
      </c>
      <c r="K353" s="2" t="n"/>
      <c r="L353" s="2">
        <f>IF((ROW()-12)&lt;=$L$5,IF($L$2=0,"E1","D"),IF((ROW()-12)=$L$5+1,"",IF((ROW()-12)=$L$5+2,"T",IF((ROW()-12)=$L$5+3,IF($L$3=0,"E2","H"),IF((ROW()-12)&lt;=$L$5+3+$L$3,"U","")))))</f>
        <v/>
      </c>
      <c r="M353" s="2">
        <f>IF(L353="D",MATCH(LARGE('Zgłoszenia'!$Q$5:$Q$504,(ROW()-12)),'Zgłoszenia'!$Q$5:$Q$504,0),IF(L353="U",MATCH(LARGE('Dane rozpisek'!$I$2:$I$2600,(ROW()-12)-$L$5-3),'Dane rozpisek'!$I$2:$I$2600,0),""))</f>
        <v/>
      </c>
    </row>
    <row r="354">
      <c r="A354" s="47">
        <f>IF($L354="D",INDEX('Zgłoszenia'!$D$5:$D$504,$M354),IF($L354="U",INDEX('Dane rozpisek'!$A$2:$A$2600,$M354),IF($L354="T","KTO JEŹDZIŁ",IF($L354="E1","Brak zgłoszonych usterek w tym okresie.",IF($L354="E2","Brak wpisów z tym wózkiem w rozpiskach dla tego okresu.",IF($L354="H","Data",""))))))</f>
        <v/>
      </c>
      <c r="B354" s="48">
        <f>IF($L354="D",INDEX('Zgłoszenia'!$B$5:$B$504,$M354)&amp;"",IF($L354="U",INDEX('Dane rozpisek'!$F$2:$F$2600,$M354)&amp;"",IF($L354="H","Wózek","")))</f>
        <v/>
      </c>
      <c r="C354" s="48">
        <f>IF($L354="D",INDEX('Zgłoszenia'!$E$5:$E$504,$M354)&amp;"",IF($L354="U",INDEX('Dane rozpisek'!$B$2:$B$2600,$M354)&amp;" · "&amp;INDEX('Dane rozpisek'!$J$2:$J$2600,$M354),IF($L354="H","Zmiana","")))</f>
        <v/>
      </c>
      <c r="D354" s="49">
        <f>IF($L354="D",INDEX('Zgłoszenia'!$H$5:$H$504,$M354)&amp;"",IF($L354="U",INDEX('Dane rozpisek'!$E$2:$E$2600,$M354)&amp;"",IF($L354="H","Operator","")))</f>
        <v/>
      </c>
      <c r="E354" s="49">
        <f>IF($L354="D",INDEX('Zgłoszenia'!$I$5:$I$504,$M354)&amp;"",IF($L354="U",INDEX('Dane rozpisek'!$C$2:$C$2600,$M354)&amp;"",IF($L354="H","Stanowisko","")))</f>
        <v/>
      </c>
      <c r="F354" s="48">
        <f>IF($L354="D",INDEX('Zgłoszenia'!$J$5:$J$504,$M354)&amp;"",IF($L354="U",INDEX('Dane rozpisek'!$G$2:$G$2600,$M354)&amp;"",IF($L354="H","Uwagi","")))</f>
        <v/>
      </c>
      <c r="G354" s="49">
        <f>IF($L354="D",INDEX('Zgłoszenia'!$F$5:$F$504,$M354)&amp;"",IF($L354="U",INDEX('Dane rozpisek'!$L$2:$L$2600,$M354)&amp;"",IF($L354="H","Usterki (dzień / następny)","")))</f>
        <v/>
      </c>
      <c r="H354" s="49">
        <f>IF($L354="D",INDEX('Zgłoszenia'!$P$5:$P$504,$M354)&amp;"",IF($L354="U","",""))</f>
        <v/>
      </c>
      <c r="I354" s="48">
        <f>IF($L354="D",IF(INDEX('Zgłoszenia'!$M$5:$M$504,$M354)="","Zgłoszona",INDEX('Zgłoszenia'!$M$5:$M$504,$M354)),IF($L354="U","",""))</f>
        <v/>
      </c>
      <c r="J354" s="49">
        <f>IF($L354="D",INDEX('Zgłoszenia'!$K$5:$K$504,$M354)&amp;"",IF($L354="U","",""))</f>
        <v/>
      </c>
      <c r="K354" s="2" t="n"/>
      <c r="L354" s="2">
        <f>IF((ROW()-12)&lt;=$L$5,IF($L$2=0,"E1","D"),IF((ROW()-12)=$L$5+1,"",IF((ROW()-12)=$L$5+2,"T",IF((ROW()-12)=$L$5+3,IF($L$3=0,"E2","H"),IF((ROW()-12)&lt;=$L$5+3+$L$3,"U","")))))</f>
        <v/>
      </c>
      <c r="M354" s="2">
        <f>IF(L354="D",MATCH(LARGE('Zgłoszenia'!$Q$5:$Q$504,(ROW()-12)),'Zgłoszenia'!$Q$5:$Q$504,0),IF(L354="U",MATCH(LARGE('Dane rozpisek'!$I$2:$I$2600,(ROW()-12)-$L$5-3),'Dane rozpisek'!$I$2:$I$2600,0),""))</f>
        <v/>
      </c>
    </row>
    <row r="355">
      <c r="A355" s="47">
        <f>IF($L355="D",INDEX('Zgłoszenia'!$D$5:$D$504,$M355),IF($L355="U",INDEX('Dane rozpisek'!$A$2:$A$2600,$M355),IF($L355="T","KTO JEŹDZIŁ",IF($L355="E1","Brak zgłoszonych usterek w tym okresie.",IF($L355="E2","Brak wpisów z tym wózkiem w rozpiskach dla tego okresu.",IF($L355="H","Data",""))))))</f>
        <v/>
      </c>
      <c r="B355" s="48">
        <f>IF($L355="D",INDEX('Zgłoszenia'!$B$5:$B$504,$M355)&amp;"",IF($L355="U",INDEX('Dane rozpisek'!$F$2:$F$2600,$M355)&amp;"",IF($L355="H","Wózek","")))</f>
        <v/>
      </c>
      <c r="C355" s="48">
        <f>IF($L355="D",INDEX('Zgłoszenia'!$E$5:$E$504,$M355)&amp;"",IF($L355="U",INDEX('Dane rozpisek'!$B$2:$B$2600,$M355)&amp;" · "&amp;INDEX('Dane rozpisek'!$J$2:$J$2600,$M355),IF($L355="H","Zmiana","")))</f>
        <v/>
      </c>
      <c r="D355" s="49">
        <f>IF($L355="D",INDEX('Zgłoszenia'!$H$5:$H$504,$M355)&amp;"",IF($L355="U",INDEX('Dane rozpisek'!$E$2:$E$2600,$M355)&amp;"",IF($L355="H","Operator","")))</f>
        <v/>
      </c>
      <c r="E355" s="49">
        <f>IF($L355="D",INDEX('Zgłoszenia'!$I$5:$I$504,$M355)&amp;"",IF($L355="U",INDEX('Dane rozpisek'!$C$2:$C$2600,$M355)&amp;"",IF($L355="H","Stanowisko","")))</f>
        <v/>
      </c>
      <c r="F355" s="48">
        <f>IF($L355="D",INDEX('Zgłoszenia'!$J$5:$J$504,$M355)&amp;"",IF($L355="U",INDEX('Dane rozpisek'!$G$2:$G$2600,$M355)&amp;"",IF($L355="H","Uwagi","")))</f>
        <v/>
      </c>
      <c r="G355" s="49">
        <f>IF($L355="D",INDEX('Zgłoszenia'!$F$5:$F$504,$M355)&amp;"",IF($L355="U",INDEX('Dane rozpisek'!$L$2:$L$2600,$M355)&amp;"",IF($L355="H","Usterki (dzień / następny)","")))</f>
        <v/>
      </c>
      <c r="H355" s="49">
        <f>IF($L355="D",INDEX('Zgłoszenia'!$P$5:$P$504,$M355)&amp;"",IF($L355="U","",""))</f>
        <v/>
      </c>
      <c r="I355" s="48">
        <f>IF($L355="D",IF(INDEX('Zgłoszenia'!$M$5:$M$504,$M355)="","Zgłoszona",INDEX('Zgłoszenia'!$M$5:$M$504,$M355)),IF($L355="U","",""))</f>
        <v/>
      </c>
      <c r="J355" s="49">
        <f>IF($L355="D",INDEX('Zgłoszenia'!$K$5:$K$504,$M355)&amp;"",IF($L355="U","",""))</f>
        <v/>
      </c>
      <c r="K355" s="2" t="n"/>
      <c r="L355" s="2">
        <f>IF((ROW()-12)&lt;=$L$5,IF($L$2=0,"E1","D"),IF((ROW()-12)=$L$5+1,"",IF((ROW()-12)=$L$5+2,"T",IF((ROW()-12)=$L$5+3,IF($L$3=0,"E2","H"),IF((ROW()-12)&lt;=$L$5+3+$L$3,"U","")))))</f>
        <v/>
      </c>
      <c r="M355" s="2">
        <f>IF(L355="D",MATCH(LARGE('Zgłoszenia'!$Q$5:$Q$504,(ROW()-12)),'Zgłoszenia'!$Q$5:$Q$504,0),IF(L355="U",MATCH(LARGE('Dane rozpisek'!$I$2:$I$2600,(ROW()-12)-$L$5-3),'Dane rozpisek'!$I$2:$I$2600,0),""))</f>
        <v/>
      </c>
    </row>
    <row r="356">
      <c r="A356" s="47">
        <f>IF($L356="D",INDEX('Zgłoszenia'!$D$5:$D$504,$M356),IF($L356="U",INDEX('Dane rozpisek'!$A$2:$A$2600,$M356),IF($L356="T","KTO JEŹDZIŁ",IF($L356="E1","Brak zgłoszonych usterek w tym okresie.",IF($L356="E2","Brak wpisów z tym wózkiem w rozpiskach dla tego okresu.",IF($L356="H","Data",""))))))</f>
        <v/>
      </c>
      <c r="B356" s="48">
        <f>IF($L356="D",INDEX('Zgłoszenia'!$B$5:$B$504,$M356)&amp;"",IF($L356="U",INDEX('Dane rozpisek'!$F$2:$F$2600,$M356)&amp;"",IF($L356="H","Wózek","")))</f>
        <v/>
      </c>
      <c r="C356" s="48">
        <f>IF($L356="D",INDEX('Zgłoszenia'!$E$5:$E$504,$M356)&amp;"",IF($L356="U",INDEX('Dane rozpisek'!$B$2:$B$2600,$M356)&amp;" · "&amp;INDEX('Dane rozpisek'!$J$2:$J$2600,$M356),IF($L356="H","Zmiana","")))</f>
        <v/>
      </c>
      <c r="D356" s="49">
        <f>IF($L356="D",INDEX('Zgłoszenia'!$H$5:$H$504,$M356)&amp;"",IF($L356="U",INDEX('Dane rozpisek'!$E$2:$E$2600,$M356)&amp;"",IF($L356="H","Operator","")))</f>
        <v/>
      </c>
      <c r="E356" s="49">
        <f>IF($L356="D",INDEX('Zgłoszenia'!$I$5:$I$504,$M356)&amp;"",IF($L356="U",INDEX('Dane rozpisek'!$C$2:$C$2600,$M356)&amp;"",IF($L356="H","Stanowisko","")))</f>
        <v/>
      </c>
      <c r="F356" s="48">
        <f>IF($L356="D",INDEX('Zgłoszenia'!$J$5:$J$504,$M356)&amp;"",IF($L356="U",INDEX('Dane rozpisek'!$G$2:$G$2600,$M356)&amp;"",IF($L356="H","Uwagi","")))</f>
        <v/>
      </c>
      <c r="G356" s="49">
        <f>IF($L356="D",INDEX('Zgłoszenia'!$F$5:$F$504,$M356)&amp;"",IF($L356="U",INDEX('Dane rozpisek'!$L$2:$L$2600,$M356)&amp;"",IF($L356="H","Usterki (dzień / następny)","")))</f>
        <v/>
      </c>
      <c r="H356" s="49">
        <f>IF($L356="D",INDEX('Zgłoszenia'!$P$5:$P$504,$M356)&amp;"",IF($L356="U","",""))</f>
        <v/>
      </c>
      <c r="I356" s="48">
        <f>IF($L356="D",IF(INDEX('Zgłoszenia'!$M$5:$M$504,$M356)="","Zgłoszona",INDEX('Zgłoszenia'!$M$5:$M$504,$M356)),IF($L356="U","",""))</f>
        <v/>
      </c>
      <c r="J356" s="49">
        <f>IF($L356="D",INDEX('Zgłoszenia'!$K$5:$K$504,$M356)&amp;"",IF($L356="U","",""))</f>
        <v/>
      </c>
      <c r="K356" s="2" t="n"/>
      <c r="L356" s="2">
        <f>IF((ROW()-12)&lt;=$L$5,IF($L$2=0,"E1","D"),IF((ROW()-12)=$L$5+1,"",IF((ROW()-12)=$L$5+2,"T",IF((ROW()-12)=$L$5+3,IF($L$3=0,"E2","H"),IF((ROW()-12)&lt;=$L$5+3+$L$3,"U","")))))</f>
        <v/>
      </c>
      <c r="M356" s="2">
        <f>IF(L356="D",MATCH(LARGE('Zgłoszenia'!$Q$5:$Q$504,(ROW()-12)),'Zgłoszenia'!$Q$5:$Q$504,0),IF(L356="U",MATCH(LARGE('Dane rozpisek'!$I$2:$I$2600,(ROW()-12)-$L$5-3),'Dane rozpisek'!$I$2:$I$2600,0),""))</f>
        <v/>
      </c>
    </row>
    <row r="357">
      <c r="A357" s="47">
        <f>IF($L357="D",INDEX('Zgłoszenia'!$D$5:$D$504,$M357),IF($L357="U",INDEX('Dane rozpisek'!$A$2:$A$2600,$M357),IF($L357="T","KTO JEŹDZIŁ",IF($L357="E1","Brak zgłoszonych usterek w tym okresie.",IF($L357="E2","Brak wpisów z tym wózkiem w rozpiskach dla tego okresu.",IF($L357="H","Data",""))))))</f>
        <v/>
      </c>
      <c r="B357" s="48">
        <f>IF($L357="D",INDEX('Zgłoszenia'!$B$5:$B$504,$M357)&amp;"",IF($L357="U",INDEX('Dane rozpisek'!$F$2:$F$2600,$M357)&amp;"",IF($L357="H","Wózek","")))</f>
        <v/>
      </c>
      <c r="C357" s="48">
        <f>IF($L357="D",INDEX('Zgłoszenia'!$E$5:$E$504,$M357)&amp;"",IF($L357="U",INDEX('Dane rozpisek'!$B$2:$B$2600,$M357)&amp;" · "&amp;INDEX('Dane rozpisek'!$J$2:$J$2600,$M357),IF($L357="H","Zmiana","")))</f>
        <v/>
      </c>
      <c r="D357" s="49">
        <f>IF($L357="D",INDEX('Zgłoszenia'!$H$5:$H$504,$M357)&amp;"",IF($L357="U",INDEX('Dane rozpisek'!$E$2:$E$2600,$M357)&amp;"",IF($L357="H","Operator","")))</f>
        <v/>
      </c>
      <c r="E357" s="49">
        <f>IF($L357="D",INDEX('Zgłoszenia'!$I$5:$I$504,$M357)&amp;"",IF($L357="U",INDEX('Dane rozpisek'!$C$2:$C$2600,$M357)&amp;"",IF($L357="H","Stanowisko","")))</f>
        <v/>
      </c>
      <c r="F357" s="48">
        <f>IF($L357="D",INDEX('Zgłoszenia'!$J$5:$J$504,$M357)&amp;"",IF($L357="U",INDEX('Dane rozpisek'!$G$2:$G$2600,$M357)&amp;"",IF($L357="H","Uwagi","")))</f>
        <v/>
      </c>
      <c r="G357" s="49">
        <f>IF($L357="D",INDEX('Zgłoszenia'!$F$5:$F$504,$M357)&amp;"",IF($L357="U",INDEX('Dane rozpisek'!$L$2:$L$2600,$M357)&amp;"",IF($L357="H","Usterki (dzień / następny)","")))</f>
        <v/>
      </c>
      <c r="H357" s="49">
        <f>IF($L357="D",INDEX('Zgłoszenia'!$P$5:$P$504,$M357)&amp;"",IF($L357="U","",""))</f>
        <v/>
      </c>
      <c r="I357" s="48">
        <f>IF($L357="D",IF(INDEX('Zgłoszenia'!$M$5:$M$504,$M357)="","Zgłoszona",INDEX('Zgłoszenia'!$M$5:$M$504,$M357)),IF($L357="U","",""))</f>
        <v/>
      </c>
      <c r="J357" s="49">
        <f>IF($L357="D",INDEX('Zgłoszenia'!$K$5:$K$504,$M357)&amp;"",IF($L357="U","",""))</f>
        <v/>
      </c>
      <c r="K357" s="2" t="n"/>
      <c r="L357" s="2">
        <f>IF((ROW()-12)&lt;=$L$5,IF($L$2=0,"E1","D"),IF((ROW()-12)=$L$5+1,"",IF((ROW()-12)=$L$5+2,"T",IF((ROW()-12)=$L$5+3,IF($L$3=0,"E2","H"),IF((ROW()-12)&lt;=$L$5+3+$L$3,"U","")))))</f>
        <v/>
      </c>
      <c r="M357" s="2">
        <f>IF(L357="D",MATCH(LARGE('Zgłoszenia'!$Q$5:$Q$504,(ROW()-12)),'Zgłoszenia'!$Q$5:$Q$504,0),IF(L357="U",MATCH(LARGE('Dane rozpisek'!$I$2:$I$2600,(ROW()-12)-$L$5-3),'Dane rozpisek'!$I$2:$I$2600,0),""))</f>
        <v/>
      </c>
    </row>
    <row r="358">
      <c r="A358" s="47">
        <f>IF($L358="D",INDEX('Zgłoszenia'!$D$5:$D$504,$M358),IF($L358="U",INDEX('Dane rozpisek'!$A$2:$A$2600,$M358),IF($L358="T","KTO JEŹDZIŁ",IF($L358="E1","Brak zgłoszonych usterek w tym okresie.",IF($L358="E2","Brak wpisów z tym wózkiem w rozpiskach dla tego okresu.",IF($L358="H","Data",""))))))</f>
        <v/>
      </c>
      <c r="B358" s="48">
        <f>IF($L358="D",INDEX('Zgłoszenia'!$B$5:$B$504,$M358)&amp;"",IF($L358="U",INDEX('Dane rozpisek'!$F$2:$F$2600,$M358)&amp;"",IF($L358="H","Wózek","")))</f>
        <v/>
      </c>
      <c r="C358" s="48">
        <f>IF($L358="D",INDEX('Zgłoszenia'!$E$5:$E$504,$M358)&amp;"",IF($L358="U",INDEX('Dane rozpisek'!$B$2:$B$2600,$M358)&amp;" · "&amp;INDEX('Dane rozpisek'!$J$2:$J$2600,$M358),IF($L358="H","Zmiana","")))</f>
        <v/>
      </c>
      <c r="D358" s="49">
        <f>IF($L358="D",INDEX('Zgłoszenia'!$H$5:$H$504,$M358)&amp;"",IF($L358="U",INDEX('Dane rozpisek'!$E$2:$E$2600,$M358)&amp;"",IF($L358="H","Operator","")))</f>
        <v/>
      </c>
      <c r="E358" s="49">
        <f>IF($L358="D",INDEX('Zgłoszenia'!$I$5:$I$504,$M358)&amp;"",IF($L358="U",INDEX('Dane rozpisek'!$C$2:$C$2600,$M358)&amp;"",IF($L358="H","Stanowisko","")))</f>
        <v/>
      </c>
      <c r="F358" s="48">
        <f>IF($L358="D",INDEX('Zgłoszenia'!$J$5:$J$504,$M358)&amp;"",IF($L358="U",INDEX('Dane rozpisek'!$G$2:$G$2600,$M358)&amp;"",IF($L358="H","Uwagi","")))</f>
        <v/>
      </c>
      <c r="G358" s="49">
        <f>IF($L358="D",INDEX('Zgłoszenia'!$F$5:$F$504,$M358)&amp;"",IF($L358="U",INDEX('Dane rozpisek'!$L$2:$L$2600,$M358)&amp;"",IF($L358="H","Usterki (dzień / następny)","")))</f>
        <v/>
      </c>
      <c r="H358" s="49">
        <f>IF($L358="D",INDEX('Zgłoszenia'!$P$5:$P$504,$M358)&amp;"",IF($L358="U","",""))</f>
        <v/>
      </c>
      <c r="I358" s="48">
        <f>IF($L358="D",IF(INDEX('Zgłoszenia'!$M$5:$M$504,$M358)="","Zgłoszona",INDEX('Zgłoszenia'!$M$5:$M$504,$M358)),IF($L358="U","",""))</f>
        <v/>
      </c>
      <c r="J358" s="49">
        <f>IF($L358="D",INDEX('Zgłoszenia'!$K$5:$K$504,$M358)&amp;"",IF($L358="U","",""))</f>
        <v/>
      </c>
      <c r="K358" s="2" t="n"/>
      <c r="L358" s="2">
        <f>IF((ROW()-12)&lt;=$L$5,IF($L$2=0,"E1","D"),IF((ROW()-12)=$L$5+1,"",IF((ROW()-12)=$L$5+2,"T",IF((ROW()-12)=$L$5+3,IF($L$3=0,"E2","H"),IF((ROW()-12)&lt;=$L$5+3+$L$3,"U","")))))</f>
        <v/>
      </c>
      <c r="M358" s="2">
        <f>IF(L358="D",MATCH(LARGE('Zgłoszenia'!$Q$5:$Q$504,(ROW()-12)),'Zgłoszenia'!$Q$5:$Q$504,0),IF(L358="U",MATCH(LARGE('Dane rozpisek'!$I$2:$I$2600,(ROW()-12)-$L$5-3),'Dane rozpisek'!$I$2:$I$2600,0),""))</f>
        <v/>
      </c>
    </row>
    <row r="359">
      <c r="A359" s="47">
        <f>IF($L359="D",INDEX('Zgłoszenia'!$D$5:$D$504,$M359),IF($L359="U",INDEX('Dane rozpisek'!$A$2:$A$2600,$M359),IF($L359="T","KTO JEŹDZIŁ",IF($L359="E1","Brak zgłoszonych usterek w tym okresie.",IF($L359="E2","Brak wpisów z tym wózkiem w rozpiskach dla tego okresu.",IF($L359="H","Data",""))))))</f>
        <v/>
      </c>
      <c r="B359" s="48">
        <f>IF($L359="D",INDEX('Zgłoszenia'!$B$5:$B$504,$M359)&amp;"",IF($L359="U",INDEX('Dane rozpisek'!$F$2:$F$2600,$M359)&amp;"",IF($L359="H","Wózek","")))</f>
        <v/>
      </c>
      <c r="C359" s="48">
        <f>IF($L359="D",INDEX('Zgłoszenia'!$E$5:$E$504,$M359)&amp;"",IF($L359="U",INDEX('Dane rozpisek'!$B$2:$B$2600,$M359)&amp;" · "&amp;INDEX('Dane rozpisek'!$J$2:$J$2600,$M359),IF($L359="H","Zmiana","")))</f>
        <v/>
      </c>
      <c r="D359" s="49">
        <f>IF($L359="D",INDEX('Zgłoszenia'!$H$5:$H$504,$M359)&amp;"",IF($L359="U",INDEX('Dane rozpisek'!$E$2:$E$2600,$M359)&amp;"",IF($L359="H","Operator","")))</f>
        <v/>
      </c>
      <c r="E359" s="49">
        <f>IF($L359="D",INDEX('Zgłoszenia'!$I$5:$I$504,$M359)&amp;"",IF($L359="U",INDEX('Dane rozpisek'!$C$2:$C$2600,$M359)&amp;"",IF($L359="H","Stanowisko","")))</f>
        <v/>
      </c>
      <c r="F359" s="48">
        <f>IF($L359="D",INDEX('Zgłoszenia'!$J$5:$J$504,$M359)&amp;"",IF($L359="U",INDEX('Dane rozpisek'!$G$2:$G$2600,$M359)&amp;"",IF($L359="H","Uwagi","")))</f>
        <v/>
      </c>
      <c r="G359" s="49">
        <f>IF($L359="D",INDEX('Zgłoszenia'!$F$5:$F$504,$M359)&amp;"",IF($L359="U",INDEX('Dane rozpisek'!$L$2:$L$2600,$M359)&amp;"",IF($L359="H","Usterki (dzień / następny)","")))</f>
        <v/>
      </c>
      <c r="H359" s="49">
        <f>IF($L359="D",INDEX('Zgłoszenia'!$P$5:$P$504,$M359)&amp;"",IF($L359="U","",""))</f>
        <v/>
      </c>
      <c r="I359" s="48">
        <f>IF($L359="D",IF(INDEX('Zgłoszenia'!$M$5:$M$504,$M359)="","Zgłoszona",INDEX('Zgłoszenia'!$M$5:$M$504,$M359)),IF($L359="U","",""))</f>
        <v/>
      </c>
      <c r="J359" s="49">
        <f>IF($L359="D",INDEX('Zgłoszenia'!$K$5:$K$504,$M359)&amp;"",IF($L359="U","",""))</f>
        <v/>
      </c>
      <c r="K359" s="2" t="n"/>
      <c r="L359" s="2">
        <f>IF((ROW()-12)&lt;=$L$5,IF($L$2=0,"E1","D"),IF((ROW()-12)=$L$5+1,"",IF((ROW()-12)=$L$5+2,"T",IF((ROW()-12)=$L$5+3,IF($L$3=0,"E2","H"),IF((ROW()-12)&lt;=$L$5+3+$L$3,"U","")))))</f>
        <v/>
      </c>
      <c r="M359" s="2">
        <f>IF(L359="D",MATCH(LARGE('Zgłoszenia'!$Q$5:$Q$504,(ROW()-12)),'Zgłoszenia'!$Q$5:$Q$504,0),IF(L359="U",MATCH(LARGE('Dane rozpisek'!$I$2:$I$2600,(ROW()-12)-$L$5-3),'Dane rozpisek'!$I$2:$I$2600,0),""))</f>
        <v/>
      </c>
    </row>
    <row r="360">
      <c r="A360" s="47">
        <f>IF($L360="D",INDEX('Zgłoszenia'!$D$5:$D$504,$M360),IF($L360="U",INDEX('Dane rozpisek'!$A$2:$A$2600,$M360),IF($L360="T","KTO JEŹDZIŁ",IF($L360="E1","Brak zgłoszonych usterek w tym okresie.",IF($L360="E2","Brak wpisów z tym wózkiem w rozpiskach dla tego okresu.",IF($L360="H","Data",""))))))</f>
        <v/>
      </c>
      <c r="B360" s="48">
        <f>IF($L360="D",INDEX('Zgłoszenia'!$B$5:$B$504,$M360)&amp;"",IF($L360="U",INDEX('Dane rozpisek'!$F$2:$F$2600,$M360)&amp;"",IF($L360="H","Wózek","")))</f>
        <v/>
      </c>
      <c r="C360" s="48">
        <f>IF($L360="D",INDEX('Zgłoszenia'!$E$5:$E$504,$M360)&amp;"",IF($L360="U",INDEX('Dane rozpisek'!$B$2:$B$2600,$M360)&amp;" · "&amp;INDEX('Dane rozpisek'!$J$2:$J$2600,$M360),IF($L360="H","Zmiana","")))</f>
        <v/>
      </c>
      <c r="D360" s="49">
        <f>IF($L360="D",INDEX('Zgłoszenia'!$H$5:$H$504,$M360)&amp;"",IF($L360="U",INDEX('Dane rozpisek'!$E$2:$E$2600,$M360)&amp;"",IF($L360="H","Operator","")))</f>
        <v/>
      </c>
      <c r="E360" s="49">
        <f>IF($L360="D",INDEX('Zgłoszenia'!$I$5:$I$504,$M360)&amp;"",IF($L360="U",INDEX('Dane rozpisek'!$C$2:$C$2600,$M360)&amp;"",IF($L360="H","Stanowisko","")))</f>
        <v/>
      </c>
      <c r="F360" s="48">
        <f>IF($L360="D",INDEX('Zgłoszenia'!$J$5:$J$504,$M360)&amp;"",IF($L360="U",INDEX('Dane rozpisek'!$G$2:$G$2600,$M360)&amp;"",IF($L360="H","Uwagi","")))</f>
        <v/>
      </c>
      <c r="G360" s="49">
        <f>IF($L360="D",INDEX('Zgłoszenia'!$F$5:$F$504,$M360)&amp;"",IF($L360="U",INDEX('Dane rozpisek'!$L$2:$L$2600,$M360)&amp;"",IF($L360="H","Usterki (dzień / następny)","")))</f>
        <v/>
      </c>
      <c r="H360" s="49">
        <f>IF($L360="D",INDEX('Zgłoszenia'!$P$5:$P$504,$M360)&amp;"",IF($L360="U","",""))</f>
        <v/>
      </c>
      <c r="I360" s="48">
        <f>IF($L360="D",IF(INDEX('Zgłoszenia'!$M$5:$M$504,$M360)="","Zgłoszona",INDEX('Zgłoszenia'!$M$5:$M$504,$M360)),IF($L360="U","",""))</f>
        <v/>
      </c>
      <c r="J360" s="49">
        <f>IF($L360="D",INDEX('Zgłoszenia'!$K$5:$K$504,$M360)&amp;"",IF($L360="U","",""))</f>
        <v/>
      </c>
      <c r="K360" s="2" t="n"/>
      <c r="L360" s="2">
        <f>IF((ROW()-12)&lt;=$L$5,IF($L$2=0,"E1","D"),IF((ROW()-12)=$L$5+1,"",IF((ROW()-12)=$L$5+2,"T",IF((ROW()-12)=$L$5+3,IF($L$3=0,"E2","H"),IF((ROW()-12)&lt;=$L$5+3+$L$3,"U","")))))</f>
        <v/>
      </c>
      <c r="M360" s="2">
        <f>IF(L360="D",MATCH(LARGE('Zgłoszenia'!$Q$5:$Q$504,(ROW()-12)),'Zgłoszenia'!$Q$5:$Q$504,0),IF(L360="U",MATCH(LARGE('Dane rozpisek'!$I$2:$I$2600,(ROW()-12)-$L$5-3),'Dane rozpisek'!$I$2:$I$2600,0),""))</f>
        <v/>
      </c>
    </row>
    <row r="361">
      <c r="A361" s="47">
        <f>IF($L361="D",INDEX('Zgłoszenia'!$D$5:$D$504,$M361),IF($L361="U",INDEX('Dane rozpisek'!$A$2:$A$2600,$M361),IF($L361="T","KTO JEŹDZIŁ",IF($L361="E1","Brak zgłoszonych usterek w tym okresie.",IF($L361="E2","Brak wpisów z tym wózkiem w rozpiskach dla tego okresu.",IF($L361="H","Data",""))))))</f>
        <v/>
      </c>
      <c r="B361" s="48">
        <f>IF($L361="D",INDEX('Zgłoszenia'!$B$5:$B$504,$M361)&amp;"",IF($L361="U",INDEX('Dane rozpisek'!$F$2:$F$2600,$M361)&amp;"",IF($L361="H","Wózek","")))</f>
        <v/>
      </c>
      <c r="C361" s="48">
        <f>IF($L361="D",INDEX('Zgłoszenia'!$E$5:$E$504,$M361)&amp;"",IF($L361="U",INDEX('Dane rozpisek'!$B$2:$B$2600,$M361)&amp;" · "&amp;INDEX('Dane rozpisek'!$J$2:$J$2600,$M361),IF($L361="H","Zmiana","")))</f>
        <v/>
      </c>
      <c r="D361" s="49">
        <f>IF($L361="D",INDEX('Zgłoszenia'!$H$5:$H$504,$M361)&amp;"",IF($L361="U",INDEX('Dane rozpisek'!$E$2:$E$2600,$M361)&amp;"",IF($L361="H","Operator","")))</f>
        <v/>
      </c>
      <c r="E361" s="49">
        <f>IF($L361="D",INDEX('Zgłoszenia'!$I$5:$I$504,$M361)&amp;"",IF($L361="U",INDEX('Dane rozpisek'!$C$2:$C$2600,$M361)&amp;"",IF($L361="H","Stanowisko","")))</f>
        <v/>
      </c>
      <c r="F361" s="48">
        <f>IF($L361="D",INDEX('Zgłoszenia'!$J$5:$J$504,$M361)&amp;"",IF($L361="U",INDEX('Dane rozpisek'!$G$2:$G$2600,$M361)&amp;"",IF($L361="H","Uwagi","")))</f>
        <v/>
      </c>
      <c r="G361" s="49">
        <f>IF($L361="D",INDEX('Zgłoszenia'!$F$5:$F$504,$M361)&amp;"",IF($L361="U",INDEX('Dane rozpisek'!$L$2:$L$2600,$M361)&amp;"",IF($L361="H","Usterki (dzień / następny)","")))</f>
        <v/>
      </c>
      <c r="H361" s="49">
        <f>IF($L361="D",INDEX('Zgłoszenia'!$P$5:$P$504,$M361)&amp;"",IF($L361="U","",""))</f>
        <v/>
      </c>
      <c r="I361" s="48">
        <f>IF($L361="D",IF(INDEX('Zgłoszenia'!$M$5:$M$504,$M361)="","Zgłoszona",INDEX('Zgłoszenia'!$M$5:$M$504,$M361)),IF($L361="U","",""))</f>
        <v/>
      </c>
      <c r="J361" s="49">
        <f>IF($L361="D",INDEX('Zgłoszenia'!$K$5:$K$504,$M361)&amp;"",IF($L361="U","",""))</f>
        <v/>
      </c>
      <c r="K361" s="2" t="n"/>
      <c r="L361" s="2">
        <f>IF((ROW()-12)&lt;=$L$5,IF($L$2=0,"E1","D"),IF((ROW()-12)=$L$5+1,"",IF((ROW()-12)=$L$5+2,"T",IF((ROW()-12)=$L$5+3,IF($L$3=0,"E2","H"),IF((ROW()-12)&lt;=$L$5+3+$L$3,"U","")))))</f>
        <v/>
      </c>
      <c r="M361" s="2">
        <f>IF(L361="D",MATCH(LARGE('Zgłoszenia'!$Q$5:$Q$504,(ROW()-12)),'Zgłoszenia'!$Q$5:$Q$504,0),IF(L361="U",MATCH(LARGE('Dane rozpisek'!$I$2:$I$2600,(ROW()-12)-$L$5-3),'Dane rozpisek'!$I$2:$I$2600,0),""))</f>
        <v/>
      </c>
    </row>
    <row r="362">
      <c r="A362" s="47">
        <f>IF($L362="D",INDEX('Zgłoszenia'!$D$5:$D$504,$M362),IF($L362="U",INDEX('Dane rozpisek'!$A$2:$A$2600,$M362),IF($L362="T","KTO JEŹDZIŁ",IF($L362="E1","Brak zgłoszonych usterek w tym okresie.",IF($L362="E2","Brak wpisów z tym wózkiem w rozpiskach dla tego okresu.",IF($L362="H","Data",""))))))</f>
        <v/>
      </c>
      <c r="B362" s="48">
        <f>IF($L362="D",INDEX('Zgłoszenia'!$B$5:$B$504,$M362)&amp;"",IF($L362="U",INDEX('Dane rozpisek'!$F$2:$F$2600,$M362)&amp;"",IF($L362="H","Wózek","")))</f>
        <v/>
      </c>
      <c r="C362" s="48">
        <f>IF($L362="D",INDEX('Zgłoszenia'!$E$5:$E$504,$M362)&amp;"",IF($L362="U",INDEX('Dane rozpisek'!$B$2:$B$2600,$M362)&amp;" · "&amp;INDEX('Dane rozpisek'!$J$2:$J$2600,$M362),IF($L362="H","Zmiana","")))</f>
        <v/>
      </c>
      <c r="D362" s="49">
        <f>IF($L362="D",INDEX('Zgłoszenia'!$H$5:$H$504,$M362)&amp;"",IF($L362="U",INDEX('Dane rozpisek'!$E$2:$E$2600,$M362)&amp;"",IF($L362="H","Operator","")))</f>
        <v/>
      </c>
      <c r="E362" s="49">
        <f>IF($L362="D",INDEX('Zgłoszenia'!$I$5:$I$504,$M362)&amp;"",IF($L362="U",INDEX('Dane rozpisek'!$C$2:$C$2600,$M362)&amp;"",IF($L362="H","Stanowisko","")))</f>
        <v/>
      </c>
      <c r="F362" s="48">
        <f>IF($L362="D",INDEX('Zgłoszenia'!$J$5:$J$504,$M362)&amp;"",IF($L362="U",INDEX('Dane rozpisek'!$G$2:$G$2600,$M362)&amp;"",IF($L362="H","Uwagi","")))</f>
        <v/>
      </c>
      <c r="G362" s="49">
        <f>IF($L362="D",INDEX('Zgłoszenia'!$F$5:$F$504,$M362)&amp;"",IF($L362="U",INDEX('Dane rozpisek'!$L$2:$L$2600,$M362)&amp;"",IF($L362="H","Usterki (dzień / następny)","")))</f>
        <v/>
      </c>
      <c r="H362" s="49">
        <f>IF($L362="D",INDEX('Zgłoszenia'!$P$5:$P$504,$M362)&amp;"",IF($L362="U","",""))</f>
        <v/>
      </c>
      <c r="I362" s="48">
        <f>IF($L362="D",IF(INDEX('Zgłoszenia'!$M$5:$M$504,$M362)="","Zgłoszona",INDEX('Zgłoszenia'!$M$5:$M$504,$M362)),IF($L362="U","",""))</f>
        <v/>
      </c>
      <c r="J362" s="49">
        <f>IF($L362="D",INDEX('Zgłoszenia'!$K$5:$K$504,$M362)&amp;"",IF($L362="U","",""))</f>
        <v/>
      </c>
      <c r="K362" s="2" t="n"/>
      <c r="L362" s="2">
        <f>IF((ROW()-12)&lt;=$L$5,IF($L$2=0,"E1","D"),IF((ROW()-12)=$L$5+1,"",IF((ROW()-12)=$L$5+2,"T",IF((ROW()-12)=$L$5+3,IF($L$3=0,"E2","H"),IF((ROW()-12)&lt;=$L$5+3+$L$3,"U","")))))</f>
        <v/>
      </c>
      <c r="M362" s="2">
        <f>IF(L362="D",MATCH(LARGE('Zgłoszenia'!$Q$5:$Q$504,(ROW()-12)),'Zgłoszenia'!$Q$5:$Q$504,0),IF(L362="U",MATCH(LARGE('Dane rozpisek'!$I$2:$I$2600,(ROW()-12)-$L$5-3),'Dane rozpisek'!$I$2:$I$2600,0),""))</f>
        <v/>
      </c>
    </row>
    <row r="363">
      <c r="A363" s="47">
        <f>IF($L363="D",INDEX('Zgłoszenia'!$D$5:$D$504,$M363),IF($L363="U",INDEX('Dane rozpisek'!$A$2:$A$2600,$M363),IF($L363="T","KTO JEŹDZIŁ",IF($L363="E1","Brak zgłoszonych usterek w tym okresie.",IF($L363="E2","Brak wpisów z tym wózkiem w rozpiskach dla tego okresu.",IF($L363="H","Data",""))))))</f>
        <v/>
      </c>
      <c r="B363" s="48">
        <f>IF($L363="D",INDEX('Zgłoszenia'!$B$5:$B$504,$M363)&amp;"",IF($L363="U",INDEX('Dane rozpisek'!$F$2:$F$2600,$M363)&amp;"",IF($L363="H","Wózek","")))</f>
        <v/>
      </c>
      <c r="C363" s="48">
        <f>IF($L363="D",INDEX('Zgłoszenia'!$E$5:$E$504,$M363)&amp;"",IF($L363="U",INDEX('Dane rozpisek'!$B$2:$B$2600,$M363)&amp;" · "&amp;INDEX('Dane rozpisek'!$J$2:$J$2600,$M363),IF($L363="H","Zmiana","")))</f>
        <v/>
      </c>
      <c r="D363" s="49">
        <f>IF($L363="D",INDEX('Zgłoszenia'!$H$5:$H$504,$M363)&amp;"",IF($L363="U",INDEX('Dane rozpisek'!$E$2:$E$2600,$M363)&amp;"",IF($L363="H","Operator","")))</f>
        <v/>
      </c>
      <c r="E363" s="49">
        <f>IF($L363="D",INDEX('Zgłoszenia'!$I$5:$I$504,$M363)&amp;"",IF($L363="U",INDEX('Dane rozpisek'!$C$2:$C$2600,$M363)&amp;"",IF($L363="H","Stanowisko","")))</f>
        <v/>
      </c>
      <c r="F363" s="48">
        <f>IF($L363="D",INDEX('Zgłoszenia'!$J$5:$J$504,$M363)&amp;"",IF($L363="U",INDEX('Dane rozpisek'!$G$2:$G$2600,$M363)&amp;"",IF($L363="H","Uwagi","")))</f>
        <v/>
      </c>
      <c r="G363" s="49">
        <f>IF($L363="D",INDEX('Zgłoszenia'!$F$5:$F$504,$M363)&amp;"",IF($L363="U",INDEX('Dane rozpisek'!$L$2:$L$2600,$M363)&amp;"",IF($L363="H","Usterki (dzień / następny)","")))</f>
        <v/>
      </c>
      <c r="H363" s="49">
        <f>IF($L363="D",INDEX('Zgłoszenia'!$P$5:$P$504,$M363)&amp;"",IF($L363="U","",""))</f>
        <v/>
      </c>
      <c r="I363" s="48">
        <f>IF($L363="D",IF(INDEX('Zgłoszenia'!$M$5:$M$504,$M363)="","Zgłoszona",INDEX('Zgłoszenia'!$M$5:$M$504,$M363)),IF($L363="U","",""))</f>
        <v/>
      </c>
      <c r="J363" s="49">
        <f>IF($L363="D",INDEX('Zgłoszenia'!$K$5:$K$504,$M363)&amp;"",IF($L363="U","",""))</f>
        <v/>
      </c>
      <c r="K363" s="2" t="n"/>
      <c r="L363" s="2">
        <f>IF((ROW()-12)&lt;=$L$5,IF($L$2=0,"E1","D"),IF((ROW()-12)=$L$5+1,"",IF((ROW()-12)=$L$5+2,"T",IF((ROW()-12)=$L$5+3,IF($L$3=0,"E2","H"),IF((ROW()-12)&lt;=$L$5+3+$L$3,"U","")))))</f>
        <v/>
      </c>
      <c r="M363" s="2">
        <f>IF(L363="D",MATCH(LARGE('Zgłoszenia'!$Q$5:$Q$504,(ROW()-12)),'Zgłoszenia'!$Q$5:$Q$504,0),IF(L363="U",MATCH(LARGE('Dane rozpisek'!$I$2:$I$2600,(ROW()-12)-$L$5-3),'Dane rozpisek'!$I$2:$I$2600,0),""))</f>
        <v/>
      </c>
    </row>
    <row r="364">
      <c r="A364" s="47">
        <f>IF($L364="D",INDEX('Zgłoszenia'!$D$5:$D$504,$M364),IF($L364="U",INDEX('Dane rozpisek'!$A$2:$A$2600,$M364),IF($L364="T","KTO JEŹDZIŁ",IF($L364="E1","Brak zgłoszonych usterek w tym okresie.",IF($L364="E2","Brak wpisów z tym wózkiem w rozpiskach dla tego okresu.",IF($L364="H","Data",""))))))</f>
        <v/>
      </c>
      <c r="B364" s="48">
        <f>IF($L364="D",INDEX('Zgłoszenia'!$B$5:$B$504,$M364)&amp;"",IF($L364="U",INDEX('Dane rozpisek'!$F$2:$F$2600,$M364)&amp;"",IF($L364="H","Wózek","")))</f>
        <v/>
      </c>
      <c r="C364" s="48">
        <f>IF($L364="D",INDEX('Zgłoszenia'!$E$5:$E$504,$M364)&amp;"",IF($L364="U",INDEX('Dane rozpisek'!$B$2:$B$2600,$M364)&amp;" · "&amp;INDEX('Dane rozpisek'!$J$2:$J$2600,$M364),IF($L364="H","Zmiana","")))</f>
        <v/>
      </c>
      <c r="D364" s="49">
        <f>IF($L364="D",INDEX('Zgłoszenia'!$H$5:$H$504,$M364)&amp;"",IF($L364="U",INDEX('Dane rozpisek'!$E$2:$E$2600,$M364)&amp;"",IF($L364="H","Operator","")))</f>
        <v/>
      </c>
      <c r="E364" s="49">
        <f>IF($L364="D",INDEX('Zgłoszenia'!$I$5:$I$504,$M364)&amp;"",IF($L364="U",INDEX('Dane rozpisek'!$C$2:$C$2600,$M364)&amp;"",IF($L364="H","Stanowisko","")))</f>
        <v/>
      </c>
      <c r="F364" s="48">
        <f>IF($L364="D",INDEX('Zgłoszenia'!$J$5:$J$504,$M364)&amp;"",IF($L364="U",INDEX('Dane rozpisek'!$G$2:$G$2600,$M364)&amp;"",IF($L364="H","Uwagi","")))</f>
        <v/>
      </c>
      <c r="G364" s="49">
        <f>IF($L364="D",INDEX('Zgłoszenia'!$F$5:$F$504,$M364)&amp;"",IF($L364="U",INDEX('Dane rozpisek'!$L$2:$L$2600,$M364)&amp;"",IF($L364="H","Usterki (dzień / następny)","")))</f>
        <v/>
      </c>
      <c r="H364" s="49">
        <f>IF($L364="D",INDEX('Zgłoszenia'!$P$5:$P$504,$M364)&amp;"",IF($L364="U","",""))</f>
        <v/>
      </c>
      <c r="I364" s="48">
        <f>IF($L364="D",IF(INDEX('Zgłoszenia'!$M$5:$M$504,$M364)="","Zgłoszona",INDEX('Zgłoszenia'!$M$5:$M$504,$M364)),IF($L364="U","",""))</f>
        <v/>
      </c>
      <c r="J364" s="49">
        <f>IF($L364="D",INDEX('Zgłoszenia'!$K$5:$K$504,$M364)&amp;"",IF($L364="U","",""))</f>
        <v/>
      </c>
      <c r="K364" s="2" t="n"/>
      <c r="L364" s="2">
        <f>IF((ROW()-12)&lt;=$L$5,IF($L$2=0,"E1","D"),IF((ROW()-12)=$L$5+1,"",IF((ROW()-12)=$L$5+2,"T",IF((ROW()-12)=$L$5+3,IF($L$3=0,"E2","H"),IF((ROW()-12)&lt;=$L$5+3+$L$3,"U","")))))</f>
        <v/>
      </c>
      <c r="M364" s="2">
        <f>IF(L364="D",MATCH(LARGE('Zgłoszenia'!$Q$5:$Q$504,(ROW()-12)),'Zgłoszenia'!$Q$5:$Q$504,0),IF(L364="U",MATCH(LARGE('Dane rozpisek'!$I$2:$I$2600,(ROW()-12)-$L$5-3),'Dane rozpisek'!$I$2:$I$2600,0),""))</f>
        <v/>
      </c>
    </row>
    <row r="365">
      <c r="A365" s="47">
        <f>IF($L365="D",INDEX('Zgłoszenia'!$D$5:$D$504,$M365),IF($L365="U",INDEX('Dane rozpisek'!$A$2:$A$2600,$M365),IF($L365="T","KTO JEŹDZIŁ",IF($L365="E1","Brak zgłoszonych usterek w tym okresie.",IF($L365="E2","Brak wpisów z tym wózkiem w rozpiskach dla tego okresu.",IF($L365="H","Data",""))))))</f>
        <v/>
      </c>
      <c r="B365" s="48">
        <f>IF($L365="D",INDEX('Zgłoszenia'!$B$5:$B$504,$M365)&amp;"",IF($L365="U",INDEX('Dane rozpisek'!$F$2:$F$2600,$M365)&amp;"",IF($L365="H","Wózek","")))</f>
        <v/>
      </c>
      <c r="C365" s="48">
        <f>IF($L365="D",INDEX('Zgłoszenia'!$E$5:$E$504,$M365)&amp;"",IF($L365="U",INDEX('Dane rozpisek'!$B$2:$B$2600,$M365)&amp;" · "&amp;INDEX('Dane rozpisek'!$J$2:$J$2600,$M365),IF($L365="H","Zmiana","")))</f>
        <v/>
      </c>
      <c r="D365" s="49">
        <f>IF($L365="D",INDEX('Zgłoszenia'!$H$5:$H$504,$M365)&amp;"",IF($L365="U",INDEX('Dane rozpisek'!$E$2:$E$2600,$M365)&amp;"",IF($L365="H","Operator","")))</f>
        <v/>
      </c>
      <c r="E365" s="49">
        <f>IF($L365="D",INDEX('Zgłoszenia'!$I$5:$I$504,$M365)&amp;"",IF($L365="U",INDEX('Dane rozpisek'!$C$2:$C$2600,$M365)&amp;"",IF($L365="H","Stanowisko","")))</f>
        <v/>
      </c>
      <c r="F365" s="48">
        <f>IF($L365="D",INDEX('Zgłoszenia'!$J$5:$J$504,$M365)&amp;"",IF($L365="U",INDEX('Dane rozpisek'!$G$2:$G$2600,$M365)&amp;"",IF($L365="H","Uwagi","")))</f>
        <v/>
      </c>
      <c r="G365" s="49">
        <f>IF($L365="D",INDEX('Zgłoszenia'!$F$5:$F$504,$M365)&amp;"",IF($L365="U",INDEX('Dane rozpisek'!$L$2:$L$2600,$M365)&amp;"",IF($L365="H","Usterki (dzień / następny)","")))</f>
        <v/>
      </c>
      <c r="H365" s="49">
        <f>IF($L365="D",INDEX('Zgłoszenia'!$P$5:$P$504,$M365)&amp;"",IF($L365="U","",""))</f>
        <v/>
      </c>
      <c r="I365" s="48">
        <f>IF($L365="D",IF(INDEX('Zgłoszenia'!$M$5:$M$504,$M365)="","Zgłoszona",INDEX('Zgłoszenia'!$M$5:$M$504,$M365)),IF($L365="U","",""))</f>
        <v/>
      </c>
      <c r="J365" s="49">
        <f>IF($L365="D",INDEX('Zgłoszenia'!$K$5:$K$504,$M365)&amp;"",IF($L365="U","",""))</f>
        <v/>
      </c>
      <c r="K365" s="2" t="n"/>
      <c r="L365" s="2">
        <f>IF((ROW()-12)&lt;=$L$5,IF($L$2=0,"E1","D"),IF((ROW()-12)=$L$5+1,"",IF((ROW()-12)=$L$5+2,"T",IF((ROW()-12)=$L$5+3,IF($L$3=0,"E2","H"),IF((ROW()-12)&lt;=$L$5+3+$L$3,"U","")))))</f>
        <v/>
      </c>
      <c r="M365" s="2">
        <f>IF(L365="D",MATCH(LARGE('Zgłoszenia'!$Q$5:$Q$504,(ROW()-12)),'Zgłoszenia'!$Q$5:$Q$504,0),IF(L365="U",MATCH(LARGE('Dane rozpisek'!$I$2:$I$2600,(ROW()-12)-$L$5-3),'Dane rozpisek'!$I$2:$I$2600,0),""))</f>
        <v/>
      </c>
    </row>
    <row r="366">
      <c r="A366" s="47">
        <f>IF($L366="D",INDEX('Zgłoszenia'!$D$5:$D$504,$M366),IF($L366="U",INDEX('Dane rozpisek'!$A$2:$A$2600,$M366),IF($L366="T","KTO JEŹDZIŁ",IF($L366="E1","Brak zgłoszonych usterek w tym okresie.",IF($L366="E2","Brak wpisów z tym wózkiem w rozpiskach dla tego okresu.",IF($L366="H","Data",""))))))</f>
        <v/>
      </c>
      <c r="B366" s="48">
        <f>IF($L366="D",INDEX('Zgłoszenia'!$B$5:$B$504,$M366)&amp;"",IF($L366="U",INDEX('Dane rozpisek'!$F$2:$F$2600,$M366)&amp;"",IF($L366="H","Wózek","")))</f>
        <v/>
      </c>
      <c r="C366" s="48">
        <f>IF($L366="D",INDEX('Zgłoszenia'!$E$5:$E$504,$M366)&amp;"",IF($L366="U",INDEX('Dane rozpisek'!$B$2:$B$2600,$M366)&amp;" · "&amp;INDEX('Dane rozpisek'!$J$2:$J$2600,$M366),IF($L366="H","Zmiana","")))</f>
        <v/>
      </c>
      <c r="D366" s="49">
        <f>IF($L366="D",INDEX('Zgłoszenia'!$H$5:$H$504,$M366)&amp;"",IF($L366="U",INDEX('Dane rozpisek'!$E$2:$E$2600,$M366)&amp;"",IF($L366="H","Operator","")))</f>
        <v/>
      </c>
      <c r="E366" s="49">
        <f>IF($L366="D",INDEX('Zgłoszenia'!$I$5:$I$504,$M366)&amp;"",IF($L366="U",INDEX('Dane rozpisek'!$C$2:$C$2600,$M366)&amp;"",IF($L366="H","Stanowisko","")))</f>
        <v/>
      </c>
      <c r="F366" s="48">
        <f>IF($L366="D",INDEX('Zgłoszenia'!$J$5:$J$504,$M366)&amp;"",IF($L366="U",INDEX('Dane rozpisek'!$G$2:$G$2600,$M366)&amp;"",IF($L366="H","Uwagi","")))</f>
        <v/>
      </c>
      <c r="G366" s="49">
        <f>IF($L366="D",INDEX('Zgłoszenia'!$F$5:$F$504,$M366)&amp;"",IF($L366="U",INDEX('Dane rozpisek'!$L$2:$L$2600,$M366)&amp;"",IF($L366="H","Usterki (dzień / następny)","")))</f>
        <v/>
      </c>
      <c r="H366" s="49">
        <f>IF($L366="D",INDEX('Zgłoszenia'!$P$5:$P$504,$M366)&amp;"",IF($L366="U","",""))</f>
        <v/>
      </c>
      <c r="I366" s="48">
        <f>IF($L366="D",IF(INDEX('Zgłoszenia'!$M$5:$M$504,$M366)="","Zgłoszona",INDEX('Zgłoszenia'!$M$5:$M$504,$M366)),IF($L366="U","",""))</f>
        <v/>
      </c>
      <c r="J366" s="49">
        <f>IF($L366="D",INDEX('Zgłoszenia'!$K$5:$K$504,$M366)&amp;"",IF($L366="U","",""))</f>
        <v/>
      </c>
      <c r="K366" s="2" t="n"/>
      <c r="L366" s="2">
        <f>IF((ROW()-12)&lt;=$L$5,IF($L$2=0,"E1","D"),IF((ROW()-12)=$L$5+1,"",IF((ROW()-12)=$L$5+2,"T",IF((ROW()-12)=$L$5+3,IF($L$3=0,"E2","H"),IF((ROW()-12)&lt;=$L$5+3+$L$3,"U","")))))</f>
        <v/>
      </c>
      <c r="M366" s="2">
        <f>IF(L366="D",MATCH(LARGE('Zgłoszenia'!$Q$5:$Q$504,(ROW()-12)),'Zgłoszenia'!$Q$5:$Q$504,0),IF(L366="U",MATCH(LARGE('Dane rozpisek'!$I$2:$I$2600,(ROW()-12)-$L$5-3),'Dane rozpisek'!$I$2:$I$2600,0),""))</f>
        <v/>
      </c>
    </row>
    <row r="367">
      <c r="A367" s="47">
        <f>IF($L367="D",INDEX('Zgłoszenia'!$D$5:$D$504,$M367),IF($L367="U",INDEX('Dane rozpisek'!$A$2:$A$2600,$M367),IF($L367="T","KTO JEŹDZIŁ",IF($L367="E1","Brak zgłoszonych usterek w tym okresie.",IF($L367="E2","Brak wpisów z tym wózkiem w rozpiskach dla tego okresu.",IF($L367="H","Data",""))))))</f>
        <v/>
      </c>
      <c r="B367" s="48">
        <f>IF($L367="D",INDEX('Zgłoszenia'!$B$5:$B$504,$M367)&amp;"",IF($L367="U",INDEX('Dane rozpisek'!$F$2:$F$2600,$M367)&amp;"",IF($L367="H","Wózek","")))</f>
        <v/>
      </c>
      <c r="C367" s="48">
        <f>IF($L367="D",INDEX('Zgłoszenia'!$E$5:$E$504,$M367)&amp;"",IF($L367="U",INDEX('Dane rozpisek'!$B$2:$B$2600,$M367)&amp;" · "&amp;INDEX('Dane rozpisek'!$J$2:$J$2600,$M367),IF($L367="H","Zmiana","")))</f>
        <v/>
      </c>
      <c r="D367" s="49">
        <f>IF($L367="D",INDEX('Zgłoszenia'!$H$5:$H$504,$M367)&amp;"",IF($L367="U",INDEX('Dane rozpisek'!$E$2:$E$2600,$M367)&amp;"",IF($L367="H","Operator","")))</f>
        <v/>
      </c>
      <c r="E367" s="49">
        <f>IF($L367="D",INDEX('Zgłoszenia'!$I$5:$I$504,$M367)&amp;"",IF($L367="U",INDEX('Dane rozpisek'!$C$2:$C$2600,$M367)&amp;"",IF($L367="H","Stanowisko","")))</f>
        <v/>
      </c>
      <c r="F367" s="48">
        <f>IF($L367="D",INDEX('Zgłoszenia'!$J$5:$J$504,$M367)&amp;"",IF($L367="U",INDEX('Dane rozpisek'!$G$2:$G$2600,$M367)&amp;"",IF($L367="H","Uwagi","")))</f>
        <v/>
      </c>
      <c r="G367" s="49">
        <f>IF($L367="D",INDEX('Zgłoszenia'!$F$5:$F$504,$M367)&amp;"",IF($L367="U",INDEX('Dane rozpisek'!$L$2:$L$2600,$M367)&amp;"",IF($L367="H","Usterki (dzień / następny)","")))</f>
        <v/>
      </c>
      <c r="H367" s="49">
        <f>IF($L367="D",INDEX('Zgłoszenia'!$P$5:$P$504,$M367)&amp;"",IF($L367="U","",""))</f>
        <v/>
      </c>
      <c r="I367" s="48">
        <f>IF($L367="D",IF(INDEX('Zgłoszenia'!$M$5:$M$504,$M367)="","Zgłoszona",INDEX('Zgłoszenia'!$M$5:$M$504,$M367)),IF($L367="U","",""))</f>
        <v/>
      </c>
      <c r="J367" s="49">
        <f>IF($L367="D",INDEX('Zgłoszenia'!$K$5:$K$504,$M367)&amp;"",IF($L367="U","",""))</f>
        <v/>
      </c>
      <c r="K367" s="2" t="n"/>
      <c r="L367" s="2">
        <f>IF((ROW()-12)&lt;=$L$5,IF($L$2=0,"E1","D"),IF((ROW()-12)=$L$5+1,"",IF((ROW()-12)=$L$5+2,"T",IF((ROW()-12)=$L$5+3,IF($L$3=0,"E2","H"),IF((ROW()-12)&lt;=$L$5+3+$L$3,"U","")))))</f>
        <v/>
      </c>
      <c r="M367" s="2">
        <f>IF(L367="D",MATCH(LARGE('Zgłoszenia'!$Q$5:$Q$504,(ROW()-12)),'Zgłoszenia'!$Q$5:$Q$504,0),IF(L367="U",MATCH(LARGE('Dane rozpisek'!$I$2:$I$2600,(ROW()-12)-$L$5-3),'Dane rozpisek'!$I$2:$I$2600,0),""))</f>
        <v/>
      </c>
    </row>
    <row r="368">
      <c r="A368" s="47">
        <f>IF($L368="D",INDEX('Zgłoszenia'!$D$5:$D$504,$M368),IF($L368="U",INDEX('Dane rozpisek'!$A$2:$A$2600,$M368),IF($L368="T","KTO JEŹDZIŁ",IF($L368="E1","Brak zgłoszonych usterek w tym okresie.",IF($L368="E2","Brak wpisów z tym wózkiem w rozpiskach dla tego okresu.",IF($L368="H","Data",""))))))</f>
        <v/>
      </c>
      <c r="B368" s="48">
        <f>IF($L368="D",INDEX('Zgłoszenia'!$B$5:$B$504,$M368)&amp;"",IF($L368="U",INDEX('Dane rozpisek'!$F$2:$F$2600,$M368)&amp;"",IF($L368="H","Wózek","")))</f>
        <v/>
      </c>
      <c r="C368" s="48">
        <f>IF($L368="D",INDEX('Zgłoszenia'!$E$5:$E$504,$M368)&amp;"",IF($L368="U",INDEX('Dane rozpisek'!$B$2:$B$2600,$M368)&amp;" · "&amp;INDEX('Dane rozpisek'!$J$2:$J$2600,$M368),IF($L368="H","Zmiana","")))</f>
        <v/>
      </c>
      <c r="D368" s="49">
        <f>IF($L368="D",INDEX('Zgłoszenia'!$H$5:$H$504,$M368)&amp;"",IF($L368="U",INDEX('Dane rozpisek'!$E$2:$E$2600,$M368)&amp;"",IF($L368="H","Operator","")))</f>
        <v/>
      </c>
      <c r="E368" s="49">
        <f>IF($L368="D",INDEX('Zgłoszenia'!$I$5:$I$504,$M368)&amp;"",IF($L368="U",INDEX('Dane rozpisek'!$C$2:$C$2600,$M368)&amp;"",IF($L368="H","Stanowisko","")))</f>
        <v/>
      </c>
      <c r="F368" s="48">
        <f>IF($L368="D",INDEX('Zgłoszenia'!$J$5:$J$504,$M368)&amp;"",IF($L368="U",INDEX('Dane rozpisek'!$G$2:$G$2600,$M368)&amp;"",IF($L368="H","Uwagi","")))</f>
        <v/>
      </c>
      <c r="G368" s="49">
        <f>IF($L368="D",INDEX('Zgłoszenia'!$F$5:$F$504,$M368)&amp;"",IF($L368="U",INDEX('Dane rozpisek'!$L$2:$L$2600,$M368)&amp;"",IF($L368="H","Usterki (dzień / następny)","")))</f>
        <v/>
      </c>
      <c r="H368" s="49">
        <f>IF($L368="D",INDEX('Zgłoszenia'!$P$5:$P$504,$M368)&amp;"",IF($L368="U","",""))</f>
        <v/>
      </c>
      <c r="I368" s="48">
        <f>IF($L368="D",IF(INDEX('Zgłoszenia'!$M$5:$M$504,$M368)="","Zgłoszona",INDEX('Zgłoszenia'!$M$5:$M$504,$M368)),IF($L368="U","",""))</f>
        <v/>
      </c>
      <c r="J368" s="49">
        <f>IF($L368="D",INDEX('Zgłoszenia'!$K$5:$K$504,$M368)&amp;"",IF($L368="U","",""))</f>
        <v/>
      </c>
      <c r="K368" s="2" t="n"/>
      <c r="L368" s="2">
        <f>IF((ROW()-12)&lt;=$L$5,IF($L$2=0,"E1","D"),IF((ROW()-12)=$L$5+1,"",IF((ROW()-12)=$L$5+2,"T",IF((ROW()-12)=$L$5+3,IF($L$3=0,"E2","H"),IF((ROW()-12)&lt;=$L$5+3+$L$3,"U","")))))</f>
        <v/>
      </c>
      <c r="M368" s="2">
        <f>IF(L368="D",MATCH(LARGE('Zgłoszenia'!$Q$5:$Q$504,(ROW()-12)),'Zgłoszenia'!$Q$5:$Q$504,0),IF(L368="U",MATCH(LARGE('Dane rozpisek'!$I$2:$I$2600,(ROW()-12)-$L$5-3),'Dane rozpisek'!$I$2:$I$2600,0),""))</f>
        <v/>
      </c>
    </row>
    <row r="369">
      <c r="A369" s="47">
        <f>IF($L369="D",INDEX('Zgłoszenia'!$D$5:$D$504,$M369),IF($L369="U",INDEX('Dane rozpisek'!$A$2:$A$2600,$M369),IF($L369="T","KTO JEŹDZIŁ",IF($L369="E1","Brak zgłoszonych usterek w tym okresie.",IF($L369="E2","Brak wpisów z tym wózkiem w rozpiskach dla tego okresu.",IF($L369="H","Data",""))))))</f>
        <v/>
      </c>
      <c r="B369" s="48">
        <f>IF($L369="D",INDEX('Zgłoszenia'!$B$5:$B$504,$M369)&amp;"",IF($L369="U",INDEX('Dane rozpisek'!$F$2:$F$2600,$M369)&amp;"",IF($L369="H","Wózek","")))</f>
        <v/>
      </c>
      <c r="C369" s="48">
        <f>IF($L369="D",INDEX('Zgłoszenia'!$E$5:$E$504,$M369)&amp;"",IF($L369="U",INDEX('Dane rozpisek'!$B$2:$B$2600,$M369)&amp;" · "&amp;INDEX('Dane rozpisek'!$J$2:$J$2600,$M369),IF($L369="H","Zmiana","")))</f>
        <v/>
      </c>
      <c r="D369" s="49">
        <f>IF($L369="D",INDEX('Zgłoszenia'!$H$5:$H$504,$M369)&amp;"",IF($L369="U",INDEX('Dane rozpisek'!$E$2:$E$2600,$M369)&amp;"",IF($L369="H","Operator","")))</f>
        <v/>
      </c>
      <c r="E369" s="49">
        <f>IF($L369="D",INDEX('Zgłoszenia'!$I$5:$I$504,$M369)&amp;"",IF($L369="U",INDEX('Dane rozpisek'!$C$2:$C$2600,$M369)&amp;"",IF($L369="H","Stanowisko","")))</f>
        <v/>
      </c>
      <c r="F369" s="48">
        <f>IF($L369="D",INDEX('Zgłoszenia'!$J$5:$J$504,$M369)&amp;"",IF($L369="U",INDEX('Dane rozpisek'!$G$2:$G$2600,$M369)&amp;"",IF($L369="H","Uwagi","")))</f>
        <v/>
      </c>
      <c r="G369" s="49">
        <f>IF($L369="D",INDEX('Zgłoszenia'!$F$5:$F$504,$M369)&amp;"",IF($L369="U",INDEX('Dane rozpisek'!$L$2:$L$2600,$M369)&amp;"",IF($L369="H","Usterki (dzień / następny)","")))</f>
        <v/>
      </c>
      <c r="H369" s="49">
        <f>IF($L369="D",INDEX('Zgłoszenia'!$P$5:$P$504,$M369)&amp;"",IF($L369="U","",""))</f>
        <v/>
      </c>
      <c r="I369" s="48">
        <f>IF($L369="D",IF(INDEX('Zgłoszenia'!$M$5:$M$504,$M369)="","Zgłoszona",INDEX('Zgłoszenia'!$M$5:$M$504,$M369)),IF($L369="U","",""))</f>
        <v/>
      </c>
      <c r="J369" s="49">
        <f>IF($L369="D",INDEX('Zgłoszenia'!$K$5:$K$504,$M369)&amp;"",IF($L369="U","",""))</f>
        <v/>
      </c>
      <c r="K369" s="2" t="n"/>
      <c r="L369" s="2">
        <f>IF((ROW()-12)&lt;=$L$5,IF($L$2=0,"E1","D"),IF((ROW()-12)=$L$5+1,"",IF((ROW()-12)=$L$5+2,"T",IF((ROW()-12)=$L$5+3,IF($L$3=0,"E2","H"),IF((ROW()-12)&lt;=$L$5+3+$L$3,"U","")))))</f>
        <v/>
      </c>
      <c r="M369" s="2">
        <f>IF(L369="D",MATCH(LARGE('Zgłoszenia'!$Q$5:$Q$504,(ROW()-12)),'Zgłoszenia'!$Q$5:$Q$504,0),IF(L369="U",MATCH(LARGE('Dane rozpisek'!$I$2:$I$2600,(ROW()-12)-$L$5-3),'Dane rozpisek'!$I$2:$I$2600,0),""))</f>
        <v/>
      </c>
    </row>
    <row r="370">
      <c r="A370" s="47">
        <f>IF($L370="D",INDEX('Zgłoszenia'!$D$5:$D$504,$M370),IF($L370="U",INDEX('Dane rozpisek'!$A$2:$A$2600,$M370),IF($L370="T","KTO JEŹDZIŁ",IF($L370="E1","Brak zgłoszonych usterek w tym okresie.",IF($L370="E2","Brak wpisów z tym wózkiem w rozpiskach dla tego okresu.",IF($L370="H","Data",""))))))</f>
        <v/>
      </c>
      <c r="B370" s="48">
        <f>IF($L370="D",INDEX('Zgłoszenia'!$B$5:$B$504,$M370)&amp;"",IF($L370="U",INDEX('Dane rozpisek'!$F$2:$F$2600,$M370)&amp;"",IF($L370="H","Wózek","")))</f>
        <v/>
      </c>
      <c r="C370" s="48">
        <f>IF($L370="D",INDEX('Zgłoszenia'!$E$5:$E$504,$M370)&amp;"",IF($L370="U",INDEX('Dane rozpisek'!$B$2:$B$2600,$M370)&amp;" · "&amp;INDEX('Dane rozpisek'!$J$2:$J$2600,$M370),IF($L370="H","Zmiana","")))</f>
        <v/>
      </c>
      <c r="D370" s="49">
        <f>IF($L370="D",INDEX('Zgłoszenia'!$H$5:$H$504,$M370)&amp;"",IF($L370="U",INDEX('Dane rozpisek'!$E$2:$E$2600,$M370)&amp;"",IF($L370="H","Operator","")))</f>
        <v/>
      </c>
      <c r="E370" s="49">
        <f>IF($L370="D",INDEX('Zgłoszenia'!$I$5:$I$504,$M370)&amp;"",IF($L370="U",INDEX('Dane rozpisek'!$C$2:$C$2600,$M370)&amp;"",IF($L370="H","Stanowisko","")))</f>
        <v/>
      </c>
      <c r="F370" s="48">
        <f>IF($L370="D",INDEX('Zgłoszenia'!$J$5:$J$504,$M370)&amp;"",IF($L370="U",INDEX('Dane rozpisek'!$G$2:$G$2600,$M370)&amp;"",IF($L370="H","Uwagi","")))</f>
        <v/>
      </c>
      <c r="G370" s="49">
        <f>IF($L370="D",INDEX('Zgłoszenia'!$F$5:$F$504,$M370)&amp;"",IF($L370="U",INDEX('Dane rozpisek'!$L$2:$L$2600,$M370)&amp;"",IF($L370="H","Usterki (dzień / następny)","")))</f>
        <v/>
      </c>
      <c r="H370" s="49">
        <f>IF($L370="D",INDEX('Zgłoszenia'!$P$5:$P$504,$M370)&amp;"",IF($L370="U","",""))</f>
        <v/>
      </c>
      <c r="I370" s="48">
        <f>IF($L370="D",IF(INDEX('Zgłoszenia'!$M$5:$M$504,$M370)="","Zgłoszona",INDEX('Zgłoszenia'!$M$5:$M$504,$M370)),IF($L370="U","",""))</f>
        <v/>
      </c>
      <c r="J370" s="49">
        <f>IF($L370="D",INDEX('Zgłoszenia'!$K$5:$K$504,$M370)&amp;"",IF($L370="U","",""))</f>
        <v/>
      </c>
      <c r="K370" s="2" t="n"/>
      <c r="L370" s="2">
        <f>IF((ROW()-12)&lt;=$L$5,IF($L$2=0,"E1","D"),IF((ROW()-12)=$L$5+1,"",IF((ROW()-12)=$L$5+2,"T",IF((ROW()-12)=$L$5+3,IF($L$3=0,"E2","H"),IF((ROW()-12)&lt;=$L$5+3+$L$3,"U","")))))</f>
        <v/>
      </c>
      <c r="M370" s="2">
        <f>IF(L370="D",MATCH(LARGE('Zgłoszenia'!$Q$5:$Q$504,(ROW()-12)),'Zgłoszenia'!$Q$5:$Q$504,0),IF(L370="U",MATCH(LARGE('Dane rozpisek'!$I$2:$I$2600,(ROW()-12)-$L$5-3),'Dane rozpisek'!$I$2:$I$2600,0),""))</f>
        <v/>
      </c>
    </row>
    <row r="371">
      <c r="A371" s="47">
        <f>IF($L371="D",INDEX('Zgłoszenia'!$D$5:$D$504,$M371),IF($L371="U",INDEX('Dane rozpisek'!$A$2:$A$2600,$M371),IF($L371="T","KTO JEŹDZIŁ",IF($L371="E1","Brak zgłoszonych usterek w tym okresie.",IF($L371="E2","Brak wpisów z tym wózkiem w rozpiskach dla tego okresu.",IF($L371="H","Data",""))))))</f>
        <v/>
      </c>
      <c r="B371" s="48">
        <f>IF($L371="D",INDEX('Zgłoszenia'!$B$5:$B$504,$M371)&amp;"",IF($L371="U",INDEX('Dane rozpisek'!$F$2:$F$2600,$M371)&amp;"",IF($L371="H","Wózek","")))</f>
        <v/>
      </c>
      <c r="C371" s="48">
        <f>IF($L371="D",INDEX('Zgłoszenia'!$E$5:$E$504,$M371)&amp;"",IF($L371="U",INDEX('Dane rozpisek'!$B$2:$B$2600,$M371)&amp;" · "&amp;INDEX('Dane rozpisek'!$J$2:$J$2600,$M371),IF($L371="H","Zmiana","")))</f>
        <v/>
      </c>
      <c r="D371" s="49">
        <f>IF($L371="D",INDEX('Zgłoszenia'!$H$5:$H$504,$M371)&amp;"",IF($L371="U",INDEX('Dane rozpisek'!$E$2:$E$2600,$M371)&amp;"",IF($L371="H","Operator","")))</f>
        <v/>
      </c>
      <c r="E371" s="49">
        <f>IF($L371="D",INDEX('Zgłoszenia'!$I$5:$I$504,$M371)&amp;"",IF($L371="U",INDEX('Dane rozpisek'!$C$2:$C$2600,$M371)&amp;"",IF($L371="H","Stanowisko","")))</f>
        <v/>
      </c>
      <c r="F371" s="48">
        <f>IF($L371="D",INDEX('Zgłoszenia'!$J$5:$J$504,$M371)&amp;"",IF($L371="U",INDEX('Dane rozpisek'!$G$2:$G$2600,$M371)&amp;"",IF($L371="H","Uwagi","")))</f>
        <v/>
      </c>
      <c r="G371" s="49">
        <f>IF($L371="D",INDEX('Zgłoszenia'!$F$5:$F$504,$M371)&amp;"",IF($L371="U",INDEX('Dane rozpisek'!$L$2:$L$2600,$M371)&amp;"",IF($L371="H","Usterki (dzień / następny)","")))</f>
        <v/>
      </c>
      <c r="H371" s="49">
        <f>IF($L371="D",INDEX('Zgłoszenia'!$P$5:$P$504,$M371)&amp;"",IF($L371="U","",""))</f>
        <v/>
      </c>
      <c r="I371" s="48">
        <f>IF($L371="D",IF(INDEX('Zgłoszenia'!$M$5:$M$504,$M371)="","Zgłoszona",INDEX('Zgłoszenia'!$M$5:$M$504,$M371)),IF($L371="U","",""))</f>
        <v/>
      </c>
      <c r="J371" s="49">
        <f>IF($L371="D",INDEX('Zgłoszenia'!$K$5:$K$504,$M371)&amp;"",IF($L371="U","",""))</f>
        <v/>
      </c>
      <c r="K371" s="2" t="n"/>
      <c r="L371" s="2">
        <f>IF((ROW()-12)&lt;=$L$5,IF($L$2=0,"E1","D"),IF((ROW()-12)=$L$5+1,"",IF((ROW()-12)=$L$5+2,"T",IF((ROW()-12)=$L$5+3,IF($L$3=0,"E2","H"),IF((ROW()-12)&lt;=$L$5+3+$L$3,"U","")))))</f>
        <v/>
      </c>
      <c r="M371" s="2">
        <f>IF(L371="D",MATCH(LARGE('Zgłoszenia'!$Q$5:$Q$504,(ROW()-12)),'Zgłoszenia'!$Q$5:$Q$504,0),IF(L371="U",MATCH(LARGE('Dane rozpisek'!$I$2:$I$2600,(ROW()-12)-$L$5-3),'Dane rozpisek'!$I$2:$I$2600,0),""))</f>
        <v/>
      </c>
    </row>
    <row r="372">
      <c r="A372" s="47">
        <f>IF($L372="D",INDEX('Zgłoszenia'!$D$5:$D$504,$M372),IF($L372="U",INDEX('Dane rozpisek'!$A$2:$A$2600,$M372),IF($L372="T","KTO JEŹDZIŁ",IF($L372="E1","Brak zgłoszonych usterek w tym okresie.",IF($L372="E2","Brak wpisów z tym wózkiem w rozpiskach dla tego okresu.",IF($L372="H","Data",""))))))</f>
        <v/>
      </c>
      <c r="B372" s="48">
        <f>IF($L372="D",INDEX('Zgłoszenia'!$B$5:$B$504,$M372)&amp;"",IF($L372="U",INDEX('Dane rozpisek'!$F$2:$F$2600,$M372)&amp;"",IF($L372="H","Wózek","")))</f>
        <v/>
      </c>
      <c r="C372" s="48">
        <f>IF($L372="D",INDEX('Zgłoszenia'!$E$5:$E$504,$M372)&amp;"",IF($L372="U",INDEX('Dane rozpisek'!$B$2:$B$2600,$M372)&amp;" · "&amp;INDEX('Dane rozpisek'!$J$2:$J$2600,$M372),IF($L372="H","Zmiana","")))</f>
        <v/>
      </c>
      <c r="D372" s="49">
        <f>IF($L372="D",INDEX('Zgłoszenia'!$H$5:$H$504,$M372)&amp;"",IF($L372="U",INDEX('Dane rozpisek'!$E$2:$E$2600,$M372)&amp;"",IF($L372="H","Operator","")))</f>
        <v/>
      </c>
      <c r="E372" s="49">
        <f>IF($L372="D",INDEX('Zgłoszenia'!$I$5:$I$504,$M372)&amp;"",IF($L372="U",INDEX('Dane rozpisek'!$C$2:$C$2600,$M372)&amp;"",IF($L372="H","Stanowisko","")))</f>
        <v/>
      </c>
      <c r="F372" s="48">
        <f>IF($L372="D",INDEX('Zgłoszenia'!$J$5:$J$504,$M372)&amp;"",IF($L372="U",INDEX('Dane rozpisek'!$G$2:$G$2600,$M372)&amp;"",IF($L372="H","Uwagi","")))</f>
        <v/>
      </c>
      <c r="G372" s="49">
        <f>IF($L372="D",INDEX('Zgłoszenia'!$F$5:$F$504,$M372)&amp;"",IF($L372="U",INDEX('Dane rozpisek'!$L$2:$L$2600,$M372)&amp;"",IF($L372="H","Usterki (dzień / następny)","")))</f>
        <v/>
      </c>
      <c r="H372" s="49">
        <f>IF($L372="D",INDEX('Zgłoszenia'!$P$5:$P$504,$M372)&amp;"",IF($L372="U","",""))</f>
        <v/>
      </c>
      <c r="I372" s="48">
        <f>IF($L372="D",IF(INDEX('Zgłoszenia'!$M$5:$M$504,$M372)="","Zgłoszona",INDEX('Zgłoszenia'!$M$5:$M$504,$M372)),IF($L372="U","",""))</f>
        <v/>
      </c>
      <c r="J372" s="49">
        <f>IF($L372="D",INDEX('Zgłoszenia'!$K$5:$K$504,$M372)&amp;"",IF($L372="U","",""))</f>
        <v/>
      </c>
      <c r="K372" s="2" t="n"/>
      <c r="L372" s="2">
        <f>IF((ROW()-12)&lt;=$L$5,IF($L$2=0,"E1","D"),IF((ROW()-12)=$L$5+1,"",IF((ROW()-12)=$L$5+2,"T",IF((ROW()-12)=$L$5+3,IF($L$3=0,"E2","H"),IF((ROW()-12)&lt;=$L$5+3+$L$3,"U","")))))</f>
        <v/>
      </c>
      <c r="M372" s="2">
        <f>IF(L372="D",MATCH(LARGE('Zgłoszenia'!$Q$5:$Q$504,(ROW()-12)),'Zgłoszenia'!$Q$5:$Q$504,0),IF(L372="U",MATCH(LARGE('Dane rozpisek'!$I$2:$I$2600,(ROW()-12)-$L$5-3),'Dane rozpisek'!$I$2:$I$2600,0),""))</f>
        <v/>
      </c>
    </row>
    <row r="373">
      <c r="A373" s="47">
        <f>IF($L373="D",INDEX('Zgłoszenia'!$D$5:$D$504,$M373),IF($L373="U",INDEX('Dane rozpisek'!$A$2:$A$2600,$M373),IF($L373="T","KTO JEŹDZIŁ",IF($L373="E1","Brak zgłoszonych usterek w tym okresie.",IF($L373="E2","Brak wpisów z tym wózkiem w rozpiskach dla tego okresu.",IF($L373="H","Data",""))))))</f>
        <v/>
      </c>
      <c r="B373" s="48">
        <f>IF($L373="D",INDEX('Zgłoszenia'!$B$5:$B$504,$M373)&amp;"",IF($L373="U",INDEX('Dane rozpisek'!$F$2:$F$2600,$M373)&amp;"",IF($L373="H","Wózek","")))</f>
        <v/>
      </c>
      <c r="C373" s="48">
        <f>IF($L373="D",INDEX('Zgłoszenia'!$E$5:$E$504,$M373)&amp;"",IF($L373="U",INDEX('Dane rozpisek'!$B$2:$B$2600,$M373)&amp;" · "&amp;INDEX('Dane rozpisek'!$J$2:$J$2600,$M373),IF($L373="H","Zmiana","")))</f>
        <v/>
      </c>
      <c r="D373" s="49">
        <f>IF($L373="D",INDEX('Zgłoszenia'!$H$5:$H$504,$M373)&amp;"",IF($L373="U",INDEX('Dane rozpisek'!$E$2:$E$2600,$M373)&amp;"",IF($L373="H","Operator","")))</f>
        <v/>
      </c>
      <c r="E373" s="49">
        <f>IF($L373="D",INDEX('Zgłoszenia'!$I$5:$I$504,$M373)&amp;"",IF($L373="U",INDEX('Dane rozpisek'!$C$2:$C$2600,$M373)&amp;"",IF($L373="H","Stanowisko","")))</f>
        <v/>
      </c>
      <c r="F373" s="48">
        <f>IF($L373="D",INDEX('Zgłoszenia'!$J$5:$J$504,$M373)&amp;"",IF($L373="U",INDEX('Dane rozpisek'!$G$2:$G$2600,$M373)&amp;"",IF($L373="H","Uwagi","")))</f>
        <v/>
      </c>
      <c r="G373" s="49">
        <f>IF($L373="D",INDEX('Zgłoszenia'!$F$5:$F$504,$M373)&amp;"",IF($L373="U",INDEX('Dane rozpisek'!$L$2:$L$2600,$M373)&amp;"",IF($L373="H","Usterki (dzień / następny)","")))</f>
        <v/>
      </c>
      <c r="H373" s="49">
        <f>IF($L373="D",INDEX('Zgłoszenia'!$P$5:$P$504,$M373)&amp;"",IF($L373="U","",""))</f>
        <v/>
      </c>
      <c r="I373" s="48">
        <f>IF($L373="D",IF(INDEX('Zgłoszenia'!$M$5:$M$504,$M373)="","Zgłoszona",INDEX('Zgłoszenia'!$M$5:$M$504,$M373)),IF($L373="U","",""))</f>
        <v/>
      </c>
      <c r="J373" s="49">
        <f>IF($L373="D",INDEX('Zgłoszenia'!$K$5:$K$504,$M373)&amp;"",IF($L373="U","",""))</f>
        <v/>
      </c>
      <c r="K373" s="2" t="n"/>
      <c r="L373" s="2">
        <f>IF((ROW()-12)&lt;=$L$5,IF($L$2=0,"E1","D"),IF((ROW()-12)=$L$5+1,"",IF((ROW()-12)=$L$5+2,"T",IF((ROW()-12)=$L$5+3,IF($L$3=0,"E2","H"),IF((ROW()-12)&lt;=$L$5+3+$L$3,"U","")))))</f>
        <v/>
      </c>
      <c r="M373" s="2">
        <f>IF(L373="D",MATCH(LARGE('Zgłoszenia'!$Q$5:$Q$504,(ROW()-12)),'Zgłoszenia'!$Q$5:$Q$504,0),IF(L373="U",MATCH(LARGE('Dane rozpisek'!$I$2:$I$2600,(ROW()-12)-$L$5-3),'Dane rozpisek'!$I$2:$I$2600,0),""))</f>
        <v/>
      </c>
    </row>
    <row r="374">
      <c r="A374" s="47">
        <f>IF($L374="D",INDEX('Zgłoszenia'!$D$5:$D$504,$M374),IF($L374="U",INDEX('Dane rozpisek'!$A$2:$A$2600,$M374),IF($L374="T","KTO JEŹDZIŁ",IF($L374="E1","Brak zgłoszonych usterek w tym okresie.",IF($L374="E2","Brak wpisów z tym wózkiem w rozpiskach dla tego okresu.",IF($L374="H","Data",""))))))</f>
        <v/>
      </c>
      <c r="B374" s="48">
        <f>IF($L374="D",INDEX('Zgłoszenia'!$B$5:$B$504,$M374)&amp;"",IF($L374="U",INDEX('Dane rozpisek'!$F$2:$F$2600,$M374)&amp;"",IF($L374="H","Wózek","")))</f>
        <v/>
      </c>
      <c r="C374" s="48">
        <f>IF($L374="D",INDEX('Zgłoszenia'!$E$5:$E$504,$M374)&amp;"",IF($L374="U",INDEX('Dane rozpisek'!$B$2:$B$2600,$M374)&amp;" · "&amp;INDEX('Dane rozpisek'!$J$2:$J$2600,$M374),IF($L374="H","Zmiana","")))</f>
        <v/>
      </c>
      <c r="D374" s="49">
        <f>IF($L374="D",INDEX('Zgłoszenia'!$H$5:$H$504,$M374)&amp;"",IF($L374="U",INDEX('Dane rozpisek'!$E$2:$E$2600,$M374)&amp;"",IF($L374="H","Operator","")))</f>
        <v/>
      </c>
      <c r="E374" s="49">
        <f>IF($L374="D",INDEX('Zgłoszenia'!$I$5:$I$504,$M374)&amp;"",IF($L374="U",INDEX('Dane rozpisek'!$C$2:$C$2600,$M374)&amp;"",IF($L374="H","Stanowisko","")))</f>
        <v/>
      </c>
      <c r="F374" s="48">
        <f>IF($L374="D",INDEX('Zgłoszenia'!$J$5:$J$504,$M374)&amp;"",IF($L374="U",INDEX('Dane rozpisek'!$G$2:$G$2600,$M374)&amp;"",IF($L374="H","Uwagi","")))</f>
        <v/>
      </c>
      <c r="G374" s="49">
        <f>IF($L374="D",INDEX('Zgłoszenia'!$F$5:$F$504,$M374)&amp;"",IF($L374="U",INDEX('Dane rozpisek'!$L$2:$L$2600,$M374)&amp;"",IF($L374="H","Usterki (dzień / następny)","")))</f>
        <v/>
      </c>
      <c r="H374" s="49">
        <f>IF($L374="D",INDEX('Zgłoszenia'!$P$5:$P$504,$M374)&amp;"",IF($L374="U","",""))</f>
        <v/>
      </c>
      <c r="I374" s="48">
        <f>IF($L374="D",IF(INDEX('Zgłoszenia'!$M$5:$M$504,$M374)="","Zgłoszona",INDEX('Zgłoszenia'!$M$5:$M$504,$M374)),IF($L374="U","",""))</f>
        <v/>
      </c>
      <c r="J374" s="49">
        <f>IF($L374="D",INDEX('Zgłoszenia'!$K$5:$K$504,$M374)&amp;"",IF($L374="U","",""))</f>
        <v/>
      </c>
      <c r="K374" s="2" t="n"/>
      <c r="L374" s="2">
        <f>IF((ROW()-12)&lt;=$L$5,IF($L$2=0,"E1","D"),IF((ROW()-12)=$L$5+1,"",IF((ROW()-12)=$L$5+2,"T",IF((ROW()-12)=$L$5+3,IF($L$3=0,"E2","H"),IF((ROW()-12)&lt;=$L$5+3+$L$3,"U","")))))</f>
        <v/>
      </c>
      <c r="M374" s="2">
        <f>IF(L374="D",MATCH(LARGE('Zgłoszenia'!$Q$5:$Q$504,(ROW()-12)),'Zgłoszenia'!$Q$5:$Q$504,0),IF(L374="U",MATCH(LARGE('Dane rozpisek'!$I$2:$I$2600,(ROW()-12)-$L$5-3),'Dane rozpisek'!$I$2:$I$2600,0),""))</f>
        <v/>
      </c>
    </row>
    <row r="375">
      <c r="A375" s="47">
        <f>IF($L375="D",INDEX('Zgłoszenia'!$D$5:$D$504,$M375),IF($L375="U",INDEX('Dane rozpisek'!$A$2:$A$2600,$M375),IF($L375="T","KTO JEŹDZIŁ",IF($L375="E1","Brak zgłoszonych usterek w tym okresie.",IF($L375="E2","Brak wpisów z tym wózkiem w rozpiskach dla tego okresu.",IF($L375="H","Data",""))))))</f>
        <v/>
      </c>
      <c r="B375" s="48">
        <f>IF($L375="D",INDEX('Zgłoszenia'!$B$5:$B$504,$M375)&amp;"",IF($L375="U",INDEX('Dane rozpisek'!$F$2:$F$2600,$M375)&amp;"",IF($L375="H","Wózek","")))</f>
        <v/>
      </c>
      <c r="C375" s="48">
        <f>IF($L375="D",INDEX('Zgłoszenia'!$E$5:$E$504,$M375)&amp;"",IF($L375="U",INDEX('Dane rozpisek'!$B$2:$B$2600,$M375)&amp;" · "&amp;INDEX('Dane rozpisek'!$J$2:$J$2600,$M375),IF($L375="H","Zmiana","")))</f>
        <v/>
      </c>
      <c r="D375" s="49">
        <f>IF($L375="D",INDEX('Zgłoszenia'!$H$5:$H$504,$M375)&amp;"",IF($L375="U",INDEX('Dane rozpisek'!$E$2:$E$2600,$M375)&amp;"",IF($L375="H","Operator","")))</f>
        <v/>
      </c>
      <c r="E375" s="49">
        <f>IF($L375="D",INDEX('Zgłoszenia'!$I$5:$I$504,$M375)&amp;"",IF($L375="U",INDEX('Dane rozpisek'!$C$2:$C$2600,$M375)&amp;"",IF($L375="H","Stanowisko","")))</f>
        <v/>
      </c>
      <c r="F375" s="48">
        <f>IF($L375="D",INDEX('Zgłoszenia'!$J$5:$J$504,$M375)&amp;"",IF($L375="U",INDEX('Dane rozpisek'!$G$2:$G$2600,$M375)&amp;"",IF($L375="H","Uwagi","")))</f>
        <v/>
      </c>
      <c r="G375" s="49">
        <f>IF($L375="D",INDEX('Zgłoszenia'!$F$5:$F$504,$M375)&amp;"",IF($L375="U",INDEX('Dane rozpisek'!$L$2:$L$2600,$M375)&amp;"",IF($L375="H","Usterki (dzień / następny)","")))</f>
        <v/>
      </c>
      <c r="H375" s="49">
        <f>IF($L375="D",INDEX('Zgłoszenia'!$P$5:$P$504,$M375)&amp;"",IF($L375="U","",""))</f>
        <v/>
      </c>
      <c r="I375" s="48">
        <f>IF($L375="D",IF(INDEX('Zgłoszenia'!$M$5:$M$504,$M375)="","Zgłoszona",INDEX('Zgłoszenia'!$M$5:$M$504,$M375)),IF($L375="U","",""))</f>
        <v/>
      </c>
      <c r="J375" s="49">
        <f>IF($L375="D",INDEX('Zgłoszenia'!$K$5:$K$504,$M375)&amp;"",IF($L375="U","",""))</f>
        <v/>
      </c>
      <c r="K375" s="2" t="n"/>
      <c r="L375" s="2">
        <f>IF((ROW()-12)&lt;=$L$5,IF($L$2=0,"E1","D"),IF((ROW()-12)=$L$5+1,"",IF((ROW()-12)=$L$5+2,"T",IF((ROW()-12)=$L$5+3,IF($L$3=0,"E2","H"),IF((ROW()-12)&lt;=$L$5+3+$L$3,"U","")))))</f>
        <v/>
      </c>
      <c r="M375" s="2">
        <f>IF(L375="D",MATCH(LARGE('Zgłoszenia'!$Q$5:$Q$504,(ROW()-12)),'Zgłoszenia'!$Q$5:$Q$504,0),IF(L375="U",MATCH(LARGE('Dane rozpisek'!$I$2:$I$2600,(ROW()-12)-$L$5-3),'Dane rozpisek'!$I$2:$I$2600,0),""))</f>
        <v/>
      </c>
    </row>
    <row r="376">
      <c r="A376" s="47">
        <f>IF($L376="D",INDEX('Zgłoszenia'!$D$5:$D$504,$M376),IF($L376="U",INDEX('Dane rozpisek'!$A$2:$A$2600,$M376),IF($L376="T","KTO JEŹDZIŁ",IF($L376="E1","Brak zgłoszonych usterek w tym okresie.",IF($L376="E2","Brak wpisów z tym wózkiem w rozpiskach dla tego okresu.",IF($L376="H","Data",""))))))</f>
        <v/>
      </c>
      <c r="B376" s="48">
        <f>IF($L376="D",INDEX('Zgłoszenia'!$B$5:$B$504,$M376)&amp;"",IF($L376="U",INDEX('Dane rozpisek'!$F$2:$F$2600,$M376)&amp;"",IF($L376="H","Wózek","")))</f>
        <v/>
      </c>
      <c r="C376" s="48">
        <f>IF($L376="D",INDEX('Zgłoszenia'!$E$5:$E$504,$M376)&amp;"",IF($L376="U",INDEX('Dane rozpisek'!$B$2:$B$2600,$M376)&amp;" · "&amp;INDEX('Dane rozpisek'!$J$2:$J$2600,$M376),IF($L376="H","Zmiana","")))</f>
        <v/>
      </c>
      <c r="D376" s="49">
        <f>IF($L376="D",INDEX('Zgłoszenia'!$H$5:$H$504,$M376)&amp;"",IF($L376="U",INDEX('Dane rozpisek'!$E$2:$E$2600,$M376)&amp;"",IF($L376="H","Operator","")))</f>
        <v/>
      </c>
      <c r="E376" s="49">
        <f>IF($L376="D",INDEX('Zgłoszenia'!$I$5:$I$504,$M376)&amp;"",IF($L376="U",INDEX('Dane rozpisek'!$C$2:$C$2600,$M376)&amp;"",IF($L376="H","Stanowisko","")))</f>
        <v/>
      </c>
      <c r="F376" s="48">
        <f>IF($L376="D",INDEX('Zgłoszenia'!$J$5:$J$504,$M376)&amp;"",IF($L376="U",INDEX('Dane rozpisek'!$G$2:$G$2600,$M376)&amp;"",IF($L376="H","Uwagi","")))</f>
        <v/>
      </c>
      <c r="G376" s="49">
        <f>IF($L376="D",INDEX('Zgłoszenia'!$F$5:$F$504,$M376)&amp;"",IF($L376="U",INDEX('Dane rozpisek'!$L$2:$L$2600,$M376)&amp;"",IF($L376="H","Usterki (dzień / następny)","")))</f>
        <v/>
      </c>
      <c r="H376" s="49">
        <f>IF($L376="D",INDEX('Zgłoszenia'!$P$5:$P$504,$M376)&amp;"",IF($L376="U","",""))</f>
        <v/>
      </c>
      <c r="I376" s="48">
        <f>IF($L376="D",IF(INDEX('Zgłoszenia'!$M$5:$M$504,$M376)="","Zgłoszona",INDEX('Zgłoszenia'!$M$5:$M$504,$M376)),IF($L376="U","",""))</f>
        <v/>
      </c>
      <c r="J376" s="49">
        <f>IF($L376="D",INDEX('Zgłoszenia'!$K$5:$K$504,$M376)&amp;"",IF($L376="U","",""))</f>
        <v/>
      </c>
      <c r="K376" s="2" t="n"/>
      <c r="L376" s="2">
        <f>IF((ROW()-12)&lt;=$L$5,IF($L$2=0,"E1","D"),IF((ROW()-12)=$L$5+1,"",IF((ROW()-12)=$L$5+2,"T",IF((ROW()-12)=$L$5+3,IF($L$3=0,"E2","H"),IF((ROW()-12)&lt;=$L$5+3+$L$3,"U","")))))</f>
        <v/>
      </c>
      <c r="M376" s="2">
        <f>IF(L376="D",MATCH(LARGE('Zgłoszenia'!$Q$5:$Q$504,(ROW()-12)),'Zgłoszenia'!$Q$5:$Q$504,0),IF(L376="U",MATCH(LARGE('Dane rozpisek'!$I$2:$I$2600,(ROW()-12)-$L$5-3),'Dane rozpisek'!$I$2:$I$2600,0),""))</f>
        <v/>
      </c>
    </row>
    <row r="377">
      <c r="A377" s="47">
        <f>IF($L377="D",INDEX('Zgłoszenia'!$D$5:$D$504,$M377),IF($L377="U",INDEX('Dane rozpisek'!$A$2:$A$2600,$M377),IF($L377="T","KTO JEŹDZIŁ",IF($L377="E1","Brak zgłoszonych usterek w tym okresie.",IF($L377="E2","Brak wpisów z tym wózkiem w rozpiskach dla tego okresu.",IF($L377="H","Data",""))))))</f>
        <v/>
      </c>
      <c r="B377" s="48">
        <f>IF($L377="D",INDEX('Zgłoszenia'!$B$5:$B$504,$M377)&amp;"",IF($L377="U",INDEX('Dane rozpisek'!$F$2:$F$2600,$M377)&amp;"",IF($L377="H","Wózek","")))</f>
        <v/>
      </c>
      <c r="C377" s="48">
        <f>IF($L377="D",INDEX('Zgłoszenia'!$E$5:$E$504,$M377)&amp;"",IF($L377="U",INDEX('Dane rozpisek'!$B$2:$B$2600,$M377)&amp;" · "&amp;INDEX('Dane rozpisek'!$J$2:$J$2600,$M377),IF($L377="H","Zmiana","")))</f>
        <v/>
      </c>
      <c r="D377" s="49">
        <f>IF($L377="D",INDEX('Zgłoszenia'!$H$5:$H$504,$M377)&amp;"",IF($L377="U",INDEX('Dane rozpisek'!$E$2:$E$2600,$M377)&amp;"",IF($L377="H","Operator","")))</f>
        <v/>
      </c>
      <c r="E377" s="49">
        <f>IF($L377="D",INDEX('Zgłoszenia'!$I$5:$I$504,$M377)&amp;"",IF($L377="U",INDEX('Dane rozpisek'!$C$2:$C$2600,$M377)&amp;"",IF($L377="H","Stanowisko","")))</f>
        <v/>
      </c>
      <c r="F377" s="48">
        <f>IF($L377="D",INDEX('Zgłoszenia'!$J$5:$J$504,$M377)&amp;"",IF($L377="U",INDEX('Dane rozpisek'!$G$2:$G$2600,$M377)&amp;"",IF($L377="H","Uwagi","")))</f>
        <v/>
      </c>
      <c r="G377" s="49">
        <f>IF($L377="D",INDEX('Zgłoszenia'!$F$5:$F$504,$M377)&amp;"",IF($L377="U",INDEX('Dane rozpisek'!$L$2:$L$2600,$M377)&amp;"",IF($L377="H","Usterki (dzień / następny)","")))</f>
        <v/>
      </c>
      <c r="H377" s="49">
        <f>IF($L377="D",INDEX('Zgłoszenia'!$P$5:$P$504,$M377)&amp;"",IF($L377="U","",""))</f>
        <v/>
      </c>
      <c r="I377" s="48">
        <f>IF($L377="D",IF(INDEX('Zgłoszenia'!$M$5:$M$504,$M377)="","Zgłoszona",INDEX('Zgłoszenia'!$M$5:$M$504,$M377)),IF($L377="U","",""))</f>
        <v/>
      </c>
      <c r="J377" s="49">
        <f>IF($L377="D",INDEX('Zgłoszenia'!$K$5:$K$504,$M377)&amp;"",IF($L377="U","",""))</f>
        <v/>
      </c>
      <c r="K377" s="2" t="n"/>
      <c r="L377" s="2">
        <f>IF((ROW()-12)&lt;=$L$5,IF($L$2=0,"E1","D"),IF((ROW()-12)=$L$5+1,"",IF((ROW()-12)=$L$5+2,"T",IF((ROW()-12)=$L$5+3,IF($L$3=0,"E2","H"),IF((ROW()-12)&lt;=$L$5+3+$L$3,"U","")))))</f>
        <v/>
      </c>
      <c r="M377" s="2">
        <f>IF(L377="D",MATCH(LARGE('Zgłoszenia'!$Q$5:$Q$504,(ROW()-12)),'Zgłoszenia'!$Q$5:$Q$504,0),IF(L377="U",MATCH(LARGE('Dane rozpisek'!$I$2:$I$2600,(ROW()-12)-$L$5-3),'Dane rozpisek'!$I$2:$I$2600,0),""))</f>
        <v/>
      </c>
    </row>
    <row r="378">
      <c r="A378" s="47">
        <f>IF($L378="D",INDEX('Zgłoszenia'!$D$5:$D$504,$M378),IF($L378="U",INDEX('Dane rozpisek'!$A$2:$A$2600,$M378),IF($L378="T","KTO JEŹDZIŁ",IF($L378="E1","Brak zgłoszonych usterek w tym okresie.",IF($L378="E2","Brak wpisów z tym wózkiem w rozpiskach dla tego okresu.",IF($L378="H","Data",""))))))</f>
        <v/>
      </c>
      <c r="B378" s="48">
        <f>IF($L378="D",INDEX('Zgłoszenia'!$B$5:$B$504,$M378)&amp;"",IF($L378="U",INDEX('Dane rozpisek'!$F$2:$F$2600,$M378)&amp;"",IF($L378="H","Wózek","")))</f>
        <v/>
      </c>
      <c r="C378" s="48">
        <f>IF($L378="D",INDEX('Zgłoszenia'!$E$5:$E$504,$M378)&amp;"",IF($L378="U",INDEX('Dane rozpisek'!$B$2:$B$2600,$M378)&amp;" · "&amp;INDEX('Dane rozpisek'!$J$2:$J$2600,$M378),IF($L378="H","Zmiana","")))</f>
        <v/>
      </c>
      <c r="D378" s="49">
        <f>IF($L378="D",INDEX('Zgłoszenia'!$H$5:$H$504,$M378)&amp;"",IF($L378="U",INDEX('Dane rozpisek'!$E$2:$E$2600,$M378)&amp;"",IF($L378="H","Operator","")))</f>
        <v/>
      </c>
      <c r="E378" s="49">
        <f>IF($L378="D",INDEX('Zgłoszenia'!$I$5:$I$504,$M378)&amp;"",IF($L378="U",INDEX('Dane rozpisek'!$C$2:$C$2600,$M378)&amp;"",IF($L378="H","Stanowisko","")))</f>
        <v/>
      </c>
      <c r="F378" s="48">
        <f>IF($L378="D",INDEX('Zgłoszenia'!$J$5:$J$504,$M378)&amp;"",IF($L378="U",INDEX('Dane rozpisek'!$G$2:$G$2600,$M378)&amp;"",IF($L378="H","Uwagi","")))</f>
        <v/>
      </c>
      <c r="G378" s="49">
        <f>IF($L378="D",INDEX('Zgłoszenia'!$F$5:$F$504,$M378)&amp;"",IF($L378="U",INDEX('Dane rozpisek'!$L$2:$L$2600,$M378)&amp;"",IF($L378="H","Usterki (dzień / następny)","")))</f>
        <v/>
      </c>
      <c r="H378" s="49">
        <f>IF($L378="D",INDEX('Zgłoszenia'!$P$5:$P$504,$M378)&amp;"",IF($L378="U","",""))</f>
        <v/>
      </c>
      <c r="I378" s="48">
        <f>IF($L378="D",IF(INDEX('Zgłoszenia'!$M$5:$M$504,$M378)="","Zgłoszona",INDEX('Zgłoszenia'!$M$5:$M$504,$M378)),IF($L378="U","",""))</f>
        <v/>
      </c>
      <c r="J378" s="49">
        <f>IF($L378="D",INDEX('Zgłoszenia'!$K$5:$K$504,$M378)&amp;"",IF($L378="U","",""))</f>
        <v/>
      </c>
      <c r="K378" s="2" t="n"/>
      <c r="L378" s="2">
        <f>IF((ROW()-12)&lt;=$L$5,IF($L$2=0,"E1","D"),IF((ROW()-12)=$L$5+1,"",IF((ROW()-12)=$L$5+2,"T",IF((ROW()-12)=$L$5+3,IF($L$3=0,"E2","H"),IF((ROW()-12)&lt;=$L$5+3+$L$3,"U","")))))</f>
        <v/>
      </c>
      <c r="M378" s="2">
        <f>IF(L378="D",MATCH(LARGE('Zgłoszenia'!$Q$5:$Q$504,(ROW()-12)),'Zgłoszenia'!$Q$5:$Q$504,0),IF(L378="U",MATCH(LARGE('Dane rozpisek'!$I$2:$I$2600,(ROW()-12)-$L$5-3),'Dane rozpisek'!$I$2:$I$2600,0),""))</f>
        <v/>
      </c>
    </row>
    <row r="379">
      <c r="A379" s="47">
        <f>IF($L379="D",INDEX('Zgłoszenia'!$D$5:$D$504,$M379),IF($L379="U",INDEX('Dane rozpisek'!$A$2:$A$2600,$M379),IF($L379="T","KTO JEŹDZIŁ",IF($L379="E1","Brak zgłoszonych usterek w tym okresie.",IF($L379="E2","Brak wpisów z tym wózkiem w rozpiskach dla tego okresu.",IF($L379="H","Data",""))))))</f>
        <v/>
      </c>
      <c r="B379" s="48">
        <f>IF($L379="D",INDEX('Zgłoszenia'!$B$5:$B$504,$M379)&amp;"",IF($L379="U",INDEX('Dane rozpisek'!$F$2:$F$2600,$M379)&amp;"",IF($L379="H","Wózek","")))</f>
        <v/>
      </c>
      <c r="C379" s="48">
        <f>IF($L379="D",INDEX('Zgłoszenia'!$E$5:$E$504,$M379)&amp;"",IF($L379="U",INDEX('Dane rozpisek'!$B$2:$B$2600,$M379)&amp;" · "&amp;INDEX('Dane rozpisek'!$J$2:$J$2600,$M379),IF($L379="H","Zmiana","")))</f>
        <v/>
      </c>
      <c r="D379" s="49">
        <f>IF($L379="D",INDEX('Zgłoszenia'!$H$5:$H$504,$M379)&amp;"",IF($L379="U",INDEX('Dane rozpisek'!$E$2:$E$2600,$M379)&amp;"",IF($L379="H","Operator","")))</f>
        <v/>
      </c>
      <c r="E379" s="49">
        <f>IF($L379="D",INDEX('Zgłoszenia'!$I$5:$I$504,$M379)&amp;"",IF($L379="U",INDEX('Dane rozpisek'!$C$2:$C$2600,$M379)&amp;"",IF($L379="H","Stanowisko","")))</f>
        <v/>
      </c>
      <c r="F379" s="48">
        <f>IF($L379="D",INDEX('Zgłoszenia'!$J$5:$J$504,$M379)&amp;"",IF($L379="U",INDEX('Dane rozpisek'!$G$2:$G$2600,$M379)&amp;"",IF($L379="H","Uwagi","")))</f>
        <v/>
      </c>
      <c r="G379" s="49">
        <f>IF($L379="D",INDEX('Zgłoszenia'!$F$5:$F$504,$M379)&amp;"",IF($L379="U",INDEX('Dane rozpisek'!$L$2:$L$2600,$M379)&amp;"",IF($L379="H","Usterki (dzień / następny)","")))</f>
        <v/>
      </c>
      <c r="H379" s="49">
        <f>IF($L379="D",INDEX('Zgłoszenia'!$P$5:$P$504,$M379)&amp;"",IF($L379="U","",""))</f>
        <v/>
      </c>
      <c r="I379" s="48">
        <f>IF($L379="D",IF(INDEX('Zgłoszenia'!$M$5:$M$504,$M379)="","Zgłoszona",INDEX('Zgłoszenia'!$M$5:$M$504,$M379)),IF($L379="U","",""))</f>
        <v/>
      </c>
      <c r="J379" s="49">
        <f>IF($L379="D",INDEX('Zgłoszenia'!$K$5:$K$504,$M379)&amp;"",IF($L379="U","",""))</f>
        <v/>
      </c>
      <c r="K379" s="2" t="n"/>
      <c r="L379" s="2">
        <f>IF((ROW()-12)&lt;=$L$5,IF($L$2=0,"E1","D"),IF((ROW()-12)=$L$5+1,"",IF((ROW()-12)=$L$5+2,"T",IF((ROW()-12)=$L$5+3,IF($L$3=0,"E2","H"),IF((ROW()-12)&lt;=$L$5+3+$L$3,"U","")))))</f>
        <v/>
      </c>
      <c r="M379" s="2">
        <f>IF(L379="D",MATCH(LARGE('Zgłoszenia'!$Q$5:$Q$504,(ROW()-12)),'Zgłoszenia'!$Q$5:$Q$504,0),IF(L379="U",MATCH(LARGE('Dane rozpisek'!$I$2:$I$2600,(ROW()-12)-$L$5-3),'Dane rozpisek'!$I$2:$I$2600,0),""))</f>
        <v/>
      </c>
    </row>
    <row r="380">
      <c r="A380" s="47">
        <f>IF($L380="D",INDEX('Zgłoszenia'!$D$5:$D$504,$M380),IF($L380="U",INDEX('Dane rozpisek'!$A$2:$A$2600,$M380),IF($L380="T","KTO JEŹDZIŁ",IF($L380="E1","Brak zgłoszonych usterek w tym okresie.",IF($L380="E2","Brak wpisów z tym wózkiem w rozpiskach dla tego okresu.",IF($L380="H","Data",""))))))</f>
        <v/>
      </c>
      <c r="B380" s="48">
        <f>IF($L380="D",INDEX('Zgłoszenia'!$B$5:$B$504,$M380)&amp;"",IF($L380="U",INDEX('Dane rozpisek'!$F$2:$F$2600,$M380)&amp;"",IF($L380="H","Wózek","")))</f>
        <v/>
      </c>
      <c r="C380" s="48">
        <f>IF($L380="D",INDEX('Zgłoszenia'!$E$5:$E$504,$M380)&amp;"",IF($L380="U",INDEX('Dane rozpisek'!$B$2:$B$2600,$M380)&amp;" · "&amp;INDEX('Dane rozpisek'!$J$2:$J$2600,$M380),IF($L380="H","Zmiana","")))</f>
        <v/>
      </c>
      <c r="D380" s="49">
        <f>IF($L380="D",INDEX('Zgłoszenia'!$H$5:$H$504,$M380)&amp;"",IF($L380="U",INDEX('Dane rozpisek'!$E$2:$E$2600,$M380)&amp;"",IF($L380="H","Operator","")))</f>
        <v/>
      </c>
      <c r="E380" s="49">
        <f>IF($L380="D",INDEX('Zgłoszenia'!$I$5:$I$504,$M380)&amp;"",IF($L380="U",INDEX('Dane rozpisek'!$C$2:$C$2600,$M380)&amp;"",IF($L380="H","Stanowisko","")))</f>
        <v/>
      </c>
      <c r="F380" s="48">
        <f>IF($L380="D",INDEX('Zgłoszenia'!$J$5:$J$504,$M380)&amp;"",IF($L380="U",INDEX('Dane rozpisek'!$G$2:$G$2600,$M380)&amp;"",IF($L380="H","Uwagi","")))</f>
        <v/>
      </c>
      <c r="G380" s="49">
        <f>IF($L380="D",INDEX('Zgłoszenia'!$F$5:$F$504,$M380)&amp;"",IF($L380="U",INDEX('Dane rozpisek'!$L$2:$L$2600,$M380)&amp;"",IF($L380="H","Usterki (dzień / następny)","")))</f>
        <v/>
      </c>
      <c r="H380" s="49">
        <f>IF($L380="D",INDEX('Zgłoszenia'!$P$5:$P$504,$M380)&amp;"",IF($L380="U","",""))</f>
        <v/>
      </c>
      <c r="I380" s="48">
        <f>IF($L380="D",IF(INDEX('Zgłoszenia'!$M$5:$M$504,$M380)="","Zgłoszona",INDEX('Zgłoszenia'!$M$5:$M$504,$M380)),IF($L380="U","",""))</f>
        <v/>
      </c>
      <c r="J380" s="49">
        <f>IF($L380="D",INDEX('Zgłoszenia'!$K$5:$K$504,$M380)&amp;"",IF($L380="U","",""))</f>
        <v/>
      </c>
      <c r="K380" s="2" t="n"/>
      <c r="L380" s="2">
        <f>IF((ROW()-12)&lt;=$L$5,IF($L$2=0,"E1","D"),IF((ROW()-12)=$L$5+1,"",IF((ROW()-12)=$L$5+2,"T",IF((ROW()-12)=$L$5+3,IF($L$3=0,"E2","H"),IF((ROW()-12)&lt;=$L$5+3+$L$3,"U","")))))</f>
        <v/>
      </c>
      <c r="M380" s="2">
        <f>IF(L380="D",MATCH(LARGE('Zgłoszenia'!$Q$5:$Q$504,(ROW()-12)),'Zgłoszenia'!$Q$5:$Q$504,0),IF(L380="U",MATCH(LARGE('Dane rozpisek'!$I$2:$I$2600,(ROW()-12)-$L$5-3),'Dane rozpisek'!$I$2:$I$2600,0),""))</f>
        <v/>
      </c>
    </row>
    <row r="381">
      <c r="A381" s="47">
        <f>IF($L381="D",INDEX('Zgłoszenia'!$D$5:$D$504,$M381),IF($L381="U",INDEX('Dane rozpisek'!$A$2:$A$2600,$M381),IF($L381="T","KTO JEŹDZIŁ",IF($L381="E1","Brak zgłoszonych usterek w tym okresie.",IF($L381="E2","Brak wpisów z tym wózkiem w rozpiskach dla tego okresu.",IF($L381="H","Data",""))))))</f>
        <v/>
      </c>
      <c r="B381" s="48">
        <f>IF($L381="D",INDEX('Zgłoszenia'!$B$5:$B$504,$M381)&amp;"",IF($L381="U",INDEX('Dane rozpisek'!$F$2:$F$2600,$M381)&amp;"",IF($L381="H","Wózek","")))</f>
        <v/>
      </c>
      <c r="C381" s="48">
        <f>IF($L381="D",INDEX('Zgłoszenia'!$E$5:$E$504,$M381)&amp;"",IF($L381="U",INDEX('Dane rozpisek'!$B$2:$B$2600,$M381)&amp;" · "&amp;INDEX('Dane rozpisek'!$J$2:$J$2600,$M381),IF($L381="H","Zmiana","")))</f>
        <v/>
      </c>
      <c r="D381" s="49">
        <f>IF($L381="D",INDEX('Zgłoszenia'!$H$5:$H$504,$M381)&amp;"",IF($L381="U",INDEX('Dane rozpisek'!$E$2:$E$2600,$M381)&amp;"",IF($L381="H","Operator","")))</f>
        <v/>
      </c>
      <c r="E381" s="49">
        <f>IF($L381="D",INDEX('Zgłoszenia'!$I$5:$I$504,$M381)&amp;"",IF($L381="U",INDEX('Dane rozpisek'!$C$2:$C$2600,$M381)&amp;"",IF($L381="H","Stanowisko","")))</f>
        <v/>
      </c>
      <c r="F381" s="48">
        <f>IF($L381="D",INDEX('Zgłoszenia'!$J$5:$J$504,$M381)&amp;"",IF($L381="U",INDEX('Dane rozpisek'!$G$2:$G$2600,$M381)&amp;"",IF($L381="H","Uwagi","")))</f>
        <v/>
      </c>
      <c r="G381" s="49">
        <f>IF($L381="D",INDEX('Zgłoszenia'!$F$5:$F$504,$M381)&amp;"",IF($L381="U",INDEX('Dane rozpisek'!$L$2:$L$2600,$M381)&amp;"",IF($L381="H","Usterki (dzień / następny)","")))</f>
        <v/>
      </c>
      <c r="H381" s="49">
        <f>IF($L381="D",INDEX('Zgłoszenia'!$P$5:$P$504,$M381)&amp;"",IF($L381="U","",""))</f>
        <v/>
      </c>
      <c r="I381" s="48">
        <f>IF($L381="D",IF(INDEX('Zgłoszenia'!$M$5:$M$504,$M381)="","Zgłoszona",INDEX('Zgłoszenia'!$M$5:$M$504,$M381)),IF($L381="U","",""))</f>
        <v/>
      </c>
      <c r="J381" s="49">
        <f>IF($L381="D",INDEX('Zgłoszenia'!$K$5:$K$504,$M381)&amp;"",IF($L381="U","",""))</f>
        <v/>
      </c>
      <c r="K381" s="2" t="n"/>
      <c r="L381" s="2">
        <f>IF((ROW()-12)&lt;=$L$5,IF($L$2=0,"E1","D"),IF((ROW()-12)=$L$5+1,"",IF((ROW()-12)=$L$5+2,"T",IF((ROW()-12)=$L$5+3,IF($L$3=0,"E2","H"),IF((ROW()-12)&lt;=$L$5+3+$L$3,"U","")))))</f>
        <v/>
      </c>
      <c r="M381" s="2">
        <f>IF(L381="D",MATCH(LARGE('Zgłoszenia'!$Q$5:$Q$504,(ROW()-12)),'Zgłoszenia'!$Q$5:$Q$504,0),IF(L381="U",MATCH(LARGE('Dane rozpisek'!$I$2:$I$2600,(ROW()-12)-$L$5-3),'Dane rozpisek'!$I$2:$I$2600,0),""))</f>
        <v/>
      </c>
    </row>
    <row r="382">
      <c r="A382" s="47">
        <f>IF($L382="D",INDEX('Zgłoszenia'!$D$5:$D$504,$M382),IF($L382="U",INDEX('Dane rozpisek'!$A$2:$A$2600,$M382),IF($L382="T","KTO JEŹDZIŁ",IF($L382="E1","Brak zgłoszonych usterek w tym okresie.",IF($L382="E2","Brak wpisów z tym wózkiem w rozpiskach dla tego okresu.",IF($L382="H","Data",""))))))</f>
        <v/>
      </c>
      <c r="B382" s="48">
        <f>IF($L382="D",INDEX('Zgłoszenia'!$B$5:$B$504,$M382)&amp;"",IF($L382="U",INDEX('Dane rozpisek'!$F$2:$F$2600,$M382)&amp;"",IF($L382="H","Wózek","")))</f>
        <v/>
      </c>
      <c r="C382" s="48">
        <f>IF($L382="D",INDEX('Zgłoszenia'!$E$5:$E$504,$M382)&amp;"",IF($L382="U",INDEX('Dane rozpisek'!$B$2:$B$2600,$M382)&amp;" · "&amp;INDEX('Dane rozpisek'!$J$2:$J$2600,$M382),IF($L382="H","Zmiana","")))</f>
        <v/>
      </c>
      <c r="D382" s="49">
        <f>IF($L382="D",INDEX('Zgłoszenia'!$H$5:$H$504,$M382)&amp;"",IF($L382="U",INDEX('Dane rozpisek'!$E$2:$E$2600,$M382)&amp;"",IF($L382="H","Operator","")))</f>
        <v/>
      </c>
      <c r="E382" s="49">
        <f>IF($L382="D",INDEX('Zgłoszenia'!$I$5:$I$504,$M382)&amp;"",IF($L382="U",INDEX('Dane rozpisek'!$C$2:$C$2600,$M382)&amp;"",IF($L382="H","Stanowisko","")))</f>
        <v/>
      </c>
      <c r="F382" s="48">
        <f>IF($L382="D",INDEX('Zgłoszenia'!$J$5:$J$504,$M382)&amp;"",IF($L382="U",INDEX('Dane rozpisek'!$G$2:$G$2600,$M382)&amp;"",IF($L382="H","Uwagi","")))</f>
        <v/>
      </c>
      <c r="G382" s="49">
        <f>IF($L382="D",INDEX('Zgłoszenia'!$F$5:$F$504,$M382)&amp;"",IF($L382="U",INDEX('Dane rozpisek'!$L$2:$L$2600,$M382)&amp;"",IF($L382="H","Usterki (dzień / następny)","")))</f>
        <v/>
      </c>
      <c r="H382" s="49">
        <f>IF($L382="D",INDEX('Zgłoszenia'!$P$5:$P$504,$M382)&amp;"",IF($L382="U","",""))</f>
        <v/>
      </c>
      <c r="I382" s="48">
        <f>IF($L382="D",IF(INDEX('Zgłoszenia'!$M$5:$M$504,$M382)="","Zgłoszona",INDEX('Zgłoszenia'!$M$5:$M$504,$M382)),IF($L382="U","",""))</f>
        <v/>
      </c>
      <c r="J382" s="49">
        <f>IF($L382="D",INDEX('Zgłoszenia'!$K$5:$K$504,$M382)&amp;"",IF($L382="U","",""))</f>
        <v/>
      </c>
      <c r="K382" s="2" t="n"/>
      <c r="L382" s="2">
        <f>IF((ROW()-12)&lt;=$L$5,IF($L$2=0,"E1","D"),IF((ROW()-12)=$L$5+1,"",IF((ROW()-12)=$L$5+2,"T",IF((ROW()-12)=$L$5+3,IF($L$3=0,"E2","H"),IF((ROW()-12)&lt;=$L$5+3+$L$3,"U","")))))</f>
        <v/>
      </c>
      <c r="M382" s="2">
        <f>IF(L382="D",MATCH(LARGE('Zgłoszenia'!$Q$5:$Q$504,(ROW()-12)),'Zgłoszenia'!$Q$5:$Q$504,0),IF(L382="U",MATCH(LARGE('Dane rozpisek'!$I$2:$I$2600,(ROW()-12)-$L$5-3),'Dane rozpisek'!$I$2:$I$2600,0),""))</f>
        <v/>
      </c>
    </row>
    <row r="383">
      <c r="A383" s="47">
        <f>IF($L383="D",INDEX('Zgłoszenia'!$D$5:$D$504,$M383),IF($L383="U",INDEX('Dane rozpisek'!$A$2:$A$2600,$M383),IF($L383="T","KTO JEŹDZIŁ",IF($L383="E1","Brak zgłoszonych usterek w tym okresie.",IF($L383="E2","Brak wpisów z tym wózkiem w rozpiskach dla tego okresu.",IF($L383="H","Data",""))))))</f>
        <v/>
      </c>
      <c r="B383" s="48">
        <f>IF($L383="D",INDEX('Zgłoszenia'!$B$5:$B$504,$M383)&amp;"",IF($L383="U",INDEX('Dane rozpisek'!$F$2:$F$2600,$M383)&amp;"",IF($L383="H","Wózek","")))</f>
        <v/>
      </c>
      <c r="C383" s="48">
        <f>IF($L383="D",INDEX('Zgłoszenia'!$E$5:$E$504,$M383)&amp;"",IF($L383="U",INDEX('Dane rozpisek'!$B$2:$B$2600,$M383)&amp;" · "&amp;INDEX('Dane rozpisek'!$J$2:$J$2600,$M383),IF($L383="H","Zmiana","")))</f>
        <v/>
      </c>
      <c r="D383" s="49">
        <f>IF($L383="D",INDEX('Zgłoszenia'!$H$5:$H$504,$M383)&amp;"",IF($L383="U",INDEX('Dane rozpisek'!$E$2:$E$2600,$M383)&amp;"",IF($L383="H","Operator","")))</f>
        <v/>
      </c>
      <c r="E383" s="49">
        <f>IF($L383="D",INDEX('Zgłoszenia'!$I$5:$I$504,$M383)&amp;"",IF($L383="U",INDEX('Dane rozpisek'!$C$2:$C$2600,$M383)&amp;"",IF($L383="H","Stanowisko","")))</f>
        <v/>
      </c>
      <c r="F383" s="48">
        <f>IF($L383="D",INDEX('Zgłoszenia'!$J$5:$J$504,$M383)&amp;"",IF($L383="U",INDEX('Dane rozpisek'!$G$2:$G$2600,$M383)&amp;"",IF($L383="H","Uwagi","")))</f>
        <v/>
      </c>
      <c r="G383" s="49">
        <f>IF($L383="D",INDEX('Zgłoszenia'!$F$5:$F$504,$M383)&amp;"",IF($L383="U",INDEX('Dane rozpisek'!$L$2:$L$2600,$M383)&amp;"",IF($L383="H","Usterki (dzień / następny)","")))</f>
        <v/>
      </c>
      <c r="H383" s="49">
        <f>IF($L383="D",INDEX('Zgłoszenia'!$P$5:$P$504,$M383)&amp;"",IF($L383="U","",""))</f>
        <v/>
      </c>
      <c r="I383" s="48">
        <f>IF($L383="D",IF(INDEX('Zgłoszenia'!$M$5:$M$504,$M383)="","Zgłoszona",INDEX('Zgłoszenia'!$M$5:$M$504,$M383)),IF($L383="U","",""))</f>
        <v/>
      </c>
      <c r="J383" s="49">
        <f>IF($L383="D",INDEX('Zgłoszenia'!$K$5:$K$504,$M383)&amp;"",IF($L383="U","",""))</f>
        <v/>
      </c>
      <c r="K383" s="2" t="n"/>
      <c r="L383" s="2">
        <f>IF((ROW()-12)&lt;=$L$5,IF($L$2=0,"E1","D"),IF((ROW()-12)=$L$5+1,"",IF((ROW()-12)=$L$5+2,"T",IF((ROW()-12)=$L$5+3,IF($L$3=0,"E2","H"),IF((ROW()-12)&lt;=$L$5+3+$L$3,"U","")))))</f>
        <v/>
      </c>
      <c r="M383" s="2">
        <f>IF(L383="D",MATCH(LARGE('Zgłoszenia'!$Q$5:$Q$504,(ROW()-12)),'Zgłoszenia'!$Q$5:$Q$504,0),IF(L383="U",MATCH(LARGE('Dane rozpisek'!$I$2:$I$2600,(ROW()-12)-$L$5-3),'Dane rozpisek'!$I$2:$I$2600,0),""))</f>
        <v/>
      </c>
    </row>
    <row r="384">
      <c r="A384" s="47">
        <f>IF($L384="D",INDEX('Zgłoszenia'!$D$5:$D$504,$M384),IF($L384="U",INDEX('Dane rozpisek'!$A$2:$A$2600,$M384),IF($L384="T","KTO JEŹDZIŁ",IF($L384="E1","Brak zgłoszonych usterek w tym okresie.",IF($L384="E2","Brak wpisów z tym wózkiem w rozpiskach dla tego okresu.",IF($L384="H","Data",""))))))</f>
        <v/>
      </c>
      <c r="B384" s="48">
        <f>IF($L384="D",INDEX('Zgłoszenia'!$B$5:$B$504,$M384)&amp;"",IF($L384="U",INDEX('Dane rozpisek'!$F$2:$F$2600,$M384)&amp;"",IF($L384="H","Wózek","")))</f>
        <v/>
      </c>
      <c r="C384" s="48">
        <f>IF($L384="D",INDEX('Zgłoszenia'!$E$5:$E$504,$M384)&amp;"",IF($L384="U",INDEX('Dane rozpisek'!$B$2:$B$2600,$M384)&amp;" · "&amp;INDEX('Dane rozpisek'!$J$2:$J$2600,$M384),IF($L384="H","Zmiana","")))</f>
        <v/>
      </c>
      <c r="D384" s="49">
        <f>IF($L384="D",INDEX('Zgłoszenia'!$H$5:$H$504,$M384)&amp;"",IF($L384="U",INDEX('Dane rozpisek'!$E$2:$E$2600,$M384)&amp;"",IF($L384="H","Operator","")))</f>
        <v/>
      </c>
      <c r="E384" s="49">
        <f>IF($L384="D",INDEX('Zgłoszenia'!$I$5:$I$504,$M384)&amp;"",IF($L384="U",INDEX('Dane rozpisek'!$C$2:$C$2600,$M384)&amp;"",IF($L384="H","Stanowisko","")))</f>
        <v/>
      </c>
      <c r="F384" s="48">
        <f>IF($L384="D",INDEX('Zgłoszenia'!$J$5:$J$504,$M384)&amp;"",IF($L384="U",INDEX('Dane rozpisek'!$G$2:$G$2600,$M384)&amp;"",IF($L384="H","Uwagi","")))</f>
        <v/>
      </c>
      <c r="G384" s="49">
        <f>IF($L384="D",INDEX('Zgłoszenia'!$F$5:$F$504,$M384)&amp;"",IF($L384="U",INDEX('Dane rozpisek'!$L$2:$L$2600,$M384)&amp;"",IF($L384="H","Usterki (dzień / następny)","")))</f>
        <v/>
      </c>
      <c r="H384" s="49">
        <f>IF($L384="D",INDEX('Zgłoszenia'!$P$5:$P$504,$M384)&amp;"",IF($L384="U","",""))</f>
        <v/>
      </c>
      <c r="I384" s="48">
        <f>IF($L384="D",IF(INDEX('Zgłoszenia'!$M$5:$M$504,$M384)="","Zgłoszona",INDEX('Zgłoszenia'!$M$5:$M$504,$M384)),IF($L384="U","",""))</f>
        <v/>
      </c>
      <c r="J384" s="49">
        <f>IF($L384="D",INDEX('Zgłoszenia'!$K$5:$K$504,$M384)&amp;"",IF($L384="U","",""))</f>
        <v/>
      </c>
      <c r="K384" s="2" t="n"/>
      <c r="L384" s="2">
        <f>IF((ROW()-12)&lt;=$L$5,IF($L$2=0,"E1","D"),IF((ROW()-12)=$L$5+1,"",IF((ROW()-12)=$L$5+2,"T",IF((ROW()-12)=$L$5+3,IF($L$3=0,"E2","H"),IF((ROW()-12)&lt;=$L$5+3+$L$3,"U","")))))</f>
        <v/>
      </c>
      <c r="M384" s="2">
        <f>IF(L384="D",MATCH(LARGE('Zgłoszenia'!$Q$5:$Q$504,(ROW()-12)),'Zgłoszenia'!$Q$5:$Q$504,0),IF(L384="U",MATCH(LARGE('Dane rozpisek'!$I$2:$I$2600,(ROW()-12)-$L$5-3),'Dane rozpisek'!$I$2:$I$2600,0),""))</f>
        <v/>
      </c>
    </row>
    <row r="385">
      <c r="A385" s="47">
        <f>IF($L385="D",INDEX('Zgłoszenia'!$D$5:$D$504,$M385),IF($L385="U",INDEX('Dane rozpisek'!$A$2:$A$2600,$M385),IF($L385="T","KTO JEŹDZIŁ",IF($L385="E1","Brak zgłoszonych usterek w tym okresie.",IF($L385="E2","Brak wpisów z tym wózkiem w rozpiskach dla tego okresu.",IF($L385="H","Data",""))))))</f>
        <v/>
      </c>
      <c r="B385" s="48">
        <f>IF($L385="D",INDEX('Zgłoszenia'!$B$5:$B$504,$M385)&amp;"",IF($L385="U",INDEX('Dane rozpisek'!$F$2:$F$2600,$M385)&amp;"",IF($L385="H","Wózek","")))</f>
        <v/>
      </c>
      <c r="C385" s="48">
        <f>IF($L385="D",INDEX('Zgłoszenia'!$E$5:$E$504,$M385)&amp;"",IF($L385="U",INDEX('Dane rozpisek'!$B$2:$B$2600,$M385)&amp;" · "&amp;INDEX('Dane rozpisek'!$J$2:$J$2600,$M385),IF($L385="H","Zmiana","")))</f>
        <v/>
      </c>
      <c r="D385" s="49">
        <f>IF($L385="D",INDEX('Zgłoszenia'!$H$5:$H$504,$M385)&amp;"",IF($L385="U",INDEX('Dane rozpisek'!$E$2:$E$2600,$M385)&amp;"",IF($L385="H","Operator","")))</f>
        <v/>
      </c>
      <c r="E385" s="49">
        <f>IF($L385="D",INDEX('Zgłoszenia'!$I$5:$I$504,$M385)&amp;"",IF($L385="U",INDEX('Dane rozpisek'!$C$2:$C$2600,$M385)&amp;"",IF($L385="H","Stanowisko","")))</f>
        <v/>
      </c>
      <c r="F385" s="48">
        <f>IF($L385="D",INDEX('Zgłoszenia'!$J$5:$J$504,$M385)&amp;"",IF($L385="U",INDEX('Dane rozpisek'!$G$2:$G$2600,$M385)&amp;"",IF($L385="H","Uwagi","")))</f>
        <v/>
      </c>
      <c r="G385" s="49">
        <f>IF($L385="D",INDEX('Zgłoszenia'!$F$5:$F$504,$M385)&amp;"",IF($L385="U",INDEX('Dane rozpisek'!$L$2:$L$2600,$M385)&amp;"",IF($L385="H","Usterki (dzień / następny)","")))</f>
        <v/>
      </c>
      <c r="H385" s="49">
        <f>IF($L385="D",INDEX('Zgłoszenia'!$P$5:$P$504,$M385)&amp;"",IF($L385="U","",""))</f>
        <v/>
      </c>
      <c r="I385" s="48">
        <f>IF($L385="D",IF(INDEX('Zgłoszenia'!$M$5:$M$504,$M385)="","Zgłoszona",INDEX('Zgłoszenia'!$M$5:$M$504,$M385)),IF($L385="U","",""))</f>
        <v/>
      </c>
      <c r="J385" s="49">
        <f>IF($L385="D",INDEX('Zgłoszenia'!$K$5:$K$504,$M385)&amp;"",IF($L385="U","",""))</f>
        <v/>
      </c>
      <c r="K385" s="2" t="n"/>
      <c r="L385" s="2">
        <f>IF((ROW()-12)&lt;=$L$5,IF($L$2=0,"E1","D"),IF((ROW()-12)=$L$5+1,"",IF((ROW()-12)=$L$5+2,"T",IF((ROW()-12)=$L$5+3,IF($L$3=0,"E2","H"),IF((ROW()-12)&lt;=$L$5+3+$L$3,"U","")))))</f>
        <v/>
      </c>
      <c r="M385" s="2">
        <f>IF(L385="D",MATCH(LARGE('Zgłoszenia'!$Q$5:$Q$504,(ROW()-12)),'Zgłoszenia'!$Q$5:$Q$504,0),IF(L385="U",MATCH(LARGE('Dane rozpisek'!$I$2:$I$2600,(ROW()-12)-$L$5-3),'Dane rozpisek'!$I$2:$I$2600,0),""))</f>
        <v/>
      </c>
    </row>
    <row r="386">
      <c r="A386" s="47">
        <f>IF($L386="D",INDEX('Zgłoszenia'!$D$5:$D$504,$M386),IF($L386="U",INDEX('Dane rozpisek'!$A$2:$A$2600,$M386),IF($L386="T","KTO JEŹDZIŁ",IF($L386="E1","Brak zgłoszonych usterek w tym okresie.",IF($L386="E2","Brak wpisów z tym wózkiem w rozpiskach dla tego okresu.",IF($L386="H","Data",""))))))</f>
        <v/>
      </c>
      <c r="B386" s="48">
        <f>IF($L386="D",INDEX('Zgłoszenia'!$B$5:$B$504,$M386)&amp;"",IF($L386="U",INDEX('Dane rozpisek'!$F$2:$F$2600,$M386)&amp;"",IF($L386="H","Wózek","")))</f>
        <v/>
      </c>
      <c r="C386" s="48">
        <f>IF($L386="D",INDEX('Zgłoszenia'!$E$5:$E$504,$M386)&amp;"",IF($L386="U",INDEX('Dane rozpisek'!$B$2:$B$2600,$M386)&amp;" · "&amp;INDEX('Dane rozpisek'!$J$2:$J$2600,$M386),IF($L386="H","Zmiana","")))</f>
        <v/>
      </c>
      <c r="D386" s="49">
        <f>IF($L386="D",INDEX('Zgłoszenia'!$H$5:$H$504,$M386)&amp;"",IF($L386="U",INDEX('Dane rozpisek'!$E$2:$E$2600,$M386)&amp;"",IF($L386="H","Operator","")))</f>
        <v/>
      </c>
      <c r="E386" s="49">
        <f>IF($L386="D",INDEX('Zgłoszenia'!$I$5:$I$504,$M386)&amp;"",IF($L386="U",INDEX('Dane rozpisek'!$C$2:$C$2600,$M386)&amp;"",IF($L386="H","Stanowisko","")))</f>
        <v/>
      </c>
      <c r="F386" s="48">
        <f>IF($L386="D",INDEX('Zgłoszenia'!$J$5:$J$504,$M386)&amp;"",IF($L386="U",INDEX('Dane rozpisek'!$G$2:$G$2600,$M386)&amp;"",IF($L386="H","Uwagi","")))</f>
        <v/>
      </c>
      <c r="G386" s="49">
        <f>IF($L386="D",INDEX('Zgłoszenia'!$F$5:$F$504,$M386)&amp;"",IF($L386="U",INDEX('Dane rozpisek'!$L$2:$L$2600,$M386)&amp;"",IF($L386="H","Usterki (dzień / następny)","")))</f>
        <v/>
      </c>
      <c r="H386" s="49">
        <f>IF($L386="D",INDEX('Zgłoszenia'!$P$5:$P$504,$M386)&amp;"",IF($L386="U","",""))</f>
        <v/>
      </c>
      <c r="I386" s="48">
        <f>IF($L386="D",IF(INDEX('Zgłoszenia'!$M$5:$M$504,$M386)="","Zgłoszona",INDEX('Zgłoszenia'!$M$5:$M$504,$M386)),IF($L386="U","",""))</f>
        <v/>
      </c>
      <c r="J386" s="49">
        <f>IF($L386="D",INDEX('Zgłoszenia'!$K$5:$K$504,$M386)&amp;"",IF($L386="U","",""))</f>
        <v/>
      </c>
      <c r="K386" s="2" t="n"/>
      <c r="L386" s="2">
        <f>IF((ROW()-12)&lt;=$L$5,IF($L$2=0,"E1","D"),IF((ROW()-12)=$L$5+1,"",IF((ROW()-12)=$L$5+2,"T",IF((ROW()-12)=$L$5+3,IF($L$3=0,"E2","H"),IF((ROW()-12)&lt;=$L$5+3+$L$3,"U","")))))</f>
        <v/>
      </c>
      <c r="M386" s="2">
        <f>IF(L386="D",MATCH(LARGE('Zgłoszenia'!$Q$5:$Q$504,(ROW()-12)),'Zgłoszenia'!$Q$5:$Q$504,0),IF(L386="U",MATCH(LARGE('Dane rozpisek'!$I$2:$I$2600,(ROW()-12)-$L$5-3),'Dane rozpisek'!$I$2:$I$2600,0),""))</f>
        <v/>
      </c>
    </row>
    <row r="387">
      <c r="A387" s="47">
        <f>IF($L387="D",INDEX('Zgłoszenia'!$D$5:$D$504,$M387),IF($L387="U",INDEX('Dane rozpisek'!$A$2:$A$2600,$M387),IF($L387="T","KTO JEŹDZIŁ",IF($L387="E1","Brak zgłoszonych usterek w tym okresie.",IF($L387="E2","Brak wpisów z tym wózkiem w rozpiskach dla tego okresu.",IF($L387="H","Data",""))))))</f>
        <v/>
      </c>
      <c r="B387" s="48">
        <f>IF($L387="D",INDEX('Zgłoszenia'!$B$5:$B$504,$M387)&amp;"",IF($L387="U",INDEX('Dane rozpisek'!$F$2:$F$2600,$M387)&amp;"",IF($L387="H","Wózek","")))</f>
        <v/>
      </c>
      <c r="C387" s="48">
        <f>IF($L387="D",INDEX('Zgłoszenia'!$E$5:$E$504,$M387)&amp;"",IF($L387="U",INDEX('Dane rozpisek'!$B$2:$B$2600,$M387)&amp;" · "&amp;INDEX('Dane rozpisek'!$J$2:$J$2600,$M387),IF($L387="H","Zmiana","")))</f>
        <v/>
      </c>
      <c r="D387" s="49">
        <f>IF($L387="D",INDEX('Zgłoszenia'!$H$5:$H$504,$M387)&amp;"",IF($L387="U",INDEX('Dane rozpisek'!$E$2:$E$2600,$M387)&amp;"",IF($L387="H","Operator","")))</f>
        <v/>
      </c>
      <c r="E387" s="49">
        <f>IF($L387="D",INDEX('Zgłoszenia'!$I$5:$I$504,$M387)&amp;"",IF($L387="U",INDEX('Dane rozpisek'!$C$2:$C$2600,$M387)&amp;"",IF($L387="H","Stanowisko","")))</f>
        <v/>
      </c>
      <c r="F387" s="48">
        <f>IF($L387="D",INDEX('Zgłoszenia'!$J$5:$J$504,$M387)&amp;"",IF($L387="U",INDEX('Dane rozpisek'!$G$2:$G$2600,$M387)&amp;"",IF($L387="H","Uwagi","")))</f>
        <v/>
      </c>
      <c r="G387" s="49">
        <f>IF($L387="D",INDEX('Zgłoszenia'!$F$5:$F$504,$M387)&amp;"",IF($L387="U",INDEX('Dane rozpisek'!$L$2:$L$2600,$M387)&amp;"",IF($L387="H","Usterki (dzień / następny)","")))</f>
        <v/>
      </c>
      <c r="H387" s="49">
        <f>IF($L387="D",INDEX('Zgłoszenia'!$P$5:$P$504,$M387)&amp;"",IF($L387="U","",""))</f>
        <v/>
      </c>
      <c r="I387" s="48">
        <f>IF($L387="D",IF(INDEX('Zgłoszenia'!$M$5:$M$504,$M387)="","Zgłoszona",INDEX('Zgłoszenia'!$M$5:$M$504,$M387)),IF($L387="U","",""))</f>
        <v/>
      </c>
      <c r="J387" s="49">
        <f>IF($L387="D",INDEX('Zgłoszenia'!$K$5:$K$504,$M387)&amp;"",IF($L387="U","",""))</f>
        <v/>
      </c>
      <c r="K387" s="2" t="n"/>
      <c r="L387" s="2">
        <f>IF((ROW()-12)&lt;=$L$5,IF($L$2=0,"E1","D"),IF((ROW()-12)=$L$5+1,"",IF((ROW()-12)=$L$5+2,"T",IF((ROW()-12)=$L$5+3,IF($L$3=0,"E2","H"),IF((ROW()-12)&lt;=$L$5+3+$L$3,"U","")))))</f>
        <v/>
      </c>
      <c r="M387" s="2">
        <f>IF(L387="D",MATCH(LARGE('Zgłoszenia'!$Q$5:$Q$504,(ROW()-12)),'Zgłoszenia'!$Q$5:$Q$504,0),IF(L387="U",MATCH(LARGE('Dane rozpisek'!$I$2:$I$2600,(ROW()-12)-$L$5-3),'Dane rozpisek'!$I$2:$I$2600,0),""))</f>
        <v/>
      </c>
    </row>
    <row r="388">
      <c r="A388" s="47">
        <f>IF($L388="D",INDEX('Zgłoszenia'!$D$5:$D$504,$M388),IF($L388="U",INDEX('Dane rozpisek'!$A$2:$A$2600,$M388),IF($L388="T","KTO JEŹDZIŁ",IF($L388="E1","Brak zgłoszonych usterek w tym okresie.",IF($L388="E2","Brak wpisów z tym wózkiem w rozpiskach dla tego okresu.",IF($L388="H","Data",""))))))</f>
        <v/>
      </c>
      <c r="B388" s="48">
        <f>IF($L388="D",INDEX('Zgłoszenia'!$B$5:$B$504,$M388)&amp;"",IF($L388="U",INDEX('Dane rozpisek'!$F$2:$F$2600,$M388)&amp;"",IF($L388="H","Wózek","")))</f>
        <v/>
      </c>
      <c r="C388" s="48">
        <f>IF($L388="D",INDEX('Zgłoszenia'!$E$5:$E$504,$M388)&amp;"",IF($L388="U",INDEX('Dane rozpisek'!$B$2:$B$2600,$M388)&amp;" · "&amp;INDEX('Dane rozpisek'!$J$2:$J$2600,$M388),IF($L388="H","Zmiana","")))</f>
        <v/>
      </c>
      <c r="D388" s="49">
        <f>IF($L388="D",INDEX('Zgłoszenia'!$H$5:$H$504,$M388)&amp;"",IF($L388="U",INDEX('Dane rozpisek'!$E$2:$E$2600,$M388)&amp;"",IF($L388="H","Operator","")))</f>
        <v/>
      </c>
      <c r="E388" s="49">
        <f>IF($L388="D",INDEX('Zgłoszenia'!$I$5:$I$504,$M388)&amp;"",IF($L388="U",INDEX('Dane rozpisek'!$C$2:$C$2600,$M388)&amp;"",IF($L388="H","Stanowisko","")))</f>
        <v/>
      </c>
      <c r="F388" s="48">
        <f>IF($L388="D",INDEX('Zgłoszenia'!$J$5:$J$504,$M388)&amp;"",IF($L388="U",INDEX('Dane rozpisek'!$G$2:$G$2600,$M388)&amp;"",IF($L388="H","Uwagi","")))</f>
        <v/>
      </c>
      <c r="G388" s="49">
        <f>IF($L388="D",INDEX('Zgłoszenia'!$F$5:$F$504,$M388)&amp;"",IF($L388="U",INDEX('Dane rozpisek'!$L$2:$L$2600,$M388)&amp;"",IF($L388="H","Usterki (dzień / następny)","")))</f>
        <v/>
      </c>
      <c r="H388" s="49">
        <f>IF($L388="D",INDEX('Zgłoszenia'!$P$5:$P$504,$M388)&amp;"",IF($L388="U","",""))</f>
        <v/>
      </c>
      <c r="I388" s="48">
        <f>IF($L388="D",IF(INDEX('Zgłoszenia'!$M$5:$M$504,$M388)="","Zgłoszona",INDEX('Zgłoszenia'!$M$5:$M$504,$M388)),IF($L388="U","",""))</f>
        <v/>
      </c>
      <c r="J388" s="49">
        <f>IF($L388="D",INDEX('Zgłoszenia'!$K$5:$K$504,$M388)&amp;"",IF($L388="U","",""))</f>
        <v/>
      </c>
      <c r="K388" s="2" t="n"/>
      <c r="L388" s="2">
        <f>IF((ROW()-12)&lt;=$L$5,IF($L$2=0,"E1","D"),IF((ROW()-12)=$L$5+1,"",IF((ROW()-12)=$L$5+2,"T",IF((ROW()-12)=$L$5+3,IF($L$3=0,"E2","H"),IF((ROW()-12)&lt;=$L$5+3+$L$3,"U","")))))</f>
        <v/>
      </c>
      <c r="M388" s="2">
        <f>IF(L388="D",MATCH(LARGE('Zgłoszenia'!$Q$5:$Q$504,(ROW()-12)),'Zgłoszenia'!$Q$5:$Q$504,0),IF(L388="U",MATCH(LARGE('Dane rozpisek'!$I$2:$I$2600,(ROW()-12)-$L$5-3),'Dane rozpisek'!$I$2:$I$2600,0),""))</f>
        <v/>
      </c>
    </row>
    <row r="389">
      <c r="A389" s="47">
        <f>IF($L389="D",INDEX('Zgłoszenia'!$D$5:$D$504,$M389),IF($L389="U",INDEX('Dane rozpisek'!$A$2:$A$2600,$M389),IF($L389="T","KTO JEŹDZIŁ",IF($L389="E1","Brak zgłoszonych usterek w tym okresie.",IF($L389="E2","Brak wpisów z tym wózkiem w rozpiskach dla tego okresu.",IF($L389="H","Data",""))))))</f>
        <v/>
      </c>
      <c r="B389" s="48">
        <f>IF($L389="D",INDEX('Zgłoszenia'!$B$5:$B$504,$M389)&amp;"",IF($L389="U",INDEX('Dane rozpisek'!$F$2:$F$2600,$M389)&amp;"",IF($L389="H","Wózek","")))</f>
        <v/>
      </c>
      <c r="C389" s="48">
        <f>IF($L389="D",INDEX('Zgłoszenia'!$E$5:$E$504,$M389)&amp;"",IF($L389="U",INDEX('Dane rozpisek'!$B$2:$B$2600,$M389)&amp;" · "&amp;INDEX('Dane rozpisek'!$J$2:$J$2600,$M389),IF($L389="H","Zmiana","")))</f>
        <v/>
      </c>
      <c r="D389" s="49">
        <f>IF($L389="D",INDEX('Zgłoszenia'!$H$5:$H$504,$M389)&amp;"",IF($L389="U",INDEX('Dane rozpisek'!$E$2:$E$2600,$M389)&amp;"",IF($L389="H","Operator","")))</f>
        <v/>
      </c>
      <c r="E389" s="49">
        <f>IF($L389="D",INDEX('Zgłoszenia'!$I$5:$I$504,$M389)&amp;"",IF($L389="U",INDEX('Dane rozpisek'!$C$2:$C$2600,$M389)&amp;"",IF($L389="H","Stanowisko","")))</f>
        <v/>
      </c>
      <c r="F389" s="48">
        <f>IF($L389="D",INDEX('Zgłoszenia'!$J$5:$J$504,$M389)&amp;"",IF($L389="U",INDEX('Dane rozpisek'!$G$2:$G$2600,$M389)&amp;"",IF($L389="H","Uwagi","")))</f>
        <v/>
      </c>
      <c r="G389" s="49">
        <f>IF($L389="D",INDEX('Zgłoszenia'!$F$5:$F$504,$M389)&amp;"",IF($L389="U",INDEX('Dane rozpisek'!$L$2:$L$2600,$M389)&amp;"",IF($L389="H","Usterki (dzień / następny)","")))</f>
        <v/>
      </c>
      <c r="H389" s="49">
        <f>IF($L389="D",INDEX('Zgłoszenia'!$P$5:$P$504,$M389)&amp;"",IF($L389="U","",""))</f>
        <v/>
      </c>
      <c r="I389" s="48">
        <f>IF($L389="D",IF(INDEX('Zgłoszenia'!$M$5:$M$504,$M389)="","Zgłoszona",INDEX('Zgłoszenia'!$M$5:$M$504,$M389)),IF($L389="U","",""))</f>
        <v/>
      </c>
      <c r="J389" s="49">
        <f>IF($L389="D",INDEX('Zgłoszenia'!$K$5:$K$504,$M389)&amp;"",IF($L389="U","",""))</f>
        <v/>
      </c>
      <c r="K389" s="2" t="n"/>
      <c r="L389" s="2">
        <f>IF((ROW()-12)&lt;=$L$5,IF($L$2=0,"E1","D"),IF((ROW()-12)=$L$5+1,"",IF((ROW()-12)=$L$5+2,"T",IF((ROW()-12)=$L$5+3,IF($L$3=0,"E2","H"),IF((ROW()-12)&lt;=$L$5+3+$L$3,"U","")))))</f>
        <v/>
      </c>
      <c r="M389" s="2">
        <f>IF(L389="D",MATCH(LARGE('Zgłoszenia'!$Q$5:$Q$504,(ROW()-12)),'Zgłoszenia'!$Q$5:$Q$504,0),IF(L389="U",MATCH(LARGE('Dane rozpisek'!$I$2:$I$2600,(ROW()-12)-$L$5-3),'Dane rozpisek'!$I$2:$I$2600,0),""))</f>
        <v/>
      </c>
    </row>
    <row r="390">
      <c r="A390" s="47">
        <f>IF($L390="D",INDEX('Zgłoszenia'!$D$5:$D$504,$M390),IF($L390="U",INDEX('Dane rozpisek'!$A$2:$A$2600,$M390),IF($L390="T","KTO JEŹDZIŁ",IF($L390="E1","Brak zgłoszonych usterek w tym okresie.",IF($L390="E2","Brak wpisów z tym wózkiem w rozpiskach dla tego okresu.",IF($L390="H","Data",""))))))</f>
        <v/>
      </c>
      <c r="B390" s="48">
        <f>IF($L390="D",INDEX('Zgłoszenia'!$B$5:$B$504,$M390)&amp;"",IF($L390="U",INDEX('Dane rozpisek'!$F$2:$F$2600,$M390)&amp;"",IF($L390="H","Wózek","")))</f>
        <v/>
      </c>
      <c r="C390" s="48">
        <f>IF($L390="D",INDEX('Zgłoszenia'!$E$5:$E$504,$M390)&amp;"",IF($L390="U",INDEX('Dane rozpisek'!$B$2:$B$2600,$M390)&amp;" · "&amp;INDEX('Dane rozpisek'!$J$2:$J$2600,$M390),IF($L390="H","Zmiana","")))</f>
        <v/>
      </c>
      <c r="D390" s="49">
        <f>IF($L390="D",INDEX('Zgłoszenia'!$H$5:$H$504,$M390)&amp;"",IF($L390="U",INDEX('Dane rozpisek'!$E$2:$E$2600,$M390)&amp;"",IF($L390="H","Operator","")))</f>
        <v/>
      </c>
      <c r="E390" s="49">
        <f>IF($L390="D",INDEX('Zgłoszenia'!$I$5:$I$504,$M390)&amp;"",IF($L390="U",INDEX('Dane rozpisek'!$C$2:$C$2600,$M390)&amp;"",IF($L390="H","Stanowisko","")))</f>
        <v/>
      </c>
      <c r="F390" s="48">
        <f>IF($L390="D",INDEX('Zgłoszenia'!$J$5:$J$504,$M390)&amp;"",IF($L390="U",INDEX('Dane rozpisek'!$G$2:$G$2600,$M390)&amp;"",IF($L390="H","Uwagi","")))</f>
        <v/>
      </c>
      <c r="G390" s="49">
        <f>IF($L390="D",INDEX('Zgłoszenia'!$F$5:$F$504,$M390)&amp;"",IF($L390="U",INDEX('Dane rozpisek'!$L$2:$L$2600,$M390)&amp;"",IF($L390="H","Usterki (dzień / następny)","")))</f>
        <v/>
      </c>
      <c r="H390" s="49">
        <f>IF($L390="D",INDEX('Zgłoszenia'!$P$5:$P$504,$M390)&amp;"",IF($L390="U","",""))</f>
        <v/>
      </c>
      <c r="I390" s="48">
        <f>IF($L390="D",IF(INDEX('Zgłoszenia'!$M$5:$M$504,$M390)="","Zgłoszona",INDEX('Zgłoszenia'!$M$5:$M$504,$M390)),IF($L390="U","",""))</f>
        <v/>
      </c>
      <c r="J390" s="49">
        <f>IF($L390="D",INDEX('Zgłoszenia'!$K$5:$K$504,$M390)&amp;"",IF($L390="U","",""))</f>
        <v/>
      </c>
      <c r="K390" s="2" t="n"/>
      <c r="L390" s="2">
        <f>IF((ROW()-12)&lt;=$L$5,IF($L$2=0,"E1","D"),IF((ROW()-12)=$L$5+1,"",IF((ROW()-12)=$L$5+2,"T",IF((ROW()-12)=$L$5+3,IF($L$3=0,"E2","H"),IF((ROW()-12)&lt;=$L$5+3+$L$3,"U","")))))</f>
        <v/>
      </c>
      <c r="M390" s="2">
        <f>IF(L390="D",MATCH(LARGE('Zgłoszenia'!$Q$5:$Q$504,(ROW()-12)),'Zgłoszenia'!$Q$5:$Q$504,0),IF(L390="U",MATCH(LARGE('Dane rozpisek'!$I$2:$I$2600,(ROW()-12)-$L$5-3),'Dane rozpisek'!$I$2:$I$2600,0),""))</f>
        <v/>
      </c>
    </row>
    <row r="391">
      <c r="A391" s="47">
        <f>IF($L391="D",INDEX('Zgłoszenia'!$D$5:$D$504,$M391),IF($L391="U",INDEX('Dane rozpisek'!$A$2:$A$2600,$M391),IF($L391="T","KTO JEŹDZIŁ",IF($L391="E1","Brak zgłoszonych usterek w tym okresie.",IF($L391="E2","Brak wpisów z tym wózkiem w rozpiskach dla tego okresu.",IF($L391="H","Data",""))))))</f>
        <v/>
      </c>
      <c r="B391" s="48">
        <f>IF($L391="D",INDEX('Zgłoszenia'!$B$5:$B$504,$M391)&amp;"",IF($L391="U",INDEX('Dane rozpisek'!$F$2:$F$2600,$M391)&amp;"",IF($L391="H","Wózek","")))</f>
        <v/>
      </c>
      <c r="C391" s="48">
        <f>IF($L391="D",INDEX('Zgłoszenia'!$E$5:$E$504,$M391)&amp;"",IF($L391="U",INDEX('Dane rozpisek'!$B$2:$B$2600,$M391)&amp;" · "&amp;INDEX('Dane rozpisek'!$J$2:$J$2600,$M391),IF($L391="H","Zmiana","")))</f>
        <v/>
      </c>
      <c r="D391" s="49">
        <f>IF($L391="D",INDEX('Zgłoszenia'!$H$5:$H$504,$M391)&amp;"",IF($L391="U",INDEX('Dane rozpisek'!$E$2:$E$2600,$M391)&amp;"",IF($L391="H","Operator","")))</f>
        <v/>
      </c>
      <c r="E391" s="49">
        <f>IF($L391="D",INDEX('Zgłoszenia'!$I$5:$I$504,$M391)&amp;"",IF($L391="U",INDEX('Dane rozpisek'!$C$2:$C$2600,$M391)&amp;"",IF($L391="H","Stanowisko","")))</f>
        <v/>
      </c>
      <c r="F391" s="48">
        <f>IF($L391="D",INDEX('Zgłoszenia'!$J$5:$J$504,$M391)&amp;"",IF($L391="U",INDEX('Dane rozpisek'!$G$2:$G$2600,$M391)&amp;"",IF($L391="H","Uwagi","")))</f>
        <v/>
      </c>
      <c r="G391" s="49">
        <f>IF($L391="D",INDEX('Zgłoszenia'!$F$5:$F$504,$M391)&amp;"",IF($L391="U",INDEX('Dane rozpisek'!$L$2:$L$2600,$M391)&amp;"",IF($L391="H","Usterki (dzień / następny)","")))</f>
        <v/>
      </c>
      <c r="H391" s="49">
        <f>IF($L391="D",INDEX('Zgłoszenia'!$P$5:$P$504,$M391)&amp;"",IF($L391="U","",""))</f>
        <v/>
      </c>
      <c r="I391" s="48">
        <f>IF($L391="D",IF(INDEX('Zgłoszenia'!$M$5:$M$504,$M391)="","Zgłoszona",INDEX('Zgłoszenia'!$M$5:$M$504,$M391)),IF($L391="U","",""))</f>
        <v/>
      </c>
      <c r="J391" s="49">
        <f>IF($L391="D",INDEX('Zgłoszenia'!$K$5:$K$504,$M391)&amp;"",IF($L391="U","",""))</f>
        <v/>
      </c>
      <c r="K391" s="2" t="n"/>
      <c r="L391" s="2">
        <f>IF((ROW()-12)&lt;=$L$5,IF($L$2=0,"E1","D"),IF((ROW()-12)=$L$5+1,"",IF((ROW()-12)=$L$5+2,"T",IF((ROW()-12)=$L$5+3,IF($L$3=0,"E2","H"),IF((ROW()-12)&lt;=$L$5+3+$L$3,"U","")))))</f>
        <v/>
      </c>
      <c r="M391" s="2">
        <f>IF(L391="D",MATCH(LARGE('Zgłoszenia'!$Q$5:$Q$504,(ROW()-12)),'Zgłoszenia'!$Q$5:$Q$504,0),IF(L391="U",MATCH(LARGE('Dane rozpisek'!$I$2:$I$2600,(ROW()-12)-$L$5-3),'Dane rozpisek'!$I$2:$I$2600,0),""))</f>
        <v/>
      </c>
    </row>
    <row r="392">
      <c r="A392" s="47">
        <f>IF($L392="D",INDEX('Zgłoszenia'!$D$5:$D$504,$M392),IF($L392="U",INDEX('Dane rozpisek'!$A$2:$A$2600,$M392),IF($L392="T","KTO JEŹDZIŁ",IF($L392="E1","Brak zgłoszonych usterek w tym okresie.",IF($L392="E2","Brak wpisów z tym wózkiem w rozpiskach dla tego okresu.",IF($L392="H","Data",""))))))</f>
        <v/>
      </c>
      <c r="B392" s="48">
        <f>IF($L392="D",INDEX('Zgłoszenia'!$B$5:$B$504,$M392)&amp;"",IF($L392="U",INDEX('Dane rozpisek'!$F$2:$F$2600,$M392)&amp;"",IF($L392="H","Wózek","")))</f>
        <v/>
      </c>
      <c r="C392" s="48">
        <f>IF($L392="D",INDEX('Zgłoszenia'!$E$5:$E$504,$M392)&amp;"",IF($L392="U",INDEX('Dane rozpisek'!$B$2:$B$2600,$M392)&amp;" · "&amp;INDEX('Dane rozpisek'!$J$2:$J$2600,$M392),IF($L392="H","Zmiana","")))</f>
        <v/>
      </c>
      <c r="D392" s="49">
        <f>IF($L392="D",INDEX('Zgłoszenia'!$H$5:$H$504,$M392)&amp;"",IF($L392="U",INDEX('Dane rozpisek'!$E$2:$E$2600,$M392)&amp;"",IF($L392="H","Operator","")))</f>
        <v/>
      </c>
      <c r="E392" s="49">
        <f>IF($L392="D",INDEX('Zgłoszenia'!$I$5:$I$504,$M392)&amp;"",IF($L392="U",INDEX('Dane rozpisek'!$C$2:$C$2600,$M392)&amp;"",IF($L392="H","Stanowisko","")))</f>
        <v/>
      </c>
      <c r="F392" s="48">
        <f>IF($L392="D",INDEX('Zgłoszenia'!$J$5:$J$504,$M392)&amp;"",IF($L392="U",INDEX('Dane rozpisek'!$G$2:$G$2600,$M392)&amp;"",IF($L392="H","Uwagi","")))</f>
        <v/>
      </c>
      <c r="G392" s="49">
        <f>IF($L392="D",INDEX('Zgłoszenia'!$F$5:$F$504,$M392)&amp;"",IF($L392="U",INDEX('Dane rozpisek'!$L$2:$L$2600,$M392)&amp;"",IF($L392="H","Usterki (dzień / następny)","")))</f>
        <v/>
      </c>
      <c r="H392" s="49">
        <f>IF($L392="D",INDEX('Zgłoszenia'!$P$5:$P$504,$M392)&amp;"",IF($L392="U","",""))</f>
        <v/>
      </c>
      <c r="I392" s="48">
        <f>IF($L392="D",IF(INDEX('Zgłoszenia'!$M$5:$M$504,$M392)="","Zgłoszona",INDEX('Zgłoszenia'!$M$5:$M$504,$M392)),IF($L392="U","",""))</f>
        <v/>
      </c>
      <c r="J392" s="49">
        <f>IF($L392="D",INDEX('Zgłoszenia'!$K$5:$K$504,$M392)&amp;"",IF($L392="U","",""))</f>
        <v/>
      </c>
      <c r="K392" s="2" t="n"/>
      <c r="L392" s="2">
        <f>IF((ROW()-12)&lt;=$L$5,IF($L$2=0,"E1","D"),IF((ROW()-12)=$L$5+1,"",IF((ROW()-12)=$L$5+2,"T",IF((ROW()-12)=$L$5+3,IF($L$3=0,"E2","H"),IF((ROW()-12)&lt;=$L$5+3+$L$3,"U","")))))</f>
        <v/>
      </c>
      <c r="M392" s="2">
        <f>IF(L392="D",MATCH(LARGE('Zgłoszenia'!$Q$5:$Q$504,(ROW()-12)),'Zgłoszenia'!$Q$5:$Q$504,0),IF(L392="U",MATCH(LARGE('Dane rozpisek'!$I$2:$I$2600,(ROW()-12)-$L$5-3),'Dane rozpisek'!$I$2:$I$2600,0),""))</f>
        <v/>
      </c>
    </row>
    <row r="393">
      <c r="A393" s="47">
        <f>IF($L393="D",INDEX('Zgłoszenia'!$D$5:$D$504,$M393),IF($L393="U",INDEX('Dane rozpisek'!$A$2:$A$2600,$M393),IF($L393="T","KTO JEŹDZIŁ",IF($L393="E1","Brak zgłoszonych usterek w tym okresie.",IF($L393="E2","Brak wpisów z tym wózkiem w rozpiskach dla tego okresu.",IF($L393="H","Data",""))))))</f>
        <v/>
      </c>
      <c r="B393" s="48">
        <f>IF($L393="D",INDEX('Zgłoszenia'!$B$5:$B$504,$M393)&amp;"",IF($L393="U",INDEX('Dane rozpisek'!$F$2:$F$2600,$M393)&amp;"",IF($L393="H","Wózek","")))</f>
        <v/>
      </c>
      <c r="C393" s="48">
        <f>IF($L393="D",INDEX('Zgłoszenia'!$E$5:$E$504,$M393)&amp;"",IF($L393="U",INDEX('Dane rozpisek'!$B$2:$B$2600,$M393)&amp;" · "&amp;INDEX('Dane rozpisek'!$J$2:$J$2600,$M393),IF($L393="H","Zmiana","")))</f>
        <v/>
      </c>
      <c r="D393" s="49">
        <f>IF($L393="D",INDEX('Zgłoszenia'!$H$5:$H$504,$M393)&amp;"",IF($L393="U",INDEX('Dane rozpisek'!$E$2:$E$2600,$M393)&amp;"",IF($L393="H","Operator","")))</f>
        <v/>
      </c>
      <c r="E393" s="49">
        <f>IF($L393="D",INDEX('Zgłoszenia'!$I$5:$I$504,$M393)&amp;"",IF($L393="U",INDEX('Dane rozpisek'!$C$2:$C$2600,$M393)&amp;"",IF($L393="H","Stanowisko","")))</f>
        <v/>
      </c>
      <c r="F393" s="48">
        <f>IF($L393="D",INDEX('Zgłoszenia'!$J$5:$J$504,$M393)&amp;"",IF($L393="U",INDEX('Dane rozpisek'!$G$2:$G$2600,$M393)&amp;"",IF($L393="H","Uwagi","")))</f>
        <v/>
      </c>
      <c r="G393" s="49">
        <f>IF($L393="D",INDEX('Zgłoszenia'!$F$5:$F$504,$M393)&amp;"",IF($L393="U",INDEX('Dane rozpisek'!$L$2:$L$2600,$M393)&amp;"",IF($L393="H","Usterki (dzień / następny)","")))</f>
        <v/>
      </c>
      <c r="H393" s="49">
        <f>IF($L393="D",INDEX('Zgłoszenia'!$P$5:$P$504,$M393)&amp;"",IF($L393="U","",""))</f>
        <v/>
      </c>
      <c r="I393" s="48">
        <f>IF($L393="D",IF(INDEX('Zgłoszenia'!$M$5:$M$504,$M393)="","Zgłoszona",INDEX('Zgłoszenia'!$M$5:$M$504,$M393)),IF($L393="U","",""))</f>
        <v/>
      </c>
      <c r="J393" s="49">
        <f>IF($L393="D",INDEX('Zgłoszenia'!$K$5:$K$504,$M393)&amp;"",IF($L393="U","",""))</f>
        <v/>
      </c>
      <c r="K393" s="2" t="n"/>
      <c r="L393" s="2">
        <f>IF((ROW()-12)&lt;=$L$5,IF($L$2=0,"E1","D"),IF((ROW()-12)=$L$5+1,"",IF((ROW()-12)=$L$5+2,"T",IF((ROW()-12)=$L$5+3,IF($L$3=0,"E2","H"),IF((ROW()-12)&lt;=$L$5+3+$L$3,"U","")))))</f>
        <v/>
      </c>
      <c r="M393" s="2">
        <f>IF(L393="D",MATCH(LARGE('Zgłoszenia'!$Q$5:$Q$504,(ROW()-12)),'Zgłoszenia'!$Q$5:$Q$504,0),IF(L393="U",MATCH(LARGE('Dane rozpisek'!$I$2:$I$2600,(ROW()-12)-$L$5-3),'Dane rozpisek'!$I$2:$I$2600,0),""))</f>
        <v/>
      </c>
    </row>
    <row r="394">
      <c r="A394" s="47">
        <f>IF($L394="D",INDEX('Zgłoszenia'!$D$5:$D$504,$M394),IF($L394="U",INDEX('Dane rozpisek'!$A$2:$A$2600,$M394),IF($L394="T","KTO JEŹDZIŁ",IF($L394="E1","Brak zgłoszonych usterek w tym okresie.",IF($L394="E2","Brak wpisów z tym wózkiem w rozpiskach dla tego okresu.",IF($L394="H","Data",""))))))</f>
        <v/>
      </c>
      <c r="B394" s="48">
        <f>IF($L394="D",INDEX('Zgłoszenia'!$B$5:$B$504,$M394)&amp;"",IF($L394="U",INDEX('Dane rozpisek'!$F$2:$F$2600,$M394)&amp;"",IF($L394="H","Wózek","")))</f>
        <v/>
      </c>
      <c r="C394" s="48">
        <f>IF($L394="D",INDEX('Zgłoszenia'!$E$5:$E$504,$M394)&amp;"",IF($L394="U",INDEX('Dane rozpisek'!$B$2:$B$2600,$M394)&amp;" · "&amp;INDEX('Dane rozpisek'!$J$2:$J$2600,$M394),IF($L394="H","Zmiana","")))</f>
        <v/>
      </c>
      <c r="D394" s="49">
        <f>IF($L394="D",INDEX('Zgłoszenia'!$H$5:$H$504,$M394)&amp;"",IF($L394="U",INDEX('Dane rozpisek'!$E$2:$E$2600,$M394)&amp;"",IF($L394="H","Operator","")))</f>
        <v/>
      </c>
      <c r="E394" s="49">
        <f>IF($L394="D",INDEX('Zgłoszenia'!$I$5:$I$504,$M394)&amp;"",IF($L394="U",INDEX('Dane rozpisek'!$C$2:$C$2600,$M394)&amp;"",IF($L394="H","Stanowisko","")))</f>
        <v/>
      </c>
      <c r="F394" s="48">
        <f>IF($L394="D",INDEX('Zgłoszenia'!$J$5:$J$504,$M394)&amp;"",IF($L394="U",INDEX('Dane rozpisek'!$G$2:$G$2600,$M394)&amp;"",IF($L394="H","Uwagi","")))</f>
        <v/>
      </c>
      <c r="G394" s="49">
        <f>IF($L394="D",INDEX('Zgłoszenia'!$F$5:$F$504,$M394)&amp;"",IF($L394="U",INDEX('Dane rozpisek'!$L$2:$L$2600,$M394)&amp;"",IF($L394="H","Usterki (dzień / następny)","")))</f>
        <v/>
      </c>
      <c r="H394" s="49">
        <f>IF($L394="D",INDEX('Zgłoszenia'!$P$5:$P$504,$M394)&amp;"",IF($L394="U","",""))</f>
        <v/>
      </c>
      <c r="I394" s="48">
        <f>IF($L394="D",IF(INDEX('Zgłoszenia'!$M$5:$M$504,$M394)="","Zgłoszona",INDEX('Zgłoszenia'!$M$5:$M$504,$M394)),IF($L394="U","",""))</f>
        <v/>
      </c>
      <c r="J394" s="49">
        <f>IF($L394="D",INDEX('Zgłoszenia'!$K$5:$K$504,$M394)&amp;"",IF($L394="U","",""))</f>
        <v/>
      </c>
      <c r="K394" s="2" t="n"/>
      <c r="L394" s="2">
        <f>IF((ROW()-12)&lt;=$L$5,IF($L$2=0,"E1","D"),IF((ROW()-12)=$L$5+1,"",IF((ROW()-12)=$L$5+2,"T",IF((ROW()-12)=$L$5+3,IF($L$3=0,"E2","H"),IF((ROW()-12)&lt;=$L$5+3+$L$3,"U","")))))</f>
        <v/>
      </c>
      <c r="M394" s="2">
        <f>IF(L394="D",MATCH(LARGE('Zgłoszenia'!$Q$5:$Q$504,(ROW()-12)),'Zgłoszenia'!$Q$5:$Q$504,0),IF(L394="U",MATCH(LARGE('Dane rozpisek'!$I$2:$I$2600,(ROW()-12)-$L$5-3),'Dane rozpisek'!$I$2:$I$2600,0),""))</f>
        <v/>
      </c>
    </row>
    <row r="395">
      <c r="A395" s="47">
        <f>IF($L395="D",INDEX('Zgłoszenia'!$D$5:$D$504,$M395),IF($L395="U",INDEX('Dane rozpisek'!$A$2:$A$2600,$M395),IF($L395="T","KTO JEŹDZIŁ",IF($L395="E1","Brak zgłoszonych usterek w tym okresie.",IF($L395="E2","Brak wpisów z tym wózkiem w rozpiskach dla tego okresu.",IF($L395="H","Data",""))))))</f>
        <v/>
      </c>
      <c r="B395" s="48">
        <f>IF($L395="D",INDEX('Zgłoszenia'!$B$5:$B$504,$M395)&amp;"",IF($L395="U",INDEX('Dane rozpisek'!$F$2:$F$2600,$M395)&amp;"",IF($L395="H","Wózek","")))</f>
        <v/>
      </c>
      <c r="C395" s="48">
        <f>IF($L395="D",INDEX('Zgłoszenia'!$E$5:$E$504,$M395)&amp;"",IF($L395="U",INDEX('Dane rozpisek'!$B$2:$B$2600,$M395)&amp;" · "&amp;INDEX('Dane rozpisek'!$J$2:$J$2600,$M395),IF($L395="H","Zmiana","")))</f>
        <v/>
      </c>
      <c r="D395" s="49">
        <f>IF($L395="D",INDEX('Zgłoszenia'!$H$5:$H$504,$M395)&amp;"",IF($L395="U",INDEX('Dane rozpisek'!$E$2:$E$2600,$M395)&amp;"",IF($L395="H","Operator","")))</f>
        <v/>
      </c>
      <c r="E395" s="49">
        <f>IF($L395="D",INDEX('Zgłoszenia'!$I$5:$I$504,$M395)&amp;"",IF($L395="U",INDEX('Dane rozpisek'!$C$2:$C$2600,$M395)&amp;"",IF($L395="H","Stanowisko","")))</f>
        <v/>
      </c>
      <c r="F395" s="48">
        <f>IF($L395="D",INDEX('Zgłoszenia'!$J$5:$J$504,$M395)&amp;"",IF($L395="U",INDEX('Dane rozpisek'!$G$2:$G$2600,$M395)&amp;"",IF($L395="H","Uwagi","")))</f>
        <v/>
      </c>
      <c r="G395" s="49">
        <f>IF($L395="D",INDEX('Zgłoszenia'!$F$5:$F$504,$M395)&amp;"",IF($L395="U",INDEX('Dane rozpisek'!$L$2:$L$2600,$M395)&amp;"",IF($L395="H","Usterki (dzień / następny)","")))</f>
        <v/>
      </c>
      <c r="H395" s="49">
        <f>IF($L395="D",INDEX('Zgłoszenia'!$P$5:$P$504,$M395)&amp;"",IF($L395="U","",""))</f>
        <v/>
      </c>
      <c r="I395" s="48">
        <f>IF($L395="D",IF(INDEX('Zgłoszenia'!$M$5:$M$504,$M395)="","Zgłoszona",INDEX('Zgłoszenia'!$M$5:$M$504,$M395)),IF($L395="U","",""))</f>
        <v/>
      </c>
      <c r="J395" s="49">
        <f>IF($L395="D",INDEX('Zgłoszenia'!$K$5:$K$504,$M395)&amp;"",IF($L395="U","",""))</f>
        <v/>
      </c>
      <c r="K395" s="2" t="n"/>
      <c r="L395" s="2">
        <f>IF((ROW()-12)&lt;=$L$5,IF($L$2=0,"E1","D"),IF((ROW()-12)=$L$5+1,"",IF((ROW()-12)=$L$5+2,"T",IF((ROW()-12)=$L$5+3,IF($L$3=0,"E2","H"),IF((ROW()-12)&lt;=$L$5+3+$L$3,"U","")))))</f>
        <v/>
      </c>
      <c r="M395" s="2">
        <f>IF(L395="D",MATCH(LARGE('Zgłoszenia'!$Q$5:$Q$504,(ROW()-12)),'Zgłoszenia'!$Q$5:$Q$504,0),IF(L395="U",MATCH(LARGE('Dane rozpisek'!$I$2:$I$2600,(ROW()-12)-$L$5-3),'Dane rozpisek'!$I$2:$I$2600,0),""))</f>
        <v/>
      </c>
    </row>
    <row r="396">
      <c r="A396" s="47">
        <f>IF($L396="D",INDEX('Zgłoszenia'!$D$5:$D$504,$M396),IF($L396="U",INDEX('Dane rozpisek'!$A$2:$A$2600,$M396),IF($L396="T","KTO JEŹDZIŁ",IF($L396="E1","Brak zgłoszonych usterek w tym okresie.",IF($L396="E2","Brak wpisów z tym wózkiem w rozpiskach dla tego okresu.",IF($L396="H","Data",""))))))</f>
        <v/>
      </c>
      <c r="B396" s="48">
        <f>IF($L396="D",INDEX('Zgłoszenia'!$B$5:$B$504,$M396)&amp;"",IF($L396="U",INDEX('Dane rozpisek'!$F$2:$F$2600,$M396)&amp;"",IF($L396="H","Wózek","")))</f>
        <v/>
      </c>
      <c r="C396" s="48">
        <f>IF($L396="D",INDEX('Zgłoszenia'!$E$5:$E$504,$M396)&amp;"",IF($L396="U",INDEX('Dane rozpisek'!$B$2:$B$2600,$M396)&amp;" · "&amp;INDEX('Dane rozpisek'!$J$2:$J$2600,$M396),IF($L396="H","Zmiana","")))</f>
        <v/>
      </c>
      <c r="D396" s="49">
        <f>IF($L396="D",INDEX('Zgłoszenia'!$H$5:$H$504,$M396)&amp;"",IF($L396="U",INDEX('Dane rozpisek'!$E$2:$E$2600,$M396)&amp;"",IF($L396="H","Operator","")))</f>
        <v/>
      </c>
      <c r="E396" s="49">
        <f>IF($L396="D",INDEX('Zgłoszenia'!$I$5:$I$504,$M396)&amp;"",IF($L396="U",INDEX('Dane rozpisek'!$C$2:$C$2600,$M396)&amp;"",IF($L396="H","Stanowisko","")))</f>
        <v/>
      </c>
      <c r="F396" s="48">
        <f>IF($L396="D",INDEX('Zgłoszenia'!$J$5:$J$504,$M396)&amp;"",IF($L396="U",INDEX('Dane rozpisek'!$G$2:$G$2600,$M396)&amp;"",IF($L396="H","Uwagi","")))</f>
        <v/>
      </c>
      <c r="G396" s="49">
        <f>IF($L396="D",INDEX('Zgłoszenia'!$F$5:$F$504,$M396)&amp;"",IF($L396="U",INDEX('Dane rozpisek'!$L$2:$L$2600,$M396)&amp;"",IF($L396="H","Usterki (dzień / następny)","")))</f>
        <v/>
      </c>
      <c r="H396" s="49">
        <f>IF($L396="D",INDEX('Zgłoszenia'!$P$5:$P$504,$M396)&amp;"",IF($L396="U","",""))</f>
        <v/>
      </c>
      <c r="I396" s="48">
        <f>IF($L396="D",IF(INDEX('Zgłoszenia'!$M$5:$M$504,$M396)="","Zgłoszona",INDEX('Zgłoszenia'!$M$5:$M$504,$M396)),IF($L396="U","",""))</f>
        <v/>
      </c>
      <c r="J396" s="49">
        <f>IF($L396="D",INDEX('Zgłoszenia'!$K$5:$K$504,$M396)&amp;"",IF($L396="U","",""))</f>
        <v/>
      </c>
      <c r="K396" s="2" t="n"/>
      <c r="L396" s="2">
        <f>IF((ROW()-12)&lt;=$L$5,IF($L$2=0,"E1","D"),IF((ROW()-12)=$L$5+1,"",IF((ROW()-12)=$L$5+2,"T",IF((ROW()-12)=$L$5+3,IF($L$3=0,"E2","H"),IF((ROW()-12)&lt;=$L$5+3+$L$3,"U","")))))</f>
        <v/>
      </c>
      <c r="M396" s="2">
        <f>IF(L396="D",MATCH(LARGE('Zgłoszenia'!$Q$5:$Q$504,(ROW()-12)),'Zgłoszenia'!$Q$5:$Q$504,0),IF(L396="U",MATCH(LARGE('Dane rozpisek'!$I$2:$I$2600,(ROW()-12)-$L$5-3),'Dane rozpisek'!$I$2:$I$2600,0),""))</f>
        <v/>
      </c>
    </row>
    <row r="397">
      <c r="A397" s="47">
        <f>IF($L397="D",INDEX('Zgłoszenia'!$D$5:$D$504,$M397),IF($L397="U",INDEX('Dane rozpisek'!$A$2:$A$2600,$M397),IF($L397="T","KTO JEŹDZIŁ",IF($L397="E1","Brak zgłoszonych usterek w tym okresie.",IF($L397="E2","Brak wpisów z tym wózkiem w rozpiskach dla tego okresu.",IF($L397="H","Data",""))))))</f>
        <v/>
      </c>
      <c r="B397" s="48">
        <f>IF($L397="D",INDEX('Zgłoszenia'!$B$5:$B$504,$M397)&amp;"",IF($L397="U",INDEX('Dane rozpisek'!$F$2:$F$2600,$M397)&amp;"",IF($L397="H","Wózek","")))</f>
        <v/>
      </c>
      <c r="C397" s="48">
        <f>IF($L397="D",INDEX('Zgłoszenia'!$E$5:$E$504,$M397)&amp;"",IF($L397="U",INDEX('Dane rozpisek'!$B$2:$B$2600,$M397)&amp;" · "&amp;INDEX('Dane rozpisek'!$J$2:$J$2600,$M397),IF($L397="H","Zmiana","")))</f>
        <v/>
      </c>
      <c r="D397" s="49">
        <f>IF($L397="D",INDEX('Zgłoszenia'!$H$5:$H$504,$M397)&amp;"",IF($L397="U",INDEX('Dane rozpisek'!$E$2:$E$2600,$M397)&amp;"",IF($L397="H","Operator","")))</f>
        <v/>
      </c>
      <c r="E397" s="49">
        <f>IF($L397="D",INDEX('Zgłoszenia'!$I$5:$I$504,$M397)&amp;"",IF($L397="U",INDEX('Dane rozpisek'!$C$2:$C$2600,$M397)&amp;"",IF($L397="H","Stanowisko","")))</f>
        <v/>
      </c>
      <c r="F397" s="48">
        <f>IF($L397="D",INDEX('Zgłoszenia'!$J$5:$J$504,$M397)&amp;"",IF($L397="U",INDEX('Dane rozpisek'!$G$2:$G$2600,$M397)&amp;"",IF($L397="H","Uwagi","")))</f>
        <v/>
      </c>
      <c r="G397" s="49">
        <f>IF($L397="D",INDEX('Zgłoszenia'!$F$5:$F$504,$M397)&amp;"",IF($L397="U",INDEX('Dane rozpisek'!$L$2:$L$2600,$M397)&amp;"",IF($L397="H","Usterki (dzień / następny)","")))</f>
        <v/>
      </c>
      <c r="H397" s="49">
        <f>IF($L397="D",INDEX('Zgłoszenia'!$P$5:$P$504,$M397)&amp;"",IF($L397="U","",""))</f>
        <v/>
      </c>
      <c r="I397" s="48">
        <f>IF($L397="D",IF(INDEX('Zgłoszenia'!$M$5:$M$504,$M397)="","Zgłoszona",INDEX('Zgłoszenia'!$M$5:$M$504,$M397)),IF($L397="U","",""))</f>
        <v/>
      </c>
      <c r="J397" s="49">
        <f>IF($L397="D",INDEX('Zgłoszenia'!$K$5:$K$504,$M397)&amp;"",IF($L397="U","",""))</f>
        <v/>
      </c>
      <c r="K397" s="2" t="n"/>
      <c r="L397" s="2">
        <f>IF((ROW()-12)&lt;=$L$5,IF($L$2=0,"E1","D"),IF((ROW()-12)=$L$5+1,"",IF((ROW()-12)=$L$5+2,"T",IF((ROW()-12)=$L$5+3,IF($L$3=0,"E2","H"),IF((ROW()-12)&lt;=$L$5+3+$L$3,"U","")))))</f>
        <v/>
      </c>
      <c r="M397" s="2">
        <f>IF(L397="D",MATCH(LARGE('Zgłoszenia'!$Q$5:$Q$504,(ROW()-12)),'Zgłoszenia'!$Q$5:$Q$504,0),IF(L397="U",MATCH(LARGE('Dane rozpisek'!$I$2:$I$2600,(ROW()-12)-$L$5-3),'Dane rozpisek'!$I$2:$I$2600,0),""))</f>
        <v/>
      </c>
    </row>
    <row r="398">
      <c r="A398" s="47">
        <f>IF($L398="D",INDEX('Zgłoszenia'!$D$5:$D$504,$M398),IF($L398="U",INDEX('Dane rozpisek'!$A$2:$A$2600,$M398),IF($L398="T","KTO JEŹDZIŁ",IF($L398="E1","Brak zgłoszonych usterek w tym okresie.",IF($L398="E2","Brak wpisów z tym wózkiem w rozpiskach dla tego okresu.",IF($L398="H","Data",""))))))</f>
        <v/>
      </c>
      <c r="B398" s="48">
        <f>IF($L398="D",INDEX('Zgłoszenia'!$B$5:$B$504,$M398)&amp;"",IF($L398="U",INDEX('Dane rozpisek'!$F$2:$F$2600,$M398)&amp;"",IF($L398="H","Wózek","")))</f>
        <v/>
      </c>
      <c r="C398" s="48">
        <f>IF($L398="D",INDEX('Zgłoszenia'!$E$5:$E$504,$M398)&amp;"",IF($L398="U",INDEX('Dane rozpisek'!$B$2:$B$2600,$M398)&amp;" · "&amp;INDEX('Dane rozpisek'!$J$2:$J$2600,$M398),IF($L398="H","Zmiana","")))</f>
        <v/>
      </c>
      <c r="D398" s="49">
        <f>IF($L398="D",INDEX('Zgłoszenia'!$H$5:$H$504,$M398)&amp;"",IF($L398="U",INDEX('Dane rozpisek'!$E$2:$E$2600,$M398)&amp;"",IF($L398="H","Operator","")))</f>
        <v/>
      </c>
      <c r="E398" s="49">
        <f>IF($L398="D",INDEX('Zgłoszenia'!$I$5:$I$504,$M398)&amp;"",IF($L398="U",INDEX('Dane rozpisek'!$C$2:$C$2600,$M398)&amp;"",IF($L398="H","Stanowisko","")))</f>
        <v/>
      </c>
      <c r="F398" s="48">
        <f>IF($L398="D",INDEX('Zgłoszenia'!$J$5:$J$504,$M398)&amp;"",IF($L398="U",INDEX('Dane rozpisek'!$G$2:$G$2600,$M398)&amp;"",IF($L398="H","Uwagi","")))</f>
        <v/>
      </c>
      <c r="G398" s="49">
        <f>IF($L398="D",INDEX('Zgłoszenia'!$F$5:$F$504,$M398)&amp;"",IF($L398="U",INDEX('Dane rozpisek'!$L$2:$L$2600,$M398)&amp;"",IF($L398="H","Usterki (dzień / następny)","")))</f>
        <v/>
      </c>
      <c r="H398" s="49">
        <f>IF($L398="D",INDEX('Zgłoszenia'!$P$5:$P$504,$M398)&amp;"",IF($L398="U","",""))</f>
        <v/>
      </c>
      <c r="I398" s="48">
        <f>IF($L398="D",IF(INDEX('Zgłoszenia'!$M$5:$M$504,$M398)="","Zgłoszona",INDEX('Zgłoszenia'!$M$5:$M$504,$M398)),IF($L398="U","",""))</f>
        <v/>
      </c>
      <c r="J398" s="49">
        <f>IF($L398="D",INDEX('Zgłoszenia'!$K$5:$K$504,$M398)&amp;"",IF($L398="U","",""))</f>
        <v/>
      </c>
      <c r="K398" s="2" t="n"/>
      <c r="L398" s="2">
        <f>IF((ROW()-12)&lt;=$L$5,IF($L$2=0,"E1","D"),IF((ROW()-12)=$L$5+1,"",IF((ROW()-12)=$L$5+2,"T",IF((ROW()-12)=$L$5+3,IF($L$3=0,"E2","H"),IF((ROW()-12)&lt;=$L$5+3+$L$3,"U","")))))</f>
        <v/>
      </c>
      <c r="M398" s="2">
        <f>IF(L398="D",MATCH(LARGE('Zgłoszenia'!$Q$5:$Q$504,(ROW()-12)),'Zgłoszenia'!$Q$5:$Q$504,0),IF(L398="U",MATCH(LARGE('Dane rozpisek'!$I$2:$I$2600,(ROW()-12)-$L$5-3),'Dane rozpisek'!$I$2:$I$2600,0),""))</f>
        <v/>
      </c>
    </row>
    <row r="399">
      <c r="A399" s="47">
        <f>IF($L399="D",INDEX('Zgłoszenia'!$D$5:$D$504,$M399),IF($L399="U",INDEX('Dane rozpisek'!$A$2:$A$2600,$M399),IF($L399="T","KTO JEŹDZIŁ",IF($L399="E1","Brak zgłoszonych usterek w tym okresie.",IF($L399="E2","Brak wpisów z tym wózkiem w rozpiskach dla tego okresu.",IF($L399="H","Data",""))))))</f>
        <v/>
      </c>
      <c r="B399" s="48">
        <f>IF($L399="D",INDEX('Zgłoszenia'!$B$5:$B$504,$M399)&amp;"",IF($L399="U",INDEX('Dane rozpisek'!$F$2:$F$2600,$M399)&amp;"",IF($L399="H","Wózek","")))</f>
        <v/>
      </c>
      <c r="C399" s="48">
        <f>IF($L399="D",INDEX('Zgłoszenia'!$E$5:$E$504,$M399)&amp;"",IF($L399="U",INDEX('Dane rozpisek'!$B$2:$B$2600,$M399)&amp;" · "&amp;INDEX('Dane rozpisek'!$J$2:$J$2600,$M399),IF($L399="H","Zmiana","")))</f>
        <v/>
      </c>
      <c r="D399" s="49">
        <f>IF($L399="D",INDEX('Zgłoszenia'!$H$5:$H$504,$M399)&amp;"",IF($L399="U",INDEX('Dane rozpisek'!$E$2:$E$2600,$M399)&amp;"",IF($L399="H","Operator","")))</f>
        <v/>
      </c>
      <c r="E399" s="49">
        <f>IF($L399="D",INDEX('Zgłoszenia'!$I$5:$I$504,$M399)&amp;"",IF($L399="U",INDEX('Dane rozpisek'!$C$2:$C$2600,$M399)&amp;"",IF($L399="H","Stanowisko","")))</f>
        <v/>
      </c>
      <c r="F399" s="48">
        <f>IF($L399="D",INDEX('Zgłoszenia'!$J$5:$J$504,$M399)&amp;"",IF($L399="U",INDEX('Dane rozpisek'!$G$2:$G$2600,$M399)&amp;"",IF($L399="H","Uwagi","")))</f>
        <v/>
      </c>
      <c r="G399" s="49">
        <f>IF($L399="D",INDEX('Zgłoszenia'!$F$5:$F$504,$M399)&amp;"",IF($L399="U",INDEX('Dane rozpisek'!$L$2:$L$2600,$M399)&amp;"",IF($L399="H","Usterki (dzień / następny)","")))</f>
        <v/>
      </c>
      <c r="H399" s="49">
        <f>IF($L399="D",INDEX('Zgłoszenia'!$P$5:$P$504,$M399)&amp;"",IF($L399="U","",""))</f>
        <v/>
      </c>
      <c r="I399" s="48">
        <f>IF($L399="D",IF(INDEX('Zgłoszenia'!$M$5:$M$504,$M399)="","Zgłoszona",INDEX('Zgłoszenia'!$M$5:$M$504,$M399)),IF($L399="U","",""))</f>
        <v/>
      </c>
      <c r="J399" s="49">
        <f>IF($L399="D",INDEX('Zgłoszenia'!$K$5:$K$504,$M399)&amp;"",IF($L399="U","",""))</f>
        <v/>
      </c>
      <c r="K399" s="2" t="n"/>
      <c r="L399" s="2">
        <f>IF((ROW()-12)&lt;=$L$5,IF($L$2=0,"E1","D"),IF((ROW()-12)=$L$5+1,"",IF((ROW()-12)=$L$5+2,"T",IF((ROW()-12)=$L$5+3,IF($L$3=0,"E2","H"),IF((ROW()-12)&lt;=$L$5+3+$L$3,"U","")))))</f>
        <v/>
      </c>
      <c r="M399" s="2">
        <f>IF(L399="D",MATCH(LARGE('Zgłoszenia'!$Q$5:$Q$504,(ROW()-12)),'Zgłoszenia'!$Q$5:$Q$504,0),IF(L399="U",MATCH(LARGE('Dane rozpisek'!$I$2:$I$2600,(ROW()-12)-$L$5-3),'Dane rozpisek'!$I$2:$I$2600,0),""))</f>
        <v/>
      </c>
    </row>
    <row r="400">
      <c r="A400" s="47">
        <f>IF($L400="D",INDEX('Zgłoszenia'!$D$5:$D$504,$M400),IF($L400="U",INDEX('Dane rozpisek'!$A$2:$A$2600,$M400),IF($L400="T","KTO JEŹDZIŁ",IF($L400="E1","Brak zgłoszonych usterek w tym okresie.",IF($L400="E2","Brak wpisów z tym wózkiem w rozpiskach dla tego okresu.",IF($L400="H","Data",""))))))</f>
        <v/>
      </c>
      <c r="B400" s="48">
        <f>IF($L400="D",INDEX('Zgłoszenia'!$B$5:$B$504,$M400)&amp;"",IF($L400="U",INDEX('Dane rozpisek'!$F$2:$F$2600,$M400)&amp;"",IF($L400="H","Wózek","")))</f>
        <v/>
      </c>
      <c r="C400" s="48">
        <f>IF($L400="D",INDEX('Zgłoszenia'!$E$5:$E$504,$M400)&amp;"",IF($L400="U",INDEX('Dane rozpisek'!$B$2:$B$2600,$M400)&amp;" · "&amp;INDEX('Dane rozpisek'!$J$2:$J$2600,$M400),IF($L400="H","Zmiana","")))</f>
        <v/>
      </c>
      <c r="D400" s="49">
        <f>IF($L400="D",INDEX('Zgłoszenia'!$H$5:$H$504,$M400)&amp;"",IF($L400="U",INDEX('Dane rozpisek'!$E$2:$E$2600,$M400)&amp;"",IF($L400="H","Operator","")))</f>
        <v/>
      </c>
      <c r="E400" s="49">
        <f>IF($L400="D",INDEX('Zgłoszenia'!$I$5:$I$504,$M400)&amp;"",IF($L400="U",INDEX('Dane rozpisek'!$C$2:$C$2600,$M400)&amp;"",IF($L400="H","Stanowisko","")))</f>
        <v/>
      </c>
      <c r="F400" s="48">
        <f>IF($L400="D",INDEX('Zgłoszenia'!$J$5:$J$504,$M400)&amp;"",IF($L400="U",INDEX('Dane rozpisek'!$G$2:$G$2600,$M400)&amp;"",IF($L400="H","Uwagi","")))</f>
        <v/>
      </c>
      <c r="G400" s="49">
        <f>IF($L400="D",INDEX('Zgłoszenia'!$F$5:$F$504,$M400)&amp;"",IF($L400="U",INDEX('Dane rozpisek'!$L$2:$L$2600,$M400)&amp;"",IF($L400="H","Usterki (dzień / następny)","")))</f>
        <v/>
      </c>
      <c r="H400" s="49">
        <f>IF($L400="D",INDEX('Zgłoszenia'!$P$5:$P$504,$M400)&amp;"",IF($L400="U","",""))</f>
        <v/>
      </c>
      <c r="I400" s="48">
        <f>IF($L400="D",IF(INDEX('Zgłoszenia'!$M$5:$M$504,$M400)="","Zgłoszona",INDEX('Zgłoszenia'!$M$5:$M$504,$M400)),IF($L400="U","",""))</f>
        <v/>
      </c>
      <c r="J400" s="49">
        <f>IF($L400="D",INDEX('Zgłoszenia'!$K$5:$K$504,$M400)&amp;"",IF($L400="U","",""))</f>
        <v/>
      </c>
      <c r="K400" s="2" t="n"/>
      <c r="L400" s="2">
        <f>IF((ROW()-12)&lt;=$L$5,IF($L$2=0,"E1","D"),IF((ROW()-12)=$L$5+1,"",IF((ROW()-12)=$L$5+2,"T",IF((ROW()-12)=$L$5+3,IF($L$3=0,"E2","H"),IF((ROW()-12)&lt;=$L$5+3+$L$3,"U","")))))</f>
        <v/>
      </c>
      <c r="M400" s="2">
        <f>IF(L400="D",MATCH(LARGE('Zgłoszenia'!$Q$5:$Q$504,(ROW()-12)),'Zgłoszenia'!$Q$5:$Q$504,0),IF(L400="U",MATCH(LARGE('Dane rozpisek'!$I$2:$I$2600,(ROW()-12)-$L$5-3),'Dane rozpisek'!$I$2:$I$2600,0),""))</f>
        <v/>
      </c>
    </row>
    <row r="401">
      <c r="A401" s="47">
        <f>IF($L401="D",INDEX('Zgłoszenia'!$D$5:$D$504,$M401),IF($L401="U",INDEX('Dane rozpisek'!$A$2:$A$2600,$M401),IF($L401="T","KTO JEŹDZIŁ",IF($L401="E1","Brak zgłoszonych usterek w tym okresie.",IF($L401="E2","Brak wpisów z tym wózkiem w rozpiskach dla tego okresu.",IF($L401="H","Data",""))))))</f>
        <v/>
      </c>
      <c r="B401" s="48">
        <f>IF($L401="D",INDEX('Zgłoszenia'!$B$5:$B$504,$M401)&amp;"",IF($L401="U",INDEX('Dane rozpisek'!$F$2:$F$2600,$M401)&amp;"",IF($L401="H","Wózek","")))</f>
        <v/>
      </c>
      <c r="C401" s="48">
        <f>IF($L401="D",INDEX('Zgłoszenia'!$E$5:$E$504,$M401)&amp;"",IF($L401="U",INDEX('Dane rozpisek'!$B$2:$B$2600,$M401)&amp;" · "&amp;INDEX('Dane rozpisek'!$J$2:$J$2600,$M401),IF($L401="H","Zmiana","")))</f>
        <v/>
      </c>
      <c r="D401" s="49">
        <f>IF($L401="D",INDEX('Zgłoszenia'!$H$5:$H$504,$M401)&amp;"",IF($L401="U",INDEX('Dane rozpisek'!$E$2:$E$2600,$M401)&amp;"",IF($L401="H","Operator","")))</f>
        <v/>
      </c>
      <c r="E401" s="49">
        <f>IF($L401="D",INDEX('Zgłoszenia'!$I$5:$I$504,$M401)&amp;"",IF($L401="U",INDEX('Dane rozpisek'!$C$2:$C$2600,$M401)&amp;"",IF($L401="H","Stanowisko","")))</f>
        <v/>
      </c>
      <c r="F401" s="48">
        <f>IF($L401="D",INDEX('Zgłoszenia'!$J$5:$J$504,$M401)&amp;"",IF($L401="U",INDEX('Dane rozpisek'!$G$2:$G$2600,$M401)&amp;"",IF($L401="H","Uwagi","")))</f>
        <v/>
      </c>
      <c r="G401" s="49">
        <f>IF($L401="D",INDEX('Zgłoszenia'!$F$5:$F$504,$M401)&amp;"",IF($L401="U",INDEX('Dane rozpisek'!$L$2:$L$2600,$M401)&amp;"",IF($L401="H","Usterki (dzień / następny)","")))</f>
        <v/>
      </c>
      <c r="H401" s="49">
        <f>IF($L401="D",INDEX('Zgłoszenia'!$P$5:$P$504,$M401)&amp;"",IF($L401="U","",""))</f>
        <v/>
      </c>
      <c r="I401" s="48">
        <f>IF($L401="D",IF(INDEX('Zgłoszenia'!$M$5:$M$504,$M401)="","Zgłoszona",INDEX('Zgłoszenia'!$M$5:$M$504,$M401)),IF($L401="U","",""))</f>
        <v/>
      </c>
      <c r="J401" s="49">
        <f>IF($L401="D",INDEX('Zgłoszenia'!$K$5:$K$504,$M401)&amp;"",IF($L401="U","",""))</f>
        <v/>
      </c>
      <c r="K401" s="2" t="n"/>
      <c r="L401" s="2">
        <f>IF((ROW()-12)&lt;=$L$5,IF($L$2=0,"E1","D"),IF((ROW()-12)=$L$5+1,"",IF((ROW()-12)=$L$5+2,"T",IF((ROW()-12)=$L$5+3,IF($L$3=0,"E2","H"),IF((ROW()-12)&lt;=$L$5+3+$L$3,"U","")))))</f>
        <v/>
      </c>
      <c r="M401" s="2">
        <f>IF(L401="D",MATCH(LARGE('Zgłoszenia'!$Q$5:$Q$504,(ROW()-12)),'Zgłoszenia'!$Q$5:$Q$504,0),IF(L401="U",MATCH(LARGE('Dane rozpisek'!$I$2:$I$2600,(ROW()-12)-$L$5-3),'Dane rozpisek'!$I$2:$I$2600,0),""))</f>
        <v/>
      </c>
    </row>
    <row r="402">
      <c r="A402" s="47">
        <f>IF($L402="D",INDEX('Zgłoszenia'!$D$5:$D$504,$M402),IF($L402="U",INDEX('Dane rozpisek'!$A$2:$A$2600,$M402),IF($L402="T","KTO JEŹDZIŁ",IF($L402="E1","Brak zgłoszonych usterek w tym okresie.",IF($L402="E2","Brak wpisów z tym wózkiem w rozpiskach dla tego okresu.",IF($L402="H","Data",""))))))</f>
        <v/>
      </c>
      <c r="B402" s="48">
        <f>IF($L402="D",INDEX('Zgłoszenia'!$B$5:$B$504,$M402)&amp;"",IF($L402="U",INDEX('Dane rozpisek'!$F$2:$F$2600,$M402)&amp;"",IF($L402="H","Wózek","")))</f>
        <v/>
      </c>
      <c r="C402" s="48">
        <f>IF($L402="D",INDEX('Zgłoszenia'!$E$5:$E$504,$M402)&amp;"",IF($L402="U",INDEX('Dane rozpisek'!$B$2:$B$2600,$M402)&amp;" · "&amp;INDEX('Dane rozpisek'!$J$2:$J$2600,$M402),IF($L402="H","Zmiana","")))</f>
        <v/>
      </c>
      <c r="D402" s="49">
        <f>IF($L402="D",INDEX('Zgłoszenia'!$H$5:$H$504,$M402)&amp;"",IF($L402="U",INDEX('Dane rozpisek'!$E$2:$E$2600,$M402)&amp;"",IF($L402="H","Operator","")))</f>
        <v/>
      </c>
      <c r="E402" s="49">
        <f>IF($L402="D",INDEX('Zgłoszenia'!$I$5:$I$504,$M402)&amp;"",IF($L402="U",INDEX('Dane rozpisek'!$C$2:$C$2600,$M402)&amp;"",IF($L402="H","Stanowisko","")))</f>
        <v/>
      </c>
      <c r="F402" s="48">
        <f>IF($L402="D",INDEX('Zgłoszenia'!$J$5:$J$504,$M402)&amp;"",IF($L402="U",INDEX('Dane rozpisek'!$G$2:$G$2600,$M402)&amp;"",IF($L402="H","Uwagi","")))</f>
        <v/>
      </c>
      <c r="G402" s="49">
        <f>IF($L402="D",INDEX('Zgłoszenia'!$F$5:$F$504,$M402)&amp;"",IF($L402="U",INDEX('Dane rozpisek'!$L$2:$L$2600,$M402)&amp;"",IF($L402="H","Usterki (dzień / następny)","")))</f>
        <v/>
      </c>
      <c r="H402" s="49">
        <f>IF($L402="D",INDEX('Zgłoszenia'!$P$5:$P$504,$M402)&amp;"",IF($L402="U","",""))</f>
        <v/>
      </c>
      <c r="I402" s="48">
        <f>IF($L402="D",IF(INDEX('Zgłoszenia'!$M$5:$M$504,$M402)="","Zgłoszona",INDEX('Zgłoszenia'!$M$5:$M$504,$M402)),IF($L402="U","",""))</f>
        <v/>
      </c>
      <c r="J402" s="49">
        <f>IF($L402="D",INDEX('Zgłoszenia'!$K$5:$K$504,$M402)&amp;"",IF($L402="U","",""))</f>
        <v/>
      </c>
      <c r="K402" s="2" t="n"/>
      <c r="L402" s="2">
        <f>IF((ROW()-12)&lt;=$L$5,IF($L$2=0,"E1","D"),IF((ROW()-12)=$L$5+1,"",IF((ROW()-12)=$L$5+2,"T",IF((ROW()-12)=$L$5+3,IF($L$3=0,"E2","H"),IF((ROW()-12)&lt;=$L$5+3+$L$3,"U","")))))</f>
        <v/>
      </c>
      <c r="M402" s="2">
        <f>IF(L402="D",MATCH(LARGE('Zgłoszenia'!$Q$5:$Q$504,(ROW()-12)),'Zgłoszenia'!$Q$5:$Q$504,0),IF(L402="U",MATCH(LARGE('Dane rozpisek'!$I$2:$I$2600,(ROW()-12)-$L$5-3),'Dane rozpisek'!$I$2:$I$2600,0),""))</f>
        <v/>
      </c>
    </row>
    <row r="403">
      <c r="A403" s="47">
        <f>IF($L403="D",INDEX('Zgłoszenia'!$D$5:$D$504,$M403),IF($L403="U",INDEX('Dane rozpisek'!$A$2:$A$2600,$M403),IF($L403="T","KTO JEŹDZIŁ",IF($L403="E1","Brak zgłoszonych usterek w tym okresie.",IF($L403="E2","Brak wpisów z tym wózkiem w rozpiskach dla tego okresu.",IF($L403="H","Data",""))))))</f>
        <v/>
      </c>
      <c r="B403" s="48">
        <f>IF($L403="D",INDEX('Zgłoszenia'!$B$5:$B$504,$M403)&amp;"",IF($L403="U",INDEX('Dane rozpisek'!$F$2:$F$2600,$M403)&amp;"",IF($L403="H","Wózek","")))</f>
        <v/>
      </c>
      <c r="C403" s="48">
        <f>IF($L403="D",INDEX('Zgłoszenia'!$E$5:$E$504,$M403)&amp;"",IF($L403="U",INDEX('Dane rozpisek'!$B$2:$B$2600,$M403)&amp;" · "&amp;INDEX('Dane rozpisek'!$J$2:$J$2600,$M403),IF($L403="H","Zmiana","")))</f>
        <v/>
      </c>
      <c r="D403" s="49">
        <f>IF($L403="D",INDEX('Zgłoszenia'!$H$5:$H$504,$M403)&amp;"",IF($L403="U",INDEX('Dane rozpisek'!$E$2:$E$2600,$M403)&amp;"",IF($L403="H","Operator","")))</f>
        <v/>
      </c>
      <c r="E403" s="49">
        <f>IF($L403="D",INDEX('Zgłoszenia'!$I$5:$I$504,$M403)&amp;"",IF($L403="U",INDEX('Dane rozpisek'!$C$2:$C$2600,$M403)&amp;"",IF($L403="H","Stanowisko","")))</f>
        <v/>
      </c>
      <c r="F403" s="48">
        <f>IF($L403="D",INDEX('Zgłoszenia'!$J$5:$J$504,$M403)&amp;"",IF($L403="U",INDEX('Dane rozpisek'!$G$2:$G$2600,$M403)&amp;"",IF($L403="H","Uwagi","")))</f>
        <v/>
      </c>
      <c r="G403" s="49">
        <f>IF($L403="D",INDEX('Zgłoszenia'!$F$5:$F$504,$M403)&amp;"",IF($L403="U",INDEX('Dane rozpisek'!$L$2:$L$2600,$M403)&amp;"",IF($L403="H","Usterki (dzień / następny)","")))</f>
        <v/>
      </c>
      <c r="H403" s="49">
        <f>IF($L403="D",INDEX('Zgłoszenia'!$P$5:$P$504,$M403)&amp;"",IF($L403="U","",""))</f>
        <v/>
      </c>
      <c r="I403" s="48">
        <f>IF($L403="D",IF(INDEX('Zgłoszenia'!$M$5:$M$504,$M403)="","Zgłoszona",INDEX('Zgłoszenia'!$M$5:$M$504,$M403)),IF($L403="U","",""))</f>
        <v/>
      </c>
      <c r="J403" s="49">
        <f>IF($L403="D",INDEX('Zgłoszenia'!$K$5:$K$504,$M403)&amp;"",IF($L403="U","",""))</f>
        <v/>
      </c>
      <c r="K403" s="2" t="n"/>
      <c r="L403" s="2">
        <f>IF((ROW()-12)&lt;=$L$5,IF($L$2=0,"E1","D"),IF((ROW()-12)=$L$5+1,"",IF((ROW()-12)=$L$5+2,"T",IF((ROW()-12)=$L$5+3,IF($L$3=0,"E2","H"),IF((ROW()-12)&lt;=$L$5+3+$L$3,"U","")))))</f>
        <v/>
      </c>
      <c r="M403" s="2">
        <f>IF(L403="D",MATCH(LARGE('Zgłoszenia'!$Q$5:$Q$504,(ROW()-12)),'Zgłoszenia'!$Q$5:$Q$504,0),IF(L403="U",MATCH(LARGE('Dane rozpisek'!$I$2:$I$2600,(ROW()-12)-$L$5-3),'Dane rozpisek'!$I$2:$I$2600,0),""))</f>
        <v/>
      </c>
    </row>
    <row r="404">
      <c r="A404" s="47">
        <f>IF($L404="D",INDEX('Zgłoszenia'!$D$5:$D$504,$M404),IF($L404="U",INDEX('Dane rozpisek'!$A$2:$A$2600,$M404),IF($L404="T","KTO JEŹDZIŁ",IF($L404="E1","Brak zgłoszonych usterek w tym okresie.",IF($L404="E2","Brak wpisów z tym wózkiem w rozpiskach dla tego okresu.",IF($L404="H","Data",""))))))</f>
        <v/>
      </c>
      <c r="B404" s="48">
        <f>IF($L404="D",INDEX('Zgłoszenia'!$B$5:$B$504,$M404)&amp;"",IF($L404="U",INDEX('Dane rozpisek'!$F$2:$F$2600,$M404)&amp;"",IF($L404="H","Wózek","")))</f>
        <v/>
      </c>
      <c r="C404" s="48">
        <f>IF($L404="D",INDEX('Zgłoszenia'!$E$5:$E$504,$M404)&amp;"",IF($L404="U",INDEX('Dane rozpisek'!$B$2:$B$2600,$M404)&amp;" · "&amp;INDEX('Dane rozpisek'!$J$2:$J$2600,$M404),IF($L404="H","Zmiana","")))</f>
        <v/>
      </c>
      <c r="D404" s="49">
        <f>IF($L404="D",INDEX('Zgłoszenia'!$H$5:$H$504,$M404)&amp;"",IF($L404="U",INDEX('Dane rozpisek'!$E$2:$E$2600,$M404)&amp;"",IF($L404="H","Operator","")))</f>
        <v/>
      </c>
      <c r="E404" s="49">
        <f>IF($L404="D",INDEX('Zgłoszenia'!$I$5:$I$504,$M404)&amp;"",IF($L404="U",INDEX('Dane rozpisek'!$C$2:$C$2600,$M404)&amp;"",IF($L404="H","Stanowisko","")))</f>
        <v/>
      </c>
      <c r="F404" s="48">
        <f>IF($L404="D",INDEX('Zgłoszenia'!$J$5:$J$504,$M404)&amp;"",IF($L404="U",INDEX('Dane rozpisek'!$G$2:$G$2600,$M404)&amp;"",IF($L404="H","Uwagi","")))</f>
        <v/>
      </c>
      <c r="G404" s="49">
        <f>IF($L404="D",INDEX('Zgłoszenia'!$F$5:$F$504,$M404)&amp;"",IF($L404="U",INDEX('Dane rozpisek'!$L$2:$L$2600,$M404)&amp;"",IF($L404="H","Usterki (dzień / następny)","")))</f>
        <v/>
      </c>
      <c r="H404" s="49">
        <f>IF($L404="D",INDEX('Zgłoszenia'!$P$5:$P$504,$M404)&amp;"",IF($L404="U","",""))</f>
        <v/>
      </c>
      <c r="I404" s="48">
        <f>IF($L404="D",IF(INDEX('Zgłoszenia'!$M$5:$M$504,$M404)="","Zgłoszona",INDEX('Zgłoszenia'!$M$5:$M$504,$M404)),IF($L404="U","",""))</f>
        <v/>
      </c>
      <c r="J404" s="49">
        <f>IF($L404="D",INDEX('Zgłoszenia'!$K$5:$K$504,$M404)&amp;"",IF($L404="U","",""))</f>
        <v/>
      </c>
      <c r="K404" s="2" t="n"/>
      <c r="L404" s="2">
        <f>IF((ROW()-12)&lt;=$L$5,IF($L$2=0,"E1","D"),IF((ROW()-12)=$L$5+1,"",IF((ROW()-12)=$L$5+2,"T",IF((ROW()-12)=$L$5+3,IF($L$3=0,"E2","H"),IF((ROW()-12)&lt;=$L$5+3+$L$3,"U","")))))</f>
        <v/>
      </c>
      <c r="M404" s="2">
        <f>IF(L404="D",MATCH(LARGE('Zgłoszenia'!$Q$5:$Q$504,(ROW()-12)),'Zgłoszenia'!$Q$5:$Q$504,0),IF(L404="U",MATCH(LARGE('Dane rozpisek'!$I$2:$I$2600,(ROW()-12)-$L$5-3),'Dane rozpisek'!$I$2:$I$2600,0),""))</f>
        <v/>
      </c>
    </row>
    <row r="405">
      <c r="A405" s="47">
        <f>IF($L405="D",INDEX('Zgłoszenia'!$D$5:$D$504,$M405),IF($L405="U",INDEX('Dane rozpisek'!$A$2:$A$2600,$M405),IF($L405="T","KTO JEŹDZIŁ",IF($L405="E1","Brak zgłoszonych usterek w tym okresie.",IF($L405="E2","Brak wpisów z tym wózkiem w rozpiskach dla tego okresu.",IF($L405="H","Data",""))))))</f>
        <v/>
      </c>
      <c r="B405" s="48">
        <f>IF($L405="D",INDEX('Zgłoszenia'!$B$5:$B$504,$M405)&amp;"",IF($L405="U",INDEX('Dane rozpisek'!$F$2:$F$2600,$M405)&amp;"",IF($L405="H","Wózek","")))</f>
        <v/>
      </c>
      <c r="C405" s="48">
        <f>IF($L405="D",INDEX('Zgłoszenia'!$E$5:$E$504,$M405)&amp;"",IF($L405="U",INDEX('Dane rozpisek'!$B$2:$B$2600,$M405)&amp;" · "&amp;INDEX('Dane rozpisek'!$J$2:$J$2600,$M405),IF($L405="H","Zmiana","")))</f>
        <v/>
      </c>
      <c r="D405" s="49">
        <f>IF($L405="D",INDEX('Zgłoszenia'!$H$5:$H$504,$M405)&amp;"",IF($L405="U",INDEX('Dane rozpisek'!$E$2:$E$2600,$M405)&amp;"",IF($L405="H","Operator","")))</f>
        <v/>
      </c>
      <c r="E405" s="49">
        <f>IF($L405="D",INDEX('Zgłoszenia'!$I$5:$I$504,$M405)&amp;"",IF($L405="U",INDEX('Dane rozpisek'!$C$2:$C$2600,$M405)&amp;"",IF($L405="H","Stanowisko","")))</f>
        <v/>
      </c>
      <c r="F405" s="48">
        <f>IF($L405="D",INDEX('Zgłoszenia'!$J$5:$J$504,$M405)&amp;"",IF($L405="U",INDEX('Dane rozpisek'!$G$2:$G$2600,$M405)&amp;"",IF($L405="H","Uwagi","")))</f>
        <v/>
      </c>
      <c r="G405" s="49">
        <f>IF($L405="D",INDEX('Zgłoszenia'!$F$5:$F$504,$M405)&amp;"",IF($L405="U",INDEX('Dane rozpisek'!$L$2:$L$2600,$M405)&amp;"",IF($L405="H","Usterki (dzień / następny)","")))</f>
        <v/>
      </c>
      <c r="H405" s="49">
        <f>IF($L405="D",INDEX('Zgłoszenia'!$P$5:$P$504,$M405)&amp;"",IF($L405="U","",""))</f>
        <v/>
      </c>
      <c r="I405" s="48">
        <f>IF($L405="D",IF(INDEX('Zgłoszenia'!$M$5:$M$504,$M405)="","Zgłoszona",INDEX('Zgłoszenia'!$M$5:$M$504,$M405)),IF($L405="U","",""))</f>
        <v/>
      </c>
      <c r="J405" s="49">
        <f>IF($L405="D",INDEX('Zgłoszenia'!$K$5:$K$504,$M405)&amp;"",IF($L405="U","",""))</f>
        <v/>
      </c>
      <c r="K405" s="2" t="n"/>
      <c r="L405" s="2">
        <f>IF((ROW()-12)&lt;=$L$5,IF($L$2=0,"E1","D"),IF((ROW()-12)=$L$5+1,"",IF((ROW()-12)=$L$5+2,"T",IF((ROW()-12)=$L$5+3,IF($L$3=0,"E2","H"),IF((ROW()-12)&lt;=$L$5+3+$L$3,"U","")))))</f>
        <v/>
      </c>
      <c r="M405" s="2">
        <f>IF(L405="D",MATCH(LARGE('Zgłoszenia'!$Q$5:$Q$504,(ROW()-12)),'Zgłoszenia'!$Q$5:$Q$504,0),IF(L405="U",MATCH(LARGE('Dane rozpisek'!$I$2:$I$2600,(ROW()-12)-$L$5-3),'Dane rozpisek'!$I$2:$I$2600,0),""))</f>
        <v/>
      </c>
    </row>
    <row r="406">
      <c r="A406" s="47">
        <f>IF($L406="D",INDEX('Zgłoszenia'!$D$5:$D$504,$M406),IF($L406="U",INDEX('Dane rozpisek'!$A$2:$A$2600,$M406),IF($L406="T","KTO JEŹDZIŁ",IF($L406="E1","Brak zgłoszonych usterek w tym okresie.",IF($L406="E2","Brak wpisów z tym wózkiem w rozpiskach dla tego okresu.",IF($L406="H","Data",""))))))</f>
        <v/>
      </c>
      <c r="B406" s="48">
        <f>IF($L406="D",INDEX('Zgłoszenia'!$B$5:$B$504,$M406)&amp;"",IF($L406="U",INDEX('Dane rozpisek'!$F$2:$F$2600,$M406)&amp;"",IF($L406="H","Wózek","")))</f>
        <v/>
      </c>
      <c r="C406" s="48">
        <f>IF($L406="D",INDEX('Zgłoszenia'!$E$5:$E$504,$M406)&amp;"",IF($L406="U",INDEX('Dane rozpisek'!$B$2:$B$2600,$M406)&amp;" · "&amp;INDEX('Dane rozpisek'!$J$2:$J$2600,$M406),IF($L406="H","Zmiana","")))</f>
        <v/>
      </c>
      <c r="D406" s="49">
        <f>IF($L406="D",INDEX('Zgłoszenia'!$H$5:$H$504,$M406)&amp;"",IF($L406="U",INDEX('Dane rozpisek'!$E$2:$E$2600,$M406)&amp;"",IF($L406="H","Operator","")))</f>
        <v/>
      </c>
      <c r="E406" s="49">
        <f>IF($L406="D",INDEX('Zgłoszenia'!$I$5:$I$504,$M406)&amp;"",IF($L406="U",INDEX('Dane rozpisek'!$C$2:$C$2600,$M406)&amp;"",IF($L406="H","Stanowisko","")))</f>
        <v/>
      </c>
      <c r="F406" s="48">
        <f>IF($L406="D",INDEX('Zgłoszenia'!$J$5:$J$504,$M406)&amp;"",IF($L406="U",INDEX('Dane rozpisek'!$G$2:$G$2600,$M406)&amp;"",IF($L406="H","Uwagi","")))</f>
        <v/>
      </c>
      <c r="G406" s="49">
        <f>IF($L406="D",INDEX('Zgłoszenia'!$F$5:$F$504,$M406)&amp;"",IF($L406="U",INDEX('Dane rozpisek'!$L$2:$L$2600,$M406)&amp;"",IF($L406="H","Usterki (dzień / następny)","")))</f>
        <v/>
      </c>
      <c r="H406" s="49">
        <f>IF($L406="D",INDEX('Zgłoszenia'!$P$5:$P$504,$M406)&amp;"",IF($L406="U","",""))</f>
        <v/>
      </c>
      <c r="I406" s="48">
        <f>IF($L406="D",IF(INDEX('Zgłoszenia'!$M$5:$M$504,$M406)="","Zgłoszona",INDEX('Zgłoszenia'!$M$5:$M$504,$M406)),IF($L406="U","",""))</f>
        <v/>
      </c>
      <c r="J406" s="49">
        <f>IF($L406="D",INDEX('Zgłoszenia'!$K$5:$K$504,$M406)&amp;"",IF($L406="U","",""))</f>
        <v/>
      </c>
      <c r="K406" s="2" t="n"/>
      <c r="L406" s="2">
        <f>IF((ROW()-12)&lt;=$L$5,IF($L$2=0,"E1","D"),IF((ROW()-12)=$L$5+1,"",IF((ROW()-12)=$L$5+2,"T",IF((ROW()-12)=$L$5+3,IF($L$3=0,"E2","H"),IF((ROW()-12)&lt;=$L$5+3+$L$3,"U","")))))</f>
        <v/>
      </c>
      <c r="M406" s="2">
        <f>IF(L406="D",MATCH(LARGE('Zgłoszenia'!$Q$5:$Q$504,(ROW()-12)),'Zgłoszenia'!$Q$5:$Q$504,0),IF(L406="U",MATCH(LARGE('Dane rozpisek'!$I$2:$I$2600,(ROW()-12)-$L$5-3),'Dane rozpisek'!$I$2:$I$2600,0),""))</f>
        <v/>
      </c>
    </row>
    <row r="407">
      <c r="A407" s="47">
        <f>IF($L407="D",INDEX('Zgłoszenia'!$D$5:$D$504,$M407),IF($L407="U",INDEX('Dane rozpisek'!$A$2:$A$2600,$M407),IF($L407="T","KTO JEŹDZIŁ",IF($L407="E1","Brak zgłoszonych usterek w tym okresie.",IF($L407="E2","Brak wpisów z tym wózkiem w rozpiskach dla tego okresu.",IF($L407="H","Data",""))))))</f>
        <v/>
      </c>
      <c r="B407" s="48">
        <f>IF($L407="D",INDEX('Zgłoszenia'!$B$5:$B$504,$M407)&amp;"",IF($L407="U",INDEX('Dane rozpisek'!$F$2:$F$2600,$M407)&amp;"",IF($L407="H","Wózek","")))</f>
        <v/>
      </c>
      <c r="C407" s="48">
        <f>IF($L407="D",INDEX('Zgłoszenia'!$E$5:$E$504,$M407)&amp;"",IF($L407="U",INDEX('Dane rozpisek'!$B$2:$B$2600,$M407)&amp;" · "&amp;INDEX('Dane rozpisek'!$J$2:$J$2600,$M407),IF($L407="H","Zmiana","")))</f>
        <v/>
      </c>
      <c r="D407" s="49">
        <f>IF($L407="D",INDEX('Zgłoszenia'!$H$5:$H$504,$M407)&amp;"",IF($L407="U",INDEX('Dane rozpisek'!$E$2:$E$2600,$M407)&amp;"",IF($L407="H","Operator","")))</f>
        <v/>
      </c>
      <c r="E407" s="49">
        <f>IF($L407="D",INDEX('Zgłoszenia'!$I$5:$I$504,$M407)&amp;"",IF($L407="U",INDEX('Dane rozpisek'!$C$2:$C$2600,$M407)&amp;"",IF($L407="H","Stanowisko","")))</f>
        <v/>
      </c>
      <c r="F407" s="48">
        <f>IF($L407="D",INDEX('Zgłoszenia'!$J$5:$J$504,$M407)&amp;"",IF($L407="U",INDEX('Dane rozpisek'!$G$2:$G$2600,$M407)&amp;"",IF($L407="H","Uwagi","")))</f>
        <v/>
      </c>
      <c r="G407" s="49">
        <f>IF($L407="D",INDEX('Zgłoszenia'!$F$5:$F$504,$M407)&amp;"",IF($L407="U",INDEX('Dane rozpisek'!$L$2:$L$2600,$M407)&amp;"",IF($L407="H","Usterki (dzień / następny)","")))</f>
        <v/>
      </c>
      <c r="H407" s="49">
        <f>IF($L407="D",INDEX('Zgłoszenia'!$P$5:$P$504,$M407)&amp;"",IF($L407="U","",""))</f>
        <v/>
      </c>
      <c r="I407" s="48">
        <f>IF($L407="D",IF(INDEX('Zgłoszenia'!$M$5:$M$504,$M407)="","Zgłoszona",INDEX('Zgłoszenia'!$M$5:$M$504,$M407)),IF($L407="U","",""))</f>
        <v/>
      </c>
      <c r="J407" s="49">
        <f>IF($L407="D",INDEX('Zgłoszenia'!$K$5:$K$504,$M407)&amp;"",IF($L407="U","",""))</f>
        <v/>
      </c>
      <c r="K407" s="2" t="n"/>
      <c r="L407" s="2">
        <f>IF((ROW()-12)&lt;=$L$5,IF($L$2=0,"E1","D"),IF((ROW()-12)=$L$5+1,"",IF((ROW()-12)=$L$5+2,"T",IF((ROW()-12)=$L$5+3,IF($L$3=0,"E2","H"),IF((ROW()-12)&lt;=$L$5+3+$L$3,"U","")))))</f>
        <v/>
      </c>
      <c r="M407" s="2">
        <f>IF(L407="D",MATCH(LARGE('Zgłoszenia'!$Q$5:$Q$504,(ROW()-12)),'Zgłoszenia'!$Q$5:$Q$504,0),IF(L407="U",MATCH(LARGE('Dane rozpisek'!$I$2:$I$2600,(ROW()-12)-$L$5-3),'Dane rozpisek'!$I$2:$I$2600,0),""))</f>
        <v/>
      </c>
    </row>
    <row r="408">
      <c r="A408" s="47">
        <f>IF($L408="D",INDEX('Zgłoszenia'!$D$5:$D$504,$M408),IF($L408="U",INDEX('Dane rozpisek'!$A$2:$A$2600,$M408),IF($L408="T","KTO JEŹDZIŁ",IF($L408="E1","Brak zgłoszonych usterek w tym okresie.",IF($L408="E2","Brak wpisów z tym wózkiem w rozpiskach dla tego okresu.",IF($L408="H","Data",""))))))</f>
        <v/>
      </c>
      <c r="B408" s="48">
        <f>IF($L408="D",INDEX('Zgłoszenia'!$B$5:$B$504,$M408)&amp;"",IF($L408="U",INDEX('Dane rozpisek'!$F$2:$F$2600,$M408)&amp;"",IF($L408="H","Wózek","")))</f>
        <v/>
      </c>
      <c r="C408" s="48">
        <f>IF($L408="D",INDEX('Zgłoszenia'!$E$5:$E$504,$M408)&amp;"",IF($L408="U",INDEX('Dane rozpisek'!$B$2:$B$2600,$M408)&amp;" · "&amp;INDEX('Dane rozpisek'!$J$2:$J$2600,$M408),IF($L408="H","Zmiana","")))</f>
        <v/>
      </c>
      <c r="D408" s="49">
        <f>IF($L408="D",INDEX('Zgłoszenia'!$H$5:$H$504,$M408)&amp;"",IF($L408="U",INDEX('Dane rozpisek'!$E$2:$E$2600,$M408)&amp;"",IF($L408="H","Operator","")))</f>
        <v/>
      </c>
      <c r="E408" s="49">
        <f>IF($L408="D",INDEX('Zgłoszenia'!$I$5:$I$504,$M408)&amp;"",IF($L408="U",INDEX('Dane rozpisek'!$C$2:$C$2600,$M408)&amp;"",IF($L408="H","Stanowisko","")))</f>
        <v/>
      </c>
      <c r="F408" s="48">
        <f>IF($L408="D",INDEX('Zgłoszenia'!$J$5:$J$504,$M408)&amp;"",IF($L408="U",INDEX('Dane rozpisek'!$G$2:$G$2600,$M408)&amp;"",IF($L408="H","Uwagi","")))</f>
        <v/>
      </c>
      <c r="G408" s="49">
        <f>IF($L408="D",INDEX('Zgłoszenia'!$F$5:$F$504,$M408)&amp;"",IF($L408="U",INDEX('Dane rozpisek'!$L$2:$L$2600,$M408)&amp;"",IF($L408="H","Usterki (dzień / następny)","")))</f>
        <v/>
      </c>
      <c r="H408" s="49">
        <f>IF($L408="D",INDEX('Zgłoszenia'!$P$5:$P$504,$M408)&amp;"",IF($L408="U","",""))</f>
        <v/>
      </c>
      <c r="I408" s="48">
        <f>IF($L408="D",IF(INDEX('Zgłoszenia'!$M$5:$M$504,$M408)="","Zgłoszona",INDEX('Zgłoszenia'!$M$5:$M$504,$M408)),IF($L408="U","",""))</f>
        <v/>
      </c>
      <c r="J408" s="49">
        <f>IF($L408="D",INDEX('Zgłoszenia'!$K$5:$K$504,$M408)&amp;"",IF($L408="U","",""))</f>
        <v/>
      </c>
      <c r="K408" s="2" t="n"/>
      <c r="L408" s="2">
        <f>IF((ROW()-12)&lt;=$L$5,IF($L$2=0,"E1","D"),IF((ROW()-12)=$L$5+1,"",IF((ROW()-12)=$L$5+2,"T",IF((ROW()-12)=$L$5+3,IF($L$3=0,"E2","H"),IF((ROW()-12)&lt;=$L$5+3+$L$3,"U","")))))</f>
        <v/>
      </c>
      <c r="M408" s="2">
        <f>IF(L408="D",MATCH(LARGE('Zgłoszenia'!$Q$5:$Q$504,(ROW()-12)),'Zgłoszenia'!$Q$5:$Q$504,0),IF(L408="U",MATCH(LARGE('Dane rozpisek'!$I$2:$I$2600,(ROW()-12)-$L$5-3),'Dane rozpisek'!$I$2:$I$2600,0),""))</f>
        <v/>
      </c>
    </row>
    <row r="409">
      <c r="A409" s="47">
        <f>IF($L409="D",INDEX('Zgłoszenia'!$D$5:$D$504,$M409),IF($L409="U",INDEX('Dane rozpisek'!$A$2:$A$2600,$M409),IF($L409="T","KTO JEŹDZIŁ",IF($L409="E1","Brak zgłoszonych usterek w tym okresie.",IF($L409="E2","Brak wpisów z tym wózkiem w rozpiskach dla tego okresu.",IF($L409="H","Data",""))))))</f>
        <v/>
      </c>
      <c r="B409" s="48">
        <f>IF($L409="D",INDEX('Zgłoszenia'!$B$5:$B$504,$M409)&amp;"",IF($L409="U",INDEX('Dane rozpisek'!$F$2:$F$2600,$M409)&amp;"",IF($L409="H","Wózek","")))</f>
        <v/>
      </c>
      <c r="C409" s="48">
        <f>IF($L409="D",INDEX('Zgłoszenia'!$E$5:$E$504,$M409)&amp;"",IF($L409="U",INDEX('Dane rozpisek'!$B$2:$B$2600,$M409)&amp;" · "&amp;INDEX('Dane rozpisek'!$J$2:$J$2600,$M409),IF($L409="H","Zmiana","")))</f>
        <v/>
      </c>
      <c r="D409" s="49">
        <f>IF($L409="D",INDEX('Zgłoszenia'!$H$5:$H$504,$M409)&amp;"",IF($L409="U",INDEX('Dane rozpisek'!$E$2:$E$2600,$M409)&amp;"",IF($L409="H","Operator","")))</f>
        <v/>
      </c>
      <c r="E409" s="49">
        <f>IF($L409="D",INDEX('Zgłoszenia'!$I$5:$I$504,$M409)&amp;"",IF($L409="U",INDEX('Dane rozpisek'!$C$2:$C$2600,$M409)&amp;"",IF($L409="H","Stanowisko","")))</f>
        <v/>
      </c>
      <c r="F409" s="48">
        <f>IF($L409="D",INDEX('Zgłoszenia'!$J$5:$J$504,$M409)&amp;"",IF($L409="U",INDEX('Dane rozpisek'!$G$2:$G$2600,$M409)&amp;"",IF($L409="H","Uwagi","")))</f>
        <v/>
      </c>
      <c r="G409" s="49">
        <f>IF($L409="D",INDEX('Zgłoszenia'!$F$5:$F$504,$M409)&amp;"",IF($L409="U",INDEX('Dane rozpisek'!$L$2:$L$2600,$M409)&amp;"",IF($L409="H","Usterki (dzień / następny)","")))</f>
        <v/>
      </c>
      <c r="H409" s="49">
        <f>IF($L409="D",INDEX('Zgłoszenia'!$P$5:$P$504,$M409)&amp;"",IF($L409="U","",""))</f>
        <v/>
      </c>
      <c r="I409" s="48">
        <f>IF($L409="D",IF(INDEX('Zgłoszenia'!$M$5:$M$504,$M409)="","Zgłoszona",INDEX('Zgłoszenia'!$M$5:$M$504,$M409)),IF($L409="U","",""))</f>
        <v/>
      </c>
      <c r="J409" s="49">
        <f>IF($L409="D",INDEX('Zgłoszenia'!$K$5:$K$504,$M409)&amp;"",IF($L409="U","",""))</f>
        <v/>
      </c>
      <c r="K409" s="2" t="n"/>
      <c r="L409" s="2">
        <f>IF((ROW()-12)&lt;=$L$5,IF($L$2=0,"E1","D"),IF((ROW()-12)=$L$5+1,"",IF((ROW()-12)=$L$5+2,"T",IF((ROW()-12)=$L$5+3,IF($L$3=0,"E2","H"),IF((ROW()-12)&lt;=$L$5+3+$L$3,"U","")))))</f>
        <v/>
      </c>
      <c r="M409" s="2">
        <f>IF(L409="D",MATCH(LARGE('Zgłoszenia'!$Q$5:$Q$504,(ROW()-12)),'Zgłoszenia'!$Q$5:$Q$504,0),IF(L409="U",MATCH(LARGE('Dane rozpisek'!$I$2:$I$2600,(ROW()-12)-$L$5-3),'Dane rozpisek'!$I$2:$I$2600,0),""))</f>
        <v/>
      </c>
    </row>
    <row r="410">
      <c r="A410" s="47">
        <f>IF($L410="D",INDEX('Zgłoszenia'!$D$5:$D$504,$M410),IF($L410="U",INDEX('Dane rozpisek'!$A$2:$A$2600,$M410),IF($L410="T","KTO JEŹDZIŁ",IF($L410="E1","Brak zgłoszonych usterek w tym okresie.",IF($L410="E2","Brak wpisów z tym wózkiem w rozpiskach dla tego okresu.",IF($L410="H","Data",""))))))</f>
        <v/>
      </c>
      <c r="B410" s="48">
        <f>IF($L410="D",INDEX('Zgłoszenia'!$B$5:$B$504,$M410)&amp;"",IF($L410="U",INDEX('Dane rozpisek'!$F$2:$F$2600,$M410)&amp;"",IF($L410="H","Wózek","")))</f>
        <v/>
      </c>
      <c r="C410" s="48">
        <f>IF($L410="D",INDEX('Zgłoszenia'!$E$5:$E$504,$M410)&amp;"",IF($L410="U",INDEX('Dane rozpisek'!$B$2:$B$2600,$M410)&amp;" · "&amp;INDEX('Dane rozpisek'!$J$2:$J$2600,$M410),IF($L410="H","Zmiana","")))</f>
        <v/>
      </c>
      <c r="D410" s="49">
        <f>IF($L410="D",INDEX('Zgłoszenia'!$H$5:$H$504,$M410)&amp;"",IF($L410="U",INDEX('Dane rozpisek'!$E$2:$E$2600,$M410)&amp;"",IF($L410="H","Operator","")))</f>
        <v/>
      </c>
      <c r="E410" s="49">
        <f>IF($L410="D",INDEX('Zgłoszenia'!$I$5:$I$504,$M410)&amp;"",IF($L410="U",INDEX('Dane rozpisek'!$C$2:$C$2600,$M410)&amp;"",IF($L410="H","Stanowisko","")))</f>
        <v/>
      </c>
      <c r="F410" s="48">
        <f>IF($L410="D",INDEX('Zgłoszenia'!$J$5:$J$504,$M410)&amp;"",IF($L410="U",INDEX('Dane rozpisek'!$G$2:$G$2600,$M410)&amp;"",IF($L410="H","Uwagi","")))</f>
        <v/>
      </c>
      <c r="G410" s="49">
        <f>IF($L410="D",INDEX('Zgłoszenia'!$F$5:$F$504,$M410)&amp;"",IF($L410="U",INDEX('Dane rozpisek'!$L$2:$L$2600,$M410)&amp;"",IF($L410="H","Usterki (dzień / następny)","")))</f>
        <v/>
      </c>
      <c r="H410" s="49">
        <f>IF($L410="D",INDEX('Zgłoszenia'!$P$5:$P$504,$M410)&amp;"",IF($L410="U","",""))</f>
        <v/>
      </c>
      <c r="I410" s="48">
        <f>IF($L410="D",IF(INDEX('Zgłoszenia'!$M$5:$M$504,$M410)="","Zgłoszona",INDEX('Zgłoszenia'!$M$5:$M$504,$M410)),IF($L410="U","",""))</f>
        <v/>
      </c>
      <c r="J410" s="49">
        <f>IF($L410="D",INDEX('Zgłoszenia'!$K$5:$K$504,$M410)&amp;"",IF($L410="U","",""))</f>
        <v/>
      </c>
      <c r="K410" s="2" t="n"/>
      <c r="L410" s="2">
        <f>IF((ROW()-12)&lt;=$L$5,IF($L$2=0,"E1","D"),IF((ROW()-12)=$L$5+1,"",IF((ROW()-12)=$L$5+2,"T",IF((ROW()-12)=$L$5+3,IF($L$3=0,"E2","H"),IF((ROW()-12)&lt;=$L$5+3+$L$3,"U","")))))</f>
        <v/>
      </c>
      <c r="M410" s="2">
        <f>IF(L410="D",MATCH(LARGE('Zgłoszenia'!$Q$5:$Q$504,(ROW()-12)),'Zgłoszenia'!$Q$5:$Q$504,0),IF(L410="U",MATCH(LARGE('Dane rozpisek'!$I$2:$I$2600,(ROW()-12)-$L$5-3),'Dane rozpisek'!$I$2:$I$2600,0),""))</f>
        <v/>
      </c>
    </row>
    <row r="411">
      <c r="A411" s="47">
        <f>IF($L411="D",INDEX('Zgłoszenia'!$D$5:$D$504,$M411),IF($L411="U",INDEX('Dane rozpisek'!$A$2:$A$2600,$M411),IF($L411="T","KTO JEŹDZIŁ",IF($L411="E1","Brak zgłoszonych usterek w tym okresie.",IF($L411="E2","Brak wpisów z tym wózkiem w rozpiskach dla tego okresu.",IF($L411="H","Data",""))))))</f>
        <v/>
      </c>
      <c r="B411" s="48">
        <f>IF($L411="D",INDEX('Zgłoszenia'!$B$5:$B$504,$M411)&amp;"",IF($L411="U",INDEX('Dane rozpisek'!$F$2:$F$2600,$M411)&amp;"",IF($L411="H","Wózek","")))</f>
        <v/>
      </c>
      <c r="C411" s="48">
        <f>IF($L411="D",INDEX('Zgłoszenia'!$E$5:$E$504,$M411)&amp;"",IF($L411="U",INDEX('Dane rozpisek'!$B$2:$B$2600,$M411)&amp;" · "&amp;INDEX('Dane rozpisek'!$J$2:$J$2600,$M411),IF($L411="H","Zmiana","")))</f>
        <v/>
      </c>
      <c r="D411" s="49">
        <f>IF($L411="D",INDEX('Zgłoszenia'!$H$5:$H$504,$M411)&amp;"",IF($L411="U",INDEX('Dane rozpisek'!$E$2:$E$2600,$M411)&amp;"",IF($L411="H","Operator","")))</f>
        <v/>
      </c>
      <c r="E411" s="49">
        <f>IF($L411="D",INDEX('Zgłoszenia'!$I$5:$I$504,$M411)&amp;"",IF($L411="U",INDEX('Dane rozpisek'!$C$2:$C$2600,$M411)&amp;"",IF($L411="H","Stanowisko","")))</f>
        <v/>
      </c>
      <c r="F411" s="48">
        <f>IF($L411="D",INDEX('Zgłoszenia'!$J$5:$J$504,$M411)&amp;"",IF($L411="U",INDEX('Dane rozpisek'!$G$2:$G$2600,$M411)&amp;"",IF($L411="H","Uwagi","")))</f>
        <v/>
      </c>
      <c r="G411" s="49">
        <f>IF($L411="D",INDEX('Zgłoszenia'!$F$5:$F$504,$M411)&amp;"",IF($L411="U",INDEX('Dane rozpisek'!$L$2:$L$2600,$M411)&amp;"",IF($L411="H","Usterki (dzień / następny)","")))</f>
        <v/>
      </c>
      <c r="H411" s="49">
        <f>IF($L411="D",INDEX('Zgłoszenia'!$P$5:$P$504,$M411)&amp;"",IF($L411="U","",""))</f>
        <v/>
      </c>
      <c r="I411" s="48">
        <f>IF($L411="D",IF(INDEX('Zgłoszenia'!$M$5:$M$504,$M411)="","Zgłoszona",INDEX('Zgłoszenia'!$M$5:$M$504,$M411)),IF($L411="U","",""))</f>
        <v/>
      </c>
      <c r="J411" s="49">
        <f>IF($L411="D",INDEX('Zgłoszenia'!$K$5:$K$504,$M411)&amp;"",IF($L411="U","",""))</f>
        <v/>
      </c>
      <c r="K411" s="2" t="n"/>
      <c r="L411" s="2">
        <f>IF((ROW()-12)&lt;=$L$5,IF($L$2=0,"E1","D"),IF((ROW()-12)=$L$5+1,"",IF((ROW()-12)=$L$5+2,"T",IF((ROW()-12)=$L$5+3,IF($L$3=0,"E2","H"),IF((ROW()-12)&lt;=$L$5+3+$L$3,"U","")))))</f>
        <v/>
      </c>
      <c r="M411" s="2">
        <f>IF(L411="D",MATCH(LARGE('Zgłoszenia'!$Q$5:$Q$504,(ROW()-12)),'Zgłoszenia'!$Q$5:$Q$504,0),IF(L411="U",MATCH(LARGE('Dane rozpisek'!$I$2:$I$2600,(ROW()-12)-$L$5-3),'Dane rozpisek'!$I$2:$I$2600,0),""))</f>
        <v/>
      </c>
    </row>
    <row r="412">
      <c r="A412" s="47">
        <f>IF($L412="D",INDEX('Zgłoszenia'!$D$5:$D$504,$M412),IF($L412="U",INDEX('Dane rozpisek'!$A$2:$A$2600,$M412),IF($L412="T","KTO JEŹDZIŁ",IF($L412="E1","Brak zgłoszonych usterek w tym okresie.",IF($L412="E2","Brak wpisów z tym wózkiem w rozpiskach dla tego okresu.",IF($L412="H","Data",""))))))</f>
        <v/>
      </c>
      <c r="B412" s="48">
        <f>IF($L412="D",INDEX('Zgłoszenia'!$B$5:$B$504,$M412)&amp;"",IF($L412="U",INDEX('Dane rozpisek'!$F$2:$F$2600,$M412)&amp;"",IF($L412="H","Wózek","")))</f>
        <v/>
      </c>
      <c r="C412" s="48">
        <f>IF($L412="D",INDEX('Zgłoszenia'!$E$5:$E$504,$M412)&amp;"",IF($L412="U",INDEX('Dane rozpisek'!$B$2:$B$2600,$M412)&amp;" · "&amp;INDEX('Dane rozpisek'!$J$2:$J$2600,$M412),IF($L412="H","Zmiana","")))</f>
        <v/>
      </c>
      <c r="D412" s="49">
        <f>IF($L412="D",INDEX('Zgłoszenia'!$H$5:$H$504,$M412)&amp;"",IF($L412="U",INDEX('Dane rozpisek'!$E$2:$E$2600,$M412)&amp;"",IF($L412="H","Operator","")))</f>
        <v/>
      </c>
      <c r="E412" s="49">
        <f>IF($L412="D",INDEX('Zgłoszenia'!$I$5:$I$504,$M412)&amp;"",IF($L412="U",INDEX('Dane rozpisek'!$C$2:$C$2600,$M412)&amp;"",IF($L412="H","Stanowisko","")))</f>
        <v/>
      </c>
      <c r="F412" s="48">
        <f>IF($L412="D",INDEX('Zgłoszenia'!$J$5:$J$504,$M412)&amp;"",IF($L412="U",INDEX('Dane rozpisek'!$G$2:$G$2600,$M412)&amp;"",IF($L412="H","Uwagi","")))</f>
        <v/>
      </c>
      <c r="G412" s="49">
        <f>IF($L412="D",INDEX('Zgłoszenia'!$F$5:$F$504,$M412)&amp;"",IF($L412="U",INDEX('Dane rozpisek'!$L$2:$L$2600,$M412)&amp;"",IF($L412="H","Usterki (dzień / następny)","")))</f>
        <v/>
      </c>
      <c r="H412" s="49">
        <f>IF($L412="D",INDEX('Zgłoszenia'!$P$5:$P$504,$M412)&amp;"",IF($L412="U","",""))</f>
        <v/>
      </c>
      <c r="I412" s="48">
        <f>IF($L412="D",IF(INDEX('Zgłoszenia'!$M$5:$M$504,$M412)="","Zgłoszona",INDEX('Zgłoszenia'!$M$5:$M$504,$M412)),IF($L412="U","",""))</f>
        <v/>
      </c>
      <c r="J412" s="49">
        <f>IF($L412="D",INDEX('Zgłoszenia'!$K$5:$K$504,$M412)&amp;"",IF($L412="U","",""))</f>
        <v/>
      </c>
      <c r="K412" s="2" t="n"/>
      <c r="L412" s="2">
        <f>IF((ROW()-12)&lt;=$L$5,IF($L$2=0,"E1","D"),IF((ROW()-12)=$L$5+1,"",IF((ROW()-12)=$L$5+2,"T",IF((ROW()-12)=$L$5+3,IF($L$3=0,"E2","H"),IF((ROW()-12)&lt;=$L$5+3+$L$3,"U","")))))</f>
        <v/>
      </c>
      <c r="M412" s="2">
        <f>IF(L412="D",MATCH(LARGE('Zgłoszenia'!$Q$5:$Q$504,(ROW()-12)),'Zgłoszenia'!$Q$5:$Q$504,0),IF(L412="U",MATCH(LARGE('Dane rozpisek'!$I$2:$I$2600,(ROW()-12)-$L$5-3),'Dane rozpisek'!$I$2:$I$2600,0),""))</f>
        <v/>
      </c>
    </row>
    <row r="413">
      <c r="A413" s="47">
        <f>IF($L413="D",INDEX('Zgłoszenia'!$D$5:$D$504,$M413),IF($L413="U",INDEX('Dane rozpisek'!$A$2:$A$2600,$M413),IF($L413="T","KTO JEŹDZIŁ",IF($L413="E1","Brak zgłoszonych usterek w tym okresie.",IF($L413="E2","Brak wpisów z tym wózkiem w rozpiskach dla tego okresu.",IF($L413="H","Data",""))))))</f>
        <v/>
      </c>
      <c r="B413" s="48">
        <f>IF($L413="D",INDEX('Zgłoszenia'!$B$5:$B$504,$M413)&amp;"",IF($L413="U",INDEX('Dane rozpisek'!$F$2:$F$2600,$M413)&amp;"",IF($L413="H","Wózek","")))</f>
        <v/>
      </c>
      <c r="C413" s="48">
        <f>IF($L413="D",INDEX('Zgłoszenia'!$E$5:$E$504,$M413)&amp;"",IF($L413="U",INDEX('Dane rozpisek'!$B$2:$B$2600,$M413)&amp;" · "&amp;INDEX('Dane rozpisek'!$J$2:$J$2600,$M413),IF($L413="H","Zmiana","")))</f>
        <v/>
      </c>
      <c r="D413" s="49">
        <f>IF($L413="D",INDEX('Zgłoszenia'!$H$5:$H$504,$M413)&amp;"",IF($L413="U",INDEX('Dane rozpisek'!$E$2:$E$2600,$M413)&amp;"",IF($L413="H","Operator","")))</f>
        <v/>
      </c>
      <c r="E413" s="49">
        <f>IF($L413="D",INDEX('Zgłoszenia'!$I$5:$I$504,$M413)&amp;"",IF($L413="U",INDEX('Dane rozpisek'!$C$2:$C$2600,$M413)&amp;"",IF($L413="H","Stanowisko","")))</f>
        <v/>
      </c>
      <c r="F413" s="48">
        <f>IF($L413="D",INDEX('Zgłoszenia'!$J$5:$J$504,$M413)&amp;"",IF($L413="U",INDEX('Dane rozpisek'!$G$2:$G$2600,$M413)&amp;"",IF($L413="H","Uwagi","")))</f>
        <v/>
      </c>
      <c r="G413" s="49">
        <f>IF($L413="D",INDEX('Zgłoszenia'!$F$5:$F$504,$M413)&amp;"",IF($L413="U",INDEX('Dane rozpisek'!$L$2:$L$2600,$M413)&amp;"",IF($L413="H","Usterki (dzień / następny)","")))</f>
        <v/>
      </c>
      <c r="H413" s="49">
        <f>IF($L413="D",INDEX('Zgłoszenia'!$P$5:$P$504,$M413)&amp;"",IF($L413="U","",""))</f>
        <v/>
      </c>
      <c r="I413" s="48">
        <f>IF($L413="D",IF(INDEX('Zgłoszenia'!$M$5:$M$504,$M413)="","Zgłoszona",INDEX('Zgłoszenia'!$M$5:$M$504,$M413)),IF($L413="U","",""))</f>
        <v/>
      </c>
      <c r="J413" s="49">
        <f>IF($L413="D",INDEX('Zgłoszenia'!$K$5:$K$504,$M413)&amp;"",IF($L413="U","",""))</f>
        <v/>
      </c>
      <c r="K413" s="2" t="n"/>
      <c r="L413" s="2">
        <f>IF((ROW()-12)&lt;=$L$5,IF($L$2=0,"E1","D"),IF((ROW()-12)=$L$5+1,"",IF((ROW()-12)=$L$5+2,"T",IF((ROW()-12)=$L$5+3,IF($L$3=0,"E2","H"),IF((ROW()-12)&lt;=$L$5+3+$L$3,"U","")))))</f>
        <v/>
      </c>
      <c r="M413" s="2">
        <f>IF(L413="D",MATCH(LARGE('Zgłoszenia'!$Q$5:$Q$504,(ROW()-12)),'Zgłoszenia'!$Q$5:$Q$504,0),IF(L413="U",MATCH(LARGE('Dane rozpisek'!$I$2:$I$2600,(ROW()-12)-$L$5-3),'Dane rozpisek'!$I$2:$I$2600,0),""))</f>
        <v/>
      </c>
    </row>
    <row r="414">
      <c r="A414" s="47">
        <f>IF($L414="D",INDEX('Zgłoszenia'!$D$5:$D$504,$M414),IF($L414="U",INDEX('Dane rozpisek'!$A$2:$A$2600,$M414),IF($L414="T","KTO JEŹDZIŁ",IF($L414="E1","Brak zgłoszonych usterek w tym okresie.",IF($L414="E2","Brak wpisów z tym wózkiem w rozpiskach dla tego okresu.",IF($L414="H","Data",""))))))</f>
        <v/>
      </c>
      <c r="B414" s="48">
        <f>IF($L414="D",INDEX('Zgłoszenia'!$B$5:$B$504,$M414)&amp;"",IF($L414="U",INDEX('Dane rozpisek'!$F$2:$F$2600,$M414)&amp;"",IF($L414="H","Wózek","")))</f>
        <v/>
      </c>
      <c r="C414" s="48">
        <f>IF($L414="D",INDEX('Zgłoszenia'!$E$5:$E$504,$M414)&amp;"",IF($L414="U",INDEX('Dane rozpisek'!$B$2:$B$2600,$M414)&amp;" · "&amp;INDEX('Dane rozpisek'!$J$2:$J$2600,$M414),IF($L414="H","Zmiana","")))</f>
        <v/>
      </c>
      <c r="D414" s="49">
        <f>IF($L414="D",INDEX('Zgłoszenia'!$H$5:$H$504,$M414)&amp;"",IF($L414="U",INDEX('Dane rozpisek'!$E$2:$E$2600,$M414)&amp;"",IF($L414="H","Operator","")))</f>
        <v/>
      </c>
      <c r="E414" s="49">
        <f>IF($L414="D",INDEX('Zgłoszenia'!$I$5:$I$504,$M414)&amp;"",IF($L414="U",INDEX('Dane rozpisek'!$C$2:$C$2600,$M414)&amp;"",IF($L414="H","Stanowisko","")))</f>
        <v/>
      </c>
      <c r="F414" s="48">
        <f>IF($L414="D",INDEX('Zgłoszenia'!$J$5:$J$504,$M414)&amp;"",IF($L414="U",INDEX('Dane rozpisek'!$G$2:$G$2600,$M414)&amp;"",IF($L414="H","Uwagi","")))</f>
        <v/>
      </c>
      <c r="G414" s="49">
        <f>IF($L414="D",INDEX('Zgłoszenia'!$F$5:$F$504,$M414)&amp;"",IF($L414="U",INDEX('Dane rozpisek'!$L$2:$L$2600,$M414)&amp;"",IF($L414="H","Usterki (dzień / następny)","")))</f>
        <v/>
      </c>
      <c r="H414" s="49">
        <f>IF($L414="D",INDEX('Zgłoszenia'!$P$5:$P$504,$M414)&amp;"",IF($L414="U","",""))</f>
        <v/>
      </c>
      <c r="I414" s="48">
        <f>IF($L414="D",IF(INDEX('Zgłoszenia'!$M$5:$M$504,$M414)="","Zgłoszona",INDEX('Zgłoszenia'!$M$5:$M$504,$M414)),IF($L414="U","",""))</f>
        <v/>
      </c>
      <c r="J414" s="49">
        <f>IF($L414="D",INDEX('Zgłoszenia'!$K$5:$K$504,$M414)&amp;"",IF($L414="U","",""))</f>
        <v/>
      </c>
      <c r="K414" s="2" t="n"/>
      <c r="L414" s="2">
        <f>IF((ROW()-12)&lt;=$L$5,IF($L$2=0,"E1","D"),IF((ROW()-12)=$L$5+1,"",IF((ROW()-12)=$L$5+2,"T",IF((ROW()-12)=$L$5+3,IF($L$3=0,"E2","H"),IF((ROW()-12)&lt;=$L$5+3+$L$3,"U","")))))</f>
        <v/>
      </c>
      <c r="M414" s="2">
        <f>IF(L414="D",MATCH(LARGE('Zgłoszenia'!$Q$5:$Q$504,(ROW()-12)),'Zgłoszenia'!$Q$5:$Q$504,0),IF(L414="U",MATCH(LARGE('Dane rozpisek'!$I$2:$I$2600,(ROW()-12)-$L$5-3),'Dane rozpisek'!$I$2:$I$2600,0),""))</f>
        <v/>
      </c>
    </row>
    <row r="415">
      <c r="A415" s="47">
        <f>IF($L415="D",INDEX('Zgłoszenia'!$D$5:$D$504,$M415),IF($L415="U",INDEX('Dane rozpisek'!$A$2:$A$2600,$M415),IF($L415="T","KTO JEŹDZIŁ",IF($L415="E1","Brak zgłoszonych usterek w tym okresie.",IF($L415="E2","Brak wpisów z tym wózkiem w rozpiskach dla tego okresu.",IF($L415="H","Data",""))))))</f>
        <v/>
      </c>
      <c r="B415" s="48">
        <f>IF($L415="D",INDEX('Zgłoszenia'!$B$5:$B$504,$M415)&amp;"",IF($L415="U",INDEX('Dane rozpisek'!$F$2:$F$2600,$M415)&amp;"",IF($L415="H","Wózek","")))</f>
        <v/>
      </c>
      <c r="C415" s="48">
        <f>IF($L415="D",INDEX('Zgłoszenia'!$E$5:$E$504,$M415)&amp;"",IF($L415="U",INDEX('Dane rozpisek'!$B$2:$B$2600,$M415)&amp;" · "&amp;INDEX('Dane rozpisek'!$J$2:$J$2600,$M415),IF($L415="H","Zmiana","")))</f>
        <v/>
      </c>
      <c r="D415" s="49">
        <f>IF($L415="D",INDEX('Zgłoszenia'!$H$5:$H$504,$M415)&amp;"",IF($L415="U",INDEX('Dane rozpisek'!$E$2:$E$2600,$M415)&amp;"",IF($L415="H","Operator","")))</f>
        <v/>
      </c>
      <c r="E415" s="49">
        <f>IF($L415="D",INDEX('Zgłoszenia'!$I$5:$I$504,$M415)&amp;"",IF($L415="U",INDEX('Dane rozpisek'!$C$2:$C$2600,$M415)&amp;"",IF($L415="H","Stanowisko","")))</f>
        <v/>
      </c>
      <c r="F415" s="48">
        <f>IF($L415="D",INDEX('Zgłoszenia'!$J$5:$J$504,$M415)&amp;"",IF($L415="U",INDEX('Dane rozpisek'!$G$2:$G$2600,$M415)&amp;"",IF($L415="H","Uwagi","")))</f>
        <v/>
      </c>
      <c r="G415" s="49">
        <f>IF($L415="D",INDEX('Zgłoszenia'!$F$5:$F$504,$M415)&amp;"",IF($L415="U",INDEX('Dane rozpisek'!$L$2:$L$2600,$M415)&amp;"",IF($L415="H","Usterki (dzień / następny)","")))</f>
        <v/>
      </c>
      <c r="H415" s="49">
        <f>IF($L415="D",INDEX('Zgłoszenia'!$P$5:$P$504,$M415)&amp;"",IF($L415="U","",""))</f>
        <v/>
      </c>
      <c r="I415" s="48">
        <f>IF($L415="D",IF(INDEX('Zgłoszenia'!$M$5:$M$504,$M415)="","Zgłoszona",INDEX('Zgłoszenia'!$M$5:$M$504,$M415)),IF($L415="U","",""))</f>
        <v/>
      </c>
      <c r="J415" s="49">
        <f>IF($L415="D",INDEX('Zgłoszenia'!$K$5:$K$504,$M415)&amp;"",IF($L415="U","",""))</f>
        <v/>
      </c>
      <c r="K415" s="2" t="n"/>
      <c r="L415" s="2">
        <f>IF((ROW()-12)&lt;=$L$5,IF($L$2=0,"E1","D"),IF((ROW()-12)=$L$5+1,"",IF((ROW()-12)=$L$5+2,"T",IF((ROW()-12)=$L$5+3,IF($L$3=0,"E2","H"),IF((ROW()-12)&lt;=$L$5+3+$L$3,"U","")))))</f>
        <v/>
      </c>
      <c r="M415" s="2">
        <f>IF(L415="D",MATCH(LARGE('Zgłoszenia'!$Q$5:$Q$504,(ROW()-12)),'Zgłoszenia'!$Q$5:$Q$504,0),IF(L415="U",MATCH(LARGE('Dane rozpisek'!$I$2:$I$2600,(ROW()-12)-$L$5-3),'Dane rozpisek'!$I$2:$I$2600,0),""))</f>
        <v/>
      </c>
    </row>
  </sheetData>
  <mergeCells count="12">
    <mergeCell ref="E9:F9"/>
    <mergeCell ref="A1:D1"/>
    <mergeCell ref="B6:C6"/>
    <mergeCell ref="G8:H8"/>
    <mergeCell ref="B5:C5"/>
    <mergeCell ref="E8:F8"/>
    <mergeCell ref="C9:D9"/>
    <mergeCell ref="A9:B9"/>
    <mergeCell ref="G9:H9"/>
    <mergeCell ref="A8:B8"/>
    <mergeCell ref="B4:C4"/>
    <mergeCell ref="C8:D8"/>
  </mergeCells>
  <conditionalFormatting sqref="A13:J415">
    <cfRule type="expression" priority="1" dxfId="7">
      <formula>$L13="T"</formula>
    </cfRule>
    <cfRule type="expression" priority="3" dxfId="8">
      <formula>$L13="D"</formula>
    </cfRule>
    <cfRule type="expression" priority="5" dxfId="9">
      <formula>OR($L13="E1",$L13="E2")</formula>
    </cfRule>
  </conditionalFormatting>
  <conditionalFormatting sqref="A13:G415">
    <cfRule type="expression" priority="2" dxfId="10">
      <formula>$L13="H"</formula>
    </cfRule>
    <cfRule type="expression" priority="4" dxfId="8">
      <formula>$L13="U"</formula>
    </cfRule>
  </conditionalFormatting>
  <conditionalFormatting sqref="G13:G415">
    <cfRule type="expression" priority="6" dxfId="11">
      <formula>AND($L13="U",G13&lt;&gt;"—")</formula>
    </cfRule>
  </conditionalFormatting>
  <conditionalFormatting sqref="I13:I415">
    <cfRule type="expression" priority="7" dxfId="12">
      <formula>AND($L13="D",$I13="Zgłoszona")</formula>
    </cfRule>
    <cfRule type="expression" priority="8" dxfId="13">
      <formula>AND($L13="D",$I13="W naprawie")</formula>
    </cfRule>
    <cfRule type="expression" priority="9" dxfId="13">
      <formula>AND($L13="D",$I13="Czeka na części")</formula>
    </cfRule>
    <cfRule type="expression" priority="10" dxfId="14">
      <formula>AND($L13="D",$I13="Naprawiona")</formula>
    </cfRule>
    <cfRule type="expression" priority="11" dxfId="15">
      <formula>AND($L13="D",$I13="Bez naprawy")</formula>
    </cfRule>
  </conditionalFormatting>
  <dataValidations count="1">
    <dataValidation sqref="B4" showDropDown="0" showInputMessage="0" showErrorMessage="1" allowBlank="1" error="Tej wartości nie ma na liście. Zostawić mimo to?" type="list" errorStyle="warning">
      <formula1>=ListaWozkow</formula1>
    </dataValidation>
  </dataValidations>
  <pageMargins left="0.4" right="0.4" top="0.4" bottom="0.4" header="0" footer="0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IF(1&lt;=DniMiesiaca,DATE(Rok,Miesiac,1),"")</f>
        <v/>
      </c>
      <c r="D1" s="29">
        <f>IF(C1="","(brak dnia 1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inlineStr">
        <is>
          <t>KOWALSKI JAN</t>
        </is>
      </c>
      <c r="C6" s="60" t="n">
        <v>105</v>
      </c>
      <c r="D6" s="59" t="inlineStr">
        <is>
          <t>przykład</t>
        </is>
      </c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IF(2&lt;=DniMiesiaca,DATE(Rok,Miesiac,2),"")</f>
        <v/>
      </c>
      <c r="D1" s="29">
        <f>IF(C1="","(brak dnia 2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IF(3&lt;=DniMiesiaca,DATE(Rok,Miesiac,3),"")</f>
        <v/>
      </c>
      <c r="D1" s="29">
        <f>IF(C1="","(brak dnia 3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3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3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IF(4&lt;=DniMiesiaca,DATE(Rok,Miesiac,4),"")</f>
        <v/>
      </c>
      <c r="D1" s="29">
        <f>IF(C1="","(brak dnia 4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4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4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IF(5&lt;=DniMiesiaca,DATE(Rok,Miesiac,5),"")</f>
        <v/>
      </c>
      <c r="D1" s="29">
        <f>IF(C1="","(brak dnia 5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5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5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IF(6&lt;=DniMiesiaca,DATE(Rok,Miesiac,6),"")</f>
        <v/>
      </c>
      <c r="D1" s="29">
        <f>IF(C1="","(brak dnia 6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6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6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IF(7&lt;=DniMiesiaca,DATE(Rok,Miesiac,7),"")</f>
        <v/>
      </c>
      <c r="D1" s="29">
        <f>IF(C1="","(brak dnia 7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7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7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IF(8&lt;=DniMiesiaca,DATE(Rok,Miesiac,8),"")</f>
        <v/>
      </c>
      <c r="D1" s="29">
        <f>IF(C1="","(brak dnia 8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8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8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IF(9&lt;=DniMiesiaca,DATE(Rok,Miesiac,9),"")</f>
        <v/>
      </c>
      <c r="D1" s="29">
        <f>IF(C1="","(brak dnia 9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9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9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IF(10&lt;=DniMiesiaca,DATE(Rok,Miesiac,10),"")</f>
        <v/>
      </c>
      <c r="D1" s="29">
        <f>IF(C1="","(brak dnia 10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10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10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IF(11&lt;=DniMiesiaca,DATE(Rok,Miesiac,11),"")</f>
        <v/>
      </c>
      <c r="D1" s="29">
        <f>IF(C1="","(brak dnia 11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11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11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IF(12&lt;=DniMiesiaca,DATE(Rok,Miesiac,12),"")</f>
        <v/>
      </c>
      <c r="D1" s="29">
        <f>IF(C1="","(brak dnia 12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12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12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IF(13&lt;=DniMiesiaca,DATE(Rok,Miesiac,13),"")</f>
        <v/>
      </c>
      <c r="D1" s="29">
        <f>IF(C1="","(brak dnia 13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13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13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IF(14&lt;=DniMiesiaca,DATE(Rok,Miesiac,14),"")</f>
        <v/>
      </c>
      <c r="D1" s="29">
        <f>IF(C1="","(brak dnia 14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14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14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IF(15&lt;=DniMiesiaca,DATE(Rok,Miesiac,15),"")</f>
        <v/>
      </c>
      <c r="D1" s="29">
        <f>IF(C1="","(brak dnia 15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15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15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IF(16&lt;=DniMiesiaca,DATE(Rok,Miesiac,16),"")</f>
        <v/>
      </c>
      <c r="D1" s="29">
        <f>IF(C1="","(brak dnia 16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16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16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IF(17&lt;=DniMiesiaca,DATE(Rok,Miesiac,17),"")</f>
        <v/>
      </c>
      <c r="D1" s="29">
        <f>IF(C1="","(brak dnia 17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17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17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IF(18&lt;=DniMiesiaca,DATE(Rok,Miesiac,18),"")</f>
        <v/>
      </c>
      <c r="D1" s="29">
        <f>IF(C1="","(brak dnia 18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18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18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IF(19&lt;=DniMiesiaca,DATE(Rok,Miesiac,19),"")</f>
        <v/>
      </c>
      <c r="D1" s="29">
        <f>IF(C1="","(brak dnia 19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19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19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IF(20&lt;=DniMiesiaca,DATE(Rok,Miesiac,20),"")</f>
        <v/>
      </c>
      <c r="D1" s="29">
        <f>IF(C1="","(brak dnia 20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20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20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IF(21&lt;=DniMiesiaca,DATE(Rok,Miesiac,21),"")</f>
        <v/>
      </c>
      <c r="D1" s="29">
        <f>IF(C1="","(brak dnia 21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21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21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IF(22&lt;=DniMiesiaca,DATE(Rok,Miesiac,22),"")</f>
        <v/>
      </c>
      <c r="D1" s="29">
        <f>IF(C1="","(brak dnia 22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22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22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IF(23&lt;=DniMiesiaca,DATE(Rok,Miesiac,23),"")</f>
        <v/>
      </c>
      <c r="D1" s="29">
        <f>IF(C1="","(brak dnia 23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23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23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IF(24&lt;=DniMiesiaca,DATE(Rok,Miesiac,24),"")</f>
        <v/>
      </c>
      <c r="D1" s="29">
        <f>IF(C1="","(brak dnia 24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24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24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IF(25&lt;=DniMiesiaca,DATE(Rok,Miesiac,25),"")</f>
        <v/>
      </c>
      <c r="D1" s="29">
        <f>IF(C1="","(brak dnia 25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25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25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IF(26&lt;=DniMiesiaca,DATE(Rok,Miesiac,26),"")</f>
        <v/>
      </c>
      <c r="D1" s="29">
        <f>IF(C1="","(brak dnia 26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26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26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IF(27&lt;=DniMiesiaca,DATE(Rok,Miesiac,27),"")</f>
        <v/>
      </c>
      <c r="D1" s="29">
        <f>IF(C1="","(brak dnia 27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27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27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IF(28&lt;=DniMiesiaca,DATE(Rok,Miesiac,28),"")</f>
        <v/>
      </c>
      <c r="D1" s="29">
        <f>IF(C1="","(brak dnia 28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28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28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IF(29&lt;=DniMiesiaca,DATE(Rok,Miesiac,29),"")</f>
        <v/>
      </c>
      <c r="D1" s="29">
        <f>IF(C1="","(brak dnia 29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29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29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IF(30&lt;=DniMiesiaca,DATE(Rok,Miesiac,30),"")</f>
        <v/>
      </c>
      <c r="D1" s="29">
        <f>IF(C1="","(brak dnia 30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30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30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8" customWidth="1" min="4" max="4"/>
    <col width="5" customWidth="1" min="5" max="5"/>
    <col width="40" customWidth="1" min="6" max="6"/>
    <col width="12" customWidth="1" min="7" max="7"/>
    <col width="28" customWidth="1" min="8" max="8"/>
    <col width="5" customWidth="1" min="9" max="9"/>
    <col width="40" customWidth="1" min="10" max="10"/>
    <col width="12" customWidth="1" min="11" max="11"/>
    <col width="28" customWidth="1" min="12" max="12"/>
  </cols>
  <sheetData>
    <row r="1" ht="22" customHeight="1">
      <c r="A1" s="50" t="inlineStr">
        <is>
          <t>ROZPISKA WÓZKÓW</t>
        </is>
      </c>
      <c r="B1" s="2" t="n"/>
      <c r="C1" s="51">
        <f>IF(31&lt;=DniMiesiaca,DATE(Rok,Miesiac,31),"")</f>
        <v/>
      </c>
      <c r="D1" s="29">
        <f>IF(C1="","(brak dnia 31 w tym miesiącu)",CHOOSE(WEEKDAY(C1,2),"poniedziałek","wtorek","środa","czwartek","piątek","sobota","niedziela"))</f>
        <v/>
      </c>
      <c r="E1" s="50" t="inlineStr">
        <is>
          <t>ROZPISKA WÓZKÓW</t>
        </is>
      </c>
      <c r="F1" s="2" t="n"/>
      <c r="G1" s="51">
        <f>$C$1</f>
        <v/>
      </c>
      <c r="H1" s="29">
        <f>IF(G1="","(brak dnia 31 w tym miesiącu)",CHOOSE(WEEKDAY(G1,2),"poniedziałek","wtorek","środa","czwartek","piątek","sobota","niedziela"))</f>
        <v/>
      </c>
      <c r="I1" s="50" t="inlineStr">
        <is>
          <t>ROZPISKA WÓZKÓW</t>
        </is>
      </c>
      <c r="J1" s="2" t="n"/>
      <c r="K1" s="51">
        <f>$C$1</f>
        <v/>
      </c>
      <c r="L1" s="29">
        <f>IF(K1="","(brak dnia 31 w tym miesiącu)",CHOOSE(WEEKDAY(K1,2),"poniedziałek","wtorek","środa","czwartek","piątek","sobota","niedziela"))</f>
        <v/>
      </c>
    </row>
    <row r="2" ht="22" customHeight="1">
      <c r="A2" s="52">
        <f>"ZMIANA "&amp;Ustawienia!$A$8</f>
        <v/>
      </c>
      <c r="B2" s="53" t="n"/>
      <c r="C2" s="54">
        <f>Ustawienia!$B$8&amp;""</f>
        <v/>
      </c>
      <c r="D2" s="53" t="n"/>
      <c r="E2" s="52">
        <f>"ZMIANA "&amp;Ustawienia!$A$9</f>
        <v/>
      </c>
      <c r="F2" s="53" t="n"/>
      <c r="G2" s="54">
        <f>Ustawienia!$B$9&amp;""</f>
        <v/>
      </c>
      <c r="H2" s="53" t="n"/>
      <c r="I2" s="52">
        <f>"ZMIANA "&amp;Ustawienia!$A$10</f>
        <v/>
      </c>
      <c r="J2" s="53" t="n"/>
      <c r="K2" s="54">
        <f>Ustawienia!$B$10&amp;""</f>
        <v/>
      </c>
      <c r="L2" s="53" t="n"/>
    </row>
    <row r="3">
      <c r="A3" s="21" t="inlineStr">
        <is>
          <t>Specjalista zmiany:</t>
        </is>
      </c>
      <c r="B3" s="2" t="n"/>
      <c r="C3" s="8" t="n"/>
      <c r="D3" s="2" t="n"/>
      <c r="E3" s="21" t="inlineStr">
        <is>
          <t>Specjalista zmiany:</t>
        </is>
      </c>
      <c r="F3" s="2" t="n"/>
      <c r="G3" s="8" t="n"/>
      <c r="H3" s="2" t="n"/>
      <c r="I3" s="21" t="inlineStr">
        <is>
          <t>Specjalista zmiany:</t>
        </is>
      </c>
      <c r="J3" s="2" t="n"/>
      <c r="K3" s="8" t="n"/>
      <c r="L3" s="2" t="n"/>
    </row>
    <row r="4">
      <c r="A4" s="55" t="inlineStr">
        <is>
          <t>Lp</t>
        </is>
      </c>
      <c r="B4" s="55" t="inlineStr">
        <is>
          <t>Imię i nazwisko</t>
        </is>
      </c>
      <c r="C4" s="55" t="inlineStr">
        <is>
          <t>Wózek</t>
        </is>
      </c>
      <c r="D4" s="55" t="inlineStr">
        <is>
          <t>Uwagi</t>
        </is>
      </c>
      <c r="E4" s="55" t="inlineStr">
        <is>
          <t>Lp</t>
        </is>
      </c>
      <c r="F4" s="55" t="inlineStr">
        <is>
          <t>Imię i nazwisko</t>
        </is>
      </c>
      <c r="G4" s="55" t="inlineStr">
        <is>
          <t>Wózek</t>
        </is>
      </c>
      <c r="H4" s="55" t="inlineStr">
        <is>
          <t>Uwagi</t>
        </is>
      </c>
      <c r="I4" s="55" t="inlineStr">
        <is>
          <t>Lp</t>
        </is>
      </c>
      <c r="J4" s="55" t="inlineStr">
        <is>
          <t>Imię i nazwisko</t>
        </is>
      </c>
      <c r="K4" s="55" t="inlineStr">
        <is>
          <t>Wózek</t>
        </is>
      </c>
      <c r="L4" s="55" t="inlineStr">
        <is>
          <t>Uwagi</t>
        </is>
      </c>
    </row>
    <row r="5" ht="17" customHeight="1">
      <c r="A5" s="56">
        <f>UPPER(Ustawienia!$A$14)</f>
        <v/>
      </c>
      <c r="B5" s="57" t="n"/>
      <c r="C5" s="57" t="n"/>
      <c r="D5" s="57" t="n"/>
      <c r="E5" s="56">
        <f>UPPER(Ustawienia!$A$14)</f>
        <v/>
      </c>
      <c r="F5" s="57" t="n"/>
      <c r="G5" s="57" t="n"/>
      <c r="H5" s="57" t="n"/>
      <c r="I5" s="56">
        <f>UPPER(Ustawienia!$A$14)</f>
        <v/>
      </c>
      <c r="J5" s="57" t="n"/>
      <c r="K5" s="57" t="n"/>
      <c r="L5" s="57" t="n"/>
    </row>
    <row r="6" ht="17" customHeight="1">
      <c r="A6" s="58" t="n">
        <v>1</v>
      </c>
      <c r="B6" s="59" t="n"/>
      <c r="C6" s="60" t="n"/>
      <c r="D6" s="59" t="n"/>
      <c r="E6" s="58" t="n">
        <v>1</v>
      </c>
      <c r="F6" s="59" t="n"/>
      <c r="G6" s="60" t="n"/>
      <c r="H6" s="59" t="n"/>
      <c r="I6" s="58" t="n">
        <v>1</v>
      </c>
      <c r="J6" s="59" t="n"/>
      <c r="K6" s="60" t="n"/>
      <c r="L6" s="59" t="n"/>
    </row>
    <row r="7" ht="17" customHeight="1">
      <c r="A7" s="58" t="n">
        <v>2</v>
      </c>
      <c r="B7" s="59" t="n"/>
      <c r="C7" s="60" t="n"/>
      <c r="D7" s="59" t="n"/>
      <c r="E7" s="58" t="n">
        <v>2</v>
      </c>
      <c r="F7" s="59" t="n"/>
      <c r="G7" s="60" t="n"/>
      <c r="H7" s="59" t="n"/>
      <c r="I7" s="58" t="n">
        <v>2</v>
      </c>
      <c r="J7" s="59" t="n"/>
      <c r="K7" s="60" t="n"/>
      <c r="L7" s="59" t="n"/>
    </row>
    <row r="8" ht="17" customHeight="1">
      <c r="A8" s="58" t="n">
        <v>3</v>
      </c>
      <c r="B8" s="59" t="n"/>
      <c r="C8" s="60" t="n"/>
      <c r="D8" s="59" t="n"/>
      <c r="E8" s="58" t="n">
        <v>3</v>
      </c>
      <c r="F8" s="59" t="n"/>
      <c r="G8" s="60" t="n"/>
      <c r="H8" s="59" t="n"/>
      <c r="I8" s="58" t="n">
        <v>3</v>
      </c>
      <c r="J8" s="59" t="n"/>
      <c r="K8" s="60" t="n"/>
      <c r="L8" s="59" t="n"/>
    </row>
    <row r="9" ht="17" customHeight="1">
      <c r="A9" s="58" t="n">
        <v>4</v>
      </c>
      <c r="B9" s="59" t="n"/>
      <c r="C9" s="60" t="n"/>
      <c r="D9" s="59" t="n"/>
      <c r="E9" s="58" t="n">
        <v>4</v>
      </c>
      <c r="F9" s="59" t="n"/>
      <c r="G9" s="60" t="n"/>
      <c r="H9" s="59" t="n"/>
      <c r="I9" s="58" t="n">
        <v>4</v>
      </c>
      <c r="J9" s="59" t="n"/>
      <c r="K9" s="60" t="n"/>
      <c r="L9" s="59" t="n"/>
    </row>
    <row r="10" ht="17" customHeight="1">
      <c r="A10" s="58" t="n">
        <v>5</v>
      </c>
      <c r="B10" s="59" t="n"/>
      <c r="C10" s="60" t="n"/>
      <c r="D10" s="59" t="n"/>
      <c r="E10" s="58" t="n">
        <v>5</v>
      </c>
      <c r="F10" s="59" t="n"/>
      <c r="G10" s="60" t="n"/>
      <c r="H10" s="59" t="n"/>
      <c r="I10" s="58" t="n">
        <v>5</v>
      </c>
      <c r="J10" s="59" t="n"/>
      <c r="K10" s="60" t="n"/>
      <c r="L10" s="59" t="n"/>
    </row>
    <row r="11" ht="17" customHeight="1">
      <c r="A11" s="58" t="n">
        <v>6</v>
      </c>
      <c r="B11" s="59" t="n"/>
      <c r="C11" s="60" t="n"/>
      <c r="D11" s="59" t="n"/>
      <c r="E11" s="58" t="n">
        <v>6</v>
      </c>
      <c r="F11" s="59" t="n"/>
      <c r="G11" s="60" t="n"/>
      <c r="H11" s="59" t="n"/>
      <c r="I11" s="58" t="n">
        <v>6</v>
      </c>
      <c r="J11" s="59" t="n"/>
      <c r="K11" s="60" t="n"/>
      <c r="L11" s="59" t="n"/>
    </row>
    <row r="12" ht="17" customHeight="1">
      <c r="A12" s="56">
        <f>UPPER(Ustawienia!$A$15)</f>
        <v/>
      </c>
      <c r="B12" s="57" t="n"/>
      <c r="C12" s="57" t="n"/>
      <c r="D12" s="57" t="n"/>
      <c r="E12" s="56">
        <f>UPPER(Ustawienia!$A$15)</f>
        <v/>
      </c>
      <c r="F12" s="57" t="n"/>
      <c r="G12" s="57" t="n"/>
      <c r="H12" s="57" t="n"/>
      <c r="I12" s="56">
        <f>UPPER(Ustawienia!$A$15)</f>
        <v/>
      </c>
      <c r="J12" s="57" t="n"/>
      <c r="K12" s="57" t="n"/>
      <c r="L12" s="57" t="n"/>
    </row>
    <row r="13" ht="17" customHeight="1">
      <c r="A13" s="58" t="n">
        <v>1</v>
      </c>
      <c r="B13" s="59" t="n"/>
      <c r="C13" s="60" t="n"/>
      <c r="D13" s="59" t="n"/>
      <c r="E13" s="58" t="n">
        <v>1</v>
      </c>
      <c r="F13" s="59" t="n"/>
      <c r="G13" s="60" t="n"/>
      <c r="H13" s="59" t="n"/>
      <c r="I13" s="58" t="n">
        <v>1</v>
      </c>
      <c r="J13" s="59" t="n"/>
      <c r="K13" s="60" t="n"/>
      <c r="L13" s="59" t="n"/>
    </row>
    <row r="14" ht="17" customHeight="1">
      <c r="A14" s="58" t="n">
        <v>2</v>
      </c>
      <c r="B14" s="59" t="n"/>
      <c r="C14" s="60" t="n"/>
      <c r="D14" s="59" t="n"/>
      <c r="E14" s="58" t="n">
        <v>2</v>
      </c>
      <c r="F14" s="59" t="n"/>
      <c r="G14" s="60" t="n"/>
      <c r="H14" s="59" t="n"/>
      <c r="I14" s="58" t="n">
        <v>2</v>
      </c>
      <c r="J14" s="59" t="n"/>
      <c r="K14" s="60" t="n"/>
      <c r="L14" s="59" t="n"/>
    </row>
    <row r="15" ht="17" customHeight="1">
      <c r="A15" s="58" t="n">
        <v>3</v>
      </c>
      <c r="B15" s="59" t="n"/>
      <c r="C15" s="60" t="n"/>
      <c r="D15" s="59" t="n"/>
      <c r="E15" s="58" t="n">
        <v>3</v>
      </c>
      <c r="F15" s="59" t="n"/>
      <c r="G15" s="60" t="n"/>
      <c r="H15" s="59" t="n"/>
      <c r="I15" s="58" t="n">
        <v>3</v>
      </c>
      <c r="J15" s="59" t="n"/>
      <c r="K15" s="60" t="n"/>
      <c r="L15" s="59" t="n"/>
    </row>
    <row r="16" ht="17" customHeight="1">
      <c r="A16" s="58" t="n">
        <v>4</v>
      </c>
      <c r="B16" s="59" t="n"/>
      <c r="C16" s="60" t="n"/>
      <c r="D16" s="59" t="n"/>
      <c r="E16" s="58" t="n">
        <v>4</v>
      </c>
      <c r="F16" s="59" t="n"/>
      <c r="G16" s="60" t="n"/>
      <c r="H16" s="59" t="n"/>
      <c r="I16" s="58" t="n">
        <v>4</v>
      </c>
      <c r="J16" s="59" t="n"/>
      <c r="K16" s="60" t="n"/>
      <c r="L16" s="59" t="n"/>
    </row>
    <row r="17" ht="17" customHeight="1">
      <c r="A17" s="58" t="n">
        <v>5</v>
      </c>
      <c r="B17" s="59" t="n"/>
      <c r="C17" s="60" t="n"/>
      <c r="D17" s="59" t="n"/>
      <c r="E17" s="58" t="n">
        <v>5</v>
      </c>
      <c r="F17" s="59" t="n"/>
      <c r="G17" s="60" t="n"/>
      <c r="H17" s="59" t="n"/>
      <c r="I17" s="58" t="n">
        <v>5</v>
      </c>
      <c r="J17" s="59" t="n"/>
      <c r="K17" s="60" t="n"/>
      <c r="L17" s="59" t="n"/>
    </row>
    <row r="18" ht="17" customHeight="1">
      <c r="A18" s="58" t="n">
        <v>6</v>
      </c>
      <c r="B18" s="59" t="n"/>
      <c r="C18" s="60" t="n"/>
      <c r="D18" s="59" t="n"/>
      <c r="E18" s="58" t="n">
        <v>6</v>
      </c>
      <c r="F18" s="59" t="n"/>
      <c r="G18" s="60" t="n"/>
      <c r="H18" s="59" t="n"/>
      <c r="I18" s="58" t="n">
        <v>6</v>
      </c>
      <c r="J18" s="59" t="n"/>
      <c r="K18" s="60" t="n"/>
      <c r="L18" s="59" t="n"/>
    </row>
    <row r="19" ht="17" customHeight="1">
      <c r="A19" s="58" t="n">
        <v>7</v>
      </c>
      <c r="B19" s="59" t="n"/>
      <c r="C19" s="60" t="n"/>
      <c r="D19" s="59" t="n"/>
      <c r="E19" s="58" t="n">
        <v>7</v>
      </c>
      <c r="F19" s="59" t="n"/>
      <c r="G19" s="60" t="n"/>
      <c r="H19" s="59" t="n"/>
      <c r="I19" s="58" t="n">
        <v>7</v>
      </c>
      <c r="J19" s="59" t="n"/>
      <c r="K19" s="60" t="n"/>
      <c r="L19" s="59" t="n"/>
    </row>
    <row r="20" ht="17" customHeight="1">
      <c r="A20" s="58" t="n">
        <v>8</v>
      </c>
      <c r="B20" s="59" t="n"/>
      <c r="C20" s="60" t="n"/>
      <c r="D20" s="59" t="n"/>
      <c r="E20" s="58" t="n">
        <v>8</v>
      </c>
      <c r="F20" s="59" t="n"/>
      <c r="G20" s="60" t="n"/>
      <c r="H20" s="59" t="n"/>
      <c r="I20" s="58" t="n">
        <v>8</v>
      </c>
      <c r="J20" s="59" t="n"/>
      <c r="K20" s="60" t="n"/>
      <c r="L20" s="59" t="n"/>
    </row>
    <row r="21" ht="17" customHeight="1">
      <c r="A21" s="56">
        <f>UPPER(Ustawienia!$A$16)</f>
        <v/>
      </c>
      <c r="B21" s="57" t="n"/>
      <c r="C21" s="57" t="n"/>
      <c r="D21" s="57" t="n"/>
      <c r="E21" s="56">
        <f>UPPER(Ustawienia!$A$16)</f>
        <v/>
      </c>
      <c r="F21" s="57" t="n"/>
      <c r="G21" s="57" t="n"/>
      <c r="H21" s="57" t="n"/>
      <c r="I21" s="56">
        <f>UPPER(Ustawienia!$A$16)</f>
        <v/>
      </c>
      <c r="J21" s="57" t="n"/>
      <c r="K21" s="57" t="n"/>
      <c r="L21" s="57" t="n"/>
    </row>
    <row r="22" ht="17" customHeight="1">
      <c r="A22" s="58" t="n">
        <v>1</v>
      </c>
      <c r="B22" s="59" t="n"/>
      <c r="C22" s="60" t="n"/>
      <c r="D22" s="59" t="n"/>
      <c r="E22" s="58" t="n">
        <v>1</v>
      </c>
      <c r="F22" s="59" t="n"/>
      <c r="G22" s="60" t="n"/>
      <c r="H22" s="59" t="n"/>
      <c r="I22" s="58" t="n">
        <v>1</v>
      </c>
      <c r="J22" s="59" t="n"/>
      <c r="K22" s="60" t="n"/>
      <c r="L22" s="59" t="n"/>
    </row>
    <row r="23" ht="17" customHeight="1">
      <c r="A23" s="58" t="n">
        <v>2</v>
      </c>
      <c r="B23" s="59" t="n"/>
      <c r="C23" s="60" t="n"/>
      <c r="D23" s="59" t="n"/>
      <c r="E23" s="58" t="n">
        <v>2</v>
      </c>
      <c r="F23" s="59" t="n"/>
      <c r="G23" s="60" t="n"/>
      <c r="H23" s="59" t="n"/>
      <c r="I23" s="58" t="n">
        <v>2</v>
      </c>
      <c r="J23" s="59" t="n"/>
      <c r="K23" s="60" t="n"/>
      <c r="L23" s="59" t="n"/>
    </row>
    <row r="24" ht="17" customHeight="1">
      <c r="A24" s="58" t="n">
        <v>3</v>
      </c>
      <c r="B24" s="59" t="n"/>
      <c r="C24" s="60" t="n"/>
      <c r="D24" s="59" t="n"/>
      <c r="E24" s="58" t="n">
        <v>3</v>
      </c>
      <c r="F24" s="59" t="n"/>
      <c r="G24" s="60" t="n"/>
      <c r="H24" s="59" t="n"/>
      <c r="I24" s="58" t="n">
        <v>3</v>
      </c>
      <c r="J24" s="59" t="n"/>
      <c r="K24" s="60" t="n"/>
      <c r="L24" s="59" t="n"/>
    </row>
    <row r="25" ht="17" customHeight="1">
      <c r="A25" s="58" t="n">
        <v>4</v>
      </c>
      <c r="B25" s="59" t="n"/>
      <c r="C25" s="60" t="n"/>
      <c r="D25" s="59" t="n"/>
      <c r="E25" s="58" t="n">
        <v>4</v>
      </c>
      <c r="F25" s="59" t="n"/>
      <c r="G25" s="60" t="n"/>
      <c r="H25" s="59" t="n"/>
      <c r="I25" s="58" t="n">
        <v>4</v>
      </c>
      <c r="J25" s="59" t="n"/>
      <c r="K25" s="60" t="n"/>
      <c r="L25" s="59" t="n"/>
    </row>
    <row r="26" ht="17" customHeight="1">
      <c r="A26" s="56">
        <f>UPPER(Ustawienia!$A$17)</f>
        <v/>
      </c>
      <c r="B26" s="57" t="n"/>
      <c r="C26" s="57" t="n"/>
      <c r="D26" s="57" t="n"/>
      <c r="E26" s="56">
        <f>UPPER(Ustawienia!$A$17)</f>
        <v/>
      </c>
      <c r="F26" s="57" t="n"/>
      <c r="G26" s="57" t="n"/>
      <c r="H26" s="57" t="n"/>
      <c r="I26" s="56">
        <f>UPPER(Ustawienia!$A$17)</f>
        <v/>
      </c>
      <c r="J26" s="57" t="n"/>
      <c r="K26" s="57" t="n"/>
      <c r="L26" s="57" t="n"/>
    </row>
    <row r="27" ht="17" customHeight="1">
      <c r="A27" s="58" t="n">
        <v>1</v>
      </c>
      <c r="B27" s="59" t="n"/>
      <c r="C27" s="60" t="n"/>
      <c r="D27" s="59" t="n"/>
      <c r="E27" s="58" t="n">
        <v>1</v>
      </c>
      <c r="F27" s="59" t="n"/>
      <c r="G27" s="60" t="n"/>
      <c r="H27" s="59" t="n"/>
      <c r="I27" s="58" t="n">
        <v>1</v>
      </c>
      <c r="J27" s="59" t="n"/>
      <c r="K27" s="60" t="n"/>
      <c r="L27" s="59" t="n"/>
    </row>
    <row r="28" ht="17" customHeight="1">
      <c r="A28" s="58" t="n">
        <v>2</v>
      </c>
      <c r="B28" s="59" t="n"/>
      <c r="C28" s="60" t="n"/>
      <c r="D28" s="59" t="n"/>
      <c r="E28" s="58" t="n">
        <v>2</v>
      </c>
      <c r="F28" s="59" t="n"/>
      <c r="G28" s="60" t="n"/>
      <c r="H28" s="59" t="n"/>
      <c r="I28" s="58" t="n">
        <v>2</v>
      </c>
      <c r="J28" s="59" t="n"/>
      <c r="K28" s="60" t="n"/>
      <c r="L28" s="59" t="n"/>
    </row>
    <row r="29" ht="17" customHeight="1">
      <c r="A29" s="58" t="n">
        <v>3</v>
      </c>
      <c r="B29" s="59" t="n"/>
      <c r="C29" s="60" t="n"/>
      <c r="D29" s="59" t="n"/>
      <c r="E29" s="58" t="n">
        <v>3</v>
      </c>
      <c r="F29" s="59" t="n"/>
      <c r="G29" s="60" t="n"/>
      <c r="H29" s="59" t="n"/>
      <c r="I29" s="58" t="n">
        <v>3</v>
      </c>
      <c r="J29" s="59" t="n"/>
      <c r="K29" s="60" t="n"/>
      <c r="L29" s="59" t="n"/>
    </row>
    <row r="30" ht="17" customHeight="1">
      <c r="A30" s="58" t="n">
        <v>4</v>
      </c>
      <c r="B30" s="59" t="n"/>
      <c r="C30" s="60" t="n"/>
      <c r="D30" s="59" t="n"/>
      <c r="E30" s="58" t="n">
        <v>4</v>
      </c>
      <c r="F30" s="59" t="n"/>
      <c r="G30" s="60" t="n"/>
      <c r="H30" s="59" t="n"/>
      <c r="I30" s="58" t="n">
        <v>4</v>
      </c>
      <c r="J30" s="59" t="n"/>
      <c r="K30" s="60" t="n"/>
      <c r="L30" s="59" t="n"/>
    </row>
    <row r="31" ht="17" customHeight="1">
      <c r="A31" s="56">
        <f>UPPER(Ustawienia!$A$18)</f>
        <v/>
      </c>
      <c r="B31" s="57" t="n"/>
      <c r="C31" s="57" t="n"/>
      <c r="D31" s="57" t="n"/>
      <c r="E31" s="56">
        <f>UPPER(Ustawienia!$A$18)</f>
        <v/>
      </c>
      <c r="F31" s="57" t="n"/>
      <c r="G31" s="57" t="n"/>
      <c r="H31" s="57" t="n"/>
      <c r="I31" s="56">
        <f>UPPER(Ustawienia!$A$18)</f>
        <v/>
      </c>
      <c r="J31" s="57" t="n"/>
      <c r="K31" s="57" t="n"/>
      <c r="L31" s="57" t="n"/>
    </row>
    <row r="32" ht="17" customHeight="1">
      <c r="A32" s="58" t="n">
        <v>1</v>
      </c>
      <c r="B32" s="59" t="n"/>
      <c r="C32" s="60" t="n"/>
      <c r="D32" s="59" t="n"/>
      <c r="E32" s="58" t="n">
        <v>1</v>
      </c>
      <c r="F32" s="59" t="n"/>
      <c r="G32" s="60" t="n"/>
      <c r="H32" s="59" t="n"/>
      <c r="I32" s="58" t="n">
        <v>1</v>
      </c>
      <c r="J32" s="59" t="n"/>
      <c r="K32" s="60" t="n"/>
      <c r="L32" s="59" t="n"/>
    </row>
    <row r="33" ht="17" customHeight="1">
      <c r="A33" s="58" t="n">
        <v>2</v>
      </c>
      <c r="B33" s="59" t="n"/>
      <c r="C33" s="60" t="n"/>
      <c r="D33" s="59" t="n"/>
      <c r="E33" s="58" t="n">
        <v>2</v>
      </c>
      <c r="F33" s="59" t="n"/>
      <c r="G33" s="60" t="n"/>
      <c r="H33" s="59" t="n"/>
      <c r="I33" s="58" t="n">
        <v>2</v>
      </c>
      <c r="J33" s="59" t="n"/>
      <c r="K33" s="60" t="n"/>
      <c r="L33" s="59" t="n"/>
    </row>
    <row r="34" ht="17" customHeight="1">
      <c r="A34" s="58" t="n">
        <v>3</v>
      </c>
      <c r="B34" s="59" t="n"/>
      <c r="C34" s="60" t="n"/>
      <c r="D34" s="59" t="n"/>
      <c r="E34" s="58" t="n">
        <v>3</v>
      </c>
      <c r="F34" s="59" t="n"/>
      <c r="G34" s="60" t="n"/>
      <c r="H34" s="59" t="n"/>
      <c r="I34" s="58" t="n">
        <v>3</v>
      </c>
      <c r="J34" s="59" t="n"/>
      <c r="K34" s="60" t="n"/>
      <c r="L34" s="59" t="n"/>
    </row>
    <row r="35" ht="17" customHeight="1">
      <c r="A35" s="58" t="n">
        <v>4</v>
      </c>
      <c r="B35" s="59" t="n"/>
      <c r="C35" s="60" t="n"/>
      <c r="D35" s="59" t="n"/>
      <c r="E35" s="58" t="n">
        <v>4</v>
      </c>
      <c r="F35" s="59" t="n"/>
      <c r="G35" s="60" t="n"/>
      <c r="H35" s="59" t="n"/>
      <c r="I35" s="58" t="n">
        <v>4</v>
      </c>
      <c r="J35" s="59" t="n"/>
      <c r="K35" s="60" t="n"/>
      <c r="L35" s="59" t="n"/>
    </row>
    <row r="36" ht="17" customHeight="1">
      <c r="A36" s="58" t="n">
        <v>5</v>
      </c>
      <c r="B36" s="59" t="n"/>
      <c r="C36" s="60" t="n"/>
      <c r="D36" s="59" t="n"/>
      <c r="E36" s="58" t="n">
        <v>5</v>
      </c>
      <c r="F36" s="59" t="n"/>
      <c r="G36" s="60" t="n"/>
      <c r="H36" s="59" t="n"/>
      <c r="I36" s="58" t="n">
        <v>5</v>
      </c>
      <c r="J36" s="59" t="n"/>
      <c r="K36" s="60" t="n"/>
      <c r="L36" s="59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61" t="inlineStr">
        <is>
          <t>Sporządził: ______________________</t>
        </is>
      </c>
      <c r="B38" s="2" t="n"/>
      <c r="C38" s="61" t="inlineStr">
        <is>
          <t>Podpis specjalisty zmiany: ________________</t>
        </is>
      </c>
      <c r="D38" s="2" t="n"/>
      <c r="E38" s="61" t="inlineStr">
        <is>
          <t>Sporządził: ______________________</t>
        </is>
      </c>
      <c r="F38" s="2" t="n"/>
      <c r="G38" s="61" t="inlineStr">
        <is>
          <t>Podpis specjalisty zmiany: ________________</t>
        </is>
      </c>
      <c r="H38" s="2" t="n"/>
      <c r="I38" s="61" t="inlineStr">
        <is>
          <t>Sporządził: ______________________</t>
        </is>
      </c>
      <c r="J38" s="2" t="n"/>
      <c r="K38" s="61" t="inlineStr">
        <is>
          <t>Podpis specjalisty zmiany: ________________</t>
        </is>
      </c>
      <c r="L38" s="2" t="n"/>
    </row>
  </sheetData>
  <mergeCells count="36">
    <mergeCell ref="A5:D5"/>
    <mergeCell ref="E26:H26"/>
    <mergeCell ref="I5:L5"/>
    <mergeCell ref="G2:H2"/>
    <mergeCell ref="I2:J2"/>
    <mergeCell ref="A1:B1"/>
    <mergeCell ref="A31:D31"/>
    <mergeCell ref="E38:F38"/>
    <mergeCell ref="G38:H38"/>
    <mergeCell ref="I31:L31"/>
    <mergeCell ref="E1:F1"/>
    <mergeCell ref="E12:H12"/>
    <mergeCell ref="E21:H21"/>
    <mergeCell ref="A3:B3"/>
    <mergeCell ref="E5:H5"/>
    <mergeCell ref="G3:H3"/>
    <mergeCell ref="I3:J3"/>
    <mergeCell ref="A2:B2"/>
    <mergeCell ref="I26:L26"/>
    <mergeCell ref="C2:D2"/>
    <mergeCell ref="E2:F2"/>
    <mergeCell ref="K2:L2"/>
    <mergeCell ref="I1:J1"/>
    <mergeCell ref="A38:B38"/>
    <mergeCell ref="C38:D38"/>
    <mergeCell ref="E31:H31"/>
    <mergeCell ref="I38:J38"/>
    <mergeCell ref="A12:D12"/>
    <mergeCell ref="I21:L21"/>
    <mergeCell ref="K38:L38"/>
    <mergeCell ref="A26:D26"/>
    <mergeCell ref="A21:D21"/>
    <mergeCell ref="I12:L12"/>
    <mergeCell ref="C3:D3"/>
    <mergeCell ref="E3:F3"/>
    <mergeCell ref="K3:L3"/>
  </mergeCells>
  <conditionalFormatting sqref="C6:C36">
    <cfRule type="expression" priority="1" dxfId="4">
      <formula>AND(C6&lt;&gt;"",COUNTIFS('Zgłoszenia'!$B$5:$B$504,C6,'Zgłoszenia'!$L$5:$L$504,"TAK",'Zgłoszenia'!$O$5:$O$504,"TAK")&gt;0)</formula>
    </cfRule>
    <cfRule type="expression" priority="2" dxfId="4">
      <formula>AND(C6&lt;&gt;"",COUNTIF($C$6:$C$36,C6)&gt;1)</formula>
    </cfRule>
  </conditionalFormatting>
  <conditionalFormatting sqref="B6:B36">
    <cfRule type="expression" priority="3" dxfId="16">
      <formula>AND(B6&lt;&gt;"",COUNTIF($B$6:$B$36,B6)&gt;1)</formula>
    </cfRule>
  </conditionalFormatting>
  <conditionalFormatting sqref="G6:G36">
    <cfRule type="expression" priority="4" dxfId="4">
      <formula>AND(G6&lt;&gt;"",COUNTIFS('Zgłoszenia'!$B$5:$B$504,G6,'Zgłoszenia'!$L$5:$L$504,"TAK",'Zgłoszenia'!$O$5:$O$504,"TAK")&gt;0)</formula>
    </cfRule>
    <cfRule type="expression" priority="5" dxfId="4">
      <formula>AND(G6&lt;&gt;"",COUNTIF($G$6:$G$36,G6)&gt;1)</formula>
    </cfRule>
  </conditionalFormatting>
  <conditionalFormatting sqref="F6:F36">
    <cfRule type="expression" priority="6" dxfId="16">
      <formula>AND(F6&lt;&gt;"",COUNTIF($F$6:$F$36,F6)&gt;1)</formula>
    </cfRule>
  </conditionalFormatting>
  <conditionalFormatting sqref="K6:K36">
    <cfRule type="expression" priority="7" dxfId="4">
      <formula>AND(K6&lt;&gt;"",COUNTIFS('Zgłoszenia'!$B$5:$B$504,K6,'Zgłoszenia'!$L$5:$L$504,"TAK",'Zgłoszenia'!$O$5:$O$504,"TAK")&gt;0)</formula>
    </cfRule>
    <cfRule type="expression" priority="8" dxfId="4">
      <formula>AND(K6&lt;&gt;"",COUNTIF($K$6:$K$36,K6)&gt;1)</formula>
    </cfRule>
  </conditionalFormatting>
  <conditionalFormatting sqref="J6:J36">
    <cfRule type="expression" priority="9" dxfId="16">
      <formula>AND(J6&lt;&gt;"",COUNTIF($J$6:$J$36,J6)&gt;1)</formula>
    </cfRule>
  </conditionalFormatting>
  <dataValidations count="9">
    <dataValidation sqref="C3" showDropDown="0" showInputMessage="0" showErrorMessage="1" allowBlank="1" error="Tej wartości nie ma na liście. Zostawić mimo to?" type="list" errorStyle="warning">
      <formula1>=ListaPracownikow</formula1>
    </dataValidation>
    <dataValidation sqref="B6:B36" showDropDown="0" showInputMessage="0" showErrorMessage="1" allowBlank="1" error="Tej wartości nie ma na liście. Zostawić mimo to?" type="list" errorStyle="warning">
      <formula1>=ListaPracownikow</formula1>
    </dataValidation>
    <dataValidation sqref="C6:C36" showDropDown="0" showInputMessage="0" showErrorMessage="1" allowBlank="1" error="Tej wartości nie ma na liście. Zostawić mimo to?" type="list" errorStyle="warning">
      <formula1>=ListaWozkow</formula1>
    </dataValidation>
    <dataValidation sqref="G3" showDropDown="0" showInputMessage="0" showErrorMessage="1" allowBlank="1" error="Tej wartości nie ma na liście. Zostawić mimo to?" type="list" errorStyle="warning">
      <formula1>=ListaPracownikow</formula1>
    </dataValidation>
    <dataValidation sqref="F6:F36" showDropDown="0" showInputMessage="0" showErrorMessage="1" allowBlank="1" error="Tej wartości nie ma na liście. Zostawić mimo to?" type="list" errorStyle="warning">
      <formula1>=ListaPracownikow</formula1>
    </dataValidation>
    <dataValidation sqref="G6:G36" showDropDown="0" showInputMessage="0" showErrorMessage="1" allowBlank="1" error="Tej wartości nie ma na liście. Zostawić mimo to?" type="list" errorStyle="warning">
      <formula1>=ListaWozkow</formula1>
    </dataValidation>
    <dataValidation sqref="K3" showDropDown="0" showInputMessage="0" showErrorMessage="1" allowBlank="1" error="Tej wartości nie ma na liście. Zostawić mimo to?" type="list" errorStyle="warning">
      <formula1>=ListaPracownikow</formula1>
    </dataValidation>
    <dataValidation sqref="J6:J36" showDropDown="0" showInputMessage="0" showErrorMessage="1" allowBlank="1" error="Tej wartości nie ma na liście. Zostawić mimo to?" type="list" errorStyle="warning">
      <formula1>=ListaPracownikow</formula1>
    </dataValidation>
    <dataValidation sqref="K6:K36" showDropDown="0" showInputMessage="0" showErrorMessage="1" allowBlank="1" error="Tej wartości nie ma na liście. Zostawić mimo to?" type="list" errorStyle="warning">
      <formula1>=ListaWozkow</formula1>
    </dataValidation>
  </dataValidations>
  <printOptions horizontalCentered="1"/>
  <pageMargins left="0.4" right="0.4" top="0.4" bottom="0.4" header="0" footer="0"/>
  <pageSetup orientation="portrait" paperSize="9" scale="92"/>
  <colBreaks count="2" manualBreakCount="2">
    <brk id="4" min="0" max="16383" man="1"/>
    <brk id="8" min="0" max="16383" man="1"/>
  </colBreaks>
</worksheet>
</file>

<file path=xl/worksheets/sheet36.xml><?xml version="1.0" encoding="utf-8"?>
<worksheet xmlns="http://schemas.openxmlformats.org/spreadsheetml/2006/main">
  <sheetPr>
    <tabColor rgb="005B6878"/>
    <outlinePr summaryBelow="1" summaryRight="1"/>
    <pageSetUpPr/>
  </sheetPr>
  <dimension ref="A1:D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9" t="inlineStr">
        <is>
          <t>Imię i nazwisko</t>
        </is>
      </c>
      <c r="B1" s="19" t="inlineStr">
        <is>
          <t>Dział</t>
        </is>
      </c>
      <c r="C1" s="2" t="n"/>
      <c r="D1" s="10" t="inlineStr">
        <is>
          <t>Przykładowe wpisy: zastąp je własną listą (można wkleić kolumny z Excela). Bez pustych wierszy w środku listy.</t>
        </is>
      </c>
    </row>
    <row r="2">
      <c r="A2" s="8" t="inlineStr">
        <is>
          <t>KOWALSKI JAN</t>
        </is>
      </c>
      <c r="B2" s="8" t="inlineStr">
        <is>
          <t>opakowania</t>
        </is>
      </c>
      <c r="C2" s="2" t="n"/>
      <c r="D2" s="2" t="n"/>
    </row>
    <row r="3">
      <c r="A3" s="8" t="inlineStr">
        <is>
          <t>NOWAK ANNA</t>
        </is>
      </c>
      <c r="B3" s="8" t="inlineStr">
        <is>
          <t>strefa</t>
        </is>
      </c>
      <c r="C3" s="2" t="n"/>
      <c r="D3" s="2" t="n"/>
    </row>
    <row r="4">
      <c r="A4" s="8" t="inlineStr">
        <is>
          <t>WIŚNIEWSKI PIOTR</t>
        </is>
      </c>
      <c r="B4" s="8" t="inlineStr">
        <is>
          <t>biuro</t>
        </is>
      </c>
      <c r="C4" s="2" t="n"/>
      <c r="D4" s="2" t="n"/>
    </row>
    <row r="5">
      <c r="A5" s="8" t="n"/>
      <c r="B5" s="8" t="n"/>
      <c r="C5" s="2" t="n"/>
      <c r="D5" s="2" t="n"/>
    </row>
    <row r="6">
      <c r="A6" s="8" t="n"/>
      <c r="B6" s="8" t="n"/>
      <c r="C6" s="2" t="n"/>
      <c r="D6" s="2" t="n"/>
    </row>
    <row r="7">
      <c r="A7" s="8" t="n"/>
      <c r="B7" s="8" t="n"/>
      <c r="C7" s="2" t="n"/>
      <c r="D7" s="2" t="n"/>
    </row>
    <row r="8">
      <c r="A8" s="8" t="n"/>
      <c r="B8" s="8" t="n"/>
      <c r="C8" s="2" t="n"/>
      <c r="D8" s="2" t="n"/>
    </row>
    <row r="9">
      <c r="A9" s="8" t="n"/>
      <c r="B9" s="8" t="n"/>
      <c r="C9" s="2" t="n"/>
      <c r="D9" s="2" t="n"/>
    </row>
    <row r="10">
      <c r="A10" s="8" t="n"/>
      <c r="B10" s="8" t="n"/>
      <c r="C10" s="2" t="n"/>
      <c r="D10" s="2" t="n"/>
    </row>
    <row r="11">
      <c r="A11" s="8" t="n"/>
      <c r="B11" s="8" t="n"/>
      <c r="C11" s="2" t="n"/>
      <c r="D11" s="2" t="n"/>
    </row>
    <row r="12">
      <c r="A12" s="8" t="n"/>
      <c r="B12" s="8" t="n"/>
      <c r="C12" s="2" t="n"/>
      <c r="D12" s="2" t="n"/>
    </row>
    <row r="13">
      <c r="A13" s="8" t="n"/>
      <c r="B13" s="8" t="n"/>
      <c r="C13" s="2" t="n"/>
      <c r="D13" s="2" t="n"/>
    </row>
    <row r="14">
      <c r="A14" s="8" t="n"/>
      <c r="B14" s="8" t="n"/>
      <c r="C14" s="2" t="n"/>
      <c r="D14" s="2" t="n"/>
    </row>
    <row r="15">
      <c r="A15" s="8" t="n"/>
      <c r="B15" s="8" t="n"/>
      <c r="C15" s="2" t="n"/>
      <c r="D15" s="2" t="n"/>
    </row>
    <row r="16">
      <c r="A16" s="8" t="n"/>
      <c r="B16" s="8" t="n"/>
      <c r="C16" s="2" t="n"/>
      <c r="D16" s="2" t="n"/>
    </row>
    <row r="17">
      <c r="A17" s="8" t="n"/>
      <c r="B17" s="8" t="n"/>
      <c r="C17" s="2" t="n"/>
      <c r="D17" s="2" t="n"/>
    </row>
    <row r="18">
      <c r="A18" s="8" t="n"/>
      <c r="B18" s="8" t="n"/>
      <c r="C18" s="2" t="n"/>
      <c r="D18" s="2" t="n"/>
    </row>
    <row r="19">
      <c r="A19" s="8" t="n"/>
      <c r="B19" s="8" t="n"/>
      <c r="C19" s="2" t="n"/>
      <c r="D19" s="2" t="n"/>
    </row>
    <row r="20">
      <c r="A20" s="8" t="n"/>
      <c r="B20" s="8" t="n"/>
      <c r="C20" s="2" t="n"/>
      <c r="D20" s="2" t="n"/>
    </row>
    <row r="21">
      <c r="A21" s="8" t="n"/>
      <c r="B21" s="8" t="n"/>
      <c r="C21" s="2" t="n"/>
      <c r="D21" s="2" t="n"/>
    </row>
    <row r="22">
      <c r="A22" s="8" t="n"/>
      <c r="B22" s="8" t="n"/>
      <c r="C22" s="2" t="n"/>
      <c r="D22" s="2" t="n"/>
    </row>
    <row r="23">
      <c r="A23" s="8" t="n"/>
      <c r="B23" s="8" t="n"/>
      <c r="C23" s="2" t="n"/>
      <c r="D23" s="2" t="n"/>
    </row>
    <row r="24">
      <c r="A24" s="8" t="n"/>
      <c r="B24" s="8" t="n"/>
      <c r="C24" s="2" t="n"/>
      <c r="D24" s="2" t="n"/>
    </row>
    <row r="25">
      <c r="A25" s="8" t="n"/>
      <c r="B25" s="8" t="n"/>
      <c r="C25" s="2" t="n"/>
      <c r="D25" s="2" t="n"/>
    </row>
    <row r="26">
      <c r="A26" s="8" t="n"/>
      <c r="B26" s="8" t="n"/>
      <c r="C26" s="2" t="n"/>
      <c r="D26" s="2" t="n"/>
    </row>
    <row r="27">
      <c r="A27" s="8" t="n"/>
      <c r="B27" s="8" t="n"/>
      <c r="C27" s="2" t="n"/>
      <c r="D27" s="2" t="n"/>
    </row>
    <row r="28">
      <c r="A28" s="8" t="n"/>
      <c r="B28" s="8" t="n"/>
      <c r="C28" s="2" t="n"/>
      <c r="D28" s="2" t="n"/>
    </row>
    <row r="29">
      <c r="A29" s="8" t="n"/>
      <c r="B29" s="8" t="n"/>
      <c r="C29" s="2" t="n"/>
      <c r="D29" s="2" t="n"/>
    </row>
    <row r="30">
      <c r="A30" s="8" t="n"/>
      <c r="B30" s="8" t="n"/>
      <c r="C30" s="2" t="n"/>
      <c r="D30" s="2" t="n"/>
    </row>
    <row r="31">
      <c r="A31" s="8" t="n"/>
      <c r="B31" s="8" t="n"/>
      <c r="C31" s="2" t="n"/>
      <c r="D31" s="2" t="n"/>
    </row>
    <row r="32">
      <c r="A32" s="8" t="n"/>
      <c r="B32" s="8" t="n"/>
      <c r="C32" s="2" t="n"/>
      <c r="D32" s="2" t="n"/>
    </row>
    <row r="33">
      <c r="A33" s="8" t="n"/>
      <c r="B33" s="8" t="n"/>
      <c r="C33" s="2" t="n"/>
      <c r="D33" s="2" t="n"/>
    </row>
    <row r="34">
      <c r="A34" s="8" t="n"/>
      <c r="B34" s="8" t="n"/>
      <c r="C34" s="2" t="n"/>
      <c r="D34" s="2" t="n"/>
    </row>
    <row r="35">
      <c r="A35" s="8" t="n"/>
      <c r="B35" s="8" t="n"/>
      <c r="C35" s="2" t="n"/>
      <c r="D35" s="2" t="n"/>
    </row>
    <row r="36">
      <c r="A36" s="8" t="n"/>
      <c r="B36" s="8" t="n"/>
      <c r="C36" s="2" t="n"/>
      <c r="D36" s="2" t="n"/>
    </row>
    <row r="37">
      <c r="A37" s="8" t="n"/>
      <c r="B37" s="8" t="n"/>
      <c r="C37" s="2" t="n"/>
      <c r="D37" s="2" t="n"/>
    </row>
    <row r="38">
      <c r="A38" s="8" t="n"/>
      <c r="B38" s="8" t="n"/>
      <c r="C38" s="2" t="n"/>
      <c r="D38" s="2" t="n"/>
    </row>
    <row r="39">
      <c r="A39" s="8" t="n"/>
      <c r="B39" s="8" t="n"/>
      <c r="C39" s="2" t="n"/>
      <c r="D39" s="2" t="n"/>
    </row>
    <row r="40">
      <c r="A40" s="8" t="n"/>
      <c r="B40" s="8" t="n"/>
      <c r="C40" s="2" t="n"/>
      <c r="D40" s="2" t="n"/>
    </row>
    <row r="41">
      <c r="A41" s="8" t="n"/>
      <c r="B41" s="8" t="n"/>
      <c r="C41" s="2" t="n"/>
      <c r="D41" s="2" t="n"/>
    </row>
    <row r="42">
      <c r="A42" s="8" t="n"/>
      <c r="B42" s="8" t="n"/>
      <c r="C42" s="2" t="n"/>
      <c r="D42" s="2" t="n"/>
    </row>
    <row r="43">
      <c r="A43" s="8" t="n"/>
      <c r="B43" s="8" t="n"/>
      <c r="C43" s="2" t="n"/>
      <c r="D43" s="2" t="n"/>
    </row>
    <row r="44">
      <c r="A44" s="8" t="n"/>
      <c r="B44" s="8" t="n"/>
      <c r="C44" s="2" t="n"/>
      <c r="D44" s="2" t="n"/>
    </row>
    <row r="45">
      <c r="A45" s="8" t="n"/>
      <c r="B45" s="8" t="n"/>
      <c r="C45" s="2" t="n"/>
      <c r="D45" s="2" t="n"/>
    </row>
    <row r="46">
      <c r="A46" s="8" t="n"/>
      <c r="B46" s="8" t="n"/>
      <c r="C46" s="2" t="n"/>
      <c r="D46" s="2" t="n"/>
    </row>
    <row r="47">
      <c r="A47" s="8" t="n"/>
      <c r="B47" s="8" t="n"/>
      <c r="C47" s="2" t="n"/>
      <c r="D47" s="2" t="n"/>
    </row>
    <row r="48">
      <c r="A48" s="8" t="n"/>
      <c r="B48" s="8" t="n"/>
      <c r="C48" s="2" t="n"/>
      <c r="D48" s="2" t="n"/>
    </row>
    <row r="49">
      <c r="A49" s="8" t="n"/>
      <c r="B49" s="8" t="n"/>
      <c r="C49" s="2" t="n"/>
      <c r="D49" s="2" t="n"/>
    </row>
    <row r="50">
      <c r="A50" s="8" t="n"/>
      <c r="B50" s="8" t="n"/>
      <c r="C50" s="2" t="n"/>
      <c r="D50" s="2" t="n"/>
    </row>
    <row r="51">
      <c r="A51" s="8" t="n"/>
      <c r="B51" s="8" t="n"/>
      <c r="C51" s="2" t="n"/>
      <c r="D51" s="2" t="n"/>
    </row>
    <row r="52">
      <c r="A52" s="8" t="n"/>
      <c r="B52" s="8" t="n"/>
      <c r="C52" s="2" t="n"/>
      <c r="D52" s="2" t="n"/>
    </row>
    <row r="53">
      <c r="A53" s="8" t="n"/>
      <c r="B53" s="8" t="n"/>
      <c r="C53" s="2" t="n"/>
      <c r="D53" s="2" t="n"/>
    </row>
    <row r="54">
      <c r="A54" s="8" t="n"/>
      <c r="B54" s="8" t="n"/>
      <c r="C54" s="2" t="n"/>
      <c r="D54" s="2" t="n"/>
    </row>
    <row r="55">
      <c r="A55" s="8" t="n"/>
      <c r="B55" s="8" t="n"/>
      <c r="C55" s="2" t="n"/>
      <c r="D55" s="2" t="n"/>
    </row>
    <row r="56">
      <c r="A56" s="8" t="n"/>
      <c r="B56" s="8" t="n"/>
      <c r="C56" s="2" t="n"/>
      <c r="D56" s="2" t="n"/>
    </row>
    <row r="57">
      <c r="A57" s="8" t="n"/>
      <c r="B57" s="8" t="n"/>
      <c r="C57" s="2" t="n"/>
      <c r="D57" s="2" t="n"/>
    </row>
    <row r="58">
      <c r="A58" s="8" t="n"/>
      <c r="B58" s="8" t="n"/>
      <c r="C58" s="2" t="n"/>
      <c r="D58" s="2" t="n"/>
    </row>
    <row r="59">
      <c r="A59" s="8" t="n"/>
      <c r="B59" s="8" t="n"/>
      <c r="C59" s="2" t="n"/>
      <c r="D59" s="2" t="n"/>
    </row>
    <row r="60">
      <c r="A60" s="8" t="n"/>
      <c r="B60" s="8" t="n"/>
      <c r="C60" s="2" t="n"/>
      <c r="D60" s="2" t="n"/>
    </row>
    <row r="61">
      <c r="A61" s="8" t="n"/>
      <c r="B61" s="8" t="n"/>
      <c r="C61" s="2" t="n"/>
      <c r="D61" s="2" t="n"/>
    </row>
    <row r="62">
      <c r="A62" s="8" t="n"/>
      <c r="B62" s="8" t="n"/>
      <c r="C62" s="2" t="n"/>
      <c r="D62" s="2" t="n"/>
    </row>
    <row r="63">
      <c r="A63" s="8" t="n"/>
      <c r="B63" s="8" t="n"/>
      <c r="C63" s="2" t="n"/>
      <c r="D63" s="2" t="n"/>
    </row>
    <row r="64">
      <c r="A64" s="8" t="n"/>
      <c r="B64" s="8" t="n"/>
      <c r="C64" s="2" t="n"/>
      <c r="D64" s="2" t="n"/>
    </row>
    <row r="65">
      <c r="A65" s="8" t="n"/>
      <c r="B65" s="8" t="n"/>
      <c r="C65" s="2" t="n"/>
      <c r="D65" s="2" t="n"/>
    </row>
    <row r="66">
      <c r="A66" s="8" t="n"/>
      <c r="B66" s="8" t="n"/>
      <c r="C66" s="2" t="n"/>
      <c r="D66" s="2" t="n"/>
    </row>
    <row r="67">
      <c r="A67" s="8" t="n"/>
      <c r="B67" s="8" t="n"/>
      <c r="C67" s="2" t="n"/>
      <c r="D67" s="2" t="n"/>
    </row>
    <row r="68">
      <c r="A68" s="8" t="n"/>
      <c r="B68" s="8" t="n"/>
      <c r="C68" s="2" t="n"/>
      <c r="D68" s="2" t="n"/>
    </row>
    <row r="69">
      <c r="A69" s="8" t="n"/>
      <c r="B69" s="8" t="n"/>
      <c r="C69" s="2" t="n"/>
      <c r="D69" s="2" t="n"/>
    </row>
    <row r="70">
      <c r="A70" s="8" t="n"/>
      <c r="B70" s="8" t="n"/>
      <c r="C70" s="2" t="n"/>
      <c r="D70" s="2" t="n"/>
    </row>
    <row r="71">
      <c r="A71" s="8" t="n"/>
      <c r="B71" s="8" t="n"/>
      <c r="C71" s="2" t="n"/>
      <c r="D71" s="2" t="n"/>
    </row>
    <row r="72">
      <c r="A72" s="8" t="n"/>
      <c r="B72" s="8" t="n"/>
      <c r="C72" s="2" t="n"/>
      <c r="D72" s="2" t="n"/>
    </row>
    <row r="73">
      <c r="A73" s="8" t="n"/>
      <c r="B73" s="8" t="n"/>
      <c r="C73" s="2" t="n"/>
      <c r="D73" s="2" t="n"/>
    </row>
    <row r="74">
      <c r="A74" s="8" t="n"/>
      <c r="B74" s="8" t="n"/>
      <c r="C74" s="2" t="n"/>
      <c r="D74" s="2" t="n"/>
    </row>
    <row r="75">
      <c r="A75" s="8" t="n"/>
      <c r="B75" s="8" t="n"/>
      <c r="C75" s="2" t="n"/>
      <c r="D75" s="2" t="n"/>
    </row>
    <row r="76">
      <c r="A76" s="8" t="n"/>
      <c r="B76" s="8" t="n"/>
      <c r="C76" s="2" t="n"/>
      <c r="D76" s="2" t="n"/>
    </row>
    <row r="77">
      <c r="A77" s="8" t="n"/>
      <c r="B77" s="8" t="n"/>
      <c r="C77" s="2" t="n"/>
      <c r="D77" s="2" t="n"/>
    </row>
    <row r="78">
      <c r="A78" s="8" t="n"/>
      <c r="B78" s="8" t="n"/>
      <c r="C78" s="2" t="n"/>
      <c r="D78" s="2" t="n"/>
    </row>
    <row r="79">
      <c r="A79" s="8" t="n"/>
      <c r="B79" s="8" t="n"/>
      <c r="C79" s="2" t="n"/>
      <c r="D79" s="2" t="n"/>
    </row>
    <row r="80">
      <c r="A80" s="8" t="n"/>
      <c r="B80" s="8" t="n"/>
      <c r="C80" s="2" t="n"/>
      <c r="D80" s="2" t="n"/>
    </row>
    <row r="81">
      <c r="A81" s="8" t="n"/>
      <c r="B81" s="8" t="n"/>
      <c r="C81" s="2" t="n"/>
      <c r="D81" s="2" t="n"/>
    </row>
    <row r="82">
      <c r="A82" s="8" t="n"/>
      <c r="B82" s="8" t="n"/>
      <c r="C82" s="2" t="n"/>
      <c r="D82" s="2" t="n"/>
    </row>
    <row r="83">
      <c r="A83" s="8" t="n"/>
      <c r="B83" s="8" t="n"/>
      <c r="C83" s="2" t="n"/>
      <c r="D83" s="2" t="n"/>
    </row>
    <row r="84">
      <c r="A84" s="8" t="n"/>
      <c r="B84" s="8" t="n"/>
      <c r="C84" s="2" t="n"/>
      <c r="D84" s="2" t="n"/>
    </row>
    <row r="85">
      <c r="A85" s="8" t="n"/>
      <c r="B85" s="8" t="n"/>
      <c r="C85" s="2" t="n"/>
      <c r="D85" s="2" t="n"/>
    </row>
    <row r="86">
      <c r="A86" s="8" t="n"/>
      <c r="B86" s="8" t="n"/>
      <c r="C86" s="2" t="n"/>
      <c r="D86" s="2" t="n"/>
    </row>
    <row r="87">
      <c r="A87" s="8" t="n"/>
      <c r="B87" s="8" t="n"/>
      <c r="C87" s="2" t="n"/>
      <c r="D87" s="2" t="n"/>
    </row>
    <row r="88">
      <c r="A88" s="8" t="n"/>
      <c r="B88" s="8" t="n"/>
      <c r="C88" s="2" t="n"/>
      <c r="D88" s="2" t="n"/>
    </row>
    <row r="89">
      <c r="A89" s="8" t="n"/>
      <c r="B89" s="8" t="n"/>
      <c r="C89" s="2" t="n"/>
      <c r="D89" s="2" t="n"/>
    </row>
    <row r="90">
      <c r="A90" s="8" t="n"/>
      <c r="B90" s="8" t="n"/>
      <c r="C90" s="2" t="n"/>
      <c r="D90" s="2" t="n"/>
    </row>
    <row r="91">
      <c r="A91" s="8" t="n"/>
      <c r="B91" s="8" t="n"/>
      <c r="C91" s="2" t="n"/>
      <c r="D91" s="2" t="n"/>
    </row>
    <row r="92">
      <c r="A92" s="8" t="n"/>
      <c r="B92" s="8" t="n"/>
      <c r="C92" s="2" t="n"/>
      <c r="D92" s="2" t="n"/>
    </row>
    <row r="93">
      <c r="A93" s="8" t="n"/>
      <c r="B93" s="8" t="n"/>
      <c r="C93" s="2" t="n"/>
      <c r="D93" s="2" t="n"/>
    </row>
    <row r="94">
      <c r="A94" s="8" t="n"/>
      <c r="B94" s="8" t="n"/>
      <c r="C94" s="2" t="n"/>
      <c r="D94" s="2" t="n"/>
    </row>
    <row r="95">
      <c r="A95" s="8" t="n"/>
      <c r="B95" s="8" t="n"/>
      <c r="C95" s="2" t="n"/>
      <c r="D95" s="2" t="n"/>
    </row>
    <row r="96">
      <c r="A96" s="8" t="n"/>
      <c r="B96" s="8" t="n"/>
      <c r="C96" s="2" t="n"/>
      <c r="D96" s="2" t="n"/>
    </row>
    <row r="97">
      <c r="A97" s="8" t="n"/>
      <c r="B97" s="8" t="n"/>
      <c r="C97" s="2" t="n"/>
      <c r="D97" s="2" t="n"/>
    </row>
    <row r="98">
      <c r="A98" s="8" t="n"/>
      <c r="B98" s="8" t="n"/>
      <c r="C98" s="2" t="n"/>
      <c r="D98" s="2" t="n"/>
    </row>
    <row r="99">
      <c r="A99" s="8" t="n"/>
      <c r="B99" s="8" t="n"/>
      <c r="C99" s="2" t="n"/>
      <c r="D99" s="2" t="n"/>
    </row>
    <row r="100">
      <c r="A100" s="8" t="n"/>
      <c r="B100" s="8" t="n"/>
      <c r="C100" s="2" t="n"/>
      <c r="D100" s="2" t="n"/>
    </row>
    <row r="101">
      <c r="A101" s="8" t="n"/>
      <c r="B101" s="8" t="n"/>
      <c r="C101" s="2" t="n"/>
      <c r="D101" s="2" t="n"/>
    </row>
    <row r="102">
      <c r="A102" s="8" t="n"/>
      <c r="B102" s="8" t="n"/>
      <c r="C102" s="2" t="n"/>
      <c r="D102" s="2" t="n"/>
    </row>
    <row r="103">
      <c r="A103" s="8" t="n"/>
      <c r="B103" s="8" t="n"/>
      <c r="C103" s="2" t="n"/>
      <c r="D103" s="2" t="n"/>
    </row>
    <row r="104">
      <c r="A104" s="8" t="n"/>
      <c r="B104" s="8" t="n"/>
      <c r="C104" s="2" t="n"/>
      <c r="D104" s="2" t="n"/>
    </row>
    <row r="105">
      <c r="A105" s="8" t="n"/>
      <c r="B105" s="8" t="n"/>
      <c r="C105" s="2" t="n"/>
      <c r="D105" s="2" t="n"/>
    </row>
    <row r="106">
      <c r="A106" s="8" t="n"/>
      <c r="B106" s="8" t="n"/>
      <c r="C106" s="2" t="n"/>
      <c r="D106" s="2" t="n"/>
    </row>
    <row r="107">
      <c r="A107" s="8" t="n"/>
      <c r="B107" s="8" t="n"/>
      <c r="C107" s="2" t="n"/>
      <c r="D107" s="2" t="n"/>
    </row>
    <row r="108">
      <c r="A108" s="8" t="n"/>
      <c r="B108" s="8" t="n"/>
      <c r="C108" s="2" t="n"/>
      <c r="D108" s="2" t="n"/>
    </row>
    <row r="109">
      <c r="A109" s="8" t="n"/>
      <c r="B109" s="8" t="n"/>
      <c r="C109" s="2" t="n"/>
      <c r="D109" s="2" t="n"/>
    </row>
    <row r="110">
      <c r="A110" s="8" t="n"/>
      <c r="B110" s="8" t="n"/>
      <c r="C110" s="2" t="n"/>
      <c r="D110" s="2" t="n"/>
    </row>
    <row r="111">
      <c r="A111" s="8" t="n"/>
      <c r="B111" s="8" t="n"/>
      <c r="C111" s="2" t="n"/>
      <c r="D111" s="2" t="n"/>
    </row>
    <row r="112">
      <c r="A112" s="8" t="n"/>
      <c r="B112" s="8" t="n"/>
      <c r="C112" s="2" t="n"/>
      <c r="D112" s="2" t="n"/>
    </row>
    <row r="113">
      <c r="A113" s="8" t="n"/>
      <c r="B113" s="8" t="n"/>
      <c r="C113" s="2" t="n"/>
      <c r="D113" s="2" t="n"/>
    </row>
    <row r="114">
      <c r="A114" s="8" t="n"/>
      <c r="B114" s="8" t="n"/>
      <c r="C114" s="2" t="n"/>
      <c r="D114" s="2" t="n"/>
    </row>
    <row r="115">
      <c r="A115" s="8" t="n"/>
      <c r="B115" s="8" t="n"/>
      <c r="C115" s="2" t="n"/>
      <c r="D115" s="2" t="n"/>
    </row>
    <row r="116">
      <c r="A116" s="8" t="n"/>
      <c r="B116" s="8" t="n"/>
      <c r="C116" s="2" t="n"/>
      <c r="D116" s="2" t="n"/>
    </row>
    <row r="117">
      <c r="A117" s="8" t="n"/>
      <c r="B117" s="8" t="n"/>
      <c r="C117" s="2" t="n"/>
      <c r="D117" s="2" t="n"/>
    </row>
    <row r="118">
      <c r="A118" s="8" t="n"/>
      <c r="B118" s="8" t="n"/>
      <c r="C118" s="2" t="n"/>
      <c r="D118" s="2" t="n"/>
    </row>
    <row r="119">
      <c r="A119" s="8" t="n"/>
      <c r="B119" s="8" t="n"/>
      <c r="C119" s="2" t="n"/>
      <c r="D119" s="2" t="n"/>
    </row>
    <row r="120">
      <c r="A120" s="8" t="n"/>
      <c r="B120" s="8" t="n"/>
      <c r="C120" s="2" t="n"/>
      <c r="D120" s="2" t="n"/>
    </row>
    <row r="121">
      <c r="A121" s="8" t="n"/>
      <c r="B121" s="8" t="n"/>
      <c r="C121" s="2" t="n"/>
      <c r="D121" s="2" t="n"/>
    </row>
    <row r="122">
      <c r="A122" s="8" t="n"/>
      <c r="B122" s="8" t="n"/>
      <c r="C122" s="2" t="n"/>
      <c r="D122" s="2" t="n"/>
    </row>
    <row r="123">
      <c r="A123" s="8" t="n"/>
      <c r="B123" s="8" t="n"/>
      <c r="C123" s="2" t="n"/>
      <c r="D123" s="2" t="n"/>
    </row>
    <row r="124">
      <c r="A124" s="8" t="n"/>
      <c r="B124" s="8" t="n"/>
      <c r="C124" s="2" t="n"/>
      <c r="D124" s="2" t="n"/>
    </row>
    <row r="125">
      <c r="A125" s="8" t="n"/>
      <c r="B125" s="8" t="n"/>
      <c r="C125" s="2" t="n"/>
      <c r="D125" s="2" t="n"/>
    </row>
    <row r="126">
      <c r="A126" s="8" t="n"/>
      <c r="B126" s="8" t="n"/>
      <c r="C126" s="2" t="n"/>
      <c r="D126" s="2" t="n"/>
    </row>
    <row r="127">
      <c r="A127" s="8" t="n"/>
      <c r="B127" s="8" t="n"/>
      <c r="C127" s="2" t="n"/>
      <c r="D127" s="2" t="n"/>
    </row>
    <row r="128">
      <c r="A128" s="8" t="n"/>
      <c r="B128" s="8" t="n"/>
      <c r="C128" s="2" t="n"/>
      <c r="D128" s="2" t="n"/>
    </row>
    <row r="129">
      <c r="A129" s="8" t="n"/>
      <c r="B129" s="8" t="n"/>
      <c r="C129" s="2" t="n"/>
      <c r="D129" s="2" t="n"/>
    </row>
    <row r="130">
      <c r="A130" s="8" t="n"/>
      <c r="B130" s="8" t="n"/>
      <c r="C130" s="2" t="n"/>
      <c r="D130" s="2" t="n"/>
    </row>
    <row r="131">
      <c r="A131" s="8" t="n"/>
      <c r="B131" s="8" t="n"/>
      <c r="C131" s="2" t="n"/>
      <c r="D131" s="2" t="n"/>
    </row>
    <row r="132">
      <c r="A132" s="8" t="n"/>
      <c r="B132" s="8" t="n"/>
      <c r="C132" s="2" t="n"/>
      <c r="D132" s="2" t="n"/>
    </row>
    <row r="133">
      <c r="A133" s="8" t="n"/>
      <c r="B133" s="8" t="n"/>
      <c r="C133" s="2" t="n"/>
      <c r="D133" s="2" t="n"/>
    </row>
    <row r="134">
      <c r="A134" s="8" t="n"/>
      <c r="B134" s="8" t="n"/>
      <c r="C134" s="2" t="n"/>
      <c r="D134" s="2" t="n"/>
    </row>
    <row r="135">
      <c r="A135" s="8" t="n"/>
      <c r="B135" s="8" t="n"/>
      <c r="C135" s="2" t="n"/>
      <c r="D135" s="2" t="n"/>
    </row>
    <row r="136">
      <c r="A136" s="8" t="n"/>
      <c r="B136" s="8" t="n"/>
      <c r="C136" s="2" t="n"/>
      <c r="D136" s="2" t="n"/>
    </row>
    <row r="137">
      <c r="A137" s="8" t="n"/>
      <c r="B137" s="8" t="n"/>
      <c r="C137" s="2" t="n"/>
      <c r="D137" s="2" t="n"/>
    </row>
    <row r="138">
      <c r="A138" s="8" t="n"/>
      <c r="B138" s="8" t="n"/>
      <c r="C138" s="2" t="n"/>
      <c r="D138" s="2" t="n"/>
    </row>
    <row r="139">
      <c r="A139" s="8" t="n"/>
      <c r="B139" s="8" t="n"/>
      <c r="C139" s="2" t="n"/>
      <c r="D139" s="2" t="n"/>
    </row>
    <row r="140">
      <c r="A140" s="8" t="n"/>
      <c r="B140" s="8" t="n"/>
      <c r="C140" s="2" t="n"/>
      <c r="D140" s="2" t="n"/>
    </row>
    <row r="141">
      <c r="A141" s="8" t="n"/>
      <c r="B141" s="8" t="n"/>
      <c r="C141" s="2" t="n"/>
      <c r="D141" s="2" t="n"/>
    </row>
    <row r="142">
      <c r="A142" s="8" t="n"/>
      <c r="B142" s="8" t="n"/>
      <c r="C142" s="2" t="n"/>
      <c r="D142" s="2" t="n"/>
    </row>
    <row r="143">
      <c r="A143" s="8" t="n"/>
      <c r="B143" s="8" t="n"/>
      <c r="C143" s="2" t="n"/>
      <c r="D143" s="2" t="n"/>
    </row>
    <row r="144">
      <c r="A144" s="8" t="n"/>
      <c r="B144" s="8" t="n"/>
      <c r="C144" s="2" t="n"/>
      <c r="D144" s="2" t="n"/>
    </row>
    <row r="145">
      <c r="A145" s="8" t="n"/>
      <c r="B145" s="8" t="n"/>
      <c r="C145" s="2" t="n"/>
      <c r="D145" s="2" t="n"/>
    </row>
    <row r="146">
      <c r="A146" s="8" t="n"/>
      <c r="B146" s="8" t="n"/>
      <c r="C146" s="2" t="n"/>
      <c r="D146" s="2" t="n"/>
    </row>
    <row r="147">
      <c r="A147" s="8" t="n"/>
      <c r="B147" s="8" t="n"/>
      <c r="C147" s="2" t="n"/>
      <c r="D147" s="2" t="n"/>
    </row>
    <row r="148">
      <c r="A148" s="8" t="n"/>
      <c r="B148" s="8" t="n"/>
      <c r="C148" s="2" t="n"/>
      <c r="D148" s="2" t="n"/>
    </row>
    <row r="149">
      <c r="A149" s="8" t="n"/>
      <c r="B149" s="8" t="n"/>
      <c r="C149" s="2" t="n"/>
      <c r="D149" s="2" t="n"/>
    </row>
    <row r="150">
      <c r="A150" s="8" t="n"/>
      <c r="B150" s="8" t="n"/>
      <c r="C150" s="2" t="n"/>
      <c r="D150" s="2" t="n"/>
    </row>
    <row r="151">
      <c r="A151" s="8" t="n"/>
      <c r="B151" s="8" t="n"/>
      <c r="C151" s="2" t="n"/>
      <c r="D151" s="2" t="n"/>
    </row>
    <row r="152">
      <c r="A152" s="8" t="n"/>
      <c r="B152" s="8" t="n"/>
      <c r="C152" s="2" t="n"/>
      <c r="D152" s="2" t="n"/>
    </row>
    <row r="153">
      <c r="A153" s="8" t="n"/>
      <c r="B153" s="8" t="n"/>
      <c r="C153" s="2" t="n"/>
      <c r="D153" s="2" t="n"/>
    </row>
    <row r="154">
      <c r="A154" s="8" t="n"/>
      <c r="B154" s="8" t="n"/>
      <c r="C154" s="2" t="n"/>
      <c r="D154" s="2" t="n"/>
    </row>
    <row r="155">
      <c r="A155" s="8" t="n"/>
      <c r="B155" s="8" t="n"/>
      <c r="C155" s="2" t="n"/>
      <c r="D155" s="2" t="n"/>
    </row>
    <row r="156">
      <c r="A156" s="8" t="n"/>
      <c r="B156" s="8" t="n"/>
      <c r="C156" s="2" t="n"/>
      <c r="D156" s="2" t="n"/>
    </row>
    <row r="157">
      <c r="A157" s="8" t="n"/>
      <c r="B157" s="8" t="n"/>
      <c r="C157" s="2" t="n"/>
      <c r="D157" s="2" t="n"/>
    </row>
    <row r="158">
      <c r="A158" s="8" t="n"/>
      <c r="B158" s="8" t="n"/>
      <c r="C158" s="2" t="n"/>
      <c r="D158" s="2" t="n"/>
    </row>
    <row r="159">
      <c r="A159" s="8" t="n"/>
      <c r="B159" s="8" t="n"/>
      <c r="C159" s="2" t="n"/>
      <c r="D159" s="2" t="n"/>
    </row>
    <row r="160">
      <c r="A160" s="8" t="n"/>
      <c r="B160" s="8" t="n"/>
      <c r="C160" s="2" t="n"/>
      <c r="D160" s="2" t="n"/>
    </row>
    <row r="161">
      <c r="A161" s="8" t="n"/>
      <c r="B161" s="8" t="n"/>
      <c r="C161" s="2" t="n"/>
      <c r="D161" s="2" t="n"/>
    </row>
    <row r="162">
      <c r="A162" s="8" t="n"/>
      <c r="B162" s="8" t="n"/>
      <c r="C162" s="2" t="n"/>
      <c r="D162" s="2" t="n"/>
    </row>
    <row r="163">
      <c r="A163" s="8" t="n"/>
      <c r="B163" s="8" t="n"/>
      <c r="C163" s="2" t="n"/>
      <c r="D163" s="2" t="n"/>
    </row>
    <row r="164">
      <c r="A164" s="8" t="n"/>
      <c r="B164" s="8" t="n"/>
      <c r="C164" s="2" t="n"/>
      <c r="D164" s="2" t="n"/>
    </row>
    <row r="165">
      <c r="A165" s="8" t="n"/>
      <c r="B165" s="8" t="n"/>
      <c r="C165" s="2" t="n"/>
      <c r="D165" s="2" t="n"/>
    </row>
    <row r="166">
      <c r="A166" s="8" t="n"/>
      <c r="B166" s="8" t="n"/>
      <c r="C166" s="2" t="n"/>
      <c r="D166" s="2" t="n"/>
    </row>
    <row r="167">
      <c r="A167" s="8" t="n"/>
      <c r="B167" s="8" t="n"/>
      <c r="C167" s="2" t="n"/>
      <c r="D167" s="2" t="n"/>
    </row>
    <row r="168">
      <c r="A168" s="8" t="n"/>
      <c r="B168" s="8" t="n"/>
      <c r="C168" s="2" t="n"/>
      <c r="D168" s="2" t="n"/>
    </row>
    <row r="169">
      <c r="A169" s="8" t="n"/>
      <c r="B169" s="8" t="n"/>
      <c r="C169" s="2" t="n"/>
      <c r="D169" s="2" t="n"/>
    </row>
    <row r="170">
      <c r="A170" s="8" t="n"/>
      <c r="B170" s="8" t="n"/>
      <c r="C170" s="2" t="n"/>
      <c r="D170" s="2" t="n"/>
    </row>
    <row r="171">
      <c r="A171" s="8" t="n"/>
      <c r="B171" s="8" t="n"/>
      <c r="C171" s="2" t="n"/>
      <c r="D171" s="2" t="n"/>
    </row>
    <row r="172">
      <c r="A172" s="8" t="n"/>
      <c r="B172" s="8" t="n"/>
      <c r="C172" s="2" t="n"/>
      <c r="D172" s="2" t="n"/>
    </row>
    <row r="173">
      <c r="A173" s="8" t="n"/>
      <c r="B173" s="8" t="n"/>
      <c r="C173" s="2" t="n"/>
      <c r="D173" s="2" t="n"/>
    </row>
    <row r="174">
      <c r="A174" s="8" t="n"/>
      <c r="B174" s="8" t="n"/>
      <c r="C174" s="2" t="n"/>
      <c r="D174" s="2" t="n"/>
    </row>
    <row r="175">
      <c r="A175" s="8" t="n"/>
      <c r="B175" s="8" t="n"/>
      <c r="C175" s="2" t="n"/>
      <c r="D175" s="2" t="n"/>
    </row>
    <row r="176">
      <c r="A176" s="8" t="n"/>
      <c r="B176" s="8" t="n"/>
      <c r="C176" s="2" t="n"/>
      <c r="D176" s="2" t="n"/>
    </row>
    <row r="177">
      <c r="A177" s="8" t="n"/>
      <c r="B177" s="8" t="n"/>
      <c r="C177" s="2" t="n"/>
      <c r="D177" s="2" t="n"/>
    </row>
    <row r="178">
      <c r="A178" s="8" t="n"/>
      <c r="B178" s="8" t="n"/>
      <c r="C178" s="2" t="n"/>
      <c r="D178" s="2" t="n"/>
    </row>
    <row r="179">
      <c r="A179" s="8" t="n"/>
      <c r="B179" s="8" t="n"/>
      <c r="C179" s="2" t="n"/>
      <c r="D179" s="2" t="n"/>
    </row>
    <row r="180">
      <c r="A180" s="8" t="n"/>
      <c r="B180" s="8" t="n"/>
      <c r="C180" s="2" t="n"/>
      <c r="D180" s="2" t="n"/>
    </row>
    <row r="181">
      <c r="A181" s="8" t="n"/>
      <c r="B181" s="8" t="n"/>
      <c r="C181" s="2" t="n"/>
      <c r="D181" s="2" t="n"/>
    </row>
    <row r="182">
      <c r="A182" s="8" t="n"/>
      <c r="B182" s="8" t="n"/>
      <c r="C182" s="2" t="n"/>
      <c r="D182" s="2" t="n"/>
    </row>
    <row r="183">
      <c r="A183" s="8" t="n"/>
      <c r="B183" s="8" t="n"/>
      <c r="C183" s="2" t="n"/>
      <c r="D183" s="2" t="n"/>
    </row>
    <row r="184">
      <c r="A184" s="8" t="n"/>
      <c r="B184" s="8" t="n"/>
      <c r="C184" s="2" t="n"/>
      <c r="D184" s="2" t="n"/>
    </row>
    <row r="185">
      <c r="A185" s="8" t="n"/>
      <c r="B185" s="8" t="n"/>
      <c r="C185" s="2" t="n"/>
      <c r="D185" s="2" t="n"/>
    </row>
    <row r="186">
      <c r="A186" s="8" t="n"/>
      <c r="B186" s="8" t="n"/>
      <c r="C186" s="2" t="n"/>
      <c r="D186" s="2" t="n"/>
    </row>
    <row r="187">
      <c r="A187" s="8" t="n"/>
      <c r="B187" s="8" t="n"/>
      <c r="C187" s="2" t="n"/>
      <c r="D187" s="2" t="n"/>
    </row>
    <row r="188">
      <c r="A188" s="8" t="n"/>
      <c r="B188" s="8" t="n"/>
      <c r="C188" s="2" t="n"/>
      <c r="D188" s="2" t="n"/>
    </row>
    <row r="189">
      <c r="A189" s="8" t="n"/>
      <c r="B189" s="8" t="n"/>
      <c r="C189" s="2" t="n"/>
      <c r="D189" s="2" t="n"/>
    </row>
    <row r="190">
      <c r="A190" s="8" t="n"/>
      <c r="B190" s="8" t="n"/>
      <c r="C190" s="2" t="n"/>
      <c r="D190" s="2" t="n"/>
    </row>
    <row r="191">
      <c r="A191" s="8" t="n"/>
      <c r="B191" s="8" t="n"/>
      <c r="C191" s="2" t="n"/>
      <c r="D191" s="2" t="n"/>
    </row>
    <row r="192">
      <c r="A192" s="8" t="n"/>
      <c r="B192" s="8" t="n"/>
      <c r="C192" s="2" t="n"/>
      <c r="D192" s="2" t="n"/>
    </row>
    <row r="193">
      <c r="A193" s="8" t="n"/>
      <c r="B193" s="8" t="n"/>
      <c r="C193" s="2" t="n"/>
      <c r="D193" s="2" t="n"/>
    </row>
    <row r="194">
      <c r="A194" s="8" t="n"/>
      <c r="B194" s="8" t="n"/>
      <c r="C194" s="2" t="n"/>
      <c r="D194" s="2" t="n"/>
    </row>
    <row r="195">
      <c r="A195" s="8" t="n"/>
      <c r="B195" s="8" t="n"/>
      <c r="C195" s="2" t="n"/>
      <c r="D195" s="2" t="n"/>
    </row>
    <row r="196">
      <c r="A196" s="8" t="n"/>
      <c r="B196" s="8" t="n"/>
      <c r="C196" s="2" t="n"/>
      <c r="D196" s="2" t="n"/>
    </row>
    <row r="197">
      <c r="A197" s="8" t="n"/>
      <c r="B197" s="8" t="n"/>
      <c r="C197" s="2" t="n"/>
      <c r="D197" s="2" t="n"/>
    </row>
    <row r="198">
      <c r="A198" s="8" t="n"/>
      <c r="B198" s="8" t="n"/>
      <c r="C198" s="2" t="n"/>
      <c r="D198" s="2" t="n"/>
    </row>
    <row r="199">
      <c r="A199" s="8" t="n"/>
      <c r="B199" s="8" t="n"/>
      <c r="C199" s="2" t="n"/>
      <c r="D199" s="2" t="n"/>
    </row>
    <row r="200">
      <c r="A200" s="8" t="n"/>
      <c r="B200" s="8" t="n"/>
      <c r="C200" s="2" t="n"/>
      <c r="D200" s="2" t="n"/>
    </row>
    <row r="201">
      <c r="A201" s="8" t="n"/>
      <c r="B201" s="8" t="n"/>
      <c r="C201" s="2" t="n"/>
      <c r="D201" s="2" t="n"/>
    </row>
  </sheetData>
  <dataValidations count="1">
    <dataValidation sqref="B2:B2000" showDropDown="0" showInputMessage="0" showErrorMessage="1" allowBlank="1" error="Tej wartości nie ma na liście. Zostawić mimo to?" type="list" errorStyle="warning">
      <formula1>"biuro,opakowania,strefa"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5B6878"/>
    <outlinePr summaryBelow="1" summaryRight="1"/>
    <pageSetUpPr/>
  </sheetPr>
  <dimension ref="A1:D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9" t="inlineStr">
        <is>
          <t>Nr wózka</t>
        </is>
      </c>
      <c r="B1" s="19" t="inlineStr">
        <is>
          <t>Typ</t>
        </is>
      </c>
      <c r="C1" s="2" t="n"/>
      <c r="D1" s="10" t="inlineStr">
        <is>
          <t>Przykładowe wpisy: zastąp je własną listą (można wkleić kolumny z Excela). Bez pustych wierszy w środku listy.</t>
        </is>
      </c>
    </row>
    <row r="2">
      <c r="A2" s="8" t="n">
        <v>101</v>
      </c>
      <c r="B2" s="8" t="inlineStr">
        <is>
          <t>Czołowy</t>
        </is>
      </c>
      <c r="C2" s="2" t="n"/>
      <c r="D2" s="2" t="n"/>
    </row>
    <row r="3">
      <c r="A3" s="8" t="n">
        <v>102</v>
      </c>
      <c r="B3" s="8" t="inlineStr">
        <is>
          <t>Wysoki skład</t>
        </is>
      </c>
      <c r="C3" s="2" t="n"/>
      <c r="D3" s="2" t="n"/>
    </row>
    <row r="4">
      <c r="A4" s="8" t="n">
        <v>105</v>
      </c>
      <c r="B4" s="8" t="inlineStr">
        <is>
          <t>Paleciak elektryczny</t>
        </is>
      </c>
      <c r="C4" s="2" t="n"/>
      <c r="D4" s="2" t="n"/>
    </row>
    <row r="5">
      <c r="A5" s="8" t="n">
        <v>110</v>
      </c>
      <c r="B5" s="8" t="inlineStr">
        <is>
          <t>Kompletacyjny</t>
        </is>
      </c>
      <c r="C5" s="2" t="n"/>
      <c r="D5" s="2" t="n"/>
    </row>
    <row r="6">
      <c r="A6" s="8" t="n"/>
      <c r="B6" s="8" t="n"/>
      <c r="C6" s="2" t="n"/>
      <c r="D6" s="2" t="n"/>
    </row>
    <row r="7">
      <c r="A7" s="8" t="n"/>
      <c r="B7" s="8" t="n"/>
      <c r="C7" s="2" t="n"/>
      <c r="D7" s="2" t="n"/>
    </row>
    <row r="8">
      <c r="A8" s="8" t="n"/>
      <c r="B8" s="8" t="n"/>
      <c r="C8" s="2" t="n"/>
      <c r="D8" s="2" t="n"/>
    </row>
    <row r="9">
      <c r="A9" s="8" t="n"/>
      <c r="B9" s="8" t="n"/>
      <c r="C9" s="2" t="n"/>
      <c r="D9" s="2" t="n"/>
    </row>
    <row r="10">
      <c r="A10" s="8" t="n"/>
      <c r="B10" s="8" t="n"/>
      <c r="C10" s="2" t="n"/>
      <c r="D10" s="2" t="n"/>
    </row>
    <row r="11">
      <c r="A11" s="8" t="n"/>
      <c r="B11" s="8" t="n"/>
      <c r="C11" s="2" t="n"/>
      <c r="D11" s="2" t="n"/>
    </row>
    <row r="12">
      <c r="A12" s="8" t="n"/>
      <c r="B12" s="8" t="n"/>
      <c r="C12" s="2" t="n"/>
      <c r="D12" s="2" t="n"/>
    </row>
    <row r="13">
      <c r="A13" s="8" t="n"/>
      <c r="B13" s="8" t="n"/>
      <c r="C13" s="2" t="n"/>
      <c r="D13" s="2" t="n"/>
    </row>
    <row r="14">
      <c r="A14" s="8" t="n"/>
      <c r="B14" s="8" t="n"/>
      <c r="C14" s="2" t="n"/>
      <c r="D14" s="2" t="n"/>
    </row>
    <row r="15">
      <c r="A15" s="8" t="n"/>
      <c r="B15" s="8" t="n"/>
      <c r="C15" s="2" t="n"/>
      <c r="D15" s="2" t="n"/>
    </row>
    <row r="16">
      <c r="A16" s="8" t="n"/>
      <c r="B16" s="8" t="n"/>
      <c r="C16" s="2" t="n"/>
      <c r="D16" s="2" t="n"/>
    </row>
    <row r="17">
      <c r="A17" s="8" t="n"/>
      <c r="B17" s="8" t="n"/>
      <c r="C17" s="2" t="n"/>
      <c r="D17" s="2" t="n"/>
    </row>
    <row r="18">
      <c r="A18" s="8" t="n"/>
      <c r="B18" s="8" t="n"/>
      <c r="C18" s="2" t="n"/>
      <c r="D18" s="2" t="n"/>
    </row>
    <row r="19">
      <c r="A19" s="8" t="n"/>
      <c r="B19" s="8" t="n"/>
      <c r="C19" s="2" t="n"/>
      <c r="D19" s="2" t="n"/>
    </row>
    <row r="20">
      <c r="A20" s="8" t="n"/>
      <c r="B20" s="8" t="n"/>
      <c r="C20" s="2" t="n"/>
      <c r="D20" s="2" t="n"/>
    </row>
    <row r="21">
      <c r="A21" s="8" t="n"/>
      <c r="B21" s="8" t="n"/>
      <c r="C21" s="2" t="n"/>
      <c r="D21" s="2" t="n"/>
    </row>
    <row r="22">
      <c r="A22" s="8" t="n"/>
      <c r="B22" s="8" t="n"/>
      <c r="C22" s="2" t="n"/>
      <c r="D22" s="2" t="n"/>
    </row>
    <row r="23">
      <c r="A23" s="8" t="n"/>
      <c r="B23" s="8" t="n"/>
      <c r="C23" s="2" t="n"/>
      <c r="D23" s="2" t="n"/>
    </row>
    <row r="24">
      <c r="A24" s="8" t="n"/>
      <c r="B24" s="8" t="n"/>
      <c r="C24" s="2" t="n"/>
      <c r="D24" s="2" t="n"/>
    </row>
    <row r="25">
      <c r="A25" s="8" t="n"/>
      <c r="B25" s="8" t="n"/>
      <c r="C25" s="2" t="n"/>
      <c r="D25" s="2" t="n"/>
    </row>
    <row r="26">
      <c r="A26" s="8" t="n"/>
      <c r="B26" s="8" t="n"/>
      <c r="C26" s="2" t="n"/>
      <c r="D26" s="2" t="n"/>
    </row>
    <row r="27">
      <c r="A27" s="8" t="n"/>
      <c r="B27" s="8" t="n"/>
      <c r="C27" s="2" t="n"/>
      <c r="D27" s="2" t="n"/>
    </row>
    <row r="28">
      <c r="A28" s="8" t="n"/>
      <c r="B28" s="8" t="n"/>
      <c r="C28" s="2" t="n"/>
      <c r="D28" s="2" t="n"/>
    </row>
    <row r="29">
      <c r="A29" s="8" t="n"/>
      <c r="B29" s="8" t="n"/>
      <c r="C29" s="2" t="n"/>
      <c r="D29" s="2" t="n"/>
    </row>
    <row r="30">
      <c r="A30" s="8" t="n"/>
      <c r="B30" s="8" t="n"/>
      <c r="C30" s="2" t="n"/>
      <c r="D30" s="2" t="n"/>
    </row>
    <row r="31">
      <c r="A31" s="8" t="n"/>
      <c r="B31" s="8" t="n"/>
      <c r="C31" s="2" t="n"/>
      <c r="D31" s="2" t="n"/>
    </row>
    <row r="32">
      <c r="A32" s="8" t="n"/>
      <c r="B32" s="8" t="n"/>
      <c r="C32" s="2" t="n"/>
      <c r="D32" s="2" t="n"/>
    </row>
    <row r="33">
      <c r="A33" s="8" t="n"/>
      <c r="B33" s="8" t="n"/>
      <c r="C33" s="2" t="n"/>
      <c r="D33" s="2" t="n"/>
    </row>
    <row r="34">
      <c r="A34" s="8" t="n"/>
      <c r="B34" s="8" t="n"/>
      <c r="C34" s="2" t="n"/>
      <c r="D34" s="2" t="n"/>
    </row>
    <row r="35">
      <c r="A35" s="8" t="n"/>
      <c r="B35" s="8" t="n"/>
      <c r="C35" s="2" t="n"/>
      <c r="D35" s="2" t="n"/>
    </row>
    <row r="36">
      <c r="A36" s="8" t="n"/>
      <c r="B36" s="8" t="n"/>
      <c r="C36" s="2" t="n"/>
      <c r="D36" s="2" t="n"/>
    </row>
    <row r="37">
      <c r="A37" s="8" t="n"/>
      <c r="B37" s="8" t="n"/>
      <c r="C37" s="2" t="n"/>
      <c r="D37" s="2" t="n"/>
    </row>
    <row r="38">
      <c r="A38" s="8" t="n"/>
      <c r="B38" s="8" t="n"/>
      <c r="C38" s="2" t="n"/>
      <c r="D38" s="2" t="n"/>
    </row>
    <row r="39">
      <c r="A39" s="8" t="n"/>
      <c r="B39" s="8" t="n"/>
      <c r="C39" s="2" t="n"/>
      <c r="D39" s="2" t="n"/>
    </row>
    <row r="40">
      <c r="A40" s="8" t="n"/>
      <c r="B40" s="8" t="n"/>
      <c r="C40" s="2" t="n"/>
      <c r="D40" s="2" t="n"/>
    </row>
    <row r="41">
      <c r="A41" s="8" t="n"/>
      <c r="B41" s="8" t="n"/>
      <c r="C41" s="2" t="n"/>
      <c r="D41" s="2" t="n"/>
    </row>
    <row r="42">
      <c r="A42" s="8" t="n"/>
      <c r="B42" s="8" t="n"/>
      <c r="C42" s="2" t="n"/>
      <c r="D42" s="2" t="n"/>
    </row>
    <row r="43">
      <c r="A43" s="8" t="n"/>
      <c r="B43" s="8" t="n"/>
      <c r="C43" s="2" t="n"/>
      <c r="D43" s="2" t="n"/>
    </row>
    <row r="44">
      <c r="A44" s="8" t="n"/>
      <c r="B44" s="8" t="n"/>
      <c r="C44" s="2" t="n"/>
      <c r="D44" s="2" t="n"/>
    </row>
    <row r="45">
      <c r="A45" s="8" t="n"/>
      <c r="B45" s="8" t="n"/>
      <c r="C45" s="2" t="n"/>
      <c r="D45" s="2" t="n"/>
    </row>
    <row r="46">
      <c r="A46" s="8" t="n"/>
      <c r="B46" s="8" t="n"/>
      <c r="C46" s="2" t="n"/>
      <c r="D46" s="2" t="n"/>
    </row>
    <row r="47">
      <c r="A47" s="8" t="n"/>
      <c r="B47" s="8" t="n"/>
      <c r="C47" s="2" t="n"/>
      <c r="D47" s="2" t="n"/>
    </row>
    <row r="48">
      <c r="A48" s="8" t="n"/>
      <c r="B48" s="8" t="n"/>
      <c r="C48" s="2" t="n"/>
      <c r="D48" s="2" t="n"/>
    </row>
    <row r="49">
      <c r="A49" s="8" t="n"/>
      <c r="B49" s="8" t="n"/>
      <c r="C49" s="2" t="n"/>
      <c r="D49" s="2" t="n"/>
    </row>
    <row r="50">
      <c r="A50" s="8" t="n"/>
      <c r="B50" s="8" t="n"/>
      <c r="C50" s="2" t="n"/>
      <c r="D50" s="2" t="n"/>
    </row>
    <row r="51">
      <c r="A51" s="8" t="n"/>
      <c r="B51" s="8" t="n"/>
      <c r="C51" s="2" t="n"/>
      <c r="D51" s="2" t="n"/>
    </row>
    <row r="52">
      <c r="A52" s="8" t="n"/>
      <c r="B52" s="8" t="n"/>
      <c r="C52" s="2" t="n"/>
      <c r="D52" s="2" t="n"/>
    </row>
    <row r="53">
      <c r="A53" s="8" t="n"/>
      <c r="B53" s="8" t="n"/>
      <c r="C53" s="2" t="n"/>
      <c r="D53" s="2" t="n"/>
    </row>
    <row r="54">
      <c r="A54" s="8" t="n"/>
      <c r="B54" s="8" t="n"/>
      <c r="C54" s="2" t="n"/>
      <c r="D54" s="2" t="n"/>
    </row>
    <row r="55">
      <c r="A55" s="8" t="n"/>
      <c r="B55" s="8" t="n"/>
      <c r="C55" s="2" t="n"/>
      <c r="D55" s="2" t="n"/>
    </row>
    <row r="56">
      <c r="A56" s="8" t="n"/>
      <c r="B56" s="8" t="n"/>
      <c r="C56" s="2" t="n"/>
      <c r="D56" s="2" t="n"/>
    </row>
    <row r="57">
      <c r="A57" s="8" t="n"/>
      <c r="B57" s="8" t="n"/>
      <c r="C57" s="2" t="n"/>
      <c r="D57" s="2" t="n"/>
    </row>
    <row r="58">
      <c r="A58" s="8" t="n"/>
      <c r="B58" s="8" t="n"/>
      <c r="C58" s="2" t="n"/>
      <c r="D58" s="2" t="n"/>
    </row>
    <row r="59">
      <c r="A59" s="8" t="n"/>
      <c r="B59" s="8" t="n"/>
      <c r="C59" s="2" t="n"/>
      <c r="D59" s="2" t="n"/>
    </row>
    <row r="60">
      <c r="A60" s="8" t="n"/>
      <c r="B60" s="8" t="n"/>
      <c r="C60" s="2" t="n"/>
      <c r="D60" s="2" t="n"/>
    </row>
    <row r="61">
      <c r="A61" s="8" t="n"/>
      <c r="B61" s="8" t="n"/>
      <c r="C61" s="2" t="n"/>
      <c r="D61" s="2" t="n"/>
    </row>
    <row r="62">
      <c r="A62" s="8" t="n"/>
      <c r="B62" s="8" t="n"/>
      <c r="C62" s="2" t="n"/>
      <c r="D62" s="2" t="n"/>
    </row>
    <row r="63">
      <c r="A63" s="8" t="n"/>
      <c r="B63" s="8" t="n"/>
      <c r="C63" s="2" t="n"/>
      <c r="D63" s="2" t="n"/>
    </row>
    <row r="64">
      <c r="A64" s="8" t="n"/>
      <c r="B64" s="8" t="n"/>
      <c r="C64" s="2" t="n"/>
      <c r="D64" s="2" t="n"/>
    </row>
    <row r="65">
      <c r="A65" s="8" t="n"/>
      <c r="B65" s="8" t="n"/>
      <c r="C65" s="2" t="n"/>
      <c r="D65" s="2" t="n"/>
    </row>
    <row r="66">
      <c r="A66" s="8" t="n"/>
      <c r="B66" s="8" t="n"/>
      <c r="C66" s="2" t="n"/>
      <c r="D66" s="2" t="n"/>
    </row>
    <row r="67">
      <c r="A67" s="8" t="n"/>
      <c r="B67" s="8" t="n"/>
      <c r="C67" s="2" t="n"/>
      <c r="D67" s="2" t="n"/>
    </row>
    <row r="68">
      <c r="A68" s="8" t="n"/>
      <c r="B68" s="8" t="n"/>
      <c r="C68" s="2" t="n"/>
      <c r="D68" s="2" t="n"/>
    </row>
    <row r="69">
      <c r="A69" s="8" t="n"/>
      <c r="B69" s="8" t="n"/>
      <c r="C69" s="2" t="n"/>
      <c r="D69" s="2" t="n"/>
    </row>
    <row r="70">
      <c r="A70" s="8" t="n"/>
      <c r="B70" s="8" t="n"/>
      <c r="C70" s="2" t="n"/>
      <c r="D70" s="2" t="n"/>
    </row>
    <row r="71">
      <c r="A71" s="8" t="n"/>
      <c r="B71" s="8" t="n"/>
      <c r="C71" s="2" t="n"/>
      <c r="D71" s="2" t="n"/>
    </row>
    <row r="72">
      <c r="A72" s="8" t="n"/>
      <c r="B72" s="8" t="n"/>
      <c r="C72" s="2" t="n"/>
      <c r="D72" s="2" t="n"/>
    </row>
    <row r="73">
      <c r="A73" s="8" t="n"/>
      <c r="B73" s="8" t="n"/>
      <c r="C73" s="2" t="n"/>
      <c r="D73" s="2" t="n"/>
    </row>
    <row r="74">
      <c r="A74" s="8" t="n"/>
      <c r="B74" s="8" t="n"/>
      <c r="C74" s="2" t="n"/>
      <c r="D74" s="2" t="n"/>
    </row>
    <row r="75">
      <c r="A75" s="8" t="n"/>
      <c r="B75" s="8" t="n"/>
      <c r="C75" s="2" t="n"/>
      <c r="D75" s="2" t="n"/>
    </row>
    <row r="76">
      <c r="A76" s="8" t="n"/>
      <c r="B76" s="8" t="n"/>
      <c r="C76" s="2" t="n"/>
      <c r="D76" s="2" t="n"/>
    </row>
    <row r="77">
      <c r="A77" s="8" t="n"/>
      <c r="B77" s="8" t="n"/>
      <c r="C77" s="2" t="n"/>
      <c r="D77" s="2" t="n"/>
    </row>
    <row r="78">
      <c r="A78" s="8" t="n"/>
      <c r="B78" s="8" t="n"/>
      <c r="C78" s="2" t="n"/>
      <c r="D78" s="2" t="n"/>
    </row>
    <row r="79">
      <c r="A79" s="8" t="n"/>
      <c r="B79" s="8" t="n"/>
      <c r="C79" s="2" t="n"/>
      <c r="D79" s="2" t="n"/>
    </row>
    <row r="80">
      <c r="A80" s="8" t="n"/>
      <c r="B80" s="8" t="n"/>
      <c r="C80" s="2" t="n"/>
      <c r="D80" s="2" t="n"/>
    </row>
    <row r="81">
      <c r="A81" s="8" t="n"/>
      <c r="B81" s="8" t="n"/>
      <c r="C81" s="2" t="n"/>
      <c r="D81" s="2" t="n"/>
    </row>
    <row r="82">
      <c r="A82" s="8" t="n"/>
      <c r="B82" s="8" t="n"/>
      <c r="C82" s="2" t="n"/>
      <c r="D82" s="2" t="n"/>
    </row>
    <row r="83">
      <c r="A83" s="8" t="n"/>
      <c r="B83" s="8" t="n"/>
      <c r="C83" s="2" t="n"/>
      <c r="D83" s="2" t="n"/>
    </row>
    <row r="84">
      <c r="A84" s="8" t="n"/>
      <c r="B84" s="8" t="n"/>
      <c r="C84" s="2" t="n"/>
      <c r="D84" s="2" t="n"/>
    </row>
    <row r="85">
      <c r="A85" s="8" t="n"/>
      <c r="B85" s="8" t="n"/>
      <c r="C85" s="2" t="n"/>
      <c r="D85" s="2" t="n"/>
    </row>
    <row r="86">
      <c r="A86" s="8" t="n"/>
      <c r="B86" s="8" t="n"/>
      <c r="C86" s="2" t="n"/>
      <c r="D86" s="2" t="n"/>
    </row>
    <row r="87">
      <c r="A87" s="8" t="n"/>
      <c r="B87" s="8" t="n"/>
      <c r="C87" s="2" t="n"/>
      <c r="D87" s="2" t="n"/>
    </row>
    <row r="88">
      <c r="A88" s="8" t="n"/>
      <c r="B88" s="8" t="n"/>
      <c r="C88" s="2" t="n"/>
      <c r="D88" s="2" t="n"/>
    </row>
    <row r="89">
      <c r="A89" s="8" t="n"/>
      <c r="B89" s="8" t="n"/>
      <c r="C89" s="2" t="n"/>
      <c r="D89" s="2" t="n"/>
    </row>
    <row r="90">
      <c r="A90" s="8" t="n"/>
      <c r="B90" s="8" t="n"/>
      <c r="C90" s="2" t="n"/>
      <c r="D90" s="2" t="n"/>
    </row>
    <row r="91">
      <c r="A91" s="8" t="n"/>
      <c r="B91" s="8" t="n"/>
      <c r="C91" s="2" t="n"/>
      <c r="D91" s="2" t="n"/>
    </row>
    <row r="92">
      <c r="A92" s="8" t="n"/>
      <c r="B92" s="8" t="n"/>
      <c r="C92" s="2" t="n"/>
      <c r="D92" s="2" t="n"/>
    </row>
    <row r="93">
      <c r="A93" s="8" t="n"/>
      <c r="B93" s="8" t="n"/>
      <c r="C93" s="2" t="n"/>
      <c r="D93" s="2" t="n"/>
    </row>
    <row r="94">
      <c r="A94" s="8" t="n"/>
      <c r="B94" s="8" t="n"/>
      <c r="C94" s="2" t="n"/>
      <c r="D94" s="2" t="n"/>
    </row>
    <row r="95">
      <c r="A95" s="8" t="n"/>
      <c r="B95" s="8" t="n"/>
      <c r="C95" s="2" t="n"/>
      <c r="D95" s="2" t="n"/>
    </row>
    <row r="96">
      <c r="A96" s="8" t="n"/>
      <c r="B96" s="8" t="n"/>
      <c r="C96" s="2" t="n"/>
      <c r="D96" s="2" t="n"/>
    </row>
    <row r="97">
      <c r="A97" s="8" t="n"/>
      <c r="B97" s="8" t="n"/>
      <c r="C97" s="2" t="n"/>
      <c r="D97" s="2" t="n"/>
    </row>
    <row r="98">
      <c r="A98" s="8" t="n"/>
      <c r="B98" s="8" t="n"/>
      <c r="C98" s="2" t="n"/>
      <c r="D98" s="2" t="n"/>
    </row>
    <row r="99">
      <c r="A99" s="8" t="n"/>
      <c r="B99" s="8" t="n"/>
      <c r="C99" s="2" t="n"/>
      <c r="D99" s="2" t="n"/>
    </row>
    <row r="100">
      <c r="A100" s="8" t="n"/>
      <c r="B100" s="8" t="n"/>
      <c r="C100" s="2" t="n"/>
      <c r="D100" s="2" t="n"/>
    </row>
    <row r="101">
      <c r="A101" s="8" t="n"/>
      <c r="B101" s="8" t="n"/>
      <c r="C101" s="2" t="n"/>
      <c r="D101" s="2" t="n"/>
    </row>
    <row r="102">
      <c r="A102" s="8" t="n"/>
      <c r="B102" s="8" t="n"/>
      <c r="C102" s="2" t="n"/>
      <c r="D102" s="2" t="n"/>
    </row>
    <row r="103">
      <c r="A103" s="8" t="n"/>
      <c r="B103" s="8" t="n"/>
      <c r="C103" s="2" t="n"/>
      <c r="D103" s="2" t="n"/>
    </row>
    <row r="104">
      <c r="A104" s="8" t="n"/>
      <c r="B104" s="8" t="n"/>
      <c r="C104" s="2" t="n"/>
      <c r="D104" s="2" t="n"/>
    </row>
    <row r="105">
      <c r="A105" s="8" t="n"/>
      <c r="B105" s="8" t="n"/>
      <c r="C105" s="2" t="n"/>
      <c r="D105" s="2" t="n"/>
    </row>
    <row r="106">
      <c r="A106" s="8" t="n"/>
      <c r="B106" s="8" t="n"/>
      <c r="C106" s="2" t="n"/>
      <c r="D106" s="2" t="n"/>
    </row>
    <row r="107">
      <c r="A107" s="8" t="n"/>
      <c r="B107" s="8" t="n"/>
      <c r="C107" s="2" t="n"/>
      <c r="D107" s="2" t="n"/>
    </row>
    <row r="108">
      <c r="A108" s="8" t="n"/>
      <c r="B108" s="8" t="n"/>
      <c r="C108" s="2" t="n"/>
      <c r="D108" s="2" t="n"/>
    </row>
    <row r="109">
      <c r="A109" s="8" t="n"/>
      <c r="B109" s="8" t="n"/>
      <c r="C109" s="2" t="n"/>
      <c r="D109" s="2" t="n"/>
    </row>
    <row r="110">
      <c r="A110" s="8" t="n"/>
      <c r="B110" s="8" t="n"/>
      <c r="C110" s="2" t="n"/>
      <c r="D110" s="2" t="n"/>
    </row>
    <row r="111">
      <c r="A111" s="8" t="n"/>
      <c r="B111" s="8" t="n"/>
      <c r="C111" s="2" t="n"/>
      <c r="D111" s="2" t="n"/>
    </row>
    <row r="112">
      <c r="A112" s="8" t="n"/>
      <c r="B112" s="8" t="n"/>
      <c r="C112" s="2" t="n"/>
      <c r="D112" s="2" t="n"/>
    </row>
    <row r="113">
      <c r="A113" s="8" t="n"/>
      <c r="B113" s="8" t="n"/>
      <c r="C113" s="2" t="n"/>
      <c r="D113" s="2" t="n"/>
    </row>
    <row r="114">
      <c r="A114" s="8" t="n"/>
      <c r="B114" s="8" t="n"/>
      <c r="C114" s="2" t="n"/>
      <c r="D114" s="2" t="n"/>
    </row>
    <row r="115">
      <c r="A115" s="8" t="n"/>
      <c r="B115" s="8" t="n"/>
      <c r="C115" s="2" t="n"/>
      <c r="D115" s="2" t="n"/>
    </row>
    <row r="116">
      <c r="A116" s="8" t="n"/>
      <c r="B116" s="8" t="n"/>
      <c r="C116" s="2" t="n"/>
      <c r="D116" s="2" t="n"/>
    </row>
    <row r="117">
      <c r="A117" s="8" t="n"/>
      <c r="B117" s="8" t="n"/>
      <c r="C117" s="2" t="n"/>
      <c r="D117" s="2" t="n"/>
    </row>
    <row r="118">
      <c r="A118" s="8" t="n"/>
      <c r="B118" s="8" t="n"/>
      <c r="C118" s="2" t="n"/>
      <c r="D118" s="2" t="n"/>
    </row>
    <row r="119">
      <c r="A119" s="8" t="n"/>
      <c r="B119" s="8" t="n"/>
      <c r="C119" s="2" t="n"/>
      <c r="D119" s="2" t="n"/>
    </row>
    <row r="120">
      <c r="A120" s="8" t="n"/>
      <c r="B120" s="8" t="n"/>
      <c r="C120" s="2" t="n"/>
      <c r="D120" s="2" t="n"/>
    </row>
    <row r="121">
      <c r="A121" s="8" t="n"/>
      <c r="B121" s="8" t="n"/>
      <c r="C121" s="2" t="n"/>
      <c r="D121" s="2" t="n"/>
    </row>
    <row r="122">
      <c r="A122" s="8" t="n"/>
      <c r="B122" s="8" t="n"/>
      <c r="C122" s="2" t="n"/>
      <c r="D122" s="2" t="n"/>
    </row>
    <row r="123">
      <c r="A123" s="8" t="n"/>
      <c r="B123" s="8" t="n"/>
      <c r="C123" s="2" t="n"/>
      <c r="D123" s="2" t="n"/>
    </row>
    <row r="124">
      <c r="A124" s="8" t="n"/>
      <c r="B124" s="8" t="n"/>
      <c r="C124" s="2" t="n"/>
      <c r="D124" s="2" t="n"/>
    </row>
    <row r="125">
      <c r="A125" s="8" t="n"/>
      <c r="B125" s="8" t="n"/>
      <c r="C125" s="2" t="n"/>
      <c r="D125" s="2" t="n"/>
    </row>
    <row r="126">
      <c r="A126" s="8" t="n"/>
      <c r="B126" s="8" t="n"/>
      <c r="C126" s="2" t="n"/>
      <c r="D126" s="2" t="n"/>
    </row>
    <row r="127">
      <c r="A127" s="8" t="n"/>
      <c r="B127" s="8" t="n"/>
      <c r="C127" s="2" t="n"/>
      <c r="D127" s="2" t="n"/>
    </row>
    <row r="128">
      <c r="A128" s="8" t="n"/>
      <c r="B128" s="8" t="n"/>
      <c r="C128" s="2" t="n"/>
      <c r="D128" s="2" t="n"/>
    </row>
    <row r="129">
      <c r="A129" s="8" t="n"/>
      <c r="B129" s="8" t="n"/>
      <c r="C129" s="2" t="n"/>
      <c r="D129" s="2" t="n"/>
    </row>
    <row r="130">
      <c r="A130" s="8" t="n"/>
      <c r="B130" s="8" t="n"/>
      <c r="C130" s="2" t="n"/>
      <c r="D130" s="2" t="n"/>
    </row>
    <row r="131">
      <c r="A131" s="8" t="n"/>
      <c r="B131" s="8" t="n"/>
      <c r="C131" s="2" t="n"/>
      <c r="D131" s="2" t="n"/>
    </row>
    <row r="132">
      <c r="A132" s="8" t="n"/>
      <c r="B132" s="8" t="n"/>
      <c r="C132" s="2" t="n"/>
      <c r="D132" s="2" t="n"/>
    </row>
    <row r="133">
      <c r="A133" s="8" t="n"/>
      <c r="B133" s="8" t="n"/>
      <c r="C133" s="2" t="n"/>
      <c r="D133" s="2" t="n"/>
    </row>
    <row r="134">
      <c r="A134" s="8" t="n"/>
      <c r="B134" s="8" t="n"/>
      <c r="C134" s="2" t="n"/>
      <c r="D134" s="2" t="n"/>
    </row>
    <row r="135">
      <c r="A135" s="8" t="n"/>
      <c r="B135" s="8" t="n"/>
      <c r="C135" s="2" t="n"/>
      <c r="D135" s="2" t="n"/>
    </row>
    <row r="136">
      <c r="A136" s="8" t="n"/>
      <c r="B136" s="8" t="n"/>
      <c r="C136" s="2" t="n"/>
      <c r="D136" s="2" t="n"/>
    </row>
    <row r="137">
      <c r="A137" s="8" t="n"/>
      <c r="B137" s="8" t="n"/>
      <c r="C137" s="2" t="n"/>
      <c r="D137" s="2" t="n"/>
    </row>
    <row r="138">
      <c r="A138" s="8" t="n"/>
      <c r="B138" s="8" t="n"/>
      <c r="C138" s="2" t="n"/>
      <c r="D138" s="2" t="n"/>
    </row>
    <row r="139">
      <c r="A139" s="8" t="n"/>
      <c r="B139" s="8" t="n"/>
      <c r="C139" s="2" t="n"/>
      <c r="D139" s="2" t="n"/>
    </row>
    <row r="140">
      <c r="A140" s="8" t="n"/>
      <c r="B140" s="8" t="n"/>
      <c r="C140" s="2" t="n"/>
      <c r="D140" s="2" t="n"/>
    </row>
    <row r="141">
      <c r="A141" s="8" t="n"/>
      <c r="B141" s="8" t="n"/>
      <c r="C141" s="2" t="n"/>
      <c r="D141" s="2" t="n"/>
    </row>
    <row r="142">
      <c r="A142" s="8" t="n"/>
      <c r="B142" s="8" t="n"/>
      <c r="C142" s="2" t="n"/>
      <c r="D142" s="2" t="n"/>
    </row>
    <row r="143">
      <c r="A143" s="8" t="n"/>
      <c r="B143" s="8" t="n"/>
      <c r="C143" s="2" t="n"/>
      <c r="D143" s="2" t="n"/>
    </row>
    <row r="144">
      <c r="A144" s="8" t="n"/>
      <c r="B144" s="8" t="n"/>
      <c r="C144" s="2" t="n"/>
      <c r="D144" s="2" t="n"/>
    </row>
    <row r="145">
      <c r="A145" s="8" t="n"/>
      <c r="B145" s="8" t="n"/>
      <c r="C145" s="2" t="n"/>
      <c r="D145" s="2" t="n"/>
    </row>
    <row r="146">
      <c r="A146" s="8" t="n"/>
      <c r="B146" s="8" t="n"/>
      <c r="C146" s="2" t="n"/>
      <c r="D146" s="2" t="n"/>
    </row>
    <row r="147">
      <c r="A147" s="8" t="n"/>
      <c r="B147" s="8" t="n"/>
      <c r="C147" s="2" t="n"/>
      <c r="D147" s="2" t="n"/>
    </row>
    <row r="148">
      <c r="A148" s="8" t="n"/>
      <c r="B148" s="8" t="n"/>
      <c r="C148" s="2" t="n"/>
      <c r="D148" s="2" t="n"/>
    </row>
    <row r="149">
      <c r="A149" s="8" t="n"/>
      <c r="B149" s="8" t="n"/>
      <c r="C149" s="2" t="n"/>
      <c r="D149" s="2" t="n"/>
    </row>
    <row r="150">
      <c r="A150" s="8" t="n"/>
      <c r="B150" s="8" t="n"/>
      <c r="C150" s="2" t="n"/>
      <c r="D150" s="2" t="n"/>
    </row>
    <row r="151">
      <c r="A151" s="8" t="n"/>
      <c r="B151" s="8" t="n"/>
      <c r="C151" s="2" t="n"/>
      <c r="D151" s="2" t="n"/>
    </row>
    <row r="152">
      <c r="A152" s="8" t="n"/>
      <c r="B152" s="8" t="n"/>
      <c r="C152" s="2" t="n"/>
      <c r="D152" s="2" t="n"/>
    </row>
    <row r="153">
      <c r="A153" s="8" t="n"/>
      <c r="B153" s="8" t="n"/>
      <c r="C153" s="2" t="n"/>
      <c r="D153" s="2" t="n"/>
    </row>
    <row r="154">
      <c r="A154" s="8" t="n"/>
      <c r="B154" s="8" t="n"/>
      <c r="C154" s="2" t="n"/>
      <c r="D154" s="2" t="n"/>
    </row>
    <row r="155">
      <c r="A155" s="8" t="n"/>
      <c r="B155" s="8" t="n"/>
      <c r="C155" s="2" t="n"/>
      <c r="D155" s="2" t="n"/>
    </row>
    <row r="156">
      <c r="A156" s="8" t="n"/>
      <c r="B156" s="8" t="n"/>
      <c r="C156" s="2" t="n"/>
      <c r="D156" s="2" t="n"/>
    </row>
    <row r="157">
      <c r="A157" s="8" t="n"/>
      <c r="B157" s="8" t="n"/>
      <c r="C157" s="2" t="n"/>
      <c r="D157" s="2" t="n"/>
    </row>
    <row r="158">
      <c r="A158" s="8" t="n"/>
      <c r="B158" s="8" t="n"/>
      <c r="C158" s="2" t="n"/>
      <c r="D158" s="2" t="n"/>
    </row>
    <row r="159">
      <c r="A159" s="8" t="n"/>
      <c r="B159" s="8" t="n"/>
      <c r="C159" s="2" t="n"/>
      <c r="D159" s="2" t="n"/>
    </row>
    <row r="160">
      <c r="A160" s="8" t="n"/>
      <c r="B160" s="8" t="n"/>
      <c r="C160" s="2" t="n"/>
      <c r="D160" s="2" t="n"/>
    </row>
    <row r="161">
      <c r="A161" s="8" t="n"/>
      <c r="B161" s="8" t="n"/>
      <c r="C161" s="2" t="n"/>
      <c r="D161" s="2" t="n"/>
    </row>
    <row r="162">
      <c r="A162" s="8" t="n"/>
      <c r="B162" s="8" t="n"/>
      <c r="C162" s="2" t="n"/>
      <c r="D162" s="2" t="n"/>
    </row>
    <row r="163">
      <c r="A163" s="8" t="n"/>
      <c r="B163" s="8" t="n"/>
      <c r="C163" s="2" t="n"/>
      <c r="D163" s="2" t="n"/>
    </row>
    <row r="164">
      <c r="A164" s="8" t="n"/>
      <c r="B164" s="8" t="n"/>
      <c r="C164" s="2" t="n"/>
      <c r="D164" s="2" t="n"/>
    </row>
    <row r="165">
      <c r="A165" s="8" t="n"/>
      <c r="B165" s="8" t="n"/>
      <c r="C165" s="2" t="n"/>
      <c r="D165" s="2" t="n"/>
    </row>
    <row r="166">
      <c r="A166" s="8" t="n"/>
      <c r="B166" s="8" t="n"/>
      <c r="C166" s="2" t="n"/>
      <c r="D166" s="2" t="n"/>
    </row>
    <row r="167">
      <c r="A167" s="8" t="n"/>
      <c r="B167" s="8" t="n"/>
      <c r="C167" s="2" t="n"/>
      <c r="D167" s="2" t="n"/>
    </row>
    <row r="168">
      <c r="A168" s="8" t="n"/>
      <c r="B168" s="8" t="n"/>
      <c r="C168" s="2" t="n"/>
      <c r="D168" s="2" t="n"/>
    </row>
    <row r="169">
      <c r="A169" s="8" t="n"/>
      <c r="B169" s="8" t="n"/>
      <c r="C169" s="2" t="n"/>
      <c r="D169" s="2" t="n"/>
    </row>
    <row r="170">
      <c r="A170" s="8" t="n"/>
      <c r="B170" s="8" t="n"/>
      <c r="C170" s="2" t="n"/>
      <c r="D170" s="2" t="n"/>
    </row>
    <row r="171">
      <c r="A171" s="8" t="n"/>
      <c r="B171" s="8" t="n"/>
      <c r="C171" s="2" t="n"/>
      <c r="D171" s="2" t="n"/>
    </row>
    <row r="172">
      <c r="A172" s="8" t="n"/>
      <c r="B172" s="8" t="n"/>
      <c r="C172" s="2" t="n"/>
      <c r="D172" s="2" t="n"/>
    </row>
    <row r="173">
      <c r="A173" s="8" t="n"/>
      <c r="B173" s="8" t="n"/>
      <c r="C173" s="2" t="n"/>
      <c r="D173" s="2" t="n"/>
    </row>
    <row r="174">
      <c r="A174" s="8" t="n"/>
      <c r="B174" s="8" t="n"/>
      <c r="C174" s="2" t="n"/>
      <c r="D174" s="2" t="n"/>
    </row>
    <row r="175">
      <c r="A175" s="8" t="n"/>
      <c r="B175" s="8" t="n"/>
      <c r="C175" s="2" t="n"/>
      <c r="D175" s="2" t="n"/>
    </row>
    <row r="176">
      <c r="A176" s="8" t="n"/>
      <c r="B176" s="8" t="n"/>
      <c r="C176" s="2" t="n"/>
      <c r="D176" s="2" t="n"/>
    </row>
    <row r="177">
      <c r="A177" s="8" t="n"/>
      <c r="B177" s="8" t="n"/>
      <c r="C177" s="2" t="n"/>
      <c r="D177" s="2" t="n"/>
    </row>
    <row r="178">
      <c r="A178" s="8" t="n"/>
      <c r="B178" s="8" t="n"/>
      <c r="C178" s="2" t="n"/>
      <c r="D178" s="2" t="n"/>
    </row>
    <row r="179">
      <c r="A179" s="8" t="n"/>
      <c r="B179" s="8" t="n"/>
      <c r="C179" s="2" t="n"/>
      <c r="D179" s="2" t="n"/>
    </row>
    <row r="180">
      <c r="A180" s="8" t="n"/>
      <c r="B180" s="8" t="n"/>
      <c r="C180" s="2" t="n"/>
      <c r="D180" s="2" t="n"/>
    </row>
    <row r="181">
      <c r="A181" s="8" t="n"/>
      <c r="B181" s="8" t="n"/>
      <c r="C181" s="2" t="n"/>
      <c r="D181" s="2" t="n"/>
    </row>
    <row r="182">
      <c r="A182" s="8" t="n"/>
      <c r="B182" s="8" t="n"/>
      <c r="C182" s="2" t="n"/>
      <c r="D182" s="2" t="n"/>
    </row>
    <row r="183">
      <c r="A183" s="8" t="n"/>
      <c r="B183" s="8" t="n"/>
      <c r="C183" s="2" t="n"/>
      <c r="D183" s="2" t="n"/>
    </row>
    <row r="184">
      <c r="A184" s="8" t="n"/>
      <c r="B184" s="8" t="n"/>
      <c r="C184" s="2" t="n"/>
      <c r="D184" s="2" t="n"/>
    </row>
    <row r="185">
      <c r="A185" s="8" t="n"/>
      <c r="B185" s="8" t="n"/>
      <c r="C185" s="2" t="n"/>
      <c r="D185" s="2" t="n"/>
    </row>
    <row r="186">
      <c r="A186" s="8" t="n"/>
      <c r="B186" s="8" t="n"/>
      <c r="C186" s="2" t="n"/>
      <c r="D186" s="2" t="n"/>
    </row>
    <row r="187">
      <c r="A187" s="8" t="n"/>
      <c r="B187" s="8" t="n"/>
      <c r="C187" s="2" t="n"/>
      <c r="D187" s="2" t="n"/>
    </row>
    <row r="188">
      <c r="A188" s="8" t="n"/>
      <c r="B188" s="8" t="n"/>
      <c r="C188" s="2" t="n"/>
      <c r="D188" s="2" t="n"/>
    </row>
    <row r="189">
      <c r="A189" s="8" t="n"/>
      <c r="B189" s="8" t="n"/>
      <c r="C189" s="2" t="n"/>
      <c r="D189" s="2" t="n"/>
    </row>
    <row r="190">
      <c r="A190" s="8" t="n"/>
      <c r="B190" s="8" t="n"/>
      <c r="C190" s="2" t="n"/>
      <c r="D190" s="2" t="n"/>
    </row>
    <row r="191">
      <c r="A191" s="8" t="n"/>
      <c r="B191" s="8" t="n"/>
      <c r="C191" s="2" t="n"/>
      <c r="D191" s="2" t="n"/>
    </row>
    <row r="192">
      <c r="A192" s="8" t="n"/>
      <c r="B192" s="8" t="n"/>
      <c r="C192" s="2" t="n"/>
      <c r="D192" s="2" t="n"/>
    </row>
    <row r="193">
      <c r="A193" s="8" t="n"/>
      <c r="B193" s="8" t="n"/>
      <c r="C193" s="2" t="n"/>
      <c r="D193" s="2" t="n"/>
    </row>
    <row r="194">
      <c r="A194" s="8" t="n"/>
      <c r="B194" s="8" t="n"/>
      <c r="C194" s="2" t="n"/>
      <c r="D194" s="2" t="n"/>
    </row>
    <row r="195">
      <c r="A195" s="8" t="n"/>
      <c r="B195" s="8" t="n"/>
      <c r="C195" s="2" t="n"/>
      <c r="D195" s="2" t="n"/>
    </row>
    <row r="196">
      <c r="A196" s="8" t="n"/>
      <c r="B196" s="8" t="n"/>
      <c r="C196" s="2" t="n"/>
      <c r="D196" s="2" t="n"/>
    </row>
    <row r="197">
      <c r="A197" s="8" t="n"/>
      <c r="B197" s="8" t="n"/>
      <c r="C197" s="2" t="n"/>
      <c r="D197" s="2" t="n"/>
    </row>
    <row r="198">
      <c r="A198" s="8" t="n"/>
      <c r="B198" s="8" t="n"/>
      <c r="C198" s="2" t="n"/>
      <c r="D198" s="2" t="n"/>
    </row>
    <row r="199">
      <c r="A199" s="8" t="n"/>
      <c r="B199" s="8" t="n"/>
      <c r="C199" s="2" t="n"/>
      <c r="D199" s="2" t="n"/>
    </row>
    <row r="200">
      <c r="A200" s="8" t="n"/>
      <c r="B200" s="8" t="n"/>
      <c r="C200" s="2" t="n"/>
      <c r="D200" s="2" t="n"/>
    </row>
    <row r="201">
      <c r="A201" s="8" t="n"/>
      <c r="B201" s="8" t="n"/>
      <c r="C201" s="2" t="n"/>
      <c r="D201" s="2" t="n"/>
    </row>
  </sheetData>
  <dataValidations count="1">
    <dataValidation sqref="B2:B500" showDropDown="0" showInputMessage="0" showErrorMessage="1" allowBlank="1" error="Tej wartości nie ma na liście. Zostawić mimo to?" type="list" errorStyle="warning">
      <formula1>"Czołowy,Wysoki skład,Paleciak elektryczny,Kompletacyjny"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5B6878"/>
    <outlinePr summaryBelow="1" summaryRight="1"/>
    <pageSetUpPr/>
  </sheetPr>
  <dimension ref="A1:M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32" customWidth="1" min="4" max="4"/>
    <col width="3" customWidth="1" min="5" max="5"/>
    <col width="32" customWidth="1" min="6" max="6"/>
    <col width="3" customWidth="1" min="7" max="7"/>
    <col width="26" customWidth="1" min="8" max="8"/>
    <col width="3" customWidth="1" min="9" max="9"/>
    <col width="18" customWidth="1" min="10" max="10"/>
    <col width="10" customWidth="1" min="11" max="11"/>
    <col width="3" customWidth="1" min="12" max="12"/>
    <col width="10" customWidth="1" min="13" max="13"/>
  </cols>
  <sheetData>
    <row r="1">
      <c r="A1" s="9" t="inlineStr">
        <is>
          <t>Ustawienia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0" t="inlineStr">
        <is>
          <t>Rok</t>
        </is>
      </c>
      <c r="B3" s="8" t="n">
        <v>2026</v>
      </c>
      <c r="C3" s="10" t="inlineStr">
        <is>
          <t>← wpisz rok i miesiąc: arkusze 1–31 pokażą daty tego miesiąca</t>
        </is>
      </c>
      <c r="D3" s="19" t="inlineStr">
        <is>
          <t>Rodzaje uderzeń</t>
        </is>
      </c>
      <c r="E3" s="2" t="n"/>
      <c r="F3" s="19" t="inlineStr">
        <is>
          <t>Co uszkodzone</t>
        </is>
      </c>
      <c r="G3" s="2" t="n"/>
      <c r="H3" s="19" t="inlineStr">
        <is>
          <t>Kiedy powstało</t>
        </is>
      </c>
      <c r="I3" s="2" t="n"/>
      <c r="J3" s="19" t="inlineStr">
        <is>
          <t>Status</t>
        </is>
      </c>
      <c r="K3" s="19" t="inlineStr">
        <is>
          <t>Otwarte?</t>
        </is>
      </c>
      <c r="L3" s="2" t="n"/>
      <c r="M3" s="19" t="inlineStr">
        <is>
          <t>TAK / NIE</t>
        </is>
      </c>
    </row>
    <row r="4">
      <c r="A4" s="30" t="inlineStr">
        <is>
          <t>Miesiąc (1–12)</t>
        </is>
      </c>
      <c r="B4" s="8" t="n">
        <v>10</v>
      </c>
      <c r="C4" s="2" t="n"/>
      <c r="D4" s="8" t="inlineStr">
        <is>
          <t>Uderzenie w regał</t>
        </is>
      </c>
      <c r="E4" s="2" t="n"/>
      <c r="F4" s="8" t="inlineStr">
        <is>
          <t>Widły / platforma</t>
        </is>
      </c>
      <c r="G4" s="2" t="n"/>
      <c r="H4" s="8" t="inlineStr">
        <is>
          <t>Zgłoszone przez sprawcę</t>
        </is>
      </c>
      <c r="I4" s="2" t="n"/>
      <c r="J4" s="2" t="inlineStr">
        <is>
          <t>Zgłoszona</t>
        </is>
      </c>
      <c r="K4" s="2" t="inlineStr">
        <is>
          <t>TAK</t>
        </is>
      </c>
      <c r="L4" s="2" t="n"/>
      <c r="M4" s="2" t="inlineStr">
        <is>
          <t>TAK</t>
        </is>
      </c>
    </row>
    <row r="5">
      <c r="A5" s="30" t="inlineStr">
        <is>
          <t>Dni w miesiącu</t>
        </is>
      </c>
      <c r="B5" s="2">
        <f>DAY(EOMONTH(DATE(B3,B4,1),0))</f>
        <v/>
      </c>
      <c r="C5" s="2" t="n"/>
      <c r="D5" s="8" t="inlineStr">
        <is>
          <t>Uderzenie w bramę / drzwi</t>
        </is>
      </c>
      <c r="E5" s="2" t="n"/>
      <c r="F5" s="8" t="inlineStr">
        <is>
          <t>Maszt / łańcuchy / hydraulika</t>
        </is>
      </c>
      <c r="G5" s="2" t="n"/>
      <c r="H5" s="8" t="inlineStr">
        <is>
          <t>Zastane przy przejęciu</t>
        </is>
      </c>
      <c r="I5" s="2" t="n"/>
      <c r="J5" s="2" t="inlineStr">
        <is>
          <t>W naprawie</t>
        </is>
      </c>
      <c r="K5" s="2" t="inlineStr">
        <is>
          <t>TAK</t>
        </is>
      </c>
      <c r="L5" s="2" t="n"/>
      <c r="M5" s="2" t="inlineStr">
        <is>
          <t>NIE</t>
        </is>
      </c>
    </row>
    <row r="6">
      <c r="A6" s="2" t="n"/>
      <c r="B6" s="2" t="n"/>
      <c r="C6" s="2" t="n"/>
      <c r="D6" s="8" t="inlineStr">
        <is>
          <t>Uderzenie w ścianę / słup</t>
        </is>
      </c>
      <c r="E6" s="2" t="n"/>
      <c r="F6" s="8" t="inlineStr">
        <is>
          <t>Hamulce</t>
        </is>
      </c>
      <c r="G6" s="2" t="n"/>
      <c r="H6" s="8" t="n"/>
      <c r="I6" s="2" t="n"/>
      <c r="J6" s="2" t="inlineStr">
        <is>
          <t>Czeka na części</t>
        </is>
      </c>
      <c r="K6" s="2" t="inlineStr">
        <is>
          <t>TAK</t>
        </is>
      </c>
      <c r="L6" s="2" t="n"/>
      <c r="M6" s="2" t="n"/>
    </row>
    <row r="7">
      <c r="A7" s="19" t="inlineStr">
        <is>
          <t>Zmiana</t>
        </is>
      </c>
      <c r="B7" s="19" t="inlineStr">
        <is>
          <t>Godziny</t>
        </is>
      </c>
      <c r="C7" s="2" t="n"/>
      <c r="D7" s="8" t="inlineStr">
        <is>
          <t>Kolizja z innym wózkiem</t>
        </is>
      </c>
      <c r="E7" s="2" t="n"/>
      <c r="F7" s="8" t="inlineStr">
        <is>
          <t>Układ kierowniczy</t>
        </is>
      </c>
      <c r="G7" s="2" t="n"/>
      <c r="H7" s="8" t="n"/>
      <c r="I7" s="2" t="n"/>
      <c r="J7" s="2" t="inlineStr">
        <is>
          <t>Naprawiona</t>
        </is>
      </c>
      <c r="K7" s="2" t="inlineStr">
        <is>
          <t>NIE</t>
        </is>
      </c>
      <c r="L7" s="2" t="n"/>
      <c r="M7" s="2" t="n"/>
    </row>
    <row r="8">
      <c r="A8" s="8" t="inlineStr">
        <is>
          <t>I</t>
        </is>
      </c>
      <c r="B8" s="8" t="inlineStr">
        <is>
          <t>06:00–14:00</t>
        </is>
      </c>
      <c r="C8" s="2" t="n"/>
      <c r="D8" s="8" t="inlineStr">
        <is>
          <t>Uderzenie w paletę / ładunek</t>
        </is>
      </c>
      <c r="E8" s="2" t="n"/>
      <c r="F8" s="8" t="inlineStr">
        <is>
          <t>Koła / opony</t>
        </is>
      </c>
      <c r="G8" s="2" t="n"/>
      <c r="H8" s="8" t="n"/>
      <c r="I8" s="2" t="n"/>
      <c r="J8" s="2" t="inlineStr">
        <is>
          <t>Bez naprawy</t>
        </is>
      </c>
      <c r="K8" s="2" t="inlineStr">
        <is>
          <t>NIE</t>
        </is>
      </c>
      <c r="L8" s="2" t="n"/>
      <c r="M8" s="2" t="n"/>
    </row>
    <row r="9">
      <c r="A9" s="8" t="inlineStr">
        <is>
          <t>II</t>
        </is>
      </c>
      <c r="B9" s="8" t="inlineStr">
        <is>
          <t>14:00–22:00</t>
        </is>
      </c>
      <c r="C9" s="2" t="n"/>
      <c r="D9" s="8" t="inlineStr">
        <is>
          <t>Najechanie na przeszkodę / próg</t>
        </is>
      </c>
      <c r="E9" s="2" t="n"/>
      <c r="F9" s="8" t="inlineStr">
        <is>
          <t>Oświetlenie / sygnał</t>
        </is>
      </c>
      <c r="G9" s="2" t="n"/>
      <c r="H9" s="8" t="n"/>
      <c r="I9" s="2" t="n"/>
      <c r="J9" s="2" t="n"/>
      <c r="K9" s="2" t="n"/>
      <c r="L9" s="2" t="n"/>
      <c r="M9" s="2" t="n"/>
    </row>
    <row r="10">
      <c r="A10" s="8" t="inlineStr">
        <is>
          <t>III</t>
        </is>
      </c>
      <c r="B10" s="8" t="inlineStr">
        <is>
          <t>22:00–06:00</t>
        </is>
      </c>
      <c r="C10" s="2" t="n"/>
      <c r="D10" s="8" t="inlineStr">
        <is>
          <t>Inne</t>
        </is>
      </c>
      <c r="E10" s="2" t="n"/>
      <c r="F10" s="8" t="inlineStr">
        <is>
          <t>Pas / kabina</t>
        </is>
      </c>
      <c r="G10" s="2" t="n"/>
      <c r="H10" s="8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8" t="n"/>
      <c r="E11" s="2" t="n"/>
      <c r="F11" s="8" t="inlineStr">
        <is>
          <t>Akumulator / ładowanie</t>
        </is>
      </c>
      <c r="G11" s="2" t="n"/>
      <c r="H11" s="8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8" t="n"/>
      <c r="E12" s="2" t="n"/>
      <c r="F12" s="8" t="inlineStr">
        <is>
          <t>Obudowa / osłony</t>
        </is>
      </c>
      <c r="G12" s="2" t="n"/>
      <c r="H12" s="8" t="n"/>
      <c r="I12" s="2" t="n"/>
      <c r="J12" s="2" t="n"/>
      <c r="K12" s="2" t="n"/>
      <c r="L12" s="2" t="n"/>
      <c r="M12" s="2" t="n"/>
    </row>
    <row r="13">
      <c r="A13" s="19" t="inlineStr">
        <is>
          <t>Stanowisko</t>
        </is>
      </c>
      <c r="B13" s="19" t="inlineStr">
        <is>
          <t>Liczba wierszy</t>
        </is>
      </c>
      <c r="C13" s="2" t="n"/>
      <c r="D13" s="8" t="n"/>
      <c r="E13" s="2" t="n"/>
      <c r="F13" s="8" t="inlineStr">
        <is>
          <t>Inne</t>
        </is>
      </c>
      <c r="G13" s="2" t="n"/>
      <c r="H13" s="8" t="n"/>
      <c r="I13" s="2" t="n"/>
      <c r="J13" s="2" t="n"/>
      <c r="K13" s="2" t="n"/>
      <c r="L13" s="2" t="n"/>
      <c r="M13" s="2" t="n"/>
    </row>
    <row r="14">
      <c r="A14" s="8" t="inlineStr">
        <is>
          <t>Rozładunek zwrotów</t>
        </is>
      </c>
      <c r="B14" s="2" t="n">
        <v>6</v>
      </c>
      <c r="C14" s="2" t="n"/>
      <c r="D14" s="8" t="n"/>
      <c r="E14" s="2" t="n"/>
      <c r="F14" s="8" t="n"/>
      <c r="G14" s="2" t="n"/>
      <c r="H14" s="2" t="n"/>
      <c r="I14" s="2" t="n"/>
      <c r="J14" s="2" t="n"/>
      <c r="K14" s="2" t="n"/>
      <c r="L14" s="2" t="n"/>
      <c r="M14" s="2" t="n"/>
    </row>
    <row r="15">
      <c r="A15" s="8" t="inlineStr">
        <is>
          <t>Sprawdzanie zwrotów</t>
        </is>
      </c>
      <c r="B15" s="2" t="n">
        <v>8</v>
      </c>
      <c r="C15" s="2" t="n"/>
      <c r="D15" s="8" t="n"/>
      <c r="E15" s="2" t="n"/>
      <c r="F15" s="8" t="n"/>
      <c r="G15" s="2" t="n"/>
      <c r="H15" s="2" t="n"/>
      <c r="I15" s="2" t="n"/>
      <c r="J15" s="2" t="n"/>
      <c r="K15" s="2" t="n"/>
      <c r="L15" s="2" t="n"/>
      <c r="M15" s="2" t="n"/>
    </row>
    <row r="16">
      <c r="A16" s="8" t="inlineStr">
        <is>
          <t>Opakowania</t>
        </is>
      </c>
      <c r="B16" s="2" t="n">
        <v>4</v>
      </c>
      <c r="C16" s="2" t="n"/>
      <c r="D16" s="8" t="n"/>
      <c r="E16" s="2" t="n"/>
      <c r="F16" s="8" t="n"/>
      <c r="G16" s="2" t="n"/>
      <c r="H16" s="2" t="n"/>
      <c r="I16" s="2" t="n"/>
      <c r="J16" s="2" t="n"/>
      <c r="K16" s="2" t="n"/>
      <c r="L16" s="2" t="n"/>
      <c r="M16" s="2" t="n"/>
    </row>
    <row r="17">
      <c r="A17" s="8" t="inlineStr">
        <is>
          <t>Zadania dodatkowe</t>
        </is>
      </c>
      <c r="B17" s="2" t="n">
        <v>4</v>
      </c>
      <c r="C17" s="2" t="n"/>
      <c r="D17" s="8" t="n"/>
      <c r="E17" s="2" t="n"/>
      <c r="F17" s="8" t="n"/>
      <c r="G17" s="2" t="n"/>
      <c r="H17" s="2" t="n"/>
      <c r="I17" s="2" t="n"/>
      <c r="J17" s="2" t="n"/>
      <c r="K17" s="2" t="n"/>
      <c r="L17" s="2" t="n"/>
      <c r="M17" s="2" t="n"/>
    </row>
    <row r="18">
      <c r="A18" s="8" t="inlineStr">
        <is>
          <t>Biuro</t>
        </is>
      </c>
      <c r="B18" s="2" t="n">
        <v>5</v>
      </c>
      <c r="C18" s="2" t="n"/>
      <c r="D18" s="8" t="n"/>
      <c r="E18" s="2" t="n"/>
      <c r="F18" s="8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8" t="n"/>
      <c r="E19" s="2" t="n"/>
      <c r="F19" s="8" t="n"/>
      <c r="G19" s="2" t="n"/>
      <c r="H19" s="2" t="n"/>
      <c r="I19" s="2" t="n"/>
      <c r="J19" s="2" t="n"/>
      <c r="K19" s="2" t="n"/>
      <c r="L19" s="2" t="n"/>
      <c r="M19" s="2" t="n"/>
    </row>
    <row r="20">
      <c r="A20" s="10" t="inlineStr">
        <is>
          <t>Nazwy zmian i stanowisk możesz zmienić; liczba wierszy na stanowisku jest stała (taka jak w aplikacji).</t>
        </is>
      </c>
      <c r="B20" s="2" t="n"/>
      <c r="C20" s="2" t="n"/>
      <c r="D20" s="8" t="n"/>
      <c r="E20" s="2" t="n"/>
      <c r="F20" s="8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8" t="n"/>
      <c r="E21" s="2" t="n"/>
      <c r="F21" s="8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8" t="n"/>
      <c r="E22" s="2" t="n"/>
      <c r="F22" s="8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8" t="n"/>
      <c r="E23" s="2" t="n"/>
      <c r="F23" s="8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8" t="n"/>
      <c r="E24" s="2" t="n"/>
      <c r="F24" s="8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8" t="n"/>
      <c r="E25" s="2" t="n"/>
      <c r="F25" s="8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8" t="n"/>
      <c r="E26" s="2" t="n"/>
      <c r="F26" s="8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8" t="n"/>
      <c r="E27" s="2" t="n"/>
      <c r="F27" s="8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8" t="n"/>
      <c r="E28" s="2" t="n"/>
      <c r="F28" s="8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8" t="n"/>
      <c r="E29" s="2" t="n"/>
      <c r="F29" s="8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8" t="n"/>
      <c r="E30" s="2" t="n"/>
      <c r="F30" s="8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8" t="n"/>
      <c r="E31" s="2" t="n"/>
      <c r="F31" s="8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8" t="n"/>
      <c r="E32" s="2" t="n"/>
      <c r="F32" s="8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8" t="n"/>
      <c r="E33" s="2" t="n"/>
      <c r="F33" s="8" t="n"/>
      <c r="G33" s="2" t="n"/>
      <c r="H33" s="2" t="n"/>
      <c r="I33" s="2" t="n"/>
      <c r="J33" s="2" t="n"/>
      <c r="K33" s="2" t="n"/>
      <c r="L33" s="2" t="n"/>
      <c r="M33" s="2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5B6878"/>
    <outlinePr summaryBelow="1" summaryRight="1"/>
    <pageSetUpPr/>
  </sheetPr>
  <dimension ref="A1:O25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0" customWidth="1" min="3" max="3"/>
    <col width="5" customWidth="1" min="4" max="4"/>
    <col width="26" customWidth="1" min="5" max="5"/>
    <col width="8" customWidth="1" min="6" max="6"/>
    <col width="18" customWidth="1" min="7" max="7"/>
    <col width="14" customWidth="1" min="8" max="8"/>
    <col width="12" customWidth="1" min="9" max="9"/>
    <col width="12" customWidth="1" min="10" max="10"/>
    <col width="10" customWidth="1" min="11" max="11"/>
    <col width="30" customWidth="1" min="12" max="12"/>
    <col width="7" customWidth="1" min="13" max="13"/>
  </cols>
  <sheetData>
    <row r="1">
      <c r="A1" s="19" t="inlineStr">
        <is>
          <t>Data</t>
        </is>
      </c>
      <c r="B1" s="19" t="inlineStr">
        <is>
          <t>Zmiana</t>
        </is>
      </c>
      <c r="C1" s="19" t="inlineStr">
        <is>
          <t>Stanowisko</t>
        </is>
      </c>
      <c r="D1" s="19" t="inlineStr">
        <is>
          <t>Lp</t>
        </is>
      </c>
      <c r="E1" s="19" t="inlineStr">
        <is>
          <t>Imię i nazwisko</t>
        </is>
      </c>
      <c r="F1" s="19" t="inlineStr">
        <is>
          <t>Wózek</t>
        </is>
      </c>
      <c r="G1" s="19" t="inlineStr">
        <is>
          <t>Uwagi</t>
        </is>
      </c>
      <c r="H1" s="19" t="inlineStr">
        <is>
          <t>Klucz wózek|data</t>
        </is>
      </c>
      <c r="I1" s="19" t="inlineStr">
        <is>
          <t>Klucz historii</t>
        </is>
      </c>
      <c r="J1" s="19" t="inlineStr">
        <is>
          <t>Godziny</t>
        </is>
      </c>
      <c r="K1" s="19" t="inlineStr">
        <is>
          <t>Usterek (dzień / następny)</t>
        </is>
      </c>
      <c r="L1" s="19" t="inlineStr">
        <is>
          <t>Usterki (dzień / następny)</t>
        </is>
      </c>
      <c r="M1" s="19" t="inlineStr">
        <is>
          <t>Arkusz</t>
        </is>
      </c>
      <c r="N1" s="2" t="n"/>
      <c r="O1" s="10" t="inlineStr">
        <is>
          <t>Arkusz pomocniczy: zbiera wszystkie dni z arkuszy 1–31. Nie wpisuj tu nic.</t>
        </is>
      </c>
    </row>
    <row r="2">
      <c r="A2" s="62">
        <f>IF('1'!$C$1="","",'1'!$C$1)</f>
        <v/>
      </c>
      <c r="B2" s="63">
        <f>Ustawienia!$A$8&amp;""</f>
        <v/>
      </c>
      <c r="C2" s="63">
        <f>Ustawienia!$A$14&amp;""</f>
        <v/>
      </c>
      <c r="D2" s="63" t="n">
        <v>1</v>
      </c>
      <c r="E2" s="63">
        <f>IF('1'!B6="","",TRIM('1'!B6&amp;""))</f>
        <v/>
      </c>
      <c r="F2" s="63">
        <f>IF('1'!C6="","",'1'!C6)</f>
        <v/>
      </c>
      <c r="G2" s="63">
        <f>'1'!D6&amp;""</f>
        <v/>
      </c>
      <c r="H2" s="63">
        <f>IF(OR(A2="",F2=""),"",F2&amp;"|"&amp;A2)</f>
        <v/>
      </c>
      <c r="I2" s="63">
        <f>IF(AND(H2&lt;&gt;"",OR('Historia wózka'!$B$4="",F2='Historia wózka'!$B$4),A2&gt;='Historia wózka'!$B$5,A2&lt;='Historia wózka'!$B$6),A2+0.9+(5000-ROW())/10000000,0)</f>
        <v/>
      </c>
      <c r="J2" s="63">
        <f>Ustawienia!$B$8&amp;""</f>
        <v/>
      </c>
      <c r="K2" s="63">
        <f>IF(H2="","",COUNTIFS('Zgłoszenia'!$B$5:$B$504,F2,'Zgłoszenia'!$D$5:$D$504,"&gt;="&amp;A2,'Zgłoszenia'!$D$5:$D$504,"&lt;="&amp;(A2+1)))</f>
        <v/>
      </c>
      <c r="L2" s="63">
        <f>IF(OR(H2="",K2=0),"—",IF(ISNUMBER(MATCH(H2,'Zgłoszenia'!$S$5:$S$504,0)),RIGHT("0"&amp;DAY(A2),2)&amp;"."&amp;RIGHT("0"&amp;MONTH(A2),2)&amp;"."&amp;YEAR(A2)&amp;": "&amp;INDEX('Zgłoszenia'!$H$5:$H$504,MATCH(H2,'Zgłoszenia'!$S$5:$S$504,0)),RIGHT("0"&amp;DAY((A2+1)),2)&amp;"."&amp;RIGHT("0"&amp;MONTH((A2+1)),2)&amp;"."&amp;YEAR((A2+1))&amp;": "&amp;INDEX('Zgłoszenia'!$H$5:$H$504,MATCH(F2&amp;"|"&amp;(A2+1),'Zgłoszenia'!$S$5:$S$504,0)))&amp;IF(K2&gt;1," (+"&amp;(K2-1)&amp;")",""))</f>
        <v/>
      </c>
      <c r="M2" s="63" t="n">
        <v>1</v>
      </c>
      <c r="N2" s="2" t="n"/>
      <c r="O2" s="2" t="n"/>
    </row>
    <row r="3">
      <c r="A3" s="62">
        <f>IF('1'!$C$1="","",'1'!$C$1)</f>
        <v/>
      </c>
      <c r="B3" s="63">
        <f>Ustawienia!$A$8&amp;""</f>
        <v/>
      </c>
      <c r="C3" s="63">
        <f>Ustawienia!$A$14&amp;""</f>
        <v/>
      </c>
      <c r="D3" s="63" t="n">
        <v>2</v>
      </c>
      <c r="E3" s="63">
        <f>IF('1'!B7="","",TRIM('1'!B7&amp;""))</f>
        <v/>
      </c>
      <c r="F3" s="63">
        <f>IF('1'!C7="","",'1'!C7)</f>
        <v/>
      </c>
      <c r="G3" s="63">
        <f>'1'!D7&amp;""</f>
        <v/>
      </c>
      <c r="H3" s="63">
        <f>IF(OR(A3="",F3=""),"",F3&amp;"|"&amp;A3)</f>
        <v/>
      </c>
      <c r="I3" s="63">
        <f>IF(AND(H3&lt;&gt;"",OR('Historia wózka'!$B$4="",F3='Historia wózka'!$B$4),A3&gt;='Historia wózka'!$B$5,A3&lt;='Historia wózka'!$B$6),A3+0.9+(5000-ROW())/10000000,0)</f>
        <v/>
      </c>
      <c r="J3" s="63">
        <f>Ustawienia!$B$8&amp;""</f>
        <v/>
      </c>
      <c r="K3" s="63">
        <f>IF(H3="","",COUNTIFS('Zgłoszenia'!$B$5:$B$504,F3,'Zgłoszenia'!$D$5:$D$504,"&gt;="&amp;A3,'Zgłoszenia'!$D$5:$D$504,"&lt;="&amp;(A3+1)))</f>
        <v/>
      </c>
      <c r="L3" s="63">
        <f>IF(OR(H3="",K3=0),"—",IF(ISNUMBER(MATCH(H3,'Zgłoszenia'!$S$5:$S$504,0)),RIGHT("0"&amp;DAY(A3),2)&amp;"."&amp;RIGHT("0"&amp;MONTH(A3),2)&amp;"."&amp;YEAR(A3)&amp;": "&amp;INDEX('Zgłoszenia'!$H$5:$H$504,MATCH(H3,'Zgłoszenia'!$S$5:$S$504,0)),RIGHT("0"&amp;DAY((A3+1)),2)&amp;"."&amp;RIGHT("0"&amp;MONTH((A3+1)),2)&amp;"."&amp;YEAR((A3+1))&amp;": "&amp;INDEX('Zgłoszenia'!$H$5:$H$504,MATCH(F3&amp;"|"&amp;(A3+1),'Zgłoszenia'!$S$5:$S$504,0)))&amp;IF(K3&gt;1," (+"&amp;(K3-1)&amp;")",""))</f>
        <v/>
      </c>
      <c r="M3" s="63" t="n">
        <v>1</v>
      </c>
      <c r="N3" s="2" t="n"/>
      <c r="O3" s="2" t="n"/>
    </row>
    <row r="4">
      <c r="A4" s="62">
        <f>IF('1'!$C$1="","",'1'!$C$1)</f>
        <v/>
      </c>
      <c r="B4" s="63">
        <f>Ustawienia!$A$8&amp;""</f>
        <v/>
      </c>
      <c r="C4" s="63">
        <f>Ustawienia!$A$14&amp;""</f>
        <v/>
      </c>
      <c r="D4" s="63" t="n">
        <v>3</v>
      </c>
      <c r="E4" s="63">
        <f>IF('1'!B8="","",TRIM('1'!B8&amp;""))</f>
        <v/>
      </c>
      <c r="F4" s="63">
        <f>IF('1'!C8="","",'1'!C8)</f>
        <v/>
      </c>
      <c r="G4" s="63">
        <f>'1'!D8&amp;""</f>
        <v/>
      </c>
      <c r="H4" s="63">
        <f>IF(OR(A4="",F4=""),"",F4&amp;"|"&amp;A4)</f>
        <v/>
      </c>
      <c r="I4" s="63">
        <f>IF(AND(H4&lt;&gt;"",OR('Historia wózka'!$B$4="",F4='Historia wózka'!$B$4),A4&gt;='Historia wózka'!$B$5,A4&lt;='Historia wózka'!$B$6),A4+0.9+(5000-ROW())/10000000,0)</f>
        <v/>
      </c>
      <c r="J4" s="63">
        <f>Ustawienia!$B$8&amp;""</f>
        <v/>
      </c>
      <c r="K4" s="63">
        <f>IF(H4="","",COUNTIFS('Zgłoszenia'!$B$5:$B$504,F4,'Zgłoszenia'!$D$5:$D$504,"&gt;="&amp;A4,'Zgłoszenia'!$D$5:$D$504,"&lt;="&amp;(A4+1)))</f>
        <v/>
      </c>
      <c r="L4" s="63">
        <f>IF(OR(H4="",K4=0),"—",IF(ISNUMBER(MATCH(H4,'Zgłoszenia'!$S$5:$S$504,0)),RIGHT("0"&amp;DAY(A4),2)&amp;"."&amp;RIGHT("0"&amp;MONTH(A4),2)&amp;"."&amp;YEAR(A4)&amp;": "&amp;INDEX('Zgłoszenia'!$H$5:$H$504,MATCH(H4,'Zgłoszenia'!$S$5:$S$504,0)),RIGHT("0"&amp;DAY((A4+1)),2)&amp;"."&amp;RIGHT("0"&amp;MONTH((A4+1)),2)&amp;"."&amp;YEAR((A4+1))&amp;": "&amp;INDEX('Zgłoszenia'!$H$5:$H$504,MATCH(F4&amp;"|"&amp;(A4+1),'Zgłoszenia'!$S$5:$S$504,0)))&amp;IF(K4&gt;1," (+"&amp;(K4-1)&amp;")",""))</f>
        <v/>
      </c>
      <c r="M4" s="63" t="n">
        <v>1</v>
      </c>
      <c r="N4" s="2" t="n"/>
      <c r="O4" s="2" t="n"/>
    </row>
    <row r="5">
      <c r="A5" s="62">
        <f>IF('1'!$C$1="","",'1'!$C$1)</f>
        <v/>
      </c>
      <c r="B5" s="63">
        <f>Ustawienia!$A$8&amp;""</f>
        <v/>
      </c>
      <c r="C5" s="63">
        <f>Ustawienia!$A$14&amp;""</f>
        <v/>
      </c>
      <c r="D5" s="63" t="n">
        <v>4</v>
      </c>
      <c r="E5" s="63">
        <f>IF('1'!B9="","",TRIM('1'!B9&amp;""))</f>
        <v/>
      </c>
      <c r="F5" s="63">
        <f>IF('1'!C9="","",'1'!C9)</f>
        <v/>
      </c>
      <c r="G5" s="63">
        <f>'1'!D9&amp;""</f>
        <v/>
      </c>
      <c r="H5" s="63">
        <f>IF(OR(A5="",F5=""),"",F5&amp;"|"&amp;A5)</f>
        <v/>
      </c>
      <c r="I5" s="63">
        <f>IF(AND(H5&lt;&gt;"",OR('Historia wózka'!$B$4="",F5='Historia wózka'!$B$4),A5&gt;='Historia wózka'!$B$5,A5&lt;='Historia wózka'!$B$6),A5+0.9+(5000-ROW())/10000000,0)</f>
        <v/>
      </c>
      <c r="J5" s="63">
        <f>Ustawienia!$B$8&amp;""</f>
        <v/>
      </c>
      <c r="K5" s="63">
        <f>IF(H5="","",COUNTIFS('Zgłoszenia'!$B$5:$B$504,F5,'Zgłoszenia'!$D$5:$D$504,"&gt;="&amp;A5,'Zgłoszenia'!$D$5:$D$504,"&lt;="&amp;(A5+1)))</f>
        <v/>
      </c>
      <c r="L5" s="63">
        <f>IF(OR(H5="",K5=0),"—",IF(ISNUMBER(MATCH(H5,'Zgłoszenia'!$S$5:$S$504,0)),RIGHT("0"&amp;DAY(A5),2)&amp;"."&amp;RIGHT("0"&amp;MONTH(A5),2)&amp;"."&amp;YEAR(A5)&amp;": "&amp;INDEX('Zgłoszenia'!$H$5:$H$504,MATCH(H5,'Zgłoszenia'!$S$5:$S$504,0)),RIGHT("0"&amp;DAY((A5+1)),2)&amp;"."&amp;RIGHT("0"&amp;MONTH((A5+1)),2)&amp;"."&amp;YEAR((A5+1))&amp;": "&amp;INDEX('Zgłoszenia'!$H$5:$H$504,MATCH(F5&amp;"|"&amp;(A5+1),'Zgłoszenia'!$S$5:$S$504,0)))&amp;IF(K5&gt;1," (+"&amp;(K5-1)&amp;")",""))</f>
        <v/>
      </c>
      <c r="M5" s="63" t="n">
        <v>1</v>
      </c>
      <c r="N5" s="2" t="n"/>
      <c r="O5" s="2" t="n"/>
    </row>
    <row r="6">
      <c r="A6" s="62">
        <f>IF('1'!$C$1="","",'1'!$C$1)</f>
        <v/>
      </c>
      <c r="B6" s="63">
        <f>Ustawienia!$A$8&amp;""</f>
        <v/>
      </c>
      <c r="C6" s="63">
        <f>Ustawienia!$A$14&amp;""</f>
        <v/>
      </c>
      <c r="D6" s="63" t="n">
        <v>5</v>
      </c>
      <c r="E6" s="63">
        <f>IF('1'!B10="","",TRIM('1'!B10&amp;""))</f>
        <v/>
      </c>
      <c r="F6" s="63">
        <f>IF('1'!C10="","",'1'!C10)</f>
        <v/>
      </c>
      <c r="G6" s="63">
        <f>'1'!D10&amp;""</f>
        <v/>
      </c>
      <c r="H6" s="63">
        <f>IF(OR(A6="",F6=""),"",F6&amp;"|"&amp;A6)</f>
        <v/>
      </c>
      <c r="I6" s="63">
        <f>IF(AND(H6&lt;&gt;"",OR('Historia wózka'!$B$4="",F6='Historia wózka'!$B$4),A6&gt;='Historia wózka'!$B$5,A6&lt;='Historia wózka'!$B$6),A6+0.9+(5000-ROW())/10000000,0)</f>
        <v/>
      </c>
      <c r="J6" s="63">
        <f>Ustawienia!$B$8&amp;""</f>
        <v/>
      </c>
      <c r="K6" s="63">
        <f>IF(H6="","",COUNTIFS('Zgłoszenia'!$B$5:$B$504,F6,'Zgłoszenia'!$D$5:$D$504,"&gt;="&amp;A6,'Zgłoszenia'!$D$5:$D$504,"&lt;="&amp;(A6+1)))</f>
        <v/>
      </c>
      <c r="L6" s="63">
        <f>IF(OR(H6="",K6=0),"—",IF(ISNUMBER(MATCH(H6,'Zgłoszenia'!$S$5:$S$504,0)),RIGHT("0"&amp;DAY(A6),2)&amp;"."&amp;RIGHT("0"&amp;MONTH(A6),2)&amp;"."&amp;YEAR(A6)&amp;": "&amp;INDEX('Zgłoszenia'!$H$5:$H$504,MATCH(H6,'Zgłoszenia'!$S$5:$S$504,0)),RIGHT("0"&amp;DAY((A6+1)),2)&amp;"."&amp;RIGHT("0"&amp;MONTH((A6+1)),2)&amp;"."&amp;YEAR((A6+1))&amp;": "&amp;INDEX('Zgłoszenia'!$H$5:$H$504,MATCH(F6&amp;"|"&amp;(A6+1),'Zgłoszenia'!$S$5:$S$504,0)))&amp;IF(K6&gt;1," (+"&amp;(K6-1)&amp;")",""))</f>
        <v/>
      </c>
      <c r="M6" s="63" t="n">
        <v>1</v>
      </c>
      <c r="N6" s="2" t="n"/>
      <c r="O6" s="2" t="n"/>
    </row>
    <row r="7">
      <c r="A7" s="62">
        <f>IF('1'!$C$1="","",'1'!$C$1)</f>
        <v/>
      </c>
      <c r="B7" s="63">
        <f>Ustawienia!$A$8&amp;""</f>
        <v/>
      </c>
      <c r="C7" s="63">
        <f>Ustawienia!$A$14&amp;""</f>
        <v/>
      </c>
      <c r="D7" s="63" t="n">
        <v>6</v>
      </c>
      <c r="E7" s="63">
        <f>IF('1'!B11="","",TRIM('1'!B11&amp;""))</f>
        <v/>
      </c>
      <c r="F7" s="63">
        <f>IF('1'!C11="","",'1'!C11)</f>
        <v/>
      </c>
      <c r="G7" s="63">
        <f>'1'!D11&amp;""</f>
        <v/>
      </c>
      <c r="H7" s="63">
        <f>IF(OR(A7="",F7=""),"",F7&amp;"|"&amp;A7)</f>
        <v/>
      </c>
      <c r="I7" s="63">
        <f>IF(AND(H7&lt;&gt;"",OR('Historia wózka'!$B$4="",F7='Historia wózka'!$B$4),A7&gt;='Historia wózka'!$B$5,A7&lt;='Historia wózka'!$B$6),A7+0.9+(5000-ROW())/10000000,0)</f>
        <v/>
      </c>
      <c r="J7" s="63">
        <f>Ustawienia!$B$8&amp;""</f>
        <v/>
      </c>
      <c r="K7" s="63">
        <f>IF(H7="","",COUNTIFS('Zgłoszenia'!$B$5:$B$504,F7,'Zgłoszenia'!$D$5:$D$504,"&gt;="&amp;A7,'Zgłoszenia'!$D$5:$D$504,"&lt;="&amp;(A7+1)))</f>
        <v/>
      </c>
      <c r="L7" s="63">
        <f>IF(OR(H7="",K7=0),"—",IF(ISNUMBER(MATCH(H7,'Zgłoszenia'!$S$5:$S$504,0)),RIGHT("0"&amp;DAY(A7),2)&amp;"."&amp;RIGHT("0"&amp;MONTH(A7),2)&amp;"."&amp;YEAR(A7)&amp;": "&amp;INDEX('Zgłoszenia'!$H$5:$H$504,MATCH(H7,'Zgłoszenia'!$S$5:$S$504,0)),RIGHT("0"&amp;DAY((A7+1)),2)&amp;"."&amp;RIGHT("0"&amp;MONTH((A7+1)),2)&amp;"."&amp;YEAR((A7+1))&amp;": "&amp;INDEX('Zgłoszenia'!$H$5:$H$504,MATCH(F7&amp;"|"&amp;(A7+1),'Zgłoszenia'!$S$5:$S$504,0)))&amp;IF(K7&gt;1," (+"&amp;(K7-1)&amp;")",""))</f>
        <v/>
      </c>
      <c r="M7" s="63" t="n">
        <v>1</v>
      </c>
      <c r="N7" s="2" t="n"/>
      <c r="O7" s="2" t="n"/>
    </row>
    <row r="8">
      <c r="A8" s="62">
        <f>IF('1'!$C$1="","",'1'!$C$1)</f>
        <v/>
      </c>
      <c r="B8" s="63">
        <f>Ustawienia!$A$8&amp;""</f>
        <v/>
      </c>
      <c r="C8" s="63">
        <f>Ustawienia!$A$15&amp;""</f>
        <v/>
      </c>
      <c r="D8" s="63" t="n">
        <v>1</v>
      </c>
      <c r="E8" s="63">
        <f>IF('1'!B13="","",TRIM('1'!B13&amp;""))</f>
        <v/>
      </c>
      <c r="F8" s="63">
        <f>IF('1'!C13="","",'1'!C13)</f>
        <v/>
      </c>
      <c r="G8" s="63">
        <f>'1'!D13&amp;""</f>
        <v/>
      </c>
      <c r="H8" s="63">
        <f>IF(OR(A8="",F8=""),"",F8&amp;"|"&amp;A8)</f>
        <v/>
      </c>
      <c r="I8" s="63">
        <f>IF(AND(H8&lt;&gt;"",OR('Historia wózka'!$B$4="",F8='Historia wózka'!$B$4),A8&gt;='Historia wózka'!$B$5,A8&lt;='Historia wózka'!$B$6),A8+0.9+(5000-ROW())/10000000,0)</f>
        <v/>
      </c>
      <c r="J8" s="63">
        <f>Ustawienia!$B$8&amp;""</f>
        <v/>
      </c>
      <c r="K8" s="63">
        <f>IF(H8="","",COUNTIFS('Zgłoszenia'!$B$5:$B$504,F8,'Zgłoszenia'!$D$5:$D$504,"&gt;="&amp;A8,'Zgłoszenia'!$D$5:$D$504,"&lt;="&amp;(A8+1)))</f>
        <v/>
      </c>
      <c r="L8" s="63">
        <f>IF(OR(H8="",K8=0),"—",IF(ISNUMBER(MATCH(H8,'Zgłoszenia'!$S$5:$S$504,0)),RIGHT("0"&amp;DAY(A8),2)&amp;"."&amp;RIGHT("0"&amp;MONTH(A8),2)&amp;"."&amp;YEAR(A8)&amp;": "&amp;INDEX('Zgłoszenia'!$H$5:$H$504,MATCH(H8,'Zgłoszenia'!$S$5:$S$504,0)),RIGHT("0"&amp;DAY((A8+1)),2)&amp;"."&amp;RIGHT("0"&amp;MONTH((A8+1)),2)&amp;"."&amp;YEAR((A8+1))&amp;": "&amp;INDEX('Zgłoszenia'!$H$5:$H$504,MATCH(F8&amp;"|"&amp;(A8+1),'Zgłoszenia'!$S$5:$S$504,0)))&amp;IF(K8&gt;1," (+"&amp;(K8-1)&amp;")",""))</f>
        <v/>
      </c>
      <c r="M8" s="63" t="n">
        <v>1</v>
      </c>
      <c r="N8" s="2" t="n"/>
      <c r="O8" s="2" t="n"/>
    </row>
    <row r="9">
      <c r="A9" s="62">
        <f>IF('1'!$C$1="","",'1'!$C$1)</f>
        <v/>
      </c>
      <c r="B9" s="63">
        <f>Ustawienia!$A$8&amp;""</f>
        <v/>
      </c>
      <c r="C9" s="63">
        <f>Ustawienia!$A$15&amp;""</f>
        <v/>
      </c>
      <c r="D9" s="63" t="n">
        <v>2</v>
      </c>
      <c r="E9" s="63">
        <f>IF('1'!B14="","",TRIM('1'!B14&amp;""))</f>
        <v/>
      </c>
      <c r="F9" s="63">
        <f>IF('1'!C14="","",'1'!C14)</f>
        <v/>
      </c>
      <c r="G9" s="63">
        <f>'1'!D14&amp;""</f>
        <v/>
      </c>
      <c r="H9" s="63">
        <f>IF(OR(A9="",F9=""),"",F9&amp;"|"&amp;A9)</f>
        <v/>
      </c>
      <c r="I9" s="63">
        <f>IF(AND(H9&lt;&gt;"",OR('Historia wózka'!$B$4="",F9='Historia wózka'!$B$4),A9&gt;='Historia wózka'!$B$5,A9&lt;='Historia wózka'!$B$6),A9+0.9+(5000-ROW())/10000000,0)</f>
        <v/>
      </c>
      <c r="J9" s="63">
        <f>Ustawienia!$B$8&amp;""</f>
        <v/>
      </c>
      <c r="K9" s="63">
        <f>IF(H9="","",COUNTIFS('Zgłoszenia'!$B$5:$B$504,F9,'Zgłoszenia'!$D$5:$D$504,"&gt;="&amp;A9,'Zgłoszenia'!$D$5:$D$504,"&lt;="&amp;(A9+1)))</f>
        <v/>
      </c>
      <c r="L9" s="63">
        <f>IF(OR(H9="",K9=0),"—",IF(ISNUMBER(MATCH(H9,'Zgłoszenia'!$S$5:$S$504,0)),RIGHT("0"&amp;DAY(A9),2)&amp;"."&amp;RIGHT("0"&amp;MONTH(A9),2)&amp;"."&amp;YEAR(A9)&amp;": "&amp;INDEX('Zgłoszenia'!$H$5:$H$504,MATCH(H9,'Zgłoszenia'!$S$5:$S$504,0)),RIGHT("0"&amp;DAY((A9+1)),2)&amp;"."&amp;RIGHT("0"&amp;MONTH((A9+1)),2)&amp;"."&amp;YEAR((A9+1))&amp;": "&amp;INDEX('Zgłoszenia'!$H$5:$H$504,MATCH(F9&amp;"|"&amp;(A9+1),'Zgłoszenia'!$S$5:$S$504,0)))&amp;IF(K9&gt;1," (+"&amp;(K9-1)&amp;")",""))</f>
        <v/>
      </c>
      <c r="M9" s="63" t="n">
        <v>1</v>
      </c>
      <c r="N9" s="2" t="n"/>
      <c r="O9" s="2" t="n"/>
    </row>
    <row r="10">
      <c r="A10" s="62">
        <f>IF('1'!$C$1="","",'1'!$C$1)</f>
        <v/>
      </c>
      <c r="B10" s="63">
        <f>Ustawienia!$A$8&amp;""</f>
        <v/>
      </c>
      <c r="C10" s="63">
        <f>Ustawienia!$A$15&amp;""</f>
        <v/>
      </c>
      <c r="D10" s="63" t="n">
        <v>3</v>
      </c>
      <c r="E10" s="63">
        <f>IF('1'!B15="","",TRIM('1'!B15&amp;""))</f>
        <v/>
      </c>
      <c r="F10" s="63">
        <f>IF('1'!C15="","",'1'!C15)</f>
        <v/>
      </c>
      <c r="G10" s="63">
        <f>'1'!D15&amp;""</f>
        <v/>
      </c>
      <c r="H10" s="63">
        <f>IF(OR(A10="",F10=""),"",F10&amp;"|"&amp;A10)</f>
        <v/>
      </c>
      <c r="I10" s="63">
        <f>IF(AND(H10&lt;&gt;"",OR('Historia wózka'!$B$4="",F10='Historia wózka'!$B$4),A10&gt;='Historia wózka'!$B$5,A10&lt;='Historia wózka'!$B$6),A10+0.9+(5000-ROW())/10000000,0)</f>
        <v/>
      </c>
      <c r="J10" s="63">
        <f>Ustawienia!$B$8&amp;""</f>
        <v/>
      </c>
      <c r="K10" s="63">
        <f>IF(H10="","",COUNTIFS('Zgłoszenia'!$B$5:$B$504,F10,'Zgłoszenia'!$D$5:$D$504,"&gt;="&amp;A10,'Zgłoszenia'!$D$5:$D$504,"&lt;="&amp;(A10+1)))</f>
        <v/>
      </c>
      <c r="L10" s="63">
        <f>IF(OR(H10="",K10=0),"—",IF(ISNUMBER(MATCH(H10,'Zgłoszenia'!$S$5:$S$504,0)),RIGHT("0"&amp;DAY(A10),2)&amp;"."&amp;RIGHT("0"&amp;MONTH(A10),2)&amp;"."&amp;YEAR(A10)&amp;": "&amp;INDEX('Zgłoszenia'!$H$5:$H$504,MATCH(H10,'Zgłoszenia'!$S$5:$S$504,0)),RIGHT("0"&amp;DAY((A10+1)),2)&amp;"."&amp;RIGHT("0"&amp;MONTH((A10+1)),2)&amp;"."&amp;YEAR((A10+1))&amp;": "&amp;INDEX('Zgłoszenia'!$H$5:$H$504,MATCH(F10&amp;"|"&amp;(A10+1),'Zgłoszenia'!$S$5:$S$504,0)))&amp;IF(K10&gt;1," (+"&amp;(K10-1)&amp;")",""))</f>
        <v/>
      </c>
      <c r="M10" s="63" t="n">
        <v>1</v>
      </c>
      <c r="N10" s="2" t="n"/>
      <c r="O10" s="2" t="n"/>
    </row>
    <row r="11">
      <c r="A11" s="62">
        <f>IF('1'!$C$1="","",'1'!$C$1)</f>
        <v/>
      </c>
      <c r="B11" s="63">
        <f>Ustawienia!$A$8&amp;""</f>
        <v/>
      </c>
      <c r="C11" s="63">
        <f>Ustawienia!$A$15&amp;""</f>
        <v/>
      </c>
      <c r="D11" s="63" t="n">
        <v>4</v>
      </c>
      <c r="E11" s="63">
        <f>IF('1'!B16="","",TRIM('1'!B16&amp;""))</f>
        <v/>
      </c>
      <c r="F11" s="63">
        <f>IF('1'!C16="","",'1'!C16)</f>
        <v/>
      </c>
      <c r="G11" s="63">
        <f>'1'!D16&amp;""</f>
        <v/>
      </c>
      <c r="H11" s="63">
        <f>IF(OR(A11="",F11=""),"",F11&amp;"|"&amp;A11)</f>
        <v/>
      </c>
      <c r="I11" s="63">
        <f>IF(AND(H11&lt;&gt;"",OR('Historia wózka'!$B$4="",F11='Historia wózka'!$B$4),A11&gt;='Historia wózka'!$B$5,A11&lt;='Historia wózka'!$B$6),A11+0.9+(5000-ROW())/10000000,0)</f>
        <v/>
      </c>
      <c r="J11" s="63">
        <f>Ustawienia!$B$8&amp;""</f>
        <v/>
      </c>
      <c r="K11" s="63">
        <f>IF(H11="","",COUNTIFS('Zgłoszenia'!$B$5:$B$504,F11,'Zgłoszenia'!$D$5:$D$504,"&gt;="&amp;A11,'Zgłoszenia'!$D$5:$D$504,"&lt;="&amp;(A11+1)))</f>
        <v/>
      </c>
      <c r="L11" s="63">
        <f>IF(OR(H11="",K11=0),"—",IF(ISNUMBER(MATCH(H11,'Zgłoszenia'!$S$5:$S$504,0)),RIGHT("0"&amp;DAY(A11),2)&amp;"."&amp;RIGHT("0"&amp;MONTH(A11),2)&amp;"."&amp;YEAR(A11)&amp;": "&amp;INDEX('Zgłoszenia'!$H$5:$H$504,MATCH(H11,'Zgłoszenia'!$S$5:$S$504,0)),RIGHT("0"&amp;DAY((A11+1)),2)&amp;"."&amp;RIGHT("0"&amp;MONTH((A11+1)),2)&amp;"."&amp;YEAR((A11+1))&amp;": "&amp;INDEX('Zgłoszenia'!$H$5:$H$504,MATCH(F11&amp;"|"&amp;(A11+1),'Zgłoszenia'!$S$5:$S$504,0)))&amp;IF(K11&gt;1," (+"&amp;(K11-1)&amp;")",""))</f>
        <v/>
      </c>
      <c r="M11" s="63" t="n">
        <v>1</v>
      </c>
      <c r="N11" s="2" t="n"/>
      <c r="O11" s="2" t="n"/>
    </row>
    <row r="12">
      <c r="A12" s="62">
        <f>IF('1'!$C$1="","",'1'!$C$1)</f>
        <v/>
      </c>
      <c r="B12" s="63">
        <f>Ustawienia!$A$8&amp;""</f>
        <v/>
      </c>
      <c r="C12" s="63">
        <f>Ustawienia!$A$15&amp;""</f>
        <v/>
      </c>
      <c r="D12" s="63" t="n">
        <v>5</v>
      </c>
      <c r="E12" s="63">
        <f>IF('1'!B17="","",TRIM('1'!B17&amp;""))</f>
        <v/>
      </c>
      <c r="F12" s="63">
        <f>IF('1'!C17="","",'1'!C17)</f>
        <v/>
      </c>
      <c r="G12" s="63">
        <f>'1'!D17&amp;""</f>
        <v/>
      </c>
      <c r="H12" s="63">
        <f>IF(OR(A12="",F12=""),"",F12&amp;"|"&amp;A12)</f>
        <v/>
      </c>
      <c r="I12" s="63">
        <f>IF(AND(H12&lt;&gt;"",OR('Historia wózka'!$B$4="",F12='Historia wózka'!$B$4),A12&gt;='Historia wózka'!$B$5,A12&lt;='Historia wózka'!$B$6),A12+0.9+(5000-ROW())/10000000,0)</f>
        <v/>
      </c>
      <c r="J12" s="63">
        <f>Ustawienia!$B$8&amp;""</f>
        <v/>
      </c>
      <c r="K12" s="63">
        <f>IF(H12="","",COUNTIFS('Zgłoszenia'!$B$5:$B$504,F12,'Zgłoszenia'!$D$5:$D$504,"&gt;="&amp;A12,'Zgłoszenia'!$D$5:$D$504,"&lt;="&amp;(A12+1)))</f>
        <v/>
      </c>
      <c r="L12" s="63">
        <f>IF(OR(H12="",K12=0),"—",IF(ISNUMBER(MATCH(H12,'Zgłoszenia'!$S$5:$S$504,0)),RIGHT("0"&amp;DAY(A12),2)&amp;"."&amp;RIGHT("0"&amp;MONTH(A12),2)&amp;"."&amp;YEAR(A12)&amp;": "&amp;INDEX('Zgłoszenia'!$H$5:$H$504,MATCH(H12,'Zgłoszenia'!$S$5:$S$504,0)),RIGHT("0"&amp;DAY((A12+1)),2)&amp;"."&amp;RIGHT("0"&amp;MONTH((A12+1)),2)&amp;"."&amp;YEAR((A12+1))&amp;": "&amp;INDEX('Zgłoszenia'!$H$5:$H$504,MATCH(F12&amp;"|"&amp;(A12+1),'Zgłoszenia'!$S$5:$S$504,0)))&amp;IF(K12&gt;1," (+"&amp;(K12-1)&amp;")",""))</f>
        <v/>
      </c>
      <c r="M12" s="63" t="n">
        <v>1</v>
      </c>
      <c r="N12" s="2" t="n"/>
      <c r="O12" s="2" t="n"/>
    </row>
    <row r="13">
      <c r="A13" s="62">
        <f>IF('1'!$C$1="","",'1'!$C$1)</f>
        <v/>
      </c>
      <c r="B13" s="63">
        <f>Ustawienia!$A$8&amp;""</f>
        <v/>
      </c>
      <c r="C13" s="63">
        <f>Ustawienia!$A$15&amp;""</f>
        <v/>
      </c>
      <c r="D13" s="63" t="n">
        <v>6</v>
      </c>
      <c r="E13" s="63">
        <f>IF('1'!B18="","",TRIM('1'!B18&amp;""))</f>
        <v/>
      </c>
      <c r="F13" s="63">
        <f>IF('1'!C18="","",'1'!C18)</f>
        <v/>
      </c>
      <c r="G13" s="63">
        <f>'1'!D18&amp;""</f>
        <v/>
      </c>
      <c r="H13" s="63">
        <f>IF(OR(A13="",F13=""),"",F13&amp;"|"&amp;A13)</f>
        <v/>
      </c>
      <c r="I13" s="63">
        <f>IF(AND(H13&lt;&gt;"",OR('Historia wózka'!$B$4="",F13='Historia wózka'!$B$4),A13&gt;='Historia wózka'!$B$5,A13&lt;='Historia wózka'!$B$6),A13+0.9+(5000-ROW())/10000000,0)</f>
        <v/>
      </c>
      <c r="J13" s="63">
        <f>Ustawienia!$B$8&amp;""</f>
        <v/>
      </c>
      <c r="K13" s="63">
        <f>IF(H13="","",COUNTIFS('Zgłoszenia'!$B$5:$B$504,F13,'Zgłoszenia'!$D$5:$D$504,"&gt;="&amp;A13,'Zgłoszenia'!$D$5:$D$504,"&lt;="&amp;(A13+1)))</f>
        <v/>
      </c>
      <c r="L13" s="63">
        <f>IF(OR(H13="",K13=0),"—",IF(ISNUMBER(MATCH(H13,'Zgłoszenia'!$S$5:$S$504,0)),RIGHT("0"&amp;DAY(A13),2)&amp;"."&amp;RIGHT("0"&amp;MONTH(A13),2)&amp;"."&amp;YEAR(A13)&amp;": "&amp;INDEX('Zgłoszenia'!$H$5:$H$504,MATCH(H13,'Zgłoszenia'!$S$5:$S$504,0)),RIGHT("0"&amp;DAY((A13+1)),2)&amp;"."&amp;RIGHT("0"&amp;MONTH((A13+1)),2)&amp;"."&amp;YEAR((A13+1))&amp;": "&amp;INDEX('Zgłoszenia'!$H$5:$H$504,MATCH(F13&amp;"|"&amp;(A13+1),'Zgłoszenia'!$S$5:$S$504,0)))&amp;IF(K13&gt;1," (+"&amp;(K13-1)&amp;")",""))</f>
        <v/>
      </c>
      <c r="M13" s="63" t="n">
        <v>1</v>
      </c>
      <c r="N13" s="2" t="n"/>
      <c r="O13" s="2" t="n"/>
    </row>
    <row r="14">
      <c r="A14" s="62">
        <f>IF('1'!$C$1="","",'1'!$C$1)</f>
        <v/>
      </c>
      <c r="B14" s="63">
        <f>Ustawienia!$A$8&amp;""</f>
        <v/>
      </c>
      <c r="C14" s="63">
        <f>Ustawienia!$A$15&amp;""</f>
        <v/>
      </c>
      <c r="D14" s="63" t="n">
        <v>7</v>
      </c>
      <c r="E14" s="63">
        <f>IF('1'!B19="","",TRIM('1'!B19&amp;""))</f>
        <v/>
      </c>
      <c r="F14" s="63">
        <f>IF('1'!C19="","",'1'!C19)</f>
        <v/>
      </c>
      <c r="G14" s="63">
        <f>'1'!D19&amp;""</f>
        <v/>
      </c>
      <c r="H14" s="63">
        <f>IF(OR(A14="",F14=""),"",F14&amp;"|"&amp;A14)</f>
        <v/>
      </c>
      <c r="I14" s="63">
        <f>IF(AND(H14&lt;&gt;"",OR('Historia wózka'!$B$4="",F14='Historia wózka'!$B$4),A14&gt;='Historia wózka'!$B$5,A14&lt;='Historia wózka'!$B$6),A14+0.9+(5000-ROW())/10000000,0)</f>
        <v/>
      </c>
      <c r="J14" s="63">
        <f>Ustawienia!$B$8&amp;""</f>
        <v/>
      </c>
      <c r="K14" s="63">
        <f>IF(H14="","",COUNTIFS('Zgłoszenia'!$B$5:$B$504,F14,'Zgłoszenia'!$D$5:$D$504,"&gt;="&amp;A14,'Zgłoszenia'!$D$5:$D$504,"&lt;="&amp;(A14+1)))</f>
        <v/>
      </c>
      <c r="L14" s="63">
        <f>IF(OR(H14="",K14=0),"—",IF(ISNUMBER(MATCH(H14,'Zgłoszenia'!$S$5:$S$504,0)),RIGHT("0"&amp;DAY(A14),2)&amp;"."&amp;RIGHT("0"&amp;MONTH(A14),2)&amp;"."&amp;YEAR(A14)&amp;": "&amp;INDEX('Zgłoszenia'!$H$5:$H$504,MATCH(H14,'Zgłoszenia'!$S$5:$S$504,0)),RIGHT("0"&amp;DAY((A14+1)),2)&amp;"."&amp;RIGHT("0"&amp;MONTH((A14+1)),2)&amp;"."&amp;YEAR((A14+1))&amp;": "&amp;INDEX('Zgłoszenia'!$H$5:$H$504,MATCH(F14&amp;"|"&amp;(A14+1),'Zgłoszenia'!$S$5:$S$504,0)))&amp;IF(K14&gt;1," (+"&amp;(K14-1)&amp;")",""))</f>
        <v/>
      </c>
      <c r="M14" s="63" t="n">
        <v>1</v>
      </c>
      <c r="N14" s="2" t="n"/>
      <c r="O14" s="2" t="n"/>
    </row>
    <row r="15">
      <c r="A15" s="62">
        <f>IF('1'!$C$1="","",'1'!$C$1)</f>
        <v/>
      </c>
      <c r="B15" s="63">
        <f>Ustawienia!$A$8&amp;""</f>
        <v/>
      </c>
      <c r="C15" s="63">
        <f>Ustawienia!$A$15&amp;""</f>
        <v/>
      </c>
      <c r="D15" s="63" t="n">
        <v>8</v>
      </c>
      <c r="E15" s="63">
        <f>IF('1'!B20="","",TRIM('1'!B20&amp;""))</f>
        <v/>
      </c>
      <c r="F15" s="63">
        <f>IF('1'!C20="","",'1'!C20)</f>
        <v/>
      </c>
      <c r="G15" s="63">
        <f>'1'!D20&amp;""</f>
        <v/>
      </c>
      <c r="H15" s="63">
        <f>IF(OR(A15="",F15=""),"",F15&amp;"|"&amp;A15)</f>
        <v/>
      </c>
      <c r="I15" s="63">
        <f>IF(AND(H15&lt;&gt;"",OR('Historia wózka'!$B$4="",F15='Historia wózka'!$B$4),A15&gt;='Historia wózka'!$B$5,A15&lt;='Historia wózka'!$B$6),A15+0.9+(5000-ROW())/10000000,0)</f>
        <v/>
      </c>
      <c r="J15" s="63">
        <f>Ustawienia!$B$8&amp;""</f>
        <v/>
      </c>
      <c r="K15" s="63">
        <f>IF(H15="","",COUNTIFS('Zgłoszenia'!$B$5:$B$504,F15,'Zgłoszenia'!$D$5:$D$504,"&gt;="&amp;A15,'Zgłoszenia'!$D$5:$D$504,"&lt;="&amp;(A15+1)))</f>
        <v/>
      </c>
      <c r="L15" s="63">
        <f>IF(OR(H15="",K15=0),"—",IF(ISNUMBER(MATCH(H15,'Zgłoszenia'!$S$5:$S$504,0)),RIGHT("0"&amp;DAY(A15),2)&amp;"."&amp;RIGHT("0"&amp;MONTH(A15),2)&amp;"."&amp;YEAR(A15)&amp;": "&amp;INDEX('Zgłoszenia'!$H$5:$H$504,MATCH(H15,'Zgłoszenia'!$S$5:$S$504,0)),RIGHT("0"&amp;DAY((A15+1)),2)&amp;"."&amp;RIGHT("0"&amp;MONTH((A15+1)),2)&amp;"."&amp;YEAR((A15+1))&amp;": "&amp;INDEX('Zgłoszenia'!$H$5:$H$504,MATCH(F15&amp;"|"&amp;(A15+1),'Zgłoszenia'!$S$5:$S$504,0)))&amp;IF(K15&gt;1," (+"&amp;(K15-1)&amp;")",""))</f>
        <v/>
      </c>
      <c r="M15" s="63" t="n">
        <v>1</v>
      </c>
      <c r="N15" s="2" t="n"/>
      <c r="O15" s="2" t="n"/>
    </row>
    <row r="16">
      <c r="A16" s="62">
        <f>IF('1'!$C$1="","",'1'!$C$1)</f>
        <v/>
      </c>
      <c r="B16" s="63">
        <f>Ustawienia!$A$8&amp;""</f>
        <v/>
      </c>
      <c r="C16" s="63">
        <f>Ustawienia!$A$16&amp;""</f>
        <v/>
      </c>
      <c r="D16" s="63" t="n">
        <v>1</v>
      </c>
      <c r="E16" s="63">
        <f>IF('1'!B22="","",TRIM('1'!B22&amp;""))</f>
        <v/>
      </c>
      <c r="F16" s="63">
        <f>IF('1'!C22="","",'1'!C22)</f>
        <v/>
      </c>
      <c r="G16" s="63">
        <f>'1'!D22&amp;""</f>
        <v/>
      </c>
      <c r="H16" s="63">
        <f>IF(OR(A16="",F16=""),"",F16&amp;"|"&amp;A16)</f>
        <v/>
      </c>
      <c r="I16" s="63">
        <f>IF(AND(H16&lt;&gt;"",OR('Historia wózka'!$B$4="",F16='Historia wózka'!$B$4),A16&gt;='Historia wózka'!$B$5,A16&lt;='Historia wózka'!$B$6),A16+0.9+(5000-ROW())/10000000,0)</f>
        <v/>
      </c>
      <c r="J16" s="63">
        <f>Ustawienia!$B$8&amp;""</f>
        <v/>
      </c>
      <c r="K16" s="63">
        <f>IF(H16="","",COUNTIFS('Zgłoszenia'!$B$5:$B$504,F16,'Zgłoszenia'!$D$5:$D$504,"&gt;="&amp;A16,'Zgłoszenia'!$D$5:$D$504,"&lt;="&amp;(A16+1)))</f>
        <v/>
      </c>
      <c r="L16" s="63">
        <f>IF(OR(H16="",K16=0),"—",IF(ISNUMBER(MATCH(H16,'Zgłoszenia'!$S$5:$S$504,0)),RIGHT("0"&amp;DAY(A16),2)&amp;"."&amp;RIGHT("0"&amp;MONTH(A16),2)&amp;"."&amp;YEAR(A16)&amp;": "&amp;INDEX('Zgłoszenia'!$H$5:$H$504,MATCH(H16,'Zgłoszenia'!$S$5:$S$504,0)),RIGHT("0"&amp;DAY((A16+1)),2)&amp;"."&amp;RIGHT("0"&amp;MONTH((A16+1)),2)&amp;"."&amp;YEAR((A16+1))&amp;": "&amp;INDEX('Zgłoszenia'!$H$5:$H$504,MATCH(F16&amp;"|"&amp;(A16+1),'Zgłoszenia'!$S$5:$S$504,0)))&amp;IF(K16&gt;1," (+"&amp;(K16-1)&amp;")",""))</f>
        <v/>
      </c>
      <c r="M16" s="63" t="n">
        <v>1</v>
      </c>
      <c r="N16" s="2" t="n"/>
      <c r="O16" s="2" t="n"/>
    </row>
    <row r="17">
      <c r="A17" s="62">
        <f>IF('1'!$C$1="","",'1'!$C$1)</f>
        <v/>
      </c>
      <c r="B17" s="63">
        <f>Ustawienia!$A$8&amp;""</f>
        <v/>
      </c>
      <c r="C17" s="63">
        <f>Ustawienia!$A$16&amp;""</f>
        <v/>
      </c>
      <c r="D17" s="63" t="n">
        <v>2</v>
      </c>
      <c r="E17" s="63">
        <f>IF('1'!B23="","",TRIM('1'!B23&amp;""))</f>
        <v/>
      </c>
      <c r="F17" s="63">
        <f>IF('1'!C23="","",'1'!C23)</f>
        <v/>
      </c>
      <c r="G17" s="63">
        <f>'1'!D23&amp;""</f>
        <v/>
      </c>
      <c r="H17" s="63">
        <f>IF(OR(A17="",F17=""),"",F17&amp;"|"&amp;A17)</f>
        <v/>
      </c>
      <c r="I17" s="63">
        <f>IF(AND(H17&lt;&gt;"",OR('Historia wózka'!$B$4="",F17='Historia wózka'!$B$4),A17&gt;='Historia wózka'!$B$5,A17&lt;='Historia wózka'!$B$6),A17+0.9+(5000-ROW())/10000000,0)</f>
        <v/>
      </c>
      <c r="J17" s="63">
        <f>Ustawienia!$B$8&amp;""</f>
        <v/>
      </c>
      <c r="K17" s="63">
        <f>IF(H17="","",COUNTIFS('Zgłoszenia'!$B$5:$B$504,F17,'Zgłoszenia'!$D$5:$D$504,"&gt;="&amp;A17,'Zgłoszenia'!$D$5:$D$504,"&lt;="&amp;(A17+1)))</f>
        <v/>
      </c>
      <c r="L17" s="63">
        <f>IF(OR(H17="",K17=0),"—",IF(ISNUMBER(MATCH(H17,'Zgłoszenia'!$S$5:$S$504,0)),RIGHT("0"&amp;DAY(A17),2)&amp;"."&amp;RIGHT("0"&amp;MONTH(A17),2)&amp;"."&amp;YEAR(A17)&amp;": "&amp;INDEX('Zgłoszenia'!$H$5:$H$504,MATCH(H17,'Zgłoszenia'!$S$5:$S$504,0)),RIGHT("0"&amp;DAY((A17+1)),2)&amp;"."&amp;RIGHT("0"&amp;MONTH((A17+1)),2)&amp;"."&amp;YEAR((A17+1))&amp;": "&amp;INDEX('Zgłoszenia'!$H$5:$H$504,MATCH(F17&amp;"|"&amp;(A17+1),'Zgłoszenia'!$S$5:$S$504,0)))&amp;IF(K17&gt;1," (+"&amp;(K17-1)&amp;")",""))</f>
        <v/>
      </c>
      <c r="M17" s="63" t="n">
        <v>1</v>
      </c>
      <c r="N17" s="2" t="n"/>
      <c r="O17" s="2" t="n"/>
    </row>
    <row r="18">
      <c r="A18" s="62">
        <f>IF('1'!$C$1="","",'1'!$C$1)</f>
        <v/>
      </c>
      <c r="B18" s="63">
        <f>Ustawienia!$A$8&amp;""</f>
        <v/>
      </c>
      <c r="C18" s="63">
        <f>Ustawienia!$A$16&amp;""</f>
        <v/>
      </c>
      <c r="D18" s="63" t="n">
        <v>3</v>
      </c>
      <c r="E18" s="63">
        <f>IF('1'!B24="","",TRIM('1'!B24&amp;""))</f>
        <v/>
      </c>
      <c r="F18" s="63">
        <f>IF('1'!C24="","",'1'!C24)</f>
        <v/>
      </c>
      <c r="G18" s="63">
        <f>'1'!D24&amp;""</f>
        <v/>
      </c>
      <c r="H18" s="63">
        <f>IF(OR(A18="",F18=""),"",F18&amp;"|"&amp;A18)</f>
        <v/>
      </c>
      <c r="I18" s="63">
        <f>IF(AND(H18&lt;&gt;"",OR('Historia wózka'!$B$4="",F18='Historia wózka'!$B$4),A18&gt;='Historia wózka'!$B$5,A18&lt;='Historia wózka'!$B$6),A18+0.9+(5000-ROW())/10000000,0)</f>
        <v/>
      </c>
      <c r="J18" s="63">
        <f>Ustawienia!$B$8&amp;""</f>
        <v/>
      </c>
      <c r="K18" s="63">
        <f>IF(H18="","",COUNTIFS('Zgłoszenia'!$B$5:$B$504,F18,'Zgłoszenia'!$D$5:$D$504,"&gt;="&amp;A18,'Zgłoszenia'!$D$5:$D$504,"&lt;="&amp;(A18+1)))</f>
        <v/>
      </c>
      <c r="L18" s="63">
        <f>IF(OR(H18="",K18=0),"—",IF(ISNUMBER(MATCH(H18,'Zgłoszenia'!$S$5:$S$504,0)),RIGHT("0"&amp;DAY(A18),2)&amp;"."&amp;RIGHT("0"&amp;MONTH(A18),2)&amp;"."&amp;YEAR(A18)&amp;": "&amp;INDEX('Zgłoszenia'!$H$5:$H$504,MATCH(H18,'Zgłoszenia'!$S$5:$S$504,0)),RIGHT("0"&amp;DAY((A18+1)),2)&amp;"."&amp;RIGHT("0"&amp;MONTH((A18+1)),2)&amp;"."&amp;YEAR((A18+1))&amp;": "&amp;INDEX('Zgłoszenia'!$H$5:$H$504,MATCH(F18&amp;"|"&amp;(A18+1),'Zgłoszenia'!$S$5:$S$504,0)))&amp;IF(K18&gt;1," (+"&amp;(K18-1)&amp;")",""))</f>
        <v/>
      </c>
      <c r="M18" s="63" t="n">
        <v>1</v>
      </c>
      <c r="N18" s="2" t="n"/>
      <c r="O18" s="2" t="n"/>
    </row>
    <row r="19">
      <c r="A19" s="62">
        <f>IF('1'!$C$1="","",'1'!$C$1)</f>
        <v/>
      </c>
      <c r="B19" s="63">
        <f>Ustawienia!$A$8&amp;""</f>
        <v/>
      </c>
      <c r="C19" s="63">
        <f>Ustawienia!$A$16&amp;""</f>
        <v/>
      </c>
      <c r="D19" s="63" t="n">
        <v>4</v>
      </c>
      <c r="E19" s="63">
        <f>IF('1'!B25="","",TRIM('1'!B25&amp;""))</f>
        <v/>
      </c>
      <c r="F19" s="63">
        <f>IF('1'!C25="","",'1'!C25)</f>
        <v/>
      </c>
      <c r="G19" s="63">
        <f>'1'!D25&amp;""</f>
        <v/>
      </c>
      <c r="H19" s="63">
        <f>IF(OR(A19="",F19=""),"",F19&amp;"|"&amp;A19)</f>
        <v/>
      </c>
      <c r="I19" s="63">
        <f>IF(AND(H19&lt;&gt;"",OR('Historia wózka'!$B$4="",F19='Historia wózka'!$B$4),A19&gt;='Historia wózka'!$B$5,A19&lt;='Historia wózka'!$B$6),A19+0.9+(5000-ROW())/10000000,0)</f>
        <v/>
      </c>
      <c r="J19" s="63">
        <f>Ustawienia!$B$8&amp;""</f>
        <v/>
      </c>
      <c r="K19" s="63">
        <f>IF(H19="","",COUNTIFS('Zgłoszenia'!$B$5:$B$504,F19,'Zgłoszenia'!$D$5:$D$504,"&gt;="&amp;A19,'Zgłoszenia'!$D$5:$D$504,"&lt;="&amp;(A19+1)))</f>
        <v/>
      </c>
      <c r="L19" s="63">
        <f>IF(OR(H19="",K19=0),"—",IF(ISNUMBER(MATCH(H19,'Zgłoszenia'!$S$5:$S$504,0)),RIGHT("0"&amp;DAY(A19),2)&amp;"."&amp;RIGHT("0"&amp;MONTH(A19),2)&amp;"."&amp;YEAR(A19)&amp;": "&amp;INDEX('Zgłoszenia'!$H$5:$H$504,MATCH(H19,'Zgłoszenia'!$S$5:$S$504,0)),RIGHT("0"&amp;DAY((A19+1)),2)&amp;"."&amp;RIGHT("0"&amp;MONTH((A19+1)),2)&amp;"."&amp;YEAR((A19+1))&amp;": "&amp;INDEX('Zgłoszenia'!$H$5:$H$504,MATCH(F19&amp;"|"&amp;(A19+1),'Zgłoszenia'!$S$5:$S$504,0)))&amp;IF(K19&gt;1," (+"&amp;(K19-1)&amp;")",""))</f>
        <v/>
      </c>
      <c r="M19" s="63" t="n">
        <v>1</v>
      </c>
      <c r="N19" s="2" t="n"/>
      <c r="O19" s="2" t="n"/>
    </row>
    <row r="20">
      <c r="A20" s="62">
        <f>IF('1'!$C$1="","",'1'!$C$1)</f>
        <v/>
      </c>
      <c r="B20" s="63">
        <f>Ustawienia!$A$8&amp;""</f>
        <v/>
      </c>
      <c r="C20" s="63">
        <f>Ustawienia!$A$17&amp;""</f>
        <v/>
      </c>
      <c r="D20" s="63" t="n">
        <v>1</v>
      </c>
      <c r="E20" s="63">
        <f>IF('1'!B27="","",TRIM('1'!B27&amp;""))</f>
        <v/>
      </c>
      <c r="F20" s="63">
        <f>IF('1'!C27="","",'1'!C27)</f>
        <v/>
      </c>
      <c r="G20" s="63">
        <f>'1'!D27&amp;""</f>
        <v/>
      </c>
      <c r="H20" s="63">
        <f>IF(OR(A20="",F20=""),"",F20&amp;"|"&amp;A20)</f>
        <v/>
      </c>
      <c r="I20" s="63">
        <f>IF(AND(H20&lt;&gt;"",OR('Historia wózka'!$B$4="",F20='Historia wózka'!$B$4),A20&gt;='Historia wózka'!$B$5,A20&lt;='Historia wózka'!$B$6),A20+0.9+(5000-ROW())/10000000,0)</f>
        <v/>
      </c>
      <c r="J20" s="63">
        <f>Ustawienia!$B$8&amp;""</f>
        <v/>
      </c>
      <c r="K20" s="63">
        <f>IF(H20="","",COUNTIFS('Zgłoszenia'!$B$5:$B$504,F20,'Zgłoszenia'!$D$5:$D$504,"&gt;="&amp;A20,'Zgłoszenia'!$D$5:$D$504,"&lt;="&amp;(A20+1)))</f>
        <v/>
      </c>
      <c r="L20" s="63">
        <f>IF(OR(H20="",K20=0),"—",IF(ISNUMBER(MATCH(H20,'Zgłoszenia'!$S$5:$S$504,0)),RIGHT("0"&amp;DAY(A20),2)&amp;"."&amp;RIGHT("0"&amp;MONTH(A20),2)&amp;"."&amp;YEAR(A20)&amp;": "&amp;INDEX('Zgłoszenia'!$H$5:$H$504,MATCH(H20,'Zgłoszenia'!$S$5:$S$504,0)),RIGHT("0"&amp;DAY((A20+1)),2)&amp;"."&amp;RIGHT("0"&amp;MONTH((A20+1)),2)&amp;"."&amp;YEAR((A20+1))&amp;": "&amp;INDEX('Zgłoszenia'!$H$5:$H$504,MATCH(F20&amp;"|"&amp;(A20+1),'Zgłoszenia'!$S$5:$S$504,0)))&amp;IF(K20&gt;1," (+"&amp;(K20-1)&amp;")",""))</f>
        <v/>
      </c>
      <c r="M20" s="63" t="n">
        <v>1</v>
      </c>
      <c r="N20" s="2" t="n"/>
      <c r="O20" s="2" t="n"/>
    </row>
    <row r="21">
      <c r="A21" s="62">
        <f>IF('1'!$C$1="","",'1'!$C$1)</f>
        <v/>
      </c>
      <c r="B21" s="63">
        <f>Ustawienia!$A$8&amp;""</f>
        <v/>
      </c>
      <c r="C21" s="63">
        <f>Ustawienia!$A$17&amp;""</f>
        <v/>
      </c>
      <c r="D21" s="63" t="n">
        <v>2</v>
      </c>
      <c r="E21" s="63">
        <f>IF('1'!B28="","",TRIM('1'!B28&amp;""))</f>
        <v/>
      </c>
      <c r="F21" s="63">
        <f>IF('1'!C28="","",'1'!C28)</f>
        <v/>
      </c>
      <c r="G21" s="63">
        <f>'1'!D28&amp;""</f>
        <v/>
      </c>
      <c r="H21" s="63">
        <f>IF(OR(A21="",F21=""),"",F21&amp;"|"&amp;A21)</f>
        <v/>
      </c>
      <c r="I21" s="63">
        <f>IF(AND(H21&lt;&gt;"",OR('Historia wózka'!$B$4="",F21='Historia wózka'!$B$4),A21&gt;='Historia wózka'!$B$5,A21&lt;='Historia wózka'!$B$6),A21+0.9+(5000-ROW())/10000000,0)</f>
        <v/>
      </c>
      <c r="J21" s="63">
        <f>Ustawienia!$B$8&amp;""</f>
        <v/>
      </c>
      <c r="K21" s="63">
        <f>IF(H21="","",COUNTIFS('Zgłoszenia'!$B$5:$B$504,F21,'Zgłoszenia'!$D$5:$D$504,"&gt;="&amp;A21,'Zgłoszenia'!$D$5:$D$504,"&lt;="&amp;(A21+1)))</f>
        <v/>
      </c>
      <c r="L21" s="63">
        <f>IF(OR(H21="",K21=0),"—",IF(ISNUMBER(MATCH(H21,'Zgłoszenia'!$S$5:$S$504,0)),RIGHT("0"&amp;DAY(A21),2)&amp;"."&amp;RIGHT("0"&amp;MONTH(A21),2)&amp;"."&amp;YEAR(A21)&amp;": "&amp;INDEX('Zgłoszenia'!$H$5:$H$504,MATCH(H21,'Zgłoszenia'!$S$5:$S$504,0)),RIGHT("0"&amp;DAY((A21+1)),2)&amp;"."&amp;RIGHT("0"&amp;MONTH((A21+1)),2)&amp;"."&amp;YEAR((A21+1))&amp;": "&amp;INDEX('Zgłoszenia'!$H$5:$H$504,MATCH(F21&amp;"|"&amp;(A21+1),'Zgłoszenia'!$S$5:$S$504,0)))&amp;IF(K21&gt;1," (+"&amp;(K21-1)&amp;")",""))</f>
        <v/>
      </c>
      <c r="M21" s="63" t="n">
        <v>1</v>
      </c>
      <c r="N21" s="2" t="n"/>
      <c r="O21" s="2" t="n"/>
    </row>
    <row r="22">
      <c r="A22" s="62">
        <f>IF('1'!$C$1="","",'1'!$C$1)</f>
        <v/>
      </c>
      <c r="B22" s="63">
        <f>Ustawienia!$A$8&amp;""</f>
        <v/>
      </c>
      <c r="C22" s="63">
        <f>Ustawienia!$A$17&amp;""</f>
        <v/>
      </c>
      <c r="D22" s="63" t="n">
        <v>3</v>
      </c>
      <c r="E22" s="63">
        <f>IF('1'!B29="","",TRIM('1'!B29&amp;""))</f>
        <v/>
      </c>
      <c r="F22" s="63">
        <f>IF('1'!C29="","",'1'!C29)</f>
        <v/>
      </c>
      <c r="G22" s="63">
        <f>'1'!D29&amp;""</f>
        <v/>
      </c>
      <c r="H22" s="63">
        <f>IF(OR(A22="",F22=""),"",F22&amp;"|"&amp;A22)</f>
        <v/>
      </c>
      <c r="I22" s="63">
        <f>IF(AND(H22&lt;&gt;"",OR('Historia wózka'!$B$4="",F22='Historia wózka'!$B$4),A22&gt;='Historia wózka'!$B$5,A22&lt;='Historia wózka'!$B$6),A22+0.9+(5000-ROW())/10000000,0)</f>
        <v/>
      </c>
      <c r="J22" s="63">
        <f>Ustawienia!$B$8&amp;""</f>
        <v/>
      </c>
      <c r="K22" s="63">
        <f>IF(H22="","",COUNTIFS('Zgłoszenia'!$B$5:$B$504,F22,'Zgłoszenia'!$D$5:$D$504,"&gt;="&amp;A22,'Zgłoszenia'!$D$5:$D$504,"&lt;="&amp;(A22+1)))</f>
        <v/>
      </c>
      <c r="L22" s="63">
        <f>IF(OR(H22="",K22=0),"—",IF(ISNUMBER(MATCH(H22,'Zgłoszenia'!$S$5:$S$504,0)),RIGHT("0"&amp;DAY(A22),2)&amp;"."&amp;RIGHT("0"&amp;MONTH(A22),2)&amp;"."&amp;YEAR(A22)&amp;": "&amp;INDEX('Zgłoszenia'!$H$5:$H$504,MATCH(H22,'Zgłoszenia'!$S$5:$S$504,0)),RIGHT("0"&amp;DAY((A22+1)),2)&amp;"."&amp;RIGHT("0"&amp;MONTH((A22+1)),2)&amp;"."&amp;YEAR((A22+1))&amp;": "&amp;INDEX('Zgłoszenia'!$H$5:$H$504,MATCH(F22&amp;"|"&amp;(A22+1),'Zgłoszenia'!$S$5:$S$504,0)))&amp;IF(K22&gt;1," (+"&amp;(K22-1)&amp;")",""))</f>
        <v/>
      </c>
      <c r="M22" s="63" t="n">
        <v>1</v>
      </c>
      <c r="N22" s="2" t="n"/>
      <c r="O22" s="2" t="n"/>
    </row>
    <row r="23">
      <c r="A23" s="62">
        <f>IF('1'!$C$1="","",'1'!$C$1)</f>
        <v/>
      </c>
      <c r="B23" s="63">
        <f>Ustawienia!$A$8&amp;""</f>
        <v/>
      </c>
      <c r="C23" s="63">
        <f>Ustawienia!$A$17&amp;""</f>
        <v/>
      </c>
      <c r="D23" s="63" t="n">
        <v>4</v>
      </c>
      <c r="E23" s="63">
        <f>IF('1'!B30="","",TRIM('1'!B30&amp;""))</f>
        <v/>
      </c>
      <c r="F23" s="63">
        <f>IF('1'!C30="","",'1'!C30)</f>
        <v/>
      </c>
      <c r="G23" s="63">
        <f>'1'!D30&amp;""</f>
        <v/>
      </c>
      <c r="H23" s="63">
        <f>IF(OR(A23="",F23=""),"",F23&amp;"|"&amp;A23)</f>
        <v/>
      </c>
      <c r="I23" s="63">
        <f>IF(AND(H23&lt;&gt;"",OR('Historia wózka'!$B$4="",F23='Historia wózka'!$B$4),A23&gt;='Historia wózka'!$B$5,A23&lt;='Historia wózka'!$B$6),A23+0.9+(5000-ROW())/10000000,0)</f>
        <v/>
      </c>
      <c r="J23" s="63">
        <f>Ustawienia!$B$8&amp;""</f>
        <v/>
      </c>
      <c r="K23" s="63">
        <f>IF(H23="","",COUNTIFS('Zgłoszenia'!$B$5:$B$504,F23,'Zgłoszenia'!$D$5:$D$504,"&gt;="&amp;A23,'Zgłoszenia'!$D$5:$D$504,"&lt;="&amp;(A23+1)))</f>
        <v/>
      </c>
      <c r="L23" s="63">
        <f>IF(OR(H23="",K23=0),"—",IF(ISNUMBER(MATCH(H23,'Zgłoszenia'!$S$5:$S$504,0)),RIGHT("0"&amp;DAY(A23),2)&amp;"."&amp;RIGHT("0"&amp;MONTH(A23),2)&amp;"."&amp;YEAR(A23)&amp;": "&amp;INDEX('Zgłoszenia'!$H$5:$H$504,MATCH(H23,'Zgłoszenia'!$S$5:$S$504,0)),RIGHT("0"&amp;DAY((A23+1)),2)&amp;"."&amp;RIGHT("0"&amp;MONTH((A23+1)),2)&amp;"."&amp;YEAR((A23+1))&amp;": "&amp;INDEX('Zgłoszenia'!$H$5:$H$504,MATCH(F23&amp;"|"&amp;(A23+1),'Zgłoszenia'!$S$5:$S$504,0)))&amp;IF(K23&gt;1," (+"&amp;(K23-1)&amp;")",""))</f>
        <v/>
      </c>
      <c r="M23" s="63" t="n">
        <v>1</v>
      </c>
      <c r="N23" s="2" t="n"/>
      <c r="O23" s="2" t="n"/>
    </row>
    <row r="24">
      <c r="A24" s="62">
        <f>IF('1'!$C$1="","",'1'!$C$1)</f>
        <v/>
      </c>
      <c r="B24" s="63">
        <f>Ustawienia!$A$8&amp;""</f>
        <v/>
      </c>
      <c r="C24" s="63">
        <f>Ustawienia!$A$18&amp;""</f>
        <v/>
      </c>
      <c r="D24" s="63" t="n">
        <v>1</v>
      </c>
      <c r="E24" s="63">
        <f>IF('1'!B32="","",TRIM('1'!B32&amp;""))</f>
        <v/>
      </c>
      <c r="F24" s="63">
        <f>IF('1'!C32="","",'1'!C32)</f>
        <v/>
      </c>
      <c r="G24" s="63">
        <f>'1'!D32&amp;""</f>
        <v/>
      </c>
      <c r="H24" s="63">
        <f>IF(OR(A24="",F24=""),"",F24&amp;"|"&amp;A24)</f>
        <v/>
      </c>
      <c r="I24" s="63">
        <f>IF(AND(H24&lt;&gt;"",OR('Historia wózka'!$B$4="",F24='Historia wózka'!$B$4),A24&gt;='Historia wózka'!$B$5,A24&lt;='Historia wózka'!$B$6),A24+0.9+(5000-ROW())/10000000,0)</f>
        <v/>
      </c>
      <c r="J24" s="63">
        <f>Ustawienia!$B$8&amp;""</f>
        <v/>
      </c>
      <c r="K24" s="63">
        <f>IF(H24="","",COUNTIFS('Zgłoszenia'!$B$5:$B$504,F24,'Zgłoszenia'!$D$5:$D$504,"&gt;="&amp;A24,'Zgłoszenia'!$D$5:$D$504,"&lt;="&amp;(A24+1)))</f>
        <v/>
      </c>
      <c r="L24" s="63">
        <f>IF(OR(H24="",K24=0),"—",IF(ISNUMBER(MATCH(H24,'Zgłoszenia'!$S$5:$S$504,0)),RIGHT("0"&amp;DAY(A24),2)&amp;"."&amp;RIGHT("0"&amp;MONTH(A24),2)&amp;"."&amp;YEAR(A24)&amp;": "&amp;INDEX('Zgłoszenia'!$H$5:$H$504,MATCH(H24,'Zgłoszenia'!$S$5:$S$504,0)),RIGHT("0"&amp;DAY((A24+1)),2)&amp;"."&amp;RIGHT("0"&amp;MONTH((A24+1)),2)&amp;"."&amp;YEAR((A24+1))&amp;": "&amp;INDEX('Zgłoszenia'!$H$5:$H$504,MATCH(F24&amp;"|"&amp;(A24+1),'Zgłoszenia'!$S$5:$S$504,0)))&amp;IF(K24&gt;1," (+"&amp;(K24-1)&amp;")",""))</f>
        <v/>
      </c>
      <c r="M24" s="63" t="n">
        <v>1</v>
      </c>
      <c r="N24" s="2" t="n"/>
      <c r="O24" s="2" t="n"/>
    </row>
    <row r="25">
      <c r="A25" s="62">
        <f>IF('1'!$C$1="","",'1'!$C$1)</f>
        <v/>
      </c>
      <c r="B25" s="63">
        <f>Ustawienia!$A$8&amp;""</f>
        <v/>
      </c>
      <c r="C25" s="63">
        <f>Ustawienia!$A$18&amp;""</f>
        <v/>
      </c>
      <c r="D25" s="63" t="n">
        <v>2</v>
      </c>
      <c r="E25" s="63">
        <f>IF('1'!B33="","",TRIM('1'!B33&amp;""))</f>
        <v/>
      </c>
      <c r="F25" s="63">
        <f>IF('1'!C33="","",'1'!C33)</f>
        <v/>
      </c>
      <c r="G25" s="63">
        <f>'1'!D33&amp;""</f>
        <v/>
      </c>
      <c r="H25" s="63">
        <f>IF(OR(A25="",F25=""),"",F25&amp;"|"&amp;A25)</f>
        <v/>
      </c>
      <c r="I25" s="63">
        <f>IF(AND(H25&lt;&gt;"",OR('Historia wózka'!$B$4="",F25='Historia wózka'!$B$4),A25&gt;='Historia wózka'!$B$5,A25&lt;='Historia wózka'!$B$6),A25+0.9+(5000-ROW())/10000000,0)</f>
        <v/>
      </c>
      <c r="J25" s="63">
        <f>Ustawienia!$B$8&amp;""</f>
        <v/>
      </c>
      <c r="K25" s="63">
        <f>IF(H25="","",COUNTIFS('Zgłoszenia'!$B$5:$B$504,F25,'Zgłoszenia'!$D$5:$D$504,"&gt;="&amp;A25,'Zgłoszenia'!$D$5:$D$504,"&lt;="&amp;(A25+1)))</f>
        <v/>
      </c>
      <c r="L25" s="63">
        <f>IF(OR(H25="",K25=0),"—",IF(ISNUMBER(MATCH(H25,'Zgłoszenia'!$S$5:$S$504,0)),RIGHT("0"&amp;DAY(A25),2)&amp;"."&amp;RIGHT("0"&amp;MONTH(A25),2)&amp;"."&amp;YEAR(A25)&amp;": "&amp;INDEX('Zgłoszenia'!$H$5:$H$504,MATCH(H25,'Zgłoszenia'!$S$5:$S$504,0)),RIGHT("0"&amp;DAY((A25+1)),2)&amp;"."&amp;RIGHT("0"&amp;MONTH((A25+1)),2)&amp;"."&amp;YEAR((A25+1))&amp;": "&amp;INDEX('Zgłoszenia'!$H$5:$H$504,MATCH(F25&amp;"|"&amp;(A25+1),'Zgłoszenia'!$S$5:$S$504,0)))&amp;IF(K25&gt;1," (+"&amp;(K25-1)&amp;")",""))</f>
        <v/>
      </c>
      <c r="M25" s="63" t="n">
        <v>1</v>
      </c>
      <c r="N25" s="2" t="n"/>
      <c r="O25" s="2" t="n"/>
    </row>
    <row r="26">
      <c r="A26" s="62">
        <f>IF('1'!$C$1="","",'1'!$C$1)</f>
        <v/>
      </c>
      <c r="B26" s="63">
        <f>Ustawienia!$A$8&amp;""</f>
        <v/>
      </c>
      <c r="C26" s="63">
        <f>Ustawienia!$A$18&amp;""</f>
        <v/>
      </c>
      <c r="D26" s="63" t="n">
        <v>3</v>
      </c>
      <c r="E26" s="63">
        <f>IF('1'!B34="","",TRIM('1'!B34&amp;""))</f>
        <v/>
      </c>
      <c r="F26" s="63">
        <f>IF('1'!C34="","",'1'!C34)</f>
        <v/>
      </c>
      <c r="G26" s="63">
        <f>'1'!D34&amp;""</f>
        <v/>
      </c>
      <c r="H26" s="63">
        <f>IF(OR(A26="",F26=""),"",F26&amp;"|"&amp;A26)</f>
        <v/>
      </c>
      <c r="I26" s="63">
        <f>IF(AND(H26&lt;&gt;"",OR('Historia wózka'!$B$4="",F26='Historia wózka'!$B$4),A26&gt;='Historia wózka'!$B$5,A26&lt;='Historia wózka'!$B$6),A26+0.9+(5000-ROW())/10000000,0)</f>
        <v/>
      </c>
      <c r="J26" s="63">
        <f>Ustawienia!$B$8&amp;""</f>
        <v/>
      </c>
      <c r="K26" s="63">
        <f>IF(H26="","",COUNTIFS('Zgłoszenia'!$B$5:$B$504,F26,'Zgłoszenia'!$D$5:$D$504,"&gt;="&amp;A26,'Zgłoszenia'!$D$5:$D$504,"&lt;="&amp;(A26+1)))</f>
        <v/>
      </c>
      <c r="L26" s="63">
        <f>IF(OR(H26="",K26=0),"—",IF(ISNUMBER(MATCH(H26,'Zgłoszenia'!$S$5:$S$504,0)),RIGHT("0"&amp;DAY(A26),2)&amp;"."&amp;RIGHT("0"&amp;MONTH(A26),2)&amp;"."&amp;YEAR(A26)&amp;": "&amp;INDEX('Zgłoszenia'!$H$5:$H$504,MATCH(H26,'Zgłoszenia'!$S$5:$S$504,0)),RIGHT("0"&amp;DAY((A26+1)),2)&amp;"."&amp;RIGHT("0"&amp;MONTH((A26+1)),2)&amp;"."&amp;YEAR((A26+1))&amp;": "&amp;INDEX('Zgłoszenia'!$H$5:$H$504,MATCH(F26&amp;"|"&amp;(A26+1),'Zgłoszenia'!$S$5:$S$504,0)))&amp;IF(K26&gt;1," (+"&amp;(K26-1)&amp;")",""))</f>
        <v/>
      </c>
      <c r="M26" s="63" t="n">
        <v>1</v>
      </c>
      <c r="N26" s="2" t="n"/>
      <c r="O26" s="2" t="n"/>
    </row>
    <row r="27">
      <c r="A27" s="62">
        <f>IF('1'!$C$1="","",'1'!$C$1)</f>
        <v/>
      </c>
      <c r="B27" s="63">
        <f>Ustawienia!$A$8&amp;""</f>
        <v/>
      </c>
      <c r="C27" s="63">
        <f>Ustawienia!$A$18&amp;""</f>
        <v/>
      </c>
      <c r="D27" s="63" t="n">
        <v>4</v>
      </c>
      <c r="E27" s="63">
        <f>IF('1'!B35="","",TRIM('1'!B35&amp;""))</f>
        <v/>
      </c>
      <c r="F27" s="63">
        <f>IF('1'!C35="","",'1'!C35)</f>
        <v/>
      </c>
      <c r="G27" s="63">
        <f>'1'!D35&amp;""</f>
        <v/>
      </c>
      <c r="H27" s="63">
        <f>IF(OR(A27="",F27=""),"",F27&amp;"|"&amp;A27)</f>
        <v/>
      </c>
      <c r="I27" s="63">
        <f>IF(AND(H27&lt;&gt;"",OR('Historia wózka'!$B$4="",F27='Historia wózka'!$B$4),A27&gt;='Historia wózka'!$B$5,A27&lt;='Historia wózka'!$B$6),A27+0.9+(5000-ROW())/10000000,0)</f>
        <v/>
      </c>
      <c r="J27" s="63">
        <f>Ustawienia!$B$8&amp;""</f>
        <v/>
      </c>
      <c r="K27" s="63">
        <f>IF(H27="","",COUNTIFS('Zgłoszenia'!$B$5:$B$504,F27,'Zgłoszenia'!$D$5:$D$504,"&gt;="&amp;A27,'Zgłoszenia'!$D$5:$D$504,"&lt;="&amp;(A27+1)))</f>
        <v/>
      </c>
      <c r="L27" s="63">
        <f>IF(OR(H27="",K27=0),"—",IF(ISNUMBER(MATCH(H27,'Zgłoszenia'!$S$5:$S$504,0)),RIGHT("0"&amp;DAY(A27),2)&amp;"."&amp;RIGHT("0"&amp;MONTH(A27),2)&amp;"."&amp;YEAR(A27)&amp;": "&amp;INDEX('Zgłoszenia'!$H$5:$H$504,MATCH(H27,'Zgłoszenia'!$S$5:$S$504,0)),RIGHT("0"&amp;DAY((A27+1)),2)&amp;"."&amp;RIGHT("0"&amp;MONTH((A27+1)),2)&amp;"."&amp;YEAR((A27+1))&amp;": "&amp;INDEX('Zgłoszenia'!$H$5:$H$504,MATCH(F27&amp;"|"&amp;(A27+1),'Zgłoszenia'!$S$5:$S$504,0)))&amp;IF(K27&gt;1," (+"&amp;(K27-1)&amp;")",""))</f>
        <v/>
      </c>
      <c r="M27" s="63" t="n">
        <v>1</v>
      </c>
      <c r="N27" s="2" t="n"/>
      <c r="O27" s="2" t="n"/>
    </row>
    <row r="28">
      <c r="A28" s="62">
        <f>IF('1'!$C$1="","",'1'!$C$1)</f>
        <v/>
      </c>
      <c r="B28" s="63">
        <f>Ustawienia!$A$8&amp;""</f>
        <v/>
      </c>
      <c r="C28" s="63">
        <f>Ustawienia!$A$18&amp;""</f>
        <v/>
      </c>
      <c r="D28" s="63" t="n">
        <v>5</v>
      </c>
      <c r="E28" s="63">
        <f>IF('1'!B36="","",TRIM('1'!B36&amp;""))</f>
        <v/>
      </c>
      <c r="F28" s="63">
        <f>IF('1'!C36="","",'1'!C36)</f>
        <v/>
      </c>
      <c r="G28" s="63">
        <f>'1'!D36&amp;""</f>
        <v/>
      </c>
      <c r="H28" s="63">
        <f>IF(OR(A28="",F28=""),"",F28&amp;"|"&amp;A28)</f>
        <v/>
      </c>
      <c r="I28" s="63">
        <f>IF(AND(H28&lt;&gt;"",OR('Historia wózka'!$B$4="",F28='Historia wózka'!$B$4),A28&gt;='Historia wózka'!$B$5,A28&lt;='Historia wózka'!$B$6),A28+0.9+(5000-ROW())/10000000,0)</f>
        <v/>
      </c>
      <c r="J28" s="63">
        <f>Ustawienia!$B$8&amp;""</f>
        <v/>
      </c>
      <c r="K28" s="63">
        <f>IF(H28="","",COUNTIFS('Zgłoszenia'!$B$5:$B$504,F28,'Zgłoszenia'!$D$5:$D$504,"&gt;="&amp;A28,'Zgłoszenia'!$D$5:$D$504,"&lt;="&amp;(A28+1)))</f>
        <v/>
      </c>
      <c r="L28" s="63">
        <f>IF(OR(H28="",K28=0),"—",IF(ISNUMBER(MATCH(H28,'Zgłoszenia'!$S$5:$S$504,0)),RIGHT("0"&amp;DAY(A28),2)&amp;"."&amp;RIGHT("0"&amp;MONTH(A28),2)&amp;"."&amp;YEAR(A28)&amp;": "&amp;INDEX('Zgłoszenia'!$H$5:$H$504,MATCH(H28,'Zgłoszenia'!$S$5:$S$504,0)),RIGHT("0"&amp;DAY((A28+1)),2)&amp;"."&amp;RIGHT("0"&amp;MONTH((A28+1)),2)&amp;"."&amp;YEAR((A28+1))&amp;": "&amp;INDEX('Zgłoszenia'!$H$5:$H$504,MATCH(F28&amp;"|"&amp;(A28+1),'Zgłoszenia'!$S$5:$S$504,0)))&amp;IF(K28&gt;1," (+"&amp;(K28-1)&amp;")",""))</f>
        <v/>
      </c>
      <c r="M28" s="63" t="n">
        <v>1</v>
      </c>
      <c r="N28" s="2" t="n"/>
      <c r="O28" s="2" t="n"/>
    </row>
    <row r="29">
      <c r="A29" s="62">
        <f>IF('1'!$C$1="","",'1'!$C$1)</f>
        <v/>
      </c>
      <c r="B29" s="63">
        <f>Ustawienia!$A$9&amp;""</f>
        <v/>
      </c>
      <c r="C29" s="63">
        <f>Ustawienia!$A$14&amp;""</f>
        <v/>
      </c>
      <c r="D29" s="63" t="n">
        <v>1</v>
      </c>
      <c r="E29" s="63">
        <f>IF('1'!F6="","",TRIM('1'!F6&amp;""))</f>
        <v/>
      </c>
      <c r="F29" s="63">
        <f>IF('1'!G6="","",'1'!G6)</f>
        <v/>
      </c>
      <c r="G29" s="63">
        <f>'1'!H6&amp;""</f>
        <v/>
      </c>
      <c r="H29" s="63">
        <f>IF(OR(A29="",F29=""),"",F29&amp;"|"&amp;A29)</f>
        <v/>
      </c>
      <c r="I29" s="63">
        <f>IF(AND(H29&lt;&gt;"",OR('Historia wózka'!$B$4="",F29='Historia wózka'!$B$4),A29&gt;='Historia wózka'!$B$5,A29&lt;='Historia wózka'!$B$6),A29+0.8+(5000-ROW())/10000000,0)</f>
        <v/>
      </c>
      <c r="J29" s="63">
        <f>Ustawienia!$B$9&amp;""</f>
        <v/>
      </c>
      <c r="K29" s="63">
        <f>IF(H29="","",COUNTIFS('Zgłoszenia'!$B$5:$B$504,F29,'Zgłoszenia'!$D$5:$D$504,"&gt;="&amp;A29,'Zgłoszenia'!$D$5:$D$504,"&lt;="&amp;(A29+1)))</f>
        <v/>
      </c>
      <c r="L29" s="63">
        <f>IF(OR(H29="",K29=0),"—",IF(ISNUMBER(MATCH(H29,'Zgłoszenia'!$S$5:$S$504,0)),RIGHT("0"&amp;DAY(A29),2)&amp;"."&amp;RIGHT("0"&amp;MONTH(A29),2)&amp;"."&amp;YEAR(A29)&amp;": "&amp;INDEX('Zgłoszenia'!$H$5:$H$504,MATCH(H29,'Zgłoszenia'!$S$5:$S$504,0)),RIGHT("0"&amp;DAY((A29+1)),2)&amp;"."&amp;RIGHT("0"&amp;MONTH((A29+1)),2)&amp;"."&amp;YEAR((A29+1))&amp;": "&amp;INDEX('Zgłoszenia'!$H$5:$H$504,MATCH(F29&amp;"|"&amp;(A29+1),'Zgłoszenia'!$S$5:$S$504,0)))&amp;IF(K29&gt;1," (+"&amp;(K29-1)&amp;")",""))</f>
        <v/>
      </c>
      <c r="M29" s="63" t="n">
        <v>1</v>
      </c>
      <c r="N29" s="2" t="n"/>
      <c r="O29" s="2" t="n"/>
    </row>
    <row r="30">
      <c r="A30" s="62">
        <f>IF('1'!$C$1="","",'1'!$C$1)</f>
        <v/>
      </c>
      <c r="B30" s="63">
        <f>Ustawienia!$A$9&amp;""</f>
        <v/>
      </c>
      <c r="C30" s="63">
        <f>Ustawienia!$A$14&amp;""</f>
        <v/>
      </c>
      <c r="D30" s="63" t="n">
        <v>2</v>
      </c>
      <c r="E30" s="63">
        <f>IF('1'!F7="","",TRIM('1'!F7&amp;""))</f>
        <v/>
      </c>
      <c r="F30" s="63">
        <f>IF('1'!G7="","",'1'!G7)</f>
        <v/>
      </c>
      <c r="G30" s="63">
        <f>'1'!H7&amp;""</f>
        <v/>
      </c>
      <c r="H30" s="63">
        <f>IF(OR(A30="",F30=""),"",F30&amp;"|"&amp;A30)</f>
        <v/>
      </c>
      <c r="I30" s="63">
        <f>IF(AND(H30&lt;&gt;"",OR('Historia wózka'!$B$4="",F30='Historia wózka'!$B$4),A30&gt;='Historia wózka'!$B$5,A30&lt;='Historia wózka'!$B$6),A30+0.8+(5000-ROW())/10000000,0)</f>
        <v/>
      </c>
      <c r="J30" s="63">
        <f>Ustawienia!$B$9&amp;""</f>
        <v/>
      </c>
      <c r="K30" s="63">
        <f>IF(H30="","",COUNTIFS('Zgłoszenia'!$B$5:$B$504,F30,'Zgłoszenia'!$D$5:$D$504,"&gt;="&amp;A30,'Zgłoszenia'!$D$5:$D$504,"&lt;="&amp;(A30+1)))</f>
        <v/>
      </c>
      <c r="L30" s="63">
        <f>IF(OR(H30="",K30=0),"—",IF(ISNUMBER(MATCH(H30,'Zgłoszenia'!$S$5:$S$504,0)),RIGHT("0"&amp;DAY(A30),2)&amp;"."&amp;RIGHT("0"&amp;MONTH(A30),2)&amp;"."&amp;YEAR(A30)&amp;": "&amp;INDEX('Zgłoszenia'!$H$5:$H$504,MATCH(H30,'Zgłoszenia'!$S$5:$S$504,0)),RIGHT("0"&amp;DAY((A30+1)),2)&amp;"."&amp;RIGHT("0"&amp;MONTH((A30+1)),2)&amp;"."&amp;YEAR((A30+1))&amp;": "&amp;INDEX('Zgłoszenia'!$H$5:$H$504,MATCH(F30&amp;"|"&amp;(A30+1),'Zgłoszenia'!$S$5:$S$504,0)))&amp;IF(K30&gt;1," (+"&amp;(K30-1)&amp;")",""))</f>
        <v/>
      </c>
      <c r="M30" s="63" t="n">
        <v>1</v>
      </c>
      <c r="N30" s="2" t="n"/>
      <c r="O30" s="2" t="n"/>
    </row>
    <row r="31">
      <c r="A31" s="62">
        <f>IF('1'!$C$1="","",'1'!$C$1)</f>
        <v/>
      </c>
      <c r="B31" s="63">
        <f>Ustawienia!$A$9&amp;""</f>
        <v/>
      </c>
      <c r="C31" s="63">
        <f>Ustawienia!$A$14&amp;""</f>
        <v/>
      </c>
      <c r="D31" s="63" t="n">
        <v>3</v>
      </c>
      <c r="E31" s="63">
        <f>IF('1'!F8="","",TRIM('1'!F8&amp;""))</f>
        <v/>
      </c>
      <c r="F31" s="63">
        <f>IF('1'!G8="","",'1'!G8)</f>
        <v/>
      </c>
      <c r="G31" s="63">
        <f>'1'!H8&amp;""</f>
        <v/>
      </c>
      <c r="H31" s="63">
        <f>IF(OR(A31="",F31=""),"",F31&amp;"|"&amp;A31)</f>
        <v/>
      </c>
      <c r="I31" s="63">
        <f>IF(AND(H31&lt;&gt;"",OR('Historia wózka'!$B$4="",F31='Historia wózka'!$B$4),A31&gt;='Historia wózka'!$B$5,A31&lt;='Historia wózka'!$B$6),A31+0.8+(5000-ROW())/10000000,0)</f>
        <v/>
      </c>
      <c r="J31" s="63">
        <f>Ustawienia!$B$9&amp;""</f>
        <v/>
      </c>
      <c r="K31" s="63">
        <f>IF(H31="","",COUNTIFS('Zgłoszenia'!$B$5:$B$504,F31,'Zgłoszenia'!$D$5:$D$504,"&gt;="&amp;A31,'Zgłoszenia'!$D$5:$D$504,"&lt;="&amp;(A31+1)))</f>
        <v/>
      </c>
      <c r="L31" s="63">
        <f>IF(OR(H31="",K31=0),"—",IF(ISNUMBER(MATCH(H31,'Zgłoszenia'!$S$5:$S$504,0)),RIGHT("0"&amp;DAY(A31),2)&amp;"."&amp;RIGHT("0"&amp;MONTH(A31),2)&amp;"."&amp;YEAR(A31)&amp;": "&amp;INDEX('Zgłoszenia'!$H$5:$H$504,MATCH(H31,'Zgłoszenia'!$S$5:$S$504,0)),RIGHT("0"&amp;DAY((A31+1)),2)&amp;"."&amp;RIGHT("0"&amp;MONTH((A31+1)),2)&amp;"."&amp;YEAR((A31+1))&amp;": "&amp;INDEX('Zgłoszenia'!$H$5:$H$504,MATCH(F31&amp;"|"&amp;(A31+1),'Zgłoszenia'!$S$5:$S$504,0)))&amp;IF(K31&gt;1," (+"&amp;(K31-1)&amp;")",""))</f>
        <v/>
      </c>
      <c r="M31" s="63" t="n">
        <v>1</v>
      </c>
      <c r="N31" s="2" t="n"/>
      <c r="O31" s="2" t="n"/>
    </row>
    <row r="32">
      <c r="A32" s="62">
        <f>IF('1'!$C$1="","",'1'!$C$1)</f>
        <v/>
      </c>
      <c r="B32" s="63">
        <f>Ustawienia!$A$9&amp;""</f>
        <v/>
      </c>
      <c r="C32" s="63">
        <f>Ustawienia!$A$14&amp;""</f>
        <v/>
      </c>
      <c r="D32" s="63" t="n">
        <v>4</v>
      </c>
      <c r="E32" s="63">
        <f>IF('1'!F9="","",TRIM('1'!F9&amp;""))</f>
        <v/>
      </c>
      <c r="F32" s="63">
        <f>IF('1'!G9="","",'1'!G9)</f>
        <v/>
      </c>
      <c r="G32" s="63">
        <f>'1'!H9&amp;""</f>
        <v/>
      </c>
      <c r="H32" s="63">
        <f>IF(OR(A32="",F32=""),"",F32&amp;"|"&amp;A32)</f>
        <v/>
      </c>
      <c r="I32" s="63">
        <f>IF(AND(H32&lt;&gt;"",OR('Historia wózka'!$B$4="",F32='Historia wózka'!$B$4),A32&gt;='Historia wózka'!$B$5,A32&lt;='Historia wózka'!$B$6),A32+0.8+(5000-ROW())/10000000,0)</f>
        <v/>
      </c>
      <c r="J32" s="63">
        <f>Ustawienia!$B$9&amp;""</f>
        <v/>
      </c>
      <c r="K32" s="63">
        <f>IF(H32="","",COUNTIFS('Zgłoszenia'!$B$5:$B$504,F32,'Zgłoszenia'!$D$5:$D$504,"&gt;="&amp;A32,'Zgłoszenia'!$D$5:$D$504,"&lt;="&amp;(A32+1)))</f>
        <v/>
      </c>
      <c r="L32" s="63">
        <f>IF(OR(H32="",K32=0),"—",IF(ISNUMBER(MATCH(H32,'Zgłoszenia'!$S$5:$S$504,0)),RIGHT("0"&amp;DAY(A32),2)&amp;"."&amp;RIGHT("0"&amp;MONTH(A32),2)&amp;"."&amp;YEAR(A32)&amp;": "&amp;INDEX('Zgłoszenia'!$H$5:$H$504,MATCH(H32,'Zgłoszenia'!$S$5:$S$504,0)),RIGHT("0"&amp;DAY((A32+1)),2)&amp;"."&amp;RIGHT("0"&amp;MONTH((A32+1)),2)&amp;"."&amp;YEAR((A32+1))&amp;": "&amp;INDEX('Zgłoszenia'!$H$5:$H$504,MATCH(F32&amp;"|"&amp;(A32+1),'Zgłoszenia'!$S$5:$S$504,0)))&amp;IF(K32&gt;1," (+"&amp;(K32-1)&amp;")",""))</f>
        <v/>
      </c>
      <c r="M32" s="63" t="n">
        <v>1</v>
      </c>
      <c r="N32" s="2" t="n"/>
      <c r="O32" s="2" t="n"/>
    </row>
    <row r="33">
      <c r="A33" s="62">
        <f>IF('1'!$C$1="","",'1'!$C$1)</f>
        <v/>
      </c>
      <c r="B33" s="63">
        <f>Ustawienia!$A$9&amp;""</f>
        <v/>
      </c>
      <c r="C33" s="63">
        <f>Ustawienia!$A$14&amp;""</f>
        <v/>
      </c>
      <c r="D33" s="63" t="n">
        <v>5</v>
      </c>
      <c r="E33" s="63">
        <f>IF('1'!F10="","",TRIM('1'!F10&amp;""))</f>
        <v/>
      </c>
      <c r="F33" s="63">
        <f>IF('1'!G10="","",'1'!G10)</f>
        <v/>
      </c>
      <c r="G33" s="63">
        <f>'1'!H10&amp;""</f>
        <v/>
      </c>
      <c r="H33" s="63">
        <f>IF(OR(A33="",F33=""),"",F33&amp;"|"&amp;A33)</f>
        <v/>
      </c>
      <c r="I33" s="63">
        <f>IF(AND(H33&lt;&gt;"",OR('Historia wózka'!$B$4="",F33='Historia wózka'!$B$4),A33&gt;='Historia wózka'!$B$5,A33&lt;='Historia wózka'!$B$6),A33+0.8+(5000-ROW())/10000000,0)</f>
        <v/>
      </c>
      <c r="J33" s="63">
        <f>Ustawienia!$B$9&amp;""</f>
        <v/>
      </c>
      <c r="K33" s="63">
        <f>IF(H33="","",COUNTIFS('Zgłoszenia'!$B$5:$B$504,F33,'Zgłoszenia'!$D$5:$D$504,"&gt;="&amp;A33,'Zgłoszenia'!$D$5:$D$504,"&lt;="&amp;(A33+1)))</f>
        <v/>
      </c>
      <c r="L33" s="63">
        <f>IF(OR(H33="",K33=0),"—",IF(ISNUMBER(MATCH(H33,'Zgłoszenia'!$S$5:$S$504,0)),RIGHT("0"&amp;DAY(A33),2)&amp;"."&amp;RIGHT("0"&amp;MONTH(A33),2)&amp;"."&amp;YEAR(A33)&amp;": "&amp;INDEX('Zgłoszenia'!$H$5:$H$504,MATCH(H33,'Zgłoszenia'!$S$5:$S$504,0)),RIGHT("0"&amp;DAY((A33+1)),2)&amp;"."&amp;RIGHT("0"&amp;MONTH((A33+1)),2)&amp;"."&amp;YEAR((A33+1))&amp;": "&amp;INDEX('Zgłoszenia'!$H$5:$H$504,MATCH(F33&amp;"|"&amp;(A33+1),'Zgłoszenia'!$S$5:$S$504,0)))&amp;IF(K33&gt;1," (+"&amp;(K33-1)&amp;")",""))</f>
        <v/>
      </c>
      <c r="M33" s="63" t="n">
        <v>1</v>
      </c>
      <c r="N33" s="2" t="n"/>
      <c r="O33" s="2" t="n"/>
    </row>
    <row r="34">
      <c r="A34" s="62">
        <f>IF('1'!$C$1="","",'1'!$C$1)</f>
        <v/>
      </c>
      <c r="B34" s="63">
        <f>Ustawienia!$A$9&amp;""</f>
        <v/>
      </c>
      <c r="C34" s="63">
        <f>Ustawienia!$A$14&amp;""</f>
        <v/>
      </c>
      <c r="D34" s="63" t="n">
        <v>6</v>
      </c>
      <c r="E34" s="63">
        <f>IF('1'!F11="","",TRIM('1'!F11&amp;""))</f>
        <v/>
      </c>
      <c r="F34" s="63">
        <f>IF('1'!G11="","",'1'!G11)</f>
        <v/>
      </c>
      <c r="G34" s="63">
        <f>'1'!H11&amp;""</f>
        <v/>
      </c>
      <c r="H34" s="63">
        <f>IF(OR(A34="",F34=""),"",F34&amp;"|"&amp;A34)</f>
        <v/>
      </c>
      <c r="I34" s="63">
        <f>IF(AND(H34&lt;&gt;"",OR('Historia wózka'!$B$4="",F34='Historia wózka'!$B$4),A34&gt;='Historia wózka'!$B$5,A34&lt;='Historia wózka'!$B$6),A34+0.8+(5000-ROW())/10000000,0)</f>
        <v/>
      </c>
      <c r="J34" s="63">
        <f>Ustawienia!$B$9&amp;""</f>
        <v/>
      </c>
      <c r="K34" s="63">
        <f>IF(H34="","",COUNTIFS('Zgłoszenia'!$B$5:$B$504,F34,'Zgłoszenia'!$D$5:$D$504,"&gt;="&amp;A34,'Zgłoszenia'!$D$5:$D$504,"&lt;="&amp;(A34+1)))</f>
        <v/>
      </c>
      <c r="L34" s="63">
        <f>IF(OR(H34="",K34=0),"—",IF(ISNUMBER(MATCH(H34,'Zgłoszenia'!$S$5:$S$504,0)),RIGHT("0"&amp;DAY(A34),2)&amp;"."&amp;RIGHT("0"&amp;MONTH(A34),2)&amp;"."&amp;YEAR(A34)&amp;": "&amp;INDEX('Zgłoszenia'!$H$5:$H$504,MATCH(H34,'Zgłoszenia'!$S$5:$S$504,0)),RIGHT("0"&amp;DAY((A34+1)),2)&amp;"."&amp;RIGHT("0"&amp;MONTH((A34+1)),2)&amp;"."&amp;YEAR((A34+1))&amp;": "&amp;INDEX('Zgłoszenia'!$H$5:$H$504,MATCH(F34&amp;"|"&amp;(A34+1),'Zgłoszenia'!$S$5:$S$504,0)))&amp;IF(K34&gt;1," (+"&amp;(K34-1)&amp;")",""))</f>
        <v/>
      </c>
      <c r="M34" s="63" t="n">
        <v>1</v>
      </c>
      <c r="N34" s="2" t="n"/>
      <c r="O34" s="2" t="n"/>
    </row>
    <row r="35">
      <c r="A35" s="62">
        <f>IF('1'!$C$1="","",'1'!$C$1)</f>
        <v/>
      </c>
      <c r="B35" s="63">
        <f>Ustawienia!$A$9&amp;""</f>
        <v/>
      </c>
      <c r="C35" s="63">
        <f>Ustawienia!$A$15&amp;""</f>
        <v/>
      </c>
      <c r="D35" s="63" t="n">
        <v>1</v>
      </c>
      <c r="E35" s="63">
        <f>IF('1'!F13="","",TRIM('1'!F13&amp;""))</f>
        <v/>
      </c>
      <c r="F35" s="63">
        <f>IF('1'!G13="","",'1'!G13)</f>
        <v/>
      </c>
      <c r="G35" s="63">
        <f>'1'!H13&amp;""</f>
        <v/>
      </c>
      <c r="H35" s="63">
        <f>IF(OR(A35="",F35=""),"",F35&amp;"|"&amp;A35)</f>
        <v/>
      </c>
      <c r="I35" s="63">
        <f>IF(AND(H35&lt;&gt;"",OR('Historia wózka'!$B$4="",F35='Historia wózka'!$B$4),A35&gt;='Historia wózka'!$B$5,A35&lt;='Historia wózka'!$B$6),A35+0.8+(5000-ROW())/10000000,0)</f>
        <v/>
      </c>
      <c r="J35" s="63">
        <f>Ustawienia!$B$9&amp;""</f>
        <v/>
      </c>
      <c r="K35" s="63">
        <f>IF(H35="","",COUNTIFS('Zgłoszenia'!$B$5:$B$504,F35,'Zgłoszenia'!$D$5:$D$504,"&gt;="&amp;A35,'Zgłoszenia'!$D$5:$D$504,"&lt;="&amp;(A35+1)))</f>
        <v/>
      </c>
      <c r="L35" s="63">
        <f>IF(OR(H35="",K35=0),"—",IF(ISNUMBER(MATCH(H35,'Zgłoszenia'!$S$5:$S$504,0)),RIGHT("0"&amp;DAY(A35),2)&amp;"."&amp;RIGHT("0"&amp;MONTH(A35),2)&amp;"."&amp;YEAR(A35)&amp;": "&amp;INDEX('Zgłoszenia'!$H$5:$H$504,MATCH(H35,'Zgłoszenia'!$S$5:$S$504,0)),RIGHT("0"&amp;DAY((A35+1)),2)&amp;"."&amp;RIGHT("0"&amp;MONTH((A35+1)),2)&amp;"."&amp;YEAR((A35+1))&amp;": "&amp;INDEX('Zgłoszenia'!$H$5:$H$504,MATCH(F35&amp;"|"&amp;(A35+1),'Zgłoszenia'!$S$5:$S$504,0)))&amp;IF(K35&gt;1," (+"&amp;(K35-1)&amp;")",""))</f>
        <v/>
      </c>
      <c r="M35" s="63" t="n">
        <v>1</v>
      </c>
      <c r="N35" s="2" t="n"/>
      <c r="O35" s="2" t="n"/>
    </row>
    <row r="36">
      <c r="A36" s="62">
        <f>IF('1'!$C$1="","",'1'!$C$1)</f>
        <v/>
      </c>
      <c r="B36" s="63">
        <f>Ustawienia!$A$9&amp;""</f>
        <v/>
      </c>
      <c r="C36" s="63">
        <f>Ustawienia!$A$15&amp;""</f>
        <v/>
      </c>
      <c r="D36" s="63" t="n">
        <v>2</v>
      </c>
      <c r="E36" s="63">
        <f>IF('1'!F14="","",TRIM('1'!F14&amp;""))</f>
        <v/>
      </c>
      <c r="F36" s="63">
        <f>IF('1'!G14="","",'1'!G14)</f>
        <v/>
      </c>
      <c r="G36" s="63">
        <f>'1'!H14&amp;""</f>
        <v/>
      </c>
      <c r="H36" s="63">
        <f>IF(OR(A36="",F36=""),"",F36&amp;"|"&amp;A36)</f>
        <v/>
      </c>
      <c r="I36" s="63">
        <f>IF(AND(H36&lt;&gt;"",OR('Historia wózka'!$B$4="",F36='Historia wózka'!$B$4),A36&gt;='Historia wózka'!$B$5,A36&lt;='Historia wózka'!$B$6),A36+0.8+(5000-ROW())/10000000,0)</f>
        <v/>
      </c>
      <c r="J36" s="63">
        <f>Ustawienia!$B$9&amp;""</f>
        <v/>
      </c>
      <c r="K36" s="63">
        <f>IF(H36="","",COUNTIFS('Zgłoszenia'!$B$5:$B$504,F36,'Zgłoszenia'!$D$5:$D$504,"&gt;="&amp;A36,'Zgłoszenia'!$D$5:$D$504,"&lt;="&amp;(A36+1)))</f>
        <v/>
      </c>
      <c r="L36" s="63">
        <f>IF(OR(H36="",K36=0),"—",IF(ISNUMBER(MATCH(H36,'Zgłoszenia'!$S$5:$S$504,0)),RIGHT("0"&amp;DAY(A36),2)&amp;"."&amp;RIGHT("0"&amp;MONTH(A36),2)&amp;"."&amp;YEAR(A36)&amp;": "&amp;INDEX('Zgłoszenia'!$H$5:$H$504,MATCH(H36,'Zgłoszenia'!$S$5:$S$504,0)),RIGHT("0"&amp;DAY((A36+1)),2)&amp;"."&amp;RIGHT("0"&amp;MONTH((A36+1)),2)&amp;"."&amp;YEAR((A36+1))&amp;": "&amp;INDEX('Zgłoszenia'!$H$5:$H$504,MATCH(F36&amp;"|"&amp;(A36+1),'Zgłoszenia'!$S$5:$S$504,0)))&amp;IF(K36&gt;1," (+"&amp;(K36-1)&amp;")",""))</f>
        <v/>
      </c>
      <c r="M36" s="63" t="n">
        <v>1</v>
      </c>
      <c r="N36" s="2" t="n"/>
      <c r="O36" s="2" t="n"/>
    </row>
    <row r="37">
      <c r="A37" s="62">
        <f>IF('1'!$C$1="","",'1'!$C$1)</f>
        <v/>
      </c>
      <c r="B37" s="63">
        <f>Ustawienia!$A$9&amp;""</f>
        <v/>
      </c>
      <c r="C37" s="63">
        <f>Ustawienia!$A$15&amp;""</f>
        <v/>
      </c>
      <c r="D37" s="63" t="n">
        <v>3</v>
      </c>
      <c r="E37" s="63">
        <f>IF('1'!F15="","",TRIM('1'!F15&amp;""))</f>
        <v/>
      </c>
      <c r="F37" s="63">
        <f>IF('1'!G15="","",'1'!G15)</f>
        <v/>
      </c>
      <c r="G37" s="63">
        <f>'1'!H15&amp;""</f>
        <v/>
      </c>
      <c r="H37" s="63">
        <f>IF(OR(A37="",F37=""),"",F37&amp;"|"&amp;A37)</f>
        <v/>
      </c>
      <c r="I37" s="63">
        <f>IF(AND(H37&lt;&gt;"",OR('Historia wózka'!$B$4="",F37='Historia wózka'!$B$4),A37&gt;='Historia wózka'!$B$5,A37&lt;='Historia wózka'!$B$6),A37+0.8+(5000-ROW())/10000000,0)</f>
        <v/>
      </c>
      <c r="J37" s="63">
        <f>Ustawienia!$B$9&amp;""</f>
        <v/>
      </c>
      <c r="K37" s="63">
        <f>IF(H37="","",COUNTIFS('Zgłoszenia'!$B$5:$B$504,F37,'Zgłoszenia'!$D$5:$D$504,"&gt;="&amp;A37,'Zgłoszenia'!$D$5:$D$504,"&lt;="&amp;(A37+1)))</f>
        <v/>
      </c>
      <c r="L37" s="63">
        <f>IF(OR(H37="",K37=0),"—",IF(ISNUMBER(MATCH(H37,'Zgłoszenia'!$S$5:$S$504,0)),RIGHT("0"&amp;DAY(A37),2)&amp;"."&amp;RIGHT("0"&amp;MONTH(A37),2)&amp;"."&amp;YEAR(A37)&amp;": "&amp;INDEX('Zgłoszenia'!$H$5:$H$504,MATCH(H37,'Zgłoszenia'!$S$5:$S$504,0)),RIGHT("0"&amp;DAY((A37+1)),2)&amp;"."&amp;RIGHT("0"&amp;MONTH((A37+1)),2)&amp;"."&amp;YEAR((A37+1))&amp;": "&amp;INDEX('Zgłoszenia'!$H$5:$H$504,MATCH(F37&amp;"|"&amp;(A37+1),'Zgłoszenia'!$S$5:$S$504,0)))&amp;IF(K37&gt;1," (+"&amp;(K37-1)&amp;")",""))</f>
        <v/>
      </c>
      <c r="M37" s="63" t="n">
        <v>1</v>
      </c>
      <c r="N37" s="2" t="n"/>
      <c r="O37" s="2" t="n"/>
    </row>
    <row r="38">
      <c r="A38" s="62">
        <f>IF('1'!$C$1="","",'1'!$C$1)</f>
        <v/>
      </c>
      <c r="B38" s="63">
        <f>Ustawienia!$A$9&amp;""</f>
        <v/>
      </c>
      <c r="C38" s="63">
        <f>Ustawienia!$A$15&amp;""</f>
        <v/>
      </c>
      <c r="D38" s="63" t="n">
        <v>4</v>
      </c>
      <c r="E38" s="63">
        <f>IF('1'!F16="","",TRIM('1'!F16&amp;""))</f>
        <v/>
      </c>
      <c r="F38" s="63">
        <f>IF('1'!G16="","",'1'!G16)</f>
        <v/>
      </c>
      <c r="G38" s="63">
        <f>'1'!H16&amp;""</f>
        <v/>
      </c>
      <c r="H38" s="63">
        <f>IF(OR(A38="",F38=""),"",F38&amp;"|"&amp;A38)</f>
        <v/>
      </c>
      <c r="I38" s="63">
        <f>IF(AND(H38&lt;&gt;"",OR('Historia wózka'!$B$4="",F38='Historia wózka'!$B$4),A38&gt;='Historia wózka'!$B$5,A38&lt;='Historia wózka'!$B$6),A38+0.8+(5000-ROW())/10000000,0)</f>
        <v/>
      </c>
      <c r="J38" s="63">
        <f>Ustawienia!$B$9&amp;""</f>
        <v/>
      </c>
      <c r="K38" s="63">
        <f>IF(H38="","",COUNTIFS('Zgłoszenia'!$B$5:$B$504,F38,'Zgłoszenia'!$D$5:$D$504,"&gt;="&amp;A38,'Zgłoszenia'!$D$5:$D$504,"&lt;="&amp;(A38+1)))</f>
        <v/>
      </c>
      <c r="L38" s="63">
        <f>IF(OR(H38="",K38=0),"—",IF(ISNUMBER(MATCH(H38,'Zgłoszenia'!$S$5:$S$504,0)),RIGHT("0"&amp;DAY(A38),2)&amp;"."&amp;RIGHT("0"&amp;MONTH(A38),2)&amp;"."&amp;YEAR(A38)&amp;": "&amp;INDEX('Zgłoszenia'!$H$5:$H$504,MATCH(H38,'Zgłoszenia'!$S$5:$S$504,0)),RIGHT("0"&amp;DAY((A38+1)),2)&amp;"."&amp;RIGHT("0"&amp;MONTH((A38+1)),2)&amp;"."&amp;YEAR((A38+1))&amp;": "&amp;INDEX('Zgłoszenia'!$H$5:$H$504,MATCH(F38&amp;"|"&amp;(A38+1),'Zgłoszenia'!$S$5:$S$504,0)))&amp;IF(K38&gt;1," (+"&amp;(K38-1)&amp;")",""))</f>
        <v/>
      </c>
      <c r="M38" s="63" t="n">
        <v>1</v>
      </c>
      <c r="N38" s="2" t="n"/>
      <c r="O38" s="2" t="n"/>
    </row>
    <row r="39">
      <c r="A39" s="62">
        <f>IF('1'!$C$1="","",'1'!$C$1)</f>
        <v/>
      </c>
      <c r="B39" s="63">
        <f>Ustawienia!$A$9&amp;""</f>
        <v/>
      </c>
      <c r="C39" s="63">
        <f>Ustawienia!$A$15&amp;""</f>
        <v/>
      </c>
      <c r="D39" s="63" t="n">
        <v>5</v>
      </c>
      <c r="E39" s="63">
        <f>IF('1'!F17="","",TRIM('1'!F17&amp;""))</f>
        <v/>
      </c>
      <c r="F39" s="63">
        <f>IF('1'!G17="","",'1'!G17)</f>
        <v/>
      </c>
      <c r="G39" s="63">
        <f>'1'!H17&amp;""</f>
        <v/>
      </c>
      <c r="H39" s="63">
        <f>IF(OR(A39="",F39=""),"",F39&amp;"|"&amp;A39)</f>
        <v/>
      </c>
      <c r="I39" s="63">
        <f>IF(AND(H39&lt;&gt;"",OR('Historia wózka'!$B$4="",F39='Historia wózka'!$B$4),A39&gt;='Historia wózka'!$B$5,A39&lt;='Historia wózka'!$B$6),A39+0.8+(5000-ROW())/10000000,0)</f>
        <v/>
      </c>
      <c r="J39" s="63">
        <f>Ustawienia!$B$9&amp;""</f>
        <v/>
      </c>
      <c r="K39" s="63">
        <f>IF(H39="","",COUNTIFS('Zgłoszenia'!$B$5:$B$504,F39,'Zgłoszenia'!$D$5:$D$504,"&gt;="&amp;A39,'Zgłoszenia'!$D$5:$D$504,"&lt;="&amp;(A39+1)))</f>
        <v/>
      </c>
      <c r="L39" s="63">
        <f>IF(OR(H39="",K39=0),"—",IF(ISNUMBER(MATCH(H39,'Zgłoszenia'!$S$5:$S$504,0)),RIGHT("0"&amp;DAY(A39),2)&amp;"."&amp;RIGHT("0"&amp;MONTH(A39),2)&amp;"."&amp;YEAR(A39)&amp;": "&amp;INDEX('Zgłoszenia'!$H$5:$H$504,MATCH(H39,'Zgłoszenia'!$S$5:$S$504,0)),RIGHT("0"&amp;DAY((A39+1)),2)&amp;"."&amp;RIGHT("0"&amp;MONTH((A39+1)),2)&amp;"."&amp;YEAR((A39+1))&amp;": "&amp;INDEX('Zgłoszenia'!$H$5:$H$504,MATCH(F39&amp;"|"&amp;(A39+1),'Zgłoszenia'!$S$5:$S$504,0)))&amp;IF(K39&gt;1," (+"&amp;(K39-1)&amp;")",""))</f>
        <v/>
      </c>
      <c r="M39" s="63" t="n">
        <v>1</v>
      </c>
      <c r="N39" s="2" t="n"/>
      <c r="O39" s="2" t="n"/>
    </row>
    <row r="40">
      <c r="A40" s="62">
        <f>IF('1'!$C$1="","",'1'!$C$1)</f>
        <v/>
      </c>
      <c r="B40" s="63">
        <f>Ustawienia!$A$9&amp;""</f>
        <v/>
      </c>
      <c r="C40" s="63">
        <f>Ustawienia!$A$15&amp;""</f>
        <v/>
      </c>
      <c r="D40" s="63" t="n">
        <v>6</v>
      </c>
      <c r="E40" s="63">
        <f>IF('1'!F18="","",TRIM('1'!F18&amp;""))</f>
        <v/>
      </c>
      <c r="F40" s="63">
        <f>IF('1'!G18="","",'1'!G18)</f>
        <v/>
      </c>
      <c r="G40" s="63">
        <f>'1'!H18&amp;""</f>
        <v/>
      </c>
      <c r="H40" s="63">
        <f>IF(OR(A40="",F40=""),"",F40&amp;"|"&amp;A40)</f>
        <v/>
      </c>
      <c r="I40" s="63">
        <f>IF(AND(H40&lt;&gt;"",OR('Historia wózka'!$B$4="",F40='Historia wózka'!$B$4),A40&gt;='Historia wózka'!$B$5,A40&lt;='Historia wózka'!$B$6),A40+0.8+(5000-ROW())/10000000,0)</f>
        <v/>
      </c>
      <c r="J40" s="63">
        <f>Ustawienia!$B$9&amp;""</f>
        <v/>
      </c>
      <c r="K40" s="63">
        <f>IF(H40="","",COUNTIFS('Zgłoszenia'!$B$5:$B$504,F40,'Zgłoszenia'!$D$5:$D$504,"&gt;="&amp;A40,'Zgłoszenia'!$D$5:$D$504,"&lt;="&amp;(A40+1)))</f>
        <v/>
      </c>
      <c r="L40" s="63">
        <f>IF(OR(H40="",K40=0),"—",IF(ISNUMBER(MATCH(H40,'Zgłoszenia'!$S$5:$S$504,0)),RIGHT("0"&amp;DAY(A40),2)&amp;"."&amp;RIGHT("0"&amp;MONTH(A40),2)&amp;"."&amp;YEAR(A40)&amp;": "&amp;INDEX('Zgłoszenia'!$H$5:$H$504,MATCH(H40,'Zgłoszenia'!$S$5:$S$504,0)),RIGHT("0"&amp;DAY((A40+1)),2)&amp;"."&amp;RIGHT("0"&amp;MONTH((A40+1)),2)&amp;"."&amp;YEAR((A40+1))&amp;": "&amp;INDEX('Zgłoszenia'!$H$5:$H$504,MATCH(F40&amp;"|"&amp;(A40+1),'Zgłoszenia'!$S$5:$S$504,0)))&amp;IF(K40&gt;1," (+"&amp;(K40-1)&amp;")",""))</f>
        <v/>
      </c>
      <c r="M40" s="63" t="n">
        <v>1</v>
      </c>
      <c r="N40" s="2" t="n"/>
      <c r="O40" s="2" t="n"/>
    </row>
    <row r="41">
      <c r="A41" s="62">
        <f>IF('1'!$C$1="","",'1'!$C$1)</f>
        <v/>
      </c>
      <c r="B41" s="63">
        <f>Ustawienia!$A$9&amp;""</f>
        <v/>
      </c>
      <c r="C41" s="63">
        <f>Ustawienia!$A$15&amp;""</f>
        <v/>
      </c>
      <c r="D41" s="63" t="n">
        <v>7</v>
      </c>
      <c r="E41" s="63">
        <f>IF('1'!F19="","",TRIM('1'!F19&amp;""))</f>
        <v/>
      </c>
      <c r="F41" s="63">
        <f>IF('1'!G19="","",'1'!G19)</f>
        <v/>
      </c>
      <c r="G41" s="63">
        <f>'1'!H19&amp;""</f>
        <v/>
      </c>
      <c r="H41" s="63">
        <f>IF(OR(A41="",F41=""),"",F41&amp;"|"&amp;A41)</f>
        <v/>
      </c>
      <c r="I41" s="63">
        <f>IF(AND(H41&lt;&gt;"",OR('Historia wózka'!$B$4="",F41='Historia wózka'!$B$4),A41&gt;='Historia wózka'!$B$5,A41&lt;='Historia wózka'!$B$6),A41+0.8+(5000-ROW())/10000000,0)</f>
        <v/>
      </c>
      <c r="J41" s="63">
        <f>Ustawienia!$B$9&amp;""</f>
        <v/>
      </c>
      <c r="K41" s="63">
        <f>IF(H41="","",COUNTIFS('Zgłoszenia'!$B$5:$B$504,F41,'Zgłoszenia'!$D$5:$D$504,"&gt;="&amp;A41,'Zgłoszenia'!$D$5:$D$504,"&lt;="&amp;(A41+1)))</f>
        <v/>
      </c>
      <c r="L41" s="63">
        <f>IF(OR(H41="",K41=0),"—",IF(ISNUMBER(MATCH(H41,'Zgłoszenia'!$S$5:$S$504,0)),RIGHT("0"&amp;DAY(A41),2)&amp;"."&amp;RIGHT("0"&amp;MONTH(A41),2)&amp;"."&amp;YEAR(A41)&amp;": "&amp;INDEX('Zgłoszenia'!$H$5:$H$504,MATCH(H41,'Zgłoszenia'!$S$5:$S$504,0)),RIGHT("0"&amp;DAY((A41+1)),2)&amp;"."&amp;RIGHT("0"&amp;MONTH((A41+1)),2)&amp;"."&amp;YEAR((A41+1))&amp;": "&amp;INDEX('Zgłoszenia'!$H$5:$H$504,MATCH(F41&amp;"|"&amp;(A41+1),'Zgłoszenia'!$S$5:$S$504,0)))&amp;IF(K41&gt;1," (+"&amp;(K41-1)&amp;")",""))</f>
        <v/>
      </c>
      <c r="M41" s="63" t="n">
        <v>1</v>
      </c>
      <c r="N41" s="2" t="n"/>
      <c r="O41" s="2" t="n"/>
    </row>
    <row r="42">
      <c r="A42" s="62">
        <f>IF('1'!$C$1="","",'1'!$C$1)</f>
        <v/>
      </c>
      <c r="B42" s="63">
        <f>Ustawienia!$A$9&amp;""</f>
        <v/>
      </c>
      <c r="C42" s="63">
        <f>Ustawienia!$A$15&amp;""</f>
        <v/>
      </c>
      <c r="D42" s="63" t="n">
        <v>8</v>
      </c>
      <c r="E42" s="63">
        <f>IF('1'!F20="","",TRIM('1'!F20&amp;""))</f>
        <v/>
      </c>
      <c r="F42" s="63">
        <f>IF('1'!G20="","",'1'!G20)</f>
        <v/>
      </c>
      <c r="G42" s="63">
        <f>'1'!H20&amp;""</f>
        <v/>
      </c>
      <c r="H42" s="63">
        <f>IF(OR(A42="",F42=""),"",F42&amp;"|"&amp;A42)</f>
        <v/>
      </c>
      <c r="I42" s="63">
        <f>IF(AND(H42&lt;&gt;"",OR('Historia wózka'!$B$4="",F42='Historia wózka'!$B$4),A42&gt;='Historia wózka'!$B$5,A42&lt;='Historia wózka'!$B$6),A42+0.8+(5000-ROW())/10000000,0)</f>
        <v/>
      </c>
      <c r="J42" s="63">
        <f>Ustawienia!$B$9&amp;""</f>
        <v/>
      </c>
      <c r="K42" s="63">
        <f>IF(H42="","",COUNTIFS('Zgłoszenia'!$B$5:$B$504,F42,'Zgłoszenia'!$D$5:$D$504,"&gt;="&amp;A42,'Zgłoszenia'!$D$5:$D$504,"&lt;="&amp;(A42+1)))</f>
        <v/>
      </c>
      <c r="L42" s="63">
        <f>IF(OR(H42="",K42=0),"—",IF(ISNUMBER(MATCH(H42,'Zgłoszenia'!$S$5:$S$504,0)),RIGHT("0"&amp;DAY(A42),2)&amp;"."&amp;RIGHT("0"&amp;MONTH(A42),2)&amp;"."&amp;YEAR(A42)&amp;": "&amp;INDEX('Zgłoszenia'!$H$5:$H$504,MATCH(H42,'Zgłoszenia'!$S$5:$S$504,0)),RIGHT("0"&amp;DAY((A42+1)),2)&amp;"."&amp;RIGHT("0"&amp;MONTH((A42+1)),2)&amp;"."&amp;YEAR((A42+1))&amp;": "&amp;INDEX('Zgłoszenia'!$H$5:$H$504,MATCH(F42&amp;"|"&amp;(A42+1),'Zgłoszenia'!$S$5:$S$504,0)))&amp;IF(K42&gt;1," (+"&amp;(K42-1)&amp;")",""))</f>
        <v/>
      </c>
      <c r="M42" s="63" t="n">
        <v>1</v>
      </c>
      <c r="N42" s="2" t="n"/>
      <c r="O42" s="2" t="n"/>
    </row>
    <row r="43">
      <c r="A43" s="62">
        <f>IF('1'!$C$1="","",'1'!$C$1)</f>
        <v/>
      </c>
      <c r="B43" s="63">
        <f>Ustawienia!$A$9&amp;""</f>
        <v/>
      </c>
      <c r="C43" s="63">
        <f>Ustawienia!$A$16&amp;""</f>
        <v/>
      </c>
      <c r="D43" s="63" t="n">
        <v>1</v>
      </c>
      <c r="E43" s="63">
        <f>IF('1'!F22="","",TRIM('1'!F22&amp;""))</f>
        <v/>
      </c>
      <c r="F43" s="63">
        <f>IF('1'!G22="","",'1'!G22)</f>
        <v/>
      </c>
      <c r="G43" s="63">
        <f>'1'!H22&amp;""</f>
        <v/>
      </c>
      <c r="H43" s="63">
        <f>IF(OR(A43="",F43=""),"",F43&amp;"|"&amp;A43)</f>
        <v/>
      </c>
      <c r="I43" s="63">
        <f>IF(AND(H43&lt;&gt;"",OR('Historia wózka'!$B$4="",F43='Historia wózka'!$B$4),A43&gt;='Historia wózka'!$B$5,A43&lt;='Historia wózka'!$B$6),A43+0.8+(5000-ROW())/10000000,0)</f>
        <v/>
      </c>
      <c r="J43" s="63">
        <f>Ustawienia!$B$9&amp;""</f>
        <v/>
      </c>
      <c r="K43" s="63">
        <f>IF(H43="","",COUNTIFS('Zgłoszenia'!$B$5:$B$504,F43,'Zgłoszenia'!$D$5:$D$504,"&gt;="&amp;A43,'Zgłoszenia'!$D$5:$D$504,"&lt;="&amp;(A43+1)))</f>
        <v/>
      </c>
      <c r="L43" s="63">
        <f>IF(OR(H43="",K43=0),"—",IF(ISNUMBER(MATCH(H43,'Zgłoszenia'!$S$5:$S$504,0)),RIGHT("0"&amp;DAY(A43),2)&amp;"."&amp;RIGHT("0"&amp;MONTH(A43),2)&amp;"."&amp;YEAR(A43)&amp;": "&amp;INDEX('Zgłoszenia'!$H$5:$H$504,MATCH(H43,'Zgłoszenia'!$S$5:$S$504,0)),RIGHT("0"&amp;DAY((A43+1)),2)&amp;"."&amp;RIGHT("0"&amp;MONTH((A43+1)),2)&amp;"."&amp;YEAR((A43+1))&amp;": "&amp;INDEX('Zgłoszenia'!$H$5:$H$504,MATCH(F43&amp;"|"&amp;(A43+1),'Zgłoszenia'!$S$5:$S$504,0)))&amp;IF(K43&gt;1," (+"&amp;(K43-1)&amp;")",""))</f>
        <v/>
      </c>
      <c r="M43" s="63" t="n">
        <v>1</v>
      </c>
      <c r="N43" s="2" t="n"/>
      <c r="O43" s="2" t="n"/>
    </row>
    <row r="44">
      <c r="A44" s="62">
        <f>IF('1'!$C$1="","",'1'!$C$1)</f>
        <v/>
      </c>
      <c r="B44" s="63">
        <f>Ustawienia!$A$9&amp;""</f>
        <v/>
      </c>
      <c r="C44" s="63">
        <f>Ustawienia!$A$16&amp;""</f>
        <v/>
      </c>
      <c r="D44" s="63" t="n">
        <v>2</v>
      </c>
      <c r="E44" s="63">
        <f>IF('1'!F23="","",TRIM('1'!F23&amp;""))</f>
        <v/>
      </c>
      <c r="F44" s="63">
        <f>IF('1'!G23="","",'1'!G23)</f>
        <v/>
      </c>
      <c r="G44" s="63">
        <f>'1'!H23&amp;""</f>
        <v/>
      </c>
      <c r="H44" s="63">
        <f>IF(OR(A44="",F44=""),"",F44&amp;"|"&amp;A44)</f>
        <v/>
      </c>
      <c r="I44" s="63">
        <f>IF(AND(H44&lt;&gt;"",OR('Historia wózka'!$B$4="",F44='Historia wózka'!$B$4),A44&gt;='Historia wózka'!$B$5,A44&lt;='Historia wózka'!$B$6),A44+0.8+(5000-ROW())/10000000,0)</f>
        <v/>
      </c>
      <c r="J44" s="63">
        <f>Ustawienia!$B$9&amp;""</f>
        <v/>
      </c>
      <c r="K44" s="63">
        <f>IF(H44="","",COUNTIFS('Zgłoszenia'!$B$5:$B$504,F44,'Zgłoszenia'!$D$5:$D$504,"&gt;="&amp;A44,'Zgłoszenia'!$D$5:$D$504,"&lt;="&amp;(A44+1)))</f>
        <v/>
      </c>
      <c r="L44" s="63">
        <f>IF(OR(H44="",K44=0),"—",IF(ISNUMBER(MATCH(H44,'Zgłoszenia'!$S$5:$S$504,0)),RIGHT("0"&amp;DAY(A44),2)&amp;"."&amp;RIGHT("0"&amp;MONTH(A44),2)&amp;"."&amp;YEAR(A44)&amp;": "&amp;INDEX('Zgłoszenia'!$H$5:$H$504,MATCH(H44,'Zgłoszenia'!$S$5:$S$504,0)),RIGHT("0"&amp;DAY((A44+1)),2)&amp;"."&amp;RIGHT("0"&amp;MONTH((A44+1)),2)&amp;"."&amp;YEAR((A44+1))&amp;": "&amp;INDEX('Zgłoszenia'!$H$5:$H$504,MATCH(F44&amp;"|"&amp;(A44+1),'Zgłoszenia'!$S$5:$S$504,0)))&amp;IF(K44&gt;1," (+"&amp;(K44-1)&amp;")",""))</f>
        <v/>
      </c>
      <c r="M44" s="63" t="n">
        <v>1</v>
      </c>
      <c r="N44" s="2" t="n"/>
      <c r="O44" s="2" t="n"/>
    </row>
    <row r="45">
      <c r="A45" s="62">
        <f>IF('1'!$C$1="","",'1'!$C$1)</f>
        <v/>
      </c>
      <c r="B45" s="63">
        <f>Ustawienia!$A$9&amp;""</f>
        <v/>
      </c>
      <c r="C45" s="63">
        <f>Ustawienia!$A$16&amp;""</f>
        <v/>
      </c>
      <c r="D45" s="63" t="n">
        <v>3</v>
      </c>
      <c r="E45" s="63">
        <f>IF('1'!F24="","",TRIM('1'!F24&amp;""))</f>
        <v/>
      </c>
      <c r="F45" s="63">
        <f>IF('1'!G24="","",'1'!G24)</f>
        <v/>
      </c>
      <c r="G45" s="63">
        <f>'1'!H24&amp;""</f>
        <v/>
      </c>
      <c r="H45" s="63">
        <f>IF(OR(A45="",F45=""),"",F45&amp;"|"&amp;A45)</f>
        <v/>
      </c>
      <c r="I45" s="63">
        <f>IF(AND(H45&lt;&gt;"",OR('Historia wózka'!$B$4="",F45='Historia wózka'!$B$4),A45&gt;='Historia wózka'!$B$5,A45&lt;='Historia wózka'!$B$6),A45+0.8+(5000-ROW())/10000000,0)</f>
        <v/>
      </c>
      <c r="J45" s="63">
        <f>Ustawienia!$B$9&amp;""</f>
        <v/>
      </c>
      <c r="K45" s="63">
        <f>IF(H45="","",COUNTIFS('Zgłoszenia'!$B$5:$B$504,F45,'Zgłoszenia'!$D$5:$D$504,"&gt;="&amp;A45,'Zgłoszenia'!$D$5:$D$504,"&lt;="&amp;(A45+1)))</f>
        <v/>
      </c>
      <c r="L45" s="63">
        <f>IF(OR(H45="",K45=0),"—",IF(ISNUMBER(MATCH(H45,'Zgłoszenia'!$S$5:$S$504,0)),RIGHT("0"&amp;DAY(A45),2)&amp;"."&amp;RIGHT("0"&amp;MONTH(A45),2)&amp;"."&amp;YEAR(A45)&amp;": "&amp;INDEX('Zgłoszenia'!$H$5:$H$504,MATCH(H45,'Zgłoszenia'!$S$5:$S$504,0)),RIGHT("0"&amp;DAY((A45+1)),2)&amp;"."&amp;RIGHT("0"&amp;MONTH((A45+1)),2)&amp;"."&amp;YEAR((A45+1))&amp;": "&amp;INDEX('Zgłoszenia'!$H$5:$H$504,MATCH(F45&amp;"|"&amp;(A45+1),'Zgłoszenia'!$S$5:$S$504,0)))&amp;IF(K45&gt;1," (+"&amp;(K45-1)&amp;")",""))</f>
        <v/>
      </c>
      <c r="M45" s="63" t="n">
        <v>1</v>
      </c>
      <c r="N45" s="2" t="n"/>
      <c r="O45" s="2" t="n"/>
    </row>
    <row r="46">
      <c r="A46" s="62">
        <f>IF('1'!$C$1="","",'1'!$C$1)</f>
        <v/>
      </c>
      <c r="B46" s="63">
        <f>Ustawienia!$A$9&amp;""</f>
        <v/>
      </c>
      <c r="C46" s="63">
        <f>Ustawienia!$A$16&amp;""</f>
        <v/>
      </c>
      <c r="D46" s="63" t="n">
        <v>4</v>
      </c>
      <c r="E46" s="63">
        <f>IF('1'!F25="","",TRIM('1'!F25&amp;""))</f>
        <v/>
      </c>
      <c r="F46" s="63">
        <f>IF('1'!G25="","",'1'!G25)</f>
        <v/>
      </c>
      <c r="G46" s="63">
        <f>'1'!H25&amp;""</f>
        <v/>
      </c>
      <c r="H46" s="63">
        <f>IF(OR(A46="",F46=""),"",F46&amp;"|"&amp;A46)</f>
        <v/>
      </c>
      <c r="I46" s="63">
        <f>IF(AND(H46&lt;&gt;"",OR('Historia wózka'!$B$4="",F46='Historia wózka'!$B$4),A46&gt;='Historia wózka'!$B$5,A46&lt;='Historia wózka'!$B$6),A46+0.8+(5000-ROW())/10000000,0)</f>
        <v/>
      </c>
      <c r="J46" s="63">
        <f>Ustawienia!$B$9&amp;""</f>
        <v/>
      </c>
      <c r="K46" s="63">
        <f>IF(H46="","",COUNTIFS('Zgłoszenia'!$B$5:$B$504,F46,'Zgłoszenia'!$D$5:$D$504,"&gt;="&amp;A46,'Zgłoszenia'!$D$5:$D$504,"&lt;="&amp;(A46+1)))</f>
        <v/>
      </c>
      <c r="L46" s="63">
        <f>IF(OR(H46="",K46=0),"—",IF(ISNUMBER(MATCH(H46,'Zgłoszenia'!$S$5:$S$504,0)),RIGHT("0"&amp;DAY(A46),2)&amp;"."&amp;RIGHT("0"&amp;MONTH(A46),2)&amp;"."&amp;YEAR(A46)&amp;": "&amp;INDEX('Zgłoszenia'!$H$5:$H$504,MATCH(H46,'Zgłoszenia'!$S$5:$S$504,0)),RIGHT("0"&amp;DAY((A46+1)),2)&amp;"."&amp;RIGHT("0"&amp;MONTH((A46+1)),2)&amp;"."&amp;YEAR((A46+1))&amp;": "&amp;INDEX('Zgłoszenia'!$H$5:$H$504,MATCH(F46&amp;"|"&amp;(A46+1),'Zgłoszenia'!$S$5:$S$504,0)))&amp;IF(K46&gt;1," (+"&amp;(K46-1)&amp;")",""))</f>
        <v/>
      </c>
      <c r="M46" s="63" t="n">
        <v>1</v>
      </c>
      <c r="N46" s="2" t="n"/>
      <c r="O46" s="2" t="n"/>
    </row>
    <row r="47">
      <c r="A47" s="62">
        <f>IF('1'!$C$1="","",'1'!$C$1)</f>
        <v/>
      </c>
      <c r="B47" s="63">
        <f>Ustawienia!$A$9&amp;""</f>
        <v/>
      </c>
      <c r="C47" s="63">
        <f>Ustawienia!$A$17&amp;""</f>
        <v/>
      </c>
      <c r="D47" s="63" t="n">
        <v>1</v>
      </c>
      <c r="E47" s="63">
        <f>IF('1'!F27="","",TRIM('1'!F27&amp;""))</f>
        <v/>
      </c>
      <c r="F47" s="63">
        <f>IF('1'!G27="","",'1'!G27)</f>
        <v/>
      </c>
      <c r="G47" s="63">
        <f>'1'!H27&amp;""</f>
        <v/>
      </c>
      <c r="H47" s="63">
        <f>IF(OR(A47="",F47=""),"",F47&amp;"|"&amp;A47)</f>
        <v/>
      </c>
      <c r="I47" s="63">
        <f>IF(AND(H47&lt;&gt;"",OR('Historia wózka'!$B$4="",F47='Historia wózka'!$B$4),A47&gt;='Historia wózka'!$B$5,A47&lt;='Historia wózka'!$B$6),A47+0.8+(5000-ROW())/10000000,0)</f>
        <v/>
      </c>
      <c r="J47" s="63">
        <f>Ustawienia!$B$9&amp;""</f>
        <v/>
      </c>
      <c r="K47" s="63">
        <f>IF(H47="","",COUNTIFS('Zgłoszenia'!$B$5:$B$504,F47,'Zgłoszenia'!$D$5:$D$504,"&gt;="&amp;A47,'Zgłoszenia'!$D$5:$D$504,"&lt;="&amp;(A47+1)))</f>
        <v/>
      </c>
      <c r="L47" s="63">
        <f>IF(OR(H47="",K47=0),"—",IF(ISNUMBER(MATCH(H47,'Zgłoszenia'!$S$5:$S$504,0)),RIGHT("0"&amp;DAY(A47),2)&amp;"."&amp;RIGHT("0"&amp;MONTH(A47),2)&amp;"."&amp;YEAR(A47)&amp;": "&amp;INDEX('Zgłoszenia'!$H$5:$H$504,MATCH(H47,'Zgłoszenia'!$S$5:$S$504,0)),RIGHT("0"&amp;DAY((A47+1)),2)&amp;"."&amp;RIGHT("0"&amp;MONTH((A47+1)),2)&amp;"."&amp;YEAR((A47+1))&amp;": "&amp;INDEX('Zgłoszenia'!$H$5:$H$504,MATCH(F47&amp;"|"&amp;(A47+1),'Zgłoszenia'!$S$5:$S$504,0)))&amp;IF(K47&gt;1," (+"&amp;(K47-1)&amp;")",""))</f>
        <v/>
      </c>
      <c r="M47" s="63" t="n">
        <v>1</v>
      </c>
      <c r="N47" s="2" t="n"/>
      <c r="O47" s="2" t="n"/>
    </row>
    <row r="48">
      <c r="A48" s="62">
        <f>IF('1'!$C$1="","",'1'!$C$1)</f>
        <v/>
      </c>
      <c r="B48" s="63">
        <f>Ustawienia!$A$9&amp;""</f>
        <v/>
      </c>
      <c r="C48" s="63">
        <f>Ustawienia!$A$17&amp;""</f>
        <v/>
      </c>
      <c r="D48" s="63" t="n">
        <v>2</v>
      </c>
      <c r="E48" s="63">
        <f>IF('1'!F28="","",TRIM('1'!F28&amp;""))</f>
        <v/>
      </c>
      <c r="F48" s="63">
        <f>IF('1'!G28="","",'1'!G28)</f>
        <v/>
      </c>
      <c r="G48" s="63">
        <f>'1'!H28&amp;""</f>
        <v/>
      </c>
      <c r="H48" s="63">
        <f>IF(OR(A48="",F48=""),"",F48&amp;"|"&amp;A48)</f>
        <v/>
      </c>
      <c r="I48" s="63">
        <f>IF(AND(H48&lt;&gt;"",OR('Historia wózka'!$B$4="",F48='Historia wózka'!$B$4),A48&gt;='Historia wózka'!$B$5,A48&lt;='Historia wózka'!$B$6),A48+0.8+(5000-ROW())/10000000,0)</f>
        <v/>
      </c>
      <c r="J48" s="63">
        <f>Ustawienia!$B$9&amp;""</f>
        <v/>
      </c>
      <c r="K48" s="63">
        <f>IF(H48="","",COUNTIFS('Zgłoszenia'!$B$5:$B$504,F48,'Zgłoszenia'!$D$5:$D$504,"&gt;="&amp;A48,'Zgłoszenia'!$D$5:$D$504,"&lt;="&amp;(A48+1)))</f>
        <v/>
      </c>
      <c r="L48" s="63">
        <f>IF(OR(H48="",K48=0),"—",IF(ISNUMBER(MATCH(H48,'Zgłoszenia'!$S$5:$S$504,0)),RIGHT("0"&amp;DAY(A48),2)&amp;"."&amp;RIGHT("0"&amp;MONTH(A48),2)&amp;"."&amp;YEAR(A48)&amp;": "&amp;INDEX('Zgłoszenia'!$H$5:$H$504,MATCH(H48,'Zgłoszenia'!$S$5:$S$504,0)),RIGHT("0"&amp;DAY((A48+1)),2)&amp;"."&amp;RIGHT("0"&amp;MONTH((A48+1)),2)&amp;"."&amp;YEAR((A48+1))&amp;": "&amp;INDEX('Zgłoszenia'!$H$5:$H$504,MATCH(F48&amp;"|"&amp;(A48+1),'Zgłoszenia'!$S$5:$S$504,0)))&amp;IF(K48&gt;1," (+"&amp;(K48-1)&amp;")",""))</f>
        <v/>
      </c>
      <c r="M48" s="63" t="n">
        <v>1</v>
      </c>
      <c r="N48" s="2" t="n"/>
      <c r="O48" s="2" t="n"/>
    </row>
    <row r="49">
      <c r="A49" s="62">
        <f>IF('1'!$C$1="","",'1'!$C$1)</f>
        <v/>
      </c>
      <c r="B49" s="63">
        <f>Ustawienia!$A$9&amp;""</f>
        <v/>
      </c>
      <c r="C49" s="63">
        <f>Ustawienia!$A$17&amp;""</f>
        <v/>
      </c>
      <c r="D49" s="63" t="n">
        <v>3</v>
      </c>
      <c r="E49" s="63">
        <f>IF('1'!F29="","",TRIM('1'!F29&amp;""))</f>
        <v/>
      </c>
      <c r="F49" s="63">
        <f>IF('1'!G29="","",'1'!G29)</f>
        <v/>
      </c>
      <c r="G49" s="63">
        <f>'1'!H29&amp;""</f>
        <v/>
      </c>
      <c r="H49" s="63">
        <f>IF(OR(A49="",F49=""),"",F49&amp;"|"&amp;A49)</f>
        <v/>
      </c>
      <c r="I49" s="63">
        <f>IF(AND(H49&lt;&gt;"",OR('Historia wózka'!$B$4="",F49='Historia wózka'!$B$4),A49&gt;='Historia wózka'!$B$5,A49&lt;='Historia wózka'!$B$6),A49+0.8+(5000-ROW())/10000000,0)</f>
        <v/>
      </c>
      <c r="J49" s="63">
        <f>Ustawienia!$B$9&amp;""</f>
        <v/>
      </c>
      <c r="K49" s="63">
        <f>IF(H49="","",COUNTIFS('Zgłoszenia'!$B$5:$B$504,F49,'Zgłoszenia'!$D$5:$D$504,"&gt;="&amp;A49,'Zgłoszenia'!$D$5:$D$504,"&lt;="&amp;(A49+1)))</f>
        <v/>
      </c>
      <c r="L49" s="63">
        <f>IF(OR(H49="",K49=0),"—",IF(ISNUMBER(MATCH(H49,'Zgłoszenia'!$S$5:$S$504,0)),RIGHT("0"&amp;DAY(A49),2)&amp;"."&amp;RIGHT("0"&amp;MONTH(A49),2)&amp;"."&amp;YEAR(A49)&amp;": "&amp;INDEX('Zgłoszenia'!$H$5:$H$504,MATCH(H49,'Zgłoszenia'!$S$5:$S$504,0)),RIGHT("0"&amp;DAY((A49+1)),2)&amp;"."&amp;RIGHT("0"&amp;MONTH((A49+1)),2)&amp;"."&amp;YEAR((A49+1))&amp;": "&amp;INDEX('Zgłoszenia'!$H$5:$H$504,MATCH(F49&amp;"|"&amp;(A49+1),'Zgłoszenia'!$S$5:$S$504,0)))&amp;IF(K49&gt;1," (+"&amp;(K49-1)&amp;")",""))</f>
        <v/>
      </c>
      <c r="M49" s="63" t="n">
        <v>1</v>
      </c>
      <c r="N49" s="2" t="n"/>
      <c r="O49" s="2" t="n"/>
    </row>
    <row r="50">
      <c r="A50" s="62">
        <f>IF('1'!$C$1="","",'1'!$C$1)</f>
        <v/>
      </c>
      <c r="B50" s="63">
        <f>Ustawienia!$A$9&amp;""</f>
        <v/>
      </c>
      <c r="C50" s="63">
        <f>Ustawienia!$A$17&amp;""</f>
        <v/>
      </c>
      <c r="D50" s="63" t="n">
        <v>4</v>
      </c>
      <c r="E50" s="63">
        <f>IF('1'!F30="","",TRIM('1'!F30&amp;""))</f>
        <v/>
      </c>
      <c r="F50" s="63">
        <f>IF('1'!G30="","",'1'!G30)</f>
        <v/>
      </c>
      <c r="G50" s="63">
        <f>'1'!H30&amp;""</f>
        <v/>
      </c>
      <c r="H50" s="63">
        <f>IF(OR(A50="",F50=""),"",F50&amp;"|"&amp;A50)</f>
        <v/>
      </c>
      <c r="I50" s="63">
        <f>IF(AND(H50&lt;&gt;"",OR('Historia wózka'!$B$4="",F50='Historia wózka'!$B$4),A50&gt;='Historia wózka'!$B$5,A50&lt;='Historia wózka'!$B$6),A50+0.8+(5000-ROW())/10000000,0)</f>
        <v/>
      </c>
      <c r="J50" s="63">
        <f>Ustawienia!$B$9&amp;""</f>
        <v/>
      </c>
      <c r="K50" s="63">
        <f>IF(H50="","",COUNTIFS('Zgłoszenia'!$B$5:$B$504,F50,'Zgłoszenia'!$D$5:$D$504,"&gt;="&amp;A50,'Zgłoszenia'!$D$5:$D$504,"&lt;="&amp;(A50+1)))</f>
        <v/>
      </c>
      <c r="L50" s="63">
        <f>IF(OR(H50="",K50=0),"—",IF(ISNUMBER(MATCH(H50,'Zgłoszenia'!$S$5:$S$504,0)),RIGHT("0"&amp;DAY(A50),2)&amp;"."&amp;RIGHT("0"&amp;MONTH(A50),2)&amp;"."&amp;YEAR(A50)&amp;": "&amp;INDEX('Zgłoszenia'!$H$5:$H$504,MATCH(H50,'Zgłoszenia'!$S$5:$S$504,0)),RIGHT("0"&amp;DAY((A50+1)),2)&amp;"."&amp;RIGHT("0"&amp;MONTH((A50+1)),2)&amp;"."&amp;YEAR((A50+1))&amp;": "&amp;INDEX('Zgłoszenia'!$H$5:$H$504,MATCH(F50&amp;"|"&amp;(A50+1),'Zgłoszenia'!$S$5:$S$504,0)))&amp;IF(K50&gt;1," (+"&amp;(K50-1)&amp;")",""))</f>
        <v/>
      </c>
      <c r="M50" s="63" t="n">
        <v>1</v>
      </c>
      <c r="N50" s="2" t="n"/>
      <c r="O50" s="2" t="n"/>
    </row>
    <row r="51">
      <c r="A51" s="62">
        <f>IF('1'!$C$1="","",'1'!$C$1)</f>
        <v/>
      </c>
      <c r="B51" s="63">
        <f>Ustawienia!$A$9&amp;""</f>
        <v/>
      </c>
      <c r="C51" s="63">
        <f>Ustawienia!$A$18&amp;""</f>
        <v/>
      </c>
      <c r="D51" s="63" t="n">
        <v>1</v>
      </c>
      <c r="E51" s="63">
        <f>IF('1'!F32="","",TRIM('1'!F32&amp;""))</f>
        <v/>
      </c>
      <c r="F51" s="63">
        <f>IF('1'!G32="","",'1'!G32)</f>
        <v/>
      </c>
      <c r="G51" s="63">
        <f>'1'!H32&amp;""</f>
        <v/>
      </c>
      <c r="H51" s="63">
        <f>IF(OR(A51="",F51=""),"",F51&amp;"|"&amp;A51)</f>
        <v/>
      </c>
      <c r="I51" s="63">
        <f>IF(AND(H51&lt;&gt;"",OR('Historia wózka'!$B$4="",F51='Historia wózka'!$B$4),A51&gt;='Historia wózka'!$B$5,A51&lt;='Historia wózka'!$B$6),A51+0.8+(5000-ROW())/10000000,0)</f>
        <v/>
      </c>
      <c r="J51" s="63">
        <f>Ustawienia!$B$9&amp;""</f>
        <v/>
      </c>
      <c r="K51" s="63">
        <f>IF(H51="","",COUNTIFS('Zgłoszenia'!$B$5:$B$504,F51,'Zgłoszenia'!$D$5:$D$504,"&gt;="&amp;A51,'Zgłoszenia'!$D$5:$D$504,"&lt;="&amp;(A51+1)))</f>
        <v/>
      </c>
      <c r="L51" s="63">
        <f>IF(OR(H51="",K51=0),"—",IF(ISNUMBER(MATCH(H51,'Zgłoszenia'!$S$5:$S$504,0)),RIGHT("0"&amp;DAY(A51),2)&amp;"."&amp;RIGHT("0"&amp;MONTH(A51),2)&amp;"."&amp;YEAR(A51)&amp;": "&amp;INDEX('Zgłoszenia'!$H$5:$H$504,MATCH(H51,'Zgłoszenia'!$S$5:$S$504,0)),RIGHT("0"&amp;DAY((A51+1)),2)&amp;"."&amp;RIGHT("0"&amp;MONTH((A51+1)),2)&amp;"."&amp;YEAR((A51+1))&amp;": "&amp;INDEX('Zgłoszenia'!$H$5:$H$504,MATCH(F51&amp;"|"&amp;(A51+1),'Zgłoszenia'!$S$5:$S$504,0)))&amp;IF(K51&gt;1," (+"&amp;(K51-1)&amp;")",""))</f>
        <v/>
      </c>
      <c r="M51" s="63" t="n">
        <v>1</v>
      </c>
      <c r="N51" s="2" t="n"/>
      <c r="O51" s="2" t="n"/>
    </row>
    <row r="52">
      <c r="A52" s="62">
        <f>IF('1'!$C$1="","",'1'!$C$1)</f>
        <v/>
      </c>
      <c r="B52" s="63">
        <f>Ustawienia!$A$9&amp;""</f>
        <v/>
      </c>
      <c r="C52" s="63">
        <f>Ustawienia!$A$18&amp;""</f>
        <v/>
      </c>
      <c r="D52" s="63" t="n">
        <v>2</v>
      </c>
      <c r="E52" s="63">
        <f>IF('1'!F33="","",TRIM('1'!F33&amp;""))</f>
        <v/>
      </c>
      <c r="F52" s="63">
        <f>IF('1'!G33="","",'1'!G33)</f>
        <v/>
      </c>
      <c r="G52" s="63">
        <f>'1'!H33&amp;""</f>
        <v/>
      </c>
      <c r="H52" s="63">
        <f>IF(OR(A52="",F52=""),"",F52&amp;"|"&amp;A52)</f>
        <v/>
      </c>
      <c r="I52" s="63">
        <f>IF(AND(H52&lt;&gt;"",OR('Historia wózka'!$B$4="",F52='Historia wózka'!$B$4),A52&gt;='Historia wózka'!$B$5,A52&lt;='Historia wózka'!$B$6),A52+0.8+(5000-ROW())/10000000,0)</f>
        <v/>
      </c>
      <c r="J52" s="63">
        <f>Ustawienia!$B$9&amp;""</f>
        <v/>
      </c>
      <c r="K52" s="63">
        <f>IF(H52="","",COUNTIFS('Zgłoszenia'!$B$5:$B$504,F52,'Zgłoszenia'!$D$5:$D$504,"&gt;="&amp;A52,'Zgłoszenia'!$D$5:$D$504,"&lt;="&amp;(A52+1)))</f>
        <v/>
      </c>
      <c r="L52" s="63">
        <f>IF(OR(H52="",K52=0),"—",IF(ISNUMBER(MATCH(H52,'Zgłoszenia'!$S$5:$S$504,0)),RIGHT("0"&amp;DAY(A52),2)&amp;"."&amp;RIGHT("0"&amp;MONTH(A52),2)&amp;"."&amp;YEAR(A52)&amp;": "&amp;INDEX('Zgłoszenia'!$H$5:$H$504,MATCH(H52,'Zgłoszenia'!$S$5:$S$504,0)),RIGHT("0"&amp;DAY((A52+1)),2)&amp;"."&amp;RIGHT("0"&amp;MONTH((A52+1)),2)&amp;"."&amp;YEAR((A52+1))&amp;": "&amp;INDEX('Zgłoszenia'!$H$5:$H$504,MATCH(F52&amp;"|"&amp;(A52+1),'Zgłoszenia'!$S$5:$S$504,0)))&amp;IF(K52&gt;1," (+"&amp;(K52-1)&amp;")",""))</f>
        <v/>
      </c>
      <c r="M52" s="63" t="n">
        <v>1</v>
      </c>
      <c r="N52" s="2" t="n"/>
      <c r="O52" s="2" t="n"/>
    </row>
    <row r="53">
      <c r="A53" s="62">
        <f>IF('1'!$C$1="","",'1'!$C$1)</f>
        <v/>
      </c>
      <c r="B53" s="63">
        <f>Ustawienia!$A$9&amp;""</f>
        <v/>
      </c>
      <c r="C53" s="63">
        <f>Ustawienia!$A$18&amp;""</f>
        <v/>
      </c>
      <c r="D53" s="63" t="n">
        <v>3</v>
      </c>
      <c r="E53" s="63">
        <f>IF('1'!F34="","",TRIM('1'!F34&amp;""))</f>
        <v/>
      </c>
      <c r="F53" s="63">
        <f>IF('1'!G34="","",'1'!G34)</f>
        <v/>
      </c>
      <c r="G53" s="63">
        <f>'1'!H34&amp;""</f>
        <v/>
      </c>
      <c r="H53" s="63">
        <f>IF(OR(A53="",F53=""),"",F53&amp;"|"&amp;A53)</f>
        <v/>
      </c>
      <c r="I53" s="63">
        <f>IF(AND(H53&lt;&gt;"",OR('Historia wózka'!$B$4="",F53='Historia wózka'!$B$4),A53&gt;='Historia wózka'!$B$5,A53&lt;='Historia wózka'!$B$6),A53+0.8+(5000-ROW())/10000000,0)</f>
        <v/>
      </c>
      <c r="J53" s="63">
        <f>Ustawienia!$B$9&amp;""</f>
        <v/>
      </c>
      <c r="K53" s="63">
        <f>IF(H53="","",COUNTIFS('Zgłoszenia'!$B$5:$B$504,F53,'Zgłoszenia'!$D$5:$D$504,"&gt;="&amp;A53,'Zgłoszenia'!$D$5:$D$504,"&lt;="&amp;(A53+1)))</f>
        <v/>
      </c>
      <c r="L53" s="63">
        <f>IF(OR(H53="",K53=0),"—",IF(ISNUMBER(MATCH(H53,'Zgłoszenia'!$S$5:$S$504,0)),RIGHT("0"&amp;DAY(A53),2)&amp;"."&amp;RIGHT("0"&amp;MONTH(A53),2)&amp;"."&amp;YEAR(A53)&amp;": "&amp;INDEX('Zgłoszenia'!$H$5:$H$504,MATCH(H53,'Zgłoszenia'!$S$5:$S$504,0)),RIGHT("0"&amp;DAY((A53+1)),2)&amp;"."&amp;RIGHT("0"&amp;MONTH((A53+1)),2)&amp;"."&amp;YEAR((A53+1))&amp;": "&amp;INDEX('Zgłoszenia'!$H$5:$H$504,MATCH(F53&amp;"|"&amp;(A53+1),'Zgłoszenia'!$S$5:$S$504,0)))&amp;IF(K53&gt;1," (+"&amp;(K53-1)&amp;")",""))</f>
        <v/>
      </c>
      <c r="M53" s="63" t="n">
        <v>1</v>
      </c>
      <c r="N53" s="2" t="n"/>
      <c r="O53" s="2" t="n"/>
    </row>
    <row r="54">
      <c r="A54" s="62">
        <f>IF('1'!$C$1="","",'1'!$C$1)</f>
        <v/>
      </c>
      <c r="B54" s="63">
        <f>Ustawienia!$A$9&amp;""</f>
        <v/>
      </c>
      <c r="C54" s="63">
        <f>Ustawienia!$A$18&amp;""</f>
        <v/>
      </c>
      <c r="D54" s="63" t="n">
        <v>4</v>
      </c>
      <c r="E54" s="63">
        <f>IF('1'!F35="","",TRIM('1'!F35&amp;""))</f>
        <v/>
      </c>
      <c r="F54" s="63">
        <f>IF('1'!G35="","",'1'!G35)</f>
        <v/>
      </c>
      <c r="G54" s="63">
        <f>'1'!H35&amp;""</f>
        <v/>
      </c>
      <c r="H54" s="63">
        <f>IF(OR(A54="",F54=""),"",F54&amp;"|"&amp;A54)</f>
        <v/>
      </c>
      <c r="I54" s="63">
        <f>IF(AND(H54&lt;&gt;"",OR('Historia wózka'!$B$4="",F54='Historia wózka'!$B$4),A54&gt;='Historia wózka'!$B$5,A54&lt;='Historia wózka'!$B$6),A54+0.8+(5000-ROW())/10000000,0)</f>
        <v/>
      </c>
      <c r="J54" s="63">
        <f>Ustawienia!$B$9&amp;""</f>
        <v/>
      </c>
      <c r="K54" s="63">
        <f>IF(H54="","",COUNTIFS('Zgłoszenia'!$B$5:$B$504,F54,'Zgłoszenia'!$D$5:$D$504,"&gt;="&amp;A54,'Zgłoszenia'!$D$5:$D$504,"&lt;="&amp;(A54+1)))</f>
        <v/>
      </c>
      <c r="L54" s="63">
        <f>IF(OR(H54="",K54=0),"—",IF(ISNUMBER(MATCH(H54,'Zgłoszenia'!$S$5:$S$504,0)),RIGHT("0"&amp;DAY(A54),2)&amp;"."&amp;RIGHT("0"&amp;MONTH(A54),2)&amp;"."&amp;YEAR(A54)&amp;": "&amp;INDEX('Zgłoszenia'!$H$5:$H$504,MATCH(H54,'Zgłoszenia'!$S$5:$S$504,0)),RIGHT("0"&amp;DAY((A54+1)),2)&amp;"."&amp;RIGHT("0"&amp;MONTH((A54+1)),2)&amp;"."&amp;YEAR((A54+1))&amp;": "&amp;INDEX('Zgłoszenia'!$H$5:$H$504,MATCH(F54&amp;"|"&amp;(A54+1),'Zgłoszenia'!$S$5:$S$504,0)))&amp;IF(K54&gt;1," (+"&amp;(K54-1)&amp;")",""))</f>
        <v/>
      </c>
      <c r="M54" s="63" t="n">
        <v>1</v>
      </c>
      <c r="N54" s="2" t="n"/>
      <c r="O54" s="2" t="n"/>
    </row>
    <row r="55">
      <c r="A55" s="62">
        <f>IF('1'!$C$1="","",'1'!$C$1)</f>
        <v/>
      </c>
      <c r="B55" s="63">
        <f>Ustawienia!$A$9&amp;""</f>
        <v/>
      </c>
      <c r="C55" s="63">
        <f>Ustawienia!$A$18&amp;""</f>
        <v/>
      </c>
      <c r="D55" s="63" t="n">
        <v>5</v>
      </c>
      <c r="E55" s="63">
        <f>IF('1'!F36="","",TRIM('1'!F36&amp;""))</f>
        <v/>
      </c>
      <c r="F55" s="63">
        <f>IF('1'!G36="","",'1'!G36)</f>
        <v/>
      </c>
      <c r="G55" s="63">
        <f>'1'!H36&amp;""</f>
        <v/>
      </c>
      <c r="H55" s="63">
        <f>IF(OR(A55="",F55=""),"",F55&amp;"|"&amp;A55)</f>
        <v/>
      </c>
      <c r="I55" s="63">
        <f>IF(AND(H55&lt;&gt;"",OR('Historia wózka'!$B$4="",F55='Historia wózka'!$B$4),A55&gt;='Historia wózka'!$B$5,A55&lt;='Historia wózka'!$B$6),A55+0.8+(5000-ROW())/10000000,0)</f>
        <v/>
      </c>
      <c r="J55" s="63">
        <f>Ustawienia!$B$9&amp;""</f>
        <v/>
      </c>
      <c r="K55" s="63">
        <f>IF(H55="","",COUNTIFS('Zgłoszenia'!$B$5:$B$504,F55,'Zgłoszenia'!$D$5:$D$504,"&gt;="&amp;A55,'Zgłoszenia'!$D$5:$D$504,"&lt;="&amp;(A55+1)))</f>
        <v/>
      </c>
      <c r="L55" s="63">
        <f>IF(OR(H55="",K55=0),"—",IF(ISNUMBER(MATCH(H55,'Zgłoszenia'!$S$5:$S$504,0)),RIGHT("0"&amp;DAY(A55),2)&amp;"."&amp;RIGHT("0"&amp;MONTH(A55),2)&amp;"."&amp;YEAR(A55)&amp;": "&amp;INDEX('Zgłoszenia'!$H$5:$H$504,MATCH(H55,'Zgłoszenia'!$S$5:$S$504,0)),RIGHT("0"&amp;DAY((A55+1)),2)&amp;"."&amp;RIGHT("0"&amp;MONTH((A55+1)),2)&amp;"."&amp;YEAR((A55+1))&amp;": "&amp;INDEX('Zgłoszenia'!$H$5:$H$504,MATCH(F55&amp;"|"&amp;(A55+1),'Zgłoszenia'!$S$5:$S$504,0)))&amp;IF(K55&gt;1," (+"&amp;(K55-1)&amp;")",""))</f>
        <v/>
      </c>
      <c r="M55" s="63" t="n">
        <v>1</v>
      </c>
      <c r="N55" s="2" t="n"/>
      <c r="O55" s="2" t="n"/>
    </row>
    <row r="56">
      <c r="A56" s="62">
        <f>IF('1'!$C$1="","",'1'!$C$1)</f>
        <v/>
      </c>
      <c r="B56" s="63">
        <f>Ustawienia!$A$10&amp;""</f>
        <v/>
      </c>
      <c r="C56" s="63">
        <f>Ustawienia!$A$14&amp;""</f>
        <v/>
      </c>
      <c r="D56" s="63" t="n">
        <v>1</v>
      </c>
      <c r="E56" s="63">
        <f>IF('1'!J6="","",TRIM('1'!J6&amp;""))</f>
        <v/>
      </c>
      <c r="F56" s="63">
        <f>IF('1'!K6="","",'1'!K6)</f>
        <v/>
      </c>
      <c r="G56" s="63">
        <f>'1'!L6&amp;""</f>
        <v/>
      </c>
      <c r="H56" s="63">
        <f>IF(OR(A56="",F56=""),"",F56&amp;"|"&amp;A56)</f>
        <v/>
      </c>
      <c r="I56" s="63">
        <f>IF(AND(H56&lt;&gt;"",OR('Historia wózka'!$B$4="",F56='Historia wózka'!$B$4),A56&gt;='Historia wózka'!$B$5,A56&lt;='Historia wózka'!$B$6),A56+0.7+(5000-ROW())/10000000,0)</f>
        <v/>
      </c>
      <c r="J56" s="63">
        <f>Ustawienia!$B$10&amp;""</f>
        <v/>
      </c>
      <c r="K56" s="63">
        <f>IF(H56="","",COUNTIFS('Zgłoszenia'!$B$5:$B$504,F56,'Zgłoszenia'!$D$5:$D$504,"&gt;="&amp;A56,'Zgłoszenia'!$D$5:$D$504,"&lt;="&amp;(A56+1)))</f>
        <v/>
      </c>
      <c r="L56" s="63">
        <f>IF(OR(H56="",K56=0),"—",IF(ISNUMBER(MATCH(H56,'Zgłoszenia'!$S$5:$S$504,0)),RIGHT("0"&amp;DAY(A56),2)&amp;"."&amp;RIGHT("0"&amp;MONTH(A56),2)&amp;"."&amp;YEAR(A56)&amp;": "&amp;INDEX('Zgłoszenia'!$H$5:$H$504,MATCH(H56,'Zgłoszenia'!$S$5:$S$504,0)),RIGHT("0"&amp;DAY((A56+1)),2)&amp;"."&amp;RIGHT("0"&amp;MONTH((A56+1)),2)&amp;"."&amp;YEAR((A56+1))&amp;": "&amp;INDEX('Zgłoszenia'!$H$5:$H$504,MATCH(F56&amp;"|"&amp;(A56+1),'Zgłoszenia'!$S$5:$S$504,0)))&amp;IF(K56&gt;1," (+"&amp;(K56-1)&amp;")",""))</f>
        <v/>
      </c>
      <c r="M56" s="63" t="n">
        <v>1</v>
      </c>
      <c r="N56" s="2" t="n"/>
      <c r="O56" s="2" t="n"/>
    </row>
    <row r="57">
      <c r="A57" s="62">
        <f>IF('1'!$C$1="","",'1'!$C$1)</f>
        <v/>
      </c>
      <c r="B57" s="63">
        <f>Ustawienia!$A$10&amp;""</f>
        <v/>
      </c>
      <c r="C57" s="63">
        <f>Ustawienia!$A$14&amp;""</f>
        <v/>
      </c>
      <c r="D57" s="63" t="n">
        <v>2</v>
      </c>
      <c r="E57" s="63">
        <f>IF('1'!J7="","",TRIM('1'!J7&amp;""))</f>
        <v/>
      </c>
      <c r="F57" s="63">
        <f>IF('1'!K7="","",'1'!K7)</f>
        <v/>
      </c>
      <c r="G57" s="63">
        <f>'1'!L7&amp;""</f>
        <v/>
      </c>
      <c r="H57" s="63">
        <f>IF(OR(A57="",F57=""),"",F57&amp;"|"&amp;A57)</f>
        <v/>
      </c>
      <c r="I57" s="63">
        <f>IF(AND(H57&lt;&gt;"",OR('Historia wózka'!$B$4="",F57='Historia wózka'!$B$4),A57&gt;='Historia wózka'!$B$5,A57&lt;='Historia wózka'!$B$6),A57+0.7+(5000-ROW())/10000000,0)</f>
        <v/>
      </c>
      <c r="J57" s="63">
        <f>Ustawienia!$B$10&amp;""</f>
        <v/>
      </c>
      <c r="K57" s="63">
        <f>IF(H57="","",COUNTIFS('Zgłoszenia'!$B$5:$B$504,F57,'Zgłoszenia'!$D$5:$D$504,"&gt;="&amp;A57,'Zgłoszenia'!$D$5:$D$504,"&lt;="&amp;(A57+1)))</f>
        <v/>
      </c>
      <c r="L57" s="63">
        <f>IF(OR(H57="",K57=0),"—",IF(ISNUMBER(MATCH(H57,'Zgłoszenia'!$S$5:$S$504,0)),RIGHT("0"&amp;DAY(A57),2)&amp;"."&amp;RIGHT("0"&amp;MONTH(A57),2)&amp;"."&amp;YEAR(A57)&amp;": "&amp;INDEX('Zgłoszenia'!$H$5:$H$504,MATCH(H57,'Zgłoszenia'!$S$5:$S$504,0)),RIGHT("0"&amp;DAY((A57+1)),2)&amp;"."&amp;RIGHT("0"&amp;MONTH((A57+1)),2)&amp;"."&amp;YEAR((A57+1))&amp;": "&amp;INDEX('Zgłoszenia'!$H$5:$H$504,MATCH(F57&amp;"|"&amp;(A57+1),'Zgłoszenia'!$S$5:$S$504,0)))&amp;IF(K57&gt;1," (+"&amp;(K57-1)&amp;")",""))</f>
        <v/>
      </c>
      <c r="M57" s="63" t="n">
        <v>1</v>
      </c>
      <c r="N57" s="2" t="n"/>
      <c r="O57" s="2" t="n"/>
    </row>
    <row r="58">
      <c r="A58" s="62">
        <f>IF('1'!$C$1="","",'1'!$C$1)</f>
        <v/>
      </c>
      <c r="B58" s="63">
        <f>Ustawienia!$A$10&amp;""</f>
        <v/>
      </c>
      <c r="C58" s="63">
        <f>Ustawienia!$A$14&amp;""</f>
        <v/>
      </c>
      <c r="D58" s="63" t="n">
        <v>3</v>
      </c>
      <c r="E58" s="63">
        <f>IF('1'!J8="","",TRIM('1'!J8&amp;""))</f>
        <v/>
      </c>
      <c r="F58" s="63">
        <f>IF('1'!K8="","",'1'!K8)</f>
        <v/>
      </c>
      <c r="G58" s="63">
        <f>'1'!L8&amp;""</f>
        <v/>
      </c>
      <c r="H58" s="63">
        <f>IF(OR(A58="",F58=""),"",F58&amp;"|"&amp;A58)</f>
        <v/>
      </c>
      <c r="I58" s="63">
        <f>IF(AND(H58&lt;&gt;"",OR('Historia wózka'!$B$4="",F58='Historia wózka'!$B$4),A58&gt;='Historia wózka'!$B$5,A58&lt;='Historia wózka'!$B$6),A58+0.7+(5000-ROW())/10000000,0)</f>
        <v/>
      </c>
      <c r="J58" s="63">
        <f>Ustawienia!$B$10&amp;""</f>
        <v/>
      </c>
      <c r="K58" s="63">
        <f>IF(H58="","",COUNTIFS('Zgłoszenia'!$B$5:$B$504,F58,'Zgłoszenia'!$D$5:$D$504,"&gt;="&amp;A58,'Zgłoszenia'!$D$5:$D$504,"&lt;="&amp;(A58+1)))</f>
        <v/>
      </c>
      <c r="L58" s="63">
        <f>IF(OR(H58="",K58=0),"—",IF(ISNUMBER(MATCH(H58,'Zgłoszenia'!$S$5:$S$504,0)),RIGHT("0"&amp;DAY(A58),2)&amp;"."&amp;RIGHT("0"&amp;MONTH(A58),2)&amp;"."&amp;YEAR(A58)&amp;": "&amp;INDEX('Zgłoszenia'!$H$5:$H$504,MATCH(H58,'Zgłoszenia'!$S$5:$S$504,0)),RIGHT("0"&amp;DAY((A58+1)),2)&amp;"."&amp;RIGHT("0"&amp;MONTH((A58+1)),2)&amp;"."&amp;YEAR((A58+1))&amp;": "&amp;INDEX('Zgłoszenia'!$H$5:$H$504,MATCH(F58&amp;"|"&amp;(A58+1),'Zgłoszenia'!$S$5:$S$504,0)))&amp;IF(K58&gt;1," (+"&amp;(K58-1)&amp;")",""))</f>
        <v/>
      </c>
      <c r="M58" s="63" t="n">
        <v>1</v>
      </c>
      <c r="N58" s="2" t="n"/>
      <c r="O58" s="2" t="n"/>
    </row>
    <row r="59">
      <c r="A59" s="62">
        <f>IF('1'!$C$1="","",'1'!$C$1)</f>
        <v/>
      </c>
      <c r="B59" s="63">
        <f>Ustawienia!$A$10&amp;""</f>
        <v/>
      </c>
      <c r="C59" s="63">
        <f>Ustawienia!$A$14&amp;""</f>
        <v/>
      </c>
      <c r="D59" s="63" t="n">
        <v>4</v>
      </c>
      <c r="E59" s="63">
        <f>IF('1'!J9="","",TRIM('1'!J9&amp;""))</f>
        <v/>
      </c>
      <c r="F59" s="63">
        <f>IF('1'!K9="","",'1'!K9)</f>
        <v/>
      </c>
      <c r="G59" s="63">
        <f>'1'!L9&amp;""</f>
        <v/>
      </c>
      <c r="H59" s="63">
        <f>IF(OR(A59="",F59=""),"",F59&amp;"|"&amp;A59)</f>
        <v/>
      </c>
      <c r="I59" s="63">
        <f>IF(AND(H59&lt;&gt;"",OR('Historia wózka'!$B$4="",F59='Historia wózka'!$B$4),A59&gt;='Historia wózka'!$B$5,A59&lt;='Historia wózka'!$B$6),A59+0.7+(5000-ROW())/10000000,0)</f>
        <v/>
      </c>
      <c r="J59" s="63">
        <f>Ustawienia!$B$10&amp;""</f>
        <v/>
      </c>
      <c r="K59" s="63">
        <f>IF(H59="","",COUNTIFS('Zgłoszenia'!$B$5:$B$504,F59,'Zgłoszenia'!$D$5:$D$504,"&gt;="&amp;A59,'Zgłoszenia'!$D$5:$D$504,"&lt;="&amp;(A59+1)))</f>
        <v/>
      </c>
      <c r="L59" s="63">
        <f>IF(OR(H59="",K59=0),"—",IF(ISNUMBER(MATCH(H59,'Zgłoszenia'!$S$5:$S$504,0)),RIGHT("0"&amp;DAY(A59),2)&amp;"."&amp;RIGHT("0"&amp;MONTH(A59),2)&amp;"."&amp;YEAR(A59)&amp;": "&amp;INDEX('Zgłoszenia'!$H$5:$H$504,MATCH(H59,'Zgłoszenia'!$S$5:$S$504,0)),RIGHT("0"&amp;DAY((A59+1)),2)&amp;"."&amp;RIGHT("0"&amp;MONTH((A59+1)),2)&amp;"."&amp;YEAR((A59+1))&amp;": "&amp;INDEX('Zgłoszenia'!$H$5:$H$504,MATCH(F59&amp;"|"&amp;(A59+1),'Zgłoszenia'!$S$5:$S$504,0)))&amp;IF(K59&gt;1," (+"&amp;(K59-1)&amp;")",""))</f>
        <v/>
      </c>
      <c r="M59" s="63" t="n">
        <v>1</v>
      </c>
      <c r="N59" s="2" t="n"/>
      <c r="O59" s="2" t="n"/>
    </row>
    <row r="60">
      <c r="A60" s="62">
        <f>IF('1'!$C$1="","",'1'!$C$1)</f>
        <v/>
      </c>
      <c r="B60" s="63">
        <f>Ustawienia!$A$10&amp;""</f>
        <v/>
      </c>
      <c r="C60" s="63">
        <f>Ustawienia!$A$14&amp;""</f>
        <v/>
      </c>
      <c r="D60" s="63" t="n">
        <v>5</v>
      </c>
      <c r="E60" s="63">
        <f>IF('1'!J10="","",TRIM('1'!J10&amp;""))</f>
        <v/>
      </c>
      <c r="F60" s="63">
        <f>IF('1'!K10="","",'1'!K10)</f>
        <v/>
      </c>
      <c r="G60" s="63">
        <f>'1'!L10&amp;""</f>
        <v/>
      </c>
      <c r="H60" s="63">
        <f>IF(OR(A60="",F60=""),"",F60&amp;"|"&amp;A60)</f>
        <v/>
      </c>
      <c r="I60" s="63">
        <f>IF(AND(H60&lt;&gt;"",OR('Historia wózka'!$B$4="",F60='Historia wózka'!$B$4),A60&gt;='Historia wózka'!$B$5,A60&lt;='Historia wózka'!$B$6),A60+0.7+(5000-ROW())/10000000,0)</f>
        <v/>
      </c>
      <c r="J60" s="63">
        <f>Ustawienia!$B$10&amp;""</f>
        <v/>
      </c>
      <c r="K60" s="63">
        <f>IF(H60="","",COUNTIFS('Zgłoszenia'!$B$5:$B$504,F60,'Zgłoszenia'!$D$5:$D$504,"&gt;="&amp;A60,'Zgłoszenia'!$D$5:$D$504,"&lt;="&amp;(A60+1)))</f>
        <v/>
      </c>
      <c r="L60" s="63">
        <f>IF(OR(H60="",K60=0),"—",IF(ISNUMBER(MATCH(H60,'Zgłoszenia'!$S$5:$S$504,0)),RIGHT("0"&amp;DAY(A60),2)&amp;"."&amp;RIGHT("0"&amp;MONTH(A60),2)&amp;"."&amp;YEAR(A60)&amp;": "&amp;INDEX('Zgłoszenia'!$H$5:$H$504,MATCH(H60,'Zgłoszenia'!$S$5:$S$504,0)),RIGHT("0"&amp;DAY((A60+1)),2)&amp;"."&amp;RIGHT("0"&amp;MONTH((A60+1)),2)&amp;"."&amp;YEAR((A60+1))&amp;": "&amp;INDEX('Zgłoszenia'!$H$5:$H$504,MATCH(F60&amp;"|"&amp;(A60+1),'Zgłoszenia'!$S$5:$S$504,0)))&amp;IF(K60&gt;1," (+"&amp;(K60-1)&amp;")",""))</f>
        <v/>
      </c>
      <c r="M60" s="63" t="n">
        <v>1</v>
      </c>
      <c r="N60" s="2" t="n"/>
      <c r="O60" s="2" t="n"/>
    </row>
    <row r="61">
      <c r="A61" s="62">
        <f>IF('1'!$C$1="","",'1'!$C$1)</f>
        <v/>
      </c>
      <c r="B61" s="63">
        <f>Ustawienia!$A$10&amp;""</f>
        <v/>
      </c>
      <c r="C61" s="63">
        <f>Ustawienia!$A$14&amp;""</f>
        <v/>
      </c>
      <c r="D61" s="63" t="n">
        <v>6</v>
      </c>
      <c r="E61" s="63">
        <f>IF('1'!J11="","",TRIM('1'!J11&amp;""))</f>
        <v/>
      </c>
      <c r="F61" s="63">
        <f>IF('1'!K11="","",'1'!K11)</f>
        <v/>
      </c>
      <c r="G61" s="63">
        <f>'1'!L11&amp;""</f>
        <v/>
      </c>
      <c r="H61" s="63">
        <f>IF(OR(A61="",F61=""),"",F61&amp;"|"&amp;A61)</f>
        <v/>
      </c>
      <c r="I61" s="63">
        <f>IF(AND(H61&lt;&gt;"",OR('Historia wózka'!$B$4="",F61='Historia wózka'!$B$4),A61&gt;='Historia wózka'!$B$5,A61&lt;='Historia wózka'!$B$6),A61+0.7+(5000-ROW())/10000000,0)</f>
        <v/>
      </c>
      <c r="J61" s="63">
        <f>Ustawienia!$B$10&amp;""</f>
        <v/>
      </c>
      <c r="K61" s="63">
        <f>IF(H61="","",COUNTIFS('Zgłoszenia'!$B$5:$B$504,F61,'Zgłoszenia'!$D$5:$D$504,"&gt;="&amp;A61,'Zgłoszenia'!$D$5:$D$504,"&lt;="&amp;(A61+1)))</f>
        <v/>
      </c>
      <c r="L61" s="63">
        <f>IF(OR(H61="",K61=0),"—",IF(ISNUMBER(MATCH(H61,'Zgłoszenia'!$S$5:$S$504,0)),RIGHT("0"&amp;DAY(A61),2)&amp;"."&amp;RIGHT("0"&amp;MONTH(A61),2)&amp;"."&amp;YEAR(A61)&amp;": "&amp;INDEX('Zgłoszenia'!$H$5:$H$504,MATCH(H61,'Zgłoszenia'!$S$5:$S$504,0)),RIGHT("0"&amp;DAY((A61+1)),2)&amp;"."&amp;RIGHT("0"&amp;MONTH((A61+1)),2)&amp;"."&amp;YEAR((A61+1))&amp;": "&amp;INDEX('Zgłoszenia'!$H$5:$H$504,MATCH(F61&amp;"|"&amp;(A61+1),'Zgłoszenia'!$S$5:$S$504,0)))&amp;IF(K61&gt;1," (+"&amp;(K61-1)&amp;")",""))</f>
        <v/>
      </c>
      <c r="M61" s="63" t="n">
        <v>1</v>
      </c>
      <c r="N61" s="2" t="n"/>
      <c r="O61" s="2" t="n"/>
    </row>
    <row r="62">
      <c r="A62" s="62">
        <f>IF('1'!$C$1="","",'1'!$C$1)</f>
        <v/>
      </c>
      <c r="B62" s="63">
        <f>Ustawienia!$A$10&amp;""</f>
        <v/>
      </c>
      <c r="C62" s="63">
        <f>Ustawienia!$A$15&amp;""</f>
        <v/>
      </c>
      <c r="D62" s="63" t="n">
        <v>1</v>
      </c>
      <c r="E62" s="63">
        <f>IF('1'!J13="","",TRIM('1'!J13&amp;""))</f>
        <v/>
      </c>
      <c r="F62" s="63">
        <f>IF('1'!K13="","",'1'!K13)</f>
        <v/>
      </c>
      <c r="G62" s="63">
        <f>'1'!L13&amp;""</f>
        <v/>
      </c>
      <c r="H62" s="63">
        <f>IF(OR(A62="",F62=""),"",F62&amp;"|"&amp;A62)</f>
        <v/>
      </c>
      <c r="I62" s="63">
        <f>IF(AND(H62&lt;&gt;"",OR('Historia wózka'!$B$4="",F62='Historia wózka'!$B$4),A62&gt;='Historia wózka'!$B$5,A62&lt;='Historia wózka'!$B$6),A62+0.7+(5000-ROW())/10000000,0)</f>
        <v/>
      </c>
      <c r="J62" s="63">
        <f>Ustawienia!$B$10&amp;""</f>
        <v/>
      </c>
      <c r="K62" s="63">
        <f>IF(H62="","",COUNTIFS('Zgłoszenia'!$B$5:$B$504,F62,'Zgłoszenia'!$D$5:$D$504,"&gt;="&amp;A62,'Zgłoszenia'!$D$5:$D$504,"&lt;="&amp;(A62+1)))</f>
        <v/>
      </c>
      <c r="L62" s="63">
        <f>IF(OR(H62="",K62=0),"—",IF(ISNUMBER(MATCH(H62,'Zgłoszenia'!$S$5:$S$504,0)),RIGHT("0"&amp;DAY(A62),2)&amp;"."&amp;RIGHT("0"&amp;MONTH(A62),2)&amp;"."&amp;YEAR(A62)&amp;": "&amp;INDEX('Zgłoszenia'!$H$5:$H$504,MATCH(H62,'Zgłoszenia'!$S$5:$S$504,0)),RIGHT("0"&amp;DAY((A62+1)),2)&amp;"."&amp;RIGHT("0"&amp;MONTH((A62+1)),2)&amp;"."&amp;YEAR((A62+1))&amp;": "&amp;INDEX('Zgłoszenia'!$H$5:$H$504,MATCH(F62&amp;"|"&amp;(A62+1),'Zgłoszenia'!$S$5:$S$504,0)))&amp;IF(K62&gt;1," (+"&amp;(K62-1)&amp;")",""))</f>
        <v/>
      </c>
      <c r="M62" s="63" t="n">
        <v>1</v>
      </c>
      <c r="N62" s="2" t="n"/>
      <c r="O62" s="2" t="n"/>
    </row>
    <row r="63">
      <c r="A63" s="62">
        <f>IF('1'!$C$1="","",'1'!$C$1)</f>
        <v/>
      </c>
      <c r="B63" s="63">
        <f>Ustawienia!$A$10&amp;""</f>
        <v/>
      </c>
      <c r="C63" s="63">
        <f>Ustawienia!$A$15&amp;""</f>
        <v/>
      </c>
      <c r="D63" s="63" t="n">
        <v>2</v>
      </c>
      <c r="E63" s="63">
        <f>IF('1'!J14="","",TRIM('1'!J14&amp;""))</f>
        <v/>
      </c>
      <c r="F63" s="63">
        <f>IF('1'!K14="","",'1'!K14)</f>
        <v/>
      </c>
      <c r="G63" s="63">
        <f>'1'!L14&amp;""</f>
        <v/>
      </c>
      <c r="H63" s="63">
        <f>IF(OR(A63="",F63=""),"",F63&amp;"|"&amp;A63)</f>
        <v/>
      </c>
      <c r="I63" s="63">
        <f>IF(AND(H63&lt;&gt;"",OR('Historia wózka'!$B$4="",F63='Historia wózka'!$B$4),A63&gt;='Historia wózka'!$B$5,A63&lt;='Historia wózka'!$B$6),A63+0.7+(5000-ROW())/10000000,0)</f>
        <v/>
      </c>
      <c r="J63" s="63">
        <f>Ustawienia!$B$10&amp;""</f>
        <v/>
      </c>
      <c r="K63" s="63">
        <f>IF(H63="","",COUNTIFS('Zgłoszenia'!$B$5:$B$504,F63,'Zgłoszenia'!$D$5:$D$504,"&gt;="&amp;A63,'Zgłoszenia'!$D$5:$D$504,"&lt;="&amp;(A63+1)))</f>
        <v/>
      </c>
      <c r="L63" s="63">
        <f>IF(OR(H63="",K63=0),"—",IF(ISNUMBER(MATCH(H63,'Zgłoszenia'!$S$5:$S$504,0)),RIGHT("0"&amp;DAY(A63),2)&amp;"."&amp;RIGHT("0"&amp;MONTH(A63),2)&amp;"."&amp;YEAR(A63)&amp;": "&amp;INDEX('Zgłoszenia'!$H$5:$H$504,MATCH(H63,'Zgłoszenia'!$S$5:$S$504,0)),RIGHT("0"&amp;DAY((A63+1)),2)&amp;"."&amp;RIGHT("0"&amp;MONTH((A63+1)),2)&amp;"."&amp;YEAR((A63+1))&amp;": "&amp;INDEX('Zgłoszenia'!$H$5:$H$504,MATCH(F63&amp;"|"&amp;(A63+1),'Zgłoszenia'!$S$5:$S$504,0)))&amp;IF(K63&gt;1," (+"&amp;(K63-1)&amp;")",""))</f>
        <v/>
      </c>
      <c r="M63" s="63" t="n">
        <v>1</v>
      </c>
      <c r="N63" s="2" t="n"/>
      <c r="O63" s="2" t="n"/>
    </row>
    <row r="64">
      <c r="A64" s="62">
        <f>IF('1'!$C$1="","",'1'!$C$1)</f>
        <v/>
      </c>
      <c r="B64" s="63">
        <f>Ustawienia!$A$10&amp;""</f>
        <v/>
      </c>
      <c r="C64" s="63">
        <f>Ustawienia!$A$15&amp;""</f>
        <v/>
      </c>
      <c r="D64" s="63" t="n">
        <v>3</v>
      </c>
      <c r="E64" s="63">
        <f>IF('1'!J15="","",TRIM('1'!J15&amp;""))</f>
        <v/>
      </c>
      <c r="F64" s="63">
        <f>IF('1'!K15="","",'1'!K15)</f>
        <v/>
      </c>
      <c r="G64" s="63">
        <f>'1'!L15&amp;""</f>
        <v/>
      </c>
      <c r="H64" s="63">
        <f>IF(OR(A64="",F64=""),"",F64&amp;"|"&amp;A64)</f>
        <v/>
      </c>
      <c r="I64" s="63">
        <f>IF(AND(H64&lt;&gt;"",OR('Historia wózka'!$B$4="",F64='Historia wózka'!$B$4),A64&gt;='Historia wózka'!$B$5,A64&lt;='Historia wózka'!$B$6),A64+0.7+(5000-ROW())/10000000,0)</f>
        <v/>
      </c>
      <c r="J64" s="63">
        <f>Ustawienia!$B$10&amp;""</f>
        <v/>
      </c>
      <c r="K64" s="63">
        <f>IF(H64="","",COUNTIFS('Zgłoszenia'!$B$5:$B$504,F64,'Zgłoszenia'!$D$5:$D$504,"&gt;="&amp;A64,'Zgłoszenia'!$D$5:$D$504,"&lt;="&amp;(A64+1)))</f>
        <v/>
      </c>
      <c r="L64" s="63">
        <f>IF(OR(H64="",K64=0),"—",IF(ISNUMBER(MATCH(H64,'Zgłoszenia'!$S$5:$S$504,0)),RIGHT("0"&amp;DAY(A64),2)&amp;"."&amp;RIGHT("0"&amp;MONTH(A64),2)&amp;"."&amp;YEAR(A64)&amp;": "&amp;INDEX('Zgłoszenia'!$H$5:$H$504,MATCH(H64,'Zgłoszenia'!$S$5:$S$504,0)),RIGHT("0"&amp;DAY((A64+1)),2)&amp;"."&amp;RIGHT("0"&amp;MONTH((A64+1)),2)&amp;"."&amp;YEAR((A64+1))&amp;": "&amp;INDEX('Zgłoszenia'!$H$5:$H$504,MATCH(F64&amp;"|"&amp;(A64+1),'Zgłoszenia'!$S$5:$S$504,0)))&amp;IF(K64&gt;1," (+"&amp;(K64-1)&amp;")",""))</f>
        <v/>
      </c>
      <c r="M64" s="63" t="n">
        <v>1</v>
      </c>
      <c r="N64" s="2" t="n"/>
      <c r="O64" s="2" t="n"/>
    </row>
    <row r="65">
      <c r="A65" s="62">
        <f>IF('1'!$C$1="","",'1'!$C$1)</f>
        <v/>
      </c>
      <c r="B65" s="63">
        <f>Ustawienia!$A$10&amp;""</f>
        <v/>
      </c>
      <c r="C65" s="63">
        <f>Ustawienia!$A$15&amp;""</f>
        <v/>
      </c>
      <c r="D65" s="63" t="n">
        <v>4</v>
      </c>
      <c r="E65" s="63">
        <f>IF('1'!J16="","",TRIM('1'!J16&amp;""))</f>
        <v/>
      </c>
      <c r="F65" s="63">
        <f>IF('1'!K16="","",'1'!K16)</f>
        <v/>
      </c>
      <c r="G65" s="63">
        <f>'1'!L16&amp;""</f>
        <v/>
      </c>
      <c r="H65" s="63">
        <f>IF(OR(A65="",F65=""),"",F65&amp;"|"&amp;A65)</f>
        <v/>
      </c>
      <c r="I65" s="63">
        <f>IF(AND(H65&lt;&gt;"",OR('Historia wózka'!$B$4="",F65='Historia wózka'!$B$4),A65&gt;='Historia wózka'!$B$5,A65&lt;='Historia wózka'!$B$6),A65+0.7+(5000-ROW())/10000000,0)</f>
        <v/>
      </c>
      <c r="J65" s="63">
        <f>Ustawienia!$B$10&amp;""</f>
        <v/>
      </c>
      <c r="K65" s="63">
        <f>IF(H65="","",COUNTIFS('Zgłoszenia'!$B$5:$B$504,F65,'Zgłoszenia'!$D$5:$D$504,"&gt;="&amp;A65,'Zgłoszenia'!$D$5:$D$504,"&lt;="&amp;(A65+1)))</f>
        <v/>
      </c>
      <c r="L65" s="63">
        <f>IF(OR(H65="",K65=0),"—",IF(ISNUMBER(MATCH(H65,'Zgłoszenia'!$S$5:$S$504,0)),RIGHT("0"&amp;DAY(A65),2)&amp;"."&amp;RIGHT("0"&amp;MONTH(A65),2)&amp;"."&amp;YEAR(A65)&amp;": "&amp;INDEX('Zgłoszenia'!$H$5:$H$504,MATCH(H65,'Zgłoszenia'!$S$5:$S$504,0)),RIGHT("0"&amp;DAY((A65+1)),2)&amp;"."&amp;RIGHT("0"&amp;MONTH((A65+1)),2)&amp;"."&amp;YEAR((A65+1))&amp;": "&amp;INDEX('Zgłoszenia'!$H$5:$H$504,MATCH(F65&amp;"|"&amp;(A65+1),'Zgłoszenia'!$S$5:$S$504,0)))&amp;IF(K65&gt;1," (+"&amp;(K65-1)&amp;")",""))</f>
        <v/>
      </c>
      <c r="M65" s="63" t="n">
        <v>1</v>
      </c>
      <c r="N65" s="2" t="n"/>
      <c r="O65" s="2" t="n"/>
    </row>
    <row r="66">
      <c r="A66" s="62">
        <f>IF('1'!$C$1="","",'1'!$C$1)</f>
        <v/>
      </c>
      <c r="B66" s="63">
        <f>Ustawienia!$A$10&amp;""</f>
        <v/>
      </c>
      <c r="C66" s="63">
        <f>Ustawienia!$A$15&amp;""</f>
        <v/>
      </c>
      <c r="D66" s="63" t="n">
        <v>5</v>
      </c>
      <c r="E66" s="63">
        <f>IF('1'!J17="","",TRIM('1'!J17&amp;""))</f>
        <v/>
      </c>
      <c r="F66" s="63">
        <f>IF('1'!K17="","",'1'!K17)</f>
        <v/>
      </c>
      <c r="G66" s="63">
        <f>'1'!L17&amp;""</f>
        <v/>
      </c>
      <c r="H66" s="63">
        <f>IF(OR(A66="",F66=""),"",F66&amp;"|"&amp;A66)</f>
        <v/>
      </c>
      <c r="I66" s="63">
        <f>IF(AND(H66&lt;&gt;"",OR('Historia wózka'!$B$4="",F66='Historia wózka'!$B$4),A66&gt;='Historia wózka'!$B$5,A66&lt;='Historia wózka'!$B$6),A66+0.7+(5000-ROW())/10000000,0)</f>
        <v/>
      </c>
      <c r="J66" s="63">
        <f>Ustawienia!$B$10&amp;""</f>
        <v/>
      </c>
      <c r="K66" s="63">
        <f>IF(H66="","",COUNTIFS('Zgłoszenia'!$B$5:$B$504,F66,'Zgłoszenia'!$D$5:$D$504,"&gt;="&amp;A66,'Zgłoszenia'!$D$5:$D$504,"&lt;="&amp;(A66+1)))</f>
        <v/>
      </c>
      <c r="L66" s="63">
        <f>IF(OR(H66="",K66=0),"—",IF(ISNUMBER(MATCH(H66,'Zgłoszenia'!$S$5:$S$504,0)),RIGHT("0"&amp;DAY(A66),2)&amp;"."&amp;RIGHT("0"&amp;MONTH(A66),2)&amp;"."&amp;YEAR(A66)&amp;": "&amp;INDEX('Zgłoszenia'!$H$5:$H$504,MATCH(H66,'Zgłoszenia'!$S$5:$S$504,0)),RIGHT("0"&amp;DAY((A66+1)),2)&amp;"."&amp;RIGHT("0"&amp;MONTH((A66+1)),2)&amp;"."&amp;YEAR((A66+1))&amp;": "&amp;INDEX('Zgłoszenia'!$H$5:$H$504,MATCH(F66&amp;"|"&amp;(A66+1),'Zgłoszenia'!$S$5:$S$504,0)))&amp;IF(K66&gt;1," (+"&amp;(K66-1)&amp;")",""))</f>
        <v/>
      </c>
      <c r="M66" s="63" t="n">
        <v>1</v>
      </c>
      <c r="N66" s="2" t="n"/>
      <c r="O66" s="2" t="n"/>
    </row>
    <row r="67">
      <c r="A67" s="62">
        <f>IF('1'!$C$1="","",'1'!$C$1)</f>
        <v/>
      </c>
      <c r="B67" s="63">
        <f>Ustawienia!$A$10&amp;""</f>
        <v/>
      </c>
      <c r="C67" s="63">
        <f>Ustawienia!$A$15&amp;""</f>
        <v/>
      </c>
      <c r="D67" s="63" t="n">
        <v>6</v>
      </c>
      <c r="E67" s="63">
        <f>IF('1'!J18="","",TRIM('1'!J18&amp;""))</f>
        <v/>
      </c>
      <c r="F67" s="63">
        <f>IF('1'!K18="","",'1'!K18)</f>
        <v/>
      </c>
      <c r="G67" s="63">
        <f>'1'!L18&amp;""</f>
        <v/>
      </c>
      <c r="H67" s="63">
        <f>IF(OR(A67="",F67=""),"",F67&amp;"|"&amp;A67)</f>
        <v/>
      </c>
      <c r="I67" s="63">
        <f>IF(AND(H67&lt;&gt;"",OR('Historia wózka'!$B$4="",F67='Historia wózka'!$B$4),A67&gt;='Historia wózka'!$B$5,A67&lt;='Historia wózka'!$B$6),A67+0.7+(5000-ROW())/10000000,0)</f>
        <v/>
      </c>
      <c r="J67" s="63">
        <f>Ustawienia!$B$10&amp;""</f>
        <v/>
      </c>
      <c r="K67" s="63">
        <f>IF(H67="","",COUNTIFS('Zgłoszenia'!$B$5:$B$504,F67,'Zgłoszenia'!$D$5:$D$504,"&gt;="&amp;A67,'Zgłoszenia'!$D$5:$D$504,"&lt;="&amp;(A67+1)))</f>
        <v/>
      </c>
      <c r="L67" s="63">
        <f>IF(OR(H67="",K67=0),"—",IF(ISNUMBER(MATCH(H67,'Zgłoszenia'!$S$5:$S$504,0)),RIGHT("0"&amp;DAY(A67),2)&amp;"."&amp;RIGHT("0"&amp;MONTH(A67),2)&amp;"."&amp;YEAR(A67)&amp;": "&amp;INDEX('Zgłoszenia'!$H$5:$H$504,MATCH(H67,'Zgłoszenia'!$S$5:$S$504,0)),RIGHT("0"&amp;DAY((A67+1)),2)&amp;"."&amp;RIGHT("0"&amp;MONTH((A67+1)),2)&amp;"."&amp;YEAR((A67+1))&amp;": "&amp;INDEX('Zgłoszenia'!$H$5:$H$504,MATCH(F67&amp;"|"&amp;(A67+1),'Zgłoszenia'!$S$5:$S$504,0)))&amp;IF(K67&gt;1," (+"&amp;(K67-1)&amp;")",""))</f>
        <v/>
      </c>
      <c r="M67" s="63" t="n">
        <v>1</v>
      </c>
      <c r="N67" s="2" t="n"/>
      <c r="O67" s="2" t="n"/>
    </row>
    <row r="68">
      <c r="A68" s="62">
        <f>IF('1'!$C$1="","",'1'!$C$1)</f>
        <v/>
      </c>
      <c r="B68" s="63">
        <f>Ustawienia!$A$10&amp;""</f>
        <v/>
      </c>
      <c r="C68" s="63">
        <f>Ustawienia!$A$15&amp;""</f>
        <v/>
      </c>
      <c r="D68" s="63" t="n">
        <v>7</v>
      </c>
      <c r="E68" s="63">
        <f>IF('1'!J19="","",TRIM('1'!J19&amp;""))</f>
        <v/>
      </c>
      <c r="F68" s="63">
        <f>IF('1'!K19="","",'1'!K19)</f>
        <v/>
      </c>
      <c r="G68" s="63">
        <f>'1'!L19&amp;""</f>
        <v/>
      </c>
      <c r="H68" s="63">
        <f>IF(OR(A68="",F68=""),"",F68&amp;"|"&amp;A68)</f>
        <v/>
      </c>
      <c r="I68" s="63">
        <f>IF(AND(H68&lt;&gt;"",OR('Historia wózka'!$B$4="",F68='Historia wózka'!$B$4),A68&gt;='Historia wózka'!$B$5,A68&lt;='Historia wózka'!$B$6),A68+0.7+(5000-ROW())/10000000,0)</f>
        <v/>
      </c>
      <c r="J68" s="63">
        <f>Ustawienia!$B$10&amp;""</f>
        <v/>
      </c>
      <c r="K68" s="63">
        <f>IF(H68="","",COUNTIFS('Zgłoszenia'!$B$5:$B$504,F68,'Zgłoszenia'!$D$5:$D$504,"&gt;="&amp;A68,'Zgłoszenia'!$D$5:$D$504,"&lt;="&amp;(A68+1)))</f>
        <v/>
      </c>
      <c r="L68" s="63">
        <f>IF(OR(H68="",K68=0),"—",IF(ISNUMBER(MATCH(H68,'Zgłoszenia'!$S$5:$S$504,0)),RIGHT("0"&amp;DAY(A68),2)&amp;"."&amp;RIGHT("0"&amp;MONTH(A68),2)&amp;"."&amp;YEAR(A68)&amp;": "&amp;INDEX('Zgłoszenia'!$H$5:$H$504,MATCH(H68,'Zgłoszenia'!$S$5:$S$504,0)),RIGHT("0"&amp;DAY((A68+1)),2)&amp;"."&amp;RIGHT("0"&amp;MONTH((A68+1)),2)&amp;"."&amp;YEAR((A68+1))&amp;": "&amp;INDEX('Zgłoszenia'!$H$5:$H$504,MATCH(F68&amp;"|"&amp;(A68+1),'Zgłoszenia'!$S$5:$S$504,0)))&amp;IF(K68&gt;1," (+"&amp;(K68-1)&amp;")",""))</f>
        <v/>
      </c>
      <c r="M68" s="63" t="n">
        <v>1</v>
      </c>
      <c r="N68" s="2" t="n"/>
      <c r="O68" s="2" t="n"/>
    </row>
    <row r="69">
      <c r="A69" s="62">
        <f>IF('1'!$C$1="","",'1'!$C$1)</f>
        <v/>
      </c>
      <c r="B69" s="63">
        <f>Ustawienia!$A$10&amp;""</f>
        <v/>
      </c>
      <c r="C69" s="63">
        <f>Ustawienia!$A$15&amp;""</f>
        <v/>
      </c>
      <c r="D69" s="63" t="n">
        <v>8</v>
      </c>
      <c r="E69" s="63">
        <f>IF('1'!J20="","",TRIM('1'!J20&amp;""))</f>
        <v/>
      </c>
      <c r="F69" s="63">
        <f>IF('1'!K20="","",'1'!K20)</f>
        <v/>
      </c>
      <c r="G69" s="63">
        <f>'1'!L20&amp;""</f>
        <v/>
      </c>
      <c r="H69" s="63">
        <f>IF(OR(A69="",F69=""),"",F69&amp;"|"&amp;A69)</f>
        <v/>
      </c>
      <c r="I69" s="63">
        <f>IF(AND(H69&lt;&gt;"",OR('Historia wózka'!$B$4="",F69='Historia wózka'!$B$4),A69&gt;='Historia wózka'!$B$5,A69&lt;='Historia wózka'!$B$6),A69+0.7+(5000-ROW())/10000000,0)</f>
        <v/>
      </c>
      <c r="J69" s="63">
        <f>Ustawienia!$B$10&amp;""</f>
        <v/>
      </c>
      <c r="K69" s="63">
        <f>IF(H69="","",COUNTIFS('Zgłoszenia'!$B$5:$B$504,F69,'Zgłoszenia'!$D$5:$D$504,"&gt;="&amp;A69,'Zgłoszenia'!$D$5:$D$504,"&lt;="&amp;(A69+1)))</f>
        <v/>
      </c>
      <c r="L69" s="63">
        <f>IF(OR(H69="",K69=0),"—",IF(ISNUMBER(MATCH(H69,'Zgłoszenia'!$S$5:$S$504,0)),RIGHT("0"&amp;DAY(A69),2)&amp;"."&amp;RIGHT("0"&amp;MONTH(A69),2)&amp;"."&amp;YEAR(A69)&amp;": "&amp;INDEX('Zgłoszenia'!$H$5:$H$504,MATCH(H69,'Zgłoszenia'!$S$5:$S$504,0)),RIGHT("0"&amp;DAY((A69+1)),2)&amp;"."&amp;RIGHT("0"&amp;MONTH((A69+1)),2)&amp;"."&amp;YEAR((A69+1))&amp;": "&amp;INDEX('Zgłoszenia'!$H$5:$H$504,MATCH(F69&amp;"|"&amp;(A69+1),'Zgłoszenia'!$S$5:$S$504,0)))&amp;IF(K69&gt;1," (+"&amp;(K69-1)&amp;")",""))</f>
        <v/>
      </c>
      <c r="M69" s="63" t="n">
        <v>1</v>
      </c>
      <c r="N69" s="2" t="n"/>
      <c r="O69" s="2" t="n"/>
    </row>
    <row r="70">
      <c r="A70" s="62">
        <f>IF('1'!$C$1="","",'1'!$C$1)</f>
        <v/>
      </c>
      <c r="B70" s="63">
        <f>Ustawienia!$A$10&amp;""</f>
        <v/>
      </c>
      <c r="C70" s="63">
        <f>Ustawienia!$A$16&amp;""</f>
        <v/>
      </c>
      <c r="D70" s="63" t="n">
        <v>1</v>
      </c>
      <c r="E70" s="63">
        <f>IF('1'!J22="","",TRIM('1'!J22&amp;""))</f>
        <v/>
      </c>
      <c r="F70" s="63">
        <f>IF('1'!K22="","",'1'!K22)</f>
        <v/>
      </c>
      <c r="G70" s="63">
        <f>'1'!L22&amp;""</f>
        <v/>
      </c>
      <c r="H70" s="63">
        <f>IF(OR(A70="",F70=""),"",F70&amp;"|"&amp;A70)</f>
        <v/>
      </c>
      <c r="I70" s="63">
        <f>IF(AND(H70&lt;&gt;"",OR('Historia wózka'!$B$4="",F70='Historia wózka'!$B$4),A70&gt;='Historia wózka'!$B$5,A70&lt;='Historia wózka'!$B$6),A70+0.7+(5000-ROW())/10000000,0)</f>
        <v/>
      </c>
      <c r="J70" s="63">
        <f>Ustawienia!$B$10&amp;""</f>
        <v/>
      </c>
      <c r="K70" s="63">
        <f>IF(H70="","",COUNTIFS('Zgłoszenia'!$B$5:$B$504,F70,'Zgłoszenia'!$D$5:$D$504,"&gt;="&amp;A70,'Zgłoszenia'!$D$5:$D$504,"&lt;="&amp;(A70+1)))</f>
        <v/>
      </c>
      <c r="L70" s="63">
        <f>IF(OR(H70="",K70=0),"—",IF(ISNUMBER(MATCH(H70,'Zgłoszenia'!$S$5:$S$504,0)),RIGHT("0"&amp;DAY(A70),2)&amp;"."&amp;RIGHT("0"&amp;MONTH(A70),2)&amp;"."&amp;YEAR(A70)&amp;": "&amp;INDEX('Zgłoszenia'!$H$5:$H$504,MATCH(H70,'Zgłoszenia'!$S$5:$S$504,0)),RIGHT("0"&amp;DAY((A70+1)),2)&amp;"."&amp;RIGHT("0"&amp;MONTH((A70+1)),2)&amp;"."&amp;YEAR((A70+1))&amp;": "&amp;INDEX('Zgłoszenia'!$H$5:$H$504,MATCH(F70&amp;"|"&amp;(A70+1),'Zgłoszenia'!$S$5:$S$504,0)))&amp;IF(K70&gt;1," (+"&amp;(K70-1)&amp;")",""))</f>
        <v/>
      </c>
      <c r="M70" s="63" t="n">
        <v>1</v>
      </c>
      <c r="N70" s="2" t="n"/>
      <c r="O70" s="2" t="n"/>
    </row>
    <row r="71">
      <c r="A71" s="62">
        <f>IF('1'!$C$1="","",'1'!$C$1)</f>
        <v/>
      </c>
      <c r="B71" s="63">
        <f>Ustawienia!$A$10&amp;""</f>
        <v/>
      </c>
      <c r="C71" s="63">
        <f>Ustawienia!$A$16&amp;""</f>
        <v/>
      </c>
      <c r="D71" s="63" t="n">
        <v>2</v>
      </c>
      <c r="E71" s="63">
        <f>IF('1'!J23="","",TRIM('1'!J23&amp;""))</f>
        <v/>
      </c>
      <c r="F71" s="63">
        <f>IF('1'!K23="","",'1'!K23)</f>
        <v/>
      </c>
      <c r="G71" s="63">
        <f>'1'!L23&amp;""</f>
        <v/>
      </c>
      <c r="H71" s="63">
        <f>IF(OR(A71="",F71=""),"",F71&amp;"|"&amp;A71)</f>
        <v/>
      </c>
      <c r="I71" s="63">
        <f>IF(AND(H71&lt;&gt;"",OR('Historia wózka'!$B$4="",F71='Historia wózka'!$B$4),A71&gt;='Historia wózka'!$B$5,A71&lt;='Historia wózka'!$B$6),A71+0.7+(5000-ROW())/10000000,0)</f>
        <v/>
      </c>
      <c r="J71" s="63">
        <f>Ustawienia!$B$10&amp;""</f>
        <v/>
      </c>
      <c r="K71" s="63">
        <f>IF(H71="","",COUNTIFS('Zgłoszenia'!$B$5:$B$504,F71,'Zgłoszenia'!$D$5:$D$504,"&gt;="&amp;A71,'Zgłoszenia'!$D$5:$D$504,"&lt;="&amp;(A71+1)))</f>
        <v/>
      </c>
      <c r="L71" s="63">
        <f>IF(OR(H71="",K71=0),"—",IF(ISNUMBER(MATCH(H71,'Zgłoszenia'!$S$5:$S$504,0)),RIGHT("0"&amp;DAY(A71),2)&amp;"."&amp;RIGHT("0"&amp;MONTH(A71),2)&amp;"."&amp;YEAR(A71)&amp;": "&amp;INDEX('Zgłoszenia'!$H$5:$H$504,MATCH(H71,'Zgłoszenia'!$S$5:$S$504,0)),RIGHT("0"&amp;DAY((A71+1)),2)&amp;"."&amp;RIGHT("0"&amp;MONTH((A71+1)),2)&amp;"."&amp;YEAR((A71+1))&amp;": "&amp;INDEX('Zgłoszenia'!$H$5:$H$504,MATCH(F71&amp;"|"&amp;(A71+1),'Zgłoszenia'!$S$5:$S$504,0)))&amp;IF(K71&gt;1," (+"&amp;(K71-1)&amp;")",""))</f>
        <v/>
      </c>
      <c r="M71" s="63" t="n">
        <v>1</v>
      </c>
      <c r="N71" s="2" t="n"/>
      <c r="O71" s="2" t="n"/>
    </row>
    <row r="72">
      <c r="A72" s="62">
        <f>IF('1'!$C$1="","",'1'!$C$1)</f>
        <v/>
      </c>
      <c r="B72" s="63">
        <f>Ustawienia!$A$10&amp;""</f>
        <v/>
      </c>
      <c r="C72" s="63">
        <f>Ustawienia!$A$16&amp;""</f>
        <v/>
      </c>
      <c r="D72" s="63" t="n">
        <v>3</v>
      </c>
      <c r="E72" s="63">
        <f>IF('1'!J24="","",TRIM('1'!J24&amp;""))</f>
        <v/>
      </c>
      <c r="F72" s="63">
        <f>IF('1'!K24="","",'1'!K24)</f>
        <v/>
      </c>
      <c r="G72" s="63">
        <f>'1'!L24&amp;""</f>
        <v/>
      </c>
      <c r="H72" s="63">
        <f>IF(OR(A72="",F72=""),"",F72&amp;"|"&amp;A72)</f>
        <v/>
      </c>
      <c r="I72" s="63">
        <f>IF(AND(H72&lt;&gt;"",OR('Historia wózka'!$B$4="",F72='Historia wózka'!$B$4),A72&gt;='Historia wózka'!$B$5,A72&lt;='Historia wózka'!$B$6),A72+0.7+(5000-ROW())/10000000,0)</f>
        <v/>
      </c>
      <c r="J72" s="63">
        <f>Ustawienia!$B$10&amp;""</f>
        <v/>
      </c>
      <c r="K72" s="63">
        <f>IF(H72="","",COUNTIFS('Zgłoszenia'!$B$5:$B$504,F72,'Zgłoszenia'!$D$5:$D$504,"&gt;="&amp;A72,'Zgłoszenia'!$D$5:$D$504,"&lt;="&amp;(A72+1)))</f>
        <v/>
      </c>
      <c r="L72" s="63">
        <f>IF(OR(H72="",K72=0),"—",IF(ISNUMBER(MATCH(H72,'Zgłoszenia'!$S$5:$S$504,0)),RIGHT("0"&amp;DAY(A72),2)&amp;"."&amp;RIGHT("0"&amp;MONTH(A72),2)&amp;"."&amp;YEAR(A72)&amp;": "&amp;INDEX('Zgłoszenia'!$H$5:$H$504,MATCH(H72,'Zgłoszenia'!$S$5:$S$504,0)),RIGHT("0"&amp;DAY((A72+1)),2)&amp;"."&amp;RIGHT("0"&amp;MONTH((A72+1)),2)&amp;"."&amp;YEAR((A72+1))&amp;": "&amp;INDEX('Zgłoszenia'!$H$5:$H$504,MATCH(F72&amp;"|"&amp;(A72+1),'Zgłoszenia'!$S$5:$S$504,0)))&amp;IF(K72&gt;1," (+"&amp;(K72-1)&amp;")",""))</f>
        <v/>
      </c>
      <c r="M72" s="63" t="n">
        <v>1</v>
      </c>
      <c r="N72" s="2" t="n"/>
      <c r="O72" s="2" t="n"/>
    </row>
    <row r="73">
      <c r="A73" s="62">
        <f>IF('1'!$C$1="","",'1'!$C$1)</f>
        <v/>
      </c>
      <c r="B73" s="63">
        <f>Ustawienia!$A$10&amp;""</f>
        <v/>
      </c>
      <c r="C73" s="63">
        <f>Ustawienia!$A$16&amp;""</f>
        <v/>
      </c>
      <c r="D73" s="63" t="n">
        <v>4</v>
      </c>
      <c r="E73" s="63">
        <f>IF('1'!J25="","",TRIM('1'!J25&amp;""))</f>
        <v/>
      </c>
      <c r="F73" s="63">
        <f>IF('1'!K25="","",'1'!K25)</f>
        <v/>
      </c>
      <c r="G73" s="63">
        <f>'1'!L25&amp;""</f>
        <v/>
      </c>
      <c r="H73" s="63">
        <f>IF(OR(A73="",F73=""),"",F73&amp;"|"&amp;A73)</f>
        <v/>
      </c>
      <c r="I73" s="63">
        <f>IF(AND(H73&lt;&gt;"",OR('Historia wózka'!$B$4="",F73='Historia wózka'!$B$4),A73&gt;='Historia wózka'!$B$5,A73&lt;='Historia wózka'!$B$6),A73+0.7+(5000-ROW())/10000000,0)</f>
        <v/>
      </c>
      <c r="J73" s="63">
        <f>Ustawienia!$B$10&amp;""</f>
        <v/>
      </c>
      <c r="K73" s="63">
        <f>IF(H73="","",COUNTIFS('Zgłoszenia'!$B$5:$B$504,F73,'Zgłoszenia'!$D$5:$D$504,"&gt;="&amp;A73,'Zgłoszenia'!$D$5:$D$504,"&lt;="&amp;(A73+1)))</f>
        <v/>
      </c>
      <c r="L73" s="63">
        <f>IF(OR(H73="",K73=0),"—",IF(ISNUMBER(MATCH(H73,'Zgłoszenia'!$S$5:$S$504,0)),RIGHT("0"&amp;DAY(A73),2)&amp;"."&amp;RIGHT("0"&amp;MONTH(A73),2)&amp;"."&amp;YEAR(A73)&amp;": "&amp;INDEX('Zgłoszenia'!$H$5:$H$504,MATCH(H73,'Zgłoszenia'!$S$5:$S$504,0)),RIGHT("0"&amp;DAY((A73+1)),2)&amp;"."&amp;RIGHT("0"&amp;MONTH((A73+1)),2)&amp;"."&amp;YEAR((A73+1))&amp;": "&amp;INDEX('Zgłoszenia'!$H$5:$H$504,MATCH(F73&amp;"|"&amp;(A73+1),'Zgłoszenia'!$S$5:$S$504,0)))&amp;IF(K73&gt;1," (+"&amp;(K73-1)&amp;")",""))</f>
        <v/>
      </c>
      <c r="M73" s="63" t="n">
        <v>1</v>
      </c>
      <c r="N73" s="2" t="n"/>
      <c r="O73" s="2" t="n"/>
    </row>
    <row r="74">
      <c r="A74" s="62">
        <f>IF('1'!$C$1="","",'1'!$C$1)</f>
        <v/>
      </c>
      <c r="B74" s="63">
        <f>Ustawienia!$A$10&amp;""</f>
        <v/>
      </c>
      <c r="C74" s="63">
        <f>Ustawienia!$A$17&amp;""</f>
        <v/>
      </c>
      <c r="D74" s="63" t="n">
        <v>1</v>
      </c>
      <c r="E74" s="63">
        <f>IF('1'!J27="","",TRIM('1'!J27&amp;""))</f>
        <v/>
      </c>
      <c r="F74" s="63">
        <f>IF('1'!K27="","",'1'!K27)</f>
        <v/>
      </c>
      <c r="G74" s="63">
        <f>'1'!L27&amp;""</f>
        <v/>
      </c>
      <c r="H74" s="63">
        <f>IF(OR(A74="",F74=""),"",F74&amp;"|"&amp;A74)</f>
        <v/>
      </c>
      <c r="I74" s="63">
        <f>IF(AND(H74&lt;&gt;"",OR('Historia wózka'!$B$4="",F74='Historia wózka'!$B$4),A74&gt;='Historia wózka'!$B$5,A74&lt;='Historia wózka'!$B$6),A74+0.7+(5000-ROW())/10000000,0)</f>
        <v/>
      </c>
      <c r="J74" s="63">
        <f>Ustawienia!$B$10&amp;""</f>
        <v/>
      </c>
      <c r="K74" s="63">
        <f>IF(H74="","",COUNTIFS('Zgłoszenia'!$B$5:$B$504,F74,'Zgłoszenia'!$D$5:$D$504,"&gt;="&amp;A74,'Zgłoszenia'!$D$5:$D$504,"&lt;="&amp;(A74+1)))</f>
        <v/>
      </c>
      <c r="L74" s="63">
        <f>IF(OR(H74="",K74=0),"—",IF(ISNUMBER(MATCH(H74,'Zgłoszenia'!$S$5:$S$504,0)),RIGHT("0"&amp;DAY(A74),2)&amp;"."&amp;RIGHT("0"&amp;MONTH(A74),2)&amp;"."&amp;YEAR(A74)&amp;": "&amp;INDEX('Zgłoszenia'!$H$5:$H$504,MATCH(H74,'Zgłoszenia'!$S$5:$S$504,0)),RIGHT("0"&amp;DAY((A74+1)),2)&amp;"."&amp;RIGHT("0"&amp;MONTH((A74+1)),2)&amp;"."&amp;YEAR((A74+1))&amp;": "&amp;INDEX('Zgłoszenia'!$H$5:$H$504,MATCH(F74&amp;"|"&amp;(A74+1),'Zgłoszenia'!$S$5:$S$504,0)))&amp;IF(K74&gt;1," (+"&amp;(K74-1)&amp;")",""))</f>
        <v/>
      </c>
      <c r="M74" s="63" t="n">
        <v>1</v>
      </c>
      <c r="N74" s="2" t="n"/>
      <c r="O74" s="2" t="n"/>
    </row>
    <row r="75">
      <c r="A75" s="62">
        <f>IF('1'!$C$1="","",'1'!$C$1)</f>
        <v/>
      </c>
      <c r="B75" s="63">
        <f>Ustawienia!$A$10&amp;""</f>
        <v/>
      </c>
      <c r="C75" s="63">
        <f>Ustawienia!$A$17&amp;""</f>
        <v/>
      </c>
      <c r="D75" s="63" t="n">
        <v>2</v>
      </c>
      <c r="E75" s="63">
        <f>IF('1'!J28="","",TRIM('1'!J28&amp;""))</f>
        <v/>
      </c>
      <c r="F75" s="63">
        <f>IF('1'!K28="","",'1'!K28)</f>
        <v/>
      </c>
      <c r="G75" s="63">
        <f>'1'!L28&amp;""</f>
        <v/>
      </c>
      <c r="H75" s="63">
        <f>IF(OR(A75="",F75=""),"",F75&amp;"|"&amp;A75)</f>
        <v/>
      </c>
      <c r="I75" s="63">
        <f>IF(AND(H75&lt;&gt;"",OR('Historia wózka'!$B$4="",F75='Historia wózka'!$B$4),A75&gt;='Historia wózka'!$B$5,A75&lt;='Historia wózka'!$B$6),A75+0.7+(5000-ROW())/10000000,0)</f>
        <v/>
      </c>
      <c r="J75" s="63">
        <f>Ustawienia!$B$10&amp;""</f>
        <v/>
      </c>
      <c r="K75" s="63">
        <f>IF(H75="","",COUNTIFS('Zgłoszenia'!$B$5:$B$504,F75,'Zgłoszenia'!$D$5:$D$504,"&gt;="&amp;A75,'Zgłoszenia'!$D$5:$D$504,"&lt;="&amp;(A75+1)))</f>
        <v/>
      </c>
      <c r="L75" s="63">
        <f>IF(OR(H75="",K75=0),"—",IF(ISNUMBER(MATCH(H75,'Zgłoszenia'!$S$5:$S$504,0)),RIGHT("0"&amp;DAY(A75),2)&amp;"."&amp;RIGHT("0"&amp;MONTH(A75),2)&amp;"."&amp;YEAR(A75)&amp;": "&amp;INDEX('Zgłoszenia'!$H$5:$H$504,MATCH(H75,'Zgłoszenia'!$S$5:$S$504,0)),RIGHT("0"&amp;DAY((A75+1)),2)&amp;"."&amp;RIGHT("0"&amp;MONTH((A75+1)),2)&amp;"."&amp;YEAR((A75+1))&amp;": "&amp;INDEX('Zgłoszenia'!$H$5:$H$504,MATCH(F75&amp;"|"&amp;(A75+1),'Zgłoszenia'!$S$5:$S$504,0)))&amp;IF(K75&gt;1," (+"&amp;(K75-1)&amp;")",""))</f>
        <v/>
      </c>
      <c r="M75" s="63" t="n">
        <v>1</v>
      </c>
      <c r="N75" s="2" t="n"/>
      <c r="O75" s="2" t="n"/>
    </row>
    <row r="76">
      <c r="A76" s="62">
        <f>IF('1'!$C$1="","",'1'!$C$1)</f>
        <v/>
      </c>
      <c r="B76" s="63">
        <f>Ustawienia!$A$10&amp;""</f>
        <v/>
      </c>
      <c r="C76" s="63">
        <f>Ustawienia!$A$17&amp;""</f>
        <v/>
      </c>
      <c r="D76" s="63" t="n">
        <v>3</v>
      </c>
      <c r="E76" s="63">
        <f>IF('1'!J29="","",TRIM('1'!J29&amp;""))</f>
        <v/>
      </c>
      <c r="F76" s="63">
        <f>IF('1'!K29="","",'1'!K29)</f>
        <v/>
      </c>
      <c r="G76" s="63">
        <f>'1'!L29&amp;""</f>
        <v/>
      </c>
      <c r="H76" s="63">
        <f>IF(OR(A76="",F76=""),"",F76&amp;"|"&amp;A76)</f>
        <v/>
      </c>
      <c r="I76" s="63">
        <f>IF(AND(H76&lt;&gt;"",OR('Historia wózka'!$B$4="",F76='Historia wózka'!$B$4),A76&gt;='Historia wózka'!$B$5,A76&lt;='Historia wózka'!$B$6),A76+0.7+(5000-ROW())/10000000,0)</f>
        <v/>
      </c>
      <c r="J76" s="63">
        <f>Ustawienia!$B$10&amp;""</f>
        <v/>
      </c>
      <c r="K76" s="63">
        <f>IF(H76="","",COUNTIFS('Zgłoszenia'!$B$5:$B$504,F76,'Zgłoszenia'!$D$5:$D$504,"&gt;="&amp;A76,'Zgłoszenia'!$D$5:$D$504,"&lt;="&amp;(A76+1)))</f>
        <v/>
      </c>
      <c r="L76" s="63">
        <f>IF(OR(H76="",K76=0),"—",IF(ISNUMBER(MATCH(H76,'Zgłoszenia'!$S$5:$S$504,0)),RIGHT("0"&amp;DAY(A76),2)&amp;"."&amp;RIGHT("0"&amp;MONTH(A76),2)&amp;"."&amp;YEAR(A76)&amp;": "&amp;INDEX('Zgłoszenia'!$H$5:$H$504,MATCH(H76,'Zgłoszenia'!$S$5:$S$504,0)),RIGHT("0"&amp;DAY((A76+1)),2)&amp;"."&amp;RIGHT("0"&amp;MONTH((A76+1)),2)&amp;"."&amp;YEAR((A76+1))&amp;": "&amp;INDEX('Zgłoszenia'!$H$5:$H$504,MATCH(F76&amp;"|"&amp;(A76+1),'Zgłoszenia'!$S$5:$S$504,0)))&amp;IF(K76&gt;1," (+"&amp;(K76-1)&amp;")",""))</f>
        <v/>
      </c>
      <c r="M76" s="63" t="n">
        <v>1</v>
      </c>
      <c r="N76" s="2" t="n"/>
      <c r="O76" s="2" t="n"/>
    </row>
    <row r="77">
      <c r="A77" s="62">
        <f>IF('1'!$C$1="","",'1'!$C$1)</f>
        <v/>
      </c>
      <c r="B77" s="63">
        <f>Ustawienia!$A$10&amp;""</f>
        <v/>
      </c>
      <c r="C77" s="63">
        <f>Ustawienia!$A$17&amp;""</f>
        <v/>
      </c>
      <c r="D77" s="63" t="n">
        <v>4</v>
      </c>
      <c r="E77" s="63">
        <f>IF('1'!J30="","",TRIM('1'!J30&amp;""))</f>
        <v/>
      </c>
      <c r="F77" s="63">
        <f>IF('1'!K30="","",'1'!K30)</f>
        <v/>
      </c>
      <c r="G77" s="63">
        <f>'1'!L30&amp;""</f>
        <v/>
      </c>
      <c r="H77" s="63">
        <f>IF(OR(A77="",F77=""),"",F77&amp;"|"&amp;A77)</f>
        <v/>
      </c>
      <c r="I77" s="63">
        <f>IF(AND(H77&lt;&gt;"",OR('Historia wózka'!$B$4="",F77='Historia wózka'!$B$4),A77&gt;='Historia wózka'!$B$5,A77&lt;='Historia wózka'!$B$6),A77+0.7+(5000-ROW())/10000000,0)</f>
        <v/>
      </c>
      <c r="J77" s="63">
        <f>Ustawienia!$B$10&amp;""</f>
        <v/>
      </c>
      <c r="K77" s="63">
        <f>IF(H77="","",COUNTIFS('Zgłoszenia'!$B$5:$B$504,F77,'Zgłoszenia'!$D$5:$D$504,"&gt;="&amp;A77,'Zgłoszenia'!$D$5:$D$504,"&lt;="&amp;(A77+1)))</f>
        <v/>
      </c>
      <c r="L77" s="63">
        <f>IF(OR(H77="",K77=0),"—",IF(ISNUMBER(MATCH(H77,'Zgłoszenia'!$S$5:$S$504,0)),RIGHT("0"&amp;DAY(A77),2)&amp;"."&amp;RIGHT("0"&amp;MONTH(A77),2)&amp;"."&amp;YEAR(A77)&amp;": "&amp;INDEX('Zgłoszenia'!$H$5:$H$504,MATCH(H77,'Zgłoszenia'!$S$5:$S$504,0)),RIGHT("0"&amp;DAY((A77+1)),2)&amp;"."&amp;RIGHT("0"&amp;MONTH((A77+1)),2)&amp;"."&amp;YEAR((A77+1))&amp;": "&amp;INDEX('Zgłoszenia'!$H$5:$H$504,MATCH(F77&amp;"|"&amp;(A77+1),'Zgłoszenia'!$S$5:$S$504,0)))&amp;IF(K77&gt;1," (+"&amp;(K77-1)&amp;")",""))</f>
        <v/>
      </c>
      <c r="M77" s="63" t="n">
        <v>1</v>
      </c>
      <c r="N77" s="2" t="n"/>
      <c r="O77" s="2" t="n"/>
    </row>
    <row r="78">
      <c r="A78" s="62">
        <f>IF('1'!$C$1="","",'1'!$C$1)</f>
        <v/>
      </c>
      <c r="B78" s="63">
        <f>Ustawienia!$A$10&amp;""</f>
        <v/>
      </c>
      <c r="C78" s="63">
        <f>Ustawienia!$A$18&amp;""</f>
        <v/>
      </c>
      <c r="D78" s="63" t="n">
        <v>1</v>
      </c>
      <c r="E78" s="63">
        <f>IF('1'!J32="","",TRIM('1'!J32&amp;""))</f>
        <v/>
      </c>
      <c r="F78" s="63">
        <f>IF('1'!K32="","",'1'!K32)</f>
        <v/>
      </c>
      <c r="G78" s="63">
        <f>'1'!L32&amp;""</f>
        <v/>
      </c>
      <c r="H78" s="63">
        <f>IF(OR(A78="",F78=""),"",F78&amp;"|"&amp;A78)</f>
        <v/>
      </c>
      <c r="I78" s="63">
        <f>IF(AND(H78&lt;&gt;"",OR('Historia wózka'!$B$4="",F78='Historia wózka'!$B$4),A78&gt;='Historia wózka'!$B$5,A78&lt;='Historia wózka'!$B$6),A78+0.7+(5000-ROW())/10000000,0)</f>
        <v/>
      </c>
      <c r="J78" s="63">
        <f>Ustawienia!$B$10&amp;""</f>
        <v/>
      </c>
      <c r="K78" s="63">
        <f>IF(H78="","",COUNTIFS('Zgłoszenia'!$B$5:$B$504,F78,'Zgłoszenia'!$D$5:$D$504,"&gt;="&amp;A78,'Zgłoszenia'!$D$5:$D$504,"&lt;="&amp;(A78+1)))</f>
        <v/>
      </c>
      <c r="L78" s="63">
        <f>IF(OR(H78="",K78=0),"—",IF(ISNUMBER(MATCH(H78,'Zgłoszenia'!$S$5:$S$504,0)),RIGHT("0"&amp;DAY(A78),2)&amp;"."&amp;RIGHT("0"&amp;MONTH(A78),2)&amp;"."&amp;YEAR(A78)&amp;": "&amp;INDEX('Zgłoszenia'!$H$5:$H$504,MATCH(H78,'Zgłoszenia'!$S$5:$S$504,0)),RIGHT("0"&amp;DAY((A78+1)),2)&amp;"."&amp;RIGHT("0"&amp;MONTH((A78+1)),2)&amp;"."&amp;YEAR((A78+1))&amp;": "&amp;INDEX('Zgłoszenia'!$H$5:$H$504,MATCH(F78&amp;"|"&amp;(A78+1),'Zgłoszenia'!$S$5:$S$504,0)))&amp;IF(K78&gt;1," (+"&amp;(K78-1)&amp;")",""))</f>
        <v/>
      </c>
      <c r="M78" s="63" t="n">
        <v>1</v>
      </c>
      <c r="N78" s="2" t="n"/>
      <c r="O78" s="2" t="n"/>
    </row>
    <row r="79">
      <c r="A79" s="62">
        <f>IF('1'!$C$1="","",'1'!$C$1)</f>
        <v/>
      </c>
      <c r="B79" s="63">
        <f>Ustawienia!$A$10&amp;""</f>
        <v/>
      </c>
      <c r="C79" s="63">
        <f>Ustawienia!$A$18&amp;""</f>
        <v/>
      </c>
      <c r="D79" s="63" t="n">
        <v>2</v>
      </c>
      <c r="E79" s="63">
        <f>IF('1'!J33="","",TRIM('1'!J33&amp;""))</f>
        <v/>
      </c>
      <c r="F79" s="63">
        <f>IF('1'!K33="","",'1'!K33)</f>
        <v/>
      </c>
      <c r="G79" s="63">
        <f>'1'!L33&amp;""</f>
        <v/>
      </c>
      <c r="H79" s="63">
        <f>IF(OR(A79="",F79=""),"",F79&amp;"|"&amp;A79)</f>
        <v/>
      </c>
      <c r="I79" s="63">
        <f>IF(AND(H79&lt;&gt;"",OR('Historia wózka'!$B$4="",F79='Historia wózka'!$B$4),A79&gt;='Historia wózka'!$B$5,A79&lt;='Historia wózka'!$B$6),A79+0.7+(5000-ROW())/10000000,0)</f>
        <v/>
      </c>
      <c r="J79" s="63">
        <f>Ustawienia!$B$10&amp;""</f>
        <v/>
      </c>
      <c r="K79" s="63">
        <f>IF(H79="","",COUNTIFS('Zgłoszenia'!$B$5:$B$504,F79,'Zgłoszenia'!$D$5:$D$504,"&gt;="&amp;A79,'Zgłoszenia'!$D$5:$D$504,"&lt;="&amp;(A79+1)))</f>
        <v/>
      </c>
      <c r="L79" s="63">
        <f>IF(OR(H79="",K79=0),"—",IF(ISNUMBER(MATCH(H79,'Zgłoszenia'!$S$5:$S$504,0)),RIGHT("0"&amp;DAY(A79),2)&amp;"."&amp;RIGHT("0"&amp;MONTH(A79),2)&amp;"."&amp;YEAR(A79)&amp;": "&amp;INDEX('Zgłoszenia'!$H$5:$H$504,MATCH(H79,'Zgłoszenia'!$S$5:$S$504,0)),RIGHT("0"&amp;DAY((A79+1)),2)&amp;"."&amp;RIGHT("0"&amp;MONTH((A79+1)),2)&amp;"."&amp;YEAR((A79+1))&amp;": "&amp;INDEX('Zgłoszenia'!$H$5:$H$504,MATCH(F79&amp;"|"&amp;(A79+1),'Zgłoszenia'!$S$5:$S$504,0)))&amp;IF(K79&gt;1," (+"&amp;(K79-1)&amp;")",""))</f>
        <v/>
      </c>
      <c r="M79" s="63" t="n">
        <v>1</v>
      </c>
      <c r="N79" s="2" t="n"/>
      <c r="O79" s="2" t="n"/>
    </row>
    <row r="80">
      <c r="A80" s="62">
        <f>IF('1'!$C$1="","",'1'!$C$1)</f>
        <v/>
      </c>
      <c r="B80" s="63">
        <f>Ustawienia!$A$10&amp;""</f>
        <v/>
      </c>
      <c r="C80" s="63">
        <f>Ustawienia!$A$18&amp;""</f>
        <v/>
      </c>
      <c r="D80" s="63" t="n">
        <v>3</v>
      </c>
      <c r="E80" s="63">
        <f>IF('1'!J34="","",TRIM('1'!J34&amp;""))</f>
        <v/>
      </c>
      <c r="F80" s="63">
        <f>IF('1'!K34="","",'1'!K34)</f>
        <v/>
      </c>
      <c r="G80" s="63">
        <f>'1'!L34&amp;""</f>
        <v/>
      </c>
      <c r="H80" s="63">
        <f>IF(OR(A80="",F80=""),"",F80&amp;"|"&amp;A80)</f>
        <v/>
      </c>
      <c r="I80" s="63">
        <f>IF(AND(H80&lt;&gt;"",OR('Historia wózka'!$B$4="",F80='Historia wózka'!$B$4),A80&gt;='Historia wózka'!$B$5,A80&lt;='Historia wózka'!$B$6),A80+0.7+(5000-ROW())/10000000,0)</f>
        <v/>
      </c>
      <c r="J80" s="63">
        <f>Ustawienia!$B$10&amp;""</f>
        <v/>
      </c>
      <c r="K80" s="63">
        <f>IF(H80="","",COUNTIFS('Zgłoszenia'!$B$5:$B$504,F80,'Zgłoszenia'!$D$5:$D$504,"&gt;="&amp;A80,'Zgłoszenia'!$D$5:$D$504,"&lt;="&amp;(A80+1)))</f>
        <v/>
      </c>
      <c r="L80" s="63">
        <f>IF(OR(H80="",K80=0),"—",IF(ISNUMBER(MATCH(H80,'Zgłoszenia'!$S$5:$S$504,0)),RIGHT("0"&amp;DAY(A80),2)&amp;"."&amp;RIGHT("0"&amp;MONTH(A80),2)&amp;"."&amp;YEAR(A80)&amp;": "&amp;INDEX('Zgłoszenia'!$H$5:$H$504,MATCH(H80,'Zgłoszenia'!$S$5:$S$504,0)),RIGHT("0"&amp;DAY((A80+1)),2)&amp;"."&amp;RIGHT("0"&amp;MONTH((A80+1)),2)&amp;"."&amp;YEAR((A80+1))&amp;": "&amp;INDEX('Zgłoszenia'!$H$5:$H$504,MATCH(F80&amp;"|"&amp;(A80+1),'Zgłoszenia'!$S$5:$S$504,0)))&amp;IF(K80&gt;1," (+"&amp;(K80-1)&amp;")",""))</f>
        <v/>
      </c>
      <c r="M80" s="63" t="n">
        <v>1</v>
      </c>
      <c r="N80" s="2" t="n"/>
      <c r="O80" s="2" t="n"/>
    </row>
    <row r="81">
      <c r="A81" s="62">
        <f>IF('1'!$C$1="","",'1'!$C$1)</f>
        <v/>
      </c>
      <c r="B81" s="63">
        <f>Ustawienia!$A$10&amp;""</f>
        <v/>
      </c>
      <c r="C81" s="63">
        <f>Ustawienia!$A$18&amp;""</f>
        <v/>
      </c>
      <c r="D81" s="63" t="n">
        <v>4</v>
      </c>
      <c r="E81" s="63">
        <f>IF('1'!J35="","",TRIM('1'!J35&amp;""))</f>
        <v/>
      </c>
      <c r="F81" s="63">
        <f>IF('1'!K35="","",'1'!K35)</f>
        <v/>
      </c>
      <c r="G81" s="63">
        <f>'1'!L35&amp;""</f>
        <v/>
      </c>
      <c r="H81" s="63">
        <f>IF(OR(A81="",F81=""),"",F81&amp;"|"&amp;A81)</f>
        <v/>
      </c>
      <c r="I81" s="63">
        <f>IF(AND(H81&lt;&gt;"",OR('Historia wózka'!$B$4="",F81='Historia wózka'!$B$4),A81&gt;='Historia wózka'!$B$5,A81&lt;='Historia wózka'!$B$6),A81+0.7+(5000-ROW())/10000000,0)</f>
        <v/>
      </c>
      <c r="J81" s="63">
        <f>Ustawienia!$B$10&amp;""</f>
        <v/>
      </c>
      <c r="K81" s="63">
        <f>IF(H81="","",COUNTIFS('Zgłoszenia'!$B$5:$B$504,F81,'Zgłoszenia'!$D$5:$D$504,"&gt;="&amp;A81,'Zgłoszenia'!$D$5:$D$504,"&lt;="&amp;(A81+1)))</f>
        <v/>
      </c>
      <c r="L81" s="63">
        <f>IF(OR(H81="",K81=0),"—",IF(ISNUMBER(MATCH(H81,'Zgłoszenia'!$S$5:$S$504,0)),RIGHT("0"&amp;DAY(A81),2)&amp;"."&amp;RIGHT("0"&amp;MONTH(A81),2)&amp;"."&amp;YEAR(A81)&amp;": "&amp;INDEX('Zgłoszenia'!$H$5:$H$504,MATCH(H81,'Zgłoszenia'!$S$5:$S$504,0)),RIGHT("0"&amp;DAY((A81+1)),2)&amp;"."&amp;RIGHT("0"&amp;MONTH((A81+1)),2)&amp;"."&amp;YEAR((A81+1))&amp;": "&amp;INDEX('Zgłoszenia'!$H$5:$H$504,MATCH(F81&amp;"|"&amp;(A81+1),'Zgłoszenia'!$S$5:$S$504,0)))&amp;IF(K81&gt;1," (+"&amp;(K81-1)&amp;")",""))</f>
        <v/>
      </c>
      <c r="M81" s="63" t="n">
        <v>1</v>
      </c>
      <c r="N81" s="2" t="n"/>
      <c r="O81" s="2" t="n"/>
    </row>
    <row r="82">
      <c r="A82" s="62">
        <f>IF('1'!$C$1="","",'1'!$C$1)</f>
        <v/>
      </c>
      <c r="B82" s="63">
        <f>Ustawienia!$A$10&amp;""</f>
        <v/>
      </c>
      <c r="C82" s="63">
        <f>Ustawienia!$A$18&amp;""</f>
        <v/>
      </c>
      <c r="D82" s="63" t="n">
        <v>5</v>
      </c>
      <c r="E82" s="63">
        <f>IF('1'!J36="","",TRIM('1'!J36&amp;""))</f>
        <v/>
      </c>
      <c r="F82" s="63">
        <f>IF('1'!K36="","",'1'!K36)</f>
        <v/>
      </c>
      <c r="G82" s="63">
        <f>'1'!L36&amp;""</f>
        <v/>
      </c>
      <c r="H82" s="63">
        <f>IF(OR(A82="",F82=""),"",F82&amp;"|"&amp;A82)</f>
        <v/>
      </c>
      <c r="I82" s="63">
        <f>IF(AND(H82&lt;&gt;"",OR('Historia wózka'!$B$4="",F82='Historia wózka'!$B$4),A82&gt;='Historia wózka'!$B$5,A82&lt;='Historia wózka'!$B$6),A82+0.7+(5000-ROW())/10000000,0)</f>
        <v/>
      </c>
      <c r="J82" s="63">
        <f>Ustawienia!$B$10&amp;""</f>
        <v/>
      </c>
      <c r="K82" s="63">
        <f>IF(H82="","",COUNTIFS('Zgłoszenia'!$B$5:$B$504,F82,'Zgłoszenia'!$D$5:$D$504,"&gt;="&amp;A82,'Zgłoszenia'!$D$5:$D$504,"&lt;="&amp;(A82+1)))</f>
        <v/>
      </c>
      <c r="L82" s="63">
        <f>IF(OR(H82="",K82=0),"—",IF(ISNUMBER(MATCH(H82,'Zgłoszenia'!$S$5:$S$504,0)),RIGHT("0"&amp;DAY(A82),2)&amp;"."&amp;RIGHT("0"&amp;MONTH(A82),2)&amp;"."&amp;YEAR(A82)&amp;": "&amp;INDEX('Zgłoszenia'!$H$5:$H$504,MATCH(H82,'Zgłoszenia'!$S$5:$S$504,0)),RIGHT("0"&amp;DAY((A82+1)),2)&amp;"."&amp;RIGHT("0"&amp;MONTH((A82+1)),2)&amp;"."&amp;YEAR((A82+1))&amp;": "&amp;INDEX('Zgłoszenia'!$H$5:$H$504,MATCH(F82&amp;"|"&amp;(A82+1),'Zgłoszenia'!$S$5:$S$504,0)))&amp;IF(K82&gt;1," (+"&amp;(K82-1)&amp;")",""))</f>
        <v/>
      </c>
      <c r="M82" s="63" t="n">
        <v>1</v>
      </c>
      <c r="N82" s="2" t="n"/>
      <c r="O82" s="2" t="n"/>
    </row>
    <row r="83">
      <c r="A83" s="62">
        <f>IF('2'!$C$1="","",'2'!$C$1)</f>
        <v/>
      </c>
      <c r="B83" s="63">
        <f>Ustawienia!$A$8&amp;""</f>
        <v/>
      </c>
      <c r="C83" s="63">
        <f>Ustawienia!$A$14&amp;""</f>
        <v/>
      </c>
      <c r="D83" s="63" t="n">
        <v>1</v>
      </c>
      <c r="E83" s="63">
        <f>IF('2'!B6="","",TRIM('2'!B6&amp;""))</f>
        <v/>
      </c>
      <c r="F83" s="63">
        <f>IF('2'!C6="","",'2'!C6)</f>
        <v/>
      </c>
      <c r="G83" s="63">
        <f>'2'!D6&amp;""</f>
        <v/>
      </c>
      <c r="H83" s="63">
        <f>IF(OR(A83="",F83=""),"",F83&amp;"|"&amp;A83)</f>
        <v/>
      </c>
      <c r="I83" s="63">
        <f>IF(AND(H83&lt;&gt;"",OR('Historia wózka'!$B$4="",F83='Historia wózka'!$B$4),A83&gt;='Historia wózka'!$B$5,A83&lt;='Historia wózka'!$B$6),A83+0.9+(5000-ROW())/10000000,0)</f>
        <v/>
      </c>
      <c r="J83" s="63">
        <f>Ustawienia!$B$8&amp;""</f>
        <v/>
      </c>
      <c r="K83" s="63">
        <f>IF(H83="","",COUNTIFS('Zgłoszenia'!$B$5:$B$504,F83,'Zgłoszenia'!$D$5:$D$504,"&gt;="&amp;A83,'Zgłoszenia'!$D$5:$D$504,"&lt;="&amp;(A83+1)))</f>
        <v/>
      </c>
      <c r="L83" s="63">
        <f>IF(OR(H83="",K83=0),"—",IF(ISNUMBER(MATCH(H83,'Zgłoszenia'!$S$5:$S$504,0)),RIGHT("0"&amp;DAY(A83),2)&amp;"."&amp;RIGHT("0"&amp;MONTH(A83),2)&amp;"."&amp;YEAR(A83)&amp;": "&amp;INDEX('Zgłoszenia'!$H$5:$H$504,MATCH(H83,'Zgłoszenia'!$S$5:$S$504,0)),RIGHT("0"&amp;DAY((A83+1)),2)&amp;"."&amp;RIGHT("0"&amp;MONTH((A83+1)),2)&amp;"."&amp;YEAR((A83+1))&amp;": "&amp;INDEX('Zgłoszenia'!$H$5:$H$504,MATCH(F83&amp;"|"&amp;(A83+1),'Zgłoszenia'!$S$5:$S$504,0)))&amp;IF(K83&gt;1," (+"&amp;(K83-1)&amp;")",""))</f>
        <v/>
      </c>
      <c r="M83" s="63" t="n">
        <v>2</v>
      </c>
      <c r="N83" s="2" t="n"/>
      <c r="O83" s="2" t="n"/>
    </row>
    <row r="84">
      <c r="A84" s="62">
        <f>IF('2'!$C$1="","",'2'!$C$1)</f>
        <v/>
      </c>
      <c r="B84" s="63">
        <f>Ustawienia!$A$8&amp;""</f>
        <v/>
      </c>
      <c r="C84" s="63">
        <f>Ustawienia!$A$14&amp;""</f>
        <v/>
      </c>
      <c r="D84" s="63" t="n">
        <v>2</v>
      </c>
      <c r="E84" s="63">
        <f>IF('2'!B7="","",TRIM('2'!B7&amp;""))</f>
        <v/>
      </c>
      <c r="F84" s="63">
        <f>IF('2'!C7="","",'2'!C7)</f>
        <v/>
      </c>
      <c r="G84" s="63">
        <f>'2'!D7&amp;""</f>
        <v/>
      </c>
      <c r="H84" s="63">
        <f>IF(OR(A84="",F84=""),"",F84&amp;"|"&amp;A84)</f>
        <v/>
      </c>
      <c r="I84" s="63">
        <f>IF(AND(H84&lt;&gt;"",OR('Historia wózka'!$B$4="",F84='Historia wózka'!$B$4),A84&gt;='Historia wózka'!$B$5,A84&lt;='Historia wózka'!$B$6),A84+0.9+(5000-ROW())/10000000,0)</f>
        <v/>
      </c>
      <c r="J84" s="63">
        <f>Ustawienia!$B$8&amp;""</f>
        <v/>
      </c>
      <c r="K84" s="63">
        <f>IF(H84="","",COUNTIFS('Zgłoszenia'!$B$5:$B$504,F84,'Zgłoszenia'!$D$5:$D$504,"&gt;="&amp;A84,'Zgłoszenia'!$D$5:$D$504,"&lt;="&amp;(A84+1)))</f>
        <v/>
      </c>
      <c r="L84" s="63">
        <f>IF(OR(H84="",K84=0),"—",IF(ISNUMBER(MATCH(H84,'Zgłoszenia'!$S$5:$S$504,0)),RIGHT("0"&amp;DAY(A84),2)&amp;"."&amp;RIGHT("0"&amp;MONTH(A84),2)&amp;"."&amp;YEAR(A84)&amp;": "&amp;INDEX('Zgłoszenia'!$H$5:$H$504,MATCH(H84,'Zgłoszenia'!$S$5:$S$504,0)),RIGHT("0"&amp;DAY((A84+1)),2)&amp;"."&amp;RIGHT("0"&amp;MONTH((A84+1)),2)&amp;"."&amp;YEAR((A84+1))&amp;": "&amp;INDEX('Zgłoszenia'!$H$5:$H$504,MATCH(F84&amp;"|"&amp;(A84+1),'Zgłoszenia'!$S$5:$S$504,0)))&amp;IF(K84&gt;1," (+"&amp;(K84-1)&amp;")",""))</f>
        <v/>
      </c>
      <c r="M84" s="63" t="n">
        <v>2</v>
      </c>
      <c r="N84" s="2" t="n"/>
      <c r="O84" s="2" t="n"/>
    </row>
    <row r="85">
      <c r="A85" s="62">
        <f>IF('2'!$C$1="","",'2'!$C$1)</f>
        <v/>
      </c>
      <c r="B85" s="63">
        <f>Ustawienia!$A$8&amp;""</f>
        <v/>
      </c>
      <c r="C85" s="63">
        <f>Ustawienia!$A$14&amp;""</f>
        <v/>
      </c>
      <c r="D85" s="63" t="n">
        <v>3</v>
      </c>
      <c r="E85" s="63">
        <f>IF('2'!B8="","",TRIM('2'!B8&amp;""))</f>
        <v/>
      </c>
      <c r="F85" s="63">
        <f>IF('2'!C8="","",'2'!C8)</f>
        <v/>
      </c>
      <c r="G85" s="63">
        <f>'2'!D8&amp;""</f>
        <v/>
      </c>
      <c r="H85" s="63">
        <f>IF(OR(A85="",F85=""),"",F85&amp;"|"&amp;A85)</f>
        <v/>
      </c>
      <c r="I85" s="63">
        <f>IF(AND(H85&lt;&gt;"",OR('Historia wózka'!$B$4="",F85='Historia wózka'!$B$4),A85&gt;='Historia wózka'!$B$5,A85&lt;='Historia wózka'!$B$6),A85+0.9+(5000-ROW())/10000000,0)</f>
        <v/>
      </c>
      <c r="J85" s="63">
        <f>Ustawienia!$B$8&amp;""</f>
        <v/>
      </c>
      <c r="K85" s="63">
        <f>IF(H85="","",COUNTIFS('Zgłoszenia'!$B$5:$B$504,F85,'Zgłoszenia'!$D$5:$D$504,"&gt;="&amp;A85,'Zgłoszenia'!$D$5:$D$504,"&lt;="&amp;(A85+1)))</f>
        <v/>
      </c>
      <c r="L85" s="63">
        <f>IF(OR(H85="",K85=0),"—",IF(ISNUMBER(MATCH(H85,'Zgłoszenia'!$S$5:$S$504,0)),RIGHT("0"&amp;DAY(A85),2)&amp;"."&amp;RIGHT("0"&amp;MONTH(A85),2)&amp;"."&amp;YEAR(A85)&amp;": "&amp;INDEX('Zgłoszenia'!$H$5:$H$504,MATCH(H85,'Zgłoszenia'!$S$5:$S$504,0)),RIGHT("0"&amp;DAY((A85+1)),2)&amp;"."&amp;RIGHT("0"&amp;MONTH((A85+1)),2)&amp;"."&amp;YEAR((A85+1))&amp;": "&amp;INDEX('Zgłoszenia'!$H$5:$H$504,MATCH(F85&amp;"|"&amp;(A85+1),'Zgłoszenia'!$S$5:$S$504,0)))&amp;IF(K85&gt;1," (+"&amp;(K85-1)&amp;")",""))</f>
        <v/>
      </c>
      <c r="M85" s="63" t="n">
        <v>2</v>
      </c>
      <c r="N85" s="2" t="n"/>
      <c r="O85" s="2" t="n"/>
    </row>
    <row r="86">
      <c r="A86" s="62">
        <f>IF('2'!$C$1="","",'2'!$C$1)</f>
        <v/>
      </c>
      <c r="B86" s="63">
        <f>Ustawienia!$A$8&amp;""</f>
        <v/>
      </c>
      <c r="C86" s="63">
        <f>Ustawienia!$A$14&amp;""</f>
        <v/>
      </c>
      <c r="D86" s="63" t="n">
        <v>4</v>
      </c>
      <c r="E86" s="63">
        <f>IF('2'!B9="","",TRIM('2'!B9&amp;""))</f>
        <v/>
      </c>
      <c r="F86" s="63">
        <f>IF('2'!C9="","",'2'!C9)</f>
        <v/>
      </c>
      <c r="G86" s="63">
        <f>'2'!D9&amp;""</f>
        <v/>
      </c>
      <c r="H86" s="63">
        <f>IF(OR(A86="",F86=""),"",F86&amp;"|"&amp;A86)</f>
        <v/>
      </c>
      <c r="I86" s="63">
        <f>IF(AND(H86&lt;&gt;"",OR('Historia wózka'!$B$4="",F86='Historia wózka'!$B$4),A86&gt;='Historia wózka'!$B$5,A86&lt;='Historia wózka'!$B$6),A86+0.9+(5000-ROW())/10000000,0)</f>
        <v/>
      </c>
      <c r="J86" s="63">
        <f>Ustawienia!$B$8&amp;""</f>
        <v/>
      </c>
      <c r="K86" s="63">
        <f>IF(H86="","",COUNTIFS('Zgłoszenia'!$B$5:$B$504,F86,'Zgłoszenia'!$D$5:$D$504,"&gt;="&amp;A86,'Zgłoszenia'!$D$5:$D$504,"&lt;="&amp;(A86+1)))</f>
        <v/>
      </c>
      <c r="L86" s="63">
        <f>IF(OR(H86="",K86=0),"—",IF(ISNUMBER(MATCH(H86,'Zgłoszenia'!$S$5:$S$504,0)),RIGHT("0"&amp;DAY(A86),2)&amp;"."&amp;RIGHT("0"&amp;MONTH(A86),2)&amp;"."&amp;YEAR(A86)&amp;": "&amp;INDEX('Zgłoszenia'!$H$5:$H$504,MATCH(H86,'Zgłoszenia'!$S$5:$S$504,0)),RIGHT("0"&amp;DAY((A86+1)),2)&amp;"."&amp;RIGHT("0"&amp;MONTH((A86+1)),2)&amp;"."&amp;YEAR((A86+1))&amp;": "&amp;INDEX('Zgłoszenia'!$H$5:$H$504,MATCH(F86&amp;"|"&amp;(A86+1),'Zgłoszenia'!$S$5:$S$504,0)))&amp;IF(K86&gt;1," (+"&amp;(K86-1)&amp;")",""))</f>
        <v/>
      </c>
      <c r="M86" s="63" t="n">
        <v>2</v>
      </c>
      <c r="N86" s="2" t="n"/>
      <c r="O86" s="2" t="n"/>
    </row>
    <row r="87">
      <c r="A87" s="62">
        <f>IF('2'!$C$1="","",'2'!$C$1)</f>
        <v/>
      </c>
      <c r="B87" s="63">
        <f>Ustawienia!$A$8&amp;""</f>
        <v/>
      </c>
      <c r="C87" s="63">
        <f>Ustawienia!$A$14&amp;""</f>
        <v/>
      </c>
      <c r="D87" s="63" t="n">
        <v>5</v>
      </c>
      <c r="E87" s="63">
        <f>IF('2'!B10="","",TRIM('2'!B10&amp;""))</f>
        <v/>
      </c>
      <c r="F87" s="63">
        <f>IF('2'!C10="","",'2'!C10)</f>
        <v/>
      </c>
      <c r="G87" s="63">
        <f>'2'!D10&amp;""</f>
        <v/>
      </c>
      <c r="H87" s="63">
        <f>IF(OR(A87="",F87=""),"",F87&amp;"|"&amp;A87)</f>
        <v/>
      </c>
      <c r="I87" s="63">
        <f>IF(AND(H87&lt;&gt;"",OR('Historia wózka'!$B$4="",F87='Historia wózka'!$B$4),A87&gt;='Historia wózka'!$B$5,A87&lt;='Historia wózka'!$B$6),A87+0.9+(5000-ROW())/10000000,0)</f>
        <v/>
      </c>
      <c r="J87" s="63">
        <f>Ustawienia!$B$8&amp;""</f>
        <v/>
      </c>
      <c r="K87" s="63">
        <f>IF(H87="","",COUNTIFS('Zgłoszenia'!$B$5:$B$504,F87,'Zgłoszenia'!$D$5:$D$504,"&gt;="&amp;A87,'Zgłoszenia'!$D$5:$D$504,"&lt;="&amp;(A87+1)))</f>
        <v/>
      </c>
      <c r="L87" s="63">
        <f>IF(OR(H87="",K87=0),"—",IF(ISNUMBER(MATCH(H87,'Zgłoszenia'!$S$5:$S$504,0)),RIGHT("0"&amp;DAY(A87),2)&amp;"."&amp;RIGHT("0"&amp;MONTH(A87),2)&amp;"."&amp;YEAR(A87)&amp;": "&amp;INDEX('Zgłoszenia'!$H$5:$H$504,MATCH(H87,'Zgłoszenia'!$S$5:$S$504,0)),RIGHT("0"&amp;DAY((A87+1)),2)&amp;"."&amp;RIGHT("0"&amp;MONTH((A87+1)),2)&amp;"."&amp;YEAR((A87+1))&amp;": "&amp;INDEX('Zgłoszenia'!$H$5:$H$504,MATCH(F87&amp;"|"&amp;(A87+1),'Zgłoszenia'!$S$5:$S$504,0)))&amp;IF(K87&gt;1," (+"&amp;(K87-1)&amp;")",""))</f>
        <v/>
      </c>
      <c r="M87" s="63" t="n">
        <v>2</v>
      </c>
      <c r="N87" s="2" t="n"/>
      <c r="O87" s="2" t="n"/>
    </row>
    <row r="88">
      <c r="A88" s="62">
        <f>IF('2'!$C$1="","",'2'!$C$1)</f>
        <v/>
      </c>
      <c r="B88" s="63">
        <f>Ustawienia!$A$8&amp;""</f>
        <v/>
      </c>
      <c r="C88" s="63">
        <f>Ustawienia!$A$14&amp;""</f>
        <v/>
      </c>
      <c r="D88" s="63" t="n">
        <v>6</v>
      </c>
      <c r="E88" s="63">
        <f>IF('2'!B11="","",TRIM('2'!B11&amp;""))</f>
        <v/>
      </c>
      <c r="F88" s="63">
        <f>IF('2'!C11="","",'2'!C11)</f>
        <v/>
      </c>
      <c r="G88" s="63">
        <f>'2'!D11&amp;""</f>
        <v/>
      </c>
      <c r="H88" s="63">
        <f>IF(OR(A88="",F88=""),"",F88&amp;"|"&amp;A88)</f>
        <v/>
      </c>
      <c r="I88" s="63">
        <f>IF(AND(H88&lt;&gt;"",OR('Historia wózka'!$B$4="",F88='Historia wózka'!$B$4),A88&gt;='Historia wózka'!$B$5,A88&lt;='Historia wózka'!$B$6),A88+0.9+(5000-ROW())/10000000,0)</f>
        <v/>
      </c>
      <c r="J88" s="63">
        <f>Ustawienia!$B$8&amp;""</f>
        <v/>
      </c>
      <c r="K88" s="63">
        <f>IF(H88="","",COUNTIFS('Zgłoszenia'!$B$5:$B$504,F88,'Zgłoszenia'!$D$5:$D$504,"&gt;="&amp;A88,'Zgłoszenia'!$D$5:$D$504,"&lt;="&amp;(A88+1)))</f>
        <v/>
      </c>
      <c r="L88" s="63">
        <f>IF(OR(H88="",K88=0),"—",IF(ISNUMBER(MATCH(H88,'Zgłoszenia'!$S$5:$S$504,0)),RIGHT("0"&amp;DAY(A88),2)&amp;"."&amp;RIGHT("0"&amp;MONTH(A88),2)&amp;"."&amp;YEAR(A88)&amp;": "&amp;INDEX('Zgłoszenia'!$H$5:$H$504,MATCH(H88,'Zgłoszenia'!$S$5:$S$504,0)),RIGHT("0"&amp;DAY((A88+1)),2)&amp;"."&amp;RIGHT("0"&amp;MONTH((A88+1)),2)&amp;"."&amp;YEAR((A88+1))&amp;": "&amp;INDEX('Zgłoszenia'!$H$5:$H$504,MATCH(F88&amp;"|"&amp;(A88+1),'Zgłoszenia'!$S$5:$S$504,0)))&amp;IF(K88&gt;1," (+"&amp;(K88-1)&amp;")",""))</f>
        <v/>
      </c>
      <c r="M88" s="63" t="n">
        <v>2</v>
      </c>
      <c r="N88" s="2" t="n"/>
      <c r="O88" s="2" t="n"/>
    </row>
    <row r="89">
      <c r="A89" s="62">
        <f>IF('2'!$C$1="","",'2'!$C$1)</f>
        <v/>
      </c>
      <c r="B89" s="63">
        <f>Ustawienia!$A$8&amp;""</f>
        <v/>
      </c>
      <c r="C89" s="63">
        <f>Ustawienia!$A$15&amp;""</f>
        <v/>
      </c>
      <c r="D89" s="63" t="n">
        <v>1</v>
      </c>
      <c r="E89" s="63">
        <f>IF('2'!B13="","",TRIM('2'!B13&amp;""))</f>
        <v/>
      </c>
      <c r="F89" s="63">
        <f>IF('2'!C13="","",'2'!C13)</f>
        <v/>
      </c>
      <c r="G89" s="63">
        <f>'2'!D13&amp;""</f>
        <v/>
      </c>
      <c r="H89" s="63">
        <f>IF(OR(A89="",F89=""),"",F89&amp;"|"&amp;A89)</f>
        <v/>
      </c>
      <c r="I89" s="63">
        <f>IF(AND(H89&lt;&gt;"",OR('Historia wózka'!$B$4="",F89='Historia wózka'!$B$4),A89&gt;='Historia wózka'!$B$5,A89&lt;='Historia wózka'!$B$6),A89+0.9+(5000-ROW())/10000000,0)</f>
        <v/>
      </c>
      <c r="J89" s="63">
        <f>Ustawienia!$B$8&amp;""</f>
        <v/>
      </c>
      <c r="K89" s="63">
        <f>IF(H89="","",COUNTIFS('Zgłoszenia'!$B$5:$B$504,F89,'Zgłoszenia'!$D$5:$D$504,"&gt;="&amp;A89,'Zgłoszenia'!$D$5:$D$504,"&lt;="&amp;(A89+1)))</f>
        <v/>
      </c>
      <c r="L89" s="63">
        <f>IF(OR(H89="",K89=0),"—",IF(ISNUMBER(MATCH(H89,'Zgłoszenia'!$S$5:$S$504,0)),RIGHT("0"&amp;DAY(A89),2)&amp;"."&amp;RIGHT("0"&amp;MONTH(A89),2)&amp;"."&amp;YEAR(A89)&amp;": "&amp;INDEX('Zgłoszenia'!$H$5:$H$504,MATCH(H89,'Zgłoszenia'!$S$5:$S$504,0)),RIGHT("0"&amp;DAY((A89+1)),2)&amp;"."&amp;RIGHT("0"&amp;MONTH((A89+1)),2)&amp;"."&amp;YEAR((A89+1))&amp;": "&amp;INDEX('Zgłoszenia'!$H$5:$H$504,MATCH(F89&amp;"|"&amp;(A89+1),'Zgłoszenia'!$S$5:$S$504,0)))&amp;IF(K89&gt;1," (+"&amp;(K89-1)&amp;")",""))</f>
        <v/>
      </c>
      <c r="M89" s="63" t="n">
        <v>2</v>
      </c>
      <c r="N89" s="2" t="n"/>
      <c r="O89" s="2" t="n"/>
    </row>
    <row r="90">
      <c r="A90" s="62">
        <f>IF('2'!$C$1="","",'2'!$C$1)</f>
        <v/>
      </c>
      <c r="B90" s="63">
        <f>Ustawienia!$A$8&amp;""</f>
        <v/>
      </c>
      <c r="C90" s="63">
        <f>Ustawienia!$A$15&amp;""</f>
        <v/>
      </c>
      <c r="D90" s="63" t="n">
        <v>2</v>
      </c>
      <c r="E90" s="63">
        <f>IF('2'!B14="","",TRIM('2'!B14&amp;""))</f>
        <v/>
      </c>
      <c r="F90" s="63">
        <f>IF('2'!C14="","",'2'!C14)</f>
        <v/>
      </c>
      <c r="G90" s="63">
        <f>'2'!D14&amp;""</f>
        <v/>
      </c>
      <c r="H90" s="63">
        <f>IF(OR(A90="",F90=""),"",F90&amp;"|"&amp;A90)</f>
        <v/>
      </c>
      <c r="I90" s="63">
        <f>IF(AND(H90&lt;&gt;"",OR('Historia wózka'!$B$4="",F90='Historia wózka'!$B$4),A90&gt;='Historia wózka'!$B$5,A90&lt;='Historia wózka'!$B$6),A90+0.9+(5000-ROW())/10000000,0)</f>
        <v/>
      </c>
      <c r="J90" s="63">
        <f>Ustawienia!$B$8&amp;""</f>
        <v/>
      </c>
      <c r="K90" s="63">
        <f>IF(H90="","",COUNTIFS('Zgłoszenia'!$B$5:$B$504,F90,'Zgłoszenia'!$D$5:$D$504,"&gt;="&amp;A90,'Zgłoszenia'!$D$5:$D$504,"&lt;="&amp;(A90+1)))</f>
        <v/>
      </c>
      <c r="L90" s="63">
        <f>IF(OR(H90="",K90=0),"—",IF(ISNUMBER(MATCH(H90,'Zgłoszenia'!$S$5:$S$504,0)),RIGHT("0"&amp;DAY(A90),2)&amp;"."&amp;RIGHT("0"&amp;MONTH(A90),2)&amp;"."&amp;YEAR(A90)&amp;": "&amp;INDEX('Zgłoszenia'!$H$5:$H$504,MATCH(H90,'Zgłoszenia'!$S$5:$S$504,0)),RIGHT("0"&amp;DAY((A90+1)),2)&amp;"."&amp;RIGHT("0"&amp;MONTH((A90+1)),2)&amp;"."&amp;YEAR((A90+1))&amp;": "&amp;INDEX('Zgłoszenia'!$H$5:$H$504,MATCH(F90&amp;"|"&amp;(A90+1),'Zgłoszenia'!$S$5:$S$504,0)))&amp;IF(K90&gt;1," (+"&amp;(K90-1)&amp;")",""))</f>
        <v/>
      </c>
      <c r="M90" s="63" t="n">
        <v>2</v>
      </c>
      <c r="N90" s="2" t="n"/>
      <c r="O90" s="2" t="n"/>
    </row>
    <row r="91">
      <c r="A91" s="62">
        <f>IF('2'!$C$1="","",'2'!$C$1)</f>
        <v/>
      </c>
      <c r="B91" s="63">
        <f>Ustawienia!$A$8&amp;""</f>
        <v/>
      </c>
      <c r="C91" s="63">
        <f>Ustawienia!$A$15&amp;""</f>
        <v/>
      </c>
      <c r="D91" s="63" t="n">
        <v>3</v>
      </c>
      <c r="E91" s="63">
        <f>IF('2'!B15="","",TRIM('2'!B15&amp;""))</f>
        <v/>
      </c>
      <c r="F91" s="63">
        <f>IF('2'!C15="","",'2'!C15)</f>
        <v/>
      </c>
      <c r="G91" s="63">
        <f>'2'!D15&amp;""</f>
        <v/>
      </c>
      <c r="H91" s="63">
        <f>IF(OR(A91="",F91=""),"",F91&amp;"|"&amp;A91)</f>
        <v/>
      </c>
      <c r="I91" s="63">
        <f>IF(AND(H91&lt;&gt;"",OR('Historia wózka'!$B$4="",F91='Historia wózka'!$B$4),A91&gt;='Historia wózka'!$B$5,A91&lt;='Historia wózka'!$B$6),A91+0.9+(5000-ROW())/10000000,0)</f>
        <v/>
      </c>
      <c r="J91" s="63">
        <f>Ustawienia!$B$8&amp;""</f>
        <v/>
      </c>
      <c r="K91" s="63">
        <f>IF(H91="","",COUNTIFS('Zgłoszenia'!$B$5:$B$504,F91,'Zgłoszenia'!$D$5:$D$504,"&gt;="&amp;A91,'Zgłoszenia'!$D$5:$D$504,"&lt;="&amp;(A91+1)))</f>
        <v/>
      </c>
      <c r="L91" s="63">
        <f>IF(OR(H91="",K91=0),"—",IF(ISNUMBER(MATCH(H91,'Zgłoszenia'!$S$5:$S$504,0)),RIGHT("0"&amp;DAY(A91),2)&amp;"."&amp;RIGHT("0"&amp;MONTH(A91),2)&amp;"."&amp;YEAR(A91)&amp;": "&amp;INDEX('Zgłoszenia'!$H$5:$H$504,MATCH(H91,'Zgłoszenia'!$S$5:$S$504,0)),RIGHT("0"&amp;DAY((A91+1)),2)&amp;"."&amp;RIGHT("0"&amp;MONTH((A91+1)),2)&amp;"."&amp;YEAR((A91+1))&amp;": "&amp;INDEX('Zgłoszenia'!$H$5:$H$504,MATCH(F91&amp;"|"&amp;(A91+1),'Zgłoszenia'!$S$5:$S$504,0)))&amp;IF(K91&gt;1," (+"&amp;(K91-1)&amp;")",""))</f>
        <v/>
      </c>
      <c r="M91" s="63" t="n">
        <v>2</v>
      </c>
      <c r="N91" s="2" t="n"/>
      <c r="O91" s="2" t="n"/>
    </row>
    <row r="92">
      <c r="A92" s="62">
        <f>IF('2'!$C$1="","",'2'!$C$1)</f>
        <v/>
      </c>
      <c r="B92" s="63">
        <f>Ustawienia!$A$8&amp;""</f>
        <v/>
      </c>
      <c r="C92" s="63">
        <f>Ustawienia!$A$15&amp;""</f>
        <v/>
      </c>
      <c r="D92" s="63" t="n">
        <v>4</v>
      </c>
      <c r="E92" s="63">
        <f>IF('2'!B16="","",TRIM('2'!B16&amp;""))</f>
        <v/>
      </c>
      <c r="F92" s="63">
        <f>IF('2'!C16="","",'2'!C16)</f>
        <v/>
      </c>
      <c r="G92" s="63">
        <f>'2'!D16&amp;""</f>
        <v/>
      </c>
      <c r="H92" s="63">
        <f>IF(OR(A92="",F92=""),"",F92&amp;"|"&amp;A92)</f>
        <v/>
      </c>
      <c r="I92" s="63">
        <f>IF(AND(H92&lt;&gt;"",OR('Historia wózka'!$B$4="",F92='Historia wózka'!$B$4),A92&gt;='Historia wózka'!$B$5,A92&lt;='Historia wózka'!$B$6),A92+0.9+(5000-ROW())/10000000,0)</f>
        <v/>
      </c>
      <c r="J92" s="63">
        <f>Ustawienia!$B$8&amp;""</f>
        <v/>
      </c>
      <c r="K92" s="63">
        <f>IF(H92="","",COUNTIFS('Zgłoszenia'!$B$5:$B$504,F92,'Zgłoszenia'!$D$5:$D$504,"&gt;="&amp;A92,'Zgłoszenia'!$D$5:$D$504,"&lt;="&amp;(A92+1)))</f>
        <v/>
      </c>
      <c r="L92" s="63">
        <f>IF(OR(H92="",K92=0),"—",IF(ISNUMBER(MATCH(H92,'Zgłoszenia'!$S$5:$S$504,0)),RIGHT("0"&amp;DAY(A92),2)&amp;"."&amp;RIGHT("0"&amp;MONTH(A92),2)&amp;"."&amp;YEAR(A92)&amp;": "&amp;INDEX('Zgłoszenia'!$H$5:$H$504,MATCH(H92,'Zgłoszenia'!$S$5:$S$504,0)),RIGHT("0"&amp;DAY((A92+1)),2)&amp;"."&amp;RIGHT("0"&amp;MONTH((A92+1)),2)&amp;"."&amp;YEAR((A92+1))&amp;": "&amp;INDEX('Zgłoszenia'!$H$5:$H$504,MATCH(F92&amp;"|"&amp;(A92+1),'Zgłoszenia'!$S$5:$S$504,0)))&amp;IF(K92&gt;1," (+"&amp;(K92-1)&amp;")",""))</f>
        <v/>
      </c>
      <c r="M92" s="63" t="n">
        <v>2</v>
      </c>
      <c r="N92" s="2" t="n"/>
      <c r="O92" s="2" t="n"/>
    </row>
    <row r="93">
      <c r="A93" s="62">
        <f>IF('2'!$C$1="","",'2'!$C$1)</f>
        <v/>
      </c>
      <c r="B93" s="63">
        <f>Ustawienia!$A$8&amp;""</f>
        <v/>
      </c>
      <c r="C93" s="63">
        <f>Ustawienia!$A$15&amp;""</f>
        <v/>
      </c>
      <c r="D93" s="63" t="n">
        <v>5</v>
      </c>
      <c r="E93" s="63">
        <f>IF('2'!B17="","",TRIM('2'!B17&amp;""))</f>
        <v/>
      </c>
      <c r="F93" s="63">
        <f>IF('2'!C17="","",'2'!C17)</f>
        <v/>
      </c>
      <c r="G93" s="63">
        <f>'2'!D17&amp;""</f>
        <v/>
      </c>
      <c r="H93" s="63">
        <f>IF(OR(A93="",F93=""),"",F93&amp;"|"&amp;A93)</f>
        <v/>
      </c>
      <c r="I93" s="63">
        <f>IF(AND(H93&lt;&gt;"",OR('Historia wózka'!$B$4="",F93='Historia wózka'!$B$4),A93&gt;='Historia wózka'!$B$5,A93&lt;='Historia wózka'!$B$6),A93+0.9+(5000-ROW())/10000000,0)</f>
        <v/>
      </c>
      <c r="J93" s="63">
        <f>Ustawienia!$B$8&amp;""</f>
        <v/>
      </c>
      <c r="K93" s="63">
        <f>IF(H93="","",COUNTIFS('Zgłoszenia'!$B$5:$B$504,F93,'Zgłoszenia'!$D$5:$D$504,"&gt;="&amp;A93,'Zgłoszenia'!$D$5:$D$504,"&lt;="&amp;(A93+1)))</f>
        <v/>
      </c>
      <c r="L93" s="63">
        <f>IF(OR(H93="",K93=0),"—",IF(ISNUMBER(MATCH(H93,'Zgłoszenia'!$S$5:$S$504,0)),RIGHT("0"&amp;DAY(A93),2)&amp;"."&amp;RIGHT("0"&amp;MONTH(A93),2)&amp;"."&amp;YEAR(A93)&amp;": "&amp;INDEX('Zgłoszenia'!$H$5:$H$504,MATCH(H93,'Zgłoszenia'!$S$5:$S$504,0)),RIGHT("0"&amp;DAY((A93+1)),2)&amp;"."&amp;RIGHT("0"&amp;MONTH((A93+1)),2)&amp;"."&amp;YEAR((A93+1))&amp;": "&amp;INDEX('Zgłoszenia'!$H$5:$H$504,MATCH(F93&amp;"|"&amp;(A93+1),'Zgłoszenia'!$S$5:$S$504,0)))&amp;IF(K93&gt;1," (+"&amp;(K93-1)&amp;")",""))</f>
        <v/>
      </c>
      <c r="M93" s="63" t="n">
        <v>2</v>
      </c>
      <c r="N93" s="2" t="n"/>
      <c r="O93" s="2" t="n"/>
    </row>
    <row r="94">
      <c r="A94" s="62">
        <f>IF('2'!$C$1="","",'2'!$C$1)</f>
        <v/>
      </c>
      <c r="B94" s="63">
        <f>Ustawienia!$A$8&amp;""</f>
        <v/>
      </c>
      <c r="C94" s="63">
        <f>Ustawienia!$A$15&amp;""</f>
        <v/>
      </c>
      <c r="D94" s="63" t="n">
        <v>6</v>
      </c>
      <c r="E94" s="63">
        <f>IF('2'!B18="","",TRIM('2'!B18&amp;""))</f>
        <v/>
      </c>
      <c r="F94" s="63">
        <f>IF('2'!C18="","",'2'!C18)</f>
        <v/>
      </c>
      <c r="G94" s="63">
        <f>'2'!D18&amp;""</f>
        <v/>
      </c>
      <c r="H94" s="63">
        <f>IF(OR(A94="",F94=""),"",F94&amp;"|"&amp;A94)</f>
        <v/>
      </c>
      <c r="I94" s="63">
        <f>IF(AND(H94&lt;&gt;"",OR('Historia wózka'!$B$4="",F94='Historia wózka'!$B$4),A94&gt;='Historia wózka'!$B$5,A94&lt;='Historia wózka'!$B$6),A94+0.9+(5000-ROW())/10000000,0)</f>
        <v/>
      </c>
      <c r="J94" s="63">
        <f>Ustawienia!$B$8&amp;""</f>
        <v/>
      </c>
      <c r="K94" s="63">
        <f>IF(H94="","",COUNTIFS('Zgłoszenia'!$B$5:$B$504,F94,'Zgłoszenia'!$D$5:$D$504,"&gt;="&amp;A94,'Zgłoszenia'!$D$5:$D$504,"&lt;="&amp;(A94+1)))</f>
        <v/>
      </c>
      <c r="L94" s="63">
        <f>IF(OR(H94="",K94=0),"—",IF(ISNUMBER(MATCH(H94,'Zgłoszenia'!$S$5:$S$504,0)),RIGHT("0"&amp;DAY(A94),2)&amp;"."&amp;RIGHT("0"&amp;MONTH(A94),2)&amp;"."&amp;YEAR(A94)&amp;": "&amp;INDEX('Zgłoszenia'!$H$5:$H$504,MATCH(H94,'Zgłoszenia'!$S$5:$S$504,0)),RIGHT("0"&amp;DAY((A94+1)),2)&amp;"."&amp;RIGHT("0"&amp;MONTH((A94+1)),2)&amp;"."&amp;YEAR((A94+1))&amp;": "&amp;INDEX('Zgłoszenia'!$H$5:$H$504,MATCH(F94&amp;"|"&amp;(A94+1),'Zgłoszenia'!$S$5:$S$504,0)))&amp;IF(K94&gt;1," (+"&amp;(K94-1)&amp;")",""))</f>
        <v/>
      </c>
      <c r="M94" s="63" t="n">
        <v>2</v>
      </c>
      <c r="N94" s="2" t="n"/>
      <c r="O94" s="2" t="n"/>
    </row>
    <row r="95">
      <c r="A95" s="62">
        <f>IF('2'!$C$1="","",'2'!$C$1)</f>
        <v/>
      </c>
      <c r="B95" s="63">
        <f>Ustawienia!$A$8&amp;""</f>
        <v/>
      </c>
      <c r="C95" s="63">
        <f>Ustawienia!$A$15&amp;""</f>
        <v/>
      </c>
      <c r="D95" s="63" t="n">
        <v>7</v>
      </c>
      <c r="E95" s="63">
        <f>IF('2'!B19="","",TRIM('2'!B19&amp;""))</f>
        <v/>
      </c>
      <c r="F95" s="63">
        <f>IF('2'!C19="","",'2'!C19)</f>
        <v/>
      </c>
      <c r="G95" s="63">
        <f>'2'!D19&amp;""</f>
        <v/>
      </c>
      <c r="H95" s="63">
        <f>IF(OR(A95="",F95=""),"",F95&amp;"|"&amp;A95)</f>
        <v/>
      </c>
      <c r="I95" s="63">
        <f>IF(AND(H95&lt;&gt;"",OR('Historia wózka'!$B$4="",F95='Historia wózka'!$B$4),A95&gt;='Historia wózka'!$B$5,A95&lt;='Historia wózka'!$B$6),A95+0.9+(5000-ROW())/10000000,0)</f>
        <v/>
      </c>
      <c r="J95" s="63">
        <f>Ustawienia!$B$8&amp;""</f>
        <v/>
      </c>
      <c r="K95" s="63">
        <f>IF(H95="","",COUNTIFS('Zgłoszenia'!$B$5:$B$504,F95,'Zgłoszenia'!$D$5:$D$504,"&gt;="&amp;A95,'Zgłoszenia'!$D$5:$D$504,"&lt;="&amp;(A95+1)))</f>
        <v/>
      </c>
      <c r="L95" s="63">
        <f>IF(OR(H95="",K95=0),"—",IF(ISNUMBER(MATCH(H95,'Zgłoszenia'!$S$5:$S$504,0)),RIGHT("0"&amp;DAY(A95),2)&amp;"."&amp;RIGHT("0"&amp;MONTH(A95),2)&amp;"."&amp;YEAR(A95)&amp;": "&amp;INDEX('Zgłoszenia'!$H$5:$H$504,MATCH(H95,'Zgłoszenia'!$S$5:$S$504,0)),RIGHT("0"&amp;DAY((A95+1)),2)&amp;"."&amp;RIGHT("0"&amp;MONTH((A95+1)),2)&amp;"."&amp;YEAR((A95+1))&amp;": "&amp;INDEX('Zgłoszenia'!$H$5:$H$504,MATCH(F95&amp;"|"&amp;(A95+1),'Zgłoszenia'!$S$5:$S$504,0)))&amp;IF(K95&gt;1," (+"&amp;(K95-1)&amp;")",""))</f>
        <v/>
      </c>
      <c r="M95" s="63" t="n">
        <v>2</v>
      </c>
      <c r="N95" s="2" t="n"/>
      <c r="O95" s="2" t="n"/>
    </row>
    <row r="96">
      <c r="A96" s="62">
        <f>IF('2'!$C$1="","",'2'!$C$1)</f>
        <v/>
      </c>
      <c r="B96" s="63">
        <f>Ustawienia!$A$8&amp;""</f>
        <v/>
      </c>
      <c r="C96" s="63">
        <f>Ustawienia!$A$15&amp;""</f>
        <v/>
      </c>
      <c r="D96" s="63" t="n">
        <v>8</v>
      </c>
      <c r="E96" s="63">
        <f>IF('2'!B20="","",TRIM('2'!B20&amp;""))</f>
        <v/>
      </c>
      <c r="F96" s="63">
        <f>IF('2'!C20="","",'2'!C20)</f>
        <v/>
      </c>
      <c r="G96" s="63">
        <f>'2'!D20&amp;""</f>
        <v/>
      </c>
      <c r="H96" s="63">
        <f>IF(OR(A96="",F96=""),"",F96&amp;"|"&amp;A96)</f>
        <v/>
      </c>
      <c r="I96" s="63">
        <f>IF(AND(H96&lt;&gt;"",OR('Historia wózka'!$B$4="",F96='Historia wózka'!$B$4),A96&gt;='Historia wózka'!$B$5,A96&lt;='Historia wózka'!$B$6),A96+0.9+(5000-ROW())/10000000,0)</f>
        <v/>
      </c>
      <c r="J96" s="63">
        <f>Ustawienia!$B$8&amp;""</f>
        <v/>
      </c>
      <c r="K96" s="63">
        <f>IF(H96="","",COUNTIFS('Zgłoszenia'!$B$5:$B$504,F96,'Zgłoszenia'!$D$5:$D$504,"&gt;="&amp;A96,'Zgłoszenia'!$D$5:$D$504,"&lt;="&amp;(A96+1)))</f>
        <v/>
      </c>
      <c r="L96" s="63">
        <f>IF(OR(H96="",K96=0),"—",IF(ISNUMBER(MATCH(H96,'Zgłoszenia'!$S$5:$S$504,0)),RIGHT("0"&amp;DAY(A96),2)&amp;"."&amp;RIGHT("0"&amp;MONTH(A96),2)&amp;"."&amp;YEAR(A96)&amp;": "&amp;INDEX('Zgłoszenia'!$H$5:$H$504,MATCH(H96,'Zgłoszenia'!$S$5:$S$504,0)),RIGHT("0"&amp;DAY((A96+1)),2)&amp;"."&amp;RIGHT("0"&amp;MONTH((A96+1)),2)&amp;"."&amp;YEAR((A96+1))&amp;": "&amp;INDEX('Zgłoszenia'!$H$5:$H$504,MATCH(F96&amp;"|"&amp;(A96+1),'Zgłoszenia'!$S$5:$S$504,0)))&amp;IF(K96&gt;1," (+"&amp;(K96-1)&amp;")",""))</f>
        <v/>
      </c>
      <c r="M96" s="63" t="n">
        <v>2</v>
      </c>
      <c r="N96" s="2" t="n"/>
      <c r="O96" s="2" t="n"/>
    </row>
    <row r="97">
      <c r="A97" s="62">
        <f>IF('2'!$C$1="","",'2'!$C$1)</f>
        <v/>
      </c>
      <c r="B97" s="63">
        <f>Ustawienia!$A$8&amp;""</f>
        <v/>
      </c>
      <c r="C97" s="63">
        <f>Ustawienia!$A$16&amp;""</f>
        <v/>
      </c>
      <c r="D97" s="63" t="n">
        <v>1</v>
      </c>
      <c r="E97" s="63">
        <f>IF('2'!B22="","",TRIM('2'!B22&amp;""))</f>
        <v/>
      </c>
      <c r="F97" s="63">
        <f>IF('2'!C22="","",'2'!C22)</f>
        <v/>
      </c>
      <c r="G97" s="63">
        <f>'2'!D22&amp;""</f>
        <v/>
      </c>
      <c r="H97" s="63">
        <f>IF(OR(A97="",F97=""),"",F97&amp;"|"&amp;A97)</f>
        <v/>
      </c>
      <c r="I97" s="63">
        <f>IF(AND(H97&lt;&gt;"",OR('Historia wózka'!$B$4="",F97='Historia wózka'!$B$4),A97&gt;='Historia wózka'!$B$5,A97&lt;='Historia wózka'!$B$6),A97+0.9+(5000-ROW())/10000000,0)</f>
        <v/>
      </c>
      <c r="J97" s="63">
        <f>Ustawienia!$B$8&amp;""</f>
        <v/>
      </c>
      <c r="K97" s="63">
        <f>IF(H97="","",COUNTIFS('Zgłoszenia'!$B$5:$B$504,F97,'Zgłoszenia'!$D$5:$D$504,"&gt;="&amp;A97,'Zgłoszenia'!$D$5:$D$504,"&lt;="&amp;(A97+1)))</f>
        <v/>
      </c>
      <c r="L97" s="63">
        <f>IF(OR(H97="",K97=0),"—",IF(ISNUMBER(MATCH(H97,'Zgłoszenia'!$S$5:$S$504,0)),RIGHT("0"&amp;DAY(A97),2)&amp;"."&amp;RIGHT("0"&amp;MONTH(A97),2)&amp;"."&amp;YEAR(A97)&amp;": "&amp;INDEX('Zgłoszenia'!$H$5:$H$504,MATCH(H97,'Zgłoszenia'!$S$5:$S$504,0)),RIGHT("0"&amp;DAY((A97+1)),2)&amp;"."&amp;RIGHT("0"&amp;MONTH((A97+1)),2)&amp;"."&amp;YEAR((A97+1))&amp;": "&amp;INDEX('Zgłoszenia'!$H$5:$H$504,MATCH(F97&amp;"|"&amp;(A97+1),'Zgłoszenia'!$S$5:$S$504,0)))&amp;IF(K97&gt;1," (+"&amp;(K97-1)&amp;")",""))</f>
        <v/>
      </c>
      <c r="M97" s="63" t="n">
        <v>2</v>
      </c>
      <c r="N97" s="2" t="n"/>
      <c r="O97" s="2" t="n"/>
    </row>
    <row r="98">
      <c r="A98" s="62">
        <f>IF('2'!$C$1="","",'2'!$C$1)</f>
        <v/>
      </c>
      <c r="B98" s="63">
        <f>Ustawienia!$A$8&amp;""</f>
        <v/>
      </c>
      <c r="C98" s="63">
        <f>Ustawienia!$A$16&amp;""</f>
        <v/>
      </c>
      <c r="D98" s="63" t="n">
        <v>2</v>
      </c>
      <c r="E98" s="63">
        <f>IF('2'!B23="","",TRIM('2'!B23&amp;""))</f>
        <v/>
      </c>
      <c r="F98" s="63">
        <f>IF('2'!C23="","",'2'!C23)</f>
        <v/>
      </c>
      <c r="G98" s="63">
        <f>'2'!D23&amp;""</f>
        <v/>
      </c>
      <c r="H98" s="63">
        <f>IF(OR(A98="",F98=""),"",F98&amp;"|"&amp;A98)</f>
        <v/>
      </c>
      <c r="I98" s="63">
        <f>IF(AND(H98&lt;&gt;"",OR('Historia wózka'!$B$4="",F98='Historia wózka'!$B$4),A98&gt;='Historia wózka'!$B$5,A98&lt;='Historia wózka'!$B$6),A98+0.9+(5000-ROW())/10000000,0)</f>
        <v/>
      </c>
      <c r="J98" s="63">
        <f>Ustawienia!$B$8&amp;""</f>
        <v/>
      </c>
      <c r="K98" s="63">
        <f>IF(H98="","",COUNTIFS('Zgłoszenia'!$B$5:$B$504,F98,'Zgłoszenia'!$D$5:$D$504,"&gt;="&amp;A98,'Zgłoszenia'!$D$5:$D$504,"&lt;="&amp;(A98+1)))</f>
        <v/>
      </c>
      <c r="L98" s="63">
        <f>IF(OR(H98="",K98=0),"—",IF(ISNUMBER(MATCH(H98,'Zgłoszenia'!$S$5:$S$504,0)),RIGHT("0"&amp;DAY(A98),2)&amp;"."&amp;RIGHT("0"&amp;MONTH(A98),2)&amp;"."&amp;YEAR(A98)&amp;": "&amp;INDEX('Zgłoszenia'!$H$5:$H$504,MATCH(H98,'Zgłoszenia'!$S$5:$S$504,0)),RIGHT("0"&amp;DAY((A98+1)),2)&amp;"."&amp;RIGHT("0"&amp;MONTH((A98+1)),2)&amp;"."&amp;YEAR((A98+1))&amp;": "&amp;INDEX('Zgłoszenia'!$H$5:$H$504,MATCH(F98&amp;"|"&amp;(A98+1),'Zgłoszenia'!$S$5:$S$504,0)))&amp;IF(K98&gt;1," (+"&amp;(K98-1)&amp;")",""))</f>
        <v/>
      </c>
      <c r="M98" s="63" t="n">
        <v>2</v>
      </c>
      <c r="N98" s="2" t="n"/>
      <c r="O98" s="2" t="n"/>
    </row>
    <row r="99">
      <c r="A99" s="62">
        <f>IF('2'!$C$1="","",'2'!$C$1)</f>
        <v/>
      </c>
      <c r="B99" s="63">
        <f>Ustawienia!$A$8&amp;""</f>
        <v/>
      </c>
      <c r="C99" s="63">
        <f>Ustawienia!$A$16&amp;""</f>
        <v/>
      </c>
      <c r="D99" s="63" t="n">
        <v>3</v>
      </c>
      <c r="E99" s="63">
        <f>IF('2'!B24="","",TRIM('2'!B24&amp;""))</f>
        <v/>
      </c>
      <c r="F99" s="63">
        <f>IF('2'!C24="","",'2'!C24)</f>
        <v/>
      </c>
      <c r="G99" s="63">
        <f>'2'!D24&amp;""</f>
        <v/>
      </c>
      <c r="H99" s="63">
        <f>IF(OR(A99="",F99=""),"",F99&amp;"|"&amp;A99)</f>
        <v/>
      </c>
      <c r="I99" s="63">
        <f>IF(AND(H99&lt;&gt;"",OR('Historia wózka'!$B$4="",F99='Historia wózka'!$B$4),A99&gt;='Historia wózka'!$B$5,A99&lt;='Historia wózka'!$B$6),A99+0.9+(5000-ROW())/10000000,0)</f>
        <v/>
      </c>
      <c r="J99" s="63">
        <f>Ustawienia!$B$8&amp;""</f>
        <v/>
      </c>
      <c r="K99" s="63">
        <f>IF(H99="","",COUNTIFS('Zgłoszenia'!$B$5:$B$504,F99,'Zgłoszenia'!$D$5:$D$504,"&gt;="&amp;A99,'Zgłoszenia'!$D$5:$D$504,"&lt;="&amp;(A99+1)))</f>
        <v/>
      </c>
      <c r="L99" s="63">
        <f>IF(OR(H99="",K99=0),"—",IF(ISNUMBER(MATCH(H99,'Zgłoszenia'!$S$5:$S$504,0)),RIGHT("0"&amp;DAY(A99),2)&amp;"."&amp;RIGHT("0"&amp;MONTH(A99),2)&amp;"."&amp;YEAR(A99)&amp;": "&amp;INDEX('Zgłoszenia'!$H$5:$H$504,MATCH(H99,'Zgłoszenia'!$S$5:$S$504,0)),RIGHT("0"&amp;DAY((A99+1)),2)&amp;"."&amp;RIGHT("0"&amp;MONTH((A99+1)),2)&amp;"."&amp;YEAR((A99+1))&amp;": "&amp;INDEX('Zgłoszenia'!$H$5:$H$504,MATCH(F99&amp;"|"&amp;(A99+1),'Zgłoszenia'!$S$5:$S$504,0)))&amp;IF(K99&gt;1," (+"&amp;(K99-1)&amp;")",""))</f>
        <v/>
      </c>
      <c r="M99" s="63" t="n">
        <v>2</v>
      </c>
      <c r="N99" s="2" t="n"/>
      <c r="O99" s="2" t="n"/>
    </row>
    <row r="100">
      <c r="A100" s="62">
        <f>IF('2'!$C$1="","",'2'!$C$1)</f>
        <v/>
      </c>
      <c r="B100" s="63">
        <f>Ustawienia!$A$8&amp;""</f>
        <v/>
      </c>
      <c r="C100" s="63">
        <f>Ustawienia!$A$16&amp;""</f>
        <v/>
      </c>
      <c r="D100" s="63" t="n">
        <v>4</v>
      </c>
      <c r="E100" s="63">
        <f>IF('2'!B25="","",TRIM('2'!B25&amp;""))</f>
        <v/>
      </c>
      <c r="F100" s="63">
        <f>IF('2'!C25="","",'2'!C25)</f>
        <v/>
      </c>
      <c r="G100" s="63">
        <f>'2'!D25&amp;""</f>
        <v/>
      </c>
      <c r="H100" s="63">
        <f>IF(OR(A100="",F100=""),"",F100&amp;"|"&amp;A100)</f>
        <v/>
      </c>
      <c r="I100" s="63">
        <f>IF(AND(H100&lt;&gt;"",OR('Historia wózka'!$B$4="",F100='Historia wózka'!$B$4),A100&gt;='Historia wózka'!$B$5,A100&lt;='Historia wózka'!$B$6),A100+0.9+(5000-ROW())/10000000,0)</f>
        <v/>
      </c>
      <c r="J100" s="63">
        <f>Ustawienia!$B$8&amp;""</f>
        <v/>
      </c>
      <c r="K100" s="63">
        <f>IF(H100="","",COUNTIFS('Zgłoszenia'!$B$5:$B$504,F100,'Zgłoszenia'!$D$5:$D$504,"&gt;="&amp;A100,'Zgłoszenia'!$D$5:$D$504,"&lt;="&amp;(A100+1)))</f>
        <v/>
      </c>
      <c r="L100" s="63">
        <f>IF(OR(H100="",K100=0),"—",IF(ISNUMBER(MATCH(H100,'Zgłoszenia'!$S$5:$S$504,0)),RIGHT("0"&amp;DAY(A100),2)&amp;"."&amp;RIGHT("0"&amp;MONTH(A100),2)&amp;"."&amp;YEAR(A100)&amp;": "&amp;INDEX('Zgłoszenia'!$H$5:$H$504,MATCH(H100,'Zgłoszenia'!$S$5:$S$504,0)),RIGHT("0"&amp;DAY((A100+1)),2)&amp;"."&amp;RIGHT("0"&amp;MONTH((A100+1)),2)&amp;"."&amp;YEAR((A100+1))&amp;": "&amp;INDEX('Zgłoszenia'!$H$5:$H$504,MATCH(F100&amp;"|"&amp;(A100+1),'Zgłoszenia'!$S$5:$S$504,0)))&amp;IF(K100&gt;1," (+"&amp;(K100-1)&amp;")",""))</f>
        <v/>
      </c>
      <c r="M100" s="63" t="n">
        <v>2</v>
      </c>
      <c r="N100" s="2" t="n"/>
      <c r="O100" s="2" t="n"/>
    </row>
    <row r="101">
      <c r="A101" s="62">
        <f>IF('2'!$C$1="","",'2'!$C$1)</f>
        <v/>
      </c>
      <c r="B101" s="63">
        <f>Ustawienia!$A$8&amp;""</f>
        <v/>
      </c>
      <c r="C101" s="63">
        <f>Ustawienia!$A$17&amp;""</f>
        <v/>
      </c>
      <c r="D101" s="63" t="n">
        <v>1</v>
      </c>
      <c r="E101" s="63">
        <f>IF('2'!B27="","",TRIM('2'!B27&amp;""))</f>
        <v/>
      </c>
      <c r="F101" s="63">
        <f>IF('2'!C27="","",'2'!C27)</f>
        <v/>
      </c>
      <c r="G101" s="63">
        <f>'2'!D27&amp;""</f>
        <v/>
      </c>
      <c r="H101" s="63">
        <f>IF(OR(A101="",F101=""),"",F101&amp;"|"&amp;A101)</f>
        <v/>
      </c>
      <c r="I101" s="63">
        <f>IF(AND(H101&lt;&gt;"",OR('Historia wózka'!$B$4="",F101='Historia wózka'!$B$4),A101&gt;='Historia wózka'!$B$5,A101&lt;='Historia wózka'!$B$6),A101+0.9+(5000-ROW())/10000000,0)</f>
        <v/>
      </c>
      <c r="J101" s="63">
        <f>Ustawienia!$B$8&amp;""</f>
        <v/>
      </c>
      <c r="K101" s="63">
        <f>IF(H101="","",COUNTIFS('Zgłoszenia'!$B$5:$B$504,F101,'Zgłoszenia'!$D$5:$D$504,"&gt;="&amp;A101,'Zgłoszenia'!$D$5:$D$504,"&lt;="&amp;(A101+1)))</f>
        <v/>
      </c>
      <c r="L101" s="63">
        <f>IF(OR(H101="",K101=0),"—",IF(ISNUMBER(MATCH(H101,'Zgłoszenia'!$S$5:$S$504,0)),RIGHT("0"&amp;DAY(A101),2)&amp;"."&amp;RIGHT("0"&amp;MONTH(A101),2)&amp;"."&amp;YEAR(A101)&amp;": "&amp;INDEX('Zgłoszenia'!$H$5:$H$504,MATCH(H101,'Zgłoszenia'!$S$5:$S$504,0)),RIGHT("0"&amp;DAY((A101+1)),2)&amp;"."&amp;RIGHT("0"&amp;MONTH((A101+1)),2)&amp;"."&amp;YEAR((A101+1))&amp;": "&amp;INDEX('Zgłoszenia'!$H$5:$H$504,MATCH(F101&amp;"|"&amp;(A101+1),'Zgłoszenia'!$S$5:$S$504,0)))&amp;IF(K101&gt;1," (+"&amp;(K101-1)&amp;")",""))</f>
        <v/>
      </c>
      <c r="M101" s="63" t="n">
        <v>2</v>
      </c>
      <c r="N101" s="2" t="n"/>
      <c r="O101" s="2" t="n"/>
    </row>
    <row r="102">
      <c r="A102" s="62">
        <f>IF('2'!$C$1="","",'2'!$C$1)</f>
        <v/>
      </c>
      <c r="B102" s="63">
        <f>Ustawienia!$A$8&amp;""</f>
        <v/>
      </c>
      <c r="C102" s="63">
        <f>Ustawienia!$A$17&amp;""</f>
        <v/>
      </c>
      <c r="D102" s="63" t="n">
        <v>2</v>
      </c>
      <c r="E102" s="63">
        <f>IF('2'!B28="","",TRIM('2'!B28&amp;""))</f>
        <v/>
      </c>
      <c r="F102" s="63">
        <f>IF('2'!C28="","",'2'!C28)</f>
        <v/>
      </c>
      <c r="G102" s="63">
        <f>'2'!D28&amp;""</f>
        <v/>
      </c>
      <c r="H102" s="63">
        <f>IF(OR(A102="",F102=""),"",F102&amp;"|"&amp;A102)</f>
        <v/>
      </c>
      <c r="I102" s="63">
        <f>IF(AND(H102&lt;&gt;"",OR('Historia wózka'!$B$4="",F102='Historia wózka'!$B$4),A102&gt;='Historia wózka'!$B$5,A102&lt;='Historia wózka'!$B$6),A102+0.9+(5000-ROW())/10000000,0)</f>
        <v/>
      </c>
      <c r="J102" s="63">
        <f>Ustawienia!$B$8&amp;""</f>
        <v/>
      </c>
      <c r="K102" s="63">
        <f>IF(H102="","",COUNTIFS('Zgłoszenia'!$B$5:$B$504,F102,'Zgłoszenia'!$D$5:$D$504,"&gt;="&amp;A102,'Zgłoszenia'!$D$5:$D$504,"&lt;="&amp;(A102+1)))</f>
        <v/>
      </c>
      <c r="L102" s="63">
        <f>IF(OR(H102="",K102=0),"—",IF(ISNUMBER(MATCH(H102,'Zgłoszenia'!$S$5:$S$504,0)),RIGHT("0"&amp;DAY(A102),2)&amp;"."&amp;RIGHT("0"&amp;MONTH(A102),2)&amp;"."&amp;YEAR(A102)&amp;": "&amp;INDEX('Zgłoszenia'!$H$5:$H$504,MATCH(H102,'Zgłoszenia'!$S$5:$S$504,0)),RIGHT("0"&amp;DAY((A102+1)),2)&amp;"."&amp;RIGHT("0"&amp;MONTH((A102+1)),2)&amp;"."&amp;YEAR((A102+1))&amp;": "&amp;INDEX('Zgłoszenia'!$H$5:$H$504,MATCH(F102&amp;"|"&amp;(A102+1),'Zgłoszenia'!$S$5:$S$504,0)))&amp;IF(K102&gt;1," (+"&amp;(K102-1)&amp;")",""))</f>
        <v/>
      </c>
      <c r="M102" s="63" t="n">
        <v>2</v>
      </c>
      <c r="N102" s="2" t="n"/>
      <c r="O102" s="2" t="n"/>
    </row>
    <row r="103">
      <c r="A103" s="62">
        <f>IF('2'!$C$1="","",'2'!$C$1)</f>
        <v/>
      </c>
      <c r="B103" s="63">
        <f>Ustawienia!$A$8&amp;""</f>
        <v/>
      </c>
      <c r="C103" s="63">
        <f>Ustawienia!$A$17&amp;""</f>
        <v/>
      </c>
      <c r="D103" s="63" t="n">
        <v>3</v>
      </c>
      <c r="E103" s="63">
        <f>IF('2'!B29="","",TRIM('2'!B29&amp;""))</f>
        <v/>
      </c>
      <c r="F103" s="63">
        <f>IF('2'!C29="","",'2'!C29)</f>
        <v/>
      </c>
      <c r="G103" s="63">
        <f>'2'!D29&amp;""</f>
        <v/>
      </c>
      <c r="H103" s="63">
        <f>IF(OR(A103="",F103=""),"",F103&amp;"|"&amp;A103)</f>
        <v/>
      </c>
      <c r="I103" s="63">
        <f>IF(AND(H103&lt;&gt;"",OR('Historia wózka'!$B$4="",F103='Historia wózka'!$B$4),A103&gt;='Historia wózka'!$B$5,A103&lt;='Historia wózka'!$B$6),A103+0.9+(5000-ROW())/10000000,0)</f>
        <v/>
      </c>
      <c r="J103" s="63">
        <f>Ustawienia!$B$8&amp;""</f>
        <v/>
      </c>
      <c r="K103" s="63">
        <f>IF(H103="","",COUNTIFS('Zgłoszenia'!$B$5:$B$504,F103,'Zgłoszenia'!$D$5:$D$504,"&gt;="&amp;A103,'Zgłoszenia'!$D$5:$D$504,"&lt;="&amp;(A103+1)))</f>
        <v/>
      </c>
      <c r="L103" s="63">
        <f>IF(OR(H103="",K103=0),"—",IF(ISNUMBER(MATCH(H103,'Zgłoszenia'!$S$5:$S$504,0)),RIGHT("0"&amp;DAY(A103),2)&amp;"."&amp;RIGHT("0"&amp;MONTH(A103),2)&amp;"."&amp;YEAR(A103)&amp;": "&amp;INDEX('Zgłoszenia'!$H$5:$H$504,MATCH(H103,'Zgłoszenia'!$S$5:$S$504,0)),RIGHT("0"&amp;DAY((A103+1)),2)&amp;"."&amp;RIGHT("0"&amp;MONTH((A103+1)),2)&amp;"."&amp;YEAR((A103+1))&amp;": "&amp;INDEX('Zgłoszenia'!$H$5:$H$504,MATCH(F103&amp;"|"&amp;(A103+1),'Zgłoszenia'!$S$5:$S$504,0)))&amp;IF(K103&gt;1," (+"&amp;(K103-1)&amp;")",""))</f>
        <v/>
      </c>
      <c r="M103" s="63" t="n">
        <v>2</v>
      </c>
      <c r="N103" s="2" t="n"/>
      <c r="O103" s="2" t="n"/>
    </row>
    <row r="104">
      <c r="A104" s="62">
        <f>IF('2'!$C$1="","",'2'!$C$1)</f>
        <v/>
      </c>
      <c r="B104" s="63">
        <f>Ustawienia!$A$8&amp;""</f>
        <v/>
      </c>
      <c r="C104" s="63">
        <f>Ustawienia!$A$17&amp;""</f>
        <v/>
      </c>
      <c r="D104" s="63" t="n">
        <v>4</v>
      </c>
      <c r="E104" s="63">
        <f>IF('2'!B30="","",TRIM('2'!B30&amp;""))</f>
        <v/>
      </c>
      <c r="F104" s="63">
        <f>IF('2'!C30="","",'2'!C30)</f>
        <v/>
      </c>
      <c r="G104" s="63">
        <f>'2'!D30&amp;""</f>
        <v/>
      </c>
      <c r="H104" s="63">
        <f>IF(OR(A104="",F104=""),"",F104&amp;"|"&amp;A104)</f>
        <v/>
      </c>
      <c r="I104" s="63">
        <f>IF(AND(H104&lt;&gt;"",OR('Historia wózka'!$B$4="",F104='Historia wózka'!$B$4),A104&gt;='Historia wózka'!$B$5,A104&lt;='Historia wózka'!$B$6),A104+0.9+(5000-ROW())/10000000,0)</f>
        <v/>
      </c>
      <c r="J104" s="63">
        <f>Ustawienia!$B$8&amp;""</f>
        <v/>
      </c>
      <c r="K104" s="63">
        <f>IF(H104="","",COUNTIFS('Zgłoszenia'!$B$5:$B$504,F104,'Zgłoszenia'!$D$5:$D$504,"&gt;="&amp;A104,'Zgłoszenia'!$D$5:$D$504,"&lt;="&amp;(A104+1)))</f>
        <v/>
      </c>
      <c r="L104" s="63">
        <f>IF(OR(H104="",K104=0),"—",IF(ISNUMBER(MATCH(H104,'Zgłoszenia'!$S$5:$S$504,0)),RIGHT("0"&amp;DAY(A104),2)&amp;"."&amp;RIGHT("0"&amp;MONTH(A104),2)&amp;"."&amp;YEAR(A104)&amp;": "&amp;INDEX('Zgłoszenia'!$H$5:$H$504,MATCH(H104,'Zgłoszenia'!$S$5:$S$504,0)),RIGHT("0"&amp;DAY((A104+1)),2)&amp;"."&amp;RIGHT("0"&amp;MONTH((A104+1)),2)&amp;"."&amp;YEAR((A104+1))&amp;": "&amp;INDEX('Zgłoszenia'!$H$5:$H$504,MATCH(F104&amp;"|"&amp;(A104+1),'Zgłoszenia'!$S$5:$S$504,0)))&amp;IF(K104&gt;1," (+"&amp;(K104-1)&amp;")",""))</f>
        <v/>
      </c>
      <c r="M104" s="63" t="n">
        <v>2</v>
      </c>
      <c r="N104" s="2" t="n"/>
      <c r="O104" s="2" t="n"/>
    </row>
    <row r="105">
      <c r="A105" s="62">
        <f>IF('2'!$C$1="","",'2'!$C$1)</f>
        <v/>
      </c>
      <c r="B105" s="63">
        <f>Ustawienia!$A$8&amp;""</f>
        <v/>
      </c>
      <c r="C105" s="63">
        <f>Ustawienia!$A$18&amp;""</f>
        <v/>
      </c>
      <c r="D105" s="63" t="n">
        <v>1</v>
      </c>
      <c r="E105" s="63">
        <f>IF('2'!B32="","",TRIM('2'!B32&amp;""))</f>
        <v/>
      </c>
      <c r="F105" s="63">
        <f>IF('2'!C32="","",'2'!C32)</f>
        <v/>
      </c>
      <c r="G105" s="63">
        <f>'2'!D32&amp;""</f>
        <v/>
      </c>
      <c r="H105" s="63">
        <f>IF(OR(A105="",F105=""),"",F105&amp;"|"&amp;A105)</f>
        <v/>
      </c>
      <c r="I105" s="63">
        <f>IF(AND(H105&lt;&gt;"",OR('Historia wózka'!$B$4="",F105='Historia wózka'!$B$4),A105&gt;='Historia wózka'!$B$5,A105&lt;='Historia wózka'!$B$6),A105+0.9+(5000-ROW())/10000000,0)</f>
        <v/>
      </c>
      <c r="J105" s="63">
        <f>Ustawienia!$B$8&amp;""</f>
        <v/>
      </c>
      <c r="K105" s="63">
        <f>IF(H105="","",COUNTIFS('Zgłoszenia'!$B$5:$B$504,F105,'Zgłoszenia'!$D$5:$D$504,"&gt;="&amp;A105,'Zgłoszenia'!$D$5:$D$504,"&lt;="&amp;(A105+1)))</f>
        <v/>
      </c>
      <c r="L105" s="63">
        <f>IF(OR(H105="",K105=0),"—",IF(ISNUMBER(MATCH(H105,'Zgłoszenia'!$S$5:$S$504,0)),RIGHT("0"&amp;DAY(A105),2)&amp;"."&amp;RIGHT("0"&amp;MONTH(A105),2)&amp;"."&amp;YEAR(A105)&amp;": "&amp;INDEX('Zgłoszenia'!$H$5:$H$504,MATCH(H105,'Zgłoszenia'!$S$5:$S$504,0)),RIGHT("0"&amp;DAY((A105+1)),2)&amp;"."&amp;RIGHT("0"&amp;MONTH((A105+1)),2)&amp;"."&amp;YEAR((A105+1))&amp;": "&amp;INDEX('Zgłoszenia'!$H$5:$H$504,MATCH(F105&amp;"|"&amp;(A105+1),'Zgłoszenia'!$S$5:$S$504,0)))&amp;IF(K105&gt;1," (+"&amp;(K105-1)&amp;")",""))</f>
        <v/>
      </c>
      <c r="M105" s="63" t="n">
        <v>2</v>
      </c>
      <c r="N105" s="2" t="n"/>
      <c r="O105" s="2" t="n"/>
    </row>
    <row r="106">
      <c r="A106" s="62">
        <f>IF('2'!$C$1="","",'2'!$C$1)</f>
        <v/>
      </c>
      <c r="B106" s="63">
        <f>Ustawienia!$A$8&amp;""</f>
        <v/>
      </c>
      <c r="C106" s="63">
        <f>Ustawienia!$A$18&amp;""</f>
        <v/>
      </c>
      <c r="D106" s="63" t="n">
        <v>2</v>
      </c>
      <c r="E106" s="63">
        <f>IF('2'!B33="","",TRIM('2'!B33&amp;""))</f>
        <v/>
      </c>
      <c r="F106" s="63">
        <f>IF('2'!C33="","",'2'!C33)</f>
        <v/>
      </c>
      <c r="G106" s="63">
        <f>'2'!D33&amp;""</f>
        <v/>
      </c>
      <c r="H106" s="63">
        <f>IF(OR(A106="",F106=""),"",F106&amp;"|"&amp;A106)</f>
        <v/>
      </c>
      <c r="I106" s="63">
        <f>IF(AND(H106&lt;&gt;"",OR('Historia wózka'!$B$4="",F106='Historia wózka'!$B$4),A106&gt;='Historia wózka'!$B$5,A106&lt;='Historia wózka'!$B$6),A106+0.9+(5000-ROW())/10000000,0)</f>
        <v/>
      </c>
      <c r="J106" s="63">
        <f>Ustawienia!$B$8&amp;""</f>
        <v/>
      </c>
      <c r="K106" s="63">
        <f>IF(H106="","",COUNTIFS('Zgłoszenia'!$B$5:$B$504,F106,'Zgłoszenia'!$D$5:$D$504,"&gt;="&amp;A106,'Zgłoszenia'!$D$5:$D$504,"&lt;="&amp;(A106+1)))</f>
        <v/>
      </c>
      <c r="L106" s="63">
        <f>IF(OR(H106="",K106=0),"—",IF(ISNUMBER(MATCH(H106,'Zgłoszenia'!$S$5:$S$504,0)),RIGHT("0"&amp;DAY(A106),2)&amp;"."&amp;RIGHT("0"&amp;MONTH(A106),2)&amp;"."&amp;YEAR(A106)&amp;": "&amp;INDEX('Zgłoszenia'!$H$5:$H$504,MATCH(H106,'Zgłoszenia'!$S$5:$S$504,0)),RIGHT("0"&amp;DAY((A106+1)),2)&amp;"."&amp;RIGHT("0"&amp;MONTH((A106+1)),2)&amp;"."&amp;YEAR((A106+1))&amp;": "&amp;INDEX('Zgłoszenia'!$H$5:$H$504,MATCH(F106&amp;"|"&amp;(A106+1),'Zgłoszenia'!$S$5:$S$504,0)))&amp;IF(K106&gt;1," (+"&amp;(K106-1)&amp;")",""))</f>
        <v/>
      </c>
      <c r="M106" s="63" t="n">
        <v>2</v>
      </c>
      <c r="N106" s="2" t="n"/>
      <c r="O106" s="2" t="n"/>
    </row>
    <row r="107">
      <c r="A107" s="62">
        <f>IF('2'!$C$1="","",'2'!$C$1)</f>
        <v/>
      </c>
      <c r="B107" s="63">
        <f>Ustawienia!$A$8&amp;""</f>
        <v/>
      </c>
      <c r="C107" s="63">
        <f>Ustawienia!$A$18&amp;""</f>
        <v/>
      </c>
      <c r="D107" s="63" t="n">
        <v>3</v>
      </c>
      <c r="E107" s="63">
        <f>IF('2'!B34="","",TRIM('2'!B34&amp;""))</f>
        <v/>
      </c>
      <c r="F107" s="63">
        <f>IF('2'!C34="","",'2'!C34)</f>
        <v/>
      </c>
      <c r="G107" s="63">
        <f>'2'!D34&amp;""</f>
        <v/>
      </c>
      <c r="H107" s="63">
        <f>IF(OR(A107="",F107=""),"",F107&amp;"|"&amp;A107)</f>
        <v/>
      </c>
      <c r="I107" s="63">
        <f>IF(AND(H107&lt;&gt;"",OR('Historia wózka'!$B$4="",F107='Historia wózka'!$B$4),A107&gt;='Historia wózka'!$B$5,A107&lt;='Historia wózka'!$B$6),A107+0.9+(5000-ROW())/10000000,0)</f>
        <v/>
      </c>
      <c r="J107" s="63">
        <f>Ustawienia!$B$8&amp;""</f>
        <v/>
      </c>
      <c r="K107" s="63">
        <f>IF(H107="","",COUNTIFS('Zgłoszenia'!$B$5:$B$504,F107,'Zgłoszenia'!$D$5:$D$504,"&gt;="&amp;A107,'Zgłoszenia'!$D$5:$D$504,"&lt;="&amp;(A107+1)))</f>
        <v/>
      </c>
      <c r="L107" s="63">
        <f>IF(OR(H107="",K107=0),"—",IF(ISNUMBER(MATCH(H107,'Zgłoszenia'!$S$5:$S$504,0)),RIGHT("0"&amp;DAY(A107),2)&amp;"."&amp;RIGHT("0"&amp;MONTH(A107),2)&amp;"."&amp;YEAR(A107)&amp;": "&amp;INDEX('Zgłoszenia'!$H$5:$H$504,MATCH(H107,'Zgłoszenia'!$S$5:$S$504,0)),RIGHT("0"&amp;DAY((A107+1)),2)&amp;"."&amp;RIGHT("0"&amp;MONTH((A107+1)),2)&amp;"."&amp;YEAR((A107+1))&amp;": "&amp;INDEX('Zgłoszenia'!$H$5:$H$504,MATCH(F107&amp;"|"&amp;(A107+1),'Zgłoszenia'!$S$5:$S$504,0)))&amp;IF(K107&gt;1," (+"&amp;(K107-1)&amp;")",""))</f>
        <v/>
      </c>
      <c r="M107" s="63" t="n">
        <v>2</v>
      </c>
      <c r="N107" s="2" t="n"/>
      <c r="O107" s="2" t="n"/>
    </row>
    <row r="108">
      <c r="A108" s="62">
        <f>IF('2'!$C$1="","",'2'!$C$1)</f>
        <v/>
      </c>
      <c r="B108" s="63">
        <f>Ustawienia!$A$8&amp;""</f>
        <v/>
      </c>
      <c r="C108" s="63">
        <f>Ustawienia!$A$18&amp;""</f>
        <v/>
      </c>
      <c r="D108" s="63" t="n">
        <v>4</v>
      </c>
      <c r="E108" s="63">
        <f>IF('2'!B35="","",TRIM('2'!B35&amp;""))</f>
        <v/>
      </c>
      <c r="F108" s="63">
        <f>IF('2'!C35="","",'2'!C35)</f>
        <v/>
      </c>
      <c r="G108" s="63">
        <f>'2'!D35&amp;""</f>
        <v/>
      </c>
      <c r="H108" s="63">
        <f>IF(OR(A108="",F108=""),"",F108&amp;"|"&amp;A108)</f>
        <v/>
      </c>
      <c r="I108" s="63">
        <f>IF(AND(H108&lt;&gt;"",OR('Historia wózka'!$B$4="",F108='Historia wózka'!$B$4),A108&gt;='Historia wózka'!$B$5,A108&lt;='Historia wózka'!$B$6),A108+0.9+(5000-ROW())/10000000,0)</f>
        <v/>
      </c>
      <c r="J108" s="63">
        <f>Ustawienia!$B$8&amp;""</f>
        <v/>
      </c>
      <c r="K108" s="63">
        <f>IF(H108="","",COUNTIFS('Zgłoszenia'!$B$5:$B$504,F108,'Zgłoszenia'!$D$5:$D$504,"&gt;="&amp;A108,'Zgłoszenia'!$D$5:$D$504,"&lt;="&amp;(A108+1)))</f>
        <v/>
      </c>
      <c r="L108" s="63">
        <f>IF(OR(H108="",K108=0),"—",IF(ISNUMBER(MATCH(H108,'Zgłoszenia'!$S$5:$S$504,0)),RIGHT("0"&amp;DAY(A108),2)&amp;"."&amp;RIGHT("0"&amp;MONTH(A108),2)&amp;"."&amp;YEAR(A108)&amp;": "&amp;INDEX('Zgłoszenia'!$H$5:$H$504,MATCH(H108,'Zgłoszenia'!$S$5:$S$504,0)),RIGHT("0"&amp;DAY((A108+1)),2)&amp;"."&amp;RIGHT("0"&amp;MONTH((A108+1)),2)&amp;"."&amp;YEAR((A108+1))&amp;": "&amp;INDEX('Zgłoszenia'!$H$5:$H$504,MATCH(F108&amp;"|"&amp;(A108+1),'Zgłoszenia'!$S$5:$S$504,0)))&amp;IF(K108&gt;1," (+"&amp;(K108-1)&amp;")",""))</f>
        <v/>
      </c>
      <c r="M108" s="63" t="n">
        <v>2</v>
      </c>
      <c r="N108" s="2" t="n"/>
      <c r="O108" s="2" t="n"/>
    </row>
    <row r="109">
      <c r="A109" s="62">
        <f>IF('2'!$C$1="","",'2'!$C$1)</f>
        <v/>
      </c>
      <c r="B109" s="63">
        <f>Ustawienia!$A$8&amp;""</f>
        <v/>
      </c>
      <c r="C109" s="63">
        <f>Ustawienia!$A$18&amp;""</f>
        <v/>
      </c>
      <c r="D109" s="63" t="n">
        <v>5</v>
      </c>
      <c r="E109" s="63">
        <f>IF('2'!B36="","",TRIM('2'!B36&amp;""))</f>
        <v/>
      </c>
      <c r="F109" s="63">
        <f>IF('2'!C36="","",'2'!C36)</f>
        <v/>
      </c>
      <c r="G109" s="63">
        <f>'2'!D36&amp;""</f>
        <v/>
      </c>
      <c r="H109" s="63">
        <f>IF(OR(A109="",F109=""),"",F109&amp;"|"&amp;A109)</f>
        <v/>
      </c>
      <c r="I109" s="63">
        <f>IF(AND(H109&lt;&gt;"",OR('Historia wózka'!$B$4="",F109='Historia wózka'!$B$4),A109&gt;='Historia wózka'!$B$5,A109&lt;='Historia wózka'!$B$6),A109+0.9+(5000-ROW())/10000000,0)</f>
        <v/>
      </c>
      <c r="J109" s="63">
        <f>Ustawienia!$B$8&amp;""</f>
        <v/>
      </c>
      <c r="K109" s="63">
        <f>IF(H109="","",COUNTIFS('Zgłoszenia'!$B$5:$B$504,F109,'Zgłoszenia'!$D$5:$D$504,"&gt;="&amp;A109,'Zgłoszenia'!$D$5:$D$504,"&lt;="&amp;(A109+1)))</f>
        <v/>
      </c>
      <c r="L109" s="63">
        <f>IF(OR(H109="",K109=0),"—",IF(ISNUMBER(MATCH(H109,'Zgłoszenia'!$S$5:$S$504,0)),RIGHT("0"&amp;DAY(A109),2)&amp;"."&amp;RIGHT("0"&amp;MONTH(A109),2)&amp;"."&amp;YEAR(A109)&amp;": "&amp;INDEX('Zgłoszenia'!$H$5:$H$504,MATCH(H109,'Zgłoszenia'!$S$5:$S$504,0)),RIGHT("0"&amp;DAY((A109+1)),2)&amp;"."&amp;RIGHT("0"&amp;MONTH((A109+1)),2)&amp;"."&amp;YEAR((A109+1))&amp;": "&amp;INDEX('Zgłoszenia'!$H$5:$H$504,MATCH(F109&amp;"|"&amp;(A109+1),'Zgłoszenia'!$S$5:$S$504,0)))&amp;IF(K109&gt;1," (+"&amp;(K109-1)&amp;")",""))</f>
        <v/>
      </c>
      <c r="M109" s="63" t="n">
        <v>2</v>
      </c>
      <c r="N109" s="2" t="n"/>
      <c r="O109" s="2" t="n"/>
    </row>
    <row r="110">
      <c r="A110" s="62">
        <f>IF('2'!$C$1="","",'2'!$C$1)</f>
        <v/>
      </c>
      <c r="B110" s="63">
        <f>Ustawienia!$A$9&amp;""</f>
        <v/>
      </c>
      <c r="C110" s="63">
        <f>Ustawienia!$A$14&amp;""</f>
        <v/>
      </c>
      <c r="D110" s="63" t="n">
        <v>1</v>
      </c>
      <c r="E110" s="63">
        <f>IF('2'!F6="","",TRIM('2'!F6&amp;""))</f>
        <v/>
      </c>
      <c r="F110" s="63">
        <f>IF('2'!G6="","",'2'!G6)</f>
        <v/>
      </c>
      <c r="G110" s="63">
        <f>'2'!H6&amp;""</f>
        <v/>
      </c>
      <c r="H110" s="63">
        <f>IF(OR(A110="",F110=""),"",F110&amp;"|"&amp;A110)</f>
        <v/>
      </c>
      <c r="I110" s="63">
        <f>IF(AND(H110&lt;&gt;"",OR('Historia wózka'!$B$4="",F110='Historia wózka'!$B$4),A110&gt;='Historia wózka'!$B$5,A110&lt;='Historia wózka'!$B$6),A110+0.8+(5000-ROW())/10000000,0)</f>
        <v/>
      </c>
      <c r="J110" s="63">
        <f>Ustawienia!$B$9&amp;""</f>
        <v/>
      </c>
      <c r="K110" s="63">
        <f>IF(H110="","",COUNTIFS('Zgłoszenia'!$B$5:$B$504,F110,'Zgłoszenia'!$D$5:$D$504,"&gt;="&amp;A110,'Zgłoszenia'!$D$5:$D$504,"&lt;="&amp;(A110+1)))</f>
        <v/>
      </c>
      <c r="L110" s="63">
        <f>IF(OR(H110="",K110=0),"—",IF(ISNUMBER(MATCH(H110,'Zgłoszenia'!$S$5:$S$504,0)),RIGHT("0"&amp;DAY(A110),2)&amp;"."&amp;RIGHT("0"&amp;MONTH(A110),2)&amp;"."&amp;YEAR(A110)&amp;": "&amp;INDEX('Zgłoszenia'!$H$5:$H$504,MATCH(H110,'Zgłoszenia'!$S$5:$S$504,0)),RIGHT("0"&amp;DAY((A110+1)),2)&amp;"."&amp;RIGHT("0"&amp;MONTH((A110+1)),2)&amp;"."&amp;YEAR((A110+1))&amp;": "&amp;INDEX('Zgłoszenia'!$H$5:$H$504,MATCH(F110&amp;"|"&amp;(A110+1),'Zgłoszenia'!$S$5:$S$504,0)))&amp;IF(K110&gt;1," (+"&amp;(K110-1)&amp;")",""))</f>
        <v/>
      </c>
      <c r="M110" s="63" t="n">
        <v>2</v>
      </c>
      <c r="N110" s="2" t="n"/>
      <c r="O110" s="2" t="n"/>
    </row>
    <row r="111">
      <c r="A111" s="62">
        <f>IF('2'!$C$1="","",'2'!$C$1)</f>
        <v/>
      </c>
      <c r="B111" s="63">
        <f>Ustawienia!$A$9&amp;""</f>
        <v/>
      </c>
      <c r="C111" s="63">
        <f>Ustawienia!$A$14&amp;""</f>
        <v/>
      </c>
      <c r="D111" s="63" t="n">
        <v>2</v>
      </c>
      <c r="E111" s="63">
        <f>IF('2'!F7="","",TRIM('2'!F7&amp;""))</f>
        <v/>
      </c>
      <c r="F111" s="63">
        <f>IF('2'!G7="","",'2'!G7)</f>
        <v/>
      </c>
      <c r="G111" s="63">
        <f>'2'!H7&amp;""</f>
        <v/>
      </c>
      <c r="H111" s="63">
        <f>IF(OR(A111="",F111=""),"",F111&amp;"|"&amp;A111)</f>
        <v/>
      </c>
      <c r="I111" s="63">
        <f>IF(AND(H111&lt;&gt;"",OR('Historia wózka'!$B$4="",F111='Historia wózka'!$B$4),A111&gt;='Historia wózka'!$B$5,A111&lt;='Historia wózka'!$B$6),A111+0.8+(5000-ROW())/10000000,0)</f>
        <v/>
      </c>
      <c r="J111" s="63">
        <f>Ustawienia!$B$9&amp;""</f>
        <v/>
      </c>
      <c r="K111" s="63">
        <f>IF(H111="","",COUNTIFS('Zgłoszenia'!$B$5:$B$504,F111,'Zgłoszenia'!$D$5:$D$504,"&gt;="&amp;A111,'Zgłoszenia'!$D$5:$D$504,"&lt;="&amp;(A111+1)))</f>
        <v/>
      </c>
      <c r="L111" s="63">
        <f>IF(OR(H111="",K111=0),"—",IF(ISNUMBER(MATCH(H111,'Zgłoszenia'!$S$5:$S$504,0)),RIGHT("0"&amp;DAY(A111),2)&amp;"."&amp;RIGHT("0"&amp;MONTH(A111),2)&amp;"."&amp;YEAR(A111)&amp;": "&amp;INDEX('Zgłoszenia'!$H$5:$H$504,MATCH(H111,'Zgłoszenia'!$S$5:$S$504,0)),RIGHT("0"&amp;DAY((A111+1)),2)&amp;"."&amp;RIGHT("0"&amp;MONTH((A111+1)),2)&amp;"."&amp;YEAR((A111+1))&amp;": "&amp;INDEX('Zgłoszenia'!$H$5:$H$504,MATCH(F111&amp;"|"&amp;(A111+1),'Zgłoszenia'!$S$5:$S$504,0)))&amp;IF(K111&gt;1," (+"&amp;(K111-1)&amp;")",""))</f>
        <v/>
      </c>
      <c r="M111" s="63" t="n">
        <v>2</v>
      </c>
      <c r="N111" s="2" t="n"/>
      <c r="O111" s="2" t="n"/>
    </row>
    <row r="112">
      <c r="A112" s="62">
        <f>IF('2'!$C$1="","",'2'!$C$1)</f>
        <v/>
      </c>
      <c r="B112" s="63">
        <f>Ustawienia!$A$9&amp;""</f>
        <v/>
      </c>
      <c r="C112" s="63">
        <f>Ustawienia!$A$14&amp;""</f>
        <v/>
      </c>
      <c r="D112" s="63" t="n">
        <v>3</v>
      </c>
      <c r="E112" s="63">
        <f>IF('2'!F8="","",TRIM('2'!F8&amp;""))</f>
        <v/>
      </c>
      <c r="F112" s="63">
        <f>IF('2'!G8="","",'2'!G8)</f>
        <v/>
      </c>
      <c r="G112" s="63">
        <f>'2'!H8&amp;""</f>
        <v/>
      </c>
      <c r="H112" s="63">
        <f>IF(OR(A112="",F112=""),"",F112&amp;"|"&amp;A112)</f>
        <v/>
      </c>
      <c r="I112" s="63">
        <f>IF(AND(H112&lt;&gt;"",OR('Historia wózka'!$B$4="",F112='Historia wózka'!$B$4),A112&gt;='Historia wózka'!$B$5,A112&lt;='Historia wózka'!$B$6),A112+0.8+(5000-ROW())/10000000,0)</f>
        <v/>
      </c>
      <c r="J112" s="63">
        <f>Ustawienia!$B$9&amp;""</f>
        <v/>
      </c>
      <c r="K112" s="63">
        <f>IF(H112="","",COUNTIFS('Zgłoszenia'!$B$5:$B$504,F112,'Zgłoszenia'!$D$5:$D$504,"&gt;="&amp;A112,'Zgłoszenia'!$D$5:$D$504,"&lt;="&amp;(A112+1)))</f>
        <v/>
      </c>
      <c r="L112" s="63">
        <f>IF(OR(H112="",K112=0),"—",IF(ISNUMBER(MATCH(H112,'Zgłoszenia'!$S$5:$S$504,0)),RIGHT("0"&amp;DAY(A112),2)&amp;"."&amp;RIGHT("0"&amp;MONTH(A112),2)&amp;"."&amp;YEAR(A112)&amp;": "&amp;INDEX('Zgłoszenia'!$H$5:$H$504,MATCH(H112,'Zgłoszenia'!$S$5:$S$504,0)),RIGHT("0"&amp;DAY((A112+1)),2)&amp;"."&amp;RIGHT("0"&amp;MONTH((A112+1)),2)&amp;"."&amp;YEAR((A112+1))&amp;": "&amp;INDEX('Zgłoszenia'!$H$5:$H$504,MATCH(F112&amp;"|"&amp;(A112+1),'Zgłoszenia'!$S$5:$S$504,0)))&amp;IF(K112&gt;1," (+"&amp;(K112-1)&amp;")",""))</f>
        <v/>
      </c>
      <c r="M112" s="63" t="n">
        <v>2</v>
      </c>
      <c r="N112" s="2" t="n"/>
      <c r="O112" s="2" t="n"/>
    </row>
    <row r="113">
      <c r="A113" s="62">
        <f>IF('2'!$C$1="","",'2'!$C$1)</f>
        <v/>
      </c>
      <c r="B113" s="63">
        <f>Ustawienia!$A$9&amp;""</f>
        <v/>
      </c>
      <c r="C113" s="63">
        <f>Ustawienia!$A$14&amp;""</f>
        <v/>
      </c>
      <c r="D113" s="63" t="n">
        <v>4</v>
      </c>
      <c r="E113" s="63">
        <f>IF('2'!F9="","",TRIM('2'!F9&amp;""))</f>
        <v/>
      </c>
      <c r="F113" s="63">
        <f>IF('2'!G9="","",'2'!G9)</f>
        <v/>
      </c>
      <c r="G113" s="63">
        <f>'2'!H9&amp;""</f>
        <v/>
      </c>
      <c r="H113" s="63">
        <f>IF(OR(A113="",F113=""),"",F113&amp;"|"&amp;A113)</f>
        <v/>
      </c>
      <c r="I113" s="63">
        <f>IF(AND(H113&lt;&gt;"",OR('Historia wózka'!$B$4="",F113='Historia wózka'!$B$4),A113&gt;='Historia wózka'!$B$5,A113&lt;='Historia wózka'!$B$6),A113+0.8+(5000-ROW())/10000000,0)</f>
        <v/>
      </c>
      <c r="J113" s="63">
        <f>Ustawienia!$B$9&amp;""</f>
        <v/>
      </c>
      <c r="K113" s="63">
        <f>IF(H113="","",COUNTIFS('Zgłoszenia'!$B$5:$B$504,F113,'Zgłoszenia'!$D$5:$D$504,"&gt;="&amp;A113,'Zgłoszenia'!$D$5:$D$504,"&lt;="&amp;(A113+1)))</f>
        <v/>
      </c>
      <c r="L113" s="63">
        <f>IF(OR(H113="",K113=0),"—",IF(ISNUMBER(MATCH(H113,'Zgłoszenia'!$S$5:$S$504,0)),RIGHT("0"&amp;DAY(A113),2)&amp;"."&amp;RIGHT("0"&amp;MONTH(A113),2)&amp;"."&amp;YEAR(A113)&amp;": "&amp;INDEX('Zgłoszenia'!$H$5:$H$504,MATCH(H113,'Zgłoszenia'!$S$5:$S$504,0)),RIGHT("0"&amp;DAY((A113+1)),2)&amp;"."&amp;RIGHT("0"&amp;MONTH((A113+1)),2)&amp;"."&amp;YEAR((A113+1))&amp;": "&amp;INDEX('Zgłoszenia'!$H$5:$H$504,MATCH(F113&amp;"|"&amp;(A113+1),'Zgłoszenia'!$S$5:$S$504,0)))&amp;IF(K113&gt;1," (+"&amp;(K113-1)&amp;")",""))</f>
        <v/>
      </c>
      <c r="M113" s="63" t="n">
        <v>2</v>
      </c>
      <c r="N113" s="2" t="n"/>
      <c r="O113" s="2" t="n"/>
    </row>
    <row r="114">
      <c r="A114" s="62">
        <f>IF('2'!$C$1="","",'2'!$C$1)</f>
        <v/>
      </c>
      <c r="B114" s="63">
        <f>Ustawienia!$A$9&amp;""</f>
        <v/>
      </c>
      <c r="C114" s="63">
        <f>Ustawienia!$A$14&amp;""</f>
        <v/>
      </c>
      <c r="D114" s="63" t="n">
        <v>5</v>
      </c>
      <c r="E114" s="63">
        <f>IF('2'!F10="","",TRIM('2'!F10&amp;""))</f>
        <v/>
      </c>
      <c r="F114" s="63">
        <f>IF('2'!G10="","",'2'!G10)</f>
        <v/>
      </c>
      <c r="G114" s="63">
        <f>'2'!H10&amp;""</f>
        <v/>
      </c>
      <c r="H114" s="63">
        <f>IF(OR(A114="",F114=""),"",F114&amp;"|"&amp;A114)</f>
        <v/>
      </c>
      <c r="I114" s="63">
        <f>IF(AND(H114&lt;&gt;"",OR('Historia wózka'!$B$4="",F114='Historia wózka'!$B$4),A114&gt;='Historia wózka'!$B$5,A114&lt;='Historia wózka'!$B$6),A114+0.8+(5000-ROW())/10000000,0)</f>
        <v/>
      </c>
      <c r="J114" s="63">
        <f>Ustawienia!$B$9&amp;""</f>
        <v/>
      </c>
      <c r="K114" s="63">
        <f>IF(H114="","",COUNTIFS('Zgłoszenia'!$B$5:$B$504,F114,'Zgłoszenia'!$D$5:$D$504,"&gt;="&amp;A114,'Zgłoszenia'!$D$5:$D$504,"&lt;="&amp;(A114+1)))</f>
        <v/>
      </c>
      <c r="L114" s="63">
        <f>IF(OR(H114="",K114=0),"—",IF(ISNUMBER(MATCH(H114,'Zgłoszenia'!$S$5:$S$504,0)),RIGHT("0"&amp;DAY(A114),2)&amp;"."&amp;RIGHT("0"&amp;MONTH(A114),2)&amp;"."&amp;YEAR(A114)&amp;": "&amp;INDEX('Zgłoszenia'!$H$5:$H$504,MATCH(H114,'Zgłoszenia'!$S$5:$S$504,0)),RIGHT("0"&amp;DAY((A114+1)),2)&amp;"."&amp;RIGHT("0"&amp;MONTH((A114+1)),2)&amp;"."&amp;YEAR((A114+1))&amp;": "&amp;INDEX('Zgłoszenia'!$H$5:$H$504,MATCH(F114&amp;"|"&amp;(A114+1),'Zgłoszenia'!$S$5:$S$504,0)))&amp;IF(K114&gt;1," (+"&amp;(K114-1)&amp;")",""))</f>
        <v/>
      </c>
      <c r="M114" s="63" t="n">
        <v>2</v>
      </c>
      <c r="N114" s="2" t="n"/>
      <c r="O114" s="2" t="n"/>
    </row>
    <row r="115">
      <c r="A115" s="62">
        <f>IF('2'!$C$1="","",'2'!$C$1)</f>
        <v/>
      </c>
      <c r="B115" s="63">
        <f>Ustawienia!$A$9&amp;""</f>
        <v/>
      </c>
      <c r="C115" s="63">
        <f>Ustawienia!$A$14&amp;""</f>
        <v/>
      </c>
      <c r="D115" s="63" t="n">
        <v>6</v>
      </c>
      <c r="E115" s="63">
        <f>IF('2'!F11="","",TRIM('2'!F11&amp;""))</f>
        <v/>
      </c>
      <c r="F115" s="63">
        <f>IF('2'!G11="","",'2'!G11)</f>
        <v/>
      </c>
      <c r="G115" s="63">
        <f>'2'!H11&amp;""</f>
        <v/>
      </c>
      <c r="H115" s="63">
        <f>IF(OR(A115="",F115=""),"",F115&amp;"|"&amp;A115)</f>
        <v/>
      </c>
      <c r="I115" s="63">
        <f>IF(AND(H115&lt;&gt;"",OR('Historia wózka'!$B$4="",F115='Historia wózka'!$B$4),A115&gt;='Historia wózka'!$B$5,A115&lt;='Historia wózka'!$B$6),A115+0.8+(5000-ROW())/10000000,0)</f>
        <v/>
      </c>
      <c r="J115" s="63">
        <f>Ustawienia!$B$9&amp;""</f>
        <v/>
      </c>
      <c r="K115" s="63">
        <f>IF(H115="","",COUNTIFS('Zgłoszenia'!$B$5:$B$504,F115,'Zgłoszenia'!$D$5:$D$504,"&gt;="&amp;A115,'Zgłoszenia'!$D$5:$D$504,"&lt;="&amp;(A115+1)))</f>
        <v/>
      </c>
      <c r="L115" s="63">
        <f>IF(OR(H115="",K115=0),"—",IF(ISNUMBER(MATCH(H115,'Zgłoszenia'!$S$5:$S$504,0)),RIGHT("0"&amp;DAY(A115),2)&amp;"."&amp;RIGHT("0"&amp;MONTH(A115),2)&amp;"."&amp;YEAR(A115)&amp;": "&amp;INDEX('Zgłoszenia'!$H$5:$H$504,MATCH(H115,'Zgłoszenia'!$S$5:$S$504,0)),RIGHT("0"&amp;DAY((A115+1)),2)&amp;"."&amp;RIGHT("0"&amp;MONTH((A115+1)),2)&amp;"."&amp;YEAR((A115+1))&amp;": "&amp;INDEX('Zgłoszenia'!$H$5:$H$504,MATCH(F115&amp;"|"&amp;(A115+1),'Zgłoszenia'!$S$5:$S$504,0)))&amp;IF(K115&gt;1," (+"&amp;(K115-1)&amp;")",""))</f>
        <v/>
      </c>
      <c r="M115" s="63" t="n">
        <v>2</v>
      </c>
      <c r="N115" s="2" t="n"/>
      <c r="O115" s="2" t="n"/>
    </row>
    <row r="116">
      <c r="A116" s="62">
        <f>IF('2'!$C$1="","",'2'!$C$1)</f>
        <v/>
      </c>
      <c r="B116" s="63">
        <f>Ustawienia!$A$9&amp;""</f>
        <v/>
      </c>
      <c r="C116" s="63">
        <f>Ustawienia!$A$15&amp;""</f>
        <v/>
      </c>
      <c r="D116" s="63" t="n">
        <v>1</v>
      </c>
      <c r="E116" s="63">
        <f>IF('2'!F13="","",TRIM('2'!F13&amp;""))</f>
        <v/>
      </c>
      <c r="F116" s="63">
        <f>IF('2'!G13="","",'2'!G13)</f>
        <v/>
      </c>
      <c r="G116" s="63">
        <f>'2'!H13&amp;""</f>
        <v/>
      </c>
      <c r="H116" s="63">
        <f>IF(OR(A116="",F116=""),"",F116&amp;"|"&amp;A116)</f>
        <v/>
      </c>
      <c r="I116" s="63">
        <f>IF(AND(H116&lt;&gt;"",OR('Historia wózka'!$B$4="",F116='Historia wózka'!$B$4),A116&gt;='Historia wózka'!$B$5,A116&lt;='Historia wózka'!$B$6),A116+0.8+(5000-ROW())/10000000,0)</f>
        <v/>
      </c>
      <c r="J116" s="63">
        <f>Ustawienia!$B$9&amp;""</f>
        <v/>
      </c>
      <c r="K116" s="63">
        <f>IF(H116="","",COUNTIFS('Zgłoszenia'!$B$5:$B$504,F116,'Zgłoszenia'!$D$5:$D$504,"&gt;="&amp;A116,'Zgłoszenia'!$D$5:$D$504,"&lt;="&amp;(A116+1)))</f>
        <v/>
      </c>
      <c r="L116" s="63">
        <f>IF(OR(H116="",K116=0),"—",IF(ISNUMBER(MATCH(H116,'Zgłoszenia'!$S$5:$S$504,0)),RIGHT("0"&amp;DAY(A116),2)&amp;"."&amp;RIGHT("0"&amp;MONTH(A116),2)&amp;"."&amp;YEAR(A116)&amp;": "&amp;INDEX('Zgłoszenia'!$H$5:$H$504,MATCH(H116,'Zgłoszenia'!$S$5:$S$504,0)),RIGHT("0"&amp;DAY((A116+1)),2)&amp;"."&amp;RIGHT("0"&amp;MONTH((A116+1)),2)&amp;"."&amp;YEAR((A116+1))&amp;": "&amp;INDEX('Zgłoszenia'!$H$5:$H$504,MATCH(F116&amp;"|"&amp;(A116+1),'Zgłoszenia'!$S$5:$S$504,0)))&amp;IF(K116&gt;1," (+"&amp;(K116-1)&amp;")",""))</f>
        <v/>
      </c>
      <c r="M116" s="63" t="n">
        <v>2</v>
      </c>
      <c r="N116" s="2" t="n"/>
      <c r="O116" s="2" t="n"/>
    </row>
    <row r="117">
      <c r="A117" s="62">
        <f>IF('2'!$C$1="","",'2'!$C$1)</f>
        <v/>
      </c>
      <c r="B117" s="63">
        <f>Ustawienia!$A$9&amp;""</f>
        <v/>
      </c>
      <c r="C117" s="63">
        <f>Ustawienia!$A$15&amp;""</f>
        <v/>
      </c>
      <c r="D117" s="63" t="n">
        <v>2</v>
      </c>
      <c r="E117" s="63">
        <f>IF('2'!F14="","",TRIM('2'!F14&amp;""))</f>
        <v/>
      </c>
      <c r="F117" s="63">
        <f>IF('2'!G14="","",'2'!G14)</f>
        <v/>
      </c>
      <c r="G117" s="63">
        <f>'2'!H14&amp;""</f>
        <v/>
      </c>
      <c r="H117" s="63">
        <f>IF(OR(A117="",F117=""),"",F117&amp;"|"&amp;A117)</f>
        <v/>
      </c>
      <c r="I117" s="63">
        <f>IF(AND(H117&lt;&gt;"",OR('Historia wózka'!$B$4="",F117='Historia wózka'!$B$4),A117&gt;='Historia wózka'!$B$5,A117&lt;='Historia wózka'!$B$6),A117+0.8+(5000-ROW())/10000000,0)</f>
        <v/>
      </c>
      <c r="J117" s="63">
        <f>Ustawienia!$B$9&amp;""</f>
        <v/>
      </c>
      <c r="K117" s="63">
        <f>IF(H117="","",COUNTIFS('Zgłoszenia'!$B$5:$B$504,F117,'Zgłoszenia'!$D$5:$D$504,"&gt;="&amp;A117,'Zgłoszenia'!$D$5:$D$504,"&lt;="&amp;(A117+1)))</f>
        <v/>
      </c>
      <c r="L117" s="63">
        <f>IF(OR(H117="",K117=0),"—",IF(ISNUMBER(MATCH(H117,'Zgłoszenia'!$S$5:$S$504,0)),RIGHT("0"&amp;DAY(A117),2)&amp;"."&amp;RIGHT("0"&amp;MONTH(A117),2)&amp;"."&amp;YEAR(A117)&amp;": "&amp;INDEX('Zgłoszenia'!$H$5:$H$504,MATCH(H117,'Zgłoszenia'!$S$5:$S$504,0)),RIGHT("0"&amp;DAY((A117+1)),2)&amp;"."&amp;RIGHT("0"&amp;MONTH((A117+1)),2)&amp;"."&amp;YEAR((A117+1))&amp;": "&amp;INDEX('Zgłoszenia'!$H$5:$H$504,MATCH(F117&amp;"|"&amp;(A117+1),'Zgłoszenia'!$S$5:$S$504,0)))&amp;IF(K117&gt;1," (+"&amp;(K117-1)&amp;")",""))</f>
        <v/>
      </c>
      <c r="M117" s="63" t="n">
        <v>2</v>
      </c>
      <c r="N117" s="2" t="n"/>
      <c r="O117" s="2" t="n"/>
    </row>
    <row r="118">
      <c r="A118" s="62">
        <f>IF('2'!$C$1="","",'2'!$C$1)</f>
        <v/>
      </c>
      <c r="B118" s="63">
        <f>Ustawienia!$A$9&amp;""</f>
        <v/>
      </c>
      <c r="C118" s="63">
        <f>Ustawienia!$A$15&amp;""</f>
        <v/>
      </c>
      <c r="D118" s="63" t="n">
        <v>3</v>
      </c>
      <c r="E118" s="63">
        <f>IF('2'!F15="","",TRIM('2'!F15&amp;""))</f>
        <v/>
      </c>
      <c r="F118" s="63">
        <f>IF('2'!G15="","",'2'!G15)</f>
        <v/>
      </c>
      <c r="G118" s="63">
        <f>'2'!H15&amp;""</f>
        <v/>
      </c>
      <c r="H118" s="63">
        <f>IF(OR(A118="",F118=""),"",F118&amp;"|"&amp;A118)</f>
        <v/>
      </c>
      <c r="I118" s="63">
        <f>IF(AND(H118&lt;&gt;"",OR('Historia wózka'!$B$4="",F118='Historia wózka'!$B$4),A118&gt;='Historia wózka'!$B$5,A118&lt;='Historia wózka'!$B$6),A118+0.8+(5000-ROW())/10000000,0)</f>
        <v/>
      </c>
      <c r="J118" s="63">
        <f>Ustawienia!$B$9&amp;""</f>
        <v/>
      </c>
      <c r="K118" s="63">
        <f>IF(H118="","",COUNTIFS('Zgłoszenia'!$B$5:$B$504,F118,'Zgłoszenia'!$D$5:$D$504,"&gt;="&amp;A118,'Zgłoszenia'!$D$5:$D$504,"&lt;="&amp;(A118+1)))</f>
        <v/>
      </c>
      <c r="L118" s="63">
        <f>IF(OR(H118="",K118=0),"—",IF(ISNUMBER(MATCH(H118,'Zgłoszenia'!$S$5:$S$504,0)),RIGHT("0"&amp;DAY(A118),2)&amp;"."&amp;RIGHT("0"&amp;MONTH(A118),2)&amp;"."&amp;YEAR(A118)&amp;": "&amp;INDEX('Zgłoszenia'!$H$5:$H$504,MATCH(H118,'Zgłoszenia'!$S$5:$S$504,0)),RIGHT("0"&amp;DAY((A118+1)),2)&amp;"."&amp;RIGHT("0"&amp;MONTH((A118+1)),2)&amp;"."&amp;YEAR((A118+1))&amp;": "&amp;INDEX('Zgłoszenia'!$H$5:$H$504,MATCH(F118&amp;"|"&amp;(A118+1),'Zgłoszenia'!$S$5:$S$504,0)))&amp;IF(K118&gt;1," (+"&amp;(K118-1)&amp;")",""))</f>
        <v/>
      </c>
      <c r="M118" s="63" t="n">
        <v>2</v>
      </c>
      <c r="N118" s="2" t="n"/>
      <c r="O118" s="2" t="n"/>
    </row>
    <row r="119">
      <c r="A119" s="62">
        <f>IF('2'!$C$1="","",'2'!$C$1)</f>
        <v/>
      </c>
      <c r="B119" s="63">
        <f>Ustawienia!$A$9&amp;""</f>
        <v/>
      </c>
      <c r="C119" s="63">
        <f>Ustawienia!$A$15&amp;""</f>
        <v/>
      </c>
      <c r="D119" s="63" t="n">
        <v>4</v>
      </c>
      <c r="E119" s="63">
        <f>IF('2'!F16="","",TRIM('2'!F16&amp;""))</f>
        <v/>
      </c>
      <c r="F119" s="63">
        <f>IF('2'!G16="","",'2'!G16)</f>
        <v/>
      </c>
      <c r="G119" s="63">
        <f>'2'!H16&amp;""</f>
        <v/>
      </c>
      <c r="H119" s="63">
        <f>IF(OR(A119="",F119=""),"",F119&amp;"|"&amp;A119)</f>
        <v/>
      </c>
      <c r="I119" s="63">
        <f>IF(AND(H119&lt;&gt;"",OR('Historia wózka'!$B$4="",F119='Historia wózka'!$B$4),A119&gt;='Historia wózka'!$B$5,A119&lt;='Historia wózka'!$B$6),A119+0.8+(5000-ROW())/10000000,0)</f>
        <v/>
      </c>
      <c r="J119" s="63">
        <f>Ustawienia!$B$9&amp;""</f>
        <v/>
      </c>
      <c r="K119" s="63">
        <f>IF(H119="","",COUNTIFS('Zgłoszenia'!$B$5:$B$504,F119,'Zgłoszenia'!$D$5:$D$504,"&gt;="&amp;A119,'Zgłoszenia'!$D$5:$D$504,"&lt;="&amp;(A119+1)))</f>
        <v/>
      </c>
      <c r="L119" s="63">
        <f>IF(OR(H119="",K119=0),"—",IF(ISNUMBER(MATCH(H119,'Zgłoszenia'!$S$5:$S$504,0)),RIGHT("0"&amp;DAY(A119),2)&amp;"."&amp;RIGHT("0"&amp;MONTH(A119),2)&amp;"."&amp;YEAR(A119)&amp;": "&amp;INDEX('Zgłoszenia'!$H$5:$H$504,MATCH(H119,'Zgłoszenia'!$S$5:$S$504,0)),RIGHT("0"&amp;DAY((A119+1)),2)&amp;"."&amp;RIGHT("0"&amp;MONTH((A119+1)),2)&amp;"."&amp;YEAR((A119+1))&amp;": "&amp;INDEX('Zgłoszenia'!$H$5:$H$504,MATCH(F119&amp;"|"&amp;(A119+1),'Zgłoszenia'!$S$5:$S$504,0)))&amp;IF(K119&gt;1," (+"&amp;(K119-1)&amp;")",""))</f>
        <v/>
      </c>
      <c r="M119" s="63" t="n">
        <v>2</v>
      </c>
      <c r="N119" s="2" t="n"/>
      <c r="O119" s="2" t="n"/>
    </row>
    <row r="120">
      <c r="A120" s="62">
        <f>IF('2'!$C$1="","",'2'!$C$1)</f>
        <v/>
      </c>
      <c r="B120" s="63">
        <f>Ustawienia!$A$9&amp;""</f>
        <v/>
      </c>
      <c r="C120" s="63">
        <f>Ustawienia!$A$15&amp;""</f>
        <v/>
      </c>
      <c r="D120" s="63" t="n">
        <v>5</v>
      </c>
      <c r="E120" s="63">
        <f>IF('2'!F17="","",TRIM('2'!F17&amp;""))</f>
        <v/>
      </c>
      <c r="F120" s="63">
        <f>IF('2'!G17="","",'2'!G17)</f>
        <v/>
      </c>
      <c r="G120" s="63">
        <f>'2'!H17&amp;""</f>
        <v/>
      </c>
      <c r="H120" s="63">
        <f>IF(OR(A120="",F120=""),"",F120&amp;"|"&amp;A120)</f>
        <v/>
      </c>
      <c r="I120" s="63">
        <f>IF(AND(H120&lt;&gt;"",OR('Historia wózka'!$B$4="",F120='Historia wózka'!$B$4),A120&gt;='Historia wózka'!$B$5,A120&lt;='Historia wózka'!$B$6),A120+0.8+(5000-ROW())/10000000,0)</f>
        <v/>
      </c>
      <c r="J120" s="63">
        <f>Ustawienia!$B$9&amp;""</f>
        <v/>
      </c>
      <c r="K120" s="63">
        <f>IF(H120="","",COUNTIFS('Zgłoszenia'!$B$5:$B$504,F120,'Zgłoszenia'!$D$5:$D$504,"&gt;="&amp;A120,'Zgłoszenia'!$D$5:$D$504,"&lt;="&amp;(A120+1)))</f>
        <v/>
      </c>
      <c r="L120" s="63">
        <f>IF(OR(H120="",K120=0),"—",IF(ISNUMBER(MATCH(H120,'Zgłoszenia'!$S$5:$S$504,0)),RIGHT("0"&amp;DAY(A120),2)&amp;"."&amp;RIGHT("0"&amp;MONTH(A120),2)&amp;"."&amp;YEAR(A120)&amp;": "&amp;INDEX('Zgłoszenia'!$H$5:$H$504,MATCH(H120,'Zgłoszenia'!$S$5:$S$504,0)),RIGHT("0"&amp;DAY((A120+1)),2)&amp;"."&amp;RIGHT("0"&amp;MONTH((A120+1)),2)&amp;"."&amp;YEAR((A120+1))&amp;": "&amp;INDEX('Zgłoszenia'!$H$5:$H$504,MATCH(F120&amp;"|"&amp;(A120+1),'Zgłoszenia'!$S$5:$S$504,0)))&amp;IF(K120&gt;1," (+"&amp;(K120-1)&amp;")",""))</f>
        <v/>
      </c>
      <c r="M120" s="63" t="n">
        <v>2</v>
      </c>
      <c r="N120" s="2" t="n"/>
      <c r="O120" s="2" t="n"/>
    </row>
    <row r="121">
      <c r="A121" s="62">
        <f>IF('2'!$C$1="","",'2'!$C$1)</f>
        <v/>
      </c>
      <c r="B121" s="63">
        <f>Ustawienia!$A$9&amp;""</f>
        <v/>
      </c>
      <c r="C121" s="63">
        <f>Ustawienia!$A$15&amp;""</f>
        <v/>
      </c>
      <c r="D121" s="63" t="n">
        <v>6</v>
      </c>
      <c r="E121" s="63">
        <f>IF('2'!F18="","",TRIM('2'!F18&amp;""))</f>
        <v/>
      </c>
      <c r="F121" s="63">
        <f>IF('2'!G18="","",'2'!G18)</f>
        <v/>
      </c>
      <c r="G121" s="63">
        <f>'2'!H18&amp;""</f>
        <v/>
      </c>
      <c r="H121" s="63">
        <f>IF(OR(A121="",F121=""),"",F121&amp;"|"&amp;A121)</f>
        <v/>
      </c>
      <c r="I121" s="63">
        <f>IF(AND(H121&lt;&gt;"",OR('Historia wózka'!$B$4="",F121='Historia wózka'!$B$4),A121&gt;='Historia wózka'!$B$5,A121&lt;='Historia wózka'!$B$6),A121+0.8+(5000-ROW())/10000000,0)</f>
        <v/>
      </c>
      <c r="J121" s="63">
        <f>Ustawienia!$B$9&amp;""</f>
        <v/>
      </c>
      <c r="K121" s="63">
        <f>IF(H121="","",COUNTIFS('Zgłoszenia'!$B$5:$B$504,F121,'Zgłoszenia'!$D$5:$D$504,"&gt;="&amp;A121,'Zgłoszenia'!$D$5:$D$504,"&lt;="&amp;(A121+1)))</f>
        <v/>
      </c>
      <c r="L121" s="63">
        <f>IF(OR(H121="",K121=0),"—",IF(ISNUMBER(MATCH(H121,'Zgłoszenia'!$S$5:$S$504,0)),RIGHT("0"&amp;DAY(A121),2)&amp;"."&amp;RIGHT("0"&amp;MONTH(A121),2)&amp;"."&amp;YEAR(A121)&amp;": "&amp;INDEX('Zgłoszenia'!$H$5:$H$504,MATCH(H121,'Zgłoszenia'!$S$5:$S$504,0)),RIGHT("0"&amp;DAY((A121+1)),2)&amp;"."&amp;RIGHT("0"&amp;MONTH((A121+1)),2)&amp;"."&amp;YEAR((A121+1))&amp;": "&amp;INDEX('Zgłoszenia'!$H$5:$H$504,MATCH(F121&amp;"|"&amp;(A121+1),'Zgłoszenia'!$S$5:$S$504,0)))&amp;IF(K121&gt;1," (+"&amp;(K121-1)&amp;")",""))</f>
        <v/>
      </c>
      <c r="M121" s="63" t="n">
        <v>2</v>
      </c>
      <c r="N121" s="2" t="n"/>
      <c r="O121" s="2" t="n"/>
    </row>
    <row r="122">
      <c r="A122" s="62">
        <f>IF('2'!$C$1="","",'2'!$C$1)</f>
        <v/>
      </c>
      <c r="B122" s="63">
        <f>Ustawienia!$A$9&amp;""</f>
        <v/>
      </c>
      <c r="C122" s="63">
        <f>Ustawienia!$A$15&amp;""</f>
        <v/>
      </c>
      <c r="D122" s="63" t="n">
        <v>7</v>
      </c>
      <c r="E122" s="63">
        <f>IF('2'!F19="","",TRIM('2'!F19&amp;""))</f>
        <v/>
      </c>
      <c r="F122" s="63">
        <f>IF('2'!G19="","",'2'!G19)</f>
        <v/>
      </c>
      <c r="G122" s="63">
        <f>'2'!H19&amp;""</f>
        <v/>
      </c>
      <c r="H122" s="63">
        <f>IF(OR(A122="",F122=""),"",F122&amp;"|"&amp;A122)</f>
        <v/>
      </c>
      <c r="I122" s="63">
        <f>IF(AND(H122&lt;&gt;"",OR('Historia wózka'!$B$4="",F122='Historia wózka'!$B$4),A122&gt;='Historia wózka'!$B$5,A122&lt;='Historia wózka'!$B$6),A122+0.8+(5000-ROW())/10000000,0)</f>
        <v/>
      </c>
      <c r="J122" s="63">
        <f>Ustawienia!$B$9&amp;""</f>
        <v/>
      </c>
      <c r="K122" s="63">
        <f>IF(H122="","",COUNTIFS('Zgłoszenia'!$B$5:$B$504,F122,'Zgłoszenia'!$D$5:$D$504,"&gt;="&amp;A122,'Zgłoszenia'!$D$5:$D$504,"&lt;="&amp;(A122+1)))</f>
        <v/>
      </c>
      <c r="L122" s="63">
        <f>IF(OR(H122="",K122=0),"—",IF(ISNUMBER(MATCH(H122,'Zgłoszenia'!$S$5:$S$504,0)),RIGHT("0"&amp;DAY(A122),2)&amp;"."&amp;RIGHT("0"&amp;MONTH(A122),2)&amp;"."&amp;YEAR(A122)&amp;": "&amp;INDEX('Zgłoszenia'!$H$5:$H$504,MATCH(H122,'Zgłoszenia'!$S$5:$S$504,0)),RIGHT("0"&amp;DAY((A122+1)),2)&amp;"."&amp;RIGHT("0"&amp;MONTH((A122+1)),2)&amp;"."&amp;YEAR((A122+1))&amp;": "&amp;INDEX('Zgłoszenia'!$H$5:$H$504,MATCH(F122&amp;"|"&amp;(A122+1),'Zgłoszenia'!$S$5:$S$504,0)))&amp;IF(K122&gt;1," (+"&amp;(K122-1)&amp;")",""))</f>
        <v/>
      </c>
      <c r="M122" s="63" t="n">
        <v>2</v>
      </c>
      <c r="N122" s="2" t="n"/>
      <c r="O122" s="2" t="n"/>
    </row>
    <row r="123">
      <c r="A123" s="62">
        <f>IF('2'!$C$1="","",'2'!$C$1)</f>
        <v/>
      </c>
      <c r="B123" s="63">
        <f>Ustawienia!$A$9&amp;""</f>
        <v/>
      </c>
      <c r="C123" s="63">
        <f>Ustawienia!$A$15&amp;""</f>
        <v/>
      </c>
      <c r="D123" s="63" t="n">
        <v>8</v>
      </c>
      <c r="E123" s="63">
        <f>IF('2'!F20="","",TRIM('2'!F20&amp;""))</f>
        <v/>
      </c>
      <c r="F123" s="63">
        <f>IF('2'!G20="","",'2'!G20)</f>
        <v/>
      </c>
      <c r="G123" s="63">
        <f>'2'!H20&amp;""</f>
        <v/>
      </c>
      <c r="H123" s="63">
        <f>IF(OR(A123="",F123=""),"",F123&amp;"|"&amp;A123)</f>
        <v/>
      </c>
      <c r="I123" s="63">
        <f>IF(AND(H123&lt;&gt;"",OR('Historia wózka'!$B$4="",F123='Historia wózka'!$B$4),A123&gt;='Historia wózka'!$B$5,A123&lt;='Historia wózka'!$B$6),A123+0.8+(5000-ROW())/10000000,0)</f>
        <v/>
      </c>
      <c r="J123" s="63">
        <f>Ustawienia!$B$9&amp;""</f>
        <v/>
      </c>
      <c r="K123" s="63">
        <f>IF(H123="","",COUNTIFS('Zgłoszenia'!$B$5:$B$504,F123,'Zgłoszenia'!$D$5:$D$504,"&gt;="&amp;A123,'Zgłoszenia'!$D$5:$D$504,"&lt;="&amp;(A123+1)))</f>
        <v/>
      </c>
      <c r="L123" s="63">
        <f>IF(OR(H123="",K123=0),"—",IF(ISNUMBER(MATCH(H123,'Zgłoszenia'!$S$5:$S$504,0)),RIGHT("0"&amp;DAY(A123),2)&amp;"."&amp;RIGHT("0"&amp;MONTH(A123),2)&amp;"."&amp;YEAR(A123)&amp;": "&amp;INDEX('Zgłoszenia'!$H$5:$H$504,MATCH(H123,'Zgłoszenia'!$S$5:$S$504,0)),RIGHT("0"&amp;DAY((A123+1)),2)&amp;"."&amp;RIGHT("0"&amp;MONTH((A123+1)),2)&amp;"."&amp;YEAR((A123+1))&amp;": "&amp;INDEX('Zgłoszenia'!$H$5:$H$504,MATCH(F123&amp;"|"&amp;(A123+1),'Zgłoszenia'!$S$5:$S$504,0)))&amp;IF(K123&gt;1," (+"&amp;(K123-1)&amp;")",""))</f>
        <v/>
      </c>
      <c r="M123" s="63" t="n">
        <v>2</v>
      </c>
      <c r="N123" s="2" t="n"/>
      <c r="O123" s="2" t="n"/>
    </row>
    <row r="124">
      <c r="A124" s="62">
        <f>IF('2'!$C$1="","",'2'!$C$1)</f>
        <v/>
      </c>
      <c r="B124" s="63">
        <f>Ustawienia!$A$9&amp;""</f>
        <v/>
      </c>
      <c r="C124" s="63">
        <f>Ustawienia!$A$16&amp;""</f>
        <v/>
      </c>
      <c r="D124" s="63" t="n">
        <v>1</v>
      </c>
      <c r="E124" s="63">
        <f>IF('2'!F22="","",TRIM('2'!F22&amp;""))</f>
        <v/>
      </c>
      <c r="F124" s="63">
        <f>IF('2'!G22="","",'2'!G22)</f>
        <v/>
      </c>
      <c r="G124" s="63">
        <f>'2'!H22&amp;""</f>
        <v/>
      </c>
      <c r="H124" s="63">
        <f>IF(OR(A124="",F124=""),"",F124&amp;"|"&amp;A124)</f>
        <v/>
      </c>
      <c r="I124" s="63">
        <f>IF(AND(H124&lt;&gt;"",OR('Historia wózka'!$B$4="",F124='Historia wózka'!$B$4),A124&gt;='Historia wózka'!$B$5,A124&lt;='Historia wózka'!$B$6),A124+0.8+(5000-ROW())/10000000,0)</f>
        <v/>
      </c>
      <c r="J124" s="63">
        <f>Ustawienia!$B$9&amp;""</f>
        <v/>
      </c>
      <c r="K124" s="63">
        <f>IF(H124="","",COUNTIFS('Zgłoszenia'!$B$5:$B$504,F124,'Zgłoszenia'!$D$5:$D$504,"&gt;="&amp;A124,'Zgłoszenia'!$D$5:$D$504,"&lt;="&amp;(A124+1)))</f>
        <v/>
      </c>
      <c r="L124" s="63">
        <f>IF(OR(H124="",K124=0),"—",IF(ISNUMBER(MATCH(H124,'Zgłoszenia'!$S$5:$S$504,0)),RIGHT("0"&amp;DAY(A124),2)&amp;"."&amp;RIGHT("0"&amp;MONTH(A124),2)&amp;"."&amp;YEAR(A124)&amp;": "&amp;INDEX('Zgłoszenia'!$H$5:$H$504,MATCH(H124,'Zgłoszenia'!$S$5:$S$504,0)),RIGHT("0"&amp;DAY((A124+1)),2)&amp;"."&amp;RIGHT("0"&amp;MONTH((A124+1)),2)&amp;"."&amp;YEAR((A124+1))&amp;": "&amp;INDEX('Zgłoszenia'!$H$5:$H$504,MATCH(F124&amp;"|"&amp;(A124+1),'Zgłoszenia'!$S$5:$S$504,0)))&amp;IF(K124&gt;1," (+"&amp;(K124-1)&amp;")",""))</f>
        <v/>
      </c>
      <c r="M124" s="63" t="n">
        <v>2</v>
      </c>
      <c r="N124" s="2" t="n"/>
      <c r="O124" s="2" t="n"/>
    </row>
    <row r="125">
      <c r="A125" s="62">
        <f>IF('2'!$C$1="","",'2'!$C$1)</f>
        <v/>
      </c>
      <c r="B125" s="63">
        <f>Ustawienia!$A$9&amp;""</f>
        <v/>
      </c>
      <c r="C125" s="63">
        <f>Ustawienia!$A$16&amp;""</f>
        <v/>
      </c>
      <c r="D125" s="63" t="n">
        <v>2</v>
      </c>
      <c r="E125" s="63">
        <f>IF('2'!F23="","",TRIM('2'!F23&amp;""))</f>
        <v/>
      </c>
      <c r="F125" s="63">
        <f>IF('2'!G23="","",'2'!G23)</f>
        <v/>
      </c>
      <c r="G125" s="63">
        <f>'2'!H23&amp;""</f>
        <v/>
      </c>
      <c r="H125" s="63">
        <f>IF(OR(A125="",F125=""),"",F125&amp;"|"&amp;A125)</f>
        <v/>
      </c>
      <c r="I125" s="63">
        <f>IF(AND(H125&lt;&gt;"",OR('Historia wózka'!$B$4="",F125='Historia wózka'!$B$4),A125&gt;='Historia wózka'!$B$5,A125&lt;='Historia wózka'!$B$6),A125+0.8+(5000-ROW())/10000000,0)</f>
        <v/>
      </c>
      <c r="J125" s="63">
        <f>Ustawienia!$B$9&amp;""</f>
        <v/>
      </c>
      <c r="K125" s="63">
        <f>IF(H125="","",COUNTIFS('Zgłoszenia'!$B$5:$B$504,F125,'Zgłoszenia'!$D$5:$D$504,"&gt;="&amp;A125,'Zgłoszenia'!$D$5:$D$504,"&lt;="&amp;(A125+1)))</f>
        <v/>
      </c>
      <c r="L125" s="63">
        <f>IF(OR(H125="",K125=0),"—",IF(ISNUMBER(MATCH(H125,'Zgłoszenia'!$S$5:$S$504,0)),RIGHT("0"&amp;DAY(A125),2)&amp;"."&amp;RIGHT("0"&amp;MONTH(A125),2)&amp;"."&amp;YEAR(A125)&amp;": "&amp;INDEX('Zgłoszenia'!$H$5:$H$504,MATCH(H125,'Zgłoszenia'!$S$5:$S$504,0)),RIGHT("0"&amp;DAY((A125+1)),2)&amp;"."&amp;RIGHT("0"&amp;MONTH((A125+1)),2)&amp;"."&amp;YEAR((A125+1))&amp;": "&amp;INDEX('Zgłoszenia'!$H$5:$H$504,MATCH(F125&amp;"|"&amp;(A125+1),'Zgłoszenia'!$S$5:$S$504,0)))&amp;IF(K125&gt;1," (+"&amp;(K125-1)&amp;")",""))</f>
        <v/>
      </c>
      <c r="M125" s="63" t="n">
        <v>2</v>
      </c>
      <c r="N125" s="2" t="n"/>
      <c r="O125" s="2" t="n"/>
    </row>
    <row r="126">
      <c r="A126" s="62">
        <f>IF('2'!$C$1="","",'2'!$C$1)</f>
        <v/>
      </c>
      <c r="B126" s="63">
        <f>Ustawienia!$A$9&amp;""</f>
        <v/>
      </c>
      <c r="C126" s="63">
        <f>Ustawienia!$A$16&amp;""</f>
        <v/>
      </c>
      <c r="D126" s="63" t="n">
        <v>3</v>
      </c>
      <c r="E126" s="63">
        <f>IF('2'!F24="","",TRIM('2'!F24&amp;""))</f>
        <v/>
      </c>
      <c r="F126" s="63">
        <f>IF('2'!G24="","",'2'!G24)</f>
        <v/>
      </c>
      <c r="G126" s="63">
        <f>'2'!H24&amp;""</f>
        <v/>
      </c>
      <c r="H126" s="63">
        <f>IF(OR(A126="",F126=""),"",F126&amp;"|"&amp;A126)</f>
        <v/>
      </c>
      <c r="I126" s="63">
        <f>IF(AND(H126&lt;&gt;"",OR('Historia wózka'!$B$4="",F126='Historia wózka'!$B$4),A126&gt;='Historia wózka'!$B$5,A126&lt;='Historia wózka'!$B$6),A126+0.8+(5000-ROW())/10000000,0)</f>
        <v/>
      </c>
      <c r="J126" s="63">
        <f>Ustawienia!$B$9&amp;""</f>
        <v/>
      </c>
      <c r="K126" s="63">
        <f>IF(H126="","",COUNTIFS('Zgłoszenia'!$B$5:$B$504,F126,'Zgłoszenia'!$D$5:$D$504,"&gt;="&amp;A126,'Zgłoszenia'!$D$5:$D$504,"&lt;="&amp;(A126+1)))</f>
        <v/>
      </c>
      <c r="L126" s="63">
        <f>IF(OR(H126="",K126=0),"—",IF(ISNUMBER(MATCH(H126,'Zgłoszenia'!$S$5:$S$504,0)),RIGHT("0"&amp;DAY(A126),2)&amp;"."&amp;RIGHT("0"&amp;MONTH(A126),2)&amp;"."&amp;YEAR(A126)&amp;": "&amp;INDEX('Zgłoszenia'!$H$5:$H$504,MATCH(H126,'Zgłoszenia'!$S$5:$S$504,0)),RIGHT("0"&amp;DAY((A126+1)),2)&amp;"."&amp;RIGHT("0"&amp;MONTH((A126+1)),2)&amp;"."&amp;YEAR((A126+1))&amp;": "&amp;INDEX('Zgłoszenia'!$H$5:$H$504,MATCH(F126&amp;"|"&amp;(A126+1),'Zgłoszenia'!$S$5:$S$504,0)))&amp;IF(K126&gt;1," (+"&amp;(K126-1)&amp;")",""))</f>
        <v/>
      </c>
      <c r="M126" s="63" t="n">
        <v>2</v>
      </c>
      <c r="N126" s="2" t="n"/>
      <c r="O126" s="2" t="n"/>
    </row>
    <row r="127">
      <c r="A127" s="62">
        <f>IF('2'!$C$1="","",'2'!$C$1)</f>
        <v/>
      </c>
      <c r="B127" s="63">
        <f>Ustawienia!$A$9&amp;""</f>
        <v/>
      </c>
      <c r="C127" s="63">
        <f>Ustawienia!$A$16&amp;""</f>
        <v/>
      </c>
      <c r="D127" s="63" t="n">
        <v>4</v>
      </c>
      <c r="E127" s="63">
        <f>IF('2'!F25="","",TRIM('2'!F25&amp;""))</f>
        <v/>
      </c>
      <c r="F127" s="63">
        <f>IF('2'!G25="","",'2'!G25)</f>
        <v/>
      </c>
      <c r="G127" s="63">
        <f>'2'!H25&amp;""</f>
        <v/>
      </c>
      <c r="H127" s="63">
        <f>IF(OR(A127="",F127=""),"",F127&amp;"|"&amp;A127)</f>
        <v/>
      </c>
      <c r="I127" s="63">
        <f>IF(AND(H127&lt;&gt;"",OR('Historia wózka'!$B$4="",F127='Historia wózka'!$B$4),A127&gt;='Historia wózka'!$B$5,A127&lt;='Historia wózka'!$B$6),A127+0.8+(5000-ROW())/10000000,0)</f>
        <v/>
      </c>
      <c r="J127" s="63">
        <f>Ustawienia!$B$9&amp;""</f>
        <v/>
      </c>
      <c r="K127" s="63">
        <f>IF(H127="","",COUNTIFS('Zgłoszenia'!$B$5:$B$504,F127,'Zgłoszenia'!$D$5:$D$504,"&gt;="&amp;A127,'Zgłoszenia'!$D$5:$D$504,"&lt;="&amp;(A127+1)))</f>
        <v/>
      </c>
      <c r="L127" s="63">
        <f>IF(OR(H127="",K127=0),"—",IF(ISNUMBER(MATCH(H127,'Zgłoszenia'!$S$5:$S$504,0)),RIGHT("0"&amp;DAY(A127),2)&amp;"."&amp;RIGHT("0"&amp;MONTH(A127),2)&amp;"."&amp;YEAR(A127)&amp;": "&amp;INDEX('Zgłoszenia'!$H$5:$H$504,MATCH(H127,'Zgłoszenia'!$S$5:$S$504,0)),RIGHT("0"&amp;DAY((A127+1)),2)&amp;"."&amp;RIGHT("0"&amp;MONTH((A127+1)),2)&amp;"."&amp;YEAR((A127+1))&amp;": "&amp;INDEX('Zgłoszenia'!$H$5:$H$504,MATCH(F127&amp;"|"&amp;(A127+1),'Zgłoszenia'!$S$5:$S$504,0)))&amp;IF(K127&gt;1," (+"&amp;(K127-1)&amp;")",""))</f>
        <v/>
      </c>
      <c r="M127" s="63" t="n">
        <v>2</v>
      </c>
      <c r="N127" s="2" t="n"/>
      <c r="O127" s="2" t="n"/>
    </row>
    <row r="128">
      <c r="A128" s="62">
        <f>IF('2'!$C$1="","",'2'!$C$1)</f>
        <v/>
      </c>
      <c r="B128" s="63">
        <f>Ustawienia!$A$9&amp;""</f>
        <v/>
      </c>
      <c r="C128" s="63">
        <f>Ustawienia!$A$17&amp;""</f>
        <v/>
      </c>
      <c r="D128" s="63" t="n">
        <v>1</v>
      </c>
      <c r="E128" s="63">
        <f>IF('2'!F27="","",TRIM('2'!F27&amp;""))</f>
        <v/>
      </c>
      <c r="F128" s="63">
        <f>IF('2'!G27="","",'2'!G27)</f>
        <v/>
      </c>
      <c r="G128" s="63">
        <f>'2'!H27&amp;""</f>
        <v/>
      </c>
      <c r="H128" s="63">
        <f>IF(OR(A128="",F128=""),"",F128&amp;"|"&amp;A128)</f>
        <v/>
      </c>
      <c r="I128" s="63">
        <f>IF(AND(H128&lt;&gt;"",OR('Historia wózka'!$B$4="",F128='Historia wózka'!$B$4),A128&gt;='Historia wózka'!$B$5,A128&lt;='Historia wózka'!$B$6),A128+0.8+(5000-ROW())/10000000,0)</f>
        <v/>
      </c>
      <c r="J128" s="63">
        <f>Ustawienia!$B$9&amp;""</f>
        <v/>
      </c>
      <c r="K128" s="63">
        <f>IF(H128="","",COUNTIFS('Zgłoszenia'!$B$5:$B$504,F128,'Zgłoszenia'!$D$5:$D$504,"&gt;="&amp;A128,'Zgłoszenia'!$D$5:$D$504,"&lt;="&amp;(A128+1)))</f>
        <v/>
      </c>
      <c r="L128" s="63">
        <f>IF(OR(H128="",K128=0),"—",IF(ISNUMBER(MATCH(H128,'Zgłoszenia'!$S$5:$S$504,0)),RIGHT("0"&amp;DAY(A128),2)&amp;"."&amp;RIGHT("0"&amp;MONTH(A128),2)&amp;"."&amp;YEAR(A128)&amp;": "&amp;INDEX('Zgłoszenia'!$H$5:$H$504,MATCH(H128,'Zgłoszenia'!$S$5:$S$504,0)),RIGHT("0"&amp;DAY((A128+1)),2)&amp;"."&amp;RIGHT("0"&amp;MONTH((A128+1)),2)&amp;"."&amp;YEAR((A128+1))&amp;": "&amp;INDEX('Zgłoszenia'!$H$5:$H$504,MATCH(F128&amp;"|"&amp;(A128+1),'Zgłoszenia'!$S$5:$S$504,0)))&amp;IF(K128&gt;1," (+"&amp;(K128-1)&amp;")",""))</f>
        <v/>
      </c>
      <c r="M128" s="63" t="n">
        <v>2</v>
      </c>
      <c r="N128" s="2" t="n"/>
      <c r="O128" s="2" t="n"/>
    </row>
    <row r="129">
      <c r="A129" s="62">
        <f>IF('2'!$C$1="","",'2'!$C$1)</f>
        <v/>
      </c>
      <c r="B129" s="63">
        <f>Ustawienia!$A$9&amp;""</f>
        <v/>
      </c>
      <c r="C129" s="63">
        <f>Ustawienia!$A$17&amp;""</f>
        <v/>
      </c>
      <c r="D129" s="63" t="n">
        <v>2</v>
      </c>
      <c r="E129" s="63">
        <f>IF('2'!F28="","",TRIM('2'!F28&amp;""))</f>
        <v/>
      </c>
      <c r="F129" s="63">
        <f>IF('2'!G28="","",'2'!G28)</f>
        <v/>
      </c>
      <c r="G129" s="63">
        <f>'2'!H28&amp;""</f>
        <v/>
      </c>
      <c r="H129" s="63">
        <f>IF(OR(A129="",F129=""),"",F129&amp;"|"&amp;A129)</f>
        <v/>
      </c>
      <c r="I129" s="63">
        <f>IF(AND(H129&lt;&gt;"",OR('Historia wózka'!$B$4="",F129='Historia wózka'!$B$4),A129&gt;='Historia wózka'!$B$5,A129&lt;='Historia wózka'!$B$6),A129+0.8+(5000-ROW())/10000000,0)</f>
        <v/>
      </c>
      <c r="J129" s="63">
        <f>Ustawienia!$B$9&amp;""</f>
        <v/>
      </c>
      <c r="K129" s="63">
        <f>IF(H129="","",COUNTIFS('Zgłoszenia'!$B$5:$B$504,F129,'Zgłoszenia'!$D$5:$D$504,"&gt;="&amp;A129,'Zgłoszenia'!$D$5:$D$504,"&lt;="&amp;(A129+1)))</f>
        <v/>
      </c>
      <c r="L129" s="63">
        <f>IF(OR(H129="",K129=0),"—",IF(ISNUMBER(MATCH(H129,'Zgłoszenia'!$S$5:$S$504,0)),RIGHT("0"&amp;DAY(A129),2)&amp;"."&amp;RIGHT("0"&amp;MONTH(A129),2)&amp;"."&amp;YEAR(A129)&amp;": "&amp;INDEX('Zgłoszenia'!$H$5:$H$504,MATCH(H129,'Zgłoszenia'!$S$5:$S$504,0)),RIGHT("0"&amp;DAY((A129+1)),2)&amp;"."&amp;RIGHT("0"&amp;MONTH((A129+1)),2)&amp;"."&amp;YEAR((A129+1))&amp;": "&amp;INDEX('Zgłoszenia'!$H$5:$H$504,MATCH(F129&amp;"|"&amp;(A129+1),'Zgłoszenia'!$S$5:$S$504,0)))&amp;IF(K129&gt;1," (+"&amp;(K129-1)&amp;")",""))</f>
        <v/>
      </c>
      <c r="M129" s="63" t="n">
        <v>2</v>
      </c>
      <c r="N129" s="2" t="n"/>
      <c r="O129" s="2" t="n"/>
    </row>
    <row r="130">
      <c r="A130" s="62">
        <f>IF('2'!$C$1="","",'2'!$C$1)</f>
        <v/>
      </c>
      <c r="B130" s="63">
        <f>Ustawienia!$A$9&amp;""</f>
        <v/>
      </c>
      <c r="C130" s="63">
        <f>Ustawienia!$A$17&amp;""</f>
        <v/>
      </c>
      <c r="D130" s="63" t="n">
        <v>3</v>
      </c>
      <c r="E130" s="63">
        <f>IF('2'!F29="","",TRIM('2'!F29&amp;""))</f>
        <v/>
      </c>
      <c r="F130" s="63">
        <f>IF('2'!G29="","",'2'!G29)</f>
        <v/>
      </c>
      <c r="G130" s="63">
        <f>'2'!H29&amp;""</f>
        <v/>
      </c>
      <c r="H130" s="63">
        <f>IF(OR(A130="",F130=""),"",F130&amp;"|"&amp;A130)</f>
        <v/>
      </c>
      <c r="I130" s="63">
        <f>IF(AND(H130&lt;&gt;"",OR('Historia wózka'!$B$4="",F130='Historia wózka'!$B$4),A130&gt;='Historia wózka'!$B$5,A130&lt;='Historia wózka'!$B$6),A130+0.8+(5000-ROW())/10000000,0)</f>
        <v/>
      </c>
      <c r="J130" s="63">
        <f>Ustawienia!$B$9&amp;""</f>
        <v/>
      </c>
      <c r="K130" s="63">
        <f>IF(H130="","",COUNTIFS('Zgłoszenia'!$B$5:$B$504,F130,'Zgłoszenia'!$D$5:$D$504,"&gt;="&amp;A130,'Zgłoszenia'!$D$5:$D$504,"&lt;="&amp;(A130+1)))</f>
        <v/>
      </c>
      <c r="L130" s="63">
        <f>IF(OR(H130="",K130=0),"—",IF(ISNUMBER(MATCH(H130,'Zgłoszenia'!$S$5:$S$504,0)),RIGHT("0"&amp;DAY(A130),2)&amp;"."&amp;RIGHT("0"&amp;MONTH(A130),2)&amp;"."&amp;YEAR(A130)&amp;": "&amp;INDEX('Zgłoszenia'!$H$5:$H$504,MATCH(H130,'Zgłoszenia'!$S$5:$S$504,0)),RIGHT("0"&amp;DAY((A130+1)),2)&amp;"."&amp;RIGHT("0"&amp;MONTH((A130+1)),2)&amp;"."&amp;YEAR((A130+1))&amp;": "&amp;INDEX('Zgłoszenia'!$H$5:$H$504,MATCH(F130&amp;"|"&amp;(A130+1),'Zgłoszenia'!$S$5:$S$504,0)))&amp;IF(K130&gt;1," (+"&amp;(K130-1)&amp;")",""))</f>
        <v/>
      </c>
      <c r="M130" s="63" t="n">
        <v>2</v>
      </c>
      <c r="N130" s="2" t="n"/>
      <c r="O130" s="2" t="n"/>
    </row>
    <row r="131">
      <c r="A131" s="62">
        <f>IF('2'!$C$1="","",'2'!$C$1)</f>
        <v/>
      </c>
      <c r="B131" s="63">
        <f>Ustawienia!$A$9&amp;""</f>
        <v/>
      </c>
      <c r="C131" s="63">
        <f>Ustawienia!$A$17&amp;""</f>
        <v/>
      </c>
      <c r="D131" s="63" t="n">
        <v>4</v>
      </c>
      <c r="E131" s="63">
        <f>IF('2'!F30="","",TRIM('2'!F30&amp;""))</f>
        <v/>
      </c>
      <c r="F131" s="63">
        <f>IF('2'!G30="","",'2'!G30)</f>
        <v/>
      </c>
      <c r="G131" s="63">
        <f>'2'!H30&amp;""</f>
        <v/>
      </c>
      <c r="H131" s="63">
        <f>IF(OR(A131="",F131=""),"",F131&amp;"|"&amp;A131)</f>
        <v/>
      </c>
      <c r="I131" s="63">
        <f>IF(AND(H131&lt;&gt;"",OR('Historia wózka'!$B$4="",F131='Historia wózka'!$B$4),A131&gt;='Historia wózka'!$B$5,A131&lt;='Historia wózka'!$B$6),A131+0.8+(5000-ROW())/10000000,0)</f>
        <v/>
      </c>
      <c r="J131" s="63">
        <f>Ustawienia!$B$9&amp;""</f>
        <v/>
      </c>
      <c r="K131" s="63">
        <f>IF(H131="","",COUNTIFS('Zgłoszenia'!$B$5:$B$504,F131,'Zgłoszenia'!$D$5:$D$504,"&gt;="&amp;A131,'Zgłoszenia'!$D$5:$D$504,"&lt;="&amp;(A131+1)))</f>
        <v/>
      </c>
      <c r="L131" s="63">
        <f>IF(OR(H131="",K131=0),"—",IF(ISNUMBER(MATCH(H131,'Zgłoszenia'!$S$5:$S$504,0)),RIGHT("0"&amp;DAY(A131),2)&amp;"."&amp;RIGHT("0"&amp;MONTH(A131),2)&amp;"."&amp;YEAR(A131)&amp;": "&amp;INDEX('Zgłoszenia'!$H$5:$H$504,MATCH(H131,'Zgłoszenia'!$S$5:$S$504,0)),RIGHT("0"&amp;DAY((A131+1)),2)&amp;"."&amp;RIGHT("0"&amp;MONTH((A131+1)),2)&amp;"."&amp;YEAR((A131+1))&amp;": "&amp;INDEX('Zgłoszenia'!$H$5:$H$504,MATCH(F131&amp;"|"&amp;(A131+1),'Zgłoszenia'!$S$5:$S$504,0)))&amp;IF(K131&gt;1," (+"&amp;(K131-1)&amp;")",""))</f>
        <v/>
      </c>
      <c r="M131" s="63" t="n">
        <v>2</v>
      </c>
      <c r="N131" s="2" t="n"/>
      <c r="O131" s="2" t="n"/>
    </row>
    <row r="132">
      <c r="A132" s="62">
        <f>IF('2'!$C$1="","",'2'!$C$1)</f>
        <v/>
      </c>
      <c r="B132" s="63">
        <f>Ustawienia!$A$9&amp;""</f>
        <v/>
      </c>
      <c r="C132" s="63">
        <f>Ustawienia!$A$18&amp;""</f>
        <v/>
      </c>
      <c r="D132" s="63" t="n">
        <v>1</v>
      </c>
      <c r="E132" s="63">
        <f>IF('2'!F32="","",TRIM('2'!F32&amp;""))</f>
        <v/>
      </c>
      <c r="F132" s="63">
        <f>IF('2'!G32="","",'2'!G32)</f>
        <v/>
      </c>
      <c r="G132" s="63">
        <f>'2'!H32&amp;""</f>
        <v/>
      </c>
      <c r="H132" s="63">
        <f>IF(OR(A132="",F132=""),"",F132&amp;"|"&amp;A132)</f>
        <v/>
      </c>
      <c r="I132" s="63">
        <f>IF(AND(H132&lt;&gt;"",OR('Historia wózka'!$B$4="",F132='Historia wózka'!$B$4),A132&gt;='Historia wózka'!$B$5,A132&lt;='Historia wózka'!$B$6),A132+0.8+(5000-ROW())/10000000,0)</f>
        <v/>
      </c>
      <c r="J132" s="63">
        <f>Ustawienia!$B$9&amp;""</f>
        <v/>
      </c>
      <c r="K132" s="63">
        <f>IF(H132="","",COUNTIFS('Zgłoszenia'!$B$5:$B$504,F132,'Zgłoszenia'!$D$5:$D$504,"&gt;="&amp;A132,'Zgłoszenia'!$D$5:$D$504,"&lt;="&amp;(A132+1)))</f>
        <v/>
      </c>
      <c r="L132" s="63">
        <f>IF(OR(H132="",K132=0),"—",IF(ISNUMBER(MATCH(H132,'Zgłoszenia'!$S$5:$S$504,0)),RIGHT("0"&amp;DAY(A132),2)&amp;"."&amp;RIGHT("0"&amp;MONTH(A132),2)&amp;"."&amp;YEAR(A132)&amp;": "&amp;INDEX('Zgłoszenia'!$H$5:$H$504,MATCH(H132,'Zgłoszenia'!$S$5:$S$504,0)),RIGHT("0"&amp;DAY((A132+1)),2)&amp;"."&amp;RIGHT("0"&amp;MONTH((A132+1)),2)&amp;"."&amp;YEAR((A132+1))&amp;": "&amp;INDEX('Zgłoszenia'!$H$5:$H$504,MATCH(F132&amp;"|"&amp;(A132+1),'Zgłoszenia'!$S$5:$S$504,0)))&amp;IF(K132&gt;1," (+"&amp;(K132-1)&amp;")",""))</f>
        <v/>
      </c>
      <c r="M132" s="63" t="n">
        <v>2</v>
      </c>
      <c r="N132" s="2" t="n"/>
      <c r="O132" s="2" t="n"/>
    </row>
    <row r="133">
      <c r="A133" s="62">
        <f>IF('2'!$C$1="","",'2'!$C$1)</f>
        <v/>
      </c>
      <c r="B133" s="63">
        <f>Ustawienia!$A$9&amp;""</f>
        <v/>
      </c>
      <c r="C133" s="63">
        <f>Ustawienia!$A$18&amp;""</f>
        <v/>
      </c>
      <c r="D133" s="63" t="n">
        <v>2</v>
      </c>
      <c r="E133" s="63">
        <f>IF('2'!F33="","",TRIM('2'!F33&amp;""))</f>
        <v/>
      </c>
      <c r="F133" s="63">
        <f>IF('2'!G33="","",'2'!G33)</f>
        <v/>
      </c>
      <c r="G133" s="63">
        <f>'2'!H33&amp;""</f>
        <v/>
      </c>
      <c r="H133" s="63">
        <f>IF(OR(A133="",F133=""),"",F133&amp;"|"&amp;A133)</f>
        <v/>
      </c>
      <c r="I133" s="63">
        <f>IF(AND(H133&lt;&gt;"",OR('Historia wózka'!$B$4="",F133='Historia wózka'!$B$4),A133&gt;='Historia wózka'!$B$5,A133&lt;='Historia wózka'!$B$6),A133+0.8+(5000-ROW())/10000000,0)</f>
        <v/>
      </c>
      <c r="J133" s="63">
        <f>Ustawienia!$B$9&amp;""</f>
        <v/>
      </c>
      <c r="K133" s="63">
        <f>IF(H133="","",COUNTIFS('Zgłoszenia'!$B$5:$B$504,F133,'Zgłoszenia'!$D$5:$D$504,"&gt;="&amp;A133,'Zgłoszenia'!$D$5:$D$504,"&lt;="&amp;(A133+1)))</f>
        <v/>
      </c>
      <c r="L133" s="63">
        <f>IF(OR(H133="",K133=0),"—",IF(ISNUMBER(MATCH(H133,'Zgłoszenia'!$S$5:$S$504,0)),RIGHT("0"&amp;DAY(A133),2)&amp;"."&amp;RIGHT("0"&amp;MONTH(A133),2)&amp;"."&amp;YEAR(A133)&amp;": "&amp;INDEX('Zgłoszenia'!$H$5:$H$504,MATCH(H133,'Zgłoszenia'!$S$5:$S$504,0)),RIGHT("0"&amp;DAY((A133+1)),2)&amp;"."&amp;RIGHT("0"&amp;MONTH((A133+1)),2)&amp;"."&amp;YEAR((A133+1))&amp;": "&amp;INDEX('Zgłoszenia'!$H$5:$H$504,MATCH(F133&amp;"|"&amp;(A133+1),'Zgłoszenia'!$S$5:$S$504,0)))&amp;IF(K133&gt;1," (+"&amp;(K133-1)&amp;")",""))</f>
        <v/>
      </c>
      <c r="M133" s="63" t="n">
        <v>2</v>
      </c>
      <c r="N133" s="2" t="n"/>
      <c r="O133" s="2" t="n"/>
    </row>
    <row r="134">
      <c r="A134" s="62">
        <f>IF('2'!$C$1="","",'2'!$C$1)</f>
        <v/>
      </c>
      <c r="B134" s="63">
        <f>Ustawienia!$A$9&amp;""</f>
        <v/>
      </c>
      <c r="C134" s="63">
        <f>Ustawienia!$A$18&amp;""</f>
        <v/>
      </c>
      <c r="D134" s="63" t="n">
        <v>3</v>
      </c>
      <c r="E134" s="63">
        <f>IF('2'!F34="","",TRIM('2'!F34&amp;""))</f>
        <v/>
      </c>
      <c r="F134" s="63">
        <f>IF('2'!G34="","",'2'!G34)</f>
        <v/>
      </c>
      <c r="G134" s="63">
        <f>'2'!H34&amp;""</f>
        <v/>
      </c>
      <c r="H134" s="63">
        <f>IF(OR(A134="",F134=""),"",F134&amp;"|"&amp;A134)</f>
        <v/>
      </c>
      <c r="I134" s="63">
        <f>IF(AND(H134&lt;&gt;"",OR('Historia wózka'!$B$4="",F134='Historia wózka'!$B$4),A134&gt;='Historia wózka'!$B$5,A134&lt;='Historia wózka'!$B$6),A134+0.8+(5000-ROW())/10000000,0)</f>
        <v/>
      </c>
      <c r="J134" s="63">
        <f>Ustawienia!$B$9&amp;""</f>
        <v/>
      </c>
      <c r="K134" s="63">
        <f>IF(H134="","",COUNTIFS('Zgłoszenia'!$B$5:$B$504,F134,'Zgłoszenia'!$D$5:$D$504,"&gt;="&amp;A134,'Zgłoszenia'!$D$5:$D$504,"&lt;="&amp;(A134+1)))</f>
        <v/>
      </c>
      <c r="L134" s="63">
        <f>IF(OR(H134="",K134=0),"—",IF(ISNUMBER(MATCH(H134,'Zgłoszenia'!$S$5:$S$504,0)),RIGHT("0"&amp;DAY(A134),2)&amp;"."&amp;RIGHT("0"&amp;MONTH(A134),2)&amp;"."&amp;YEAR(A134)&amp;": "&amp;INDEX('Zgłoszenia'!$H$5:$H$504,MATCH(H134,'Zgłoszenia'!$S$5:$S$504,0)),RIGHT("0"&amp;DAY((A134+1)),2)&amp;"."&amp;RIGHT("0"&amp;MONTH((A134+1)),2)&amp;"."&amp;YEAR((A134+1))&amp;": "&amp;INDEX('Zgłoszenia'!$H$5:$H$504,MATCH(F134&amp;"|"&amp;(A134+1),'Zgłoszenia'!$S$5:$S$504,0)))&amp;IF(K134&gt;1," (+"&amp;(K134-1)&amp;")",""))</f>
        <v/>
      </c>
      <c r="M134" s="63" t="n">
        <v>2</v>
      </c>
      <c r="N134" s="2" t="n"/>
      <c r="O134" s="2" t="n"/>
    </row>
    <row r="135">
      <c r="A135" s="62">
        <f>IF('2'!$C$1="","",'2'!$C$1)</f>
        <v/>
      </c>
      <c r="B135" s="63">
        <f>Ustawienia!$A$9&amp;""</f>
        <v/>
      </c>
      <c r="C135" s="63">
        <f>Ustawienia!$A$18&amp;""</f>
        <v/>
      </c>
      <c r="D135" s="63" t="n">
        <v>4</v>
      </c>
      <c r="E135" s="63">
        <f>IF('2'!F35="","",TRIM('2'!F35&amp;""))</f>
        <v/>
      </c>
      <c r="F135" s="63">
        <f>IF('2'!G35="","",'2'!G35)</f>
        <v/>
      </c>
      <c r="G135" s="63">
        <f>'2'!H35&amp;""</f>
        <v/>
      </c>
      <c r="H135" s="63">
        <f>IF(OR(A135="",F135=""),"",F135&amp;"|"&amp;A135)</f>
        <v/>
      </c>
      <c r="I135" s="63">
        <f>IF(AND(H135&lt;&gt;"",OR('Historia wózka'!$B$4="",F135='Historia wózka'!$B$4),A135&gt;='Historia wózka'!$B$5,A135&lt;='Historia wózka'!$B$6),A135+0.8+(5000-ROW())/10000000,0)</f>
        <v/>
      </c>
      <c r="J135" s="63">
        <f>Ustawienia!$B$9&amp;""</f>
        <v/>
      </c>
      <c r="K135" s="63">
        <f>IF(H135="","",COUNTIFS('Zgłoszenia'!$B$5:$B$504,F135,'Zgłoszenia'!$D$5:$D$504,"&gt;="&amp;A135,'Zgłoszenia'!$D$5:$D$504,"&lt;="&amp;(A135+1)))</f>
        <v/>
      </c>
      <c r="L135" s="63">
        <f>IF(OR(H135="",K135=0),"—",IF(ISNUMBER(MATCH(H135,'Zgłoszenia'!$S$5:$S$504,0)),RIGHT("0"&amp;DAY(A135),2)&amp;"."&amp;RIGHT("0"&amp;MONTH(A135),2)&amp;"."&amp;YEAR(A135)&amp;": "&amp;INDEX('Zgłoszenia'!$H$5:$H$504,MATCH(H135,'Zgłoszenia'!$S$5:$S$504,0)),RIGHT("0"&amp;DAY((A135+1)),2)&amp;"."&amp;RIGHT("0"&amp;MONTH((A135+1)),2)&amp;"."&amp;YEAR((A135+1))&amp;": "&amp;INDEX('Zgłoszenia'!$H$5:$H$504,MATCH(F135&amp;"|"&amp;(A135+1),'Zgłoszenia'!$S$5:$S$504,0)))&amp;IF(K135&gt;1," (+"&amp;(K135-1)&amp;")",""))</f>
        <v/>
      </c>
      <c r="M135" s="63" t="n">
        <v>2</v>
      </c>
      <c r="N135" s="2" t="n"/>
      <c r="O135" s="2" t="n"/>
    </row>
    <row r="136">
      <c r="A136" s="62">
        <f>IF('2'!$C$1="","",'2'!$C$1)</f>
        <v/>
      </c>
      <c r="B136" s="63">
        <f>Ustawienia!$A$9&amp;""</f>
        <v/>
      </c>
      <c r="C136" s="63">
        <f>Ustawienia!$A$18&amp;""</f>
        <v/>
      </c>
      <c r="D136" s="63" t="n">
        <v>5</v>
      </c>
      <c r="E136" s="63">
        <f>IF('2'!F36="","",TRIM('2'!F36&amp;""))</f>
        <v/>
      </c>
      <c r="F136" s="63">
        <f>IF('2'!G36="","",'2'!G36)</f>
        <v/>
      </c>
      <c r="G136" s="63">
        <f>'2'!H36&amp;""</f>
        <v/>
      </c>
      <c r="H136" s="63">
        <f>IF(OR(A136="",F136=""),"",F136&amp;"|"&amp;A136)</f>
        <v/>
      </c>
      <c r="I136" s="63">
        <f>IF(AND(H136&lt;&gt;"",OR('Historia wózka'!$B$4="",F136='Historia wózka'!$B$4),A136&gt;='Historia wózka'!$B$5,A136&lt;='Historia wózka'!$B$6),A136+0.8+(5000-ROW())/10000000,0)</f>
        <v/>
      </c>
      <c r="J136" s="63">
        <f>Ustawienia!$B$9&amp;""</f>
        <v/>
      </c>
      <c r="K136" s="63">
        <f>IF(H136="","",COUNTIFS('Zgłoszenia'!$B$5:$B$504,F136,'Zgłoszenia'!$D$5:$D$504,"&gt;="&amp;A136,'Zgłoszenia'!$D$5:$D$504,"&lt;="&amp;(A136+1)))</f>
        <v/>
      </c>
      <c r="L136" s="63">
        <f>IF(OR(H136="",K136=0),"—",IF(ISNUMBER(MATCH(H136,'Zgłoszenia'!$S$5:$S$504,0)),RIGHT("0"&amp;DAY(A136),2)&amp;"."&amp;RIGHT("0"&amp;MONTH(A136),2)&amp;"."&amp;YEAR(A136)&amp;": "&amp;INDEX('Zgłoszenia'!$H$5:$H$504,MATCH(H136,'Zgłoszenia'!$S$5:$S$504,0)),RIGHT("0"&amp;DAY((A136+1)),2)&amp;"."&amp;RIGHT("0"&amp;MONTH((A136+1)),2)&amp;"."&amp;YEAR((A136+1))&amp;": "&amp;INDEX('Zgłoszenia'!$H$5:$H$504,MATCH(F136&amp;"|"&amp;(A136+1),'Zgłoszenia'!$S$5:$S$504,0)))&amp;IF(K136&gt;1," (+"&amp;(K136-1)&amp;")",""))</f>
        <v/>
      </c>
      <c r="M136" s="63" t="n">
        <v>2</v>
      </c>
      <c r="N136" s="2" t="n"/>
      <c r="O136" s="2" t="n"/>
    </row>
    <row r="137">
      <c r="A137" s="62">
        <f>IF('2'!$C$1="","",'2'!$C$1)</f>
        <v/>
      </c>
      <c r="B137" s="63">
        <f>Ustawienia!$A$10&amp;""</f>
        <v/>
      </c>
      <c r="C137" s="63">
        <f>Ustawienia!$A$14&amp;""</f>
        <v/>
      </c>
      <c r="D137" s="63" t="n">
        <v>1</v>
      </c>
      <c r="E137" s="63">
        <f>IF('2'!J6="","",TRIM('2'!J6&amp;""))</f>
        <v/>
      </c>
      <c r="F137" s="63">
        <f>IF('2'!K6="","",'2'!K6)</f>
        <v/>
      </c>
      <c r="G137" s="63">
        <f>'2'!L6&amp;""</f>
        <v/>
      </c>
      <c r="H137" s="63">
        <f>IF(OR(A137="",F137=""),"",F137&amp;"|"&amp;A137)</f>
        <v/>
      </c>
      <c r="I137" s="63">
        <f>IF(AND(H137&lt;&gt;"",OR('Historia wózka'!$B$4="",F137='Historia wózka'!$B$4),A137&gt;='Historia wózka'!$B$5,A137&lt;='Historia wózka'!$B$6),A137+0.7+(5000-ROW())/10000000,0)</f>
        <v/>
      </c>
      <c r="J137" s="63">
        <f>Ustawienia!$B$10&amp;""</f>
        <v/>
      </c>
      <c r="K137" s="63">
        <f>IF(H137="","",COUNTIFS('Zgłoszenia'!$B$5:$B$504,F137,'Zgłoszenia'!$D$5:$D$504,"&gt;="&amp;A137,'Zgłoszenia'!$D$5:$D$504,"&lt;="&amp;(A137+1)))</f>
        <v/>
      </c>
      <c r="L137" s="63">
        <f>IF(OR(H137="",K137=0),"—",IF(ISNUMBER(MATCH(H137,'Zgłoszenia'!$S$5:$S$504,0)),RIGHT("0"&amp;DAY(A137),2)&amp;"."&amp;RIGHT("0"&amp;MONTH(A137),2)&amp;"."&amp;YEAR(A137)&amp;": "&amp;INDEX('Zgłoszenia'!$H$5:$H$504,MATCH(H137,'Zgłoszenia'!$S$5:$S$504,0)),RIGHT("0"&amp;DAY((A137+1)),2)&amp;"."&amp;RIGHT("0"&amp;MONTH((A137+1)),2)&amp;"."&amp;YEAR((A137+1))&amp;": "&amp;INDEX('Zgłoszenia'!$H$5:$H$504,MATCH(F137&amp;"|"&amp;(A137+1),'Zgłoszenia'!$S$5:$S$504,0)))&amp;IF(K137&gt;1," (+"&amp;(K137-1)&amp;")",""))</f>
        <v/>
      </c>
      <c r="M137" s="63" t="n">
        <v>2</v>
      </c>
      <c r="N137" s="2" t="n"/>
      <c r="O137" s="2" t="n"/>
    </row>
    <row r="138">
      <c r="A138" s="62">
        <f>IF('2'!$C$1="","",'2'!$C$1)</f>
        <v/>
      </c>
      <c r="B138" s="63">
        <f>Ustawienia!$A$10&amp;""</f>
        <v/>
      </c>
      <c r="C138" s="63">
        <f>Ustawienia!$A$14&amp;""</f>
        <v/>
      </c>
      <c r="D138" s="63" t="n">
        <v>2</v>
      </c>
      <c r="E138" s="63">
        <f>IF('2'!J7="","",TRIM('2'!J7&amp;""))</f>
        <v/>
      </c>
      <c r="F138" s="63">
        <f>IF('2'!K7="","",'2'!K7)</f>
        <v/>
      </c>
      <c r="G138" s="63">
        <f>'2'!L7&amp;""</f>
        <v/>
      </c>
      <c r="H138" s="63">
        <f>IF(OR(A138="",F138=""),"",F138&amp;"|"&amp;A138)</f>
        <v/>
      </c>
      <c r="I138" s="63">
        <f>IF(AND(H138&lt;&gt;"",OR('Historia wózka'!$B$4="",F138='Historia wózka'!$B$4),A138&gt;='Historia wózka'!$B$5,A138&lt;='Historia wózka'!$B$6),A138+0.7+(5000-ROW())/10000000,0)</f>
        <v/>
      </c>
      <c r="J138" s="63">
        <f>Ustawienia!$B$10&amp;""</f>
        <v/>
      </c>
      <c r="K138" s="63">
        <f>IF(H138="","",COUNTIFS('Zgłoszenia'!$B$5:$B$504,F138,'Zgłoszenia'!$D$5:$D$504,"&gt;="&amp;A138,'Zgłoszenia'!$D$5:$D$504,"&lt;="&amp;(A138+1)))</f>
        <v/>
      </c>
      <c r="L138" s="63">
        <f>IF(OR(H138="",K138=0),"—",IF(ISNUMBER(MATCH(H138,'Zgłoszenia'!$S$5:$S$504,0)),RIGHT("0"&amp;DAY(A138),2)&amp;"."&amp;RIGHT("0"&amp;MONTH(A138),2)&amp;"."&amp;YEAR(A138)&amp;": "&amp;INDEX('Zgłoszenia'!$H$5:$H$504,MATCH(H138,'Zgłoszenia'!$S$5:$S$504,0)),RIGHT("0"&amp;DAY((A138+1)),2)&amp;"."&amp;RIGHT("0"&amp;MONTH((A138+1)),2)&amp;"."&amp;YEAR((A138+1))&amp;": "&amp;INDEX('Zgłoszenia'!$H$5:$H$504,MATCH(F138&amp;"|"&amp;(A138+1),'Zgłoszenia'!$S$5:$S$504,0)))&amp;IF(K138&gt;1," (+"&amp;(K138-1)&amp;")",""))</f>
        <v/>
      </c>
      <c r="M138" s="63" t="n">
        <v>2</v>
      </c>
      <c r="N138" s="2" t="n"/>
      <c r="O138" s="2" t="n"/>
    </row>
    <row r="139">
      <c r="A139" s="62">
        <f>IF('2'!$C$1="","",'2'!$C$1)</f>
        <v/>
      </c>
      <c r="B139" s="63">
        <f>Ustawienia!$A$10&amp;""</f>
        <v/>
      </c>
      <c r="C139" s="63">
        <f>Ustawienia!$A$14&amp;""</f>
        <v/>
      </c>
      <c r="D139" s="63" t="n">
        <v>3</v>
      </c>
      <c r="E139" s="63">
        <f>IF('2'!J8="","",TRIM('2'!J8&amp;""))</f>
        <v/>
      </c>
      <c r="F139" s="63">
        <f>IF('2'!K8="","",'2'!K8)</f>
        <v/>
      </c>
      <c r="G139" s="63">
        <f>'2'!L8&amp;""</f>
        <v/>
      </c>
      <c r="H139" s="63">
        <f>IF(OR(A139="",F139=""),"",F139&amp;"|"&amp;A139)</f>
        <v/>
      </c>
      <c r="I139" s="63">
        <f>IF(AND(H139&lt;&gt;"",OR('Historia wózka'!$B$4="",F139='Historia wózka'!$B$4),A139&gt;='Historia wózka'!$B$5,A139&lt;='Historia wózka'!$B$6),A139+0.7+(5000-ROW())/10000000,0)</f>
        <v/>
      </c>
      <c r="J139" s="63">
        <f>Ustawienia!$B$10&amp;""</f>
        <v/>
      </c>
      <c r="K139" s="63">
        <f>IF(H139="","",COUNTIFS('Zgłoszenia'!$B$5:$B$504,F139,'Zgłoszenia'!$D$5:$D$504,"&gt;="&amp;A139,'Zgłoszenia'!$D$5:$D$504,"&lt;="&amp;(A139+1)))</f>
        <v/>
      </c>
      <c r="L139" s="63">
        <f>IF(OR(H139="",K139=0),"—",IF(ISNUMBER(MATCH(H139,'Zgłoszenia'!$S$5:$S$504,0)),RIGHT("0"&amp;DAY(A139),2)&amp;"."&amp;RIGHT("0"&amp;MONTH(A139),2)&amp;"."&amp;YEAR(A139)&amp;": "&amp;INDEX('Zgłoszenia'!$H$5:$H$504,MATCH(H139,'Zgłoszenia'!$S$5:$S$504,0)),RIGHT("0"&amp;DAY((A139+1)),2)&amp;"."&amp;RIGHT("0"&amp;MONTH((A139+1)),2)&amp;"."&amp;YEAR((A139+1))&amp;": "&amp;INDEX('Zgłoszenia'!$H$5:$H$504,MATCH(F139&amp;"|"&amp;(A139+1),'Zgłoszenia'!$S$5:$S$504,0)))&amp;IF(K139&gt;1," (+"&amp;(K139-1)&amp;")",""))</f>
        <v/>
      </c>
      <c r="M139" s="63" t="n">
        <v>2</v>
      </c>
      <c r="N139" s="2" t="n"/>
      <c r="O139" s="2" t="n"/>
    </row>
    <row r="140">
      <c r="A140" s="62">
        <f>IF('2'!$C$1="","",'2'!$C$1)</f>
        <v/>
      </c>
      <c r="B140" s="63">
        <f>Ustawienia!$A$10&amp;""</f>
        <v/>
      </c>
      <c r="C140" s="63">
        <f>Ustawienia!$A$14&amp;""</f>
        <v/>
      </c>
      <c r="D140" s="63" t="n">
        <v>4</v>
      </c>
      <c r="E140" s="63">
        <f>IF('2'!J9="","",TRIM('2'!J9&amp;""))</f>
        <v/>
      </c>
      <c r="F140" s="63">
        <f>IF('2'!K9="","",'2'!K9)</f>
        <v/>
      </c>
      <c r="G140" s="63">
        <f>'2'!L9&amp;""</f>
        <v/>
      </c>
      <c r="H140" s="63">
        <f>IF(OR(A140="",F140=""),"",F140&amp;"|"&amp;A140)</f>
        <v/>
      </c>
      <c r="I140" s="63">
        <f>IF(AND(H140&lt;&gt;"",OR('Historia wózka'!$B$4="",F140='Historia wózka'!$B$4),A140&gt;='Historia wózka'!$B$5,A140&lt;='Historia wózka'!$B$6),A140+0.7+(5000-ROW())/10000000,0)</f>
        <v/>
      </c>
      <c r="J140" s="63">
        <f>Ustawienia!$B$10&amp;""</f>
        <v/>
      </c>
      <c r="K140" s="63">
        <f>IF(H140="","",COUNTIFS('Zgłoszenia'!$B$5:$B$504,F140,'Zgłoszenia'!$D$5:$D$504,"&gt;="&amp;A140,'Zgłoszenia'!$D$5:$D$504,"&lt;="&amp;(A140+1)))</f>
        <v/>
      </c>
      <c r="L140" s="63">
        <f>IF(OR(H140="",K140=0),"—",IF(ISNUMBER(MATCH(H140,'Zgłoszenia'!$S$5:$S$504,0)),RIGHT("0"&amp;DAY(A140),2)&amp;"."&amp;RIGHT("0"&amp;MONTH(A140),2)&amp;"."&amp;YEAR(A140)&amp;": "&amp;INDEX('Zgłoszenia'!$H$5:$H$504,MATCH(H140,'Zgłoszenia'!$S$5:$S$504,0)),RIGHT("0"&amp;DAY((A140+1)),2)&amp;"."&amp;RIGHT("0"&amp;MONTH((A140+1)),2)&amp;"."&amp;YEAR((A140+1))&amp;": "&amp;INDEX('Zgłoszenia'!$H$5:$H$504,MATCH(F140&amp;"|"&amp;(A140+1),'Zgłoszenia'!$S$5:$S$504,0)))&amp;IF(K140&gt;1," (+"&amp;(K140-1)&amp;")",""))</f>
        <v/>
      </c>
      <c r="M140" s="63" t="n">
        <v>2</v>
      </c>
      <c r="N140" s="2" t="n"/>
      <c r="O140" s="2" t="n"/>
    </row>
    <row r="141">
      <c r="A141" s="62">
        <f>IF('2'!$C$1="","",'2'!$C$1)</f>
        <v/>
      </c>
      <c r="B141" s="63">
        <f>Ustawienia!$A$10&amp;""</f>
        <v/>
      </c>
      <c r="C141" s="63">
        <f>Ustawienia!$A$14&amp;""</f>
        <v/>
      </c>
      <c r="D141" s="63" t="n">
        <v>5</v>
      </c>
      <c r="E141" s="63">
        <f>IF('2'!J10="","",TRIM('2'!J10&amp;""))</f>
        <v/>
      </c>
      <c r="F141" s="63">
        <f>IF('2'!K10="","",'2'!K10)</f>
        <v/>
      </c>
      <c r="G141" s="63">
        <f>'2'!L10&amp;""</f>
        <v/>
      </c>
      <c r="H141" s="63">
        <f>IF(OR(A141="",F141=""),"",F141&amp;"|"&amp;A141)</f>
        <v/>
      </c>
      <c r="I141" s="63">
        <f>IF(AND(H141&lt;&gt;"",OR('Historia wózka'!$B$4="",F141='Historia wózka'!$B$4),A141&gt;='Historia wózka'!$B$5,A141&lt;='Historia wózka'!$B$6),A141+0.7+(5000-ROW())/10000000,0)</f>
        <v/>
      </c>
      <c r="J141" s="63">
        <f>Ustawienia!$B$10&amp;""</f>
        <v/>
      </c>
      <c r="K141" s="63">
        <f>IF(H141="","",COUNTIFS('Zgłoszenia'!$B$5:$B$504,F141,'Zgłoszenia'!$D$5:$D$504,"&gt;="&amp;A141,'Zgłoszenia'!$D$5:$D$504,"&lt;="&amp;(A141+1)))</f>
        <v/>
      </c>
      <c r="L141" s="63">
        <f>IF(OR(H141="",K141=0),"—",IF(ISNUMBER(MATCH(H141,'Zgłoszenia'!$S$5:$S$504,0)),RIGHT("0"&amp;DAY(A141),2)&amp;"."&amp;RIGHT("0"&amp;MONTH(A141),2)&amp;"."&amp;YEAR(A141)&amp;": "&amp;INDEX('Zgłoszenia'!$H$5:$H$504,MATCH(H141,'Zgłoszenia'!$S$5:$S$504,0)),RIGHT("0"&amp;DAY((A141+1)),2)&amp;"."&amp;RIGHT("0"&amp;MONTH((A141+1)),2)&amp;"."&amp;YEAR((A141+1))&amp;": "&amp;INDEX('Zgłoszenia'!$H$5:$H$504,MATCH(F141&amp;"|"&amp;(A141+1),'Zgłoszenia'!$S$5:$S$504,0)))&amp;IF(K141&gt;1," (+"&amp;(K141-1)&amp;")",""))</f>
        <v/>
      </c>
      <c r="M141" s="63" t="n">
        <v>2</v>
      </c>
      <c r="N141" s="2" t="n"/>
      <c r="O141" s="2" t="n"/>
    </row>
    <row r="142">
      <c r="A142" s="62">
        <f>IF('2'!$C$1="","",'2'!$C$1)</f>
        <v/>
      </c>
      <c r="B142" s="63">
        <f>Ustawienia!$A$10&amp;""</f>
        <v/>
      </c>
      <c r="C142" s="63">
        <f>Ustawienia!$A$14&amp;""</f>
        <v/>
      </c>
      <c r="D142" s="63" t="n">
        <v>6</v>
      </c>
      <c r="E142" s="63">
        <f>IF('2'!J11="","",TRIM('2'!J11&amp;""))</f>
        <v/>
      </c>
      <c r="F142" s="63">
        <f>IF('2'!K11="","",'2'!K11)</f>
        <v/>
      </c>
      <c r="G142" s="63">
        <f>'2'!L11&amp;""</f>
        <v/>
      </c>
      <c r="H142" s="63">
        <f>IF(OR(A142="",F142=""),"",F142&amp;"|"&amp;A142)</f>
        <v/>
      </c>
      <c r="I142" s="63">
        <f>IF(AND(H142&lt;&gt;"",OR('Historia wózka'!$B$4="",F142='Historia wózka'!$B$4),A142&gt;='Historia wózka'!$B$5,A142&lt;='Historia wózka'!$B$6),A142+0.7+(5000-ROW())/10000000,0)</f>
        <v/>
      </c>
      <c r="J142" s="63">
        <f>Ustawienia!$B$10&amp;""</f>
        <v/>
      </c>
      <c r="K142" s="63">
        <f>IF(H142="","",COUNTIFS('Zgłoszenia'!$B$5:$B$504,F142,'Zgłoszenia'!$D$5:$D$504,"&gt;="&amp;A142,'Zgłoszenia'!$D$5:$D$504,"&lt;="&amp;(A142+1)))</f>
        <v/>
      </c>
      <c r="L142" s="63">
        <f>IF(OR(H142="",K142=0),"—",IF(ISNUMBER(MATCH(H142,'Zgłoszenia'!$S$5:$S$504,0)),RIGHT("0"&amp;DAY(A142),2)&amp;"."&amp;RIGHT("0"&amp;MONTH(A142),2)&amp;"."&amp;YEAR(A142)&amp;": "&amp;INDEX('Zgłoszenia'!$H$5:$H$504,MATCH(H142,'Zgłoszenia'!$S$5:$S$504,0)),RIGHT("0"&amp;DAY((A142+1)),2)&amp;"."&amp;RIGHT("0"&amp;MONTH((A142+1)),2)&amp;"."&amp;YEAR((A142+1))&amp;": "&amp;INDEX('Zgłoszenia'!$H$5:$H$504,MATCH(F142&amp;"|"&amp;(A142+1),'Zgłoszenia'!$S$5:$S$504,0)))&amp;IF(K142&gt;1," (+"&amp;(K142-1)&amp;")",""))</f>
        <v/>
      </c>
      <c r="M142" s="63" t="n">
        <v>2</v>
      </c>
      <c r="N142" s="2" t="n"/>
      <c r="O142" s="2" t="n"/>
    </row>
    <row r="143">
      <c r="A143" s="62">
        <f>IF('2'!$C$1="","",'2'!$C$1)</f>
        <v/>
      </c>
      <c r="B143" s="63">
        <f>Ustawienia!$A$10&amp;""</f>
        <v/>
      </c>
      <c r="C143" s="63">
        <f>Ustawienia!$A$15&amp;""</f>
        <v/>
      </c>
      <c r="D143" s="63" t="n">
        <v>1</v>
      </c>
      <c r="E143" s="63">
        <f>IF('2'!J13="","",TRIM('2'!J13&amp;""))</f>
        <v/>
      </c>
      <c r="F143" s="63">
        <f>IF('2'!K13="","",'2'!K13)</f>
        <v/>
      </c>
      <c r="G143" s="63">
        <f>'2'!L13&amp;""</f>
        <v/>
      </c>
      <c r="H143" s="63">
        <f>IF(OR(A143="",F143=""),"",F143&amp;"|"&amp;A143)</f>
        <v/>
      </c>
      <c r="I143" s="63">
        <f>IF(AND(H143&lt;&gt;"",OR('Historia wózka'!$B$4="",F143='Historia wózka'!$B$4),A143&gt;='Historia wózka'!$B$5,A143&lt;='Historia wózka'!$B$6),A143+0.7+(5000-ROW())/10000000,0)</f>
        <v/>
      </c>
      <c r="J143" s="63">
        <f>Ustawienia!$B$10&amp;""</f>
        <v/>
      </c>
      <c r="K143" s="63">
        <f>IF(H143="","",COUNTIFS('Zgłoszenia'!$B$5:$B$504,F143,'Zgłoszenia'!$D$5:$D$504,"&gt;="&amp;A143,'Zgłoszenia'!$D$5:$D$504,"&lt;="&amp;(A143+1)))</f>
        <v/>
      </c>
      <c r="L143" s="63">
        <f>IF(OR(H143="",K143=0),"—",IF(ISNUMBER(MATCH(H143,'Zgłoszenia'!$S$5:$S$504,0)),RIGHT("0"&amp;DAY(A143),2)&amp;"."&amp;RIGHT("0"&amp;MONTH(A143),2)&amp;"."&amp;YEAR(A143)&amp;": "&amp;INDEX('Zgłoszenia'!$H$5:$H$504,MATCH(H143,'Zgłoszenia'!$S$5:$S$504,0)),RIGHT("0"&amp;DAY((A143+1)),2)&amp;"."&amp;RIGHT("0"&amp;MONTH((A143+1)),2)&amp;"."&amp;YEAR((A143+1))&amp;": "&amp;INDEX('Zgłoszenia'!$H$5:$H$504,MATCH(F143&amp;"|"&amp;(A143+1),'Zgłoszenia'!$S$5:$S$504,0)))&amp;IF(K143&gt;1," (+"&amp;(K143-1)&amp;")",""))</f>
        <v/>
      </c>
      <c r="M143" s="63" t="n">
        <v>2</v>
      </c>
      <c r="N143" s="2" t="n"/>
      <c r="O143" s="2" t="n"/>
    </row>
    <row r="144">
      <c r="A144" s="62">
        <f>IF('2'!$C$1="","",'2'!$C$1)</f>
        <v/>
      </c>
      <c r="B144" s="63">
        <f>Ustawienia!$A$10&amp;""</f>
        <v/>
      </c>
      <c r="C144" s="63">
        <f>Ustawienia!$A$15&amp;""</f>
        <v/>
      </c>
      <c r="D144" s="63" t="n">
        <v>2</v>
      </c>
      <c r="E144" s="63">
        <f>IF('2'!J14="","",TRIM('2'!J14&amp;""))</f>
        <v/>
      </c>
      <c r="F144" s="63">
        <f>IF('2'!K14="","",'2'!K14)</f>
        <v/>
      </c>
      <c r="G144" s="63">
        <f>'2'!L14&amp;""</f>
        <v/>
      </c>
      <c r="H144" s="63">
        <f>IF(OR(A144="",F144=""),"",F144&amp;"|"&amp;A144)</f>
        <v/>
      </c>
      <c r="I144" s="63">
        <f>IF(AND(H144&lt;&gt;"",OR('Historia wózka'!$B$4="",F144='Historia wózka'!$B$4),A144&gt;='Historia wózka'!$B$5,A144&lt;='Historia wózka'!$B$6),A144+0.7+(5000-ROW())/10000000,0)</f>
        <v/>
      </c>
      <c r="J144" s="63">
        <f>Ustawienia!$B$10&amp;""</f>
        <v/>
      </c>
      <c r="K144" s="63">
        <f>IF(H144="","",COUNTIFS('Zgłoszenia'!$B$5:$B$504,F144,'Zgłoszenia'!$D$5:$D$504,"&gt;="&amp;A144,'Zgłoszenia'!$D$5:$D$504,"&lt;="&amp;(A144+1)))</f>
        <v/>
      </c>
      <c r="L144" s="63">
        <f>IF(OR(H144="",K144=0),"—",IF(ISNUMBER(MATCH(H144,'Zgłoszenia'!$S$5:$S$504,0)),RIGHT("0"&amp;DAY(A144),2)&amp;"."&amp;RIGHT("0"&amp;MONTH(A144),2)&amp;"."&amp;YEAR(A144)&amp;": "&amp;INDEX('Zgłoszenia'!$H$5:$H$504,MATCH(H144,'Zgłoszenia'!$S$5:$S$504,0)),RIGHT("0"&amp;DAY((A144+1)),2)&amp;"."&amp;RIGHT("0"&amp;MONTH((A144+1)),2)&amp;"."&amp;YEAR((A144+1))&amp;": "&amp;INDEX('Zgłoszenia'!$H$5:$H$504,MATCH(F144&amp;"|"&amp;(A144+1),'Zgłoszenia'!$S$5:$S$504,0)))&amp;IF(K144&gt;1," (+"&amp;(K144-1)&amp;")",""))</f>
        <v/>
      </c>
      <c r="M144" s="63" t="n">
        <v>2</v>
      </c>
      <c r="N144" s="2" t="n"/>
      <c r="O144" s="2" t="n"/>
    </row>
    <row r="145">
      <c r="A145" s="62">
        <f>IF('2'!$C$1="","",'2'!$C$1)</f>
        <v/>
      </c>
      <c r="B145" s="63">
        <f>Ustawienia!$A$10&amp;""</f>
        <v/>
      </c>
      <c r="C145" s="63">
        <f>Ustawienia!$A$15&amp;""</f>
        <v/>
      </c>
      <c r="D145" s="63" t="n">
        <v>3</v>
      </c>
      <c r="E145" s="63">
        <f>IF('2'!J15="","",TRIM('2'!J15&amp;""))</f>
        <v/>
      </c>
      <c r="F145" s="63">
        <f>IF('2'!K15="","",'2'!K15)</f>
        <v/>
      </c>
      <c r="G145" s="63">
        <f>'2'!L15&amp;""</f>
        <v/>
      </c>
      <c r="H145" s="63">
        <f>IF(OR(A145="",F145=""),"",F145&amp;"|"&amp;A145)</f>
        <v/>
      </c>
      <c r="I145" s="63">
        <f>IF(AND(H145&lt;&gt;"",OR('Historia wózka'!$B$4="",F145='Historia wózka'!$B$4),A145&gt;='Historia wózka'!$B$5,A145&lt;='Historia wózka'!$B$6),A145+0.7+(5000-ROW())/10000000,0)</f>
        <v/>
      </c>
      <c r="J145" s="63">
        <f>Ustawienia!$B$10&amp;""</f>
        <v/>
      </c>
      <c r="K145" s="63">
        <f>IF(H145="","",COUNTIFS('Zgłoszenia'!$B$5:$B$504,F145,'Zgłoszenia'!$D$5:$D$504,"&gt;="&amp;A145,'Zgłoszenia'!$D$5:$D$504,"&lt;="&amp;(A145+1)))</f>
        <v/>
      </c>
      <c r="L145" s="63">
        <f>IF(OR(H145="",K145=0),"—",IF(ISNUMBER(MATCH(H145,'Zgłoszenia'!$S$5:$S$504,0)),RIGHT("0"&amp;DAY(A145),2)&amp;"."&amp;RIGHT("0"&amp;MONTH(A145),2)&amp;"."&amp;YEAR(A145)&amp;": "&amp;INDEX('Zgłoszenia'!$H$5:$H$504,MATCH(H145,'Zgłoszenia'!$S$5:$S$504,0)),RIGHT("0"&amp;DAY((A145+1)),2)&amp;"."&amp;RIGHT("0"&amp;MONTH((A145+1)),2)&amp;"."&amp;YEAR((A145+1))&amp;": "&amp;INDEX('Zgłoszenia'!$H$5:$H$504,MATCH(F145&amp;"|"&amp;(A145+1),'Zgłoszenia'!$S$5:$S$504,0)))&amp;IF(K145&gt;1," (+"&amp;(K145-1)&amp;")",""))</f>
        <v/>
      </c>
      <c r="M145" s="63" t="n">
        <v>2</v>
      </c>
      <c r="N145" s="2" t="n"/>
      <c r="O145" s="2" t="n"/>
    </row>
    <row r="146">
      <c r="A146" s="62">
        <f>IF('2'!$C$1="","",'2'!$C$1)</f>
        <v/>
      </c>
      <c r="B146" s="63">
        <f>Ustawienia!$A$10&amp;""</f>
        <v/>
      </c>
      <c r="C146" s="63">
        <f>Ustawienia!$A$15&amp;""</f>
        <v/>
      </c>
      <c r="D146" s="63" t="n">
        <v>4</v>
      </c>
      <c r="E146" s="63">
        <f>IF('2'!J16="","",TRIM('2'!J16&amp;""))</f>
        <v/>
      </c>
      <c r="F146" s="63">
        <f>IF('2'!K16="","",'2'!K16)</f>
        <v/>
      </c>
      <c r="G146" s="63">
        <f>'2'!L16&amp;""</f>
        <v/>
      </c>
      <c r="H146" s="63">
        <f>IF(OR(A146="",F146=""),"",F146&amp;"|"&amp;A146)</f>
        <v/>
      </c>
      <c r="I146" s="63">
        <f>IF(AND(H146&lt;&gt;"",OR('Historia wózka'!$B$4="",F146='Historia wózka'!$B$4),A146&gt;='Historia wózka'!$B$5,A146&lt;='Historia wózka'!$B$6),A146+0.7+(5000-ROW())/10000000,0)</f>
        <v/>
      </c>
      <c r="J146" s="63">
        <f>Ustawienia!$B$10&amp;""</f>
        <v/>
      </c>
      <c r="K146" s="63">
        <f>IF(H146="","",COUNTIFS('Zgłoszenia'!$B$5:$B$504,F146,'Zgłoszenia'!$D$5:$D$504,"&gt;="&amp;A146,'Zgłoszenia'!$D$5:$D$504,"&lt;="&amp;(A146+1)))</f>
        <v/>
      </c>
      <c r="L146" s="63">
        <f>IF(OR(H146="",K146=0),"—",IF(ISNUMBER(MATCH(H146,'Zgłoszenia'!$S$5:$S$504,0)),RIGHT("0"&amp;DAY(A146),2)&amp;"."&amp;RIGHT("0"&amp;MONTH(A146),2)&amp;"."&amp;YEAR(A146)&amp;": "&amp;INDEX('Zgłoszenia'!$H$5:$H$504,MATCH(H146,'Zgłoszenia'!$S$5:$S$504,0)),RIGHT("0"&amp;DAY((A146+1)),2)&amp;"."&amp;RIGHT("0"&amp;MONTH((A146+1)),2)&amp;"."&amp;YEAR((A146+1))&amp;": "&amp;INDEX('Zgłoszenia'!$H$5:$H$504,MATCH(F146&amp;"|"&amp;(A146+1),'Zgłoszenia'!$S$5:$S$504,0)))&amp;IF(K146&gt;1," (+"&amp;(K146-1)&amp;")",""))</f>
        <v/>
      </c>
      <c r="M146" s="63" t="n">
        <v>2</v>
      </c>
      <c r="N146" s="2" t="n"/>
      <c r="O146" s="2" t="n"/>
    </row>
    <row r="147">
      <c r="A147" s="62">
        <f>IF('2'!$C$1="","",'2'!$C$1)</f>
        <v/>
      </c>
      <c r="B147" s="63">
        <f>Ustawienia!$A$10&amp;""</f>
        <v/>
      </c>
      <c r="C147" s="63">
        <f>Ustawienia!$A$15&amp;""</f>
        <v/>
      </c>
      <c r="D147" s="63" t="n">
        <v>5</v>
      </c>
      <c r="E147" s="63">
        <f>IF('2'!J17="","",TRIM('2'!J17&amp;""))</f>
        <v/>
      </c>
      <c r="F147" s="63">
        <f>IF('2'!K17="","",'2'!K17)</f>
        <v/>
      </c>
      <c r="G147" s="63">
        <f>'2'!L17&amp;""</f>
        <v/>
      </c>
      <c r="H147" s="63">
        <f>IF(OR(A147="",F147=""),"",F147&amp;"|"&amp;A147)</f>
        <v/>
      </c>
      <c r="I147" s="63">
        <f>IF(AND(H147&lt;&gt;"",OR('Historia wózka'!$B$4="",F147='Historia wózka'!$B$4),A147&gt;='Historia wózka'!$B$5,A147&lt;='Historia wózka'!$B$6),A147+0.7+(5000-ROW())/10000000,0)</f>
        <v/>
      </c>
      <c r="J147" s="63">
        <f>Ustawienia!$B$10&amp;""</f>
        <v/>
      </c>
      <c r="K147" s="63">
        <f>IF(H147="","",COUNTIFS('Zgłoszenia'!$B$5:$B$504,F147,'Zgłoszenia'!$D$5:$D$504,"&gt;="&amp;A147,'Zgłoszenia'!$D$5:$D$504,"&lt;="&amp;(A147+1)))</f>
        <v/>
      </c>
      <c r="L147" s="63">
        <f>IF(OR(H147="",K147=0),"—",IF(ISNUMBER(MATCH(H147,'Zgłoszenia'!$S$5:$S$504,0)),RIGHT("0"&amp;DAY(A147),2)&amp;"."&amp;RIGHT("0"&amp;MONTH(A147),2)&amp;"."&amp;YEAR(A147)&amp;": "&amp;INDEX('Zgłoszenia'!$H$5:$H$504,MATCH(H147,'Zgłoszenia'!$S$5:$S$504,0)),RIGHT("0"&amp;DAY((A147+1)),2)&amp;"."&amp;RIGHT("0"&amp;MONTH((A147+1)),2)&amp;"."&amp;YEAR((A147+1))&amp;": "&amp;INDEX('Zgłoszenia'!$H$5:$H$504,MATCH(F147&amp;"|"&amp;(A147+1),'Zgłoszenia'!$S$5:$S$504,0)))&amp;IF(K147&gt;1," (+"&amp;(K147-1)&amp;")",""))</f>
        <v/>
      </c>
      <c r="M147" s="63" t="n">
        <v>2</v>
      </c>
      <c r="N147" s="2" t="n"/>
      <c r="O147" s="2" t="n"/>
    </row>
    <row r="148">
      <c r="A148" s="62">
        <f>IF('2'!$C$1="","",'2'!$C$1)</f>
        <v/>
      </c>
      <c r="B148" s="63">
        <f>Ustawienia!$A$10&amp;""</f>
        <v/>
      </c>
      <c r="C148" s="63">
        <f>Ustawienia!$A$15&amp;""</f>
        <v/>
      </c>
      <c r="D148" s="63" t="n">
        <v>6</v>
      </c>
      <c r="E148" s="63">
        <f>IF('2'!J18="","",TRIM('2'!J18&amp;""))</f>
        <v/>
      </c>
      <c r="F148" s="63">
        <f>IF('2'!K18="","",'2'!K18)</f>
        <v/>
      </c>
      <c r="G148" s="63">
        <f>'2'!L18&amp;""</f>
        <v/>
      </c>
      <c r="H148" s="63">
        <f>IF(OR(A148="",F148=""),"",F148&amp;"|"&amp;A148)</f>
        <v/>
      </c>
      <c r="I148" s="63">
        <f>IF(AND(H148&lt;&gt;"",OR('Historia wózka'!$B$4="",F148='Historia wózka'!$B$4),A148&gt;='Historia wózka'!$B$5,A148&lt;='Historia wózka'!$B$6),A148+0.7+(5000-ROW())/10000000,0)</f>
        <v/>
      </c>
      <c r="J148" s="63">
        <f>Ustawienia!$B$10&amp;""</f>
        <v/>
      </c>
      <c r="K148" s="63">
        <f>IF(H148="","",COUNTIFS('Zgłoszenia'!$B$5:$B$504,F148,'Zgłoszenia'!$D$5:$D$504,"&gt;="&amp;A148,'Zgłoszenia'!$D$5:$D$504,"&lt;="&amp;(A148+1)))</f>
        <v/>
      </c>
      <c r="L148" s="63">
        <f>IF(OR(H148="",K148=0),"—",IF(ISNUMBER(MATCH(H148,'Zgłoszenia'!$S$5:$S$504,0)),RIGHT("0"&amp;DAY(A148),2)&amp;"."&amp;RIGHT("0"&amp;MONTH(A148),2)&amp;"."&amp;YEAR(A148)&amp;": "&amp;INDEX('Zgłoszenia'!$H$5:$H$504,MATCH(H148,'Zgłoszenia'!$S$5:$S$504,0)),RIGHT("0"&amp;DAY((A148+1)),2)&amp;"."&amp;RIGHT("0"&amp;MONTH((A148+1)),2)&amp;"."&amp;YEAR((A148+1))&amp;": "&amp;INDEX('Zgłoszenia'!$H$5:$H$504,MATCH(F148&amp;"|"&amp;(A148+1),'Zgłoszenia'!$S$5:$S$504,0)))&amp;IF(K148&gt;1," (+"&amp;(K148-1)&amp;")",""))</f>
        <v/>
      </c>
      <c r="M148" s="63" t="n">
        <v>2</v>
      </c>
      <c r="N148" s="2" t="n"/>
      <c r="O148" s="2" t="n"/>
    </row>
    <row r="149">
      <c r="A149" s="62">
        <f>IF('2'!$C$1="","",'2'!$C$1)</f>
        <v/>
      </c>
      <c r="B149" s="63">
        <f>Ustawienia!$A$10&amp;""</f>
        <v/>
      </c>
      <c r="C149" s="63">
        <f>Ustawienia!$A$15&amp;""</f>
        <v/>
      </c>
      <c r="D149" s="63" t="n">
        <v>7</v>
      </c>
      <c r="E149" s="63">
        <f>IF('2'!J19="","",TRIM('2'!J19&amp;""))</f>
        <v/>
      </c>
      <c r="F149" s="63">
        <f>IF('2'!K19="","",'2'!K19)</f>
        <v/>
      </c>
      <c r="G149" s="63">
        <f>'2'!L19&amp;""</f>
        <v/>
      </c>
      <c r="H149" s="63">
        <f>IF(OR(A149="",F149=""),"",F149&amp;"|"&amp;A149)</f>
        <v/>
      </c>
      <c r="I149" s="63">
        <f>IF(AND(H149&lt;&gt;"",OR('Historia wózka'!$B$4="",F149='Historia wózka'!$B$4),A149&gt;='Historia wózka'!$B$5,A149&lt;='Historia wózka'!$B$6),A149+0.7+(5000-ROW())/10000000,0)</f>
        <v/>
      </c>
      <c r="J149" s="63">
        <f>Ustawienia!$B$10&amp;""</f>
        <v/>
      </c>
      <c r="K149" s="63">
        <f>IF(H149="","",COUNTIFS('Zgłoszenia'!$B$5:$B$504,F149,'Zgłoszenia'!$D$5:$D$504,"&gt;="&amp;A149,'Zgłoszenia'!$D$5:$D$504,"&lt;="&amp;(A149+1)))</f>
        <v/>
      </c>
      <c r="L149" s="63">
        <f>IF(OR(H149="",K149=0),"—",IF(ISNUMBER(MATCH(H149,'Zgłoszenia'!$S$5:$S$504,0)),RIGHT("0"&amp;DAY(A149),2)&amp;"."&amp;RIGHT("0"&amp;MONTH(A149),2)&amp;"."&amp;YEAR(A149)&amp;": "&amp;INDEX('Zgłoszenia'!$H$5:$H$504,MATCH(H149,'Zgłoszenia'!$S$5:$S$504,0)),RIGHT("0"&amp;DAY((A149+1)),2)&amp;"."&amp;RIGHT("0"&amp;MONTH((A149+1)),2)&amp;"."&amp;YEAR((A149+1))&amp;": "&amp;INDEX('Zgłoszenia'!$H$5:$H$504,MATCH(F149&amp;"|"&amp;(A149+1),'Zgłoszenia'!$S$5:$S$504,0)))&amp;IF(K149&gt;1," (+"&amp;(K149-1)&amp;")",""))</f>
        <v/>
      </c>
      <c r="M149" s="63" t="n">
        <v>2</v>
      </c>
      <c r="N149" s="2" t="n"/>
      <c r="O149" s="2" t="n"/>
    </row>
    <row r="150">
      <c r="A150" s="62">
        <f>IF('2'!$C$1="","",'2'!$C$1)</f>
        <v/>
      </c>
      <c r="B150" s="63">
        <f>Ustawienia!$A$10&amp;""</f>
        <v/>
      </c>
      <c r="C150" s="63">
        <f>Ustawienia!$A$15&amp;""</f>
        <v/>
      </c>
      <c r="D150" s="63" t="n">
        <v>8</v>
      </c>
      <c r="E150" s="63">
        <f>IF('2'!J20="","",TRIM('2'!J20&amp;""))</f>
        <v/>
      </c>
      <c r="F150" s="63">
        <f>IF('2'!K20="","",'2'!K20)</f>
        <v/>
      </c>
      <c r="G150" s="63">
        <f>'2'!L20&amp;""</f>
        <v/>
      </c>
      <c r="H150" s="63">
        <f>IF(OR(A150="",F150=""),"",F150&amp;"|"&amp;A150)</f>
        <v/>
      </c>
      <c r="I150" s="63">
        <f>IF(AND(H150&lt;&gt;"",OR('Historia wózka'!$B$4="",F150='Historia wózka'!$B$4),A150&gt;='Historia wózka'!$B$5,A150&lt;='Historia wózka'!$B$6),A150+0.7+(5000-ROW())/10000000,0)</f>
        <v/>
      </c>
      <c r="J150" s="63">
        <f>Ustawienia!$B$10&amp;""</f>
        <v/>
      </c>
      <c r="K150" s="63">
        <f>IF(H150="","",COUNTIFS('Zgłoszenia'!$B$5:$B$504,F150,'Zgłoszenia'!$D$5:$D$504,"&gt;="&amp;A150,'Zgłoszenia'!$D$5:$D$504,"&lt;="&amp;(A150+1)))</f>
        <v/>
      </c>
      <c r="L150" s="63">
        <f>IF(OR(H150="",K150=0),"—",IF(ISNUMBER(MATCH(H150,'Zgłoszenia'!$S$5:$S$504,0)),RIGHT("0"&amp;DAY(A150),2)&amp;"."&amp;RIGHT("0"&amp;MONTH(A150),2)&amp;"."&amp;YEAR(A150)&amp;": "&amp;INDEX('Zgłoszenia'!$H$5:$H$504,MATCH(H150,'Zgłoszenia'!$S$5:$S$504,0)),RIGHT("0"&amp;DAY((A150+1)),2)&amp;"."&amp;RIGHT("0"&amp;MONTH((A150+1)),2)&amp;"."&amp;YEAR((A150+1))&amp;": "&amp;INDEX('Zgłoszenia'!$H$5:$H$504,MATCH(F150&amp;"|"&amp;(A150+1),'Zgłoszenia'!$S$5:$S$504,0)))&amp;IF(K150&gt;1," (+"&amp;(K150-1)&amp;")",""))</f>
        <v/>
      </c>
      <c r="M150" s="63" t="n">
        <v>2</v>
      </c>
      <c r="N150" s="2" t="n"/>
      <c r="O150" s="2" t="n"/>
    </row>
    <row r="151">
      <c r="A151" s="62">
        <f>IF('2'!$C$1="","",'2'!$C$1)</f>
        <v/>
      </c>
      <c r="B151" s="63">
        <f>Ustawienia!$A$10&amp;""</f>
        <v/>
      </c>
      <c r="C151" s="63">
        <f>Ustawienia!$A$16&amp;""</f>
        <v/>
      </c>
      <c r="D151" s="63" t="n">
        <v>1</v>
      </c>
      <c r="E151" s="63">
        <f>IF('2'!J22="","",TRIM('2'!J22&amp;""))</f>
        <v/>
      </c>
      <c r="F151" s="63">
        <f>IF('2'!K22="","",'2'!K22)</f>
        <v/>
      </c>
      <c r="G151" s="63">
        <f>'2'!L22&amp;""</f>
        <v/>
      </c>
      <c r="H151" s="63">
        <f>IF(OR(A151="",F151=""),"",F151&amp;"|"&amp;A151)</f>
        <v/>
      </c>
      <c r="I151" s="63">
        <f>IF(AND(H151&lt;&gt;"",OR('Historia wózka'!$B$4="",F151='Historia wózka'!$B$4),A151&gt;='Historia wózka'!$B$5,A151&lt;='Historia wózka'!$B$6),A151+0.7+(5000-ROW())/10000000,0)</f>
        <v/>
      </c>
      <c r="J151" s="63">
        <f>Ustawienia!$B$10&amp;""</f>
        <v/>
      </c>
      <c r="K151" s="63">
        <f>IF(H151="","",COUNTIFS('Zgłoszenia'!$B$5:$B$504,F151,'Zgłoszenia'!$D$5:$D$504,"&gt;="&amp;A151,'Zgłoszenia'!$D$5:$D$504,"&lt;="&amp;(A151+1)))</f>
        <v/>
      </c>
      <c r="L151" s="63">
        <f>IF(OR(H151="",K151=0),"—",IF(ISNUMBER(MATCH(H151,'Zgłoszenia'!$S$5:$S$504,0)),RIGHT("0"&amp;DAY(A151),2)&amp;"."&amp;RIGHT("0"&amp;MONTH(A151),2)&amp;"."&amp;YEAR(A151)&amp;": "&amp;INDEX('Zgłoszenia'!$H$5:$H$504,MATCH(H151,'Zgłoszenia'!$S$5:$S$504,0)),RIGHT("0"&amp;DAY((A151+1)),2)&amp;"."&amp;RIGHT("0"&amp;MONTH((A151+1)),2)&amp;"."&amp;YEAR((A151+1))&amp;": "&amp;INDEX('Zgłoszenia'!$H$5:$H$504,MATCH(F151&amp;"|"&amp;(A151+1),'Zgłoszenia'!$S$5:$S$504,0)))&amp;IF(K151&gt;1," (+"&amp;(K151-1)&amp;")",""))</f>
        <v/>
      </c>
      <c r="M151" s="63" t="n">
        <v>2</v>
      </c>
      <c r="N151" s="2" t="n"/>
      <c r="O151" s="2" t="n"/>
    </row>
    <row r="152">
      <c r="A152" s="62">
        <f>IF('2'!$C$1="","",'2'!$C$1)</f>
        <v/>
      </c>
      <c r="B152" s="63">
        <f>Ustawienia!$A$10&amp;""</f>
        <v/>
      </c>
      <c r="C152" s="63">
        <f>Ustawienia!$A$16&amp;""</f>
        <v/>
      </c>
      <c r="D152" s="63" t="n">
        <v>2</v>
      </c>
      <c r="E152" s="63">
        <f>IF('2'!J23="","",TRIM('2'!J23&amp;""))</f>
        <v/>
      </c>
      <c r="F152" s="63">
        <f>IF('2'!K23="","",'2'!K23)</f>
        <v/>
      </c>
      <c r="G152" s="63">
        <f>'2'!L23&amp;""</f>
        <v/>
      </c>
      <c r="H152" s="63">
        <f>IF(OR(A152="",F152=""),"",F152&amp;"|"&amp;A152)</f>
        <v/>
      </c>
      <c r="I152" s="63">
        <f>IF(AND(H152&lt;&gt;"",OR('Historia wózka'!$B$4="",F152='Historia wózka'!$B$4),A152&gt;='Historia wózka'!$B$5,A152&lt;='Historia wózka'!$B$6),A152+0.7+(5000-ROW())/10000000,0)</f>
        <v/>
      </c>
      <c r="J152" s="63">
        <f>Ustawienia!$B$10&amp;""</f>
        <v/>
      </c>
      <c r="K152" s="63">
        <f>IF(H152="","",COUNTIFS('Zgłoszenia'!$B$5:$B$504,F152,'Zgłoszenia'!$D$5:$D$504,"&gt;="&amp;A152,'Zgłoszenia'!$D$5:$D$504,"&lt;="&amp;(A152+1)))</f>
        <v/>
      </c>
      <c r="L152" s="63">
        <f>IF(OR(H152="",K152=0),"—",IF(ISNUMBER(MATCH(H152,'Zgłoszenia'!$S$5:$S$504,0)),RIGHT("0"&amp;DAY(A152),2)&amp;"."&amp;RIGHT("0"&amp;MONTH(A152),2)&amp;"."&amp;YEAR(A152)&amp;": "&amp;INDEX('Zgłoszenia'!$H$5:$H$504,MATCH(H152,'Zgłoszenia'!$S$5:$S$504,0)),RIGHT("0"&amp;DAY((A152+1)),2)&amp;"."&amp;RIGHT("0"&amp;MONTH((A152+1)),2)&amp;"."&amp;YEAR((A152+1))&amp;": "&amp;INDEX('Zgłoszenia'!$H$5:$H$504,MATCH(F152&amp;"|"&amp;(A152+1),'Zgłoszenia'!$S$5:$S$504,0)))&amp;IF(K152&gt;1," (+"&amp;(K152-1)&amp;")",""))</f>
        <v/>
      </c>
      <c r="M152" s="63" t="n">
        <v>2</v>
      </c>
      <c r="N152" s="2" t="n"/>
      <c r="O152" s="2" t="n"/>
    </row>
    <row r="153">
      <c r="A153" s="62">
        <f>IF('2'!$C$1="","",'2'!$C$1)</f>
        <v/>
      </c>
      <c r="B153" s="63">
        <f>Ustawienia!$A$10&amp;""</f>
        <v/>
      </c>
      <c r="C153" s="63">
        <f>Ustawienia!$A$16&amp;""</f>
        <v/>
      </c>
      <c r="D153" s="63" t="n">
        <v>3</v>
      </c>
      <c r="E153" s="63">
        <f>IF('2'!J24="","",TRIM('2'!J24&amp;""))</f>
        <v/>
      </c>
      <c r="F153" s="63">
        <f>IF('2'!K24="","",'2'!K24)</f>
        <v/>
      </c>
      <c r="G153" s="63">
        <f>'2'!L24&amp;""</f>
        <v/>
      </c>
      <c r="H153" s="63">
        <f>IF(OR(A153="",F153=""),"",F153&amp;"|"&amp;A153)</f>
        <v/>
      </c>
      <c r="I153" s="63">
        <f>IF(AND(H153&lt;&gt;"",OR('Historia wózka'!$B$4="",F153='Historia wózka'!$B$4),A153&gt;='Historia wózka'!$B$5,A153&lt;='Historia wózka'!$B$6),A153+0.7+(5000-ROW())/10000000,0)</f>
        <v/>
      </c>
      <c r="J153" s="63">
        <f>Ustawienia!$B$10&amp;""</f>
        <v/>
      </c>
      <c r="K153" s="63">
        <f>IF(H153="","",COUNTIFS('Zgłoszenia'!$B$5:$B$504,F153,'Zgłoszenia'!$D$5:$D$504,"&gt;="&amp;A153,'Zgłoszenia'!$D$5:$D$504,"&lt;="&amp;(A153+1)))</f>
        <v/>
      </c>
      <c r="L153" s="63">
        <f>IF(OR(H153="",K153=0),"—",IF(ISNUMBER(MATCH(H153,'Zgłoszenia'!$S$5:$S$504,0)),RIGHT("0"&amp;DAY(A153),2)&amp;"."&amp;RIGHT("0"&amp;MONTH(A153),2)&amp;"."&amp;YEAR(A153)&amp;": "&amp;INDEX('Zgłoszenia'!$H$5:$H$504,MATCH(H153,'Zgłoszenia'!$S$5:$S$504,0)),RIGHT("0"&amp;DAY((A153+1)),2)&amp;"."&amp;RIGHT("0"&amp;MONTH((A153+1)),2)&amp;"."&amp;YEAR((A153+1))&amp;": "&amp;INDEX('Zgłoszenia'!$H$5:$H$504,MATCH(F153&amp;"|"&amp;(A153+1),'Zgłoszenia'!$S$5:$S$504,0)))&amp;IF(K153&gt;1," (+"&amp;(K153-1)&amp;")",""))</f>
        <v/>
      </c>
      <c r="M153" s="63" t="n">
        <v>2</v>
      </c>
      <c r="N153" s="2" t="n"/>
      <c r="O153" s="2" t="n"/>
    </row>
    <row r="154">
      <c r="A154" s="62">
        <f>IF('2'!$C$1="","",'2'!$C$1)</f>
        <v/>
      </c>
      <c r="B154" s="63">
        <f>Ustawienia!$A$10&amp;""</f>
        <v/>
      </c>
      <c r="C154" s="63">
        <f>Ustawienia!$A$16&amp;""</f>
        <v/>
      </c>
      <c r="D154" s="63" t="n">
        <v>4</v>
      </c>
      <c r="E154" s="63">
        <f>IF('2'!J25="","",TRIM('2'!J25&amp;""))</f>
        <v/>
      </c>
      <c r="F154" s="63">
        <f>IF('2'!K25="","",'2'!K25)</f>
        <v/>
      </c>
      <c r="G154" s="63">
        <f>'2'!L25&amp;""</f>
        <v/>
      </c>
      <c r="H154" s="63">
        <f>IF(OR(A154="",F154=""),"",F154&amp;"|"&amp;A154)</f>
        <v/>
      </c>
      <c r="I154" s="63">
        <f>IF(AND(H154&lt;&gt;"",OR('Historia wózka'!$B$4="",F154='Historia wózka'!$B$4),A154&gt;='Historia wózka'!$B$5,A154&lt;='Historia wózka'!$B$6),A154+0.7+(5000-ROW())/10000000,0)</f>
        <v/>
      </c>
      <c r="J154" s="63">
        <f>Ustawienia!$B$10&amp;""</f>
        <v/>
      </c>
      <c r="K154" s="63">
        <f>IF(H154="","",COUNTIFS('Zgłoszenia'!$B$5:$B$504,F154,'Zgłoszenia'!$D$5:$D$504,"&gt;="&amp;A154,'Zgłoszenia'!$D$5:$D$504,"&lt;="&amp;(A154+1)))</f>
        <v/>
      </c>
      <c r="L154" s="63">
        <f>IF(OR(H154="",K154=0),"—",IF(ISNUMBER(MATCH(H154,'Zgłoszenia'!$S$5:$S$504,0)),RIGHT("0"&amp;DAY(A154),2)&amp;"."&amp;RIGHT("0"&amp;MONTH(A154),2)&amp;"."&amp;YEAR(A154)&amp;": "&amp;INDEX('Zgłoszenia'!$H$5:$H$504,MATCH(H154,'Zgłoszenia'!$S$5:$S$504,0)),RIGHT("0"&amp;DAY((A154+1)),2)&amp;"."&amp;RIGHT("0"&amp;MONTH((A154+1)),2)&amp;"."&amp;YEAR((A154+1))&amp;": "&amp;INDEX('Zgłoszenia'!$H$5:$H$504,MATCH(F154&amp;"|"&amp;(A154+1),'Zgłoszenia'!$S$5:$S$504,0)))&amp;IF(K154&gt;1," (+"&amp;(K154-1)&amp;")",""))</f>
        <v/>
      </c>
      <c r="M154" s="63" t="n">
        <v>2</v>
      </c>
      <c r="N154" s="2" t="n"/>
      <c r="O154" s="2" t="n"/>
    </row>
    <row r="155">
      <c r="A155" s="62">
        <f>IF('2'!$C$1="","",'2'!$C$1)</f>
        <v/>
      </c>
      <c r="B155" s="63">
        <f>Ustawienia!$A$10&amp;""</f>
        <v/>
      </c>
      <c r="C155" s="63">
        <f>Ustawienia!$A$17&amp;""</f>
        <v/>
      </c>
      <c r="D155" s="63" t="n">
        <v>1</v>
      </c>
      <c r="E155" s="63">
        <f>IF('2'!J27="","",TRIM('2'!J27&amp;""))</f>
        <v/>
      </c>
      <c r="F155" s="63">
        <f>IF('2'!K27="","",'2'!K27)</f>
        <v/>
      </c>
      <c r="G155" s="63">
        <f>'2'!L27&amp;""</f>
        <v/>
      </c>
      <c r="H155" s="63">
        <f>IF(OR(A155="",F155=""),"",F155&amp;"|"&amp;A155)</f>
        <v/>
      </c>
      <c r="I155" s="63">
        <f>IF(AND(H155&lt;&gt;"",OR('Historia wózka'!$B$4="",F155='Historia wózka'!$B$4),A155&gt;='Historia wózka'!$B$5,A155&lt;='Historia wózka'!$B$6),A155+0.7+(5000-ROW())/10000000,0)</f>
        <v/>
      </c>
      <c r="J155" s="63">
        <f>Ustawienia!$B$10&amp;""</f>
        <v/>
      </c>
      <c r="K155" s="63">
        <f>IF(H155="","",COUNTIFS('Zgłoszenia'!$B$5:$B$504,F155,'Zgłoszenia'!$D$5:$D$504,"&gt;="&amp;A155,'Zgłoszenia'!$D$5:$D$504,"&lt;="&amp;(A155+1)))</f>
        <v/>
      </c>
      <c r="L155" s="63">
        <f>IF(OR(H155="",K155=0),"—",IF(ISNUMBER(MATCH(H155,'Zgłoszenia'!$S$5:$S$504,0)),RIGHT("0"&amp;DAY(A155),2)&amp;"."&amp;RIGHT("0"&amp;MONTH(A155),2)&amp;"."&amp;YEAR(A155)&amp;": "&amp;INDEX('Zgłoszenia'!$H$5:$H$504,MATCH(H155,'Zgłoszenia'!$S$5:$S$504,0)),RIGHT("0"&amp;DAY((A155+1)),2)&amp;"."&amp;RIGHT("0"&amp;MONTH((A155+1)),2)&amp;"."&amp;YEAR((A155+1))&amp;": "&amp;INDEX('Zgłoszenia'!$H$5:$H$504,MATCH(F155&amp;"|"&amp;(A155+1),'Zgłoszenia'!$S$5:$S$504,0)))&amp;IF(K155&gt;1," (+"&amp;(K155-1)&amp;")",""))</f>
        <v/>
      </c>
      <c r="M155" s="63" t="n">
        <v>2</v>
      </c>
      <c r="N155" s="2" t="n"/>
      <c r="O155" s="2" t="n"/>
    </row>
    <row r="156">
      <c r="A156" s="62">
        <f>IF('2'!$C$1="","",'2'!$C$1)</f>
        <v/>
      </c>
      <c r="B156" s="63">
        <f>Ustawienia!$A$10&amp;""</f>
        <v/>
      </c>
      <c r="C156" s="63">
        <f>Ustawienia!$A$17&amp;""</f>
        <v/>
      </c>
      <c r="D156" s="63" t="n">
        <v>2</v>
      </c>
      <c r="E156" s="63">
        <f>IF('2'!J28="","",TRIM('2'!J28&amp;""))</f>
        <v/>
      </c>
      <c r="F156" s="63">
        <f>IF('2'!K28="","",'2'!K28)</f>
        <v/>
      </c>
      <c r="G156" s="63">
        <f>'2'!L28&amp;""</f>
        <v/>
      </c>
      <c r="H156" s="63">
        <f>IF(OR(A156="",F156=""),"",F156&amp;"|"&amp;A156)</f>
        <v/>
      </c>
      <c r="I156" s="63">
        <f>IF(AND(H156&lt;&gt;"",OR('Historia wózka'!$B$4="",F156='Historia wózka'!$B$4),A156&gt;='Historia wózka'!$B$5,A156&lt;='Historia wózka'!$B$6),A156+0.7+(5000-ROW())/10000000,0)</f>
        <v/>
      </c>
      <c r="J156" s="63">
        <f>Ustawienia!$B$10&amp;""</f>
        <v/>
      </c>
      <c r="K156" s="63">
        <f>IF(H156="","",COUNTIFS('Zgłoszenia'!$B$5:$B$504,F156,'Zgłoszenia'!$D$5:$D$504,"&gt;="&amp;A156,'Zgłoszenia'!$D$5:$D$504,"&lt;="&amp;(A156+1)))</f>
        <v/>
      </c>
      <c r="L156" s="63">
        <f>IF(OR(H156="",K156=0),"—",IF(ISNUMBER(MATCH(H156,'Zgłoszenia'!$S$5:$S$504,0)),RIGHT("0"&amp;DAY(A156),2)&amp;"."&amp;RIGHT("0"&amp;MONTH(A156),2)&amp;"."&amp;YEAR(A156)&amp;": "&amp;INDEX('Zgłoszenia'!$H$5:$H$504,MATCH(H156,'Zgłoszenia'!$S$5:$S$504,0)),RIGHT("0"&amp;DAY((A156+1)),2)&amp;"."&amp;RIGHT("0"&amp;MONTH((A156+1)),2)&amp;"."&amp;YEAR((A156+1))&amp;": "&amp;INDEX('Zgłoszenia'!$H$5:$H$504,MATCH(F156&amp;"|"&amp;(A156+1),'Zgłoszenia'!$S$5:$S$504,0)))&amp;IF(K156&gt;1," (+"&amp;(K156-1)&amp;")",""))</f>
        <v/>
      </c>
      <c r="M156" s="63" t="n">
        <v>2</v>
      </c>
      <c r="N156" s="2" t="n"/>
      <c r="O156" s="2" t="n"/>
    </row>
    <row r="157">
      <c r="A157" s="62">
        <f>IF('2'!$C$1="","",'2'!$C$1)</f>
        <v/>
      </c>
      <c r="B157" s="63">
        <f>Ustawienia!$A$10&amp;""</f>
        <v/>
      </c>
      <c r="C157" s="63">
        <f>Ustawienia!$A$17&amp;""</f>
        <v/>
      </c>
      <c r="D157" s="63" t="n">
        <v>3</v>
      </c>
      <c r="E157" s="63">
        <f>IF('2'!J29="","",TRIM('2'!J29&amp;""))</f>
        <v/>
      </c>
      <c r="F157" s="63">
        <f>IF('2'!K29="","",'2'!K29)</f>
        <v/>
      </c>
      <c r="G157" s="63">
        <f>'2'!L29&amp;""</f>
        <v/>
      </c>
      <c r="H157" s="63">
        <f>IF(OR(A157="",F157=""),"",F157&amp;"|"&amp;A157)</f>
        <v/>
      </c>
      <c r="I157" s="63">
        <f>IF(AND(H157&lt;&gt;"",OR('Historia wózka'!$B$4="",F157='Historia wózka'!$B$4),A157&gt;='Historia wózka'!$B$5,A157&lt;='Historia wózka'!$B$6),A157+0.7+(5000-ROW())/10000000,0)</f>
        <v/>
      </c>
      <c r="J157" s="63">
        <f>Ustawienia!$B$10&amp;""</f>
        <v/>
      </c>
      <c r="K157" s="63">
        <f>IF(H157="","",COUNTIFS('Zgłoszenia'!$B$5:$B$504,F157,'Zgłoszenia'!$D$5:$D$504,"&gt;="&amp;A157,'Zgłoszenia'!$D$5:$D$504,"&lt;="&amp;(A157+1)))</f>
        <v/>
      </c>
      <c r="L157" s="63">
        <f>IF(OR(H157="",K157=0),"—",IF(ISNUMBER(MATCH(H157,'Zgłoszenia'!$S$5:$S$504,0)),RIGHT("0"&amp;DAY(A157),2)&amp;"."&amp;RIGHT("0"&amp;MONTH(A157),2)&amp;"."&amp;YEAR(A157)&amp;": "&amp;INDEX('Zgłoszenia'!$H$5:$H$504,MATCH(H157,'Zgłoszenia'!$S$5:$S$504,0)),RIGHT("0"&amp;DAY((A157+1)),2)&amp;"."&amp;RIGHT("0"&amp;MONTH((A157+1)),2)&amp;"."&amp;YEAR((A157+1))&amp;": "&amp;INDEX('Zgłoszenia'!$H$5:$H$504,MATCH(F157&amp;"|"&amp;(A157+1),'Zgłoszenia'!$S$5:$S$504,0)))&amp;IF(K157&gt;1," (+"&amp;(K157-1)&amp;")",""))</f>
        <v/>
      </c>
      <c r="M157" s="63" t="n">
        <v>2</v>
      </c>
      <c r="N157" s="2" t="n"/>
      <c r="O157" s="2" t="n"/>
    </row>
    <row r="158">
      <c r="A158" s="62">
        <f>IF('2'!$C$1="","",'2'!$C$1)</f>
        <v/>
      </c>
      <c r="B158" s="63">
        <f>Ustawienia!$A$10&amp;""</f>
        <v/>
      </c>
      <c r="C158" s="63">
        <f>Ustawienia!$A$17&amp;""</f>
        <v/>
      </c>
      <c r="D158" s="63" t="n">
        <v>4</v>
      </c>
      <c r="E158" s="63">
        <f>IF('2'!J30="","",TRIM('2'!J30&amp;""))</f>
        <v/>
      </c>
      <c r="F158" s="63">
        <f>IF('2'!K30="","",'2'!K30)</f>
        <v/>
      </c>
      <c r="G158" s="63">
        <f>'2'!L30&amp;""</f>
        <v/>
      </c>
      <c r="H158" s="63">
        <f>IF(OR(A158="",F158=""),"",F158&amp;"|"&amp;A158)</f>
        <v/>
      </c>
      <c r="I158" s="63">
        <f>IF(AND(H158&lt;&gt;"",OR('Historia wózka'!$B$4="",F158='Historia wózka'!$B$4),A158&gt;='Historia wózka'!$B$5,A158&lt;='Historia wózka'!$B$6),A158+0.7+(5000-ROW())/10000000,0)</f>
        <v/>
      </c>
      <c r="J158" s="63">
        <f>Ustawienia!$B$10&amp;""</f>
        <v/>
      </c>
      <c r="K158" s="63">
        <f>IF(H158="","",COUNTIFS('Zgłoszenia'!$B$5:$B$504,F158,'Zgłoszenia'!$D$5:$D$504,"&gt;="&amp;A158,'Zgłoszenia'!$D$5:$D$504,"&lt;="&amp;(A158+1)))</f>
        <v/>
      </c>
      <c r="L158" s="63">
        <f>IF(OR(H158="",K158=0),"—",IF(ISNUMBER(MATCH(H158,'Zgłoszenia'!$S$5:$S$504,0)),RIGHT("0"&amp;DAY(A158),2)&amp;"."&amp;RIGHT("0"&amp;MONTH(A158),2)&amp;"."&amp;YEAR(A158)&amp;": "&amp;INDEX('Zgłoszenia'!$H$5:$H$504,MATCH(H158,'Zgłoszenia'!$S$5:$S$504,0)),RIGHT("0"&amp;DAY((A158+1)),2)&amp;"."&amp;RIGHT("0"&amp;MONTH((A158+1)),2)&amp;"."&amp;YEAR((A158+1))&amp;": "&amp;INDEX('Zgłoszenia'!$H$5:$H$504,MATCH(F158&amp;"|"&amp;(A158+1),'Zgłoszenia'!$S$5:$S$504,0)))&amp;IF(K158&gt;1," (+"&amp;(K158-1)&amp;")",""))</f>
        <v/>
      </c>
      <c r="M158" s="63" t="n">
        <v>2</v>
      </c>
      <c r="N158" s="2" t="n"/>
      <c r="O158" s="2" t="n"/>
    </row>
    <row r="159">
      <c r="A159" s="62">
        <f>IF('2'!$C$1="","",'2'!$C$1)</f>
        <v/>
      </c>
      <c r="B159" s="63">
        <f>Ustawienia!$A$10&amp;""</f>
        <v/>
      </c>
      <c r="C159" s="63">
        <f>Ustawienia!$A$18&amp;""</f>
        <v/>
      </c>
      <c r="D159" s="63" t="n">
        <v>1</v>
      </c>
      <c r="E159" s="63">
        <f>IF('2'!J32="","",TRIM('2'!J32&amp;""))</f>
        <v/>
      </c>
      <c r="F159" s="63">
        <f>IF('2'!K32="","",'2'!K32)</f>
        <v/>
      </c>
      <c r="G159" s="63">
        <f>'2'!L32&amp;""</f>
        <v/>
      </c>
      <c r="H159" s="63">
        <f>IF(OR(A159="",F159=""),"",F159&amp;"|"&amp;A159)</f>
        <v/>
      </c>
      <c r="I159" s="63">
        <f>IF(AND(H159&lt;&gt;"",OR('Historia wózka'!$B$4="",F159='Historia wózka'!$B$4),A159&gt;='Historia wózka'!$B$5,A159&lt;='Historia wózka'!$B$6),A159+0.7+(5000-ROW())/10000000,0)</f>
        <v/>
      </c>
      <c r="J159" s="63">
        <f>Ustawienia!$B$10&amp;""</f>
        <v/>
      </c>
      <c r="K159" s="63">
        <f>IF(H159="","",COUNTIFS('Zgłoszenia'!$B$5:$B$504,F159,'Zgłoszenia'!$D$5:$D$504,"&gt;="&amp;A159,'Zgłoszenia'!$D$5:$D$504,"&lt;="&amp;(A159+1)))</f>
        <v/>
      </c>
      <c r="L159" s="63">
        <f>IF(OR(H159="",K159=0),"—",IF(ISNUMBER(MATCH(H159,'Zgłoszenia'!$S$5:$S$504,0)),RIGHT("0"&amp;DAY(A159),2)&amp;"."&amp;RIGHT("0"&amp;MONTH(A159),2)&amp;"."&amp;YEAR(A159)&amp;": "&amp;INDEX('Zgłoszenia'!$H$5:$H$504,MATCH(H159,'Zgłoszenia'!$S$5:$S$504,0)),RIGHT("0"&amp;DAY((A159+1)),2)&amp;"."&amp;RIGHT("0"&amp;MONTH((A159+1)),2)&amp;"."&amp;YEAR((A159+1))&amp;": "&amp;INDEX('Zgłoszenia'!$H$5:$H$504,MATCH(F159&amp;"|"&amp;(A159+1),'Zgłoszenia'!$S$5:$S$504,0)))&amp;IF(K159&gt;1," (+"&amp;(K159-1)&amp;")",""))</f>
        <v/>
      </c>
      <c r="M159" s="63" t="n">
        <v>2</v>
      </c>
      <c r="N159" s="2" t="n"/>
      <c r="O159" s="2" t="n"/>
    </row>
    <row r="160">
      <c r="A160" s="62">
        <f>IF('2'!$C$1="","",'2'!$C$1)</f>
        <v/>
      </c>
      <c r="B160" s="63">
        <f>Ustawienia!$A$10&amp;""</f>
        <v/>
      </c>
      <c r="C160" s="63">
        <f>Ustawienia!$A$18&amp;""</f>
        <v/>
      </c>
      <c r="D160" s="63" t="n">
        <v>2</v>
      </c>
      <c r="E160" s="63">
        <f>IF('2'!J33="","",TRIM('2'!J33&amp;""))</f>
        <v/>
      </c>
      <c r="F160" s="63">
        <f>IF('2'!K33="","",'2'!K33)</f>
        <v/>
      </c>
      <c r="G160" s="63">
        <f>'2'!L33&amp;""</f>
        <v/>
      </c>
      <c r="H160" s="63">
        <f>IF(OR(A160="",F160=""),"",F160&amp;"|"&amp;A160)</f>
        <v/>
      </c>
      <c r="I160" s="63">
        <f>IF(AND(H160&lt;&gt;"",OR('Historia wózka'!$B$4="",F160='Historia wózka'!$B$4),A160&gt;='Historia wózka'!$B$5,A160&lt;='Historia wózka'!$B$6),A160+0.7+(5000-ROW())/10000000,0)</f>
        <v/>
      </c>
      <c r="J160" s="63">
        <f>Ustawienia!$B$10&amp;""</f>
        <v/>
      </c>
      <c r="K160" s="63">
        <f>IF(H160="","",COUNTIFS('Zgłoszenia'!$B$5:$B$504,F160,'Zgłoszenia'!$D$5:$D$504,"&gt;="&amp;A160,'Zgłoszenia'!$D$5:$D$504,"&lt;="&amp;(A160+1)))</f>
        <v/>
      </c>
      <c r="L160" s="63">
        <f>IF(OR(H160="",K160=0),"—",IF(ISNUMBER(MATCH(H160,'Zgłoszenia'!$S$5:$S$504,0)),RIGHT("0"&amp;DAY(A160),2)&amp;"."&amp;RIGHT("0"&amp;MONTH(A160),2)&amp;"."&amp;YEAR(A160)&amp;": "&amp;INDEX('Zgłoszenia'!$H$5:$H$504,MATCH(H160,'Zgłoszenia'!$S$5:$S$504,0)),RIGHT("0"&amp;DAY((A160+1)),2)&amp;"."&amp;RIGHT("0"&amp;MONTH((A160+1)),2)&amp;"."&amp;YEAR((A160+1))&amp;": "&amp;INDEX('Zgłoszenia'!$H$5:$H$504,MATCH(F160&amp;"|"&amp;(A160+1),'Zgłoszenia'!$S$5:$S$504,0)))&amp;IF(K160&gt;1," (+"&amp;(K160-1)&amp;")",""))</f>
        <v/>
      </c>
      <c r="M160" s="63" t="n">
        <v>2</v>
      </c>
      <c r="N160" s="2" t="n"/>
      <c r="O160" s="2" t="n"/>
    </row>
    <row r="161">
      <c r="A161" s="62">
        <f>IF('2'!$C$1="","",'2'!$C$1)</f>
        <v/>
      </c>
      <c r="B161" s="63">
        <f>Ustawienia!$A$10&amp;""</f>
        <v/>
      </c>
      <c r="C161" s="63">
        <f>Ustawienia!$A$18&amp;""</f>
        <v/>
      </c>
      <c r="D161" s="63" t="n">
        <v>3</v>
      </c>
      <c r="E161" s="63">
        <f>IF('2'!J34="","",TRIM('2'!J34&amp;""))</f>
        <v/>
      </c>
      <c r="F161" s="63">
        <f>IF('2'!K34="","",'2'!K34)</f>
        <v/>
      </c>
      <c r="G161" s="63">
        <f>'2'!L34&amp;""</f>
        <v/>
      </c>
      <c r="H161" s="63">
        <f>IF(OR(A161="",F161=""),"",F161&amp;"|"&amp;A161)</f>
        <v/>
      </c>
      <c r="I161" s="63">
        <f>IF(AND(H161&lt;&gt;"",OR('Historia wózka'!$B$4="",F161='Historia wózka'!$B$4),A161&gt;='Historia wózka'!$B$5,A161&lt;='Historia wózka'!$B$6),A161+0.7+(5000-ROW())/10000000,0)</f>
        <v/>
      </c>
      <c r="J161" s="63">
        <f>Ustawienia!$B$10&amp;""</f>
        <v/>
      </c>
      <c r="K161" s="63">
        <f>IF(H161="","",COUNTIFS('Zgłoszenia'!$B$5:$B$504,F161,'Zgłoszenia'!$D$5:$D$504,"&gt;="&amp;A161,'Zgłoszenia'!$D$5:$D$504,"&lt;="&amp;(A161+1)))</f>
        <v/>
      </c>
      <c r="L161" s="63">
        <f>IF(OR(H161="",K161=0),"—",IF(ISNUMBER(MATCH(H161,'Zgłoszenia'!$S$5:$S$504,0)),RIGHT("0"&amp;DAY(A161),2)&amp;"."&amp;RIGHT("0"&amp;MONTH(A161),2)&amp;"."&amp;YEAR(A161)&amp;": "&amp;INDEX('Zgłoszenia'!$H$5:$H$504,MATCH(H161,'Zgłoszenia'!$S$5:$S$504,0)),RIGHT("0"&amp;DAY((A161+1)),2)&amp;"."&amp;RIGHT("0"&amp;MONTH((A161+1)),2)&amp;"."&amp;YEAR((A161+1))&amp;": "&amp;INDEX('Zgłoszenia'!$H$5:$H$504,MATCH(F161&amp;"|"&amp;(A161+1),'Zgłoszenia'!$S$5:$S$504,0)))&amp;IF(K161&gt;1," (+"&amp;(K161-1)&amp;")",""))</f>
        <v/>
      </c>
      <c r="M161" s="63" t="n">
        <v>2</v>
      </c>
      <c r="N161" s="2" t="n"/>
      <c r="O161" s="2" t="n"/>
    </row>
    <row r="162">
      <c r="A162" s="62">
        <f>IF('2'!$C$1="","",'2'!$C$1)</f>
        <v/>
      </c>
      <c r="B162" s="63">
        <f>Ustawienia!$A$10&amp;""</f>
        <v/>
      </c>
      <c r="C162" s="63">
        <f>Ustawienia!$A$18&amp;""</f>
        <v/>
      </c>
      <c r="D162" s="63" t="n">
        <v>4</v>
      </c>
      <c r="E162" s="63">
        <f>IF('2'!J35="","",TRIM('2'!J35&amp;""))</f>
        <v/>
      </c>
      <c r="F162" s="63">
        <f>IF('2'!K35="","",'2'!K35)</f>
        <v/>
      </c>
      <c r="G162" s="63">
        <f>'2'!L35&amp;""</f>
        <v/>
      </c>
      <c r="H162" s="63">
        <f>IF(OR(A162="",F162=""),"",F162&amp;"|"&amp;A162)</f>
        <v/>
      </c>
      <c r="I162" s="63">
        <f>IF(AND(H162&lt;&gt;"",OR('Historia wózka'!$B$4="",F162='Historia wózka'!$B$4),A162&gt;='Historia wózka'!$B$5,A162&lt;='Historia wózka'!$B$6),A162+0.7+(5000-ROW())/10000000,0)</f>
        <v/>
      </c>
      <c r="J162" s="63">
        <f>Ustawienia!$B$10&amp;""</f>
        <v/>
      </c>
      <c r="K162" s="63">
        <f>IF(H162="","",COUNTIFS('Zgłoszenia'!$B$5:$B$504,F162,'Zgłoszenia'!$D$5:$D$504,"&gt;="&amp;A162,'Zgłoszenia'!$D$5:$D$504,"&lt;="&amp;(A162+1)))</f>
        <v/>
      </c>
      <c r="L162" s="63">
        <f>IF(OR(H162="",K162=0),"—",IF(ISNUMBER(MATCH(H162,'Zgłoszenia'!$S$5:$S$504,0)),RIGHT("0"&amp;DAY(A162),2)&amp;"."&amp;RIGHT("0"&amp;MONTH(A162),2)&amp;"."&amp;YEAR(A162)&amp;": "&amp;INDEX('Zgłoszenia'!$H$5:$H$504,MATCH(H162,'Zgłoszenia'!$S$5:$S$504,0)),RIGHT("0"&amp;DAY((A162+1)),2)&amp;"."&amp;RIGHT("0"&amp;MONTH((A162+1)),2)&amp;"."&amp;YEAR((A162+1))&amp;": "&amp;INDEX('Zgłoszenia'!$H$5:$H$504,MATCH(F162&amp;"|"&amp;(A162+1),'Zgłoszenia'!$S$5:$S$504,0)))&amp;IF(K162&gt;1," (+"&amp;(K162-1)&amp;")",""))</f>
        <v/>
      </c>
      <c r="M162" s="63" t="n">
        <v>2</v>
      </c>
      <c r="N162" s="2" t="n"/>
      <c r="O162" s="2" t="n"/>
    </row>
    <row r="163">
      <c r="A163" s="62">
        <f>IF('2'!$C$1="","",'2'!$C$1)</f>
        <v/>
      </c>
      <c r="B163" s="63">
        <f>Ustawienia!$A$10&amp;""</f>
        <v/>
      </c>
      <c r="C163" s="63">
        <f>Ustawienia!$A$18&amp;""</f>
        <v/>
      </c>
      <c r="D163" s="63" t="n">
        <v>5</v>
      </c>
      <c r="E163" s="63">
        <f>IF('2'!J36="","",TRIM('2'!J36&amp;""))</f>
        <v/>
      </c>
      <c r="F163" s="63">
        <f>IF('2'!K36="","",'2'!K36)</f>
        <v/>
      </c>
      <c r="G163" s="63">
        <f>'2'!L36&amp;""</f>
        <v/>
      </c>
      <c r="H163" s="63">
        <f>IF(OR(A163="",F163=""),"",F163&amp;"|"&amp;A163)</f>
        <v/>
      </c>
      <c r="I163" s="63">
        <f>IF(AND(H163&lt;&gt;"",OR('Historia wózka'!$B$4="",F163='Historia wózka'!$B$4),A163&gt;='Historia wózka'!$B$5,A163&lt;='Historia wózka'!$B$6),A163+0.7+(5000-ROW())/10000000,0)</f>
        <v/>
      </c>
      <c r="J163" s="63">
        <f>Ustawienia!$B$10&amp;""</f>
        <v/>
      </c>
      <c r="K163" s="63">
        <f>IF(H163="","",COUNTIFS('Zgłoszenia'!$B$5:$B$504,F163,'Zgłoszenia'!$D$5:$D$504,"&gt;="&amp;A163,'Zgłoszenia'!$D$5:$D$504,"&lt;="&amp;(A163+1)))</f>
        <v/>
      </c>
      <c r="L163" s="63">
        <f>IF(OR(H163="",K163=0),"—",IF(ISNUMBER(MATCH(H163,'Zgłoszenia'!$S$5:$S$504,0)),RIGHT("0"&amp;DAY(A163),2)&amp;"."&amp;RIGHT("0"&amp;MONTH(A163),2)&amp;"."&amp;YEAR(A163)&amp;": "&amp;INDEX('Zgłoszenia'!$H$5:$H$504,MATCH(H163,'Zgłoszenia'!$S$5:$S$504,0)),RIGHT("0"&amp;DAY((A163+1)),2)&amp;"."&amp;RIGHT("0"&amp;MONTH((A163+1)),2)&amp;"."&amp;YEAR((A163+1))&amp;": "&amp;INDEX('Zgłoszenia'!$H$5:$H$504,MATCH(F163&amp;"|"&amp;(A163+1),'Zgłoszenia'!$S$5:$S$504,0)))&amp;IF(K163&gt;1," (+"&amp;(K163-1)&amp;")",""))</f>
        <v/>
      </c>
      <c r="M163" s="63" t="n">
        <v>2</v>
      </c>
      <c r="N163" s="2" t="n"/>
      <c r="O163" s="2" t="n"/>
    </row>
    <row r="164">
      <c r="A164" s="62">
        <f>IF('3'!$C$1="","",'3'!$C$1)</f>
        <v/>
      </c>
      <c r="B164" s="63">
        <f>Ustawienia!$A$8&amp;""</f>
        <v/>
      </c>
      <c r="C164" s="63">
        <f>Ustawienia!$A$14&amp;""</f>
        <v/>
      </c>
      <c r="D164" s="63" t="n">
        <v>1</v>
      </c>
      <c r="E164" s="63">
        <f>IF('3'!B6="","",TRIM('3'!B6&amp;""))</f>
        <v/>
      </c>
      <c r="F164" s="63">
        <f>IF('3'!C6="","",'3'!C6)</f>
        <v/>
      </c>
      <c r="G164" s="63">
        <f>'3'!D6&amp;""</f>
        <v/>
      </c>
      <c r="H164" s="63">
        <f>IF(OR(A164="",F164=""),"",F164&amp;"|"&amp;A164)</f>
        <v/>
      </c>
      <c r="I164" s="63">
        <f>IF(AND(H164&lt;&gt;"",OR('Historia wózka'!$B$4="",F164='Historia wózka'!$B$4),A164&gt;='Historia wózka'!$B$5,A164&lt;='Historia wózka'!$B$6),A164+0.9+(5000-ROW())/10000000,0)</f>
        <v/>
      </c>
      <c r="J164" s="63">
        <f>Ustawienia!$B$8&amp;""</f>
        <v/>
      </c>
      <c r="K164" s="63">
        <f>IF(H164="","",COUNTIFS('Zgłoszenia'!$B$5:$B$504,F164,'Zgłoszenia'!$D$5:$D$504,"&gt;="&amp;A164,'Zgłoszenia'!$D$5:$D$504,"&lt;="&amp;(A164+1)))</f>
        <v/>
      </c>
      <c r="L164" s="63">
        <f>IF(OR(H164="",K164=0),"—",IF(ISNUMBER(MATCH(H164,'Zgłoszenia'!$S$5:$S$504,0)),RIGHT("0"&amp;DAY(A164),2)&amp;"."&amp;RIGHT("0"&amp;MONTH(A164),2)&amp;"."&amp;YEAR(A164)&amp;": "&amp;INDEX('Zgłoszenia'!$H$5:$H$504,MATCH(H164,'Zgłoszenia'!$S$5:$S$504,0)),RIGHT("0"&amp;DAY((A164+1)),2)&amp;"."&amp;RIGHT("0"&amp;MONTH((A164+1)),2)&amp;"."&amp;YEAR((A164+1))&amp;": "&amp;INDEX('Zgłoszenia'!$H$5:$H$504,MATCH(F164&amp;"|"&amp;(A164+1),'Zgłoszenia'!$S$5:$S$504,0)))&amp;IF(K164&gt;1," (+"&amp;(K164-1)&amp;")",""))</f>
        <v/>
      </c>
      <c r="M164" s="63" t="n">
        <v>3</v>
      </c>
      <c r="N164" s="2" t="n"/>
      <c r="O164" s="2" t="n"/>
    </row>
    <row r="165">
      <c r="A165" s="62">
        <f>IF('3'!$C$1="","",'3'!$C$1)</f>
        <v/>
      </c>
      <c r="B165" s="63">
        <f>Ustawienia!$A$8&amp;""</f>
        <v/>
      </c>
      <c r="C165" s="63">
        <f>Ustawienia!$A$14&amp;""</f>
        <v/>
      </c>
      <c r="D165" s="63" t="n">
        <v>2</v>
      </c>
      <c r="E165" s="63">
        <f>IF('3'!B7="","",TRIM('3'!B7&amp;""))</f>
        <v/>
      </c>
      <c r="F165" s="63">
        <f>IF('3'!C7="","",'3'!C7)</f>
        <v/>
      </c>
      <c r="G165" s="63">
        <f>'3'!D7&amp;""</f>
        <v/>
      </c>
      <c r="H165" s="63">
        <f>IF(OR(A165="",F165=""),"",F165&amp;"|"&amp;A165)</f>
        <v/>
      </c>
      <c r="I165" s="63">
        <f>IF(AND(H165&lt;&gt;"",OR('Historia wózka'!$B$4="",F165='Historia wózka'!$B$4),A165&gt;='Historia wózka'!$B$5,A165&lt;='Historia wózka'!$B$6),A165+0.9+(5000-ROW())/10000000,0)</f>
        <v/>
      </c>
      <c r="J165" s="63">
        <f>Ustawienia!$B$8&amp;""</f>
        <v/>
      </c>
      <c r="K165" s="63">
        <f>IF(H165="","",COUNTIFS('Zgłoszenia'!$B$5:$B$504,F165,'Zgłoszenia'!$D$5:$D$504,"&gt;="&amp;A165,'Zgłoszenia'!$D$5:$D$504,"&lt;="&amp;(A165+1)))</f>
        <v/>
      </c>
      <c r="L165" s="63">
        <f>IF(OR(H165="",K165=0),"—",IF(ISNUMBER(MATCH(H165,'Zgłoszenia'!$S$5:$S$504,0)),RIGHT("0"&amp;DAY(A165),2)&amp;"."&amp;RIGHT("0"&amp;MONTH(A165),2)&amp;"."&amp;YEAR(A165)&amp;": "&amp;INDEX('Zgłoszenia'!$H$5:$H$504,MATCH(H165,'Zgłoszenia'!$S$5:$S$504,0)),RIGHT("0"&amp;DAY((A165+1)),2)&amp;"."&amp;RIGHT("0"&amp;MONTH((A165+1)),2)&amp;"."&amp;YEAR((A165+1))&amp;": "&amp;INDEX('Zgłoszenia'!$H$5:$H$504,MATCH(F165&amp;"|"&amp;(A165+1),'Zgłoszenia'!$S$5:$S$504,0)))&amp;IF(K165&gt;1," (+"&amp;(K165-1)&amp;")",""))</f>
        <v/>
      </c>
      <c r="M165" s="63" t="n">
        <v>3</v>
      </c>
      <c r="N165" s="2" t="n"/>
      <c r="O165" s="2" t="n"/>
    </row>
    <row r="166">
      <c r="A166" s="62">
        <f>IF('3'!$C$1="","",'3'!$C$1)</f>
        <v/>
      </c>
      <c r="B166" s="63">
        <f>Ustawienia!$A$8&amp;""</f>
        <v/>
      </c>
      <c r="C166" s="63">
        <f>Ustawienia!$A$14&amp;""</f>
        <v/>
      </c>
      <c r="D166" s="63" t="n">
        <v>3</v>
      </c>
      <c r="E166" s="63">
        <f>IF('3'!B8="","",TRIM('3'!B8&amp;""))</f>
        <v/>
      </c>
      <c r="F166" s="63">
        <f>IF('3'!C8="","",'3'!C8)</f>
        <v/>
      </c>
      <c r="G166" s="63">
        <f>'3'!D8&amp;""</f>
        <v/>
      </c>
      <c r="H166" s="63">
        <f>IF(OR(A166="",F166=""),"",F166&amp;"|"&amp;A166)</f>
        <v/>
      </c>
      <c r="I166" s="63">
        <f>IF(AND(H166&lt;&gt;"",OR('Historia wózka'!$B$4="",F166='Historia wózka'!$B$4),A166&gt;='Historia wózka'!$B$5,A166&lt;='Historia wózka'!$B$6),A166+0.9+(5000-ROW())/10000000,0)</f>
        <v/>
      </c>
      <c r="J166" s="63">
        <f>Ustawienia!$B$8&amp;""</f>
        <v/>
      </c>
      <c r="K166" s="63">
        <f>IF(H166="","",COUNTIFS('Zgłoszenia'!$B$5:$B$504,F166,'Zgłoszenia'!$D$5:$D$504,"&gt;="&amp;A166,'Zgłoszenia'!$D$5:$D$504,"&lt;="&amp;(A166+1)))</f>
        <v/>
      </c>
      <c r="L166" s="63">
        <f>IF(OR(H166="",K166=0),"—",IF(ISNUMBER(MATCH(H166,'Zgłoszenia'!$S$5:$S$504,0)),RIGHT("0"&amp;DAY(A166),2)&amp;"."&amp;RIGHT("0"&amp;MONTH(A166),2)&amp;"."&amp;YEAR(A166)&amp;": "&amp;INDEX('Zgłoszenia'!$H$5:$H$504,MATCH(H166,'Zgłoszenia'!$S$5:$S$504,0)),RIGHT("0"&amp;DAY((A166+1)),2)&amp;"."&amp;RIGHT("0"&amp;MONTH((A166+1)),2)&amp;"."&amp;YEAR((A166+1))&amp;": "&amp;INDEX('Zgłoszenia'!$H$5:$H$504,MATCH(F166&amp;"|"&amp;(A166+1),'Zgłoszenia'!$S$5:$S$504,0)))&amp;IF(K166&gt;1," (+"&amp;(K166-1)&amp;")",""))</f>
        <v/>
      </c>
      <c r="M166" s="63" t="n">
        <v>3</v>
      </c>
      <c r="N166" s="2" t="n"/>
      <c r="O166" s="2" t="n"/>
    </row>
    <row r="167">
      <c r="A167" s="62">
        <f>IF('3'!$C$1="","",'3'!$C$1)</f>
        <v/>
      </c>
      <c r="B167" s="63">
        <f>Ustawienia!$A$8&amp;""</f>
        <v/>
      </c>
      <c r="C167" s="63">
        <f>Ustawienia!$A$14&amp;""</f>
        <v/>
      </c>
      <c r="D167" s="63" t="n">
        <v>4</v>
      </c>
      <c r="E167" s="63">
        <f>IF('3'!B9="","",TRIM('3'!B9&amp;""))</f>
        <v/>
      </c>
      <c r="F167" s="63">
        <f>IF('3'!C9="","",'3'!C9)</f>
        <v/>
      </c>
      <c r="G167" s="63">
        <f>'3'!D9&amp;""</f>
        <v/>
      </c>
      <c r="H167" s="63">
        <f>IF(OR(A167="",F167=""),"",F167&amp;"|"&amp;A167)</f>
        <v/>
      </c>
      <c r="I167" s="63">
        <f>IF(AND(H167&lt;&gt;"",OR('Historia wózka'!$B$4="",F167='Historia wózka'!$B$4),A167&gt;='Historia wózka'!$B$5,A167&lt;='Historia wózka'!$B$6),A167+0.9+(5000-ROW())/10000000,0)</f>
        <v/>
      </c>
      <c r="J167" s="63">
        <f>Ustawienia!$B$8&amp;""</f>
        <v/>
      </c>
      <c r="K167" s="63">
        <f>IF(H167="","",COUNTIFS('Zgłoszenia'!$B$5:$B$504,F167,'Zgłoszenia'!$D$5:$D$504,"&gt;="&amp;A167,'Zgłoszenia'!$D$5:$D$504,"&lt;="&amp;(A167+1)))</f>
        <v/>
      </c>
      <c r="L167" s="63">
        <f>IF(OR(H167="",K167=0),"—",IF(ISNUMBER(MATCH(H167,'Zgłoszenia'!$S$5:$S$504,0)),RIGHT("0"&amp;DAY(A167),2)&amp;"."&amp;RIGHT("0"&amp;MONTH(A167),2)&amp;"."&amp;YEAR(A167)&amp;": "&amp;INDEX('Zgłoszenia'!$H$5:$H$504,MATCH(H167,'Zgłoszenia'!$S$5:$S$504,0)),RIGHT("0"&amp;DAY((A167+1)),2)&amp;"."&amp;RIGHT("0"&amp;MONTH((A167+1)),2)&amp;"."&amp;YEAR((A167+1))&amp;": "&amp;INDEX('Zgłoszenia'!$H$5:$H$504,MATCH(F167&amp;"|"&amp;(A167+1),'Zgłoszenia'!$S$5:$S$504,0)))&amp;IF(K167&gt;1," (+"&amp;(K167-1)&amp;")",""))</f>
        <v/>
      </c>
      <c r="M167" s="63" t="n">
        <v>3</v>
      </c>
      <c r="N167" s="2" t="n"/>
      <c r="O167" s="2" t="n"/>
    </row>
    <row r="168">
      <c r="A168" s="62">
        <f>IF('3'!$C$1="","",'3'!$C$1)</f>
        <v/>
      </c>
      <c r="B168" s="63">
        <f>Ustawienia!$A$8&amp;""</f>
        <v/>
      </c>
      <c r="C168" s="63">
        <f>Ustawienia!$A$14&amp;""</f>
        <v/>
      </c>
      <c r="D168" s="63" t="n">
        <v>5</v>
      </c>
      <c r="E168" s="63">
        <f>IF('3'!B10="","",TRIM('3'!B10&amp;""))</f>
        <v/>
      </c>
      <c r="F168" s="63">
        <f>IF('3'!C10="","",'3'!C10)</f>
        <v/>
      </c>
      <c r="G168" s="63">
        <f>'3'!D10&amp;""</f>
        <v/>
      </c>
      <c r="H168" s="63">
        <f>IF(OR(A168="",F168=""),"",F168&amp;"|"&amp;A168)</f>
        <v/>
      </c>
      <c r="I168" s="63">
        <f>IF(AND(H168&lt;&gt;"",OR('Historia wózka'!$B$4="",F168='Historia wózka'!$B$4),A168&gt;='Historia wózka'!$B$5,A168&lt;='Historia wózka'!$B$6),A168+0.9+(5000-ROW())/10000000,0)</f>
        <v/>
      </c>
      <c r="J168" s="63">
        <f>Ustawienia!$B$8&amp;""</f>
        <v/>
      </c>
      <c r="K168" s="63">
        <f>IF(H168="","",COUNTIFS('Zgłoszenia'!$B$5:$B$504,F168,'Zgłoszenia'!$D$5:$D$504,"&gt;="&amp;A168,'Zgłoszenia'!$D$5:$D$504,"&lt;="&amp;(A168+1)))</f>
        <v/>
      </c>
      <c r="L168" s="63">
        <f>IF(OR(H168="",K168=0),"—",IF(ISNUMBER(MATCH(H168,'Zgłoszenia'!$S$5:$S$504,0)),RIGHT("0"&amp;DAY(A168),2)&amp;"."&amp;RIGHT("0"&amp;MONTH(A168),2)&amp;"."&amp;YEAR(A168)&amp;": "&amp;INDEX('Zgłoszenia'!$H$5:$H$504,MATCH(H168,'Zgłoszenia'!$S$5:$S$504,0)),RIGHT("0"&amp;DAY((A168+1)),2)&amp;"."&amp;RIGHT("0"&amp;MONTH((A168+1)),2)&amp;"."&amp;YEAR((A168+1))&amp;": "&amp;INDEX('Zgłoszenia'!$H$5:$H$504,MATCH(F168&amp;"|"&amp;(A168+1),'Zgłoszenia'!$S$5:$S$504,0)))&amp;IF(K168&gt;1," (+"&amp;(K168-1)&amp;")",""))</f>
        <v/>
      </c>
      <c r="M168" s="63" t="n">
        <v>3</v>
      </c>
      <c r="N168" s="2" t="n"/>
      <c r="O168" s="2" t="n"/>
    </row>
    <row r="169">
      <c r="A169" s="62">
        <f>IF('3'!$C$1="","",'3'!$C$1)</f>
        <v/>
      </c>
      <c r="B169" s="63">
        <f>Ustawienia!$A$8&amp;""</f>
        <v/>
      </c>
      <c r="C169" s="63">
        <f>Ustawienia!$A$14&amp;""</f>
        <v/>
      </c>
      <c r="D169" s="63" t="n">
        <v>6</v>
      </c>
      <c r="E169" s="63">
        <f>IF('3'!B11="","",TRIM('3'!B11&amp;""))</f>
        <v/>
      </c>
      <c r="F169" s="63">
        <f>IF('3'!C11="","",'3'!C11)</f>
        <v/>
      </c>
      <c r="G169" s="63">
        <f>'3'!D11&amp;""</f>
        <v/>
      </c>
      <c r="H169" s="63">
        <f>IF(OR(A169="",F169=""),"",F169&amp;"|"&amp;A169)</f>
        <v/>
      </c>
      <c r="I169" s="63">
        <f>IF(AND(H169&lt;&gt;"",OR('Historia wózka'!$B$4="",F169='Historia wózka'!$B$4),A169&gt;='Historia wózka'!$B$5,A169&lt;='Historia wózka'!$B$6),A169+0.9+(5000-ROW())/10000000,0)</f>
        <v/>
      </c>
      <c r="J169" s="63">
        <f>Ustawienia!$B$8&amp;""</f>
        <v/>
      </c>
      <c r="K169" s="63">
        <f>IF(H169="","",COUNTIFS('Zgłoszenia'!$B$5:$B$504,F169,'Zgłoszenia'!$D$5:$D$504,"&gt;="&amp;A169,'Zgłoszenia'!$D$5:$D$504,"&lt;="&amp;(A169+1)))</f>
        <v/>
      </c>
      <c r="L169" s="63">
        <f>IF(OR(H169="",K169=0),"—",IF(ISNUMBER(MATCH(H169,'Zgłoszenia'!$S$5:$S$504,0)),RIGHT("0"&amp;DAY(A169),2)&amp;"."&amp;RIGHT("0"&amp;MONTH(A169),2)&amp;"."&amp;YEAR(A169)&amp;": "&amp;INDEX('Zgłoszenia'!$H$5:$H$504,MATCH(H169,'Zgłoszenia'!$S$5:$S$504,0)),RIGHT("0"&amp;DAY((A169+1)),2)&amp;"."&amp;RIGHT("0"&amp;MONTH((A169+1)),2)&amp;"."&amp;YEAR((A169+1))&amp;": "&amp;INDEX('Zgłoszenia'!$H$5:$H$504,MATCH(F169&amp;"|"&amp;(A169+1),'Zgłoszenia'!$S$5:$S$504,0)))&amp;IF(K169&gt;1," (+"&amp;(K169-1)&amp;")",""))</f>
        <v/>
      </c>
      <c r="M169" s="63" t="n">
        <v>3</v>
      </c>
      <c r="N169" s="2" t="n"/>
      <c r="O169" s="2" t="n"/>
    </row>
    <row r="170">
      <c r="A170" s="62">
        <f>IF('3'!$C$1="","",'3'!$C$1)</f>
        <v/>
      </c>
      <c r="B170" s="63">
        <f>Ustawienia!$A$8&amp;""</f>
        <v/>
      </c>
      <c r="C170" s="63">
        <f>Ustawienia!$A$15&amp;""</f>
        <v/>
      </c>
      <c r="D170" s="63" t="n">
        <v>1</v>
      </c>
      <c r="E170" s="63">
        <f>IF('3'!B13="","",TRIM('3'!B13&amp;""))</f>
        <v/>
      </c>
      <c r="F170" s="63">
        <f>IF('3'!C13="","",'3'!C13)</f>
        <v/>
      </c>
      <c r="G170" s="63">
        <f>'3'!D13&amp;""</f>
        <v/>
      </c>
      <c r="H170" s="63">
        <f>IF(OR(A170="",F170=""),"",F170&amp;"|"&amp;A170)</f>
        <v/>
      </c>
      <c r="I170" s="63">
        <f>IF(AND(H170&lt;&gt;"",OR('Historia wózka'!$B$4="",F170='Historia wózka'!$B$4),A170&gt;='Historia wózka'!$B$5,A170&lt;='Historia wózka'!$B$6),A170+0.9+(5000-ROW())/10000000,0)</f>
        <v/>
      </c>
      <c r="J170" s="63">
        <f>Ustawienia!$B$8&amp;""</f>
        <v/>
      </c>
      <c r="K170" s="63">
        <f>IF(H170="","",COUNTIFS('Zgłoszenia'!$B$5:$B$504,F170,'Zgłoszenia'!$D$5:$D$504,"&gt;="&amp;A170,'Zgłoszenia'!$D$5:$D$504,"&lt;="&amp;(A170+1)))</f>
        <v/>
      </c>
      <c r="L170" s="63">
        <f>IF(OR(H170="",K170=0),"—",IF(ISNUMBER(MATCH(H170,'Zgłoszenia'!$S$5:$S$504,0)),RIGHT("0"&amp;DAY(A170),2)&amp;"."&amp;RIGHT("0"&amp;MONTH(A170),2)&amp;"."&amp;YEAR(A170)&amp;": "&amp;INDEX('Zgłoszenia'!$H$5:$H$504,MATCH(H170,'Zgłoszenia'!$S$5:$S$504,0)),RIGHT("0"&amp;DAY((A170+1)),2)&amp;"."&amp;RIGHT("0"&amp;MONTH((A170+1)),2)&amp;"."&amp;YEAR((A170+1))&amp;": "&amp;INDEX('Zgłoszenia'!$H$5:$H$504,MATCH(F170&amp;"|"&amp;(A170+1),'Zgłoszenia'!$S$5:$S$504,0)))&amp;IF(K170&gt;1," (+"&amp;(K170-1)&amp;")",""))</f>
        <v/>
      </c>
      <c r="M170" s="63" t="n">
        <v>3</v>
      </c>
      <c r="N170" s="2" t="n"/>
      <c r="O170" s="2" t="n"/>
    </row>
    <row r="171">
      <c r="A171" s="62">
        <f>IF('3'!$C$1="","",'3'!$C$1)</f>
        <v/>
      </c>
      <c r="B171" s="63">
        <f>Ustawienia!$A$8&amp;""</f>
        <v/>
      </c>
      <c r="C171" s="63">
        <f>Ustawienia!$A$15&amp;""</f>
        <v/>
      </c>
      <c r="D171" s="63" t="n">
        <v>2</v>
      </c>
      <c r="E171" s="63">
        <f>IF('3'!B14="","",TRIM('3'!B14&amp;""))</f>
        <v/>
      </c>
      <c r="F171" s="63">
        <f>IF('3'!C14="","",'3'!C14)</f>
        <v/>
      </c>
      <c r="G171" s="63">
        <f>'3'!D14&amp;""</f>
        <v/>
      </c>
      <c r="H171" s="63">
        <f>IF(OR(A171="",F171=""),"",F171&amp;"|"&amp;A171)</f>
        <v/>
      </c>
      <c r="I171" s="63">
        <f>IF(AND(H171&lt;&gt;"",OR('Historia wózka'!$B$4="",F171='Historia wózka'!$B$4),A171&gt;='Historia wózka'!$B$5,A171&lt;='Historia wózka'!$B$6),A171+0.9+(5000-ROW())/10000000,0)</f>
        <v/>
      </c>
      <c r="J171" s="63">
        <f>Ustawienia!$B$8&amp;""</f>
        <v/>
      </c>
      <c r="K171" s="63">
        <f>IF(H171="","",COUNTIFS('Zgłoszenia'!$B$5:$B$504,F171,'Zgłoszenia'!$D$5:$D$504,"&gt;="&amp;A171,'Zgłoszenia'!$D$5:$D$504,"&lt;="&amp;(A171+1)))</f>
        <v/>
      </c>
      <c r="L171" s="63">
        <f>IF(OR(H171="",K171=0),"—",IF(ISNUMBER(MATCH(H171,'Zgłoszenia'!$S$5:$S$504,0)),RIGHT("0"&amp;DAY(A171),2)&amp;"."&amp;RIGHT("0"&amp;MONTH(A171),2)&amp;"."&amp;YEAR(A171)&amp;": "&amp;INDEX('Zgłoszenia'!$H$5:$H$504,MATCH(H171,'Zgłoszenia'!$S$5:$S$504,0)),RIGHT("0"&amp;DAY((A171+1)),2)&amp;"."&amp;RIGHT("0"&amp;MONTH((A171+1)),2)&amp;"."&amp;YEAR((A171+1))&amp;": "&amp;INDEX('Zgłoszenia'!$H$5:$H$504,MATCH(F171&amp;"|"&amp;(A171+1),'Zgłoszenia'!$S$5:$S$504,0)))&amp;IF(K171&gt;1," (+"&amp;(K171-1)&amp;")",""))</f>
        <v/>
      </c>
      <c r="M171" s="63" t="n">
        <v>3</v>
      </c>
      <c r="N171" s="2" t="n"/>
      <c r="O171" s="2" t="n"/>
    </row>
    <row r="172">
      <c r="A172" s="62">
        <f>IF('3'!$C$1="","",'3'!$C$1)</f>
        <v/>
      </c>
      <c r="B172" s="63">
        <f>Ustawienia!$A$8&amp;""</f>
        <v/>
      </c>
      <c r="C172" s="63">
        <f>Ustawienia!$A$15&amp;""</f>
        <v/>
      </c>
      <c r="D172" s="63" t="n">
        <v>3</v>
      </c>
      <c r="E172" s="63">
        <f>IF('3'!B15="","",TRIM('3'!B15&amp;""))</f>
        <v/>
      </c>
      <c r="F172" s="63">
        <f>IF('3'!C15="","",'3'!C15)</f>
        <v/>
      </c>
      <c r="G172" s="63">
        <f>'3'!D15&amp;""</f>
        <v/>
      </c>
      <c r="H172" s="63">
        <f>IF(OR(A172="",F172=""),"",F172&amp;"|"&amp;A172)</f>
        <v/>
      </c>
      <c r="I172" s="63">
        <f>IF(AND(H172&lt;&gt;"",OR('Historia wózka'!$B$4="",F172='Historia wózka'!$B$4),A172&gt;='Historia wózka'!$B$5,A172&lt;='Historia wózka'!$B$6),A172+0.9+(5000-ROW())/10000000,0)</f>
        <v/>
      </c>
      <c r="J172" s="63">
        <f>Ustawienia!$B$8&amp;""</f>
        <v/>
      </c>
      <c r="K172" s="63">
        <f>IF(H172="","",COUNTIFS('Zgłoszenia'!$B$5:$B$504,F172,'Zgłoszenia'!$D$5:$D$504,"&gt;="&amp;A172,'Zgłoszenia'!$D$5:$D$504,"&lt;="&amp;(A172+1)))</f>
        <v/>
      </c>
      <c r="L172" s="63">
        <f>IF(OR(H172="",K172=0),"—",IF(ISNUMBER(MATCH(H172,'Zgłoszenia'!$S$5:$S$504,0)),RIGHT("0"&amp;DAY(A172),2)&amp;"."&amp;RIGHT("0"&amp;MONTH(A172),2)&amp;"."&amp;YEAR(A172)&amp;": "&amp;INDEX('Zgłoszenia'!$H$5:$H$504,MATCH(H172,'Zgłoszenia'!$S$5:$S$504,0)),RIGHT("0"&amp;DAY((A172+1)),2)&amp;"."&amp;RIGHT("0"&amp;MONTH((A172+1)),2)&amp;"."&amp;YEAR((A172+1))&amp;": "&amp;INDEX('Zgłoszenia'!$H$5:$H$504,MATCH(F172&amp;"|"&amp;(A172+1),'Zgłoszenia'!$S$5:$S$504,0)))&amp;IF(K172&gt;1," (+"&amp;(K172-1)&amp;")",""))</f>
        <v/>
      </c>
      <c r="M172" s="63" t="n">
        <v>3</v>
      </c>
      <c r="N172" s="2" t="n"/>
      <c r="O172" s="2" t="n"/>
    </row>
    <row r="173">
      <c r="A173" s="62">
        <f>IF('3'!$C$1="","",'3'!$C$1)</f>
        <v/>
      </c>
      <c r="B173" s="63">
        <f>Ustawienia!$A$8&amp;""</f>
        <v/>
      </c>
      <c r="C173" s="63">
        <f>Ustawienia!$A$15&amp;""</f>
        <v/>
      </c>
      <c r="D173" s="63" t="n">
        <v>4</v>
      </c>
      <c r="E173" s="63">
        <f>IF('3'!B16="","",TRIM('3'!B16&amp;""))</f>
        <v/>
      </c>
      <c r="F173" s="63">
        <f>IF('3'!C16="","",'3'!C16)</f>
        <v/>
      </c>
      <c r="G173" s="63">
        <f>'3'!D16&amp;""</f>
        <v/>
      </c>
      <c r="H173" s="63">
        <f>IF(OR(A173="",F173=""),"",F173&amp;"|"&amp;A173)</f>
        <v/>
      </c>
      <c r="I173" s="63">
        <f>IF(AND(H173&lt;&gt;"",OR('Historia wózka'!$B$4="",F173='Historia wózka'!$B$4),A173&gt;='Historia wózka'!$B$5,A173&lt;='Historia wózka'!$B$6),A173+0.9+(5000-ROW())/10000000,0)</f>
        <v/>
      </c>
      <c r="J173" s="63">
        <f>Ustawienia!$B$8&amp;""</f>
        <v/>
      </c>
      <c r="K173" s="63">
        <f>IF(H173="","",COUNTIFS('Zgłoszenia'!$B$5:$B$504,F173,'Zgłoszenia'!$D$5:$D$504,"&gt;="&amp;A173,'Zgłoszenia'!$D$5:$D$504,"&lt;="&amp;(A173+1)))</f>
        <v/>
      </c>
      <c r="L173" s="63">
        <f>IF(OR(H173="",K173=0),"—",IF(ISNUMBER(MATCH(H173,'Zgłoszenia'!$S$5:$S$504,0)),RIGHT("0"&amp;DAY(A173),2)&amp;"."&amp;RIGHT("0"&amp;MONTH(A173),2)&amp;"."&amp;YEAR(A173)&amp;": "&amp;INDEX('Zgłoszenia'!$H$5:$H$504,MATCH(H173,'Zgłoszenia'!$S$5:$S$504,0)),RIGHT("0"&amp;DAY((A173+1)),2)&amp;"."&amp;RIGHT("0"&amp;MONTH((A173+1)),2)&amp;"."&amp;YEAR((A173+1))&amp;": "&amp;INDEX('Zgłoszenia'!$H$5:$H$504,MATCH(F173&amp;"|"&amp;(A173+1),'Zgłoszenia'!$S$5:$S$504,0)))&amp;IF(K173&gt;1," (+"&amp;(K173-1)&amp;")",""))</f>
        <v/>
      </c>
      <c r="M173" s="63" t="n">
        <v>3</v>
      </c>
      <c r="N173" s="2" t="n"/>
      <c r="O173" s="2" t="n"/>
    </row>
    <row r="174">
      <c r="A174" s="62">
        <f>IF('3'!$C$1="","",'3'!$C$1)</f>
        <v/>
      </c>
      <c r="B174" s="63">
        <f>Ustawienia!$A$8&amp;""</f>
        <v/>
      </c>
      <c r="C174" s="63">
        <f>Ustawienia!$A$15&amp;""</f>
        <v/>
      </c>
      <c r="D174" s="63" t="n">
        <v>5</v>
      </c>
      <c r="E174" s="63">
        <f>IF('3'!B17="","",TRIM('3'!B17&amp;""))</f>
        <v/>
      </c>
      <c r="F174" s="63">
        <f>IF('3'!C17="","",'3'!C17)</f>
        <v/>
      </c>
      <c r="G174" s="63">
        <f>'3'!D17&amp;""</f>
        <v/>
      </c>
      <c r="H174" s="63">
        <f>IF(OR(A174="",F174=""),"",F174&amp;"|"&amp;A174)</f>
        <v/>
      </c>
      <c r="I174" s="63">
        <f>IF(AND(H174&lt;&gt;"",OR('Historia wózka'!$B$4="",F174='Historia wózka'!$B$4),A174&gt;='Historia wózka'!$B$5,A174&lt;='Historia wózka'!$B$6),A174+0.9+(5000-ROW())/10000000,0)</f>
        <v/>
      </c>
      <c r="J174" s="63">
        <f>Ustawienia!$B$8&amp;""</f>
        <v/>
      </c>
      <c r="K174" s="63">
        <f>IF(H174="","",COUNTIFS('Zgłoszenia'!$B$5:$B$504,F174,'Zgłoszenia'!$D$5:$D$504,"&gt;="&amp;A174,'Zgłoszenia'!$D$5:$D$504,"&lt;="&amp;(A174+1)))</f>
        <v/>
      </c>
      <c r="L174" s="63">
        <f>IF(OR(H174="",K174=0),"—",IF(ISNUMBER(MATCH(H174,'Zgłoszenia'!$S$5:$S$504,0)),RIGHT("0"&amp;DAY(A174),2)&amp;"."&amp;RIGHT("0"&amp;MONTH(A174),2)&amp;"."&amp;YEAR(A174)&amp;": "&amp;INDEX('Zgłoszenia'!$H$5:$H$504,MATCH(H174,'Zgłoszenia'!$S$5:$S$504,0)),RIGHT("0"&amp;DAY((A174+1)),2)&amp;"."&amp;RIGHT("0"&amp;MONTH((A174+1)),2)&amp;"."&amp;YEAR((A174+1))&amp;": "&amp;INDEX('Zgłoszenia'!$H$5:$H$504,MATCH(F174&amp;"|"&amp;(A174+1),'Zgłoszenia'!$S$5:$S$504,0)))&amp;IF(K174&gt;1," (+"&amp;(K174-1)&amp;")",""))</f>
        <v/>
      </c>
      <c r="M174" s="63" t="n">
        <v>3</v>
      </c>
      <c r="N174" s="2" t="n"/>
      <c r="O174" s="2" t="n"/>
    </row>
    <row r="175">
      <c r="A175" s="62">
        <f>IF('3'!$C$1="","",'3'!$C$1)</f>
        <v/>
      </c>
      <c r="B175" s="63">
        <f>Ustawienia!$A$8&amp;""</f>
        <v/>
      </c>
      <c r="C175" s="63">
        <f>Ustawienia!$A$15&amp;""</f>
        <v/>
      </c>
      <c r="D175" s="63" t="n">
        <v>6</v>
      </c>
      <c r="E175" s="63">
        <f>IF('3'!B18="","",TRIM('3'!B18&amp;""))</f>
        <v/>
      </c>
      <c r="F175" s="63">
        <f>IF('3'!C18="","",'3'!C18)</f>
        <v/>
      </c>
      <c r="G175" s="63">
        <f>'3'!D18&amp;""</f>
        <v/>
      </c>
      <c r="H175" s="63">
        <f>IF(OR(A175="",F175=""),"",F175&amp;"|"&amp;A175)</f>
        <v/>
      </c>
      <c r="I175" s="63">
        <f>IF(AND(H175&lt;&gt;"",OR('Historia wózka'!$B$4="",F175='Historia wózka'!$B$4),A175&gt;='Historia wózka'!$B$5,A175&lt;='Historia wózka'!$B$6),A175+0.9+(5000-ROW())/10000000,0)</f>
        <v/>
      </c>
      <c r="J175" s="63">
        <f>Ustawienia!$B$8&amp;""</f>
        <v/>
      </c>
      <c r="K175" s="63">
        <f>IF(H175="","",COUNTIFS('Zgłoszenia'!$B$5:$B$504,F175,'Zgłoszenia'!$D$5:$D$504,"&gt;="&amp;A175,'Zgłoszenia'!$D$5:$D$504,"&lt;="&amp;(A175+1)))</f>
        <v/>
      </c>
      <c r="L175" s="63">
        <f>IF(OR(H175="",K175=0),"—",IF(ISNUMBER(MATCH(H175,'Zgłoszenia'!$S$5:$S$504,0)),RIGHT("0"&amp;DAY(A175),2)&amp;"."&amp;RIGHT("0"&amp;MONTH(A175),2)&amp;"."&amp;YEAR(A175)&amp;": "&amp;INDEX('Zgłoszenia'!$H$5:$H$504,MATCH(H175,'Zgłoszenia'!$S$5:$S$504,0)),RIGHT("0"&amp;DAY((A175+1)),2)&amp;"."&amp;RIGHT("0"&amp;MONTH((A175+1)),2)&amp;"."&amp;YEAR((A175+1))&amp;": "&amp;INDEX('Zgłoszenia'!$H$5:$H$504,MATCH(F175&amp;"|"&amp;(A175+1),'Zgłoszenia'!$S$5:$S$504,0)))&amp;IF(K175&gt;1," (+"&amp;(K175-1)&amp;")",""))</f>
        <v/>
      </c>
      <c r="M175" s="63" t="n">
        <v>3</v>
      </c>
      <c r="N175" s="2" t="n"/>
      <c r="O175" s="2" t="n"/>
    </row>
    <row r="176">
      <c r="A176" s="62">
        <f>IF('3'!$C$1="","",'3'!$C$1)</f>
        <v/>
      </c>
      <c r="B176" s="63">
        <f>Ustawienia!$A$8&amp;""</f>
        <v/>
      </c>
      <c r="C176" s="63">
        <f>Ustawienia!$A$15&amp;""</f>
        <v/>
      </c>
      <c r="D176" s="63" t="n">
        <v>7</v>
      </c>
      <c r="E176" s="63">
        <f>IF('3'!B19="","",TRIM('3'!B19&amp;""))</f>
        <v/>
      </c>
      <c r="F176" s="63">
        <f>IF('3'!C19="","",'3'!C19)</f>
        <v/>
      </c>
      <c r="G176" s="63">
        <f>'3'!D19&amp;""</f>
        <v/>
      </c>
      <c r="H176" s="63">
        <f>IF(OR(A176="",F176=""),"",F176&amp;"|"&amp;A176)</f>
        <v/>
      </c>
      <c r="I176" s="63">
        <f>IF(AND(H176&lt;&gt;"",OR('Historia wózka'!$B$4="",F176='Historia wózka'!$B$4),A176&gt;='Historia wózka'!$B$5,A176&lt;='Historia wózka'!$B$6),A176+0.9+(5000-ROW())/10000000,0)</f>
        <v/>
      </c>
      <c r="J176" s="63">
        <f>Ustawienia!$B$8&amp;""</f>
        <v/>
      </c>
      <c r="K176" s="63">
        <f>IF(H176="","",COUNTIFS('Zgłoszenia'!$B$5:$B$504,F176,'Zgłoszenia'!$D$5:$D$504,"&gt;="&amp;A176,'Zgłoszenia'!$D$5:$D$504,"&lt;="&amp;(A176+1)))</f>
        <v/>
      </c>
      <c r="L176" s="63">
        <f>IF(OR(H176="",K176=0),"—",IF(ISNUMBER(MATCH(H176,'Zgłoszenia'!$S$5:$S$504,0)),RIGHT("0"&amp;DAY(A176),2)&amp;"."&amp;RIGHT("0"&amp;MONTH(A176),2)&amp;"."&amp;YEAR(A176)&amp;": "&amp;INDEX('Zgłoszenia'!$H$5:$H$504,MATCH(H176,'Zgłoszenia'!$S$5:$S$504,0)),RIGHT("0"&amp;DAY((A176+1)),2)&amp;"."&amp;RIGHT("0"&amp;MONTH((A176+1)),2)&amp;"."&amp;YEAR((A176+1))&amp;": "&amp;INDEX('Zgłoszenia'!$H$5:$H$504,MATCH(F176&amp;"|"&amp;(A176+1),'Zgłoszenia'!$S$5:$S$504,0)))&amp;IF(K176&gt;1," (+"&amp;(K176-1)&amp;")",""))</f>
        <v/>
      </c>
      <c r="M176" s="63" t="n">
        <v>3</v>
      </c>
      <c r="N176" s="2" t="n"/>
      <c r="O176" s="2" t="n"/>
    </row>
    <row r="177">
      <c r="A177" s="62">
        <f>IF('3'!$C$1="","",'3'!$C$1)</f>
        <v/>
      </c>
      <c r="B177" s="63">
        <f>Ustawienia!$A$8&amp;""</f>
        <v/>
      </c>
      <c r="C177" s="63">
        <f>Ustawienia!$A$15&amp;""</f>
        <v/>
      </c>
      <c r="D177" s="63" t="n">
        <v>8</v>
      </c>
      <c r="E177" s="63">
        <f>IF('3'!B20="","",TRIM('3'!B20&amp;""))</f>
        <v/>
      </c>
      <c r="F177" s="63">
        <f>IF('3'!C20="","",'3'!C20)</f>
        <v/>
      </c>
      <c r="G177" s="63">
        <f>'3'!D20&amp;""</f>
        <v/>
      </c>
      <c r="H177" s="63">
        <f>IF(OR(A177="",F177=""),"",F177&amp;"|"&amp;A177)</f>
        <v/>
      </c>
      <c r="I177" s="63">
        <f>IF(AND(H177&lt;&gt;"",OR('Historia wózka'!$B$4="",F177='Historia wózka'!$B$4),A177&gt;='Historia wózka'!$B$5,A177&lt;='Historia wózka'!$B$6),A177+0.9+(5000-ROW())/10000000,0)</f>
        <v/>
      </c>
      <c r="J177" s="63">
        <f>Ustawienia!$B$8&amp;""</f>
        <v/>
      </c>
      <c r="K177" s="63">
        <f>IF(H177="","",COUNTIFS('Zgłoszenia'!$B$5:$B$504,F177,'Zgłoszenia'!$D$5:$D$504,"&gt;="&amp;A177,'Zgłoszenia'!$D$5:$D$504,"&lt;="&amp;(A177+1)))</f>
        <v/>
      </c>
      <c r="L177" s="63">
        <f>IF(OR(H177="",K177=0),"—",IF(ISNUMBER(MATCH(H177,'Zgłoszenia'!$S$5:$S$504,0)),RIGHT("0"&amp;DAY(A177),2)&amp;"."&amp;RIGHT("0"&amp;MONTH(A177),2)&amp;"."&amp;YEAR(A177)&amp;": "&amp;INDEX('Zgłoszenia'!$H$5:$H$504,MATCH(H177,'Zgłoszenia'!$S$5:$S$504,0)),RIGHT("0"&amp;DAY((A177+1)),2)&amp;"."&amp;RIGHT("0"&amp;MONTH((A177+1)),2)&amp;"."&amp;YEAR((A177+1))&amp;": "&amp;INDEX('Zgłoszenia'!$H$5:$H$504,MATCH(F177&amp;"|"&amp;(A177+1),'Zgłoszenia'!$S$5:$S$504,0)))&amp;IF(K177&gt;1," (+"&amp;(K177-1)&amp;")",""))</f>
        <v/>
      </c>
      <c r="M177" s="63" t="n">
        <v>3</v>
      </c>
      <c r="N177" s="2" t="n"/>
      <c r="O177" s="2" t="n"/>
    </row>
    <row r="178">
      <c r="A178" s="62">
        <f>IF('3'!$C$1="","",'3'!$C$1)</f>
        <v/>
      </c>
      <c r="B178" s="63">
        <f>Ustawienia!$A$8&amp;""</f>
        <v/>
      </c>
      <c r="C178" s="63">
        <f>Ustawienia!$A$16&amp;""</f>
        <v/>
      </c>
      <c r="D178" s="63" t="n">
        <v>1</v>
      </c>
      <c r="E178" s="63">
        <f>IF('3'!B22="","",TRIM('3'!B22&amp;""))</f>
        <v/>
      </c>
      <c r="F178" s="63">
        <f>IF('3'!C22="","",'3'!C22)</f>
        <v/>
      </c>
      <c r="G178" s="63">
        <f>'3'!D22&amp;""</f>
        <v/>
      </c>
      <c r="H178" s="63">
        <f>IF(OR(A178="",F178=""),"",F178&amp;"|"&amp;A178)</f>
        <v/>
      </c>
      <c r="I178" s="63">
        <f>IF(AND(H178&lt;&gt;"",OR('Historia wózka'!$B$4="",F178='Historia wózka'!$B$4),A178&gt;='Historia wózka'!$B$5,A178&lt;='Historia wózka'!$B$6),A178+0.9+(5000-ROW())/10000000,0)</f>
        <v/>
      </c>
      <c r="J178" s="63">
        <f>Ustawienia!$B$8&amp;""</f>
        <v/>
      </c>
      <c r="K178" s="63">
        <f>IF(H178="","",COUNTIFS('Zgłoszenia'!$B$5:$B$504,F178,'Zgłoszenia'!$D$5:$D$504,"&gt;="&amp;A178,'Zgłoszenia'!$D$5:$D$504,"&lt;="&amp;(A178+1)))</f>
        <v/>
      </c>
      <c r="L178" s="63">
        <f>IF(OR(H178="",K178=0),"—",IF(ISNUMBER(MATCH(H178,'Zgłoszenia'!$S$5:$S$504,0)),RIGHT("0"&amp;DAY(A178),2)&amp;"."&amp;RIGHT("0"&amp;MONTH(A178),2)&amp;"."&amp;YEAR(A178)&amp;": "&amp;INDEX('Zgłoszenia'!$H$5:$H$504,MATCH(H178,'Zgłoszenia'!$S$5:$S$504,0)),RIGHT("0"&amp;DAY((A178+1)),2)&amp;"."&amp;RIGHT("0"&amp;MONTH((A178+1)),2)&amp;"."&amp;YEAR((A178+1))&amp;": "&amp;INDEX('Zgłoszenia'!$H$5:$H$504,MATCH(F178&amp;"|"&amp;(A178+1),'Zgłoszenia'!$S$5:$S$504,0)))&amp;IF(K178&gt;1," (+"&amp;(K178-1)&amp;")",""))</f>
        <v/>
      </c>
      <c r="M178" s="63" t="n">
        <v>3</v>
      </c>
      <c r="N178" s="2" t="n"/>
      <c r="O178" s="2" t="n"/>
    </row>
    <row r="179">
      <c r="A179" s="62">
        <f>IF('3'!$C$1="","",'3'!$C$1)</f>
        <v/>
      </c>
      <c r="B179" s="63">
        <f>Ustawienia!$A$8&amp;""</f>
        <v/>
      </c>
      <c r="C179" s="63">
        <f>Ustawienia!$A$16&amp;""</f>
        <v/>
      </c>
      <c r="D179" s="63" t="n">
        <v>2</v>
      </c>
      <c r="E179" s="63">
        <f>IF('3'!B23="","",TRIM('3'!B23&amp;""))</f>
        <v/>
      </c>
      <c r="F179" s="63">
        <f>IF('3'!C23="","",'3'!C23)</f>
        <v/>
      </c>
      <c r="G179" s="63">
        <f>'3'!D23&amp;""</f>
        <v/>
      </c>
      <c r="H179" s="63">
        <f>IF(OR(A179="",F179=""),"",F179&amp;"|"&amp;A179)</f>
        <v/>
      </c>
      <c r="I179" s="63">
        <f>IF(AND(H179&lt;&gt;"",OR('Historia wózka'!$B$4="",F179='Historia wózka'!$B$4),A179&gt;='Historia wózka'!$B$5,A179&lt;='Historia wózka'!$B$6),A179+0.9+(5000-ROW())/10000000,0)</f>
        <v/>
      </c>
      <c r="J179" s="63">
        <f>Ustawienia!$B$8&amp;""</f>
        <v/>
      </c>
      <c r="K179" s="63">
        <f>IF(H179="","",COUNTIFS('Zgłoszenia'!$B$5:$B$504,F179,'Zgłoszenia'!$D$5:$D$504,"&gt;="&amp;A179,'Zgłoszenia'!$D$5:$D$504,"&lt;="&amp;(A179+1)))</f>
        <v/>
      </c>
      <c r="L179" s="63">
        <f>IF(OR(H179="",K179=0),"—",IF(ISNUMBER(MATCH(H179,'Zgłoszenia'!$S$5:$S$504,0)),RIGHT("0"&amp;DAY(A179),2)&amp;"."&amp;RIGHT("0"&amp;MONTH(A179),2)&amp;"."&amp;YEAR(A179)&amp;": "&amp;INDEX('Zgłoszenia'!$H$5:$H$504,MATCH(H179,'Zgłoszenia'!$S$5:$S$504,0)),RIGHT("0"&amp;DAY((A179+1)),2)&amp;"."&amp;RIGHT("0"&amp;MONTH((A179+1)),2)&amp;"."&amp;YEAR((A179+1))&amp;": "&amp;INDEX('Zgłoszenia'!$H$5:$H$504,MATCH(F179&amp;"|"&amp;(A179+1),'Zgłoszenia'!$S$5:$S$504,0)))&amp;IF(K179&gt;1," (+"&amp;(K179-1)&amp;")",""))</f>
        <v/>
      </c>
      <c r="M179" s="63" t="n">
        <v>3</v>
      </c>
      <c r="N179" s="2" t="n"/>
      <c r="O179" s="2" t="n"/>
    </row>
    <row r="180">
      <c r="A180" s="62">
        <f>IF('3'!$C$1="","",'3'!$C$1)</f>
        <v/>
      </c>
      <c r="B180" s="63">
        <f>Ustawienia!$A$8&amp;""</f>
        <v/>
      </c>
      <c r="C180" s="63">
        <f>Ustawienia!$A$16&amp;""</f>
        <v/>
      </c>
      <c r="D180" s="63" t="n">
        <v>3</v>
      </c>
      <c r="E180" s="63">
        <f>IF('3'!B24="","",TRIM('3'!B24&amp;""))</f>
        <v/>
      </c>
      <c r="F180" s="63">
        <f>IF('3'!C24="","",'3'!C24)</f>
        <v/>
      </c>
      <c r="G180" s="63">
        <f>'3'!D24&amp;""</f>
        <v/>
      </c>
      <c r="H180" s="63">
        <f>IF(OR(A180="",F180=""),"",F180&amp;"|"&amp;A180)</f>
        <v/>
      </c>
      <c r="I180" s="63">
        <f>IF(AND(H180&lt;&gt;"",OR('Historia wózka'!$B$4="",F180='Historia wózka'!$B$4),A180&gt;='Historia wózka'!$B$5,A180&lt;='Historia wózka'!$B$6),A180+0.9+(5000-ROW())/10000000,0)</f>
        <v/>
      </c>
      <c r="J180" s="63">
        <f>Ustawienia!$B$8&amp;""</f>
        <v/>
      </c>
      <c r="K180" s="63">
        <f>IF(H180="","",COUNTIFS('Zgłoszenia'!$B$5:$B$504,F180,'Zgłoszenia'!$D$5:$D$504,"&gt;="&amp;A180,'Zgłoszenia'!$D$5:$D$504,"&lt;="&amp;(A180+1)))</f>
        <v/>
      </c>
      <c r="L180" s="63">
        <f>IF(OR(H180="",K180=0),"—",IF(ISNUMBER(MATCH(H180,'Zgłoszenia'!$S$5:$S$504,0)),RIGHT("0"&amp;DAY(A180),2)&amp;"."&amp;RIGHT("0"&amp;MONTH(A180),2)&amp;"."&amp;YEAR(A180)&amp;": "&amp;INDEX('Zgłoszenia'!$H$5:$H$504,MATCH(H180,'Zgłoszenia'!$S$5:$S$504,0)),RIGHT("0"&amp;DAY((A180+1)),2)&amp;"."&amp;RIGHT("0"&amp;MONTH((A180+1)),2)&amp;"."&amp;YEAR((A180+1))&amp;": "&amp;INDEX('Zgłoszenia'!$H$5:$H$504,MATCH(F180&amp;"|"&amp;(A180+1),'Zgłoszenia'!$S$5:$S$504,0)))&amp;IF(K180&gt;1," (+"&amp;(K180-1)&amp;")",""))</f>
        <v/>
      </c>
      <c r="M180" s="63" t="n">
        <v>3</v>
      </c>
      <c r="N180" s="2" t="n"/>
      <c r="O180" s="2" t="n"/>
    </row>
    <row r="181">
      <c r="A181" s="62">
        <f>IF('3'!$C$1="","",'3'!$C$1)</f>
        <v/>
      </c>
      <c r="B181" s="63">
        <f>Ustawienia!$A$8&amp;""</f>
        <v/>
      </c>
      <c r="C181" s="63">
        <f>Ustawienia!$A$16&amp;""</f>
        <v/>
      </c>
      <c r="D181" s="63" t="n">
        <v>4</v>
      </c>
      <c r="E181" s="63">
        <f>IF('3'!B25="","",TRIM('3'!B25&amp;""))</f>
        <v/>
      </c>
      <c r="F181" s="63">
        <f>IF('3'!C25="","",'3'!C25)</f>
        <v/>
      </c>
      <c r="G181" s="63">
        <f>'3'!D25&amp;""</f>
        <v/>
      </c>
      <c r="H181" s="63">
        <f>IF(OR(A181="",F181=""),"",F181&amp;"|"&amp;A181)</f>
        <v/>
      </c>
      <c r="I181" s="63">
        <f>IF(AND(H181&lt;&gt;"",OR('Historia wózka'!$B$4="",F181='Historia wózka'!$B$4),A181&gt;='Historia wózka'!$B$5,A181&lt;='Historia wózka'!$B$6),A181+0.9+(5000-ROW())/10000000,0)</f>
        <v/>
      </c>
      <c r="J181" s="63">
        <f>Ustawienia!$B$8&amp;""</f>
        <v/>
      </c>
      <c r="K181" s="63">
        <f>IF(H181="","",COUNTIFS('Zgłoszenia'!$B$5:$B$504,F181,'Zgłoszenia'!$D$5:$D$504,"&gt;="&amp;A181,'Zgłoszenia'!$D$5:$D$504,"&lt;="&amp;(A181+1)))</f>
        <v/>
      </c>
      <c r="L181" s="63">
        <f>IF(OR(H181="",K181=0),"—",IF(ISNUMBER(MATCH(H181,'Zgłoszenia'!$S$5:$S$504,0)),RIGHT("0"&amp;DAY(A181),2)&amp;"."&amp;RIGHT("0"&amp;MONTH(A181),2)&amp;"."&amp;YEAR(A181)&amp;": "&amp;INDEX('Zgłoszenia'!$H$5:$H$504,MATCH(H181,'Zgłoszenia'!$S$5:$S$504,0)),RIGHT("0"&amp;DAY((A181+1)),2)&amp;"."&amp;RIGHT("0"&amp;MONTH((A181+1)),2)&amp;"."&amp;YEAR((A181+1))&amp;": "&amp;INDEX('Zgłoszenia'!$H$5:$H$504,MATCH(F181&amp;"|"&amp;(A181+1),'Zgłoszenia'!$S$5:$S$504,0)))&amp;IF(K181&gt;1," (+"&amp;(K181-1)&amp;")",""))</f>
        <v/>
      </c>
      <c r="M181" s="63" t="n">
        <v>3</v>
      </c>
      <c r="N181" s="2" t="n"/>
      <c r="O181" s="2" t="n"/>
    </row>
    <row r="182">
      <c r="A182" s="62">
        <f>IF('3'!$C$1="","",'3'!$C$1)</f>
        <v/>
      </c>
      <c r="B182" s="63">
        <f>Ustawienia!$A$8&amp;""</f>
        <v/>
      </c>
      <c r="C182" s="63">
        <f>Ustawienia!$A$17&amp;""</f>
        <v/>
      </c>
      <c r="D182" s="63" t="n">
        <v>1</v>
      </c>
      <c r="E182" s="63">
        <f>IF('3'!B27="","",TRIM('3'!B27&amp;""))</f>
        <v/>
      </c>
      <c r="F182" s="63">
        <f>IF('3'!C27="","",'3'!C27)</f>
        <v/>
      </c>
      <c r="G182" s="63">
        <f>'3'!D27&amp;""</f>
        <v/>
      </c>
      <c r="H182" s="63">
        <f>IF(OR(A182="",F182=""),"",F182&amp;"|"&amp;A182)</f>
        <v/>
      </c>
      <c r="I182" s="63">
        <f>IF(AND(H182&lt;&gt;"",OR('Historia wózka'!$B$4="",F182='Historia wózka'!$B$4),A182&gt;='Historia wózka'!$B$5,A182&lt;='Historia wózka'!$B$6),A182+0.9+(5000-ROW())/10000000,0)</f>
        <v/>
      </c>
      <c r="J182" s="63">
        <f>Ustawienia!$B$8&amp;""</f>
        <v/>
      </c>
      <c r="K182" s="63">
        <f>IF(H182="","",COUNTIFS('Zgłoszenia'!$B$5:$B$504,F182,'Zgłoszenia'!$D$5:$D$504,"&gt;="&amp;A182,'Zgłoszenia'!$D$5:$D$504,"&lt;="&amp;(A182+1)))</f>
        <v/>
      </c>
      <c r="L182" s="63">
        <f>IF(OR(H182="",K182=0),"—",IF(ISNUMBER(MATCH(H182,'Zgłoszenia'!$S$5:$S$504,0)),RIGHT("0"&amp;DAY(A182),2)&amp;"."&amp;RIGHT("0"&amp;MONTH(A182),2)&amp;"."&amp;YEAR(A182)&amp;": "&amp;INDEX('Zgłoszenia'!$H$5:$H$504,MATCH(H182,'Zgłoszenia'!$S$5:$S$504,0)),RIGHT("0"&amp;DAY((A182+1)),2)&amp;"."&amp;RIGHT("0"&amp;MONTH((A182+1)),2)&amp;"."&amp;YEAR((A182+1))&amp;": "&amp;INDEX('Zgłoszenia'!$H$5:$H$504,MATCH(F182&amp;"|"&amp;(A182+1),'Zgłoszenia'!$S$5:$S$504,0)))&amp;IF(K182&gt;1," (+"&amp;(K182-1)&amp;")",""))</f>
        <v/>
      </c>
      <c r="M182" s="63" t="n">
        <v>3</v>
      </c>
      <c r="N182" s="2" t="n"/>
      <c r="O182" s="2" t="n"/>
    </row>
    <row r="183">
      <c r="A183" s="62">
        <f>IF('3'!$C$1="","",'3'!$C$1)</f>
        <v/>
      </c>
      <c r="B183" s="63">
        <f>Ustawienia!$A$8&amp;""</f>
        <v/>
      </c>
      <c r="C183" s="63">
        <f>Ustawienia!$A$17&amp;""</f>
        <v/>
      </c>
      <c r="D183" s="63" t="n">
        <v>2</v>
      </c>
      <c r="E183" s="63">
        <f>IF('3'!B28="","",TRIM('3'!B28&amp;""))</f>
        <v/>
      </c>
      <c r="F183" s="63">
        <f>IF('3'!C28="","",'3'!C28)</f>
        <v/>
      </c>
      <c r="G183" s="63">
        <f>'3'!D28&amp;""</f>
        <v/>
      </c>
      <c r="H183" s="63">
        <f>IF(OR(A183="",F183=""),"",F183&amp;"|"&amp;A183)</f>
        <v/>
      </c>
      <c r="I183" s="63">
        <f>IF(AND(H183&lt;&gt;"",OR('Historia wózka'!$B$4="",F183='Historia wózka'!$B$4),A183&gt;='Historia wózka'!$B$5,A183&lt;='Historia wózka'!$B$6),A183+0.9+(5000-ROW())/10000000,0)</f>
        <v/>
      </c>
      <c r="J183" s="63">
        <f>Ustawienia!$B$8&amp;""</f>
        <v/>
      </c>
      <c r="K183" s="63">
        <f>IF(H183="","",COUNTIFS('Zgłoszenia'!$B$5:$B$504,F183,'Zgłoszenia'!$D$5:$D$504,"&gt;="&amp;A183,'Zgłoszenia'!$D$5:$D$504,"&lt;="&amp;(A183+1)))</f>
        <v/>
      </c>
      <c r="L183" s="63">
        <f>IF(OR(H183="",K183=0),"—",IF(ISNUMBER(MATCH(H183,'Zgłoszenia'!$S$5:$S$504,0)),RIGHT("0"&amp;DAY(A183),2)&amp;"."&amp;RIGHT("0"&amp;MONTH(A183),2)&amp;"."&amp;YEAR(A183)&amp;": "&amp;INDEX('Zgłoszenia'!$H$5:$H$504,MATCH(H183,'Zgłoszenia'!$S$5:$S$504,0)),RIGHT("0"&amp;DAY((A183+1)),2)&amp;"."&amp;RIGHT("0"&amp;MONTH((A183+1)),2)&amp;"."&amp;YEAR((A183+1))&amp;": "&amp;INDEX('Zgłoszenia'!$H$5:$H$504,MATCH(F183&amp;"|"&amp;(A183+1),'Zgłoszenia'!$S$5:$S$504,0)))&amp;IF(K183&gt;1," (+"&amp;(K183-1)&amp;")",""))</f>
        <v/>
      </c>
      <c r="M183" s="63" t="n">
        <v>3</v>
      </c>
      <c r="N183" s="2" t="n"/>
      <c r="O183" s="2" t="n"/>
    </row>
    <row r="184">
      <c r="A184" s="62">
        <f>IF('3'!$C$1="","",'3'!$C$1)</f>
        <v/>
      </c>
      <c r="B184" s="63">
        <f>Ustawienia!$A$8&amp;""</f>
        <v/>
      </c>
      <c r="C184" s="63">
        <f>Ustawienia!$A$17&amp;""</f>
        <v/>
      </c>
      <c r="D184" s="63" t="n">
        <v>3</v>
      </c>
      <c r="E184" s="63">
        <f>IF('3'!B29="","",TRIM('3'!B29&amp;""))</f>
        <v/>
      </c>
      <c r="F184" s="63">
        <f>IF('3'!C29="","",'3'!C29)</f>
        <v/>
      </c>
      <c r="G184" s="63">
        <f>'3'!D29&amp;""</f>
        <v/>
      </c>
      <c r="H184" s="63">
        <f>IF(OR(A184="",F184=""),"",F184&amp;"|"&amp;A184)</f>
        <v/>
      </c>
      <c r="I184" s="63">
        <f>IF(AND(H184&lt;&gt;"",OR('Historia wózka'!$B$4="",F184='Historia wózka'!$B$4),A184&gt;='Historia wózka'!$B$5,A184&lt;='Historia wózka'!$B$6),A184+0.9+(5000-ROW())/10000000,0)</f>
        <v/>
      </c>
      <c r="J184" s="63">
        <f>Ustawienia!$B$8&amp;""</f>
        <v/>
      </c>
      <c r="K184" s="63">
        <f>IF(H184="","",COUNTIFS('Zgłoszenia'!$B$5:$B$504,F184,'Zgłoszenia'!$D$5:$D$504,"&gt;="&amp;A184,'Zgłoszenia'!$D$5:$D$504,"&lt;="&amp;(A184+1)))</f>
        <v/>
      </c>
      <c r="L184" s="63">
        <f>IF(OR(H184="",K184=0),"—",IF(ISNUMBER(MATCH(H184,'Zgłoszenia'!$S$5:$S$504,0)),RIGHT("0"&amp;DAY(A184),2)&amp;"."&amp;RIGHT("0"&amp;MONTH(A184),2)&amp;"."&amp;YEAR(A184)&amp;": "&amp;INDEX('Zgłoszenia'!$H$5:$H$504,MATCH(H184,'Zgłoszenia'!$S$5:$S$504,0)),RIGHT("0"&amp;DAY((A184+1)),2)&amp;"."&amp;RIGHT("0"&amp;MONTH((A184+1)),2)&amp;"."&amp;YEAR((A184+1))&amp;": "&amp;INDEX('Zgłoszenia'!$H$5:$H$504,MATCH(F184&amp;"|"&amp;(A184+1),'Zgłoszenia'!$S$5:$S$504,0)))&amp;IF(K184&gt;1," (+"&amp;(K184-1)&amp;")",""))</f>
        <v/>
      </c>
      <c r="M184" s="63" t="n">
        <v>3</v>
      </c>
      <c r="N184" s="2" t="n"/>
      <c r="O184" s="2" t="n"/>
    </row>
    <row r="185">
      <c r="A185" s="62">
        <f>IF('3'!$C$1="","",'3'!$C$1)</f>
        <v/>
      </c>
      <c r="B185" s="63">
        <f>Ustawienia!$A$8&amp;""</f>
        <v/>
      </c>
      <c r="C185" s="63">
        <f>Ustawienia!$A$17&amp;""</f>
        <v/>
      </c>
      <c r="D185" s="63" t="n">
        <v>4</v>
      </c>
      <c r="E185" s="63">
        <f>IF('3'!B30="","",TRIM('3'!B30&amp;""))</f>
        <v/>
      </c>
      <c r="F185" s="63">
        <f>IF('3'!C30="","",'3'!C30)</f>
        <v/>
      </c>
      <c r="G185" s="63">
        <f>'3'!D30&amp;""</f>
        <v/>
      </c>
      <c r="H185" s="63">
        <f>IF(OR(A185="",F185=""),"",F185&amp;"|"&amp;A185)</f>
        <v/>
      </c>
      <c r="I185" s="63">
        <f>IF(AND(H185&lt;&gt;"",OR('Historia wózka'!$B$4="",F185='Historia wózka'!$B$4),A185&gt;='Historia wózka'!$B$5,A185&lt;='Historia wózka'!$B$6),A185+0.9+(5000-ROW())/10000000,0)</f>
        <v/>
      </c>
      <c r="J185" s="63">
        <f>Ustawienia!$B$8&amp;""</f>
        <v/>
      </c>
      <c r="K185" s="63">
        <f>IF(H185="","",COUNTIFS('Zgłoszenia'!$B$5:$B$504,F185,'Zgłoszenia'!$D$5:$D$504,"&gt;="&amp;A185,'Zgłoszenia'!$D$5:$D$504,"&lt;="&amp;(A185+1)))</f>
        <v/>
      </c>
      <c r="L185" s="63">
        <f>IF(OR(H185="",K185=0),"—",IF(ISNUMBER(MATCH(H185,'Zgłoszenia'!$S$5:$S$504,0)),RIGHT("0"&amp;DAY(A185),2)&amp;"."&amp;RIGHT("0"&amp;MONTH(A185),2)&amp;"."&amp;YEAR(A185)&amp;": "&amp;INDEX('Zgłoszenia'!$H$5:$H$504,MATCH(H185,'Zgłoszenia'!$S$5:$S$504,0)),RIGHT("0"&amp;DAY((A185+1)),2)&amp;"."&amp;RIGHT("0"&amp;MONTH((A185+1)),2)&amp;"."&amp;YEAR((A185+1))&amp;": "&amp;INDEX('Zgłoszenia'!$H$5:$H$504,MATCH(F185&amp;"|"&amp;(A185+1),'Zgłoszenia'!$S$5:$S$504,0)))&amp;IF(K185&gt;1," (+"&amp;(K185-1)&amp;")",""))</f>
        <v/>
      </c>
      <c r="M185" s="63" t="n">
        <v>3</v>
      </c>
      <c r="N185" s="2" t="n"/>
      <c r="O185" s="2" t="n"/>
    </row>
    <row r="186">
      <c r="A186" s="62">
        <f>IF('3'!$C$1="","",'3'!$C$1)</f>
        <v/>
      </c>
      <c r="B186" s="63">
        <f>Ustawienia!$A$8&amp;""</f>
        <v/>
      </c>
      <c r="C186" s="63">
        <f>Ustawienia!$A$18&amp;""</f>
        <v/>
      </c>
      <c r="D186" s="63" t="n">
        <v>1</v>
      </c>
      <c r="E186" s="63">
        <f>IF('3'!B32="","",TRIM('3'!B32&amp;""))</f>
        <v/>
      </c>
      <c r="F186" s="63">
        <f>IF('3'!C32="","",'3'!C32)</f>
        <v/>
      </c>
      <c r="G186" s="63">
        <f>'3'!D32&amp;""</f>
        <v/>
      </c>
      <c r="H186" s="63">
        <f>IF(OR(A186="",F186=""),"",F186&amp;"|"&amp;A186)</f>
        <v/>
      </c>
      <c r="I186" s="63">
        <f>IF(AND(H186&lt;&gt;"",OR('Historia wózka'!$B$4="",F186='Historia wózka'!$B$4),A186&gt;='Historia wózka'!$B$5,A186&lt;='Historia wózka'!$B$6),A186+0.9+(5000-ROW())/10000000,0)</f>
        <v/>
      </c>
      <c r="J186" s="63">
        <f>Ustawienia!$B$8&amp;""</f>
        <v/>
      </c>
      <c r="K186" s="63">
        <f>IF(H186="","",COUNTIFS('Zgłoszenia'!$B$5:$B$504,F186,'Zgłoszenia'!$D$5:$D$504,"&gt;="&amp;A186,'Zgłoszenia'!$D$5:$D$504,"&lt;="&amp;(A186+1)))</f>
        <v/>
      </c>
      <c r="L186" s="63">
        <f>IF(OR(H186="",K186=0),"—",IF(ISNUMBER(MATCH(H186,'Zgłoszenia'!$S$5:$S$504,0)),RIGHT("0"&amp;DAY(A186),2)&amp;"."&amp;RIGHT("0"&amp;MONTH(A186),2)&amp;"."&amp;YEAR(A186)&amp;": "&amp;INDEX('Zgłoszenia'!$H$5:$H$504,MATCH(H186,'Zgłoszenia'!$S$5:$S$504,0)),RIGHT("0"&amp;DAY((A186+1)),2)&amp;"."&amp;RIGHT("0"&amp;MONTH((A186+1)),2)&amp;"."&amp;YEAR((A186+1))&amp;": "&amp;INDEX('Zgłoszenia'!$H$5:$H$504,MATCH(F186&amp;"|"&amp;(A186+1),'Zgłoszenia'!$S$5:$S$504,0)))&amp;IF(K186&gt;1," (+"&amp;(K186-1)&amp;")",""))</f>
        <v/>
      </c>
      <c r="M186" s="63" t="n">
        <v>3</v>
      </c>
      <c r="N186" s="2" t="n"/>
      <c r="O186" s="2" t="n"/>
    </row>
    <row r="187">
      <c r="A187" s="62">
        <f>IF('3'!$C$1="","",'3'!$C$1)</f>
        <v/>
      </c>
      <c r="B187" s="63">
        <f>Ustawienia!$A$8&amp;""</f>
        <v/>
      </c>
      <c r="C187" s="63">
        <f>Ustawienia!$A$18&amp;""</f>
        <v/>
      </c>
      <c r="D187" s="63" t="n">
        <v>2</v>
      </c>
      <c r="E187" s="63">
        <f>IF('3'!B33="","",TRIM('3'!B33&amp;""))</f>
        <v/>
      </c>
      <c r="F187" s="63">
        <f>IF('3'!C33="","",'3'!C33)</f>
        <v/>
      </c>
      <c r="G187" s="63">
        <f>'3'!D33&amp;""</f>
        <v/>
      </c>
      <c r="H187" s="63">
        <f>IF(OR(A187="",F187=""),"",F187&amp;"|"&amp;A187)</f>
        <v/>
      </c>
      <c r="I187" s="63">
        <f>IF(AND(H187&lt;&gt;"",OR('Historia wózka'!$B$4="",F187='Historia wózka'!$B$4),A187&gt;='Historia wózka'!$B$5,A187&lt;='Historia wózka'!$B$6),A187+0.9+(5000-ROW())/10000000,0)</f>
        <v/>
      </c>
      <c r="J187" s="63">
        <f>Ustawienia!$B$8&amp;""</f>
        <v/>
      </c>
      <c r="K187" s="63">
        <f>IF(H187="","",COUNTIFS('Zgłoszenia'!$B$5:$B$504,F187,'Zgłoszenia'!$D$5:$D$504,"&gt;="&amp;A187,'Zgłoszenia'!$D$5:$D$504,"&lt;="&amp;(A187+1)))</f>
        <v/>
      </c>
      <c r="L187" s="63">
        <f>IF(OR(H187="",K187=0),"—",IF(ISNUMBER(MATCH(H187,'Zgłoszenia'!$S$5:$S$504,0)),RIGHT("0"&amp;DAY(A187),2)&amp;"."&amp;RIGHT("0"&amp;MONTH(A187),2)&amp;"."&amp;YEAR(A187)&amp;": "&amp;INDEX('Zgłoszenia'!$H$5:$H$504,MATCH(H187,'Zgłoszenia'!$S$5:$S$504,0)),RIGHT("0"&amp;DAY((A187+1)),2)&amp;"."&amp;RIGHT("0"&amp;MONTH((A187+1)),2)&amp;"."&amp;YEAR((A187+1))&amp;": "&amp;INDEX('Zgłoszenia'!$H$5:$H$504,MATCH(F187&amp;"|"&amp;(A187+1),'Zgłoszenia'!$S$5:$S$504,0)))&amp;IF(K187&gt;1," (+"&amp;(K187-1)&amp;")",""))</f>
        <v/>
      </c>
      <c r="M187" s="63" t="n">
        <v>3</v>
      </c>
      <c r="N187" s="2" t="n"/>
      <c r="O187" s="2" t="n"/>
    </row>
    <row r="188">
      <c r="A188" s="62">
        <f>IF('3'!$C$1="","",'3'!$C$1)</f>
        <v/>
      </c>
      <c r="B188" s="63">
        <f>Ustawienia!$A$8&amp;""</f>
        <v/>
      </c>
      <c r="C188" s="63">
        <f>Ustawienia!$A$18&amp;""</f>
        <v/>
      </c>
      <c r="D188" s="63" t="n">
        <v>3</v>
      </c>
      <c r="E188" s="63">
        <f>IF('3'!B34="","",TRIM('3'!B34&amp;""))</f>
        <v/>
      </c>
      <c r="F188" s="63">
        <f>IF('3'!C34="","",'3'!C34)</f>
        <v/>
      </c>
      <c r="G188" s="63">
        <f>'3'!D34&amp;""</f>
        <v/>
      </c>
      <c r="H188" s="63">
        <f>IF(OR(A188="",F188=""),"",F188&amp;"|"&amp;A188)</f>
        <v/>
      </c>
      <c r="I188" s="63">
        <f>IF(AND(H188&lt;&gt;"",OR('Historia wózka'!$B$4="",F188='Historia wózka'!$B$4),A188&gt;='Historia wózka'!$B$5,A188&lt;='Historia wózka'!$B$6),A188+0.9+(5000-ROW())/10000000,0)</f>
        <v/>
      </c>
      <c r="J188" s="63">
        <f>Ustawienia!$B$8&amp;""</f>
        <v/>
      </c>
      <c r="K188" s="63">
        <f>IF(H188="","",COUNTIFS('Zgłoszenia'!$B$5:$B$504,F188,'Zgłoszenia'!$D$5:$D$504,"&gt;="&amp;A188,'Zgłoszenia'!$D$5:$D$504,"&lt;="&amp;(A188+1)))</f>
        <v/>
      </c>
      <c r="L188" s="63">
        <f>IF(OR(H188="",K188=0),"—",IF(ISNUMBER(MATCH(H188,'Zgłoszenia'!$S$5:$S$504,0)),RIGHT("0"&amp;DAY(A188),2)&amp;"."&amp;RIGHT("0"&amp;MONTH(A188),2)&amp;"."&amp;YEAR(A188)&amp;": "&amp;INDEX('Zgłoszenia'!$H$5:$H$504,MATCH(H188,'Zgłoszenia'!$S$5:$S$504,0)),RIGHT("0"&amp;DAY((A188+1)),2)&amp;"."&amp;RIGHT("0"&amp;MONTH((A188+1)),2)&amp;"."&amp;YEAR((A188+1))&amp;": "&amp;INDEX('Zgłoszenia'!$H$5:$H$504,MATCH(F188&amp;"|"&amp;(A188+1),'Zgłoszenia'!$S$5:$S$504,0)))&amp;IF(K188&gt;1," (+"&amp;(K188-1)&amp;")",""))</f>
        <v/>
      </c>
      <c r="M188" s="63" t="n">
        <v>3</v>
      </c>
      <c r="N188" s="2" t="n"/>
      <c r="O188" s="2" t="n"/>
    </row>
    <row r="189">
      <c r="A189" s="62">
        <f>IF('3'!$C$1="","",'3'!$C$1)</f>
        <v/>
      </c>
      <c r="B189" s="63">
        <f>Ustawienia!$A$8&amp;""</f>
        <v/>
      </c>
      <c r="C189" s="63">
        <f>Ustawienia!$A$18&amp;""</f>
        <v/>
      </c>
      <c r="D189" s="63" t="n">
        <v>4</v>
      </c>
      <c r="E189" s="63">
        <f>IF('3'!B35="","",TRIM('3'!B35&amp;""))</f>
        <v/>
      </c>
      <c r="F189" s="63">
        <f>IF('3'!C35="","",'3'!C35)</f>
        <v/>
      </c>
      <c r="G189" s="63">
        <f>'3'!D35&amp;""</f>
        <v/>
      </c>
      <c r="H189" s="63">
        <f>IF(OR(A189="",F189=""),"",F189&amp;"|"&amp;A189)</f>
        <v/>
      </c>
      <c r="I189" s="63">
        <f>IF(AND(H189&lt;&gt;"",OR('Historia wózka'!$B$4="",F189='Historia wózka'!$B$4),A189&gt;='Historia wózka'!$B$5,A189&lt;='Historia wózka'!$B$6),A189+0.9+(5000-ROW())/10000000,0)</f>
        <v/>
      </c>
      <c r="J189" s="63">
        <f>Ustawienia!$B$8&amp;""</f>
        <v/>
      </c>
      <c r="K189" s="63">
        <f>IF(H189="","",COUNTIFS('Zgłoszenia'!$B$5:$B$504,F189,'Zgłoszenia'!$D$5:$D$504,"&gt;="&amp;A189,'Zgłoszenia'!$D$5:$D$504,"&lt;="&amp;(A189+1)))</f>
        <v/>
      </c>
      <c r="L189" s="63">
        <f>IF(OR(H189="",K189=0),"—",IF(ISNUMBER(MATCH(H189,'Zgłoszenia'!$S$5:$S$504,0)),RIGHT("0"&amp;DAY(A189),2)&amp;"."&amp;RIGHT("0"&amp;MONTH(A189),2)&amp;"."&amp;YEAR(A189)&amp;": "&amp;INDEX('Zgłoszenia'!$H$5:$H$504,MATCH(H189,'Zgłoszenia'!$S$5:$S$504,0)),RIGHT("0"&amp;DAY((A189+1)),2)&amp;"."&amp;RIGHT("0"&amp;MONTH((A189+1)),2)&amp;"."&amp;YEAR((A189+1))&amp;": "&amp;INDEX('Zgłoszenia'!$H$5:$H$504,MATCH(F189&amp;"|"&amp;(A189+1),'Zgłoszenia'!$S$5:$S$504,0)))&amp;IF(K189&gt;1," (+"&amp;(K189-1)&amp;")",""))</f>
        <v/>
      </c>
      <c r="M189" s="63" t="n">
        <v>3</v>
      </c>
      <c r="N189" s="2" t="n"/>
      <c r="O189" s="2" t="n"/>
    </row>
    <row r="190">
      <c r="A190" s="62">
        <f>IF('3'!$C$1="","",'3'!$C$1)</f>
        <v/>
      </c>
      <c r="B190" s="63">
        <f>Ustawienia!$A$8&amp;""</f>
        <v/>
      </c>
      <c r="C190" s="63">
        <f>Ustawienia!$A$18&amp;""</f>
        <v/>
      </c>
      <c r="D190" s="63" t="n">
        <v>5</v>
      </c>
      <c r="E190" s="63">
        <f>IF('3'!B36="","",TRIM('3'!B36&amp;""))</f>
        <v/>
      </c>
      <c r="F190" s="63">
        <f>IF('3'!C36="","",'3'!C36)</f>
        <v/>
      </c>
      <c r="G190" s="63">
        <f>'3'!D36&amp;""</f>
        <v/>
      </c>
      <c r="H190" s="63">
        <f>IF(OR(A190="",F190=""),"",F190&amp;"|"&amp;A190)</f>
        <v/>
      </c>
      <c r="I190" s="63">
        <f>IF(AND(H190&lt;&gt;"",OR('Historia wózka'!$B$4="",F190='Historia wózka'!$B$4),A190&gt;='Historia wózka'!$B$5,A190&lt;='Historia wózka'!$B$6),A190+0.9+(5000-ROW())/10000000,0)</f>
        <v/>
      </c>
      <c r="J190" s="63">
        <f>Ustawienia!$B$8&amp;""</f>
        <v/>
      </c>
      <c r="K190" s="63">
        <f>IF(H190="","",COUNTIFS('Zgłoszenia'!$B$5:$B$504,F190,'Zgłoszenia'!$D$5:$D$504,"&gt;="&amp;A190,'Zgłoszenia'!$D$5:$D$504,"&lt;="&amp;(A190+1)))</f>
        <v/>
      </c>
      <c r="L190" s="63">
        <f>IF(OR(H190="",K190=0),"—",IF(ISNUMBER(MATCH(H190,'Zgłoszenia'!$S$5:$S$504,0)),RIGHT("0"&amp;DAY(A190),2)&amp;"."&amp;RIGHT("0"&amp;MONTH(A190),2)&amp;"."&amp;YEAR(A190)&amp;": "&amp;INDEX('Zgłoszenia'!$H$5:$H$504,MATCH(H190,'Zgłoszenia'!$S$5:$S$504,0)),RIGHT("0"&amp;DAY((A190+1)),2)&amp;"."&amp;RIGHT("0"&amp;MONTH((A190+1)),2)&amp;"."&amp;YEAR((A190+1))&amp;": "&amp;INDEX('Zgłoszenia'!$H$5:$H$504,MATCH(F190&amp;"|"&amp;(A190+1),'Zgłoszenia'!$S$5:$S$504,0)))&amp;IF(K190&gt;1," (+"&amp;(K190-1)&amp;")",""))</f>
        <v/>
      </c>
      <c r="M190" s="63" t="n">
        <v>3</v>
      </c>
      <c r="N190" s="2" t="n"/>
      <c r="O190" s="2" t="n"/>
    </row>
    <row r="191">
      <c r="A191" s="62">
        <f>IF('3'!$C$1="","",'3'!$C$1)</f>
        <v/>
      </c>
      <c r="B191" s="63">
        <f>Ustawienia!$A$9&amp;""</f>
        <v/>
      </c>
      <c r="C191" s="63">
        <f>Ustawienia!$A$14&amp;""</f>
        <v/>
      </c>
      <c r="D191" s="63" t="n">
        <v>1</v>
      </c>
      <c r="E191" s="63">
        <f>IF('3'!F6="","",TRIM('3'!F6&amp;""))</f>
        <v/>
      </c>
      <c r="F191" s="63">
        <f>IF('3'!G6="","",'3'!G6)</f>
        <v/>
      </c>
      <c r="G191" s="63">
        <f>'3'!H6&amp;""</f>
        <v/>
      </c>
      <c r="H191" s="63">
        <f>IF(OR(A191="",F191=""),"",F191&amp;"|"&amp;A191)</f>
        <v/>
      </c>
      <c r="I191" s="63">
        <f>IF(AND(H191&lt;&gt;"",OR('Historia wózka'!$B$4="",F191='Historia wózka'!$B$4),A191&gt;='Historia wózka'!$B$5,A191&lt;='Historia wózka'!$B$6),A191+0.8+(5000-ROW())/10000000,0)</f>
        <v/>
      </c>
      <c r="J191" s="63">
        <f>Ustawienia!$B$9&amp;""</f>
        <v/>
      </c>
      <c r="K191" s="63">
        <f>IF(H191="","",COUNTIFS('Zgłoszenia'!$B$5:$B$504,F191,'Zgłoszenia'!$D$5:$D$504,"&gt;="&amp;A191,'Zgłoszenia'!$D$5:$D$504,"&lt;="&amp;(A191+1)))</f>
        <v/>
      </c>
      <c r="L191" s="63">
        <f>IF(OR(H191="",K191=0),"—",IF(ISNUMBER(MATCH(H191,'Zgłoszenia'!$S$5:$S$504,0)),RIGHT("0"&amp;DAY(A191),2)&amp;"."&amp;RIGHT("0"&amp;MONTH(A191),2)&amp;"."&amp;YEAR(A191)&amp;": "&amp;INDEX('Zgłoszenia'!$H$5:$H$504,MATCH(H191,'Zgłoszenia'!$S$5:$S$504,0)),RIGHT("0"&amp;DAY((A191+1)),2)&amp;"."&amp;RIGHT("0"&amp;MONTH((A191+1)),2)&amp;"."&amp;YEAR((A191+1))&amp;": "&amp;INDEX('Zgłoszenia'!$H$5:$H$504,MATCH(F191&amp;"|"&amp;(A191+1),'Zgłoszenia'!$S$5:$S$504,0)))&amp;IF(K191&gt;1," (+"&amp;(K191-1)&amp;")",""))</f>
        <v/>
      </c>
      <c r="M191" s="63" t="n">
        <v>3</v>
      </c>
      <c r="N191" s="2" t="n"/>
      <c r="O191" s="2" t="n"/>
    </row>
    <row r="192">
      <c r="A192" s="62">
        <f>IF('3'!$C$1="","",'3'!$C$1)</f>
        <v/>
      </c>
      <c r="B192" s="63">
        <f>Ustawienia!$A$9&amp;""</f>
        <v/>
      </c>
      <c r="C192" s="63">
        <f>Ustawienia!$A$14&amp;""</f>
        <v/>
      </c>
      <c r="D192" s="63" t="n">
        <v>2</v>
      </c>
      <c r="E192" s="63">
        <f>IF('3'!F7="","",TRIM('3'!F7&amp;""))</f>
        <v/>
      </c>
      <c r="F192" s="63">
        <f>IF('3'!G7="","",'3'!G7)</f>
        <v/>
      </c>
      <c r="G192" s="63">
        <f>'3'!H7&amp;""</f>
        <v/>
      </c>
      <c r="H192" s="63">
        <f>IF(OR(A192="",F192=""),"",F192&amp;"|"&amp;A192)</f>
        <v/>
      </c>
      <c r="I192" s="63">
        <f>IF(AND(H192&lt;&gt;"",OR('Historia wózka'!$B$4="",F192='Historia wózka'!$B$4),A192&gt;='Historia wózka'!$B$5,A192&lt;='Historia wózka'!$B$6),A192+0.8+(5000-ROW())/10000000,0)</f>
        <v/>
      </c>
      <c r="J192" s="63">
        <f>Ustawienia!$B$9&amp;""</f>
        <v/>
      </c>
      <c r="K192" s="63">
        <f>IF(H192="","",COUNTIFS('Zgłoszenia'!$B$5:$B$504,F192,'Zgłoszenia'!$D$5:$D$504,"&gt;="&amp;A192,'Zgłoszenia'!$D$5:$D$504,"&lt;="&amp;(A192+1)))</f>
        <v/>
      </c>
      <c r="L192" s="63">
        <f>IF(OR(H192="",K192=0),"—",IF(ISNUMBER(MATCH(H192,'Zgłoszenia'!$S$5:$S$504,0)),RIGHT("0"&amp;DAY(A192),2)&amp;"."&amp;RIGHT("0"&amp;MONTH(A192),2)&amp;"."&amp;YEAR(A192)&amp;": "&amp;INDEX('Zgłoszenia'!$H$5:$H$504,MATCH(H192,'Zgłoszenia'!$S$5:$S$504,0)),RIGHT("0"&amp;DAY((A192+1)),2)&amp;"."&amp;RIGHT("0"&amp;MONTH((A192+1)),2)&amp;"."&amp;YEAR((A192+1))&amp;": "&amp;INDEX('Zgłoszenia'!$H$5:$H$504,MATCH(F192&amp;"|"&amp;(A192+1),'Zgłoszenia'!$S$5:$S$504,0)))&amp;IF(K192&gt;1," (+"&amp;(K192-1)&amp;")",""))</f>
        <v/>
      </c>
      <c r="M192" s="63" t="n">
        <v>3</v>
      </c>
      <c r="N192" s="2" t="n"/>
      <c r="O192" s="2" t="n"/>
    </row>
    <row r="193">
      <c r="A193" s="62">
        <f>IF('3'!$C$1="","",'3'!$C$1)</f>
        <v/>
      </c>
      <c r="B193" s="63">
        <f>Ustawienia!$A$9&amp;""</f>
        <v/>
      </c>
      <c r="C193" s="63">
        <f>Ustawienia!$A$14&amp;""</f>
        <v/>
      </c>
      <c r="D193" s="63" t="n">
        <v>3</v>
      </c>
      <c r="E193" s="63">
        <f>IF('3'!F8="","",TRIM('3'!F8&amp;""))</f>
        <v/>
      </c>
      <c r="F193" s="63">
        <f>IF('3'!G8="","",'3'!G8)</f>
        <v/>
      </c>
      <c r="G193" s="63">
        <f>'3'!H8&amp;""</f>
        <v/>
      </c>
      <c r="H193" s="63">
        <f>IF(OR(A193="",F193=""),"",F193&amp;"|"&amp;A193)</f>
        <v/>
      </c>
      <c r="I193" s="63">
        <f>IF(AND(H193&lt;&gt;"",OR('Historia wózka'!$B$4="",F193='Historia wózka'!$B$4),A193&gt;='Historia wózka'!$B$5,A193&lt;='Historia wózka'!$B$6),A193+0.8+(5000-ROW())/10000000,0)</f>
        <v/>
      </c>
      <c r="J193" s="63">
        <f>Ustawienia!$B$9&amp;""</f>
        <v/>
      </c>
      <c r="K193" s="63">
        <f>IF(H193="","",COUNTIFS('Zgłoszenia'!$B$5:$B$504,F193,'Zgłoszenia'!$D$5:$D$504,"&gt;="&amp;A193,'Zgłoszenia'!$D$5:$D$504,"&lt;="&amp;(A193+1)))</f>
        <v/>
      </c>
      <c r="L193" s="63">
        <f>IF(OR(H193="",K193=0),"—",IF(ISNUMBER(MATCH(H193,'Zgłoszenia'!$S$5:$S$504,0)),RIGHT("0"&amp;DAY(A193),2)&amp;"."&amp;RIGHT("0"&amp;MONTH(A193),2)&amp;"."&amp;YEAR(A193)&amp;": "&amp;INDEX('Zgłoszenia'!$H$5:$H$504,MATCH(H193,'Zgłoszenia'!$S$5:$S$504,0)),RIGHT("0"&amp;DAY((A193+1)),2)&amp;"."&amp;RIGHT("0"&amp;MONTH((A193+1)),2)&amp;"."&amp;YEAR((A193+1))&amp;": "&amp;INDEX('Zgłoszenia'!$H$5:$H$504,MATCH(F193&amp;"|"&amp;(A193+1),'Zgłoszenia'!$S$5:$S$504,0)))&amp;IF(K193&gt;1," (+"&amp;(K193-1)&amp;")",""))</f>
        <v/>
      </c>
      <c r="M193" s="63" t="n">
        <v>3</v>
      </c>
      <c r="N193" s="2" t="n"/>
      <c r="O193" s="2" t="n"/>
    </row>
    <row r="194">
      <c r="A194" s="62">
        <f>IF('3'!$C$1="","",'3'!$C$1)</f>
        <v/>
      </c>
      <c r="B194" s="63">
        <f>Ustawienia!$A$9&amp;""</f>
        <v/>
      </c>
      <c r="C194" s="63">
        <f>Ustawienia!$A$14&amp;""</f>
        <v/>
      </c>
      <c r="D194" s="63" t="n">
        <v>4</v>
      </c>
      <c r="E194" s="63">
        <f>IF('3'!F9="","",TRIM('3'!F9&amp;""))</f>
        <v/>
      </c>
      <c r="F194" s="63">
        <f>IF('3'!G9="","",'3'!G9)</f>
        <v/>
      </c>
      <c r="G194" s="63">
        <f>'3'!H9&amp;""</f>
        <v/>
      </c>
      <c r="H194" s="63">
        <f>IF(OR(A194="",F194=""),"",F194&amp;"|"&amp;A194)</f>
        <v/>
      </c>
      <c r="I194" s="63">
        <f>IF(AND(H194&lt;&gt;"",OR('Historia wózka'!$B$4="",F194='Historia wózka'!$B$4),A194&gt;='Historia wózka'!$B$5,A194&lt;='Historia wózka'!$B$6),A194+0.8+(5000-ROW())/10000000,0)</f>
        <v/>
      </c>
      <c r="J194" s="63">
        <f>Ustawienia!$B$9&amp;""</f>
        <v/>
      </c>
      <c r="K194" s="63">
        <f>IF(H194="","",COUNTIFS('Zgłoszenia'!$B$5:$B$504,F194,'Zgłoszenia'!$D$5:$D$504,"&gt;="&amp;A194,'Zgłoszenia'!$D$5:$D$504,"&lt;="&amp;(A194+1)))</f>
        <v/>
      </c>
      <c r="L194" s="63">
        <f>IF(OR(H194="",K194=0),"—",IF(ISNUMBER(MATCH(H194,'Zgłoszenia'!$S$5:$S$504,0)),RIGHT("0"&amp;DAY(A194),2)&amp;"."&amp;RIGHT("0"&amp;MONTH(A194),2)&amp;"."&amp;YEAR(A194)&amp;": "&amp;INDEX('Zgłoszenia'!$H$5:$H$504,MATCH(H194,'Zgłoszenia'!$S$5:$S$504,0)),RIGHT("0"&amp;DAY((A194+1)),2)&amp;"."&amp;RIGHT("0"&amp;MONTH((A194+1)),2)&amp;"."&amp;YEAR((A194+1))&amp;": "&amp;INDEX('Zgłoszenia'!$H$5:$H$504,MATCH(F194&amp;"|"&amp;(A194+1),'Zgłoszenia'!$S$5:$S$504,0)))&amp;IF(K194&gt;1," (+"&amp;(K194-1)&amp;")",""))</f>
        <v/>
      </c>
      <c r="M194" s="63" t="n">
        <v>3</v>
      </c>
      <c r="N194" s="2" t="n"/>
      <c r="O194" s="2" t="n"/>
    </row>
    <row r="195">
      <c r="A195" s="62">
        <f>IF('3'!$C$1="","",'3'!$C$1)</f>
        <v/>
      </c>
      <c r="B195" s="63">
        <f>Ustawienia!$A$9&amp;""</f>
        <v/>
      </c>
      <c r="C195" s="63">
        <f>Ustawienia!$A$14&amp;""</f>
        <v/>
      </c>
      <c r="D195" s="63" t="n">
        <v>5</v>
      </c>
      <c r="E195" s="63">
        <f>IF('3'!F10="","",TRIM('3'!F10&amp;""))</f>
        <v/>
      </c>
      <c r="F195" s="63">
        <f>IF('3'!G10="","",'3'!G10)</f>
        <v/>
      </c>
      <c r="G195" s="63">
        <f>'3'!H10&amp;""</f>
        <v/>
      </c>
      <c r="H195" s="63">
        <f>IF(OR(A195="",F195=""),"",F195&amp;"|"&amp;A195)</f>
        <v/>
      </c>
      <c r="I195" s="63">
        <f>IF(AND(H195&lt;&gt;"",OR('Historia wózka'!$B$4="",F195='Historia wózka'!$B$4),A195&gt;='Historia wózka'!$B$5,A195&lt;='Historia wózka'!$B$6),A195+0.8+(5000-ROW())/10000000,0)</f>
        <v/>
      </c>
      <c r="J195" s="63">
        <f>Ustawienia!$B$9&amp;""</f>
        <v/>
      </c>
      <c r="K195" s="63">
        <f>IF(H195="","",COUNTIFS('Zgłoszenia'!$B$5:$B$504,F195,'Zgłoszenia'!$D$5:$D$504,"&gt;="&amp;A195,'Zgłoszenia'!$D$5:$D$504,"&lt;="&amp;(A195+1)))</f>
        <v/>
      </c>
      <c r="L195" s="63">
        <f>IF(OR(H195="",K195=0),"—",IF(ISNUMBER(MATCH(H195,'Zgłoszenia'!$S$5:$S$504,0)),RIGHT("0"&amp;DAY(A195),2)&amp;"."&amp;RIGHT("0"&amp;MONTH(A195),2)&amp;"."&amp;YEAR(A195)&amp;": "&amp;INDEX('Zgłoszenia'!$H$5:$H$504,MATCH(H195,'Zgłoszenia'!$S$5:$S$504,0)),RIGHT("0"&amp;DAY((A195+1)),2)&amp;"."&amp;RIGHT("0"&amp;MONTH((A195+1)),2)&amp;"."&amp;YEAR((A195+1))&amp;": "&amp;INDEX('Zgłoszenia'!$H$5:$H$504,MATCH(F195&amp;"|"&amp;(A195+1),'Zgłoszenia'!$S$5:$S$504,0)))&amp;IF(K195&gt;1," (+"&amp;(K195-1)&amp;")",""))</f>
        <v/>
      </c>
      <c r="M195" s="63" t="n">
        <v>3</v>
      </c>
      <c r="N195" s="2" t="n"/>
      <c r="O195" s="2" t="n"/>
    </row>
    <row r="196">
      <c r="A196" s="62">
        <f>IF('3'!$C$1="","",'3'!$C$1)</f>
        <v/>
      </c>
      <c r="B196" s="63">
        <f>Ustawienia!$A$9&amp;""</f>
        <v/>
      </c>
      <c r="C196" s="63">
        <f>Ustawienia!$A$14&amp;""</f>
        <v/>
      </c>
      <c r="D196" s="63" t="n">
        <v>6</v>
      </c>
      <c r="E196" s="63">
        <f>IF('3'!F11="","",TRIM('3'!F11&amp;""))</f>
        <v/>
      </c>
      <c r="F196" s="63">
        <f>IF('3'!G11="","",'3'!G11)</f>
        <v/>
      </c>
      <c r="G196" s="63">
        <f>'3'!H11&amp;""</f>
        <v/>
      </c>
      <c r="H196" s="63">
        <f>IF(OR(A196="",F196=""),"",F196&amp;"|"&amp;A196)</f>
        <v/>
      </c>
      <c r="I196" s="63">
        <f>IF(AND(H196&lt;&gt;"",OR('Historia wózka'!$B$4="",F196='Historia wózka'!$B$4),A196&gt;='Historia wózka'!$B$5,A196&lt;='Historia wózka'!$B$6),A196+0.8+(5000-ROW())/10000000,0)</f>
        <v/>
      </c>
      <c r="J196" s="63">
        <f>Ustawienia!$B$9&amp;""</f>
        <v/>
      </c>
      <c r="K196" s="63">
        <f>IF(H196="","",COUNTIFS('Zgłoszenia'!$B$5:$B$504,F196,'Zgłoszenia'!$D$5:$D$504,"&gt;="&amp;A196,'Zgłoszenia'!$D$5:$D$504,"&lt;="&amp;(A196+1)))</f>
        <v/>
      </c>
      <c r="L196" s="63">
        <f>IF(OR(H196="",K196=0),"—",IF(ISNUMBER(MATCH(H196,'Zgłoszenia'!$S$5:$S$504,0)),RIGHT("0"&amp;DAY(A196),2)&amp;"."&amp;RIGHT("0"&amp;MONTH(A196),2)&amp;"."&amp;YEAR(A196)&amp;": "&amp;INDEX('Zgłoszenia'!$H$5:$H$504,MATCH(H196,'Zgłoszenia'!$S$5:$S$504,0)),RIGHT("0"&amp;DAY((A196+1)),2)&amp;"."&amp;RIGHT("0"&amp;MONTH((A196+1)),2)&amp;"."&amp;YEAR((A196+1))&amp;": "&amp;INDEX('Zgłoszenia'!$H$5:$H$504,MATCH(F196&amp;"|"&amp;(A196+1),'Zgłoszenia'!$S$5:$S$504,0)))&amp;IF(K196&gt;1," (+"&amp;(K196-1)&amp;")",""))</f>
        <v/>
      </c>
      <c r="M196" s="63" t="n">
        <v>3</v>
      </c>
      <c r="N196" s="2" t="n"/>
      <c r="O196" s="2" t="n"/>
    </row>
    <row r="197">
      <c r="A197" s="62">
        <f>IF('3'!$C$1="","",'3'!$C$1)</f>
        <v/>
      </c>
      <c r="B197" s="63">
        <f>Ustawienia!$A$9&amp;""</f>
        <v/>
      </c>
      <c r="C197" s="63">
        <f>Ustawienia!$A$15&amp;""</f>
        <v/>
      </c>
      <c r="D197" s="63" t="n">
        <v>1</v>
      </c>
      <c r="E197" s="63">
        <f>IF('3'!F13="","",TRIM('3'!F13&amp;""))</f>
        <v/>
      </c>
      <c r="F197" s="63">
        <f>IF('3'!G13="","",'3'!G13)</f>
        <v/>
      </c>
      <c r="G197" s="63">
        <f>'3'!H13&amp;""</f>
        <v/>
      </c>
      <c r="H197" s="63">
        <f>IF(OR(A197="",F197=""),"",F197&amp;"|"&amp;A197)</f>
        <v/>
      </c>
      <c r="I197" s="63">
        <f>IF(AND(H197&lt;&gt;"",OR('Historia wózka'!$B$4="",F197='Historia wózka'!$B$4),A197&gt;='Historia wózka'!$B$5,A197&lt;='Historia wózka'!$B$6),A197+0.8+(5000-ROW())/10000000,0)</f>
        <v/>
      </c>
      <c r="J197" s="63">
        <f>Ustawienia!$B$9&amp;""</f>
        <v/>
      </c>
      <c r="K197" s="63">
        <f>IF(H197="","",COUNTIFS('Zgłoszenia'!$B$5:$B$504,F197,'Zgłoszenia'!$D$5:$D$504,"&gt;="&amp;A197,'Zgłoszenia'!$D$5:$D$504,"&lt;="&amp;(A197+1)))</f>
        <v/>
      </c>
      <c r="L197" s="63">
        <f>IF(OR(H197="",K197=0),"—",IF(ISNUMBER(MATCH(H197,'Zgłoszenia'!$S$5:$S$504,0)),RIGHT("0"&amp;DAY(A197),2)&amp;"."&amp;RIGHT("0"&amp;MONTH(A197),2)&amp;"."&amp;YEAR(A197)&amp;": "&amp;INDEX('Zgłoszenia'!$H$5:$H$504,MATCH(H197,'Zgłoszenia'!$S$5:$S$504,0)),RIGHT("0"&amp;DAY((A197+1)),2)&amp;"."&amp;RIGHT("0"&amp;MONTH((A197+1)),2)&amp;"."&amp;YEAR((A197+1))&amp;": "&amp;INDEX('Zgłoszenia'!$H$5:$H$504,MATCH(F197&amp;"|"&amp;(A197+1),'Zgłoszenia'!$S$5:$S$504,0)))&amp;IF(K197&gt;1," (+"&amp;(K197-1)&amp;")",""))</f>
        <v/>
      </c>
      <c r="M197" s="63" t="n">
        <v>3</v>
      </c>
      <c r="N197" s="2" t="n"/>
      <c r="O197" s="2" t="n"/>
    </row>
    <row r="198">
      <c r="A198" s="62">
        <f>IF('3'!$C$1="","",'3'!$C$1)</f>
        <v/>
      </c>
      <c r="B198" s="63">
        <f>Ustawienia!$A$9&amp;""</f>
        <v/>
      </c>
      <c r="C198" s="63">
        <f>Ustawienia!$A$15&amp;""</f>
        <v/>
      </c>
      <c r="D198" s="63" t="n">
        <v>2</v>
      </c>
      <c r="E198" s="63">
        <f>IF('3'!F14="","",TRIM('3'!F14&amp;""))</f>
        <v/>
      </c>
      <c r="F198" s="63">
        <f>IF('3'!G14="","",'3'!G14)</f>
        <v/>
      </c>
      <c r="G198" s="63">
        <f>'3'!H14&amp;""</f>
        <v/>
      </c>
      <c r="H198" s="63">
        <f>IF(OR(A198="",F198=""),"",F198&amp;"|"&amp;A198)</f>
        <v/>
      </c>
      <c r="I198" s="63">
        <f>IF(AND(H198&lt;&gt;"",OR('Historia wózka'!$B$4="",F198='Historia wózka'!$B$4),A198&gt;='Historia wózka'!$B$5,A198&lt;='Historia wózka'!$B$6),A198+0.8+(5000-ROW())/10000000,0)</f>
        <v/>
      </c>
      <c r="J198" s="63">
        <f>Ustawienia!$B$9&amp;""</f>
        <v/>
      </c>
      <c r="K198" s="63">
        <f>IF(H198="","",COUNTIFS('Zgłoszenia'!$B$5:$B$504,F198,'Zgłoszenia'!$D$5:$D$504,"&gt;="&amp;A198,'Zgłoszenia'!$D$5:$D$504,"&lt;="&amp;(A198+1)))</f>
        <v/>
      </c>
      <c r="L198" s="63">
        <f>IF(OR(H198="",K198=0),"—",IF(ISNUMBER(MATCH(H198,'Zgłoszenia'!$S$5:$S$504,0)),RIGHT("0"&amp;DAY(A198),2)&amp;"."&amp;RIGHT("0"&amp;MONTH(A198),2)&amp;"."&amp;YEAR(A198)&amp;": "&amp;INDEX('Zgłoszenia'!$H$5:$H$504,MATCH(H198,'Zgłoszenia'!$S$5:$S$504,0)),RIGHT("0"&amp;DAY((A198+1)),2)&amp;"."&amp;RIGHT("0"&amp;MONTH((A198+1)),2)&amp;"."&amp;YEAR((A198+1))&amp;": "&amp;INDEX('Zgłoszenia'!$H$5:$H$504,MATCH(F198&amp;"|"&amp;(A198+1),'Zgłoszenia'!$S$5:$S$504,0)))&amp;IF(K198&gt;1," (+"&amp;(K198-1)&amp;")",""))</f>
        <v/>
      </c>
      <c r="M198" s="63" t="n">
        <v>3</v>
      </c>
      <c r="N198" s="2" t="n"/>
      <c r="O198" s="2" t="n"/>
    </row>
    <row r="199">
      <c r="A199" s="62">
        <f>IF('3'!$C$1="","",'3'!$C$1)</f>
        <v/>
      </c>
      <c r="B199" s="63">
        <f>Ustawienia!$A$9&amp;""</f>
        <v/>
      </c>
      <c r="C199" s="63">
        <f>Ustawienia!$A$15&amp;""</f>
        <v/>
      </c>
      <c r="D199" s="63" t="n">
        <v>3</v>
      </c>
      <c r="E199" s="63">
        <f>IF('3'!F15="","",TRIM('3'!F15&amp;""))</f>
        <v/>
      </c>
      <c r="F199" s="63">
        <f>IF('3'!G15="","",'3'!G15)</f>
        <v/>
      </c>
      <c r="G199" s="63">
        <f>'3'!H15&amp;""</f>
        <v/>
      </c>
      <c r="H199" s="63">
        <f>IF(OR(A199="",F199=""),"",F199&amp;"|"&amp;A199)</f>
        <v/>
      </c>
      <c r="I199" s="63">
        <f>IF(AND(H199&lt;&gt;"",OR('Historia wózka'!$B$4="",F199='Historia wózka'!$B$4),A199&gt;='Historia wózka'!$B$5,A199&lt;='Historia wózka'!$B$6),A199+0.8+(5000-ROW())/10000000,0)</f>
        <v/>
      </c>
      <c r="J199" s="63">
        <f>Ustawienia!$B$9&amp;""</f>
        <v/>
      </c>
      <c r="K199" s="63">
        <f>IF(H199="","",COUNTIFS('Zgłoszenia'!$B$5:$B$504,F199,'Zgłoszenia'!$D$5:$D$504,"&gt;="&amp;A199,'Zgłoszenia'!$D$5:$D$504,"&lt;="&amp;(A199+1)))</f>
        <v/>
      </c>
      <c r="L199" s="63">
        <f>IF(OR(H199="",K199=0),"—",IF(ISNUMBER(MATCH(H199,'Zgłoszenia'!$S$5:$S$504,0)),RIGHT("0"&amp;DAY(A199),2)&amp;"."&amp;RIGHT("0"&amp;MONTH(A199),2)&amp;"."&amp;YEAR(A199)&amp;": "&amp;INDEX('Zgłoszenia'!$H$5:$H$504,MATCH(H199,'Zgłoszenia'!$S$5:$S$504,0)),RIGHT("0"&amp;DAY((A199+1)),2)&amp;"."&amp;RIGHT("0"&amp;MONTH((A199+1)),2)&amp;"."&amp;YEAR((A199+1))&amp;": "&amp;INDEX('Zgłoszenia'!$H$5:$H$504,MATCH(F199&amp;"|"&amp;(A199+1),'Zgłoszenia'!$S$5:$S$504,0)))&amp;IF(K199&gt;1," (+"&amp;(K199-1)&amp;")",""))</f>
        <v/>
      </c>
      <c r="M199" s="63" t="n">
        <v>3</v>
      </c>
      <c r="N199" s="2" t="n"/>
      <c r="O199" s="2" t="n"/>
    </row>
    <row r="200">
      <c r="A200" s="62">
        <f>IF('3'!$C$1="","",'3'!$C$1)</f>
        <v/>
      </c>
      <c r="B200" s="63">
        <f>Ustawienia!$A$9&amp;""</f>
        <v/>
      </c>
      <c r="C200" s="63">
        <f>Ustawienia!$A$15&amp;""</f>
        <v/>
      </c>
      <c r="D200" s="63" t="n">
        <v>4</v>
      </c>
      <c r="E200" s="63">
        <f>IF('3'!F16="","",TRIM('3'!F16&amp;""))</f>
        <v/>
      </c>
      <c r="F200" s="63">
        <f>IF('3'!G16="","",'3'!G16)</f>
        <v/>
      </c>
      <c r="G200" s="63">
        <f>'3'!H16&amp;""</f>
        <v/>
      </c>
      <c r="H200" s="63">
        <f>IF(OR(A200="",F200=""),"",F200&amp;"|"&amp;A200)</f>
        <v/>
      </c>
      <c r="I200" s="63">
        <f>IF(AND(H200&lt;&gt;"",OR('Historia wózka'!$B$4="",F200='Historia wózka'!$B$4),A200&gt;='Historia wózka'!$B$5,A200&lt;='Historia wózka'!$B$6),A200+0.8+(5000-ROW())/10000000,0)</f>
        <v/>
      </c>
      <c r="J200" s="63">
        <f>Ustawienia!$B$9&amp;""</f>
        <v/>
      </c>
      <c r="K200" s="63">
        <f>IF(H200="","",COUNTIFS('Zgłoszenia'!$B$5:$B$504,F200,'Zgłoszenia'!$D$5:$D$504,"&gt;="&amp;A200,'Zgłoszenia'!$D$5:$D$504,"&lt;="&amp;(A200+1)))</f>
        <v/>
      </c>
      <c r="L200" s="63">
        <f>IF(OR(H200="",K200=0),"—",IF(ISNUMBER(MATCH(H200,'Zgłoszenia'!$S$5:$S$504,0)),RIGHT("0"&amp;DAY(A200),2)&amp;"."&amp;RIGHT("0"&amp;MONTH(A200),2)&amp;"."&amp;YEAR(A200)&amp;": "&amp;INDEX('Zgłoszenia'!$H$5:$H$504,MATCH(H200,'Zgłoszenia'!$S$5:$S$504,0)),RIGHT("0"&amp;DAY((A200+1)),2)&amp;"."&amp;RIGHT("0"&amp;MONTH((A200+1)),2)&amp;"."&amp;YEAR((A200+1))&amp;": "&amp;INDEX('Zgłoszenia'!$H$5:$H$504,MATCH(F200&amp;"|"&amp;(A200+1),'Zgłoszenia'!$S$5:$S$504,0)))&amp;IF(K200&gt;1," (+"&amp;(K200-1)&amp;")",""))</f>
        <v/>
      </c>
      <c r="M200" s="63" t="n">
        <v>3</v>
      </c>
      <c r="N200" s="2" t="n"/>
      <c r="O200" s="2" t="n"/>
    </row>
    <row r="201">
      <c r="A201" s="62">
        <f>IF('3'!$C$1="","",'3'!$C$1)</f>
        <v/>
      </c>
      <c r="B201" s="63">
        <f>Ustawienia!$A$9&amp;""</f>
        <v/>
      </c>
      <c r="C201" s="63">
        <f>Ustawienia!$A$15&amp;""</f>
        <v/>
      </c>
      <c r="D201" s="63" t="n">
        <v>5</v>
      </c>
      <c r="E201" s="63">
        <f>IF('3'!F17="","",TRIM('3'!F17&amp;""))</f>
        <v/>
      </c>
      <c r="F201" s="63">
        <f>IF('3'!G17="","",'3'!G17)</f>
        <v/>
      </c>
      <c r="G201" s="63">
        <f>'3'!H17&amp;""</f>
        <v/>
      </c>
      <c r="H201" s="63">
        <f>IF(OR(A201="",F201=""),"",F201&amp;"|"&amp;A201)</f>
        <v/>
      </c>
      <c r="I201" s="63">
        <f>IF(AND(H201&lt;&gt;"",OR('Historia wózka'!$B$4="",F201='Historia wózka'!$B$4),A201&gt;='Historia wózka'!$B$5,A201&lt;='Historia wózka'!$B$6),A201+0.8+(5000-ROW())/10000000,0)</f>
        <v/>
      </c>
      <c r="J201" s="63">
        <f>Ustawienia!$B$9&amp;""</f>
        <v/>
      </c>
      <c r="K201" s="63">
        <f>IF(H201="","",COUNTIFS('Zgłoszenia'!$B$5:$B$504,F201,'Zgłoszenia'!$D$5:$D$504,"&gt;="&amp;A201,'Zgłoszenia'!$D$5:$D$504,"&lt;="&amp;(A201+1)))</f>
        <v/>
      </c>
      <c r="L201" s="63">
        <f>IF(OR(H201="",K201=0),"—",IF(ISNUMBER(MATCH(H201,'Zgłoszenia'!$S$5:$S$504,0)),RIGHT("0"&amp;DAY(A201),2)&amp;"."&amp;RIGHT("0"&amp;MONTH(A201),2)&amp;"."&amp;YEAR(A201)&amp;": "&amp;INDEX('Zgłoszenia'!$H$5:$H$504,MATCH(H201,'Zgłoszenia'!$S$5:$S$504,0)),RIGHT("0"&amp;DAY((A201+1)),2)&amp;"."&amp;RIGHT("0"&amp;MONTH((A201+1)),2)&amp;"."&amp;YEAR((A201+1))&amp;": "&amp;INDEX('Zgłoszenia'!$H$5:$H$504,MATCH(F201&amp;"|"&amp;(A201+1),'Zgłoszenia'!$S$5:$S$504,0)))&amp;IF(K201&gt;1," (+"&amp;(K201-1)&amp;")",""))</f>
        <v/>
      </c>
      <c r="M201" s="63" t="n">
        <v>3</v>
      </c>
      <c r="N201" s="2" t="n"/>
      <c r="O201" s="2" t="n"/>
    </row>
    <row r="202">
      <c r="A202" s="62">
        <f>IF('3'!$C$1="","",'3'!$C$1)</f>
        <v/>
      </c>
      <c r="B202" s="63">
        <f>Ustawienia!$A$9&amp;""</f>
        <v/>
      </c>
      <c r="C202" s="63">
        <f>Ustawienia!$A$15&amp;""</f>
        <v/>
      </c>
      <c r="D202" s="63" t="n">
        <v>6</v>
      </c>
      <c r="E202" s="63">
        <f>IF('3'!F18="","",TRIM('3'!F18&amp;""))</f>
        <v/>
      </c>
      <c r="F202" s="63">
        <f>IF('3'!G18="","",'3'!G18)</f>
        <v/>
      </c>
      <c r="G202" s="63">
        <f>'3'!H18&amp;""</f>
        <v/>
      </c>
      <c r="H202" s="63">
        <f>IF(OR(A202="",F202=""),"",F202&amp;"|"&amp;A202)</f>
        <v/>
      </c>
      <c r="I202" s="63">
        <f>IF(AND(H202&lt;&gt;"",OR('Historia wózka'!$B$4="",F202='Historia wózka'!$B$4),A202&gt;='Historia wózka'!$B$5,A202&lt;='Historia wózka'!$B$6),A202+0.8+(5000-ROW())/10000000,0)</f>
        <v/>
      </c>
      <c r="J202" s="63">
        <f>Ustawienia!$B$9&amp;""</f>
        <v/>
      </c>
      <c r="K202" s="63">
        <f>IF(H202="","",COUNTIFS('Zgłoszenia'!$B$5:$B$504,F202,'Zgłoszenia'!$D$5:$D$504,"&gt;="&amp;A202,'Zgłoszenia'!$D$5:$D$504,"&lt;="&amp;(A202+1)))</f>
        <v/>
      </c>
      <c r="L202" s="63">
        <f>IF(OR(H202="",K202=0),"—",IF(ISNUMBER(MATCH(H202,'Zgłoszenia'!$S$5:$S$504,0)),RIGHT("0"&amp;DAY(A202),2)&amp;"."&amp;RIGHT("0"&amp;MONTH(A202),2)&amp;"."&amp;YEAR(A202)&amp;": "&amp;INDEX('Zgłoszenia'!$H$5:$H$504,MATCH(H202,'Zgłoszenia'!$S$5:$S$504,0)),RIGHT("0"&amp;DAY((A202+1)),2)&amp;"."&amp;RIGHT("0"&amp;MONTH((A202+1)),2)&amp;"."&amp;YEAR((A202+1))&amp;": "&amp;INDEX('Zgłoszenia'!$H$5:$H$504,MATCH(F202&amp;"|"&amp;(A202+1),'Zgłoszenia'!$S$5:$S$504,0)))&amp;IF(K202&gt;1," (+"&amp;(K202-1)&amp;")",""))</f>
        <v/>
      </c>
      <c r="M202" s="63" t="n">
        <v>3</v>
      </c>
      <c r="N202" s="2" t="n"/>
      <c r="O202" s="2" t="n"/>
    </row>
    <row r="203">
      <c r="A203" s="62">
        <f>IF('3'!$C$1="","",'3'!$C$1)</f>
        <v/>
      </c>
      <c r="B203" s="63">
        <f>Ustawienia!$A$9&amp;""</f>
        <v/>
      </c>
      <c r="C203" s="63">
        <f>Ustawienia!$A$15&amp;""</f>
        <v/>
      </c>
      <c r="D203" s="63" t="n">
        <v>7</v>
      </c>
      <c r="E203" s="63">
        <f>IF('3'!F19="","",TRIM('3'!F19&amp;""))</f>
        <v/>
      </c>
      <c r="F203" s="63">
        <f>IF('3'!G19="","",'3'!G19)</f>
        <v/>
      </c>
      <c r="G203" s="63">
        <f>'3'!H19&amp;""</f>
        <v/>
      </c>
      <c r="H203" s="63">
        <f>IF(OR(A203="",F203=""),"",F203&amp;"|"&amp;A203)</f>
        <v/>
      </c>
      <c r="I203" s="63">
        <f>IF(AND(H203&lt;&gt;"",OR('Historia wózka'!$B$4="",F203='Historia wózka'!$B$4),A203&gt;='Historia wózka'!$B$5,A203&lt;='Historia wózka'!$B$6),A203+0.8+(5000-ROW())/10000000,0)</f>
        <v/>
      </c>
      <c r="J203" s="63">
        <f>Ustawienia!$B$9&amp;""</f>
        <v/>
      </c>
      <c r="K203" s="63">
        <f>IF(H203="","",COUNTIFS('Zgłoszenia'!$B$5:$B$504,F203,'Zgłoszenia'!$D$5:$D$504,"&gt;="&amp;A203,'Zgłoszenia'!$D$5:$D$504,"&lt;="&amp;(A203+1)))</f>
        <v/>
      </c>
      <c r="L203" s="63">
        <f>IF(OR(H203="",K203=0),"—",IF(ISNUMBER(MATCH(H203,'Zgłoszenia'!$S$5:$S$504,0)),RIGHT("0"&amp;DAY(A203),2)&amp;"."&amp;RIGHT("0"&amp;MONTH(A203),2)&amp;"."&amp;YEAR(A203)&amp;": "&amp;INDEX('Zgłoszenia'!$H$5:$H$504,MATCH(H203,'Zgłoszenia'!$S$5:$S$504,0)),RIGHT("0"&amp;DAY((A203+1)),2)&amp;"."&amp;RIGHT("0"&amp;MONTH((A203+1)),2)&amp;"."&amp;YEAR((A203+1))&amp;": "&amp;INDEX('Zgłoszenia'!$H$5:$H$504,MATCH(F203&amp;"|"&amp;(A203+1),'Zgłoszenia'!$S$5:$S$504,0)))&amp;IF(K203&gt;1," (+"&amp;(K203-1)&amp;")",""))</f>
        <v/>
      </c>
      <c r="M203" s="63" t="n">
        <v>3</v>
      </c>
      <c r="N203" s="2" t="n"/>
      <c r="O203" s="2" t="n"/>
    </row>
    <row r="204">
      <c r="A204" s="62">
        <f>IF('3'!$C$1="","",'3'!$C$1)</f>
        <v/>
      </c>
      <c r="B204" s="63">
        <f>Ustawienia!$A$9&amp;""</f>
        <v/>
      </c>
      <c r="C204" s="63">
        <f>Ustawienia!$A$15&amp;""</f>
        <v/>
      </c>
      <c r="D204" s="63" t="n">
        <v>8</v>
      </c>
      <c r="E204" s="63">
        <f>IF('3'!F20="","",TRIM('3'!F20&amp;""))</f>
        <v/>
      </c>
      <c r="F204" s="63">
        <f>IF('3'!G20="","",'3'!G20)</f>
        <v/>
      </c>
      <c r="G204" s="63">
        <f>'3'!H20&amp;""</f>
        <v/>
      </c>
      <c r="H204" s="63">
        <f>IF(OR(A204="",F204=""),"",F204&amp;"|"&amp;A204)</f>
        <v/>
      </c>
      <c r="I204" s="63">
        <f>IF(AND(H204&lt;&gt;"",OR('Historia wózka'!$B$4="",F204='Historia wózka'!$B$4),A204&gt;='Historia wózka'!$B$5,A204&lt;='Historia wózka'!$B$6),A204+0.8+(5000-ROW())/10000000,0)</f>
        <v/>
      </c>
      <c r="J204" s="63">
        <f>Ustawienia!$B$9&amp;""</f>
        <v/>
      </c>
      <c r="K204" s="63">
        <f>IF(H204="","",COUNTIFS('Zgłoszenia'!$B$5:$B$504,F204,'Zgłoszenia'!$D$5:$D$504,"&gt;="&amp;A204,'Zgłoszenia'!$D$5:$D$504,"&lt;="&amp;(A204+1)))</f>
        <v/>
      </c>
      <c r="L204" s="63">
        <f>IF(OR(H204="",K204=0),"—",IF(ISNUMBER(MATCH(H204,'Zgłoszenia'!$S$5:$S$504,0)),RIGHT("0"&amp;DAY(A204),2)&amp;"."&amp;RIGHT("0"&amp;MONTH(A204),2)&amp;"."&amp;YEAR(A204)&amp;": "&amp;INDEX('Zgłoszenia'!$H$5:$H$504,MATCH(H204,'Zgłoszenia'!$S$5:$S$504,0)),RIGHT("0"&amp;DAY((A204+1)),2)&amp;"."&amp;RIGHT("0"&amp;MONTH((A204+1)),2)&amp;"."&amp;YEAR((A204+1))&amp;": "&amp;INDEX('Zgłoszenia'!$H$5:$H$504,MATCH(F204&amp;"|"&amp;(A204+1),'Zgłoszenia'!$S$5:$S$504,0)))&amp;IF(K204&gt;1," (+"&amp;(K204-1)&amp;")",""))</f>
        <v/>
      </c>
      <c r="M204" s="63" t="n">
        <v>3</v>
      </c>
      <c r="N204" s="2" t="n"/>
      <c r="O204" s="2" t="n"/>
    </row>
    <row r="205">
      <c r="A205" s="62">
        <f>IF('3'!$C$1="","",'3'!$C$1)</f>
        <v/>
      </c>
      <c r="B205" s="63">
        <f>Ustawienia!$A$9&amp;""</f>
        <v/>
      </c>
      <c r="C205" s="63">
        <f>Ustawienia!$A$16&amp;""</f>
        <v/>
      </c>
      <c r="D205" s="63" t="n">
        <v>1</v>
      </c>
      <c r="E205" s="63">
        <f>IF('3'!F22="","",TRIM('3'!F22&amp;""))</f>
        <v/>
      </c>
      <c r="F205" s="63">
        <f>IF('3'!G22="","",'3'!G22)</f>
        <v/>
      </c>
      <c r="G205" s="63">
        <f>'3'!H22&amp;""</f>
        <v/>
      </c>
      <c r="H205" s="63">
        <f>IF(OR(A205="",F205=""),"",F205&amp;"|"&amp;A205)</f>
        <v/>
      </c>
      <c r="I205" s="63">
        <f>IF(AND(H205&lt;&gt;"",OR('Historia wózka'!$B$4="",F205='Historia wózka'!$B$4),A205&gt;='Historia wózka'!$B$5,A205&lt;='Historia wózka'!$B$6),A205+0.8+(5000-ROW())/10000000,0)</f>
        <v/>
      </c>
      <c r="J205" s="63">
        <f>Ustawienia!$B$9&amp;""</f>
        <v/>
      </c>
      <c r="K205" s="63">
        <f>IF(H205="","",COUNTIFS('Zgłoszenia'!$B$5:$B$504,F205,'Zgłoszenia'!$D$5:$D$504,"&gt;="&amp;A205,'Zgłoszenia'!$D$5:$D$504,"&lt;="&amp;(A205+1)))</f>
        <v/>
      </c>
      <c r="L205" s="63">
        <f>IF(OR(H205="",K205=0),"—",IF(ISNUMBER(MATCH(H205,'Zgłoszenia'!$S$5:$S$504,0)),RIGHT("0"&amp;DAY(A205),2)&amp;"."&amp;RIGHT("0"&amp;MONTH(A205),2)&amp;"."&amp;YEAR(A205)&amp;": "&amp;INDEX('Zgłoszenia'!$H$5:$H$504,MATCH(H205,'Zgłoszenia'!$S$5:$S$504,0)),RIGHT("0"&amp;DAY((A205+1)),2)&amp;"."&amp;RIGHT("0"&amp;MONTH((A205+1)),2)&amp;"."&amp;YEAR((A205+1))&amp;": "&amp;INDEX('Zgłoszenia'!$H$5:$H$504,MATCH(F205&amp;"|"&amp;(A205+1),'Zgłoszenia'!$S$5:$S$504,0)))&amp;IF(K205&gt;1," (+"&amp;(K205-1)&amp;")",""))</f>
        <v/>
      </c>
      <c r="M205" s="63" t="n">
        <v>3</v>
      </c>
      <c r="N205" s="2" t="n"/>
      <c r="O205" s="2" t="n"/>
    </row>
    <row r="206">
      <c r="A206" s="62">
        <f>IF('3'!$C$1="","",'3'!$C$1)</f>
        <v/>
      </c>
      <c r="B206" s="63">
        <f>Ustawienia!$A$9&amp;""</f>
        <v/>
      </c>
      <c r="C206" s="63">
        <f>Ustawienia!$A$16&amp;""</f>
        <v/>
      </c>
      <c r="D206" s="63" t="n">
        <v>2</v>
      </c>
      <c r="E206" s="63">
        <f>IF('3'!F23="","",TRIM('3'!F23&amp;""))</f>
        <v/>
      </c>
      <c r="F206" s="63">
        <f>IF('3'!G23="","",'3'!G23)</f>
        <v/>
      </c>
      <c r="G206" s="63">
        <f>'3'!H23&amp;""</f>
        <v/>
      </c>
      <c r="H206" s="63">
        <f>IF(OR(A206="",F206=""),"",F206&amp;"|"&amp;A206)</f>
        <v/>
      </c>
      <c r="I206" s="63">
        <f>IF(AND(H206&lt;&gt;"",OR('Historia wózka'!$B$4="",F206='Historia wózka'!$B$4),A206&gt;='Historia wózka'!$B$5,A206&lt;='Historia wózka'!$B$6),A206+0.8+(5000-ROW())/10000000,0)</f>
        <v/>
      </c>
      <c r="J206" s="63">
        <f>Ustawienia!$B$9&amp;""</f>
        <v/>
      </c>
      <c r="K206" s="63">
        <f>IF(H206="","",COUNTIFS('Zgłoszenia'!$B$5:$B$504,F206,'Zgłoszenia'!$D$5:$D$504,"&gt;="&amp;A206,'Zgłoszenia'!$D$5:$D$504,"&lt;="&amp;(A206+1)))</f>
        <v/>
      </c>
      <c r="L206" s="63">
        <f>IF(OR(H206="",K206=0),"—",IF(ISNUMBER(MATCH(H206,'Zgłoszenia'!$S$5:$S$504,0)),RIGHT("0"&amp;DAY(A206),2)&amp;"."&amp;RIGHT("0"&amp;MONTH(A206),2)&amp;"."&amp;YEAR(A206)&amp;": "&amp;INDEX('Zgłoszenia'!$H$5:$H$504,MATCH(H206,'Zgłoszenia'!$S$5:$S$504,0)),RIGHT("0"&amp;DAY((A206+1)),2)&amp;"."&amp;RIGHT("0"&amp;MONTH((A206+1)),2)&amp;"."&amp;YEAR((A206+1))&amp;": "&amp;INDEX('Zgłoszenia'!$H$5:$H$504,MATCH(F206&amp;"|"&amp;(A206+1),'Zgłoszenia'!$S$5:$S$504,0)))&amp;IF(K206&gt;1," (+"&amp;(K206-1)&amp;")",""))</f>
        <v/>
      </c>
      <c r="M206" s="63" t="n">
        <v>3</v>
      </c>
      <c r="N206" s="2" t="n"/>
      <c r="O206" s="2" t="n"/>
    </row>
    <row r="207">
      <c r="A207" s="62">
        <f>IF('3'!$C$1="","",'3'!$C$1)</f>
        <v/>
      </c>
      <c r="B207" s="63">
        <f>Ustawienia!$A$9&amp;""</f>
        <v/>
      </c>
      <c r="C207" s="63">
        <f>Ustawienia!$A$16&amp;""</f>
        <v/>
      </c>
      <c r="D207" s="63" t="n">
        <v>3</v>
      </c>
      <c r="E207" s="63">
        <f>IF('3'!F24="","",TRIM('3'!F24&amp;""))</f>
        <v/>
      </c>
      <c r="F207" s="63">
        <f>IF('3'!G24="","",'3'!G24)</f>
        <v/>
      </c>
      <c r="G207" s="63">
        <f>'3'!H24&amp;""</f>
        <v/>
      </c>
      <c r="H207" s="63">
        <f>IF(OR(A207="",F207=""),"",F207&amp;"|"&amp;A207)</f>
        <v/>
      </c>
      <c r="I207" s="63">
        <f>IF(AND(H207&lt;&gt;"",OR('Historia wózka'!$B$4="",F207='Historia wózka'!$B$4),A207&gt;='Historia wózka'!$B$5,A207&lt;='Historia wózka'!$B$6),A207+0.8+(5000-ROW())/10000000,0)</f>
        <v/>
      </c>
      <c r="J207" s="63">
        <f>Ustawienia!$B$9&amp;""</f>
        <v/>
      </c>
      <c r="K207" s="63">
        <f>IF(H207="","",COUNTIFS('Zgłoszenia'!$B$5:$B$504,F207,'Zgłoszenia'!$D$5:$D$504,"&gt;="&amp;A207,'Zgłoszenia'!$D$5:$D$504,"&lt;="&amp;(A207+1)))</f>
        <v/>
      </c>
      <c r="L207" s="63">
        <f>IF(OR(H207="",K207=0),"—",IF(ISNUMBER(MATCH(H207,'Zgłoszenia'!$S$5:$S$504,0)),RIGHT("0"&amp;DAY(A207),2)&amp;"."&amp;RIGHT("0"&amp;MONTH(A207),2)&amp;"."&amp;YEAR(A207)&amp;": "&amp;INDEX('Zgłoszenia'!$H$5:$H$504,MATCH(H207,'Zgłoszenia'!$S$5:$S$504,0)),RIGHT("0"&amp;DAY((A207+1)),2)&amp;"."&amp;RIGHT("0"&amp;MONTH((A207+1)),2)&amp;"."&amp;YEAR((A207+1))&amp;": "&amp;INDEX('Zgłoszenia'!$H$5:$H$504,MATCH(F207&amp;"|"&amp;(A207+1),'Zgłoszenia'!$S$5:$S$504,0)))&amp;IF(K207&gt;1," (+"&amp;(K207-1)&amp;")",""))</f>
        <v/>
      </c>
      <c r="M207" s="63" t="n">
        <v>3</v>
      </c>
      <c r="N207" s="2" t="n"/>
      <c r="O207" s="2" t="n"/>
    </row>
    <row r="208">
      <c r="A208" s="62">
        <f>IF('3'!$C$1="","",'3'!$C$1)</f>
        <v/>
      </c>
      <c r="B208" s="63">
        <f>Ustawienia!$A$9&amp;""</f>
        <v/>
      </c>
      <c r="C208" s="63">
        <f>Ustawienia!$A$16&amp;""</f>
        <v/>
      </c>
      <c r="D208" s="63" t="n">
        <v>4</v>
      </c>
      <c r="E208" s="63">
        <f>IF('3'!F25="","",TRIM('3'!F25&amp;""))</f>
        <v/>
      </c>
      <c r="F208" s="63">
        <f>IF('3'!G25="","",'3'!G25)</f>
        <v/>
      </c>
      <c r="G208" s="63">
        <f>'3'!H25&amp;""</f>
        <v/>
      </c>
      <c r="H208" s="63">
        <f>IF(OR(A208="",F208=""),"",F208&amp;"|"&amp;A208)</f>
        <v/>
      </c>
      <c r="I208" s="63">
        <f>IF(AND(H208&lt;&gt;"",OR('Historia wózka'!$B$4="",F208='Historia wózka'!$B$4),A208&gt;='Historia wózka'!$B$5,A208&lt;='Historia wózka'!$B$6),A208+0.8+(5000-ROW())/10000000,0)</f>
        <v/>
      </c>
      <c r="J208" s="63">
        <f>Ustawienia!$B$9&amp;""</f>
        <v/>
      </c>
      <c r="K208" s="63">
        <f>IF(H208="","",COUNTIFS('Zgłoszenia'!$B$5:$B$504,F208,'Zgłoszenia'!$D$5:$D$504,"&gt;="&amp;A208,'Zgłoszenia'!$D$5:$D$504,"&lt;="&amp;(A208+1)))</f>
        <v/>
      </c>
      <c r="L208" s="63">
        <f>IF(OR(H208="",K208=0),"—",IF(ISNUMBER(MATCH(H208,'Zgłoszenia'!$S$5:$S$504,0)),RIGHT("0"&amp;DAY(A208),2)&amp;"."&amp;RIGHT("0"&amp;MONTH(A208),2)&amp;"."&amp;YEAR(A208)&amp;": "&amp;INDEX('Zgłoszenia'!$H$5:$H$504,MATCH(H208,'Zgłoszenia'!$S$5:$S$504,0)),RIGHT("0"&amp;DAY((A208+1)),2)&amp;"."&amp;RIGHT("0"&amp;MONTH((A208+1)),2)&amp;"."&amp;YEAR((A208+1))&amp;": "&amp;INDEX('Zgłoszenia'!$H$5:$H$504,MATCH(F208&amp;"|"&amp;(A208+1),'Zgłoszenia'!$S$5:$S$504,0)))&amp;IF(K208&gt;1," (+"&amp;(K208-1)&amp;")",""))</f>
        <v/>
      </c>
      <c r="M208" s="63" t="n">
        <v>3</v>
      </c>
      <c r="N208" s="2" t="n"/>
      <c r="O208" s="2" t="n"/>
    </row>
    <row r="209">
      <c r="A209" s="62">
        <f>IF('3'!$C$1="","",'3'!$C$1)</f>
        <v/>
      </c>
      <c r="B209" s="63">
        <f>Ustawienia!$A$9&amp;""</f>
        <v/>
      </c>
      <c r="C209" s="63">
        <f>Ustawienia!$A$17&amp;""</f>
        <v/>
      </c>
      <c r="D209" s="63" t="n">
        <v>1</v>
      </c>
      <c r="E209" s="63">
        <f>IF('3'!F27="","",TRIM('3'!F27&amp;""))</f>
        <v/>
      </c>
      <c r="F209" s="63">
        <f>IF('3'!G27="","",'3'!G27)</f>
        <v/>
      </c>
      <c r="G209" s="63">
        <f>'3'!H27&amp;""</f>
        <v/>
      </c>
      <c r="H209" s="63">
        <f>IF(OR(A209="",F209=""),"",F209&amp;"|"&amp;A209)</f>
        <v/>
      </c>
      <c r="I209" s="63">
        <f>IF(AND(H209&lt;&gt;"",OR('Historia wózka'!$B$4="",F209='Historia wózka'!$B$4),A209&gt;='Historia wózka'!$B$5,A209&lt;='Historia wózka'!$B$6),A209+0.8+(5000-ROW())/10000000,0)</f>
        <v/>
      </c>
      <c r="J209" s="63">
        <f>Ustawienia!$B$9&amp;""</f>
        <v/>
      </c>
      <c r="K209" s="63">
        <f>IF(H209="","",COUNTIFS('Zgłoszenia'!$B$5:$B$504,F209,'Zgłoszenia'!$D$5:$D$504,"&gt;="&amp;A209,'Zgłoszenia'!$D$5:$D$504,"&lt;="&amp;(A209+1)))</f>
        <v/>
      </c>
      <c r="L209" s="63">
        <f>IF(OR(H209="",K209=0),"—",IF(ISNUMBER(MATCH(H209,'Zgłoszenia'!$S$5:$S$504,0)),RIGHT("0"&amp;DAY(A209),2)&amp;"."&amp;RIGHT("0"&amp;MONTH(A209),2)&amp;"."&amp;YEAR(A209)&amp;": "&amp;INDEX('Zgłoszenia'!$H$5:$H$504,MATCH(H209,'Zgłoszenia'!$S$5:$S$504,0)),RIGHT("0"&amp;DAY((A209+1)),2)&amp;"."&amp;RIGHT("0"&amp;MONTH((A209+1)),2)&amp;"."&amp;YEAR((A209+1))&amp;": "&amp;INDEX('Zgłoszenia'!$H$5:$H$504,MATCH(F209&amp;"|"&amp;(A209+1),'Zgłoszenia'!$S$5:$S$504,0)))&amp;IF(K209&gt;1," (+"&amp;(K209-1)&amp;")",""))</f>
        <v/>
      </c>
      <c r="M209" s="63" t="n">
        <v>3</v>
      </c>
      <c r="N209" s="2" t="n"/>
      <c r="O209" s="2" t="n"/>
    </row>
    <row r="210">
      <c r="A210" s="62">
        <f>IF('3'!$C$1="","",'3'!$C$1)</f>
        <v/>
      </c>
      <c r="B210" s="63">
        <f>Ustawienia!$A$9&amp;""</f>
        <v/>
      </c>
      <c r="C210" s="63">
        <f>Ustawienia!$A$17&amp;""</f>
        <v/>
      </c>
      <c r="D210" s="63" t="n">
        <v>2</v>
      </c>
      <c r="E210" s="63">
        <f>IF('3'!F28="","",TRIM('3'!F28&amp;""))</f>
        <v/>
      </c>
      <c r="F210" s="63">
        <f>IF('3'!G28="","",'3'!G28)</f>
        <v/>
      </c>
      <c r="G210" s="63">
        <f>'3'!H28&amp;""</f>
        <v/>
      </c>
      <c r="H210" s="63">
        <f>IF(OR(A210="",F210=""),"",F210&amp;"|"&amp;A210)</f>
        <v/>
      </c>
      <c r="I210" s="63">
        <f>IF(AND(H210&lt;&gt;"",OR('Historia wózka'!$B$4="",F210='Historia wózka'!$B$4),A210&gt;='Historia wózka'!$B$5,A210&lt;='Historia wózka'!$B$6),A210+0.8+(5000-ROW())/10000000,0)</f>
        <v/>
      </c>
      <c r="J210" s="63">
        <f>Ustawienia!$B$9&amp;""</f>
        <v/>
      </c>
      <c r="K210" s="63">
        <f>IF(H210="","",COUNTIFS('Zgłoszenia'!$B$5:$B$504,F210,'Zgłoszenia'!$D$5:$D$504,"&gt;="&amp;A210,'Zgłoszenia'!$D$5:$D$504,"&lt;="&amp;(A210+1)))</f>
        <v/>
      </c>
      <c r="L210" s="63">
        <f>IF(OR(H210="",K210=0),"—",IF(ISNUMBER(MATCH(H210,'Zgłoszenia'!$S$5:$S$504,0)),RIGHT("0"&amp;DAY(A210),2)&amp;"."&amp;RIGHT("0"&amp;MONTH(A210),2)&amp;"."&amp;YEAR(A210)&amp;": "&amp;INDEX('Zgłoszenia'!$H$5:$H$504,MATCH(H210,'Zgłoszenia'!$S$5:$S$504,0)),RIGHT("0"&amp;DAY((A210+1)),2)&amp;"."&amp;RIGHT("0"&amp;MONTH((A210+1)),2)&amp;"."&amp;YEAR((A210+1))&amp;": "&amp;INDEX('Zgłoszenia'!$H$5:$H$504,MATCH(F210&amp;"|"&amp;(A210+1),'Zgłoszenia'!$S$5:$S$504,0)))&amp;IF(K210&gt;1," (+"&amp;(K210-1)&amp;")",""))</f>
        <v/>
      </c>
      <c r="M210" s="63" t="n">
        <v>3</v>
      </c>
      <c r="N210" s="2" t="n"/>
      <c r="O210" s="2" t="n"/>
    </row>
    <row r="211">
      <c r="A211" s="62">
        <f>IF('3'!$C$1="","",'3'!$C$1)</f>
        <v/>
      </c>
      <c r="B211" s="63">
        <f>Ustawienia!$A$9&amp;""</f>
        <v/>
      </c>
      <c r="C211" s="63">
        <f>Ustawienia!$A$17&amp;""</f>
        <v/>
      </c>
      <c r="D211" s="63" t="n">
        <v>3</v>
      </c>
      <c r="E211" s="63">
        <f>IF('3'!F29="","",TRIM('3'!F29&amp;""))</f>
        <v/>
      </c>
      <c r="F211" s="63">
        <f>IF('3'!G29="","",'3'!G29)</f>
        <v/>
      </c>
      <c r="G211" s="63">
        <f>'3'!H29&amp;""</f>
        <v/>
      </c>
      <c r="H211" s="63">
        <f>IF(OR(A211="",F211=""),"",F211&amp;"|"&amp;A211)</f>
        <v/>
      </c>
      <c r="I211" s="63">
        <f>IF(AND(H211&lt;&gt;"",OR('Historia wózka'!$B$4="",F211='Historia wózka'!$B$4),A211&gt;='Historia wózka'!$B$5,A211&lt;='Historia wózka'!$B$6),A211+0.8+(5000-ROW())/10000000,0)</f>
        <v/>
      </c>
      <c r="J211" s="63">
        <f>Ustawienia!$B$9&amp;""</f>
        <v/>
      </c>
      <c r="K211" s="63">
        <f>IF(H211="","",COUNTIFS('Zgłoszenia'!$B$5:$B$504,F211,'Zgłoszenia'!$D$5:$D$504,"&gt;="&amp;A211,'Zgłoszenia'!$D$5:$D$504,"&lt;="&amp;(A211+1)))</f>
        <v/>
      </c>
      <c r="L211" s="63">
        <f>IF(OR(H211="",K211=0),"—",IF(ISNUMBER(MATCH(H211,'Zgłoszenia'!$S$5:$S$504,0)),RIGHT("0"&amp;DAY(A211),2)&amp;"."&amp;RIGHT("0"&amp;MONTH(A211),2)&amp;"."&amp;YEAR(A211)&amp;": "&amp;INDEX('Zgłoszenia'!$H$5:$H$504,MATCH(H211,'Zgłoszenia'!$S$5:$S$504,0)),RIGHT("0"&amp;DAY((A211+1)),2)&amp;"."&amp;RIGHT("0"&amp;MONTH((A211+1)),2)&amp;"."&amp;YEAR((A211+1))&amp;": "&amp;INDEX('Zgłoszenia'!$H$5:$H$504,MATCH(F211&amp;"|"&amp;(A211+1),'Zgłoszenia'!$S$5:$S$504,0)))&amp;IF(K211&gt;1," (+"&amp;(K211-1)&amp;")",""))</f>
        <v/>
      </c>
      <c r="M211" s="63" t="n">
        <v>3</v>
      </c>
      <c r="N211" s="2" t="n"/>
      <c r="O211" s="2" t="n"/>
    </row>
    <row r="212">
      <c r="A212" s="62">
        <f>IF('3'!$C$1="","",'3'!$C$1)</f>
        <v/>
      </c>
      <c r="B212" s="63">
        <f>Ustawienia!$A$9&amp;""</f>
        <v/>
      </c>
      <c r="C212" s="63">
        <f>Ustawienia!$A$17&amp;""</f>
        <v/>
      </c>
      <c r="D212" s="63" t="n">
        <v>4</v>
      </c>
      <c r="E212" s="63">
        <f>IF('3'!F30="","",TRIM('3'!F30&amp;""))</f>
        <v/>
      </c>
      <c r="F212" s="63">
        <f>IF('3'!G30="","",'3'!G30)</f>
        <v/>
      </c>
      <c r="G212" s="63">
        <f>'3'!H30&amp;""</f>
        <v/>
      </c>
      <c r="H212" s="63">
        <f>IF(OR(A212="",F212=""),"",F212&amp;"|"&amp;A212)</f>
        <v/>
      </c>
      <c r="I212" s="63">
        <f>IF(AND(H212&lt;&gt;"",OR('Historia wózka'!$B$4="",F212='Historia wózka'!$B$4),A212&gt;='Historia wózka'!$B$5,A212&lt;='Historia wózka'!$B$6),A212+0.8+(5000-ROW())/10000000,0)</f>
        <v/>
      </c>
      <c r="J212" s="63">
        <f>Ustawienia!$B$9&amp;""</f>
        <v/>
      </c>
      <c r="K212" s="63">
        <f>IF(H212="","",COUNTIFS('Zgłoszenia'!$B$5:$B$504,F212,'Zgłoszenia'!$D$5:$D$504,"&gt;="&amp;A212,'Zgłoszenia'!$D$5:$D$504,"&lt;="&amp;(A212+1)))</f>
        <v/>
      </c>
      <c r="L212" s="63">
        <f>IF(OR(H212="",K212=0),"—",IF(ISNUMBER(MATCH(H212,'Zgłoszenia'!$S$5:$S$504,0)),RIGHT("0"&amp;DAY(A212),2)&amp;"."&amp;RIGHT("0"&amp;MONTH(A212),2)&amp;"."&amp;YEAR(A212)&amp;": "&amp;INDEX('Zgłoszenia'!$H$5:$H$504,MATCH(H212,'Zgłoszenia'!$S$5:$S$504,0)),RIGHT("0"&amp;DAY((A212+1)),2)&amp;"."&amp;RIGHT("0"&amp;MONTH((A212+1)),2)&amp;"."&amp;YEAR((A212+1))&amp;": "&amp;INDEX('Zgłoszenia'!$H$5:$H$504,MATCH(F212&amp;"|"&amp;(A212+1),'Zgłoszenia'!$S$5:$S$504,0)))&amp;IF(K212&gt;1," (+"&amp;(K212-1)&amp;")",""))</f>
        <v/>
      </c>
      <c r="M212" s="63" t="n">
        <v>3</v>
      </c>
      <c r="N212" s="2" t="n"/>
      <c r="O212" s="2" t="n"/>
    </row>
    <row r="213">
      <c r="A213" s="62">
        <f>IF('3'!$C$1="","",'3'!$C$1)</f>
        <v/>
      </c>
      <c r="B213" s="63">
        <f>Ustawienia!$A$9&amp;""</f>
        <v/>
      </c>
      <c r="C213" s="63">
        <f>Ustawienia!$A$18&amp;""</f>
        <v/>
      </c>
      <c r="D213" s="63" t="n">
        <v>1</v>
      </c>
      <c r="E213" s="63">
        <f>IF('3'!F32="","",TRIM('3'!F32&amp;""))</f>
        <v/>
      </c>
      <c r="F213" s="63">
        <f>IF('3'!G32="","",'3'!G32)</f>
        <v/>
      </c>
      <c r="G213" s="63">
        <f>'3'!H32&amp;""</f>
        <v/>
      </c>
      <c r="H213" s="63">
        <f>IF(OR(A213="",F213=""),"",F213&amp;"|"&amp;A213)</f>
        <v/>
      </c>
      <c r="I213" s="63">
        <f>IF(AND(H213&lt;&gt;"",OR('Historia wózka'!$B$4="",F213='Historia wózka'!$B$4),A213&gt;='Historia wózka'!$B$5,A213&lt;='Historia wózka'!$B$6),A213+0.8+(5000-ROW())/10000000,0)</f>
        <v/>
      </c>
      <c r="J213" s="63">
        <f>Ustawienia!$B$9&amp;""</f>
        <v/>
      </c>
      <c r="K213" s="63">
        <f>IF(H213="","",COUNTIFS('Zgłoszenia'!$B$5:$B$504,F213,'Zgłoszenia'!$D$5:$D$504,"&gt;="&amp;A213,'Zgłoszenia'!$D$5:$D$504,"&lt;="&amp;(A213+1)))</f>
        <v/>
      </c>
      <c r="L213" s="63">
        <f>IF(OR(H213="",K213=0),"—",IF(ISNUMBER(MATCH(H213,'Zgłoszenia'!$S$5:$S$504,0)),RIGHT("0"&amp;DAY(A213),2)&amp;"."&amp;RIGHT("0"&amp;MONTH(A213),2)&amp;"."&amp;YEAR(A213)&amp;": "&amp;INDEX('Zgłoszenia'!$H$5:$H$504,MATCH(H213,'Zgłoszenia'!$S$5:$S$504,0)),RIGHT("0"&amp;DAY((A213+1)),2)&amp;"."&amp;RIGHT("0"&amp;MONTH((A213+1)),2)&amp;"."&amp;YEAR((A213+1))&amp;": "&amp;INDEX('Zgłoszenia'!$H$5:$H$504,MATCH(F213&amp;"|"&amp;(A213+1),'Zgłoszenia'!$S$5:$S$504,0)))&amp;IF(K213&gt;1," (+"&amp;(K213-1)&amp;")",""))</f>
        <v/>
      </c>
      <c r="M213" s="63" t="n">
        <v>3</v>
      </c>
      <c r="N213" s="2" t="n"/>
      <c r="O213" s="2" t="n"/>
    </row>
    <row r="214">
      <c r="A214" s="62">
        <f>IF('3'!$C$1="","",'3'!$C$1)</f>
        <v/>
      </c>
      <c r="B214" s="63">
        <f>Ustawienia!$A$9&amp;""</f>
        <v/>
      </c>
      <c r="C214" s="63">
        <f>Ustawienia!$A$18&amp;""</f>
        <v/>
      </c>
      <c r="D214" s="63" t="n">
        <v>2</v>
      </c>
      <c r="E214" s="63">
        <f>IF('3'!F33="","",TRIM('3'!F33&amp;""))</f>
        <v/>
      </c>
      <c r="F214" s="63">
        <f>IF('3'!G33="","",'3'!G33)</f>
        <v/>
      </c>
      <c r="G214" s="63">
        <f>'3'!H33&amp;""</f>
        <v/>
      </c>
      <c r="H214" s="63">
        <f>IF(OR(A214="",F214=""),"",F214&amp;"|"&amp;A214)</f>
        <v/>
      </c>
      <c r="I214" s="63">
        <f>IF(AND(H214&lt;&gt;"",OR('Historia wózka'!$B$4="",F214='Historia wózka'!$B$4),A214&gt;='Historia wózka'!$B$5,A214&lt;='Historia wózka'!$B$6),A214+0.8+(5000-ROW())/10000000,0)</f>
        <v/>
      </c>
      <c r="J214" s="63">
        <f>Ustawienia!$B$9&amp;""</f>
        <v/>
      </c>
      <c r="K214" s="63">
        <f>IF(H214="","",COUNTIFS('Zgłoszenia'!$B$5:$B$504,F214,'Zgłoszenia'!$D$5:$D$504,"&gt;="&amp;A214,'Zgłoszenia'!$D$5:$D$504,"&lt;="&amp;(A214+1)))</f>
        <v/>
      </c>
      <c r="L214" s="63">
        <f>IF(OR(H214="",K214=0),"—",IF(ISNUMBER(MATCH(H214,'Zgłoszenia'!$S$5:$S$504,0)),RIGHT("0"&amp;DAY(A214),2)&amp;"."&amp;RIGHT("0"&amp;MONTH(A214),2)&amp;"."&amp;YEAR(A214)&amp;": "&amp;INDEX('Zgłoszenia'!$H$5:$H$504,MATCH(H214,'Zgłoszenia'!$S$5:$S$504,0)),RIGHT("0"&amp;DAY((A214+1)),2)&amp;"."&amp;RIGHT("0"&amp;MONTH((A214+1)),2)&amp;"."&amp;YEAR((A214+1))&amp;": "&amp;INDEX('Zgłoszenia'!$H$5:$H$504,MATCH(F214&amp;"|"&amp;(A214+1),'Zgłoszenia'!$S$5:$S$504,0)))&amp;IF(K214&gt;1," (+"&amp;(K214-1)&amp;")",""))</f>
        <v/>
      </c>
      <c r="M214" s="63" t="n">
        <v>3</v>
      </c>
      <c r="N214" s="2" t="n"/>
      <c r="O214" s="2" t="n"/>
    </row>
    <row r="215">
      <c r="A215" s="62">
        <f>IF('3'!$C$1="","",'3'!$C$1)</f>
        <v/>
      </c>
      <c r="B215" s="63">
        <f>Ustawienia!$A$9&amp;""</f>
        <v/>
      </c>
      <c r="C215" s="63">
        <f>Ustawienia!$A$18&amp;""</f>
        <v/>
      </c>
      <c r="D215" s="63" t="n">
        <v>3</v>
      </c>
      <c r="E215" s="63">
        <f>IF('3'!F34="","",TRIM('3'!F34&amp;""))</f>
        <v/>
      </c>
      <c r="F215" s="63">
        <f>IF('3'!G34="","",'3'!G34)</f>
        <v/>
      </c>
      <c r="G215" s="63">
        <f>'3'!H34&amp;""</f>
        <v/>
      </c>
      <c r="H215" s="63">
        <f>IF(OR(A215="",F215=""),"",F215&amp;"|"&amp;A215)</f>
        <v/>
      </c>
      <c r="I215" s="63">
        <f>IF(AND(H215&lt;&gt;"",OR('Historia wózka'!$B$4="",F215='Historia wózka'!$B$4),A215&gt;='Historia wózka'!$B$5,A215&lt;='Historia wózka'!$B$6),A215+0.8+(5000-ROW())/10000000,0)</f>
        <v/>
      </c>
      <c r="J215" s="63">
        <f>Ustawienia!$B$9&amp;""</f>
        <v/>
      </c>
      <c r="K215" s="63">
        <f>IF(H215="","",COUNTIFS('Zgłoszenia'!$B$5:$B$504,F215,'Zgłoszenia'!$D$5:$D$504,"&gt;="&amp;A215,'Zgłoszenia'!$D$5:$D$504,"&lt;="&amp;(A215+1)))</f>
        <v/>
      </c>
      <c r="L215" s="63">
        <f>IF(OR(H215="",K215=0),"—",IF(ISNUMBER(MATCH(H215,'Zgłoszenia'!$S$5:$S$504,0)),RIGHT("0"&amp;DAY(A215),2)&amp;"."&amp;RIGHT("0"&amp;MONTH(A215),2)&amp;"."&amp;YEAR(A215)&amp;": "&amp;INDEX('Zgłoszenia'!$H$5:$H$504,MATCH(H215,'Zgłoszenia'!$S$5:$S$504,0)),RIGHT("0"&amp;DAY((A215+1)),2)&amp;"."&amp;RIGHT("0"&amp;MONTH((A215+1)),2)&amp;"."&amp;YEAR((A215+1))&amp;": "&amp;INDEX('Zgłoszenia'!$H$5:$H$504,MATCH(F215&amp;"|"&amp;(A215+1),'Zgłoszenia'!$S$5:$S$504,0)))&amp;IF(K215&gt;1," (+"&amp;(K215-1)&amp;")",""))</f>
        <v/>
      </c>
      <c r="M215" s="63" t="n">
        <v>3</v>
      </c>
      <c r="N215" s="2" t="n"/>
      <c r="O215" s="2" t="n"/>
    </row>
    <row r="216">
      <c r="A216" s="62">
        <f>IF('3'!$C$1="","",'3'!$C$1)</f>
        <v/>
      </c>
      <c r="B216" s="63">
        <f>Ustawienia!$A$9&amp;""</f>
        <v/>
      </c>
      <c r="C216" s="63">
        <f>Ustawienia!$A$18&amp;""</f>
        <v/>
      </c>
      <c r="D216" s="63" t="n">
        <v>4</v>
      </c>
      <c r="E216" s="63">
        <f>IF('3'!F35="","",TRIM('3'!F35&amp;""))</f>
        <v/>
      </c>
      <c r="F216" s="63">
        <f>IF('3'!G35="","",'3'!G35)</f>
        <v/>
      </c>
      <c r="G216" s="63">
        <f>'3'!H35&amp;""</f>
        <v/>
      </c>
      <c r="H216" s="63">
        <f>IF(OR(A216="",F216=""),"",F216&amp;"|"&amp;A216)</f>
        <v/>
      </c>
      <c r="I216" s="63">
        <f>IF(AND(H216&lt;&gt;"",OR('Historia wózka'!$B$4="",F216='Historia wózka'!$B$4),A216&gt;='Historia wózka'!$B$5,A216&lt;='Historia wózka'!$B$6),A216+0.8+(5000-ROW())/10000000,0)</f>
        <v/>
      </c>
      <c r="J216" s="63">
        <f>Ustawienia!$B$9&amp;""</f>
        <v/>
      </c>
      <c r="K216" s="63">
        <f>IF(H216="","",COUNTIFS('Zgłoszenia'!$B$5:$B$504,F216,'Zgłoszenia'!$D$5:$D$504,"&gt;="&amp;A216,'Zgłoszenia'!$D$5:$D$504,"&lt;="&amp;(A216+1)))</f>
        <v/>
      </c>
      <c r="L216" s="63">
        <f>IF(OR(H216="",K216=0),"—",IF(ISNUMBER(MATCH(H216,'Zgłoszenia'!$S$5:$S$504,0)),RIGHT("0"&amp;DAY(A216),2)&amp;"."&amp;RIGHT("0"&amp;MONTH(A216),2)&amp;"."&amp;YEAR(A216)&amp;": "&amp;INDEX('Zgłoszenia'!$H$5:$H$504,MATCH(H216,'Zgłoszenia'!$S$5:$S$504,0)),RIGHT("0"&amp;DAY((A216+1)),2)&amp;"."&amp;RIGHT("0"&amp;MONTH((A216+1)),2)&amp;"."&amp;YEAR((A216+1))&amp;": "&amp;INDEX('Zgłoszenia'!$H$5:$H$504,MATCH(F216&amp;"|"&amp;(A216+1),'Zgłoszenia'!$S$5:$S$504,0)))&amp;IF(K216&gt;1," (+"&amp;(K216-1)&amp;")",""))</f>
        <v/>
      </c>
      <c r="M216" s="63" t="n">
        <v>3</v>
      </c>
      <c r="N216" s="2" t="n"/>
      <c r="O216" s="2" t="n"/>
    </row>
    <row r="217">
      <c r="A217" s="62">
        <f>IF('3'!$C$1="","",'3'!$C$1)</f>
        <v/>
      </c>
      <c r="B217" s="63">
        <f>Ustawienia!$A$9&amp;""</f>
        <v/>
      </c>
      <c r="C217" s="63">
        <f>Ustawienia!$A$18&amp;""</f>
        <v/>
      </c>
      <c r="D217" s="63" t="n">
        <v>5</v>
      </c>
      <c r="E217" s="63">
        <f>IF('3'!F36="","",TRIM('3'!F36&amp;""))</f>
        <v/>
      </c>
      <c r="F217" s="63">
        <f>IF('3'!G36="","",'3'!G36)</f>
        <v/>
      </c>
      <c r="G217" s="63">
        <f>'3'!H36&amp;""</f>
        <v/>
      </c>
      <c r="H217" s="63">
        <f>IF(OR(A217="",F217=""),"",F217&amp;"|"&amp;A217)</f>
        <v/>
      </c>
      <c r="I217" s="63">
        <f>IF(AND(H217&lt;&gt;"",OR('Historia wózka'!$B$4="",F217='Historia wózka'!$B$4),A217&gt;='Historia wózka'!$B$5,A217&lt;='Historia wózka'!$B$6),A217+0.8+(5000-ROW())/10000000,0)</f>
        <v/>
      </c>
      <c r="J217" s="63">
        <f>Ustawienia!$B$9&amp;""</f>
        <v/>
      </c>
      <c r="K217" s="63">
        <f>IF(H217="","",COUNTIFS('Zgłoszenia'!$B$5:$B$504,F217,'Zgłoszenia'!$D$5:$D$504,"&gt;="&amp;A217,'Zgłoszenia'!$D$5:$D$504,"&lt;="&amp;(A217+1)))</f>
        <v/>
      </c>
      <c r="L217" s="63">
        <f>IF(OR(H217="",K217=0),"—",IF(ISNUMBER(MATCH(H217,'Zgłoszenia'!$S$5:$S$504,0)),RIGHT("0"&amp;DAY(A217),2)&amp;"."&amp;RIGHT("0"&amp;MONTH(A217),2)&amp;"."&amp;YEAR(A217)&amp;": "&amp;INDEX('Zgłoszenia'!$H$5:$H$504,MATCH(H217,'Zgłoszenia'!$S$5:$S$504,0)),RIGHT("0"&amp;DAY((A217+1)),2)&amp;"."&amp;RIGHT("0"&amp;MONTH((A217+1)),2)&amp;"."&amp;YEAR((A217+1))&amp;": "&amp;INDEX('Zgłoszenia'!$H$5:$H$504,MATCH(F217&amp;"|"&amp;(A217+1),'Zgłoszenia'!$S$5:$S$504,0)))&amp;IF(K217&gt;1," (+"&amp;(K217-1)&amp;")",""))</f>
        <v/>
      </c>
      <c r="M217" s="63" t="n">
        <v>3</v>
      </c>
      <c r="N217" s="2" t="n"/>
      <c r="O217" s="2" t="n"/>
    </row>
    <row r="218">
      <c r="A218" s="62">
        <f>IF('3'!$C$1="","",'3'!$C$1)</f>
        <v/>
      </c>
      <c r="B218" s="63">
        <f>Ustawienia!$A$10&amp;""</f>
        <v/>
      </c>
      <c r="C218" s="63">
        <f>Ustawienia!$A$14&amp;""</f>
        <v/>
      </c>
      <c r="D218" s="63" t="n">
        <v>1</v>
      </c>
      <c r="E218" s="63">
        <f>IF('3'!J6="","",TRIM('3'!J6&amp;""))</f>
        <v/>
      </c>
      <c r="F218" s="63">
        <f>IF('3'!K6="","",'3'!K6)</f>
        <v/>
      </c>
      <c r="G218" s="63">
        <f>'3'!L6&amp;""</f>
        <v/>
      </c>
      <c r="H218" s="63">
        <f>IF(OR(A218="",F218=""),"",F218&amp;"|"&amp;A218)</f>
        <v/>
      </c>
      <c r="I218" s="63">
        <f>IF(AND(H218&lt;&gt;"",OR('Historia wózka'!$B$4="",F218='Historia wózka'!$B$4),A218&gt;='Historia wózka'!$B$5,A218&lt;='Historia wózka'!$B$6),A218+0.7+(5000-ROW())/10000000,0)</f>
        <v/>
      </c>
      <c r="J218" s="63">
        <f>Ustawienia!$B$10&amp;""</f>
        <v/>
      </c>
      <c r="K218" s="63">
        <f>IF(H218="","",COUNTIFS('Zgłoszenia'!$B$5:$B$504,F218,'Zgłoszenia'!$D$5:$D$504,"&gt;="&amp;A218,'Zgłoszenia'!$D$5:$D$504,"&lt;="&amp;(A218+1)))</f>
        <v/>
      </c>
      <c r="L218" s="63">
        <f>IF(OR(H218="",K218=0),"—",IF(ISNUMBER(MATCH(H218,'Zgłoszenia'!$S$5:$S$504,0)),RIGHT("0"&amp;DAY(A218),2)&amp;"."&amp;RIGHT("0"&amp;MONTH(A218),2)&amp;"."&amp;YEAR(A218)&amp;": "&amp;INDEX('Zgłoszenia'!$H$5:$H$504,MATCH(H218,'Zgłoszenia'!$S$5:$S$504,0)),RIGHT("0"&amp;DAY((A218+1)),2)&amp;"."&amp;RIGHT("0"&amp;MONTH((A218+1)),2)&amp;"."&amp;YEAR((A218+1))&amp;": "&amp;INDEX('Zgłoszenia'!$H$5:$H$504,MATCH(F218&amp;"|"&amp;(A218+1),'Zgłoszenia'!$S$5:$S$504,0)))&amp;IF(K218&gt;1," (+"&amp;(K218-1)&amp;")",""))</f>
        <v/>
      </c>
      <c r="M218" s="63" t="n">
        <v>3</v>
      </c>
      <c r="N218" s="2" t="n"/>
      <c r="O218" s="2" t="n"/>
    </row>
    <row r="219">
      <c r="A219" s="62">
        <f>IF('3'!$C$1="","",'3'!$C$1)</f>
        <v/>
      </c>
      <c r="B219" s="63">
        <f>Ustawienia!$A$10&amp;""</f>
        <v/>
      </c>
      <c r="C219" s="63">
        <f>Ustawienia!$A$14&amp;""</f>
        <v/>
      </c>
      <c r="D219" s="63" t="n">
        <v>2</v>
      </c>
      <c r="E219" s="63">
        <f>IF('3'!J7="","",TRIM('3'!J7&amp;""))</f>
        <v/>
      </c>
      <c r="F219" s="63">
        <f>IF('3'!K7="","",'3'!K7)</f>
        <v/>
      </c>
      <c r="G219" s="63">
        <f>'3'!L7&amp;""</f>
        <v/>
      </c>
      <c r="H219" s="63">
        <f>IF(OR(A219="",F219=""),"",F219&amp;"|"&amp;A219)</f>
        <v/>
      </c>
      <c r="I219" s="63">
        <f>IF(AND(H219&lt;&gt;"",OR('Historia wózka'!$B$4="",F219='Historia wózka'!$B$4),A219&gt;='Historia wózka'!$B$5,A219&lt;='Historia wózka'!$B$6),A219+0.7+(5000-ROW())/10000000,0)</f>
        <v/>
      </c>
      <c r="J219" s="63">
        <f>Ustawienia!$B$10&amp;""</f>
        <v/>
      </c>
      <c r="K219" s="63">
        <f>IF(H219="","",COUNTIFS('Zgłoszenia'!$B$5:$B$504,F219,'Zgłoszenia'!$D$5:$D$504,"&gt;="&amp;A219,'Zgłoszenia'!$D$5:$D$504,"&lt;="&amp;(A219+1)))</f>
        <v/>
      </c>
      <c r="L219" s="63">
        <f>IF(OR(H219="",K219=0),"—",IF(ISNUMBER(MATCH(H219,'Zgłoszenia'!$S$5:$S$504,0)),RIGHT("0"&amp;DAY(A219),2)&amp;"."&amp;RIGHT("0"&amp;MONTH(A219),2)&amp;"."&amp;YEAR(A219)&amp;": "&amp;INDEX('Zgłoszenia'!$H$5:$H$504,MATCH(H219,'Zgłoszenia'!$S$5:$S$504,0)),RIGHT("0"&amp;DAY((A219+1)),2)&amp;"."&amp;RIGHT("0"&amp;MONTH((A219+1)),2)&amp;"."&amp;YEAR((A219+1))&amp;": "&amp;INDEX('Zgłoszenia'!$H$5:$H$504,MATCH(F219&amp;"|"&amp;(A219+1),'Zgłoszenia'!$S$5:$S$504,0)))&amp;IF(K219&gt;1," (+"&amp;(K219-1)&amp;")",""))</f>
        <v/>
      </c>
      <c r="M219" s="63" t="n">
        <v>3</v>
      </c>
      <c r="N219" s="2" t="n"/>
      <c r="O219" s="2" t="n"/>
    </row>
    <row r="220">
      <c r="A220" s="62">
        <f>IF('3'!$C$1="","",'3'!$C$1)</f>
        <v/>
      </c>
      <c r="B220" s="63">
        <f>Ustawienia!$A$10&amp;""</f>
        <v/>
      </c>
      <c r="C220" s="63">
        <f>Ustawienia!$A$14&amp;""</f>
        <v/>
      </c>
      <c r="D220" s="63" t="n">
        <v>3</v>
      </c>
      <c r="E220" s="63">
        <f>IF('3'!J8="","",TRIM('3'!J8&amp;""))</f>
        <v/>
      </c>
      <c r="F220" s="63">
        <f>IF('3'!K8="","",'3'!K8)</f>
        <v/>
      </c>
      <c r="G220" s="63">
        <f>'3'!L8&amp;""</f>
        <v/>
      </c>
      <c r="H220" s="63">
        <f>IF(OR(A220="",F220=""),"",F220&amp;"|"&amp;A220)</f>
        <v/>
      </c>
      <c r="I220" s="63">
        <f>IF(AND(H220&lt;&gt;"",OR('Historia wózka'!$B$4="",F220='Historia wózka'!$B$4),A220&gt;='Historia wózka'!$B$5,A220&lt;='Historia wózka'!$B$6),A220+0.7+(5000-ROW())/10000000,0)</f>
        <v/>
      </c>
      <c r="J220" s="63">
        <f>Ustawienia!$B$10&amp;""</f>
        <v/>
      </c>
      <c r="K220" s="63">
        <f>IF(H220="","",COUNTIFS('Zgłoszenia'!$B$5:$B$504,F220,'Zgłoszenia'!$D$5:$D$504,"&gt;="&amp;A220,'Zgłoszenia'!$D$5:$D$504,"&lt;="&amp;(A220+1)))</f>
        <v/>
      </c>
      <c r="L220" s="63">
        <f>IF(OR(H220="",K220=0),"—",IF(ISNUMBER(MATCH(H220,'Zgłoszenia'!$S$5:$S$504,0)),RIGHT("0"&amp;DAY(A220),2)&amp;"."&amp;RIGHT("0"&amp;MONTH(A220),2)&amp;"."&amp;YEAR(A220)&amp;": "&amp;INDEX('Zgłoszenia'!$H$5:$H$504,MATCH(H220,'Zgłoszenia'!$S$5:$S$504,0)),RIGHT("0"&amp;DAY((A220+1)),2)&amp;"."&amp;RIGHT("0"&amp;MONTH((A220+1)),2)&amp;"."&amp;YEAR((A220+1))&amp;": "&amp;INDEX('Zgłoszenia'!$H$5:$H$504,MATCH(F220&amp;"|"&amp;(A220+1),'Zgłoszenia'!$S$5:$S$504,0)))&amp;IF(K220&gt;1," (+"&amp;(K220-1)&amp;")",""))</f>
        <v/>
      </c>
      <c r="M220" s="63" t="n">
        <v>3</v>
      </c>
      <c r="N220" s="2" t="n"/>
      <c r="O220" s="2" t="n"/>
    </row>
    <row r="221">
      <c r="A221" s="62">
        <f>IF('3'!$C$1="","",'3'!$C$1)</f>
        <v/>
      </c>
      <c r="B221" s="63">
        <f>Ustawienia!$A$10&amp;""</f>
        <v/>
      </c>
      <c r="C221" s="63">
        <f>Ustawienia!$A$14&amp;""</f>
        <v/>
      </c>
      <c r="D221" s="63" t="n">
        <v>4</v>
      </c>
      <c r="E221" s="63">
        <f>IF('3'!J9="","",TRIM('3'!J9&amp;""))</f>
        <v/>
      </c>
      <c r="F221" s="63">
        <f>IF('3'!K9="","",'3'!K9)</f>
        <v/>
      </c>
      <c r="G221" s="63">
        <f>'3'!L9&amp;""</f>
        <v/>
      </c>
      <c r="H221" s="63">
        <f>IF(OR(A221="",F221=""),"",F221&amp;"|"&amp;A221)</f>
        <v/>
      </c>
      <c r="I221" s="63">
        <f>IF(AND(H221&lt;&gt;"",OR('Historia wózka'!$B$4="",F221='Historia wózka'!$B$4),A221&gt;='Historia wózka'!$B$5,A221&lt;='Historia wózka'!$B$6),A221+0.7+(5000-ROW())/10000000,0)</f>
        <v/>
      </c>
      <c r="J221" s="63">
        <f>Ustawienia!$B$10&amp;""</f>
        <v/>
      </c>
      <c r="K221" s="63">
        <f>IF(H221="","",COUNTIFS('Zgłoszenia'!$B$5:$B$504,F221,'Zgłoszenia'!$D$5:$D$504,"&gt;="&amp;A221,'Zgłoszenia'!$D$5:$D$504,"&lt;="&amp;(A221+1)))</f>
        <v/>
      </c>
      <c r="L221" s="63">
        <f>IF(OR(H221="",K221=0),"—",IF(ISNUMBER(MATCH(H221,'Zgłoszenia'!$S$5:$S$504,0)),RIGHT("0"&amp;DAY(A221),2)&amp;"."&amp;RIGHT("0"&amp;MONTH(A221),2)&amp;"."&amp;YEAR(A221)&amp;": "&amp;INDEX('Zgłoszenia'!$H$5:$H$504,MATCH(H221,'Zgłoszenia'!$S$5:$S$504,0)),RIGHT("0"&amp;DAY((A221+1)),2)&amp;"."&amp;RIGHT("0"&amp;MONTH((A221+1)),2)&amp;"."&amp;YEAR((A221+1))&amp;": "&amp;INDEX('Zgłoszenia'!$H$5:$H$504,MATCH(F221&amp;"|"&amp;(A221+1),'Zgłoszenia'!$S$5:$S$504,0)))&amp;IF(K221&gt;1," (+"&amp;(K221-1)&amp;")",""))</f>
        <v/>
      </c>
      <c r="M221" s="63" t="n">
        <v>3</v>
      </c>
      <c r="N221" s="2" t="n"/>
      <c r="O221" s="2" t="n"/>
    </row>
    <row r="222">
      <c r="A222" s="62">
        <f>IF('3'!$C$1="","",'3'!$C$1)</f>
        <v/>
      </c>
      <c r="B222" s="63">
        <f>Ustawienia!$A$10&amp;""</f>
        <v/>
      </c>
      <c r="C222" s="63">
        <f>Ustawienia!$A$14&amp;""</f>
        <v/>
      </c>
      <c r="D222" s="63" t="n">
        <v>5</v>
      </c>
      <c r="E222" s="63">
        <f>IF('3'!J10="","",TRIM('3'!J10&amp;""))</f>
        <v/>
      </c>
      <c r="F222" s="63">
        <f>IF('3'!K10="","",'3'!K10)</f>
        <v/>
      </c>
      <c r="G222" s="63">
        <f>'3'!L10&amp;""</f>
        <v/>
      </c>
      <c r="H222" s="63">
        <f>IF(OR(A222="",F222=""),"",F222&amp;"|"&amp;A222)</f>
        <v/>
      </c>
      <c r="I222" s="63">
        <f>IF(AND(H222&lt;&gt;"",OR('Historia wózka'!$B$4="",F222='Historia wózka'!$B$4),A222&gt;='Historia wózka'!$B$5,A222&lt;='Historia wózka'!$B$6),A222+0.7+(5000-ROW())/10000000,0)</f>
        <v/>
      </c>
      <c r="J222" s="63">
        <f>Ustawienia!$B$10&amp;""</f>
        <v/>
      </c>
      <c r="K222" s="63">
        <f>IF(H222="","",COUNTIFS('Zgłoszenia'!$B$5:$B$504,F222,'Zgłoszenia'!$D$5:$D$504,"&gt;="&amp;A222,'Zgłoszenia'!$D$5:$D$504,"&lt;="&amp;(A222+1)))</f>
        <v/>
      </c>
      <c r="L222" s="63">
        <f>IF(OR(H222="",K222=0),"—",IF(ISNUMBER(MATCH(H222,'Zgłoszenia'!$S$5:$S$504,0)),RIGHT("0"&amp;DAY(A222),2)&amp;"."&amp;RIGHT("0"&amp;MONTH(A222),2)&amp;"."&amp;YEAR(A222)&amp;": "&amp;INDEX('Zgłoszenia'!$H$5:$H$504,MATCH(H222,'Zgłoszenia'!$S$5:$S$504,0)),RIGHT("0"&amp;DAY((A222+1)),2)&amp;"."&amp;RIGHT("0"&amp;MONTH((A222+1)),2)&amp;"."&amp;YEAR((A222+1))&amp;": "&amp;INDEX('Zgłoszenia'!$H$5:$H$504,MATCH(F222&amp;"|"&amp;(A222+1),'Zgłoszenia'!$S$5:$S$504,0)))&amp;IF(K222&gt;1," (+"&amp;(K222-1)&amp;")",""))</f>
        <v/>
      </c>
      <c r="M222" s="63" t="n">
        <v>3</v>
      </c>
      <c r="N222" s="2" t="n"/>
      <c r="O222" s="2" t="n"/>
    </row>
    <row r="223">
      <c r="A223" s="62">
        <f>IF('3'!$C$1="","",'3'!$C$1)</f>
        <v/>
      </c>
      <c r="B223" s="63">
        <f>Ustawienia!$A$10&amp;""</f>
        <v/>
      </c>
      <c r="C223" s="63">
        <f>Ustawienia!$A$14&amp;""</f>
        <v/>
      </c>
      <c r="D223" s="63" t="n">
        <v>6</v>
      </c>
      <c r="E223" s="63">
        <f>IF('3'!J11="","",TRIM('3'!J11&amp;""))</f>
        <v/>
      </c>
      <c r="F223" s="63">
        <f>IF('3'!K11="","",'3'!K11)</f>
        <v/>
      </c>
      <c r="G223" s="63">
        <f>'3'!L11&amp;""</f>
        <v/>
      </c>
      <c r="H223" s="63">
        <f>IF(OR(A223="",F223=""),"",F223&amp;"|"&amp;A223)</f>
        <v/>
      </c>
      <c r="I223" s="63">
        <f>IF(AND(H223&lt;&gt;"",OR('Historia wózka'!$B$4="",F223='Historia wózka'!$B$4),A223&gt;='Historia wózka'!$B$5,A223&lt;='Historia wózka'!$B$6),A223+0.7+(5000-ROW())/10000000,0)</f>
        <v/>
      </c>
      <c r="J223" s="63">
        <f>Ustawienia!$B$10&amp;""</f>
        <v/>
      </c>
      <c r="K223" s="63">
        <f>IF(H223="","",COUNTIFS('Zgłoszenia'!$B$5:$B$504,F223,'Zgłoszenia'!$D$5:$D$504,"&gt;="&amp;A223,'Zgłoszenia'!$D$5:$D$504,"&lt;="&amp;(A223+1)))</f>
        <v/>
      </c>
      <c r="L223" s="63">
        <f>IF(OR(H223="",K223=0),"—",IF(ISNUMBER(MATCH(H223,'Zgłoszenia'!$S$5:$S$504,0)),RIGHT("0"&amp;DAY(A223),2)&amp;"."&amp;RIGHT("0"&amp;MONTH(A223),2)&amp;"."&amp;YEAR(A223)&amp;": "&amp;INDEX('Zgłoszenia'!$H$5:$H$504,MATCH(H223,'Zgłoszenia'!$S$5:$S$504,0)),RIGHT("0"&amp;DAY((A223+1)),2)&amp;"."&amp;RIGHT("0"&amp;MONTH((A223+1)),2)&amp;"."&amp;YEAR((A223+1))&amp;": "&amp;INDEX('Zgłoszenia'!$H$5:$H$504,MATCH(F223&amp;"|"&amp;(A223+1),'Zgłoszenia'!$S$5:$S$504,0)))&amp;IF(K223&gt;1," (+"&amp;(K223-1)&amp;")",""))</f>
        <v/>
      </c>
      <c r="M223" s="63" t="n">
        <v>3</v>
      </c>
      <c r="N223" s="2" t="n"/>
      <c r="O223" s="2" t="n"/>
    </row>
    <row r="224">
      <c r="A224" s="62">
        <f>IF('3'!$C$1="","",'3'!$C$1)</f>
        <v/>
      </c>
      <c r="B224" s="63">
        <f>Ustawienia!$A$10&amp;""</f>
        <v/>
      </c>
      <c r="C224" s="63">
        <f>Ustawienia!$A$15&amp;""</f>
        <v/>
      </c>
      <c r="D224" s="63" t="n">
        <v>1</v>
      </c>
      <c r="E224" s="63">
        <f>IF('3'!J13="","",TRIM('3'!J13&amp;""))</f>
        <v/>
      </c>
      <c r="F224" s="63">
        <f>IF('3'!K13="","",'3'!K13)</f>
        <v/>
      </c>
      <c r="G224" s="63">
        <f>'3'!L13&amp;""</f>
        <v/>
      </c>
      <c r="H224" s="63">
        <f>IF(OR(A224="",F224=""),"",F224&amp;"|"&amp;A224)</f>
        <v/>
      </c>
      <c r="I224" s="63">
        <f>IF(AND(H224&lt;&gt;"",OR('Historia wózka'!$B$4="",F224='Historia wózka'!$B$4),A224&gt;='Historia wózka'!$B$5,A224&lt;='Historia wózka'!$B$6),A224+0.7+(5000-ROW())/10000000,0)</f>
        <v/>
      </c>
      <c r="J224" s="63">
        <f>Ustawienia!$B$10&amp;""</f>
        <v/>
      </c>
      <c r="K224" s="63">
        <f>IF(H224="","",COUNTIFS('Zgłoszenia'!$B$5:$B$504,F224,'Zgłoszenia'!$D$5:$D$504,"&gt;="&amp;A224,'Zgłoszenia'!$D$5:$D$504,"&lt;="&amp;(A224+1)))</f>
        <v/>
      </c>
      <c r="L224" s="63">
        <f>IF(OR(H224="",K224=0),"—",IF(ISNUMBER(MATCH(H224,'Zgłoszenia'!$S$5:$S$504,0)),RIGHT("0"&amp;DAY(A224),2)&amp;"."&amp;RIGHT("0"&amp;MONTH(A224),2)&amp;"."&amp;YEAR(A224)&amp;": "&amp;INDEX('Zgłoszenia'!$H$5:$H$504,MATCH(H224,'Zgłoszenia'!$S$5:$S$504,0)),RIGHT("0"&amp;DAY((A224+1)),2)&amp;"."&amp;RIGHT("0"&amp;MONTH((A224+1)),2)&amp;"."&amp;YEAR((A224+1))&amp;": "&amp;INDEX('Zgłoszenia'!$H$5:$H$504,MATCH(F224&amp;"|"&amp;(A224+1),'Zgłoszenia'!$S$5:$S$504,0)))&amp;IF(K224&gt;1," (+"&amp;(K224-1)&amp;")",""))</f>
        <v/>
      </c>
      <c r="M224" s="63" t="n">
        <v>3</v>
      </c>
      <c r="N224" s="2" t="n"/>
      <c r="O224" s="2" t="n"/>
    </row>
    <row r="225">
      <c r="A225" s="62">
        <f>IF('3'!$C$1="","",'3'!$C$1)</f>
        <v/>
      </c>
      <c r="B225" s="63">
        <f>Ustawienia!$A$10&amp;""</f>
        <v/>
      </c>
      <c r="C225" s="63">
        <f>Ustawienia!$A$15&amp;""</f>
        <v/>
      </c>
      <c r="D225" s="63" t="n">
        <v>2</v>
      </c>
      <c r="E225" s="63">
        <f>IF('3'!J14="","",TRIM('3'!J14&amp;""))</f>
        <v/>
      </c>
      <c r="F225" s="63">
        <f>IF('3'!K14="","",'3'!K14)</f>
        <v/>
      </c>
      <c r="G225" s="63">
        <f>'3'!L14&amp;""</f>
        <v/>
      </c>
      <c r="H225" s="63">
        <f>IF(OR(A225="",F225=""),"",F225&amp;"|"&amp;A225)</f>
        <v/>
      </c>
      <c r="I225" s="63">
        <f>IF(AND(H225&lt;&gt;"",OR('Historia wózka'!$B$4="",F225='Historia wózka'!$B$4),A225&gt;='Historia wózka'!$B$5,A225&lt;='Historia wózka'!$B$6),A225+0.7+(5000-ROW())/10000000,0)</f>
        <v/>
      </c>
      <c r="J225" s="63">
        <f>Ustawienia!$B$10&amp;""</f>
        <v/>
      </c>
      <c r="K225" s="63">
        <f>IF(H225="","",COUNTIFS('Zgłoszenia'!$B$5:$B$504,F225,'Zgłoszenia'!$D$5:$D$504,"&gt;="&amp;A225,'Zgłoszenia'!$D$5:$D$504,"&lt;="&amp;(A225+1)))</f>
        <v/>
      </c>
      <c r="L225" s="63">
        <f>IF(OR(H225="",K225=0),"—",IF(ISNUMBER(MATCH(H225,'Zgłoszenia'!$S$5:$S$504,0)),RIGHT("0"&amp;DAY(A225),2)&amp;"."&amp;RIGHT("0"&amp;MONTH(A225),2)&amp;"."&amp;YEAR(A225)&amp;": "&amp;INDEX('Zgłoszenia'!$H$5:$H$504,MATCH(H225,'Zgłoszenia'!$S$5:$S$504,0)),RIGHT("0"&amp;DAY((A225+1)),2)&amp;"."&amp;RIGHT("0"&amp;MONTH((A225+1)),2)&amp;"."&amp;YEAR((A225+1))&amp;": "&amp;INDEX('Zgłoszenia'!$H$5:$H$504,MATCH(F225&amp;"|"&amp;(A225+1),'Zgłoszenia'!$S$5:$S$504,0)))&amp;IF(K225&gt;1," (+"&amp;(K225-1)&amp;")",""))</f>
        <v/>
      </c>
      <c r="M225" s="63" t="n">
        <v>3</v>
      </c>
      <c r="N225" s="2" t="n"/>
      <c r="O225" s="2" t="n"/>
    </row>
    <row r="226">
      <c r="A226" s="62">
        <f>IF('3'!$C$1="","",'3'!$C$1)</f>
        <v/>
      </c>
      <c r="B226" s="63">
        <f>Ustawienia!$A$10&amp;""</f>
        <v/>
      </c>
      <c r="C226" s="63">
        <f>Ustawienia!$A$15&amp;""</f>
        <v/>
      </c>
      <c r="D226" s="63" t="n">
        <v>3</v>
      </c>
      <c r="E226" s="63">
        <f>IF('3'!J15="","",TRIM('3'!J15&amp;""))</f>
        <v/>
      </c>
      <c r="F226" s="63">
        <f>IF('3'!K15="","",'3'!K15)</f>
        <v/>
      </c>
      <c r="G226" s="63">
        <f>'3'!L15&amp;""</f>
        <v/>
      </c>
      <c r="H226" s="63">
        <f>IF(OR(A226="",F226=""),"",F226&amp;"|"&amp;A226)</f>
        <v/>
      </c>
      <c r="I226" s="63">
        <f>IF(AND(H226&lt;&gt;"",OR('Historia wózka'!$B$4="",F226='Historia wózka'!$B$4),A226&gt;='Historia wózka'!$B$5,A226&lt;='Historia wózka'!$B$6),A226+0.7+(5000-ROW())/10000000,0)</f>
        <v/>
      </c>
      <c r="J226" s="63">
        <f>Ustawienia!$B$10&amp;""</f>
        <v/>
      </c>
      <c r="K226" s="63">
        <f>IF(H226="","",COUNTIFS('Zgłoszenia'!$B$5:$B$504,F226,'Zgłoszenia'!$D$5:$D$504,"&gt;="&amp;A226,'Zgłoszenia'!$D$5:$D$504,"&lt;="&amp;(A226+1)))</f>
        <v/>
      </c>
      <c r="L226" s="63">
        <f>IF(OR(H226="",K226=0),"—",IF(ISNUMBER(MATCH(H226,'Zgłoszenia'!$S$5:$S$504,0)),RIGHT("0"&amp;DAY(A226),2)&amp;"."&amp;RIGHT("0"&amp;MONTH(A226),2)&amp;"."&amp;YEAR(A226)&amp;": "&amp;INDEX('Zgłoszenia'!$H$5:$H$504,MATCH(H226,'Zgłoszenia'!$S$5:$S$504,0)),RIGHT("0"&amp;DAY((A226+1)),2)&amp;"."&amp;RIGHT("0"&amp;MONTH((A226+1)),2)&amp;"."&amp;YEAR((A226+1))&amp;": "&amp;INDEX('Zgłoszenia'!$H$5:$H$504,MATCH(F226&amp;"|"&amp;(A226+1),'Zgłoszenia'!$S$5:$S$504,0)))&amp;IF(K226&gt;1," (+"&amp;(K226-1)&amp;")",""))</f>
        <v/>
      </c>
      <c r="M226" s="63" t="n">
        <v>3</v>
      </c>
      <c r="N226" s="2" t="n"/>
      <c r="O226" s="2" t="n"/>
    </row>
    <row r="227">
      <c r="A227" s="62">
        <f>IF('3'!$C$1="","",'3'!$C$1)</f>
        <v/>
      </c>
      <c r="B227" s="63">
        <f>Ustawienia!$A$10&amp;""</f>
        <v/>
      </c>
      <c r="C227" s="63">
        <f>Ustawienia!$A$15&amp;""</f>
        <v/>
      </c>
      <c r="D227" s="63" t="n">
        <v>4</v>
      </c>
      <c r="E227" s="63">
        <f>IF('3'!J16="","",TRIM('3'!J16&amp;""))</f>
        <v/>
      </c>
      <c r="F227" s="63">
        <f>IF('3'!K16="","",'3'!K16)</f>
        <v/>
      </c>
      <c r="G227" s="63">
        <f>'3'!L16&amp;""</f>
        <v/>
      </c>
      <c r="H227" s="63">
        <f>IF(OR(A227="",F227=""),"",F227&amp;"|"&amp;A227)</f>
        <v/>
      </c>
      <c r="I227" s="63">
        <f>IF(AND(H227&lt;&gt;"",OR('Historia wózka'!$B$4="",F227='Historia wózka'!$B$4),A227&gt;='Historia wózka'!$B$5,A227&lt;='Historia wózka'!$B$6),A227+0.7+(5000-ROW())/10000000,0)</f>
        <v/>
      </c>
      <c r="J227" s="63">
        <f>Ustawienia!$B$10&amp;""</f>
        <v/>
      </c>
      <c r="K227" s="63">
        <f>IF(H227="","",COUNTIFS('Zgłoszenia'!$B$5:$B$504,F227,'Zgłoszenia'!$D$5:$D$504,"&gt;="&amp;A227,'Zgłoszenia'!$D$5:$D$504,"&lt;="&amp;(A227+1)))</f>
        <v/>
      </c>
      <c r="L227" s="63">
        <f>IF(OR(H227="",K227=0),"—",IF(ISNUMBER(MATCH(H227,'Zgłoszenia'!$S$5:$S$504,0)),RIGHT("0"&amp;DAY(A227),2)&amp;"."&amp;RIGHT("0"&amp;MONTH(A227),2)&amp;"."&amp;YEAR(A227)&amp;": "&amp;INDEX('Zgłoszenia'!$H$5:$H$504,MATCH(H227,'Zgłoszenia'!$S$5:$S$504,0)),RIGHT("0"&amp;DAY((A227+1)),2)&amp;"."&amp;RIGHT("0"&amp;MONTH((A227+1)),2)&amp;"."&amp;YEAR((A227+1))&amp;": "&amp;INDEX('Zgłoszenia'!$H$5:$H$504,MATCH(F227&amp;"|"&amp;(A227+1),'Zgłoszenia'!$S$5:$S$504,0)))&amp;IF(K227&gt;1," (+"&amp;(K227-1)&amp;")",""))</f>
        <v/>
      </c>
      <c r="M227" s="63" t="n">
        <v>3</v>
      </c>
      <c r="N227" s="2" t="n"/>
      <c r="O227" s="2" t="n"/>
    </row>
    <row r="228">
      <c r="A228" s="62">
        <f>IF('3'!$C$1="","",'3'!$C$1)</f>
        <v/>
      </c>
      <c r="B228" s="63">
        <f>Ustawienia!$A$10&amp;""</f>
        <v/>
      </c>
      <c r="C228" s="63">
        <f>Ustawienia!$A$15&amp;""</f>
        <v/>
      </c>
      <c r="D228" s="63" t="n">
        <v>5</v>
      </c>
      <c r="E228" s="63">
        <f>IF('3'!J17="","",TRIM('3'!J17&amp;""))</f>
        <v/>
      </c>
      <c r="F228" s="63">
        <f>IF('3'!K17="","",'3'!K17)</f>
        <v/>
      </c>
      <c r="G228" s="63">
        <f>'3'!L17&amp;""</f>
        <v/>
      </c>
      <c r="H228" s="63">
        <f>IF(OR(A228="",F228=""),"",F228&amp;"|"&amp;A228)</f>
        <v/>
      </c>
      <c r="I228" s="63">
        <f>IF(AND(H228&lt;&gt;"",OR('Historia wózka'!$B$4="",F228='Historia wózka'!$B$4),A228&gt;='Historia wózka'!$B$5,A228&lt;='Historia wózka'!$B$6),A228+0.7+(5000-ROW())/10000000,0)</f>
        <v/>
      </c>
      <c r="J228" s="63">
        <f>Ustawienia!$B$10&amp;""</f>
        <v/>
      </c>
      <c r="K228" s="63">
        <f>IF(H228="","",COUNTIFS('Zgłoszenia'!$B$5:$B$504,F228,'Zgłoszenia'!$D$5:$D$504,"&gt;="&amp;A228,'Zgłoszenia'!$D$5:$D$504,"&lt;="&amp;(A228+1)))</f>
        <v/>
      </c>
      <c r="L228" s="63">
        <f>IF(OR(H228="",K228=0),"—",IF(ISNUMBER(MATCH(H228,'Zgłoszenia'!$S$5:$S$504,0)),RIGHT("0"&amp;DAY(A228),2)&amp;"."&amp;RIGHT("0"&amp;MONTH(A228),2)&amp;"."&amp;YEAR(A228)&amp;": "&amp;INDEX('Zgłoszenia'!$H$5:$H$504,MATCH(H228,'Zgłoszenia'!$S$5:$S$504,0)),RIGHT("0"&amp;DAY((A228+1)),2)&amp;"."&amp;RIGHT("0"&amp;MONTH((A228+1)),2)&amp;"."&amp;YEAR((A228+1))&amp;": "&amp;INDEX('Zgłoszenia'!$H$5:$H$504,MATCH(F228&amp;"|"&amp;(A228+1),'Zgłoszenia'!$S$5:$S$504,0)))&amp;IF(K228&gt;1," (+"&amp;(K228-1)&amp;")",""))</f>
        <v/>
      </c>
      <c r="M228" s="63" t="n">
        <v>3</v>
      </c>
      <c r="N228" s="2" t="n"/>
      <c r="O228" s="2" t="n"/>
    </row>
    <row r="229">
      <c r="A229" s="62">
        <f>IF('3'!$C$1="","",'3'!$C$1)</f>
        <v/>
      </c>
      <c r="B229" s="63">
        <f>Ustawienia!$A$10&amp;""</f>
        <v/>
      </c>
      <c r="C229" s="63">
        <f>Ustawienia!$A$15&amp;""</f>
        <v/>
      </c>
      <c r="D229" s="63" t="n">
        <v>6</v>
      </c>
      <c r="E229" s="63">
        <f>IF('3'!J18="","",TRIM('3'!J18&amp;""))</f>
        <v/>
      </c>
      <c r="F229" s="63">
        <f>IF('3'!K18="","",'3'!K18)</f>
        <v/>
      </c>
      <c r="G229" s="63">
        <f>'3'!L18&amp;""</f>
        <v/>
      </c>
      <c r="H229" s="63">
        <f>IF(OR(A229="",F229=""),"",F229&amp;"|"&amp;A229)</f>
        <v/>
      </c>
      <c r="I229" s="63">
        <f>IF(AND(H229&lt;&gt;"",OR('Historia wózka'!$B$4="",F229='Historia wózka'!$B$4),A229&gt;='Historia wózka'!$B$5,A229&lt;='Historia wózka'!$B$6),A229+0.7+(5000-ROW())/10000000,0)</f>
        <v/>
      </c>
      <c r="J229" s="63">
        <f>Ustawienia!$B$10&amp;""</f>
        <v/>
      </c>
      <c r="K229" s="63">
        <f>IF(H229="","",COUNTIFS('Zgłoszenia'!$B$5:$B$504,F229,'Zgłoszenia'!$D$5:$D$504,"&gt;="&amp;A229,'Zgłoszenia'!$D$5:$D$504,"&lt;="&amp;(A229+1)))</f>
        <v/>
      </c>
      <c r="L229" s="63">
        <f>IF(OR(H229="",K229=0),"—",IF(ISNUMBER(MATCH(H229,'Zgłoszenia'!$S$5:$S$504,0)),RIGHT("0"&amp;DAY(A229),2)&amp;"."&amp;RIGHT("0"&amp;MONTH(A229),2)&amp;"."&amp;YEAR(A229)&amp;": "&amp;INDEX('Zgłoszenia'!$H$5:$H$504,MATCH(H229,'Zgłoszenia'!$S$5:$S$504,0)),RIGHT("0"&amp;DAY((A229+1)),2)&amp;"."&amp;RIGHT("0"&amp;MONTH((A229+1)),2)&amp;"."&amp;YEAR((A229+1))&amp;": "&amp;INDEX('Zgłoszenia'!$H$5:$H$504,MATCH(F229&amp;"|"&amp;(A229+1),'Zgłoszenia'!$S$5:$S$504,0)))&amp;IF(K229&gt;1," (+"&amp;(K229-1)&amp;")",""))</f>
        <v/>
      </c>
      <c r="M229" s="63" t="n">
        <v>3</v>
      </c>
      <c r="N229" s="2" t="n"/>
      <c r="O229" s="2" t="n"/>
    </row>
    <row r="230">
      <c r="A230" s="62">
        <f>IF('3'!$C$1="","",'3'!$C$1)</f>
        <v/>
      </c>
      <c r="B230" s="63">
        <f>Ustawienia!$A$10&amp;""</f>
        <v/>
      </c>
      <c r="C230" s="63">
        <f>Ustawienia!$A$15&amp;""</f>
        <v/>
      </c>
      <c r="D230" s="63" t="n">
        <v>7</v>
      </c>
      <c r="E230" s="63">
        <f>IF('3'!J19="","",TRIM('3'!J19&amp;""))</f>
        <v/>
      </c>
      <c r="F230" s="63">
        <f>IF('3'!K19="","",'3'!K19)</f>
        <v/>
      </c>
      <c r="G230" s="63">
        <f>'3'!L19&amp;""</f>
        <v/>
      </c>
      <c r="H230" s="63">
        <f>IF(OR(A230="",F230=""),"",F230&amp;"|"&amp;A230)</f>
        <v/>
      </c>
      <c r="I230" s="63">
        <f>IF(AND(H230&lt;&gt;"",OR('Historia wózka'!$B$4="",F230='Historia wózka'!$B$4),A230&gt;='Historia wózka'!$B$5,A230&lt;='Historia wózka'!$B$6),A230+0.7+(5000-ROW())/10000000,0)</f>
        <v/>
      </c>
      <c r="J230" s="63">
        <f>Ustawienia!$B$10&amp;""</f>
        <v/>
      </c>
      <c r="K230" s="63">
        <f>IF(H230="","",COUNTIFS('Zgłoszenia'!$B$5:$B$504,F230,'Zgłoszenia'!$D$5:$D$504,"&gt;="&amp;A230,'Zgłoszenia'!$D$5:$D$504,"&lt;="&amp;(A230+1)))</f>
        <v/>
      </c>
      <c r="L230" s="63">
        <f>IF(OR(H230="",K230=0),"—",IF(ISNUMBER(MATCH(H230,'Zgłoszenia'!$S$5:$S$504,0)),RIGHT("0"&amp;DAY(A230),2)&amp;"."&amp;RIGHT("0"&amp;MONTH(A230),2)&amp;"."&amp;YEAR(A230)&amp;": "&amp;INDEX('Zgłoszenia'!$H$5:$H$504,MATCH(H230,'Zgłoszenia'!$S$5:$S$504,0)),RIGHT("0"&amp;DAY((A230+1)),2)&amp;"."&amp;RIGHT("0"&amp;MONTH((A230+1)),2)&amp;"."&amp;YEAR((A230+1))&amp;": "&amp;INDEX('Zgłoszenia'!$H$5:$H$504,MATCH(F230&amp;"|"&amp;(A230+1),'Zgłoszenia'!$S$5:$S$504,0)))&amp;IF(K230&gt;1," (+"&amp;(K230-1)&amp;")",""))</f>
        <v/>
      </c>
      <c r="M230" s="63" t="n">
        <v>3</v>
      </c>
      <c r="N230" s="2" t="n"/>
      <c r="O230" s="2" t="n"/>
    </row>
    <row r="231">
      <c r="A231" s="62">
        <f>IF('3'!$C$1="","",'3'!$C$1)</f>
        <v/>
      </c>
      <c r="B231" s="63">
        <f>Ustawienia!$A$10&amp;""</f>
        <v/>
      </c>
      <c r="C231" s="63">
        <f>Ustawienia!$A$15&amp;""</f>
        <v/>
      </c>
      <c r="D231" s="63" t="n">
        <v>8</v>
      </c>
      <c r="E231" s="63">
        <f>IF('3'!J20="","",TRIM('3'!J20&amp;""))</f>
        <v/>
      </c>
      <c r="F231" s="63">
        <f>IF('3'!K20="","",'3'!K20)</f>
        <v/>
      </c>
      <c r="G231" s="63">
        <f>'3'!L20&amp;""</f>
        <v/>
      </c>
      <c r="H231" s="63">
        <f>IF(OR(A231="",F231=""),"",F231&amp;"|"&amp;A231)</f>
        <v/>
      </c>
      <c r="I231" s="63">
        <f>IF(AND(H231&lt;&gt;"",OR('Historia wózka'!$B$4="",F231='Historia wózka'!$B$4),A231&gt;='Historia wózka'!$B$5,A231&lt;='Historia wózka'!$B$6),A231+0.7+(5000-ROW())/10000000,0)</f>
        <v/>
      </c>
      <c r="J231" s="63">
        <f>Ustawienia!$B$10&amp;""</f>
        <v/>
      </c>
      <c r="K231" s="63">
        <f>IF(H231="","",COUNTIFS('Zgłoszenia'!$B$5:$B$504,F231,'Zgłoszenia'!$D$5:$D$504,"&gt;="&amp;A231,'Zgłoszenia'!$D$5:$D$504,"&lt;="&amp;(A231+1)))</f>
        <v/>
      </c>
      <c r="L231" s="63">
        <f>IF(OR(H231="",K231=0),"—",IF(ISNUMBER(MATCH(H231,'Zgłoszenia'!$S$5:$S$504,0)),RIGHT("0"&amp;DAY(A231),2)&amp;"."&amp;RIGHT("0"&amp;MONTH(A231),2)&amp;"."&amp;YEAR(A231)&amp;": "&amp;INDEX('Zgłoszenia'!$H$5:$H$504,MATCH(H231,'Zgłoszenia'!$S$5:$S$504,0)),RIGHT("0"&amp;DAY((A231+1)),2)&amp;"."&amp;RIGHT("0"&amp;MONTH((A231+1)),2)&amp;"."&amp;YEAR((A231+1))&amp;": "&amp;INDEX('Zgłoszenia'!$H$5:$H$504,MATCH(F231&amp;"|"&amp;(A231+1),'Zgłoszenia'!$S$5:$S$504,0)))&amp;IF(K231&gt;1," (+"&amp;(K231-1)&amp;")",""))</f>
        <v/>
      </c>
      <c r="M231" s="63" t="n">
        <v>3</v>
      </c>
      <c r="N231" s="2" t="n"/>
      <c r="O231" s="2" t="n"/>
    </row>
    <row r="232">
      <c r="A232" s="62">
        <f>IF('3'!$C$1="","",'3'!$C$1)</f>
        <v/>
      </c>
      <c r="B232" s="63">
        <f>Ustawienia!$A$10&amp;""</f>
        <v/>
      </c>
      <c r="C232" s="63">
        <f>Ustawienia!$A$16&amp;""</f>
        <v/>
      </c>
      <c r="D232" s="63" t="n">
        <v>1</v>
      </c>
      <c r="E232" s="63">
        <f>IF('3'!J22="","",TRIM('3'!J22&amp;""))</f>
        <v/>
      </c>
      <c r="F232" s="63">
        <f>IF('3'!K22="","",'3'!K22)</f>
        <v/>
      </c>
      <c r="G232" s="63">
        <f>'3'!L22&amp;""</f>
        <v/>
      </c>
      <c r="H232" s="63">
        <f>IF(OR(A232="",F232=""),"",F232&amp;"|"&amp;A232)</f>
        <v/>
      </c>
      <c r="I232" s="63">
        <f>IF(AND(H232&lt;&gt;"",OR('Historia wózka'!$B$4="",F232='Historia wózka'!$B$4),A232&gt;='Historia wózka'!$B$5,A232&lt;='Historia wózka'!$B$6),A232+0.7+(5000-ROW())/10000000,0)</f>
        <v/>
      </c>
      <c r="J232" s="63">
        <f>Ustawienia!$B$10&amp;""</f>
        <v/>
      </c>
      <c r="K232" s="63">
        <f>IF(H232="","",COUNTIFS('Zgłoszenia'!$B$5:$B$504,F232,'Zgłoszenia'!$D$5:$D$504,"&gt;="&amp;A232,'Zgłoszenia'!$D$5:$D$504,"&lt;="&amp;(A232+1)))</f>
        <v/>
      </c>
      <c r="L232" s="63">
        <f>IF(OR(H232="",K232=0),"—",IF(ISNUMBER(MATCH(H232,'Zgłoszenia'!$S$5:$S$504,0)),RIGHT("0"&amp;DAY(A232),2)&amp;"."&amp;RIGHT("0"&amp;MONTH(A232),2)&amp;"."&amp;YEAR(A232)&amp;": "&amp;INDEX('Zgłoszenia'!$H$5:$H$504,MATCH(H232,'Zgłoszenia'!$S$5:$S$504,0)),RIGHT("0"&amp;DAY((A232+1)),2)&amp;"."&amp;RIGHT("0"&amp;MONTH((A232+1)),2)&amp;"."&amp;YEAR((A232+1))&amp;": "&amp;INDEX('Zgłoszenia'!$H$5:$H$504,MATCH(F232&amp;"|"&amp;(A232+1),'Zgłoszenia'!$S$5:$S$504,0)))&amp;IF(K232&gt;1," (+"&amp;(K232-1)&amp;")",""))</f>
        <v/>
      </c>
      <c r="M232" s="63" t="n">
        <v>3</v>
      </c>
      <c r="N232" s="2" t="n"/>
      <c r="O232" s="2" t="n"/>
    </row>
    <row r="233">
      <c r="A233" s="62">
        <f>IF('3'!$C$1="","",'3'!$C$1)</f>
        <v/>
      </c>
      <c r="B233" s="63">
        <f>Ustawienia!$A$10&amp;""</f>
        <v/>
      </c>
      <c r="C233" s="63">
        <f>Ustawienia!$A$16&amp;""</f>
        <v/>
      </c>
      <c r="D233" s="63" t="n">
        <v>2</v>
      </c>
      <c r="E233" s="63">
        <f>IF('3'!J23="","",TRIM('3'!J23&amp;""))</f>
        <v/>
      </c>
      <c r="F233" s="63">
        <f>IF('3'!K23="","",'3'!K23)</f>
        <v/>
      </c>
      <c r="G233" s="63">
        <f>'3'!L23&amp;""</f>
        <v/>
      </c>
      <c r="H233" s="63">
        <f>IF(OR(A233="",F233=""),"",F233&amp;"|"&amp;A233)</f>
        <v/>
      </c>
      <c r="I233" s="63">
        <f>IF(AND(H233&lt;&gt;"",OR('Historia wózka'!$B$4="",F233='Historia wózka'!$B$4),A233&gt;='Historia wózka'!$B$5,A233&lt;='Historia wózka'!$B$6),A233+0.7+(5000-ROW())/10000000,0)</f>
        <v/>
      </c>
      <c r="J233" s="63">
        <f>Ustawienia!$B$10&amp;""</f>
        <v/>
      </c>
      <c r="K233" s="63">
        <f>IF(H233="","",COUNTIFS('Zgłoszenia'!$B$5:$B$504,F233,'Zgłoszenia'!$D$5:$D$504,"&gt;="&amp;A233,'Zgłoszenia'!$D$5:$D$504,"&lt;="&amp;(A233+1)))</f>
        <v/>
      </c>
      <c r="L233" s="63">
        <f>IF(OR(H233="",K233=0),"—",IF(ISNUMBER(MATCH(H233,'Zgłoszenia'!$S$5:$S$504,0)),RIGHT("0"&amp;DAY(A233),2)&amp;"."&amp;RIGHT("0"&amp;MONTH(A233),2)&amp;"."&amp;YEAR(A233)&amp;": "&amp;INDEX('Zgłoszenia'!$H$5:$H$504,MATCH(H233,'Zgłoszenia'!$S$5:$S$504,0)),RIGHT("0"&amp;DAY((A233+1)),2)&amp;"."&amp;RIGHT("0"&amp;MONTH((A233+1)),2)&amp;"."&amp;YEAR((A233+1))&amp;": "&amp;INDEX('Zgłoszenia'!$H$5:$H$504,MATCH(F233&amp;"|"&amp;(A233+1),'Zgłoszenia'!$S$5:$S$504,0)))&amp;IF(K233&gt;1," (+"&amp;(K233-1)&amp;")",""))</f>
        <v/>
      </c>
      <c r="M233" s="63" t="n">
        <v>3</v>
      </c>
      <c r="N233" s="2" t="n"/>
      <c r="O233" s="2" t="n"/>
    </row>
    <row r="234">
      <c r="A234" s="62">
        <f>IF('3'!$C$1="","",'3'!$C$1)</f>
        <v/>
      </c>
      <c r="B234" s="63">
        <f>Ustawienia!$A$10&amp;""</f>
        <v/>
      </c>
      <c r="C234" s="63">
        <f>Ustawienia!$A$16&amp;""</f>
        <v/>
      </c>
      <c r="D234" s="63" t="n">
        <v>3</v>
      </c>
      <c r="E234" s="63">
        <f>IF('3'!J24="","",TRIM('3'!J24&amp;""))</f>
        <v/>
      </c>
      <c r="F234" s="63">
        <f>IF('3'!K24="","",'3'!K24)</f>
        <v/>
      </c>
      <c r="G234" s="63">
        <f>'3'!L24&amp;""</f>
        <v/>
      </c>
      <c r="H234" s="63">
        <f>IF(OR(A234="",F234=""),"",F234&amp;"|"&amp;A234)</f>
        <v/>
      </c>
      <c r="I234" s="63">
        <f>IF(AND(H234&lt;&gt;"",OR('Historia wózka'!$B$4="",F234='Historia wózka'!$B$4),A234&gt;='Historia wózka'!$B$5,A234&lt;='Historia wózka'!$B$6),A234+0.7+(5000-ROW())/10000000,0)</f>
        <v/>
      </c>
      <c r="J234" s="63">
        <f>Ustawienia!$B$10&amp;""</f>
        <v/>
      </c>
      <c r="K234" s="63">
        <f>IF(H234="","",COUNTIFS('Zgłoszenia'!$B$5:$B$504,F234,'Zgłoszenia'!$D$5:$D$504,"&gt;="&amp;A234,'Zgłoszenia'!$D$5:$D$504,"&lt;="&amp;(A234+1)))</f>
        <v/>
      </c>
      <c r="L234" s="63">
        <f>IF(OR(H234="",K234=0),"—",IF(ISNUMBER(MATCH(H234,'Zgłoszenia'!$S$5:$S$504,0)),RIGHT("0"&amp;DAY(A234),2)&amp;"."&amp;RIGHT("0"&amp;MONTH(A234),2)&amp;"."&amp;YEAR(A234)&amp;": "&amp;INDEX('Zgłoszenia'!$H$5:$H$504,MATCH(H234,'Zgłoszenia'!$S$5:$S$504,0)),RIGHT("0"&amp;DAY((A234+1)),2)&amp;"."&amp;RIGHT("0"&amp;MONTH((A234+1)),2)&amp;"."&amp;YEAR((A234+1))&amp;": "&amp;INDEX('Zgłoszenia'!$H$5:$H$504,MATCH(F234&amp;"|"&amp;(A234+1),'Zgłoszenia'!$S$5:$S$504,0)))&amp;IF(K234&gt;1," (+"&amp;(K234-1)&amp;")",""))</f>
        <v/>
      </c>
      <c r="M234" s="63" t="n">
        <v>3</v>
      </c>
      <c r="N234" s="2" t="n"/>
      <c r="O234" s="2" t="n"/>
    </row>
    <row r="235">
      <c r="A235" s="62">
        <f>IF('3'!$C$1="","",'3'!$C$1)</f>
        <v/>
      </c>
      <c r="B235" s="63">
        <f>Ustawienia!$A$10&amp;""</f>
        <v/>
      </c>
      <c r="C235" s="63">
        <f>Ustawienia!$A$16&amp;""</f>
        <v/>
      </c>
      <c r="D235" s="63" t="n">
        <v>4</v>
      </c>
      <c r="E235" s="63">
        <f>IF('3'!J25="","",TRIM('3'!J25&amp;""))</f>
        <v/>
      </c>
      <c r="F235" s="63">
        <f>IF('3'!K25="","",'3'!K25)</f>
        <v/>
      </c>
      <c r="G235" s="63">
        <f>'3'!L25&amp;""</f>
        <v/>
      </c>
      <c r="H235" s="63">
        <f>IF(OR(A235="",F235=""),"",F235&amp;"|"&amp;A235)</f>
        <v/>
      </c>
      <c r="I235" s="63">
        <f>IF(AND(H235&lt;&gt;"",OR('Historia wózka'!$B$4="",F235='Historia wózka'!$B$4),A235&gt;='Historia wózka'!$B$5,A235&lt;='Historia wózka'!$B$6),A235+0.7+(5000-ROW())/10000000,0)</f>
        <v/>
      </c>
      <c r="J235" s="63">
        <f>Ustawienia!$B$10&amp;""</f>
        <v/>
      </c>
      <c r="K235" s="63">
        <f>IF(H235="","",COUNTIFS('Zgłoszenia'!$B$5:$B$504,F235,'Zgłoszenia'!$D$5:$D$504,"&gt;="&amp;A235,'Zgłoszenia'!$D$5:$D$504,"&lt;="&amp;(A235+1)))</f>
        <v/>
      </c>
      <c r="L235" s="63">
        <f>IF(OR(H235="",K235=0),"—",IF(ISNUMBER(MATCH(H235,'Zgłoszenia'!$S$5:$S$504,0)),RIGHT("0"&amp;DAY(A235),2)&amp;"."&amp;RIGHT("0"&amp;MONTH(A235),2)&amp;"."&amp;YEAR(A235)&amp;": "&amp;INDEX('Zgłoszenia'!$H$5:$H$504,MATCH(H235,'Zgłoszenia'!$S$5:$S$504,0)),RIGHT("0"&amp;DAY((A235+1)),2)&amp;"."&amp;RIGHT("0"&amp;MONTH((A235+1)),2)&amp;"."&amp;YEAR((A235+1))&amp;": "&amp;INDEX('Zgłoszenia'!$H$5:$H$504,MATCH(F235&amp;"|"&amp;(A235+1),'Zgłoszenia'!$S$5:$S$504,0)))&amp;IF(K235&gt;1," (+"&amp;(K235-1)&amp;")",""))</f>
        <v/>
      </c>
      <c r="M235" s="63" t="n">
        <v>3</v>
      </c>
      <c r="N235" s="2" t="n"/>
      <c r="O235" s="2" t="n"/>
    </row>
    <row r="236">
      <c r="A236" s="62">
        <f>IF('3'!$C$1="","",'3'!$C$1)</f>
        <v/>
      </c>
      <c r="B236" s="63">
        <f>Ustawienia!$A$10&amp;""</f>
        <v/>
      </c>
      <c r="C236" s="63">
        <f>Ustawienia!$A$17&amp;""</f>
        <v/>
      </c>
      <c r="D236" s="63" t="n">
        <v>1</v>
      </c>
      <c r="E236" s="63">
        <f>IF('3'!J27="","",TRIM('3'!J27&amp;""))</f>
        <v/>
      </c>
      <c r="F236" s="63">
        <f>IF('3'!K27="","",'3'!K27)</f>
        <v/>
      </c>
      <c r="G236" s="63">
        <f>'3'!L27&amp;""</f>
        <v/>
      </c>
      <c r="H236" s="63">
        <f>IF(OR(A236="",F236=""),"",F236&amp;"|"&amp;A236)</f>
        <v/>
      </c>
      <c r="I236" s="63">
        <f>IF(AND(H236&lt;&gt;"",OR('Historia wózka'!$B$4="",F236='Historia wózka'!$B$4),A236&gt;='Historia wózka'!$B$5,A236&lt;='Historia wózka'!$B$6),A236+0.7+(5000-ROW())/10000000,0)</f>
        <v/>
      </c>
      <c r="J236" s="63">
        <f>Ustawienia!$B$10&amp;""</f>
        <v/>
      </c>
      <c r="K236" s="63">
        <f>IF(H236="","",COUNTIFS('Zgłoszenia'!$B$5:$B$504,F236,'Zgłoszenia'!$D$5:$D$504,"&gt;="&amp;A236,'Zgłoszenia'!$D$5:$D$504,"&lt;="&amp;(A236+1)))</f>
        <v/>
      </c>
      <c r="L236" s="63">
        <f>IF(OR(H236="",K236=0),"—",IF(ISNUMBER(MATCH(H236,'Zgłoszenia'!$S$5:$S$504,0)),RIGHT("0"&amp;DAY(A236),2)&amp;"."&amp;RIGHT("0"&amp;MONTH(A236),2)&amp;"."&amp;YEAR(A236)&amp;": "&amp;INDEX('Zgłoszenia'!$H$5:$H$504,MATCH(H236,'Zgłoszenia'!$S$5:$S$504,0)),RIGHT("0"&amp;DAY((A236+1)),2)&amp;"."&amp;RIGHT("0"&amp;MONTH((A236+1)),2)&amp;"."&amp;YEAR((A236+1))&amp;": "&amp;INDEX('Zgłoszenia'!$H$5:$H$504,MATCH(F236&amp;"|"&amp;(A236+1),'Zgłoszenia'!$S$5:$S$504,0)))&amp;IF(K236&gt;1," (+"&amp;(K236-1)&amp;")",""))</f>
        <v/>
      </c>
      <c r="M236" s="63" t="n">
        <v>3</v>
      </c>
      <c r="N236" s="2" t="n"/>
      <c r="O236" s="2" t="n"/>
    </row>
    <row r="237">
      <c r="A237" s="62">
        <f>IF('3'!$C$1="","",'3'!$C$1)</f>
        <v/>
      </c>
      <c r="B237" s="63">
        <f>Ustawienia!$A$10&amp;""</f>
        <v/>
      </c>
      <c r="C237" s="63">
        <f>Ustawienia!$A$17&amp;""</f>
        <v/>
      </c>
      <c r="D237" s="63" t="n">
        <v>2</v>
      </c>
      <c r="E237" s="63">
        <f>IF('3'!J28="","",TRIM('3'!J28&amp;""))</f>
        <v/>
      </c>
      <c r="F237" s="63">
        <f>IF('3'!K28="","",'3'!K28)</f>
        <v/>
      </c>
      <c r="G237" s="63">
        <f>'3'!L28&amp;""</f>
        <v/>
      </c>
      <c r="H237" s="63">
        <f>IF(OR(A237="",F237=""),"",F237&amp;"|"&amp;A237)</f>
        <v/>
      </c>
      <c r="I237" s="63">
        <f>IF(AND(H237&lt;&gt;"",OR('Historia wózka'!$B$4="",F237='Historia wózka'!$B$4),A237&gt;='Historia wózka'!$B$5,A237&lt;='Historia wózka'!$B$6),A237+0.7+(5000-ROW())/10000000,0)</f>
        <v/>
      </c>
      <c r="J237" s="63">
        <f>Ustawienia!$B$10&amp;""</f>
        <v/>
      </c>
      <c r="K237" s="63">
        <f>IF(H237="","",COUNTIFS('Zgłoszenia'!$B$5:$B$504,F237,'Zgłoszenia'!$D$5:$D$504,"&gt;="&amp;A237,'Zgłoszenia'!$D$5:$D$504,"&lt;="&amp;(A237+1)))</f>
        <v/>
      </c>
      <c r="L237" s="63">
        <f>IF(OR(H237="",K237=0),"—",IF(ISNUMBER(MATCH(H237,'Zgłoszenia'!$S$5:$S$504,0)),RIGHT("0"&amp;DAY(A237),2)&amp;"."&amp;RIGHT("0"&amp;MONTH(A237),2)&amp;"."&amp;YEAR(A237)&amp;": "&amp;INDEX('Zgłoszenia'!$H$5:$H$504,MATCH(H237,'Zgłoszenia'!$S$5:$S$504,0)),RIGHT("0"&amp;DAY((A237+1)),2)&amp;"."&amp;RIGHT("0"&amp;MONTH((A237+1)),2)&amp;"."&amp;YEAR((A237+1))&amp;": "&amp;INDEX('Zgłoszenia'!$H$5:$H$504,MATCH(F237&amp;"|"&amp;(A237+1),'Zgłoszenia'!$S$5:$S$504,0)))&amp;IF(K237&gt;1," (+"&amp;(K237-1)&amp;")",""))</f>
        <v/>
      </c>
      <c r="M237" s="63" t="n">
        <v>3</v>
      </c>
      <c r="N237" s="2" t="n"/>
      <c r="O237" s="2" t="n"/>
    </row>
    <row r="238">
      <c r="A238" s="62">
        <f>IF('3'!$C$1="","",'3'!$C$1)</f>
        <v/>
      </c>
      <c r="B238" s="63">
        <f>Ustawienia!$A$10&amp;""</f>
        <v/>
      </c>
      <c r="C238" s="63">
        <f>Ustawienia!$A$17&amp;""</f>
        <v/>
      </c>
      <c r="D238" s="63" t="n">
        <v>3</v>
      </c>
      <c r="E238" s="63">
        <f>IF('3'!J29="","",TRIM('3'!J29&amp;""))</f>
        <v/>
      </c>
      <c r="F238" s="63">
        <f>IF('3'!K29="","",'3'!K29)</f>
        <v/>
      </c>
      <c r="G238" s="63">
        <f>'3'!L29&amp;""</f>
        <v/>
      </c>
      <c r="H238" s="63">
        <f>IF(OR(A238="",F238=""),"",F238&amp;"|"&amp;A238)</f>
        <v/>
      </c>
      <c r="I238" s="63">
        <f>IF(AND(H238&lt;&gt;"",OR('Historia wózka'!$B$4="",F238='Historia wózka'!$B$4),A238&gt;='Historia wózka'!$B$5,A238&lt;='Historia wózka'!$B$6),A238+0.7+(5000-ROW())/10000000,0)</f>
        <v/>
      </c>
      <c r="J238" s="63">
        <f>Ustawienia!$B$10&amp;""</f>
        <v/>
      </c>
      <c r="K238" s="63">
        <f>IF(H238="","",COUNTIFS('Zgłoszenia'!$B$5:$B$504,F238,'Zgłoszenia'!$D$5:$D$504,"&gt;="&amp;A238,'Zgłoszenia'!$D$5:$D$504,"&lt;="&amp;(A238+1)))</f>
        <v/>
      </c>
      <c r="L238" s="63">
        <f>IF(OR(H238="",K238=0),"—",IF(ISNUMBER(MATCH(H238,'Zgłoszenia'!$S$5:$S$504,0)),RIGHT("0"&amp;DAY(A238),2)&amp;"."&amp;RIGHT("0"&amp;MONTH(A238),2)&amp;"."&amp;YEAR(A238)&amp;": "&amp;INDEX('Zgłoszenia'!$H$5:$H$504,MATCH(H238,'Zgłoszenia'!$S$5:$S$504,0)),RIGHT("0"&amp;DAY((A238+1)),2)&amp;"."&amp;RIGHT("0"&amp;MONTH((A238+1)),2)&amp;"."&amp;YEAR((A238+1))&amp;": "&amp;INDEX('Zgłoszenia'!$H$5:$H$504,MATCH(F238&amp;"|"&amp;(A238+1),'Zgłoszenia'!$S$5:$S$504,0)))&amp;IF(K238&gt;1," (+"&amp;(K238-1)&amp;")",""))</f>
        <v/>
      </c>
      <c r="M238" s="63" t="n">
        <v>3</v>
      </c>
      <c r="N238" s="2" t="n"/>
      <c r="O238" s="2" t="n"/>
    </row>
    <row r="239">
      <c r="A239" s="62">
        <f>IF('3'!$C$1="","",'3'!$C$1)</f>
        <v/>
      </c>
      <c r="B239" s="63">
        <f>Ustawienia!$A$10&amp;""</f>
        <v/>
      </c>
      <c r="C239" s="63">
        <f>Ustawienia!$A$17&amp;""</f>
        <v/>
      </c>
      <c r="D239" s="63" t="n">
        <v>4</v>
      </c>
      <c r="E239" s="63">
        <f>IF('3'!J30="","",TRIM('3'!J30&amp;""))</f>
        <v/>
      </c>
      <c r="F239" s="63">
        <f>IF('3'!K30="","",'3'!K30)</f>
        <v/>
      </c>
      <c r="G239" s="63">
        <f>'3'!L30&amp;""</f>
        <v/>
      </c>
      <c r="H239" s="63">
        <f>IF(OR(A239="",F239=""),"",F239&amp;"|"&amp;A239)</f>
        <v/>
      </c>
      <c r="I239" s="63">
        <f>IF(AND(H239&lt;&gt;"",OR('Historia wózka'!$B$4="",F239='Historia wózka'!$B$4),A239&gt;='Historia wózka'!$B$5,A239&lt;='Historia wózka'!$B$6),A239+0.7+(5000-ROW())/10000000,0)</f>
        <v/>
      </c>
      <c r="J239" s="63">
        <f>Ustawienia!$B$10&amp;""</f>
        <v/>
      </c>
      <c r="K239" s="63">
        <f>IF(H239="","",COUNTIFS('Zgłoszenia'!$B$5:$B$504,F239,'Zgłoszenia'!$D$5:$D$504,"&gt;="&amp;A239,'Zgłoszenia'!$D$5:$D$504,"&lt;="&amp;(A239+1)))</f>
        <v/>
      </c>
      <c r="L239" s="63">
        <f>IF(OR(H239="",K239=0),"—",IF(ISNUMBER(MATCH(H239,'Zgłoszenia'!$S$5:$S$504,0)),RIGHT("0"&amp;DAY(A239),2)&amp;"."&amp;RIGHT("0"&amp;MONTH(A239),2)&amp;"."&amp;YEAR(A239)&amp;": "&amp;INDEX('Zgłoszenia'!$H$5:$H$504,MATCH(H239,'Zgłoszenia'!$S$5:$S$504,0)),RIGHT("0"&amp;DAY((A239+1)),2)&amp;"."&amp;RIGHT("0"&amp;MONTH((A239+1)),2)&amp;"."&amp;YEAR((A239+1))&amp;": "&amp;INDEX('Zgłoszenia'!$H$5:$H$504,MATCH(F239&amp;"|"&amp;(A239+1),'Zgłoszenia'!$S$5:$S$504,0)))&amp;IF(K239&gt;1," (+"&amp;(K239-1)&amp;")",""))</f>
        <v/>
      </c>
      <c r="M239" s="63" t="n">
        <v>3</v>
      </c>
      <c r="N239" s="2" t="n"/>
      <c r="O239" s="2" t="n"/>
    </row>
    <row r="240">
      <c r="A240" s="62">
        <f>IF('3'!$C$1="","",'3'!$C$1)</f>
        <v/>
      </c>
      <c r="B240" s="63">
        <f>Ustawienia!$A$10&amp;""</f>
        <v/>
      </c>
      <c r="C240" s="63">
        <f>Ustawienia!$A$18&amp;""</f>
        <v/>
      </c>
      <c r="D240" s="63" t="n">
        <v>1</v>
      </c>
      <c r="E240" s="63">
        <f>IF('3'!J32="","",TRIM('3'!J32&amp;""))</f>
        <v/>
      </c>
      <c r="F240" s="63">
        <f>IF('3'!K32="","",'3'!K32)</f>
        <v/>
      </c>
      <c r="G240" s="63">
        <f>'3'!L32&amp;""</f>
        <v/>
      </c>
      <c r="H240" s="63">
        <f>IF(OR(A240="",F240=""),"",F240&amp;"|"&amp;A240)</f>
        <v/>
      </c>
      <c r="I240" s="63">
        <f>IF(AND(H240&lt;&gt;"",OR('Historia wózka'!$B$4="",F240='Historia wózka'!$B$4),A240&gt;='Historia wózka'!$B$5,A240&lt;='Historia wózka'!$B$6),A240+0.7+(5000-ROW())/10000000,0)</f>
        <v/>
      </c>
      <c r="J240" s="63">
        <f>Ustawienia!$B$10&amp;""</f>
        <v/>
      </c>
      <c r="K240" s="63">
        <f>IF(H240="","",COUNTIFS('Zgłoszenia'!$B$5:$B$504,F240,'Zgłoszenia'!$D$5:$D$504,"&gt;="&amp;A240,'Zgłoszenia'!$D$5:$D$504,"&lt;="&amp;(A240+1)))</f>
        <v/>
      </c>
      <c r="L240" s="63">
        <f>IF(OR(H240="",K240=0),"—",IF(ISNUMBER(MATCH(H240,'Zgłoszenia'!$S$5:$S$504,0)),RIGHT("0"&amp;DAY(A240),2)&amp;"."&amp;RIGHT("0"&amp;MONTH(A240),2)&amp;"."&amp;YEAR(A240)&amp;": "&amp;INDEX('Zgłoszenia'!$H$5:$H$504,MATCH(H240,'Zgłoszenia'!$S$5:$S$504,0)),RIGHT("0"&amp;DAY((A240+1)),2)&amp;"."&amp;RIGHT("0"&amp;MONTH((A240+1)),2)&amp;"."&amp;YEAR((A240+1))&amp;": "&amp;INDEX('Zgłoszenia'!$H$5:$H$504,MATCH(F240&amp;"|"&amp;(A240+1),'Zgłoszenia'!$S$5:$S$504,0)))&amp;IF(K240&gt;1," (+"&amp;(K240-1)&amp;")",""))</f>
        <v/>
      </c>
      <c r="M240" s="63" t="n">
        <v>3</v>
      </c>
      <c r="N240" s="2" t="n"/>
      <c r="O240" s="2" t="n"/>
    </row>
    <row r="241">
      <c r="A241" s="62">
        <f>IF('3'!$C$1="","",'3'!$C$1)</f>
        <v/>
      </c>
      <c r="B241" s="63">
        <f>Ustawienia!$A$10&amp;""</f>
        <v/>
      </c>
      <c r="C241" s="63">
        <f>Ustawienia!$A$18&amp;""</f>
        <v/>
      </c>
      <c r="D241" s="63" t="n">
        <v>2</v>
      </c>
      <c r="E241" s="63">
        <f>IF('3'!J33="","",TRIM('3'!J33&amp;""))</f>
        <v/>
      </c>
      <c r="F241" s="63">
        <f>IF('3'!K33="","",'3'!K33)</f>
        <v/>
      </c>
      <c r="G241" s="63">
        <f>'3'!L33&amp;""</f>
        <v/>
      </c>
      <c r="H241" s="63">
        <f>IF(OR(A241="",F241=""),"",F241&amp;"|"&amp;A241)</f>
        <v/>
      </c>
      <c r="I241" s="63">
        <f>IF(AND(H241&lt;&gt;"",OR('Historia wózka'!$B$4="",F241='Historia wózka'!$B$4),A241&gt;='Historia wózka'!$B$5,A241&lt;='Historia wózka'!$B$6),A241+0.7+(5000-ROW())/10000000,0)</f>
        <v/>
      </c>
      <c r="J241" s="63">
        <f>Ustawienia!$B$10&amp;""</f>
        <v/>
      </c>
      <c r="K241" s="63">
        <f>IF(H241="","",COUNTIFS('Zgłoszenia'!$B$5:$B$504,F241,'Zgłoszenia'!$D$5:$D$504,"&gt;="&amp;A241,'Zgłoszenia'!$D$5:$D$504,"&lt;="&amp;(A241+1)))</f>
        <v/>
      </c>
      <c r="L241" s="63">
        <f>IF(OR(H241="",K241=0),"—",IF(ISNUMBER(MATCH(H241,'Zgłoszenia'!$S$5:$S$504,0)),RIGHT("0"&amp;DAY(A241),2)&amp;"."&amp;RIGHT("0"&amp;MONTH(A241),2)&amp;"."&amp;YEAR(A241)&amp;": "&amp;INDEX('Zgłoszenia'!$H$5:$H$504,MATCH(H241,'Zgłoszenia'!$S$5:$S$504,0)),RIGHT("0"&amp;DAY((A241+1)),2)&amp;"."&amp;RIGHT("0"&amp;MONTH((A241+1)),2)&amp;"."&amp;YEAR((A241+1))&amp;": "&amp;INDEX('Zgłoszenia'!$H$5:$H$504,MATCH(F241&amp;"|"&amp;(A241+1),'Zgłoszenia'!$S$5:$S$504,0)))&amp;IF(K241&gt;1," (+"&amp;(K241-1)&amp;")",""))</f>
        <v/>
      </c>
      <c r="M241" s="63" t="n">
        <v>3</v>
      </c>
      <c r="N241" s="2" t="n"/>
      <c r="O241" s="2" t="n"/>
    </row>
    <row r="242">
      <c r="A242" s="62">
        <f>IF('3'!$C$1="","",'3'!$C$1)</f>
        <v/>
      </c>
      <c r="B242" s="63">
        <f>Ustawienia!$A$10&amp;""</f>
        <v/>
      </c>
      <c r="C242" s="63">
        <f>Ustawienia!$A$18&amp;""</f>
        <v/>
      </c>
      <c r="D242" s="63" t="n">
        <v>3</v>
      </c>
      <c r="E242" s="63">
        <f>IF('3'!J34="","",TRIM('3'!J34&amp;""))</f>
        <v/>
      </c>
      <c r="F242" s="63">
        <f>IF('3'!K34="","",'3'!K34)</f>
        <v/>
      </c>
      <c r="G242" s="63">
        <f>'3'!L34&amp;""</f>
        <v/>
      </c>
      <c r="H242" s="63">
        <f>IF(OR(A242="",F242=""),"",F242&amp;"|"&amp;A242)</f>
        <v/>
      </c>
      <c r="I242" s="63">
        <f>IF(AND(H242&lt;&gt;"",OR('Historia wózka'!$B$4="",F242='Historia wózka'!$B$4),A242&gt;='Historia wózka'!$B$5,A242&lt;='Historia wózka'!$B$6),A242+0.7+(5000-ROW())/10000000,0)</f>
        <v/>
      </c>
      <c r="J242" s="63">
        <f>Ustawienia!$B$10&amp;""</f>
        <v/>
      </c>
      <c r="K242" s="63">
        <f>IF(H242="","",COUNTIFS('Zgłoszenia'!$B$5:$B$504,F242,'Zgłoszenia'!$D$5:$D$504,"&gt;="&amp;A242,'Zgłoszenia'!$D$5:$D$504,"&lt;="&amp;(A242+1)))</f>
        <v/>
      </c>
      <c r="L242" s="63">
        <f>IF(OR(H242="",K242=0),"—",IF(ISNUMBER(MATCH(H242,'Zgłoszenia'!$S$5:$S$504,0)),RIGHT("0"&amp;DAY(A242),2)&amp;"."&amp;RIGHT("0"&amp;MONTH(A242),2)&amp;"."&amp;YEAR(A242)&amp;": "&amp;INDEX('Zgłoszenia'!$H$5:$H$504,MATCH(H242,'Zgłoszenia'!$S$5:$S$504,0)),RIGHT("0"&amp;DAY((A242+1)),2)&amp;"."&amp;RIGHT("0"&amp;MONTH((A242+1)),2)&amp;"."&amp;YEAR((A242+1))&amp;": "&amp;INDEX('Zgłoszenia'!$H$5:$H$504,MATCH(F242&amp;"|"&amp;(A242+1),'Zgłoszenia'!$S$5:$S$504,0)))&amp;IF(K242&gt;1," (+"&amp;(K242-1)&amp;")",""))</f>
        <v/>
      </c>
      <c r="M242" s="63" t="n">
        <v>3</v>
      </c>
      <c r="N242" s="2" t="n"/>
      <c r="O242" s="2" t="n"/>
    </row>
    <row r="243">
      <c r="A243" s="62">
        <f>IF('3'!$C$1="","",'3'!$C$1)</f>
        <v/>
      </c>
      <c r="B243" s="63">
        <f>Ustawienia!$A$10&amp;""</f>
        <v/>
      </c>
      <c r="C243" s="63">
        <f>Ustawienia!$A$18&amp;""</f>
        <v/>
      </c>
      <c r="D243" s="63" t="n">
        <v>4</v>
      </c>
      <c r="E243" s="63">
        <f>IF('3'!J35="","",TRIM('3'!J35&amp;""))</f>
        <v/>
      </c>
      <c r="F243" s="63">
        <f>IF('3'!K35="","",'3'!K35)</f>
        <v/>
      </c>
      <c r="G243" s="63">
        <f>'3'!L35&amp;""</f>
        <v/>
      </c>
      <c r="H243" s="63">
        <f>IF(OR(A243="",F243=""),"",F243&amp;"|"&amp;A243)</f>
        <v/>
      </c>
      <c r="I243" s="63">
        <f>IF(AND(H243&lt;&gt;"",OR('Historia wózka'!$B$4="",F243='Historia wózka'!$B$4),A243&gt;='Historia wózka'!$B$5,A243&lt;='Historia wózka'!$B$6),A243+0.7+(5000-ROW())/10000000,0)</f>
        <v/>
      </c>
      <c r="J243" s="63">
        <f>Ustawienia!$B$10&amp;""</f>
        <v/>
      </c>
      <c r="K243" s="63">
        <f>IF(H243="","",COUNTIFS('Zgłoszenia'!$B$5:$B$504,F243,'Zgłoszenia'!$D$5:$D$504,"&gt;="&amp;A243,'Zgłoszenia'!$D$5:$D$504,"&lt;="&amp;(A243+1)))</f>
        <v/>
      </c>
      <c r="L243" s="63">
        <f>IF(OR(H243="",K243=0),"—",IF(ISNUMBER(MATCH(H243,'Zgłoszenia'!$S$5:$S$504,0)),RIGHT("0"&amp;DAY(A243),2)&amp;"."&amp;RIGHT("0"&amp;MONTH(A243),2)&amp;"."&amp;YEAR(A243)&amp;": "&amp;INDEX('Zgłoszenia'!$H$5:$H$504,MATCH(H243,'Zgłoszenia'!$S$5:$S$504,0)),RIGHT("0"&amp;DAY((A243+1)),2)&amp;"."&amp;RIGHT("0"&amp;MONTH((A243+1)),2)&amp;"."&amp;YEAR((A243+1))&amp;": "&amp;INDEX('Zgłoszenia'!$H$5:$H$504,MATCH(F243&amp;"|"&amp;(A243+1),'Zgłoszenia'!$S$5:$S$504,0)))&amp;IF(K243&gt;1," (+"&amp;(K243-1)&amp;")",""))</f>
        <v/>
      </c>
      <c r="M243" s="63" t="n">
        <v>3</v>
      </c>
      <c r="N243" s="2" t="n"/>
      <c r="O243" s="2" t="n"/>
    </row>
    <row r="244">
      <c r="A244" s="62">
        <f>IF('3'!$C$1="","",'3'!$C$1)</f>
        <v/>
      </c>
      <c r="B244" s="63">
        <f>Ustawienia!$A$10&amp;""</f>
        <v/>
      </c>
      <c r="C244" s="63">
        <f>Ustawienia!$A$18&amp;""</f>
        <v/>
      </c>
      <c r="D244" s="63" t="n">
        <v>5</v>
      </c>
      <c r="E244" s="63">
        <f>IF('3'!J36="","",TRIM('3'!J36&amp;""))</f>
        <v/>
      </c>
      <c r="F244" s="63">
        <f>IF('3'!K36="","",'3'!K36)</f>
        <v/>
      </c>
      <c r="G244" s="63">
        <f>'3'!L36&amp;""</f>
        <v/>
      </c>
      <c r="H244" s="63">
        <f>IF(OR(A244="",F244=""),"",F244&amp;"|"&amp;A244)</f>
        <v/>
      </c>
      <c r="I244" s="63">
        <f>IF(AND(H244&lt;&gt;"",OR('Historia wózka'!$B$4="",F244='Historia wózka'!$B$4),A244&gt;='Historia wózka'!$B$5,A244&lt;='Historia wózka'!$B$6),A244+0.7+(5000-ROW())/10000000,0)</f>
        <v/>
      </c>
      <c r="J244" s="63">
        <f>Ustawienia!$B$10&amp;""</f>
        <v/>
      </c>
      <c r="K244" s="63">
        <f>IF(H244="","",COUNTIFS('Zgłoszenia'!$B$5:$B$504,F244,'Zgłoszenia'!$D$5:$D$504,"&gt;="&amp;A244,'Zgłoszenia'!$D$5:$D$504,"&lt;="&amp;(A244+1)))</f>
        <v/>
      </c>
      <c r="L244" s="63">
        <f>IF(OR(H244="",K244=0),"—",IF(ISNUMBER(MATCH(H244,'Zgłoszenia'!$S$5:$S$504,0)),RIGHT("0"&amp;DAY(A244),2)&amp;"."&amp;RIGHT("0"&amp;MONTH(A244),2)&amp;"."&amp;YEAR(A244)&amp;": "&amp;INDEX('Zgłoszenia'!$H$5:$H$504,MATCH(H244,'Zgłoszenia'!$S$5:$S$504,0)),RIGHT("0"&amp;DAY((A244+1)),2)&amp;"."&amp;RIGHT("0"&amp;MONTH((A244+1)),2)&amp;"."&amp;YEAR((A244+1))&amp;": "&amp;INDEX('Zgłoszenia'!$H$5:$H$504,MATCH(F244&amp;"|"&amp;(A244+1),'Zgłoszenia'!$S$5:$S$504,0)))&amp;IF(K244&gt;1," (+"&amp;(K244-1)&amp;")",""))</f>
        <v/>
      </c>
      <c r="M244" s="63" t="n">
        <v>3</v>
      </c>
      <c r="N244" s="2" t="n"/>
      <c r="O244" s="2" t="n"/>
    </row>
    <row r="245">
      <c r="A245" s="62">
        <f>IF('4'!$C$1="","",'4'!$C$1)</f>
        <v/>
      </c>
      <c r="B245" s="63">
        <f>Ustawienia!$A$8&amp;""</f>
        <v/>
      </c>
      <c r="C245" s="63">
        <f>Ustawienia!$A$14&amp;""</f>
        <v/>
      </c>
      <c r="D245" s="63" t="n">
        <v>1</v>
      </c>
      <c r="E245" s="63">
        <f>IF('4'!B6="","",TRIM('4'!B6&amp;""))</f>
        <v/>
      </c>
      <c r="F245" s="63">
        <f>IF('4'!C6="","",'4'!C6)</f>
        <v/>
      </c>
      <c r="G245" s="63">
        <f>'4'!D6&amp;""</f>
        <v/>
      </c>
      <c r="H245" s="63">
        <f>IF(OR(A245="",F245=""),"",F245&amp;"|"&amp;A245)</f>
        <v/>
      </c>
      <c r="I245" s="63">
        <f>IF(AND(H245&lt;&gt;"",OR('Historia wózka'!$B$4="",F245='Historia wózka'!$B$4),A245&gt;='Historia wózka'!$B$5,A245&lt;='Historia wózka'!$B$6),A245+0.9+(5000-ROW())/10000000,0)</f>
        <v/>
      </c>
      <c r="J245" s="63">
        <f>Ustawienia!$B$8&amp;""</f>
        <v/>
      </c>
      <c r="K245" s="63">
        <f>IF(H245="","",COUNTIFS('Zgłoszenia'!$B$5:$B$504,F245,'Zgłoszenia'!$D$5:$D$504,"&gt;="&amp;A245,'Zgłoszenia'!$D$5:$D$504,"&lt;="&amp;(A245+1)))</f>
        <v/>
      </c>
      <c r="L245" s="63">
        <f>IF(OR(H245="",K245=0),"—",IF(ISNUMBER(MATCH(H245,'Zgłoszenia'!$S$5:$S$504,0)),RIGHT("0"&amp;DAY(A245),2)&amp;"."&amp;RIGHT("0"&amp;MONTH(A245),2)&amp;"."&amp;YEAR(A245)&amp;": "&amp;INDEX('Zgłoszenia'!$H$5:$H$504,MATCH(H245,'Zgłoszenia'!$S$5:$S$504,0)),RIGHT("0"&amp;DAY((A245+1)),2)&amp;"."&amp;RIGHT("0"&amp;MONTH((A245+1)),2)&amp;"."&amp;YEAR((A245+1))&amp;": "&amp;INDEX('Zgłoszenia'!$H$5:$H$504,MATCH(F245&amp;"|"&amp;(A245+1),'Zgłoszenia'!$S$5:$S$504,0)))&amp;IF(K245&gt;1," (+"&amp;(K245-1)&amp;")",""))</f>
        <v/>
      </c>
      <c r="M245" s="63" t="n">
        <v>4</v>
      </c>
      <c r="N245" s="2" t="n"/>
      <c r="O245" s="2" t="n"/>
    </row>
    <row r="246">
      <c r="A246" s="62">
        <f>IF('4'!$C$1="","",'4'!$C$1)</f>
        <v/>
      </c>
      <c r="B246" s="63">
        <f>Ustawienia!$A$8&amp;""</f>
        <v/>
      </c>
      <c r="C246" s="63">
        <f>Ustawienia!$A$14&amp;""</f>
        <v/>
      </c>
      <c r="D246" s="63" t="n">
        <v>2</v>
      </c>
      <c r="E246" s="63">
        <f>IF('4'!B7="","",TRIM('4'!B7&amp;""))</f>
        <v/>
      </c>
      <c r="F246" s="63">
        <f>IF('4'!C7="","",'4'!C7)</f>
        <v/>
      </c>
      <c r="G246" s="63">
        <f>'4'!D7&amp;""</f>
        <v/>
      </c>
      <c r="H246" s="63">
        <f>IF(OR(A246="",F246=""),"",F246&amp;"|"&amp;A246)</f>
        <v/>
      </c>
      <c r="I246" s="63">
        <f>IF(AND(H246&lt;&gt;"",OR('Historia wózka'!$B$4="",F246='Historia wózka'!$B$4),A246&gt;='Historia wózka'!$B$5,A246&lt;='Historia wózka'!$B$6),A246+0.9+(5000-ROW())/10000000,0)</f>
        <v/>
      </c>
      <c r="J246" s="63">
        <f>Ustawienia!$B$8&amp;""</f>
        <v/>
      </c>
      <c r="K246" s="63">
        <f>IF(H246="","",COUNTIFS('Zgłoszenia'!$B$5:$B$504,F246,'Zgłoszenia'!$D$5:$D$504,"&gt;="&amp;A246,'Zgłoszenia'!$D$5:$D$504,"&lt;="&amp;(A246+1)))</f>
        <v/>
      </c>
      <c r="L246" s="63">
        <f>IF(OR(H246="",K246=0),"—",IF(ISNUMBER(MATCH(H246,'Zgłoszenia'!$S$5:$S$504,0)),RIGHT("0"&amp;DAY(A246),2)&amp;"."&amp;RIGHT("0"&amp;MONTH(A246),2)&amp;"."&amp;YEAR(A246)&amp;": "&amp;INDEX('Zgłoszenia'!$H$5:$H$504,MATCH(H246,'Zgłoszenia'!$S$5:$S$504,0)),RIGHT("0"&amp;DAY((A246+1)),2)&amp;"."&amp;RIGHT("0"&amp;MONTH((A246+1)),2)&amp;"."&amp;YEAR((A246+1))&amp;": "&amp;INDEX('Zgłoszenia'!$H$5:$H$504,MATCH(F246&amp;"|"&amp;(A246+1),'Zgłoszenia'!$S$5:$S$504,0)))&amp;IF(K246&gt;1," (+"&amp;(K246-1)&amp;")",""))</f>
        <v/>
      </c>
      <c r="M246" s="63" t="n">
        <v>4</v>
      </c>
      <c r="N246" s="2" t="n"/>
      <c r="O246" s="2" t="n"/>
    </row>
    <row r="247">
      <c r="A247" s="62">
        <f>IF('4'!$C$1="","",'4'!$C$1)</f>
        <v/>
      </c>
      <c r="B247" s="63">
        <f>Ustawienia!$A$8&amp;""</f>
        <v/>
      </c>
      <c r="C247" s="63">
        <f>Ustawienia!$A$14&amp;""</f>
        <v/>
      </c>
      <c r="D247" s="63" t="n">
        <v>3</v>
      </c>
      <c r="E247" s="63">
        <f>IF('4'!B8="","",TRIM('4'!B8&amp;""))</f>
        <v/>
      </c>
      <c r="F247" s="63">
        <f>IF('4'!C8="","",'4'!C8)</f>
        <v/>
      </c>
      <c r="G247" s="63">
        <f>'4'!D8&amp;""</f>
        <v/>
      </c>
      <c r="H247" s="63">
        <f>IF(OR(A247="",F247=""),"",F247&amp;"|"&amp;A247)</f>
        <v/>
      </c>
      <c r="I247" s="63">
        <f>IF(AND(H247&lt;&gt;"",OR('Historia wózka'!$B$4="",F247='Historia wózka'!$B$4),A247&gt;='Historia wózka'!$B$5,A247&lt;='Historia wózka'!$B$6),A247+0.9+(5000-ROW())/10000000,0)</f>
        <v/>
      </c>
      <c r="J247" s="63">
        <f>Ustawienia!$B$8&amp;""</f>
        <v/>
      </c>
      <c r="K247" s="63">
        <f>IF(H247="","",COUNTIFS('Zgłoszenia'!$B$5:$B$504,F247,'Zgłoszenia'!$D$5:$D$504,"&gt;="&amp;A247,'Zgłoszenia'!$D$5:$D$504,"&lt;="&amp;(A247+1)))</f>
        <v/>
      </c>
      <c r="L247" s="63">
        <f>IF(OR(H247="",K247=0),"—",IF(ISNUMBER(MATCH(H247,'Zgłoszenia'!$S$5:$S$504,0)),RIGHT("0"&amp;DAY(A247),2)&amp;"."&amp;RIGHT("0"&amp;MONTH(A247),2)&amp;"."&amp;YEAR(A247)&amp;": "&amp;INDEX('Zgłoszenia'!$H$5:$H$504,MATCH(H247,'Zgłoszenia'!$S$5:$S$504,0)),RIGHT("0"&amp;DAY((A247+1)),2)&amp;"."&amp;RIGHT("0"&amp;MONTH((A247+1)),2)&amp;"."&amp;YEAR((A247+1))&amp;": "&amp;INDEX('Zgłoszenia'!$H$5:$H$504,MATCH(F247&amp;"|"&amp;(A247+1),'Zgłoszenia'!$S$5:$S$504,0)))&amp;IF(K247&gt;1," (+"&amp;(K247-1)&amp;")",""))</f>
        <v/>
      </c>
      <c r="M247" s="63" t="n">
        <v>4</v>
      </c>
      <c r="N247" s="2" t="n"/>
      <c r="O247" s="2" t="n"/>
    </row>
    <row r="248">
      <c r="A248" s="62">
        <f>IF('4'!$C$1="","",'4'!$C$1)</f>
        <v/>
      </c>
      <c r="B248" s="63">
        <f>Ustawienia!$A$8&amp;""</f>
        <v/>
      </c>
      <c r="C248" s="63">
        <f>Ustawienia!$A$14&amp;""</f>
        <v/>
      </c>
      <c r="D248" s="63" t="n">
        <v>4</v>
      </c>
      <c r="E248" s="63">
        <f>IF('4'!B9="","",TRIM('4'!B9&amp;""))</f>
        <v/>
      </c>
      <c r="F248" s="63">
        <f>IF('4'!C9="","",'4'!C9)</f>
        <v/>
      </c>
      <c r="G248" s="63">
        <f>'4'!D9&amp;""</f>
        <v/>
      </c>
      <c r="H248" s="63">
        <f>IF(OR(A248="",F248=""),"",F248&amp;"|"&amp;A248)</f>
        <v/>
      </c>
      <c r="I248" s="63">
        <f>IF(AND(H248&lt;&gt;"",OR('Historia wózka'!$B$4="",F248='Historia wózka'!$B$4),A248&gt;='Historia wózka'!$B$5,A248&lt;='Historia wózka'!$B$6),A248+0.9+(5000-ROW())/10000000,0)</f>
        <v/>
      </c>
      <c r="J248" s="63">
        <f>Ustawienia!$B$8&amp;""</f>
        <v/>
      </c>
      <c r="K248" s="63">
        <f>IF(H248="","",COUNTIFS('Zgłoszenia'!$B$5:$B$504,F248,'Zgłoszenia'!$D$5:$D$504,"&gt;="&amp;A248,'Zgłoszenia'!$D$5:$D$504,"&lt;="&amp;(A248+1)))</f>
        <v/>
      </c>
      <c r="L248" s="63">
        <f>IF(OR(H248="",K248=0),"—",IF(ISNUMBER(MATCH(H248,'Zgłoszenia'!$S$5:$S$504,0)),RIGHT("0"&amp;DAY(A248),2)&amp;"."&amp;RIGHT("0"&amp;MONTH(A248),2)&amp;"."&amp;YEAR(A248)&amp;": "&amp;INDEX('Zgłoszenia'!$H$5:$H$504,MATCH(H248,'Zgłoszenia'!$S$5:$S$504,0)),RIGHT("0"&amp;DAY((A248+1)),2)&amp;"."&amp;RIGHT("0"&amp;MONTH((A248+1)),2)&amp;"."&amp;YEAR((A248+1))&amp;": "&amp;INDEX('Zgłoszenia'!$H$5:$H$504,MATCH(F248&amp;"|"&amp;(A248+1),'Zgłoszenia'!$S$5:$S$504,0)))&amp;IF(K248&gt;1," (+"&amp;(K248-1)&amp;")",""))</f>
        <v/>
      </c>
      <c r="M248" s="63" t="n">
        <v>4</v>
      </c>
      <c r="N248" s="2" t="n"/>
      <c r="O248" s="2" t="n"/>
    </row>
    <row r="249">
      <c r="A249" s="62">
        <f>IF('4'!$C$1="","",'4'!$C$1)</f>
        <v/>
      </c>
      <c r="B249" s="63">
        <f>Ustawienia!$A$8&amp;""</f>
        <v/>
      </c>
      <c r="C249" s="63">
        <f>Ustawienia!$A$14&amp;""</f>
        <v/>
      </c>
      <c r="D249" s="63" t="n">
        <v>5</v>
      </c>
      <c r="E249" s="63">
        <f>IF('4'!B10="","",TRIM('4'!B10&amp;""))</f>
        <v/>
      </c>
      <c r="F249" s="63">
        <f>IF('4'!C10="","",'4'!C10)</f>
        <v/>
      </c>
      <c r="G249" s="63">
        <f>'4'!D10&amp;""</f>
        <v/>
      </c>
      <c r="H249" s="63">
        <f>IF(OR(A249="",F249=""),"",F249&amp;"|"&amp;A249)</f>
        <v/>
      </c>
      <c r="I249" s="63">
        <f>IF(AND(H249&lt;&gt;"",OR('Historia wózka'!$B$4="",F249='Historia wózka'!$B$4),A249&gt;='Historia wózka'!$B$5,A249&lt;='Historia wózka'!$B$6),A249+0.9+(5000-ROW())/10000000,0)</f>
        <v/>
      </c>
      <c r="J249" s="63">
        <f>Ustawienia!$B$8&amp;""</f>
        <v/>
      </c>
      <c r="K249" s="63">
        <f>IF(H249="","",COUNTIFS('Zgłoszenia'!$B$5:$B$504,F249,'Zgłoszenia'!$D$5:$D$504,"&gt;="&amp;A249,'Zgłoszenia'!$D$5:$D$504,"&lt;="&amp;(A249+1)))</f>
        <v/>
      </c>
      <c r="L249" s="63">
        <f>IF(OR(H249="",K249=0),"—",IF(ISNUMBER(MATCH(H249,'Zgłoszenia'!$S$5:$S$504,0)),RIGHT("0"&amp;DAY(A249),2)&amp;"."&amp;RIGHT("0"&amp;MONTH(A249),2)&amp;"."&amp;YEAR(A249)&amp;": "&amp;INDEX('Zgłoszenia'!$H$5:$H$504,MATCH(H249,'Zgłoszenia'!$S$5:$S$504,0)),RIGHT("0"&amp;DAY((A249+1)),2)&amp;"."&amp;RIGHT("0"&amp;MONTH((A249+1)),2)&amp;"."&amp;YEAR((A249+1))&amp;": "&amp;INDEX('Zgłoszenia'!$H$5:$H$504,MATCH(F249&amp;"|"&amp;(A249+1),'Zgłoszenia'!$S$5:$S$504,0)))&amp;IF(K249&gt;1," (+"&amp;(K249-1)&amp;")",""))</f>
        <v/>
      </c>
      <c r="M249" s="63" t="n">
        <v>4</v>
      </c>
      <c r="N249" s="2" t="n"/>
      <c r="O249" s="2" t="n"/>
    </row>
    <row r="250">
      <c r="A250" s="62">
        <f>IF('4'!$C$1="","",'4'!$C$1)</f>
        <v/>
      </c>
      <c r="B250" s="63">
        <f>Ustawienia!$A$8&amp;""</f>
        <v/>
      </c>
      <c r="C250" s="63">
        <f>Ustawienia!$A$14&amp;""</f>
        <v/>
      </c>
      <c r="D250" s="63" t="n">
        <v>6</v>
      </c>
      <c r="E250" s="63">
        <f>IF('4'!B11="","",TRIM('4'!B11&amp;""))</f>
        <v/>
      </c>
      <c r="F250" s="63">
        <f>IF('4'!C11="","",'4'!C11)</f>
        <v/>
      </c>
      <c r="G250" s="63">
        <f>'4'!D11&amp;""</f>
        <v/>
      </c>
      <c r="H250" s="63">
        <f>IF(OR(A250="",F250=""),"",F250&amp;"|"&amp;A250)</f>
        <v/>
      </c>
      <c r="I250" s="63">
        <f>IF(AND(H250&lt;&gt;"",OR('Historia wózka'!$B$4="",F250='Historia wózka'!$B$4),A250&gt;='Historia wózka'!$B$5,A250&lt;='Historia wózka'!$B$6),A250+0.9+(5000-ROW())/10000000,0)</f>
        <v/>
      </c>
      <c r="J250" s="63">
        <f>Ustawienia!$B$8&amp;""</f>
        <v/>
      </c>
      <c r="K250" s="63">
        <f>IF(H250="","",COUNTIFS('Zgłoszenia'!$B$5:$B$504,F250,'Zgłoszenia'!$D$5:$D$504,"&gt;="&amp;A250,'Zgłoszenia'!$D$5:$D$504,"&lt;="&amp;(A250+1)))</f>
        <v/>
      </c>
      <c r="L250" s="63">
        <f>IF(OR(H250="",K250=0),"—",IF(ISNUMBER(MATCH(H250,'Zgłoszenia'!$S$5:$S$504,0)),RIGHT("0"&amp;DAY(A250),2)&amp;"."&amp;RIGHT("0"&amp;MONTH(A250),2)&amp;"."&amp;YEAR(A250)&amp;": "&amp;INDEX('Zgłoszenia'!$H$5:$H$504,MATCH(H250,'Zgłoszenia'!$S$5:$S$504,0)),RIGHT("0"&amp;DAY((A250+1)),2)&amp;"."&amp;RIGHT("0"&amp;MONTH((A250+1)),2)&amp;"."&amp;YEAR((A250+1))&amp;": "&amp;INDEX('Zgłoszenia'!$H$5:$H$504,MATCH(F250&amp;"|"&amp;(A250+1),'Zgłoszenia'!$S$5:$S$504,0)))&amp;IF(K250&gt;1," (+"&amp;(K250-1)&amp;")",""))</f>
        <v/>
      </c>
      <c r="M250" s="63" t="n">
        <v>4</v>
      </c>
      <c r="N250" s="2" t="n"/>
      <c r="O250" s="2" t="n"/>
    </row>
    <row r="251">
      <c r="A251" s="62">
        <f>IF('4'!$C$1="","",'4'!$C$1)</f>
        <v/>
      </c>
      <c r="B251" s="63">
        <f>Ustawienia!$A$8&amp;""</f>
        <v/>
      </c>
      <c r="C251" s="63">
        <f>Ustawienia!$A$15&amp;""</f>
        <v/>
      </c>
      <c r="D251" s="63" t="n">
        <v>1</v>
      </c>
      <c r="E251" s="63">
        <f>IF('4'!B13="","",TRIM('4'!B13&amp;""))</f>
        <v/>
      </c>
      <c r="F251" s="63">
        <f>IF('4'!C13="","",'4'!C13)</f>
        <v/>
      </c>
      <c r="G251" s="63">
        <f>'4'!D13&amp;""</f>
        <v/>
      </c>
      <c r="H251" s="63">
        <f>IF(OR(A251="",F251=""),"",F251&amp;"|"&amp;A251)</f>
        <v/>
      </c>
      <c r="I251" s="63">
        <f>IF(AND(H251&lt;&gt;"",OR('Historia wózka'!$B$4="",F251='Historia wózka'!$B$4),A251&gt;='Historia wózka'!$B$5,A251&lt;='Historia wózka'!$B$6),A251+0.9+(5000-ROW())/10000000,0)</f>
        <v/>
      </c>
      <c r="J251" s="63">
        <f>Ustawienia!$B$8&amp;""</f>
        <v/>
      </c>
      <c r="K251" s="63">
        <f>IF(H251="","",COUNTIFS('Zgłoszenia'!$B$5:$B$504,F251,'Zgłoszenia'!$D$5:$D$504,"&gt;="&amp;A251,'Zgłoszenia'!$D$5:$D$504,"&lt;="&amp;(A251+1)))</f>
        <v/>
      </c>
      <c r="L251" s="63">
        <f>IF(OR(H251="",K251=0),"—",IF(ISNUMBER(MATCH(H251,'Zgłoszenia'!$S$5:$S$504,0)),RIGHT("0"&amp;DAY(A251),2)&amp;"."&amp;RIGHT("0"&amp;MONTH(A251),2)&amp;"."&amp;YEAR(A251)&amp;": "&amp;INDEX('Zgłoszenia'!$H$5:$H$504,MATCH(H251,'Zgłoszenia'!$S$5:$S$504,0)),RIGHT("0"&amp;DAY((A251+1)),2)&amp;"."&amp;RIGHT("0"&amp;MONTH((A251+1)),2)&amp;"."&amp;YEAR((A251+1))&amp;": "&amp;INDEX('Zgłoszenia'!$H$5:$H$504,MATCH(F251&amp;"|"&amp;(A251+1),'Zgłoszenia'!$S$5:$S$504,0)))&amp;IF(K251&gt;1," (+"&amp;(K251-1)&amp;")",""))</f>
        <v/>
      </c>
      <c r="M251" s="63" t="n">
        <v>4</v>
      </c>
      <c r="N251" s="2" t="n"/>
      <c r="O251" s="2" t="n"/>
    </row>
    <row r="252">
      <c r="A252" s="62">
        <f>IF('4'!$C$1="","",'4'!$C$1)</f>
        <v/>
      </c>
      <c r="B252" s="63">
        <f>Ustawienia!$A$8&amp;""</f>
        <v/>
      </c>
      <c r="C252" s="63">
        <f>Ustawienia!$A$15&amp;""</f>
        <v/>
      </c>
      <c r="D252" s="63" t="n">
        <v>2</v>
      </c>
      <c r="E252" s="63">
        <f>IF('4'!B14="","",TRIM('4'!B14&amp;""))</f>
        <v/>
      </c>
      <c r="F252" s="63">
        <f>IF('4'!C14="","",'4'!C14)</f>
        <v/>
      </c>
      <c r="G252" s="63">
        <f>'4'!D14&amp;""</f>
        <v/>
      </c>
      <c r="H252" s="63">
        <f>IF(OR(A252="",F252=""),"",F252&amp;"|"&amp;A252)</f>
        <v/>
      </c>
      <c r="I252" s="63">
        <f>IF(AND(H252&lt;&gt;"",OR('Historia wózka'!$B$4="",F252='Historia wózka'!$B$4),A252&gt;='Historia wózka'!$B$5,A252&lt;='Historia wózka'!$B$6),A252+0.9+(5000-ROW())/10000000,0)</f>
        <v/>
      </c>
      <c r="J252" s="63">
        <f>Ustawienia!$B$8&amp;""</f>
        <v/>
      </c>
      <c r="K252" s="63">
        <f>IF(H252="","",COUNTIFS('Zgłoszenia'!$B$5:$B$504,F252,'Zgłoszenia'!$D$5:$D$504,"&gt;="&amp;A252,'Zgłoszenia'!$D$5:$D$504,"&lt;="&amp;(A252+1)))</f>
        <v/>
      </c>
      <c r="L252" s="63">
        <f>IF(OR(H252="",K252=0),"—",IF(ISNUMBER(MATCH(H252,'Zgłoszenia'!$S$5:$S$504,0)),RIGHT("0"&amp;DAY(A252),2)&amp;"."&amp;RIGHT("0"&amp;MONTH(A252),2)&amp;"."&amp;YEAR(A252)&amp;": "&amp;INDEX('Zgłoszenia'!$H$5:$H$504,MATCH(H252,'Zgłoszenia'!$S$5:$S$504,0)),RIGHT("0"&amp;DAY((A252+1)),2)&amp;"."&amp;RIGHT("0"&amp;MONTH((A252+1)),2)&amp;"."&amp;YEAR((A252+1))&amp;": "&amp;INDEX('Zgłoszenia'!$H$5:$H$504,MATCH(F252&amp;"|"&amp;(A252+1),'Zgłoszenia'!$S$5:$S$504,0)))&amp;IF(K252&gt;1," (+"&amp;(K252-1)&amp;")",""))</f>
        <v/>
      </c>
      <c r="M252" s="63" t="n">
        <v>4</v>
      </c>
      <c r="N252" s="2" t="n"/>
      <c r="O252" s="2" t="n"/>
    </row>
    <row r="253">
      <c r="A253" s="62">
        <f>IF('4'!$C$1="","",'4'!$C$1)</f>
        <v/>
      </c>
      <c r="B253" s="63">
        <f>Ustawienia!$A$8&amp;""</f>
        <v/>
      </c>
      <c r="C253" s="63">
        <f>Ustawienia!$A$15&amp;""</f>
        <v/>
      </c>
      <c r="D253" s="63" t="n">
        <v>3</v>
      </c>
      <c r="E253" s="63">
        <f>IF('4'!B15="","",TRIM('4'!B15&amp;""))</f>
        <v/>
      </c>
      <c r="F253" s="63">
        <f>IF('4'!C15="","",'4'!C15)</f>
        <v/>
      </c>
      <c r="G253" s="63">
        <f>'4'!D15&amp;""</f>
        <v/>
      </c>
      <c r="H253" s="63">
        <f>IF(OR(A253="",F253=""),"",F253&amp;"|"&amp;A253)</f>
        <v/>
      </c>
      <c r="I253" s="63">
        <f>IF(AND(H253&lt;&gt;"",OR('Historia wózka'!$B$4="",F253='Historia wózka'!$B$4),A253&gt;='Historia wózka'!$B$5,A253&lt;='Historia wózka'!$B$6),A253+0.9+(5000-ROW())/10000000,0)</f>
        <v/>
      </c>
      <c r="J253" s="63">
        <f>Ustawienia!$B$8&amp;""</f>
        <v/>
      </c>
      <c r="K253" s="63">
        <f>IF(H253="","",COUNTIFS('Zgłoszenia'!$B$5:$B$504,F253,'Zgłoszenia'!$D$5:$D$504,"&gt;="&amp;A253,'Zgłoszenia'!$D$5:$D$504,"&lt;="&amp;(A253+1)))</f>
        <v/>
      </c>
      <c r="L253" s="63">
        <f>IF(OR(H253="",K253=0),"—",IF(ISNUMBER(MATCH(H253,'Zgłoszenia'!$S$5:$S$504,0)),RIGHT("0"&amp;DAY(A253),2)&amp;"."&amp;RIGHT("0"&amp;MONTH(A253),2)&amp;"."&amp;YEAR(A253)&amp;": "&amp;INDEX('Zgłoszenia'!$H$5:$H$504,MATCH(H253,'Zgłoszenia'!$S$5:$S$504,0)),RIGHT("0"&amp;DAY((A253+1)),2)&amp;"."&amp;RIGHT("0"&amp;MONTH((A253+1)),2)&amp;"."&amp;YEAR((A253+1))&amp;": "&amp;INDEX('Zgłoszenia'!$H$5:$H$504,MATCH(F253&amp;"|"&amp;(A253+1),'Zgłoszenia'!$S$5:$S$504,0)))&amp;IF(K253&gt;1," (+"&amp;(K253-1)&amp;")",""))</f>
        <v/>
      </c>
      <c r="M253" s="63" t="n">
        <v>4</v>
      </c>
      <c r="N253" s="2" t="n"/>
      <c r="O253" s="2" t="n"/>
    </row>
    <row r="254">
      <c r="A254" s="62">
        <f>IF('4'!$C$1="","",'4'!$C$1)</f>
        <v/>
      </c>
      <c r="B254" s="63">
        <f>Ustawienia!$A$8&amp;""</f>
        <v/>
      </c>
      <c r="C254" s="63">
        <f>Ustawienia!$A$15&amp;""</f>
        <v/>
      </c>
      <c r="D254" s="63" t="n">
        <v>4</v>
      </c>
      <c r="E254" s="63">
        <f>IF('4'!B16="","",TRIM('4'!B16&amp;""))</f>
        <v/>
      </c>
      <c r="F254" s="63">
        <f>IF('4'!C16="","",'4'!C16)</f>
        <v/>
      </c>
      <c r="G254" s="63">
        <f>'4'!D16&amp;""</f>
        <v/>
      </c>
      <c r="H254" s="63">
        <f>IF(OR(A254="",F254=""),"",F254&amp;"|"&amp;A254)</f>
        <v/>
      </c>
      <c r="I254" s="63">
        <f>IF(AND(H254&lt;&gt;"",OR('Historia wózka'!$B$4="",F254='Historia wózka'!$B$4),A254&gt;='Historia wózka'!$B$5,A254&lt;='Historia wózka'!$B$6),A254+0.9+(5000-ROW())/10000000,0)</f>
        <v/>
      </c>
      <c r="J254" s="63">
        <f>Ustawienia!$B$8&amp;""</f>
        <v/>
      </c>
      <c r="K254" s="63">
        <f>IF(H254="","",COUNTIFS('Zgłoszenia'!$B$5:$B$504,F254,'Zgłoszenia'!$D$5:$D$504,"&gt;="&amp;A254,'Zgłoszenia'!$D$5:$D$504,"&lt;="&amp;(A254+1)))</f>
        <v/>
      </c>
      <c r="L254" s="63">
        <f>IF(OR(H254="",K254=0),"—",IF(ISNUMBER(MATCH(H254,'Zgłoszenia'!$S$5:$S$504,0)),RIGHT("0"&amp;DAY(A254),2)&amp;"."&amp;RIGHT("0"&amp;MONTH(A254),2)&amp;"."&amp;YEAR(A254)&amp;": "&amp;INDEX('Zgłoszenia'!$H$5:$H$504,MATCH(H254,'Zgłoszenia'!$S$5:$S$504,0)),RIGHT("0"&amp;DAY((A254+1)),2)&amp;"."&amp;RIGHT("0"&amp;MONTH((A254+1)),2)&amp;"."&amp;YEAR((A254+1))&amp;": "&amp;INDEX('Zgłoszenia'!$H$5:$H$504,MATCH(F254&amp;"|"&amp;(A254+1),'Zgłoszenia'!$S$5:$S$504,0)))&amp;IF(K254&gt;1," (+"&amp;(K254-1)&amp;")",""))</f>
        <v/>
      </c>
      <c r="M254" s="63" t="n">
        <v>4</v>
      </c>
      <c r="N254" s="2" t="n"/>
      <c r="O254" s="2" t="n"/>
    </row>
    <row r="255">
      <c r="A255" s="62">
        <f>IF('4'!$C$1="","",'4'!$C$1)</f>
        <v/>
      </c>
      <c r="B255" s="63">
        <f>Ustawienia!$A$8&amp;""</f>
        <v/>
      </c>
      <c r="C255" s="63">
        <f>Ustawienia!$A$15&amp;""</f>
        <v/>
      </c>
      <c r="D255" s="63" t="n">
        <v>5</v>
      </c>
      <c r="E255" s="63">
        <f>IF('4'!B17="","",TRIM('4'!B17&amp;""))</f>
        <v/>
      </c>
      <c r="F255" s="63">
        <f>IF('4'!C17="","",'4'!C17)</f>
        <v/>
      </c>
      <c r="G255" s="63">
        <f>'4'!D17&amp;""</f>
        <v/>
      </c>
      <c r="H255" s="63">
        <f>IF(OR(A255="",F255=""),"",F255&amp;"|"&amp;A255)</f>
        <v/>
      </c>
      <c r="I255" s="63">
        <f>IF(AND(H255&lt;&gt;"",OR('Historia wózka'!$B$4="",F255='Historia wózka'!$B$4),A255&gt;='Historia wózka'!$B$5,A255&lt;='Historia wózka'!$B$6),A255+0.9+(5000-ROW())/10000000,0)</f>
        <v/>
      </c>
      <c r="J255" s="63">
        <f>Ustawienia!$B$8&amp;""</f>
        <v/>
      </c>
      <c r="K255" s="63">
        <f>IF(H255="","",COUNTIFS('Zgłoszenia'!$B$5:$B$504,F255,'Zgłoszenia'!$D$5:$D$504,"&gt;="&amp;A255,'Zgłoszenia'!$D$5:$D$504,"&lt;="&amp;(A255+1)))</f>
        <v/>
      </c>
      <c r="L255" s="63">
        <f>IF(OR(H255="",K255=0),"—",IF(ISNUMBER(MATCH(H255,'Zgłoszenia'!$S$5:$S$504,0)),RIGHT("0"&amp;DAY(A255),2)&amp;"."&amp;RIGHT("0"&amp;MONTH(A255),2)&amp;"."&amp;YEAR(A255)&amp;": "&amp;INDEX('Zgłoszenia'!$H$5:$H$504,MATCH(H255,'Zgłoszenia'!$S$5:$S$504,0)),RIGHT("0"&amp;DAY((A255+1)),2)&amp;"."&amp;RIGHT("0"&amp;MONTH((A255+1)),2)&amp;"."&amp;YEAR((A255+1))&amp;": "&amp;INDEX('Zgłoszenia'!$H$5:$H$504,MATCH(F255&amp;"|"&amp;(A255+1),'Zgłoszenia'!$S$5:$S$504,0)))&amp;IF(K255&gt;1," (+"&amp;(K255-1)&amp;")",""))</f>
        <v/>
      </c>
      <c r="M255" s="63" t="n">
        <v>4</v>
      </c>
      <c r="N255" s="2" t="n"/>
      <c r="O255" s="2" t="n"/>
    </row>
    <row r="256">
      <c r="A256" s="62">
        <f>IF('4'!$C$1="","",'4'!$C$1)</f>
        <v/>
      </c>
      <c r="B256" s="63">
        <f>Ustawienia!$A$8&amp;""</f>
        <v/>
      </c>
      <c r="C256" s="63">
        <f>Ustawienia!$A$15&amp;""</f>
        <v/>
      </c>
      <c r="D256" s="63" t="n">
        <v>6</v>
      </c>
      <c r="E256" s="63">
        <f>IF('4'!B18="","",TRIM('4'!B18&amp;""))</f>
        <v/>
      </c>
      <c r="F256" s="63">
        <f>IF('4'!C18="","",'4'!C18)</f>
        <v/>
      </c>
      <c r="G256" s="63">
        <f>'4'!D18&amp;""</f>
        <v/>
      </c>
      <c r="H256" s="63">
        <f>IF(OR(A256="",F256=""),"",F256&amp;"|"&amp;A256)</f>
        <v/>
      </c>
      <c r="I256" s="63">
        <f>IF(AND(H256&lt;&gt;"",OR('Historia wózka'!$B$4="",F256='Historia wózka'!$B$4),A256&gt;='Historia wózka'!$B$5,A256&lt;='Historia wózka'!$B$6),A256+0.9+(5000-ROW())/10000000,0)</f>
        <v/>
      </c>
      <c r="J256" s="63">
        <f>Ustawienia!$B$8&amp;""</f>
        <v/>
      </c>
      <c r="K256" s="63">
        <f>IF(H256="","",COUNTIFS('Zgłoszenia'!$B$5:$B$504,F256,'Zgłoszenia'!$D$5:$D$504,"&gt;="&amp;A256,'Zgłoszenia'!$D$5:$D$504,"&lt;="&amp;(A256+1)))</f>
        <v/>
      </c>
      <c r="L256" s="63">
        <f>IF(OR(H256="",K256=0),"—",IF(ISNUMBER(MATCH(H256,'Zgłoszenia'!$S$5:$S$504,0)),RIGHT("0"&amp;DAY(A256),2)&amp;"."&amp;RIGHT("0"&amp;MONTH(A256),2)&amp;"."&amp;YEAR(A256)&amp;": "&amp;INDEX('Zgłoszenia'!$H$5:$H$504,MATCH(H256,'Zgłoszenia'!$S$5:$S$504,0)),RIGHT("0"&amp;DAY((A256+1)),2)&amp;"."&amp;RIGHT("0"&amp;MONTH((A256+1)),2)&amp;"."&amp;YEAR((A256+1))&amp;": "&amp;INDEX('Zgłoszenia'!$H$5:$H$504,MATCH(F256&amp;"|"&amp;(A256+1),'Zgłoszenia'!$S$5:$S$504,0)))&amp;IF(K256&gt;1," (+"&amp;(K256-1)&amp;")",""))</f>
        <v/>
      </c>
      <c r="M256" s="63" t="n">
        <v>4</v>
      </c>
      <c r="N256" s="2" t="n"/>
      <c r="O256" s="2" t="n"/>
    </row>
    <row r="257">
      <c r="A257" s="62">
        <f>IF('4'!$C$1="","",'4'!$C$1)</f>
        <v/>
      </c>
      <c r="B257" s="63">
        <f>Ustawienia!$A$8&amp;""</f>
        <v/>
      </c>
      <c r="C257" s="63">
        <f>Ustawienia!$A$15&amp;""</f>
        <v/>
      </c>
      <c r="D257" s="63" t="n">
        <v>7</v>
      </c>
      <c r="E257" s="63">
        <f>IF('4'!B19="","",TRIM('4'!B19&amp;""))</f>
        <v/>
      </c>
      <c r="F257" s="63">
        <f>IF('4'!C19="","",'4'!C19)</f>
        <v/>
      </c>
      <c r="G257" s="63">
        <f>'4'!D19&amp;""</f>
        <v/>
      </c>
      <c r="H257" s="63">
        <f>IF(OR(A257="",F257=""),"",F257&amp;"|"&amp;A257)</f>
        <v/>
      </c>
      <c r="I257" s="63">
        <f>IF(AND(H257&lt;&gt;"",OR('Historia wózka'!$B$4="",F257='Historia wózka'!$B$4),A257&gt;='Historia wózka'!$B$5,A257&lt;='Historia wózka'!$B$6),A257+0.9+(5000-ROW())/10000000,0)</f>
        <v/>
      </c>
      <c r="J257" s="63">
        <f>Ustawienia!$B$8&amp;""</f>
        <v/>
      </c>
      <c r="K257" s="63">
        <f>IF(H257="","",COUNTIFS('Zgłoszenia'!$B$5:$B$504,F257,'Zgłoszenia'!$D$5:$D$504,"&gt;="&amp;A257,'Zgłoszenia'!$D$5:$D$504,"&lt;="&amp;(A257+1)))</f>
        <v/>
      </c>
      <c r="L257" s="63">
        <f>IF(OR(H257="",K257=0),"—",IF(ISNUMBER(MATCH(H257,'Zgłoszenia'!$S$5:$S$504,0)),RIGHT("0"&amp;DAY(A257),2)&amp;"."&amp;RIGHT("0"&amp;MONTH(A257),2)&amp;"."&amp;YEAR(A257)&amp;": "&amp;INDEX('Zgłoszenia'!$H$5:$H$504,MATCH(H257,'Zgłoszenia'!$S$5:$S$504,0)),RIGHT("0"&amp;DAY((A257+1)),2)&amp;"."&amp;RIGHT("0"&amp;MONTH((A257+1)),2)&amp;"."&amp;YEAR((A257+1))&amp;": "&amp;INDEX('Zgłoszenia'!$H$5:$H$504,MATCH(F257&amp;"|"&amp;(A257+1),'Zgłoszenia'!$S$5:$S$504,0)))&amp;IF(K257&gt;1," (+"&amp;(K257-1)&amp;")",""))</f>
        <v/>
      </c>
      <c r="M257" s="63" t="n">
        <v>4</v>
      </c>
      <c r="N257" s="2" t="n"/>
      <c r="O257" s="2" t="n"/>
    </row>
    <row r="258">
      <c r="A258" s="62">
        <f>IF('4'!$C$1="","",'4'!$C$1)</f>
        <v/>
      </c>
      <c r="B258" s="63">
        <f>Ustawienia!$A$8&amp;""</f>
        <v/>
      </c>
      <c r="C258" s="63">
        <f>Ustawienia!$A$15&amp;""</f>
        <v/>
      </c>
      <c r="D258" s="63" t="n">
        <v>8</v>
      </c>
      <c r="E258" s="63">
        <f>IF('4'!B20="","",TRIM('4'!B20&amp;""))</f>
        <v/>
      </c>
      <c r="F258" s="63">
        <f>IF('4'!C20="","",'4'!C20)</f>
        <v/>
      </c>
      <c r="G258" s="63">
        <f>'4'!D20&amp;""</f>
        <v/>
      </c>
      <c r="H258" s="63">
        <f>IF(OR(A258="",F258=""),"",F258&amp;"|"&amp;A258)</f>
        <v/>
      </c>
      <c r="I258" s="63">
        <f>IF(AND(H258&lt;&gt;"",OR('Historia wózka'!$B$4="",F258='Historia wózka'!$B$4),A258&gt;='Historia wózka'!$B$5,A258&lt;='Historia wózka'!$B$6),A258+0.9+(5000-ROW())/10000000,0)</f>
        <v/>
      </c>
      <c r="J258" s="63">
        <f>Ustawienia!$B$8&amp;""</f>
        <v/>
      </c>
      <c r="K258" s="63">
        <f>IF(H258="","",COUNTIFS('Zgłoszenia'!$B$5:$B$504,F258,'Zgłoszenia'!$D$5:$D$504,"&gt;="&amp;A258,'Zgłoszenia'!$D$5:$D$504,"&lt;="&amp;(A258+1)))</f>
        <v/>
      </c>
      <c r="L258" s="63">
        <f>IF(OR(H258="",K258=0),"—",IF(ISNUMBER(MATCH(H258,'Zgłoszenia'!$S$5:$S$504,0)),RIGHT("0"&amp;DAY(A258),2)&amp;"."&amp;RIGHT("0"&amp;MONTH(A258),2)&amp;"."&amp;YEAR(A258)&amp;": "&amp;INDEX('Zgłoszenia'!$H$5:$H$504,MATCH(H258,'Zgłoszenia'!$S$5:$S$504,0)),RIGHT("0"&amp;DAY((A258+1)),2)&amp;"."&amp;RIGHT("0"&amp;MONTH((A258+1)),2)&amp;"."&amp;YEAR((A258+1))&amp;": "&amp;INDEX('Zgłoszenia'!$H$5:$H$504,MATCH(F258&amp;"|"&amp;(A258+1),'Zgłoszenia'!$S$5:$S$504,0)))&amp;IF(K258&gt;1," (+"&amp;(K258-1)&amp;")",""))</f>
        <v/>
      </c>
      <c r="M258" s="63" t="n">
        <v>4</v>
      </c>
      <c r="N258" s="2" t="n"/>
      <c r="O258" s="2" t="n"/>
    </row>
    <row r="259">
      <c r="A259" s="62">
        <f>IF('4'!$C$1="","",'4'!$C$1)</f>
        <v/>
      </c>
      <c r="B259" s="63">
        <f>Ustawienia!$A$8&amp;""</f>
        <v/>
      </c>
      <c r="C259" s="63">
        <f>Ustawienia!$A$16&amp;""</f>
        <v/>
      </c>
      <c r="D259" s="63" t="n">
        <v>1</v>
      </c>
      <c r="E259" s="63">
        <f>IF('4'!B22="","",TRIM('4'!B22&amp;""))</f>
        <v/>
      </c>
      <c r="F259" s="63">
        <f>IF('4'!C22="","",'4'!C22)</f>
        <v/>
      </c>
      <c r="G259" s="63">
        <f>'4'!D22&amp;""</f>
        <v/>
      </c>
      <c r="H259" s="63">
        <f>IF(OR(A259="",F259=""),"",F259&amp;"|"&amp;A259)</f>
        <v/>
      </c>
      <c r="I259" s="63">
        <f>IF(AND(H259&lt;&gt;"",OR('Historia wózka'!$B$4="",F259='Historia wózka'!$B$4),A259&gt;='Historia wózka'!$B$5,A259&lt;='Historia wózka'!$B$6),A259+0.9+(5000-ROW())/10000000,0)</f>
        <v/>
      </c>
      <c r="J259" s="63">
        <f>Ustawienia!$B$8&amp;""</f>
        <v/>
      </c>
      <c r="K259" s="63">
        <f>IF(H259="","",COUNTIFS('Zgłoszenia'!$B$5:$B$504,F259,'Zgłoszenia'!$D$5:$D$504,"&gt;="&amp;A259,'Zgłoszenia'!$D$5:$D$504,"&lt;="&amp;(A259+1)))</f>
        <v/>
      </c>
      <c r="L259" s="63">
        <f>IF(OR(H259="",K259=0),"—",IF(ISNUMBER(MATCH(H259,'Zgłoszenia'!$S$5:$S$504,0)),RIGHT("0"&amp;DAY(A259),2)&amp;"."&amp;RIGHT("0"&amp;MONTH(A259),2)&amp;"."&amp;YEAR(A259)&amp;": "&amp;INDEX('Zgłoszenia'!$H$5:$H$504,MATCH(H259,'Zgłoszenia'!$S$5:$S$504,0)),RIGHT("0"&amp;DAY((A259+1)),2)&amp;"."&amp;RIGHT("0"&amp;MONTH((A259+1)),2)&amp;"."&amp;YEAR((A259+1))&amp;": "&amp;INDEX('Zgłoszenia'!$H$5:$H$504,MATCH(F259&amp;"|"&amp;(A259+1),'Zgłoszenia'!$S$5:$S$504,0)))&amp;IF(K259&gt;1," (+"&amp;(K259-1)&amp;")",""))</f>
        <v/>
      </c>
      <c r="M259" s="63" t="n">
        <v>4</v>
      </c>
      <c r="N259" s="2" t="n"/>
      <c r="O259" s="2" t="n"/>
    </row>
    <row r="260">
      <c r="A260" s="62">
        <f>IF('4'!$C$1="","",'4'!$C$1)</f>
        <v/>
      </c>
      <c r="B260" s="63">
        <f>Ustawienia!$A$8&amp;""</f>
        <v/>
      </c>
      <c r="C260" s="63">
        <f>Ustawienia!$A$16&amp;""</f>
        <v/>
      </c>
      <c r="D260" s="63" t="n">
        <v>2</v>
      </c>
      <c r="E260" s="63">
        <f>IF('4'!B23="","",TRIM('4'!B23&amp;""))</f>
        <v/>
      </c>
      <c r="F260" s="63">
        <f>IF('4'!C23="","",'4'!C23)</f>
        <v/>
      </c>
      <c r="G260" s="63">
        <f>'4'!D23&amp;""</f>
        <v/>
      </c>
      <c r="H260" s="63">
        <f>IF(OR(A260="",F260=""),"",F260&amp;"|"&amp;A260)</f>
        <v/>
      </c>
      <c r="I260" s="63">
        <f>IF(AND(H260&lt;&gt;"",OR('Historia wózka'!$B$4="",F260='Historia wózka'!$B$4),A260&gt;='Historia wózka'!$B$5,A260&lt;='Historia wózka'!$B$6),A260+0.9+(5000-ROW())/10000000,0)</f>
        <v/>
      </c>
      <c r="J260" s="63">
        <f>Ustawienia!$B$8&amp;""</f>
        <v/>
      </c>
      <c r="K260" s="63">
        <f>IF(H260="","",COUNTIFS('Zgłoszenia'!$B$5:$B$504,F260,'Zgłoszenia'!$D$5:$D$504,"&gt;="&amp;A260,'Zgłoszenia'!$D$5:$D$504,"&lt;="&amp;(A260+1)))</f>
        <v/>
      </c>
      <c r="L260" s="63">
        <f>IF(OR(H260="",K260=0),"—",IF(ISNUMBER(MATCH(H260,'Zgłoszenia'!$S$5:$S$504,0)),RIGHT("0"&amp;DAY(A260),2)&amp;"."&amp;RIGHT("0"&amp;MONTH(A260),2)&amp;"."&amp;YEAR(A260)&amp;": "&amp;INDEX('Zgłoszenia'!$H$5:$H$504,MATCH(H260,'Zgłoszenia'!$S$5:$S$504,0)),RIGHT("0"&amp;DAY((A260+1)),2)&amp;"."&amp;RIGHT("0"&amp;MONTH((A260+1)),2)&amp;"."&amp;YEAR((A260+1))&amp;": "&amp;INDEX('Zgłoszenia'!$H$5:$H$504,MATCH(F260&amp;"|"&amp;(A260+1),'Zgłoszenia'!$S$5:$S$504,0)))&amp;IF(K260&gt;1," (+"&amp;(K260-1)&amp;")",""))</f>
        <v/>
      </c>
      <c r="M260" s="63" t="n">
        <v>4</v>
      </c>
      <c r="N260" s="2" t="n"/>
      <c r="O260" s="2" t="n"/>
    </row>
    <row r="261">
      <c r="A261" s="62">
        <f>IF('4'!$C$1="","",'4'!$C$1)</f>
        <v/>
      </c>
      <c r="B261" s="63">
        <f>Ustawienia!$A$8&amp;""</f>
        <v/>
      </c>
      <c r="C261" s="63">
        <f>Ustawienia!$A$16&amp;""</f>
        <v/>
      </c>
      <c r="D261" s="63" t="n">
        <v>3</v>
      </c>
      <c r="E261" s="63">
        <f>IF('4'!B24="","",TRIM('4'!B24&amp;""))</f>
        <v/>
      </c>
      <c r="F261" s="63">
        <f>IF('4'!C24="","",'4'!C24)</f>
        <v/>
      </c>
      <c r="G261" s="63">
        <f>'4'!D24&amp;""</f>
        <v/>
      </c>
      <c r="H261" s="63">
        <f>IF(OR(A261="",F261=""),"",F261&amp;"|"&amp;A261)</f>
        <v/>
      </c>
      <c r="I261" s="63">
        <f>IF(AND(H261&lt;&gt;"",OR('Historia wózka'!$B$4="",F261='Historia wózka'!$B$4),A261&gt;='Historia wózka'!$B$5,A261&lt;='Historia wózka'!$B$6),A261+0.9+(5000-ROW())/10000000,0)</f>
        <v/>
      </c>
      <c r="J261" s="63">
        <f>Ustawienia!$B$8&amp;""</f>
        <v/>
      </c>
      <c r="K261" s="63">
        <f>IF(H261="","",COUNTIFS('Zgłoszenia'!$B$5:$B$504,F261,'Zgłoszenia'!$D$5:$D$504,"&gt;="&amp;A261,'Zgłoszenia'!$D$5:$D$504,"&lt;="&amp;(A261+1)))</f>
        <v/>
      </c>
      <c r="L261" s="63">
        <f>IF(OR(H261="",K261=0),"—",IF(ISNUMBER(MATCH(H261,'Zgłoszenia'!$S$5:$S$504,0)),RIGHT("0"&amp;DAY(A261),2)&amp;"."&amp;RIGHT("0"&amp;MONTH(A261),2)&amp;"."&amp;YEAR(A261)&amp;": "&amp;INDEX('Zgłoszenia'!$H$5:$H$504,MATCH(H261,'Zgłoszenia'!$S$5:$S$504,0)),RIGHT("0"&amp;DAY((A261+1)),2)&amp;"."&amp;RIGHT("0"&amp;MONTH((A261+1)),2)&amp;"."&amp;YEAR((A261+1))&amp;": "&amp;INDEX('Zgłoszenia'!$H$5:$H$504,MATCH(F261&amp;"|"&amp;(A261+1),'Zgłoszenia'!$S$5:$S$504,0)))&amp;IF(K261&gt;1," (+"&amp;(K261-1)&amp;")",""))</f>
        <v/>
      </c>
      <c r="M261" s="63" t="n">
        <v>4</v>
      </c>
      <c r="N261" s="2" t="n"/>
      <c r="O261" s="2" t="n"/>
    </row>
    <row r="262">
      <c r="A262" s="62">
        <f>IF('4'!$C$1="","",'4'!$C$1)</f>
        <v/>
      </c>
      <c r="B262" s="63">
        <f>Ustawienia!$A$8&amp;""</f>
        <v/>
      </c>
      <c r="C262" s="63">
        <f>Ustawienia!$A$16&amp;""</f>
        <v/>
      </c>
      <c r="D262" s="63" t="n">
        <v>4</v>
      </c>
      <c r="E262" s="63">
        <f>IF('4'!B25="","",TRIM('4'!B25&amp;""))</f>
        <v/>
      </c>
      <c r="F262" s="63">
        <f>IF('4'!C25="","",'4'!C25)</f>
        <v/>
      </c>
      <c r="G262" s="63">
        <f>'4'!D25&amp;""</f>
        <v/>
      </c>
      <c r="H262" s="63">
        <f>IF(OR(A262="",F262=""),"",F262&amp;"|"&amp;A262)</f>
        <v/>
      </c>
      <c r="I262" s="63">
        <f>IF(AND(H262&lt;&gt;"",OR('Historia wózka'!$B$4="",F262='Historia wózka'!$B$4),A262&gt;='Historia wózka'!$B$5,A262&lt;='Historia wózka'!$B$6),A262+0.9+(5000-ROW())/10000000,0)</f>
        <v/>
      </c>
      <c r="J262" s="63">
        <f>Ustawienia!$B$8&amp;""</f>
        <v/>
      </c>
      <c r="K262" s="63">
        <f>IF(H262="","",COUNTIFS('Zgłoszenia'!$B$5:$B$504,F262,'Zgłoszenia'!$D$5:$D$504,"&gt;="&amp;A262,'Zgłoszenia'!$D$5:$D$504,"&lt;="&amp;(A262+1)))</f>
        <v/>
      </c>
      <c r="L262" s="63">
        <f>IF(OR(H262="",K262=0),"—",IF(ISNUMBER(MATCH(H262,'Zgłoszenia'!$S$5:$S$504,0)),RIGHT("0"&amp;DAY(A262),2)&amp;"."&amp;RIGHT("0"&amp;MONTH(A262),2)&amp;"."&amp;YEAR(A262)&amp;": "&amp;INDEX('Zgłoszenia'!$H$5:$H$504,MATCH(H262,'Zgłoszenia'!$S$5:$S$504,0)),RIGHT("0"&amp;DAY((A262+1)),2)&amp;"."&amp;RIGHT("0"&amp;MONTH((A262+1)),2)&amp;"."&amp;YEAR((A262+1))&amp;": "&amp;INDEX('Zgłoszenia'!$H$5:$H$504,MATCH(F262&amp;"|"&amp;(A262+1),'Zgłoszenia'!$S$5:$S$504,0)))&amp;IF(K262&gt;1," (+"&amp;(K262-1)&amp;")",""))</f>
        <v/>
      </c>
      <c r="M262" s="63" t="n">
        <v>4</v>
      </c>
      <c r="N262" s="2" t="n"/>
      <c r="O262" s="2" t="n"/>
    </row>
    <row r="263">
      <c r="A263" s="62">
        <f>IF('4'!$C$1="","",'4'!$C$1)</f>
        <v/>
      </c>
      <c r="B263" s="63">
        <f>Ustawienia!$A$8&amp;""</f>
        <v/>
      </c>
      <c r="C263" s="63">
        <f>Ustawienia!$A$17&amp;""</f>
        <v/>
      </c>
      <c r="D263" s="63" t="n">
        <v>1</v>
      </c>
      <c r="E263" s="63">
        <f>IF('4'!B27="","",TRIM('4'!B27&amp;""))</f>
        <v/>
      </c>
      <c r="F263" s="63">
        <f>IF('4'!C27="","",'4'!C27)</f>
        <v/>
      </c>
      <c r="G263" s="63">
        <f>'4'!D27&amp;""</f>
        <v/>
      </c>
      <c r="H263" s="63">
        <f>IF(OR(A263="",F263=""),"",F263&amp;"|"&amp;A263)</f>
        <v/>
      </c>
      <c r="I263" s="63">
        <f>IF(AND(H263&lt;&gt;"",OR('Historia wózka'!$B$4="",F263='Historia wózka'!$B$4),A263&gt;='Historia wózka'!$B$5,A263&lt;='Historia wózka'!$B$6),A263+0.9+(5000-ROW())/10000000,0)</f>
        <v/>
      </c>
      <c r="J263" s="63">
        <f>Ustawienia!$B$8&amp;""</f>
        <v/>
      </c>
      <c r="K263" s="63">
        <f>IF(H263="","",COUNTIFS('Zgłoszenia'!$B$5:$B$504,F263,'Zgłoszenia'!$D$5:$D$504,"&gt;="&amp;A263,'Zgłoszenia'!$D$5:$D$504,"&lt;="&amp;(A263+1)))</f>
        <v/>
      </c>
      <c r="L263" s="63">
        <f>IF(OR(H263="",K263=0),"—",IF(ISNUMBER(MATCH(H263,'Zgłoszenia'!$S$5:$S$504,0)),RIGHT("0"&amp;DAY(A263),2)&amp;"."&amp;RIGHT("0"&amp;MONTH(A263),2)&amp;"."&amp;YEAR(A263)&amp;": "&amp;INDEX('Zgłoszenia'!$H$5:$H$504,MATCH(H263,'Zgłoszenia'!$S$5:$S$504,0)),RIGHT("0"&amp;DAY((A263+1)),2)&amp;"."&amp;RIGHT("0"&amp;MONTH((A263+1)),2)&amp;"."&amp;YEAR((A263+1))&amp;": "&amp;INDEX('Zgłoszenia'!$H$5:$H$504,MATCH(F263&amp;"|"&amp;(A263+1),'Zgłoszenia'!$S$5:$S$504,0)))&amp;IF(K263&gt;1," (+"&amp;(K263-1)&amp;")",""))</f>
        <v/>
      </c>
      <c r="M263" s="63" t="n">
        <v>4</v>
      </c>
      <c r="N263" s="2" t="n"/>
      <c r="O263" s="2" t="n"/>
    </row>
    <row r="264">
      <c r="A264" s="62">
        <f>IF('4'!$C$1="","",'4'!$C$1)</f>
        <v/>
      </c>
      <c r="B264" s="63">
        <f>Ustawienia!$A$8&amp;""</f>
        <v/>
      </c>
      <c r="C264" s="63">
        <f>Ustawienia!$A$17&amp;""</f>
        <v/>
      </c>
      <c r="D264" s="63" t="n">
        <v>2</v>
      </c>
      <c r="E264" s="63">
        <f>IF('4'!B28="","",TRIM('4'!B28&amp;""))</f>
        <v/>
      </c>
      <c r="F264" s="63">
        <f>IF('4'!C28="","",'4'!C28)</f>
        <v/>
      </c>
      <c r="G264" s="63">
        <f>'4'!D28&amp;""</f>
        <v/>
      </c>
      <c r="H264" s="63">
        <f>IF(OR(A264="",F264=""),"",F264&amp;"|"&amp;A264)</f>
        <v/>
      </c>
      <c r="I264" s="63">
        <f>IF(AND(H264&lt;&gt;"",OR('Historia wózka'!$B$4="",F264='Historia wózka'!$B$4),A264&gt;='Historia wózka'!$B$5,A264&lt;='Historia wózka'!$B$6),A264+0.9+(5000-ROW())/10000000,0)</f>
        <v/>
      </c>
      <c r="J264" s="63">
        <f>Ustawienia!$B$8&amp;""</f>
        <v/>
      </c>
      <c r="K264" s="63">
        <f>IF(H264="","",COUNTIFS('Zgłoszenia'!$B$5:$B$504,F264,'Zgłoszenia'!$D$5:$D$504,"&gt;="&amp;A264,'Zgłoszenia'!$D$5:$D$504,"&lt;="&amp;(A264+1)))</f>
        <v/>
      </c>
      <c r="L264" s="63">
        <f>IF(OR(H264="",K264=0),"—",IF(ISNUMBER(MATCH(H264,'Zgłoszenia'!$S$5:$S$504,0)),RIGHT("0"&amp;DAY(A264),2)&amp;"."&amp;RIGHT("0"&amp;MONTH(A264),2)&amp;"."&amp;YEAR(A264)&amp;": "&amp;INDEX('Zgłoszenia'!$H$5:$H$504,MATCH(H264,'Zgłoszenia'!$S$5:$S$504,0)),RIGHT("0"&amp;DAY((A264+1)),2)&amp;"."&amp;RIGHT("0"&amp;MONTH((A264+1)),2)&amp;"."&amp;YEAR((A264+1))&amp;": "&amp;INDEX('Zgłoszenia'!$H$5:$H$504,MATCH(F264&amp;"|"&amp;(A264+1),'Zgłoszenia'!$S$5:$S$504,0)))&amp;IF(K264&gt;1," (+"&amp;(K264-1)&amp;")",""))</f>
        <v/>
      </c>
      <c r="M264" s="63" t="n">
        <v>4</v>
      </c>
      <c r="N264" s="2" t="n"/>
      <c r="O264" s="2" t="n"/>
    </row>
    <row r="265">
      <c r="A265" s="62">
        <f>IF('4'!$C$1="","",'4'!$C$1)</f>
        <v/>
      </c>
      <c r="B265" s="63">
        <f>Ustawienia!$A$8&amp;""</f>
        <v/>
      </c>
      <c r="C265" s="63">
        <f>Ustawienia!$A$17&amp;""</f>
        <v/>
      </c>
      <c r="D265" s="63" t="n">
        <v>3</v>
      </c>
      <c r="E265" s="63">
        <f>IF('4'!B29="","",TRIM('4'!B29&amp;""))</f>
        <v/>
      </c>
      <c r="F265" s="63">
        <f>IF('4'!C29="","",'4'!C29)</f>
        <v/>
      </c>
      <c r="G265" s="63">
        <f>'4'!D29&amp;""</f>
        <v/>
      </c>
      <c r="H265" s="63">
        <f>IF(OR(A265="",F265=""),"",F265&amp;"|"&amp;A265)</f>
        <v/>
      </c>
      <c r="I265" s="63">
        <f>IF(AND(H265&lt;&gt;"",OR('Historia wózka'!$B$4="",F265='Historia wózka'!$B$4),A265&gt;='Historia wózka'!$B$5,A265&lt;='Historia wózka'!$B$6),A265+0.9+(5000-ROW())/10000000,0)</f>
        <v/>
      </c>
      <c r="J265" s="63">
        <f>Ustawienia!$B$8&amp;""</f>
        <v/>
      </c>
      <c r="K265" s="63">
        <f>IF(H265="","",COUNTIFS('Zgłoszenia'!$B$5:$B$504,F265,'Zgłoszenia'!$D$5:$D$504,"&gt;="&amp;A265,'Zgłoszenia'!$D$5:$D$504,"&lt;="&amp;(A265+1)))</f>
        <v/>
      </c>
      <c r="L265" s="63">
        <f>IF(OR(H265="",K265=0),"—",IF(ISNUMBER(MATCH(H265,'Zgłoszenia'!$S$5:$S$504,0)),RIGHT("0"&amp;DAY(A265),2)&amp;"."&amp;RIGHT("0"&amp;MONTH(A265),2)&amp;"."&amp;YEAR(A265)&amp;": "&amp;INDEX('Zgłoszenia'!$H$5:$H$504,MATCH(H265,'Zgłoszenia'!$S$5:$S$504,0)),RIGHT("0"&amp;DAY((A265+1)),2)&amp;"."&amp;RIGHT("0"&amp;MONTH((A265+1)),2)&amp;"."&amp;YEAR((A265+1))&amp;": "&amp;INDEX('Zgłoszenia'!$H$5:$H$504,MATCH(F265&amp;"|"&amp;(A265+1),'Zgłoszenia'!$S$5:$S$504,0)))&amp;IF(K265&gt;1," (+"&amp;(K265-1)&amp;")",""))</f>
        <v/>
      </c>
      <c r="M265" s="63" t="n">
        <v>4</v>
      </c>
      <c r="N265" s="2" t="n"/>
      <c r="O265" s="2" t="n"/>
    </row>
    <row r="266">
      <c r="A266" s="62">
        <f>IF('4'!$C$1="","",'4'!$C$1)</f>
        <v/>
      </c>
      <c r="B266" s="63">
        <f>Ustawienia!$A$8&amp;""</f>
        <v/>
      </c>
      <c r="C266" s="63">
        <f>Ustawienia!$A$17&amp;""</f>
        <v/>
      </c>
      <c r="D266" s="63" t="n">
        <v>4</v>
      </c>
      <c r="E266" s="63">
        <f>IF('4'!B30="","",TRIM('4'!B30&amp;""))</f>
        <v/>
      </c>
      <c r="F266" s="63">
        <f>IF('4'!C30="","",'4'!C30)</f>
        <v/>
      </c>
      <c r="G266" s="63">
        <f>'4'!D30&amp;""</f>
        <v/>
      </c>
      <c r="H266" s="63">
        <f>IF(OR(A266="",F266=""),"",F266&amp;"|"&amp;A266)</f>
        <v/>
      </c>
      <c r="I266" s="63">
        <f>IF(AND(H266&lt;&gt;"",OR('Historia wózka'!$B$4="",F266='Historia wózka'!$B$4),A266&gt;='Historia wózka'!$B$5,A266&lt;='Historia wózka'!$B$6),A266+0.9+(5000-ROW())/10000000,0)</f>
        <v/>
      </c>
      <c r="J266" s="63">
        <f>Ustawienia!$B$8&amp;""</f>
        <v/>
      </c>
      <c r="K266" s="63">
        <f>IF(H266="","",COUNTIFS('Zgłoszenia'!$B$5:$B$504,F266,'Zgłoszenia'!$D$5:$D$504,"&gt;="&amp;A266,'Zgłoszenia'!$D$5:$D$504,"&lt;="&amp;(A266+1)))</f>
        <v/>
      </c>
      <c r="L266" s="63">
        <f>IF(OR(H266="",K266=0),"—",IF(ISNUMBER(MATCH(H266,'Zgłoszenia'!$S$5:$S$504,0)),RIGHT("0"&amp;DAY(A266),2)&amp;"."&amp;RIGHT("0"&amp;MONTH(A266),2)&amp;"."&amp;YEAR(A266)&amp;": "&amp;INDEX('Zgłoszenia'!$H$5:$H$504,MATCH(H266,'Zgłoszenia'!$S$5:$S$504,0)),RIGHT("0"&amp;DAY((A266+1)),2)&amp;"."&amp;RIGHT("0"&amp;MONTH((A266+1)),2)&amp;"."&amp;YEAR((A266+1))&amp;": "&amp;INDEX('Zgłoszenia'!$H$5:$H$504,MATCH(F266&amp;"|"&amp;(A266+1),'Zgłoszenia'!$S$5:$S$504,0)))&amp;IF(K266&gt;1," (+"&amp;(K266-1)&amp;")",""))</f>
        <v/>
      </c>
      <c r="M266" s="63" t="n">
        <v>4</v>
      </c>
      <c r="N266" s="2" t="n"/>
      <c r="O266" s="2" t="n"/>
    </row>
    <row r="267">
      <c r="A267" s="62">
        <f>IF('4'!$C$1="","",'4'!$C$1)</f>
        <v/>
      </c>
      <c r="B267" s="63">
        <f>Ustawienia!$A$8&amp;""</f>
        <v/>
      </c>
      <c r="C267" s="63">
        <f>Ustawienia!$A$18&amp;""</f>
        <v/>
      </c>
      <c r="D267" s="63" t="n">
        <v>1</v>
      </c>
      <c r="E267" s="63">
        <f>IF('4'!B32="","",TRIM('4'!B32&amp;""))</f>
        <v/>
      </c>
      <c r="F267" s="63">
        <f>IF('4'!C32="","",'4'!C32)</f>
        <v/>
      </c>
      <c r="G267" s="63">
        <f>'4'!D32&amp;""</f>
        <v/>
      </c>
      <c r="H267" s="63">
        <f>IF(OR(A267="",F267=""),"",F267&amp;"|"&amp;A267)</f>
        <v/>
      </c>
      <c r="I267" s="63">
        <f>IF(AND(H267&lt;&gt;"",OR('Historia wózka'!$B$4="",F267='Historia wózka'!$B$4),A267&gt;='Historia wózka'!$B$5,A267&lt;='Historia wózka'!$B$6),A267+0.9+(5000-ROW())/10000000,0)</f>
        <v/>
      </c>
      <c r="J267" s="63">
        <f>Ustawienia!$B$8&amp;""</f>
        <v/>
      </c>
      <c r="K267" s="63">
        <f>IF(H267="","",COUNTIFS('Zgłoszenia'!$B$5:$B$504,F267,'Zgłoszenia'!$D$5:$D$504,"&gt;="&amp;A267,'Zgłoszenia'!$D$5:$D$504,"&lt;="&amp;(A267+1)))</f>
        <v/>
      </c>
      <c r="L267" s="63">
        <f>IF(OR(H267="",K267=0),"—",IF(ISNUMBER(MATCH(H267,'Zgłoszenia'!$S$5:$S$504,0)),RIGHT("0"&amp;DAY(A267),2)&amp;"."&amp;RIGHT("0"&amp;MONTH(A267),2)&amp;"."&amp;YEAR(A267)&amp;": "&amp;INDEX('Zgłoszenia'!$H$5:$H$504,MATCH(H267,'Zgłoszenia'!$S$5:$S$504,0)),RIGHT("0"&amp;DAY((A267+1)),2)&amp;"."&amp;RIGHT("0"&amp;MONTH((A267+1)),2)&amp;"."&amp;YEAR((A267+1))&amp;": "&amp;INDEX('Zgłoszenia'!$H$5:$H$504,MATCH(F267&amp;"|"&amp;(A267+1),'Zgłoszenia'!$S$5:$S$504,0)))&amp;IF(K267&gt;1," (+"&amp;(K267-1)&amp;")",""))</f>
        <v/>
      </c>
      <c r="M267" s="63" t="n">
        <v>4</v>
      </c>
      <c r="N267" s="2" t="n"/>
      <c r="O267" s="2" t="n"/>
    </row>
    <row r="268">
      <c r="A268" s="62">
        <f>IF('4'!$C$1="","",'4'!$C$1)</f>
        <v/>
      </c>
      <c r="B268" s="63">
        <f>Ustawienia!$A$8&amp;""</f>
        <v/>
      </c>
      <c r="C268" s="63">
        <f>Ustawienia!$A$18&amp;""</f>
        <v/>
      </c>
      <c r="D268" s="63" t="n">
        <v>2</v>
      </c>
      <c r="E268" s="63">
        <f>IF('4'!B33="","",TRIM('4'!B33&amp;""))</f>
        <v/>
      </c>
      <c r="F268" s="63">
        <f>IF('4'!C33="","",'4'!C33)</f>
        <v/>
      </c>
      <c r="G268" s="63">
        <f>'4'!D33&amp;""</f>
        <v/>
      </c>
      <c r="H268" s="63">
        <f>IF(OR(A268="",F268=""),"",F268&amp;"|"&amp;A268)</f>
        <v/>
      </c>
      <c r="I268" s="63">
        <f>IF(AND(H268&lt;&gt;"",OR('Historia wózka'!$B$4="",F268='Historia wózka'!$B$4),A268&gt;='Historia wózka'!$B$5,A268&lt;='Historia wózka'!$B$6),A268+0.9+(5000-ROW())/10000000,0)</f>
        <v/>
      </c>
      <c r="J268" s="63">
        <f>Ustawienia!$B$8&amp;""</f>
        <v/>
      </c>
      <c r="K268" s="63">
        <f>IF(H268="","",COUNTIFS('Zgłoszenia'!$B$5:$B$504,F268,'Zgłoszenia'!$D$5:$D$504,"&gt;="&amp;A268,'Zgłoszenia'!$D$5:$D$504,"&lt;="&amp;(A268+1)))</f>
        <v/>
      </c>
      <c r="L268" s="63">
        <f>IF(OR(H268="",K268=0),"—",IF(ISNUMBER(MATCH(H268,'Zgłoszenia'!$S$5:$S$504,0)),RIGHT("0"&amp;DAY(A268),2)&amp;"."&amp;RIGHT("0"&amp;MONTH(A268),2)&amp;"."&amp;YEAR(A268)&amp;": "&amp;INDEX('Zgłoszenia'!$H$5:$H$504,MATCH(H268,'Zgłoszenia'!$S$5:$S$504,0)),RIGHT("0"&amp;DAY((A268+1)),2)&amp;"."&amp;RIGHT("0"&amp;MONTH((A268+1)),2)&amp;"."&amp;YEAR((A268+1))&amp;": "&amp;INDEX('Zgłoszenia'!$H$5:$H$504,MATCH(F268&amp;"|"&amp;(A268+1),'Zgłoszenia'!$S$5:$S$504,0)))&amp;IF(K268&gt;1," (+"&amp;(K268-1)&amp;")",""))</f>
        <v/>
      </c>
      <c r="M268" s="63" t="n">
        <v>4</v>
      </c>
      <c r="N268" s="2" t="n"/>
      <c r="O268" s="2" t="n"/>
    </row>
    <row r="269">
      <c r="A269" s="62">
        <f>IF('4'!$C$1="","",'4'!$C$1)</f>
        <v/>
      </c>
      <c r="B269" s="63">
        <f>Ustawienia!$A$8&amp;""</f>
        <v/>
      </c>
      <c r="C269" s="63">
        <f>Ustawienia!$A$18&amp;""</f>
        <v/>
      </c>
      <c r="D269" s="63" t="n">
        <v>3</v>
      </c>
      <c r="E269" s="63">
        <f>IF('4'!B34="","",TRIM('4'!B34&amp;""))</f>
        <v/>
      </c>
      <c r="F269" s="63">
        <f>IF('4'!C34="","",'4'!C34)</f>
        <v/>
      </c>
      <c r="G269" s="63">
        <f>'4'!D34&amp;""</f>
        <v/>
      </c>
      <c r="H269" s="63">
        <f>IF(OR(A269="",F269=""),"",F269&amp;"|"&amp;A269)</f>
        <v/>
      </c>
      <c r="I269" s="63">
        <f>IF(AND(H269&lt;&gt;"",OR('Historia wózka'!$B$4="",F269='Historia wózka'!$B$4),A269&gt;='Historia wózka'!$B$5,A269&lt;='Historia wózka'!$B$6),A269+0.9+(5000-ROW())/10000000,0)</f>
        <v/>
      </c>
      <c r="J269" s="63">
        <f>Ustawienia!$B$8&amp;""</f>
        <v/>
      </c>
      <c r="K269" s="63">
        <f>IF(H269="","",COUNTIFS('Zgłoszenia'!$B$5:$B$504,F269,'Zgłoszenia'!$D$5:$D$504,"&gt;="&amp;A269,'Zgłoszenia'!$D$5:$D$504,"&lt;="&amp;(A269+1)))</f>
        <v/>
      </c>
      <c r="L269" s="63">
        <f>IF(OR(H269="",K269=0),"—",IF(ISNUMBER(MATCH(H269,'Zgłoszenia'!$S$5:$S$504,0)),RIGHT("0"&amp;DAY(A269),2)&amp;"."&amp;RIGHT("0"&amp;MONTH(A269),2)&amp;"."&amp;YEAR(A269)&amp;": "&amp;INDEX('Zgłoszenia'!$H$5:$H$504,MATCH(H269,'Zgłoszenia'!$S$5:$S$504,0)),RIGHT("0"&amp;DAY((A269+1)),2)&amp;"."&amp;RIGHT("0"&amp;MONTH((A269+1)),2)&amp;"."&amp;YEAR((A269+1))&amp;": "&amp;INDEX('Zgłoszenia'!$H$5:$H$504,MATCH(F269&amp;"|"&amp;(A269+1),'Zgłoszenia'!$S$5:$S$504,0)))&amp;IF(K269&gt;1," (+"&amp;(K269-1)&amp;")",""))</f>
        <v/>
      </c>
      <c r="M269" s="63" t="n">
        <v>4</v>
      </c>
      <c r="N269" s="2" t="n"/>
      <c r="O269" s="2" t="n"/>
    </row>
    <row r="270">
      <c r="A270" s="62">
        <f>IF('4'!$C$1="","",'4'!$C$1)</f>
        <v/>
      </c>
      <c r="B270" s="63">
        <f>Ustawienia!$A$8&amp;""</f>
        <v/>
      </c>
      <c r="C270" s="63">
        <f>Ustawienia!$A$18&amp;""</f>
        <v/>
      </c>
      <c r="D270" s="63" t="n">
        <v>4</v>
      </c>
      <c r="E270" s="63">
        <f>IF('4'!B35="","",TRIM('4'!B35&amp;""))</f>
        <v/>
      </c>
      <c r="F270" s="63">
        <f>IF('4'!C35="","",'4'!C35)</f>
        <v/>
      </c>
      <c r="G270" s="63">
        <f>'4'!D35&amp;""</f>
        <v/>
      </c>
      <c r="H270" s="63">
        <f>IF(OR(A270="",F270=""),"",F270&amp;"|"&amp;A270)</f>
        <v/>
      </c>
      <c r="I270" s="63">
        <f>IF(AND(H270&lt;&gt;"",OR('Historia wózka'!$B$4="",F270='Historia wózka'!$B$4),A270&gt;='Historia wózka'!$B$5,A270&lt;='Historia wózka'!$B$6),A270+0.9+(5000-ROW())/10000000,0)</f>
        <v/>
      </c>
      <c r="J270" s="63">
        <f>Ustawienia!$B$8&amp;""</f>
        <v/>
      </c>
      <c r="K270" s="63">
        <f>IF(H270="","",COUNTIFS('Zgłoszenia'!$B$5:$B$504,F270,'Zgłoszenia'!$D$5:$D$504,"&gt;="&amp;A270,'Zgłoszenia'!$D$5:$D$504,"&lt;="&amp;(A270+1)))</f>
        <v/>
      </c>
      <c r="L270" s="63">
        <f>IF(OR(H270="",K270=0),"—",IF(ISNUMBER(MATCH(H270,'Zgłoszenia'!$S$5:$S$504,0)),RIGHT("0"&amp;DAY(A270),2)&amp;"."&amp;RIGHT("0"&amp;MONTH(A270),2)&amp;"."&amp;YEAR(A270)&amp;": "&amp;INDEX('Zgłoszenia'!$H$5:$H$504,MATCH(H270,'Zgłoszenia'!$S$5:$S$504,0)),RIGHT("0"&amp;DAY((A270+1)),2)&amp;"."&amp;RIGHT("0"&amp;MONTH((A270+1)),2)&amp;"."&amp;YEAR((A270+1))&amp;": "&amp;INDEX('Zgłoszenia'!$H$5:$H$504,MATCH(F270&amp;"|"&amp;(A270+1),'Zgłoszenia'!$S$5:$S$504,0)))&amp;IF(K270&gt;1," (+"&amp;(K270-1)&amp;")",""))</f>
        <v/>
      </c>
      <c r="M270" s="63" t="n">
        <v>4</v>
      </c>
      <c r="N270" s="2" t="n"/>
      <c r="O270" s="2" t="n"/>
    </row>
    <row r="271">
      <c r="A271" s="62">
        <f>IF('4'!$C$1="","",'4'!$C$1)</f>
        <v/>
      </c>
      <c r="B271" s="63">
        <f>Ustawienia!$A$8&amp;""</f>
        <v/>
      </c>
      <c r="C271" s="63">
        <f>Ustawienia!$A$18&amp;""</f>
        <v/>
      </c>
      <c r="D271" s="63" t="n">
        <v>5</v>
      </c>
      <c r="E271" s="63">
        <f>IF('4'!B36="","",TRIM('4'!B36&amp;""))</f>
        <v/>
      </c>
      <c r="F271" s="63">
        <f>IF('4'!C36="","",'4'!C36)</f>
        <v/>
      </c>
      <c r="G271" s="63">
        <f>'4'!D36&amp;""</f>
        <v/>
      </c>
      <c r="H271" s="63">
        <f>IF(OR(A271="",F271=""),"",F271&amp;"|"&amp;A271)</f>
        <v/>
      </c>
      <c r="I271" s="63">
        <f>IF(AND(H271&lt;&gt;"",OR('Historia wózka'!$B$4="",F271='Historia wózka'!$B$4),A271&gt;='Historia wózka'!$B$5,A271&lt;='Historia wózka'!$B$6),A271+0.9+(5000-ROW())/10000000,0)</f>
        <v/>
      </c>
      <c r="J271" s="63">
        <f>Ustawienia!$B$8&amp;""</f>
        <v/>
      </c>
      <c r="K271" s="63">
        <f>IF(H271="","",COUNTIFS('Zgłoszenia'!$B$5:$B$504,F271,'Zgłoszenia'!$D$5:$D$504,"&gt;="&amp;A271,'Zgłoszenia'!$D$5:$D$504,"&lt;="&amp;(A271+1)))</f>
        <v/>
      </c>
      <c r="L271" s="63">
        <f>IF(OR(H271="",K271=0),"—",IF(ISNUMBER(MATCH(H271,'Zgłoszenia'!$S$5:$S$504,0)),RIGHT("0"&amp;DAY(A271),2)&amp;"."&amp;RIGHT("0"&amp;MONTH(A271),2)&amp;"."&amp;YEAR(A271)&amp;": "&amp;INDEX('Zgłoszenia'!$H$5:$H$504,MATCH(H271,'Zgłoszenia'!$S$5:$S$504,0)),RIGHT("0"&amp;DAY((A271+1)),2)&amp;"."&amp;RIGHT("0"&amp;MONTH((A271+1)),2)&amp;"."&amp;YEAR((A271+1))&amp;": "&amp;INDEX('Zgłoszenia'!$H$5:$H$504,MATCH(F271&amp;"|"&amp;(A271+1),'Zgłoszenia'!$S$5:$S$504,0)))&amp;IF(K271&gt;1," (+"&amp;(K271-1)&amp;")",""))</f>
        <v/>
      </c>
      <c r="M271" s="63" t="n">
        <v>4</v>
      </c>
      <c r="N271" s="2" t="n"/>
      <c r="O271" s="2" t="n"/>
    </row>
    <row r="272">
      <c r="A272" s="62">
        <f>IF('4'!$C$1="","",'4'!$C$1)</f>
        <v/>
      </c>
      <c r="B272" s="63">
        <f>Ustawienia!$A$9&amp;""</f>
        <v/>
      </c>
      <c r="C272" s="63">
        <f>Ustawienia!$A$14&amp;""</f>
        <v/>
      </c>
      <c r="D272" s="63" t="n">
        <v>1</v>
      </c>
      <c r="E272" s="63">
        <f>IF('4'!F6="","",TRIM('4'!F6&amp;""))</f>
        <v/>
      </c>
      <c r="F272" s="63">
        <f>IF('4'!G6="","",'4'!G6)</f>
        <v/>
      </c>
      <c r="G272" s="63">
        <f>'4'!H6&amp;""</f>
        <v/>
      </c>
      <c r="H272" s="63">
        <f>IF(OR(A272="",F272=""),"",F272&amp;"|"&amp;A272)</f>
        <v/>
      </c>
      <c r="I272" s="63">
        <f>IF(AND(H272&lt;&gt;"",OR('Historia wózka'!$B$4="",F272='Historia wózka'!$B$4),A272&gt;='Historia wózka'!$B$5,A272&lt;='Historia wózka'!$B$6),A272+0.8+(5000-ROW())/10000000,0)</f>
        <v/>
      </c>
      <c r="J272" s="63">
        <f>Ustawienia!$B$9&amp;""</f>
        <v/>
      </c>
      <c r="K272" s="63">
        <f>IF(H272="","",COUNTIFS('Zgłoszenia'!$B$5:$B$504,F272,'Zgłoszenia'!$D$5:$D$504,"&gt;="&amp;A272,'Zgłoszenia'!$D$5:$D$504,"&lt;="&amp;(A272+1)))</f>
        <v/>
      </c>
      <c r="L272" s="63">
        <f>IF(OR(H272="",K272=0),"—",IF(ISNUMBER(MATCH(H272,'Zgłoszenia'!$S$5:$S$504,0)),RIGHT("0"&amp;DAY(A272),2)&amp;"."&amp;RIGHT("0"&amp;MONTH(A272),2)&amp;"."&amp;YEAR(A272)&amp;": "&amp;INDEX('Zgłoszenia'!$H$5:$H$504,MATCH(H272,'Zgłoszenia'!$S$5:$S$504,0)),RIGHT("0"&amp;DAY((A272+1)),2)&amp;"."&amp;RIGHT("0"&amp;MONTH((A272+1)),2)&amp;"."&amp;YEAR((A272+1))&amp;": "&amp;INDEX('Zgłoszenia'!$H$5:$H$504,MATCH(F272&amp;"|"&amp;(A272+1),'Zgłoszenia'!$S$5:$S$504,0)))&amp;IF(K272&gt;1," (+"&amp;(K272-1)&amp;")",""))</f>
        <v/>
      </c>
      <c r="M272" s="63" t="n">
        <v>4</v>
      </c>
      <c r="N272" s="2" t="n"/>
      <c r="O272" s="2" t="n"/>
    </row>
    <row r="273">
      <c r="A273" s="62">
        <f>IF('4'!$C$1="","",'4'!$C$1)</f>
        <v/>
      </c>
      <c r="B273" s="63">
        <f>Ustawienia!$A$9&amp;""</f>
        <v/>
      </c>
      <c r="C273" s="63">
        <f>Ustawienia!$A$14&amp;""</f>
        <v/>
      </c>
      <c r="D273" s="63" t="n">
        <v>2</v>
      </c>
      <c r="E273" s="63">
        <f>IF('4'!F7="","",TRIM('4'!F7&amp;""))</f>
        <v/>
      </c>
      <c r="F273" s="63">
        <f>IF('4'!G7="","",'4'!G7)</f>
        <v/>
      </c>
      <c r="G273" s="63">
        <f>'4'!H7&amp;""</f>
        <v/>
      </c>
      <c r="H273" s="63">
        <f>IF(OR(A273="",F273=""),"",F273&amp;"|"&amp;A273)</f>
        <v/>
      </c>
      <c r="I273" s="63">
        <f>IF(AND(H273&lt;&gt;"",OR('Historia wózka'!$B$4="",F273='Historia wózka'!$B$4),A273&gt;='Historia wózka'!$B$5,A273&lt;='Historia wózka'!$B$6),A273+0.8+(5000-ROW())/10000000,0)</f>
        <v/>
      </c>
      <c r="J273" s="63">
        <f>Ustawienia!$B$9&amp;""</f>
        <v/>
      </c>
      <c r="K273" s="63">
        <f>IF(H273="","",COUNTIFS('Zgłoszenia'!$B$5:$B$504,F273,'Zgłoszenia'!$D$5:$D$504,"&gt;="&amp;A273,'Zgłoszenia'!$D$5:$D$504,"&lt;="&amp;(A273+1)))</f>
        <v/>
      </c>
      <c r="L273" s="63">
        <f>IF(OR(H273="",K273=0),"—",IF(ISNUMBER(MATCH(H273,'Zgłoszenia'!$S$5:$S$504,0)),RIGHT("0"&amp;DAY(A273),2)&amp;"."&amp;RIGHT("0"&amp;MONTH(A273),2)&amp;"."&amp;YEAR(A273)&amp;": "&amp;INDEX('Zgłoszenia'!$H$5:$H$504,MATCH(H273,'Zgłoszenia'!$S$5:$S$504,0)),RIGHT("0"&amp;DAY((A273+1)),2)&amp;"."&amp;RIGHT("0"&amp;MONTH((A273+1)),2)&amp;"."&amp;YEAR((A273+1))&amp;": "&amp;INDEX('Zgłoszenia'!$H$5:$H$504,MATCH(F273&amp;"|"&amp;(A273+1),'Zgłoszenia'!$S$5:$S$504,0)))&amp;IF(K273&gt;1," (+"&amp;(K273-1)&amp;")",""))</f>
        <v/>
      </c>
      <c r="M273" s="63" t="n">
        <v>4</v>
      </c>
      <c r="N273" s="2" t="n"/>
      <c r="O273" s="2" t="n"/>
    </row>
    <row r="274">
      <c r="A274" s="62">
        <f>IF('4'!$C$1="","",'4'!$C$1)</f>
        <v/>
      </c>
      <c r="B274" s="63">
        <f>Ustawienia!$A$9&amp;""</f>
        <v/>
      </c>
      <c r="C274" s="63">
        <f>Ustawienia!$A$14&amp;""</f>
        <v/>
      </c>
      <c r="D274" s="63" t="n">
        <v>3</v>
      </c>
      <c r="E274" s="63">
        <f>IF('4'!F8="","",TRIM('4'!F8&amp;""))</f>
        <v/>
      </c>
      <c r="F274" s="63">
        <f>IF('4'!G8="","",'4'!G8)</f>
        <v/>
      </c>
      <c r="G274" s="63">
        <f>'4'!H8&amp;""</f>
        <v/>
      </c>
      <c r="H274" s="63">
        <f>IF(OR(A274="",F274=""),"",F274&amp;"|"&amp;A274)</f>
        <v/>
      </c>
      <c r="I274" s="63">
        <f>IF(AND(H274&lt;&gt;"",OR('Historia wózka'!$B$4="",F274='Historia wózka'!$B$4),A274&gt;='Historia wózka'!$B$5,A274&lt;='Historia wózka'!$B$6),A274+0.8+(5000-ROW())/10000000,0)</f>
        <v/>
      </c>
      <c r="J274" s="63">
        <f>Ustawienia!$B$9&amp;""</f>
        <v/>
      </c>
      <c r="K274" s="63">
        <f>IF(H274="","",COUNTIFS('Zgłoszenia'!$B$5:$B$504,F274,'Zgłoszenia'!$D$5:$D$504,"&gt;="&amp;A274,'Zgłoszenia'!$D$5:$D$504,"&lt;="&amp;(A274+1)))</f>
        <v/>
      </c>
      <c r="L274" s="63">
        <f>IF(OR(H274="",K274=0),"—",IF(ISNUMBER(MATCH(H274,'Zgłoszenia'!$S$5:$S$504,0)),RIGHT("0"&amp;DAY(A274),2)&amp;"."&amp;RIGHT("0"&amp;MONTH(A274),2)&amp;"."&amp;YEAR(A274)&amp;": "&amp;INDEX('Zgłoszenia'!$H$5:$H$504,MATCH(H274,'Zgłoszenia'!$S$5:$S$504,0)),RIGHT("0"&amp;DAY((A274+1)),2)&amp;"."&amp;RIGHT("0"&amp;MONTH((A274+1)),2)&amp;"."&amp;YEAR((A274+1))&amp;": "&amp;INDEX('Zgłoszenia'!$H$5:$H$504,MATCH(F274&amp;"|"&amp;(A274+1),'Zgłoszenia'!$S$5:$S$504,0)))&amp;IF(K274&gt;1," (+"&amp;(K274-1)&amp;")",""))</f>
        <v/>
      </c>
      <c r="M274" s="63" t="n">
        <v>4</v>
      </c>
      <c r="N274" s="2" t="n"/>
      <c r="O274" s="2" t="n"/>
    </row>
    <row r="275">
      <c r="A275" s="62">
        <f>IF('4'!$C$1="","",'4'!$C$1)</f>
        <v/>
      </c>
      <c r="B275" s="63">
        <f>Ustawienia!$A$9&amp;""</f>
        <v/>
      </c>
      <c r="C275" s="63">
        <f>Ustawienia!$A$14&amp;""</f>
        <v/>
      </c>
      <c r="D275" s="63" t="n">
        <v>4</v>
      </c>
      <c r="E275" s="63">
        <f>IF('4'!F9="","",TRIM('4'!F9&amp;""))</f>
        <v/>
      </c>
      <c r="F275" s="63">
        <f>IF('4'!G9="","",'4'!G9)</f>
        <v/>
      </c>
      <c r="G275" s="63">
        <f>'4'!H9&amp;""</f>
        <v/>
      </c>
      <c r="H275" s="63">
        <f>IF(OR(A275="",F275=""),"",F275&amp;"|"&amp;A275)</f>
        <v/>
      </c>
      <c r="I275" s="63">
        <f>IF(AND(H275&lt;&gt;"",OR('Historia wózka'!$B$4="",F275='Historia wózka'!$B$4),A275&gt;='Historia wózka'!$B$5,A275&lt;='Historia wózka'!$B$6),A275+0.8+(5000-ROW())/10000000,0)</f>
        <v/>
      </c>
      <c r="J275" s="63">
        <f>Ustawienia!$B$9&amp;""</f>
        <v/>
      </c>
      <c r="K275" s="63">
        <f>IF(H275="","",COUNTIFS('Zgłoszenia'!$B$5:$B$504,F275,'Zgłoszenia'!$D$5:$D$504,"&gt;="&amp;A275,'Zgłoszenia'!$D$5:$D$504,"&lt;="&amp;(A275+1)))</f>
        <v/>
      </c>
      <c r="L275" s="63">
        <f>IF(OR(H275="",K275=0),"—",IF(ISNUMBER(MATCH(H275,'Zgłoszenia'!$S$5:$S$504,0)),RIGHT("0"&amp;DAY(A275),2)&amp;"."&amp;RIGHT("0"&amp;MONTH(A275),2)&amp;"."&amp;YEAR(A275)&amp;": "&amp;INDEX('Zgłoszenia'!$H$5:$H$504,MATCH(H275,'Zgłoszenia'!$S$5:$S$504,0)),RIGHT("0"&amp;DAY((A275+1)),2)&amp;"."&amp;RIGHT("0"&amp;MONTH((A275+1)),2)&amp;"."&amp;YEAR((A275+1))&amp;": "&amp;INDEX('Zgłoszenia'!$H$5:$H$504,MATCH(F275&amp;"|"&amp;(A275+1),'Zgłoszenia'!$S$5:$S$504,0)))&amp;IF(K275&gt;1," (+"&amp;(K275-1)&amp;")",""))</f>
        <v/>
      </c>
      <c r="M275" s="63" t="n">
        <v>4</v>
      </c>
      <c r="N275" s="2" t="n"/>
      <c r="O275" s="2" t="n"/>
    </row>
    <row r="276">
      <c r="A276" s="62">
        <f>IF('4'!$C$1="","",'4'!$C$1)</f>
        <v/>
      </c>
      <c r="B276" s="63">
        <f>Ustawienia!$A$9&amp;""</f>
        <v/>
      </c>
      <c r="C276" s="63">
        <f>Ustawienia!$A$14&amp;""</f>
        <v/>
      </c>
      <c r="D276" s="63" t="n">
        <v>5</v>
      </c>
      <c r="E276" s="63">
        <f>IF('4'!F10="","",TRIM('4'!F10&amp;""))</f>
        <v/>
      </c>
      <c r="F276" s="63">
        <f>IF('4'!G10="","",'4'!G10)</f>
        <v/>
      </c>
      <c r="G276" s="63">
        <f>'4'!H10&amp;""</f>
        <v/>
      </c>
      <c r="H276" s="63">
        <f>IF(OR(A276="",F276=""),"",F276&amp;"|"&amp;A276)</f>
        <v/>
      </c>
      <c r="I276" s="63">
        <f>IF(AND(H276&lt;&gt;"",OR('Historia wózka'!$B$4="",F276='Historia wózka'!$B$4),A276&gt;='Historia wózka'!$B$5,A276&lt;='Historia wózka'!$B$6),A276+0.8+(5000-ROW())/10000000,0)</f>
        <v/>
      </c>
      <c r="J276" s="63">
        <f>Ustawienia!$B$9&amp;""</f>
        <v/>
      </c>
      <c r="K276" s="63">
        <f>IF(H276="","",COUNTIFS('Zgłoszenia'!$B$5:$B$504,F276,'Zgłoszenia'!$D$5:$D$504,"&gt;="&amp;A276,'Zgłoszenia'!$D$5:$D$504,"&lt;="&amp;(A276+1)))</f>
        <v/>
      </c>
      <c r="L276" s="63">
        <f>IF(OR(H276="",K276=0),"—",IF(ISNUMBER(MATCH(H276,'Zgłoszenia'!$S$5:$S$504,0)),RIGHT("0"&amp;DAY(A276),2)&amp;"."&amp;RIGHT("0"&amp;MONTH(A276),2)&amp;"."&amp;YEAR(A276)&amp;": "&amp;INDEX('Zgłoszenia'!$H$5:$H$504,MATCH(H276,'Zgłoszenia'!$S$5:$S$504,0)),RIGHT("0"&amp;DAY((A276+1)),2)&amp;"."&amp;RIGHT("0"&amp;MONTH((A276+1)),2)&amp;"."&amp;YEAR((A276+1))&amp;": "&amp;INDEX('Zgłoszenia'!$H$5:$H$504,MATCH(F276&amp;"|"&amp;(A276+1),'Zgłoszenia'!$S$5:$S$504,0)))&amp;IF(K276&gt;1," (+"&amp;(K276-1)&amp;")",""))</f>
        <v/>
      </c>
      <c r="M276" s="63" t="n">
        <v>4</v>
      </c>
      <c r="N276" s="2" t="n"/>
      <c r="O276" s="2" t="n"/>
    </row>
    <row r="277">
      <c r="A277" s="62">
        <f>IF('4'!$C$1="","",'4'!$C$1)</f>
        <v/>
      </c>
      <c r="B277" s="63">
        <f>Ustawienia!$A$9&amp;""</f>
        <v/>
      </c>
      <c r="C277" s="63">
        <f>Ustawienia!$A$14&amp;""</f>
        <v/>
      </c>
      <c r="D277" s="63" t="n">
        <v>6</v>
      </c>
      <c r="E277" s="63">
        <f>IF('4'!F11="","",TRIM('4'!F11&amp;""))</f>
        <v/>
      </c>
      <c r="F277" s="63">
        <f>IF('4'!G11="","",'4'!G11)</f>
        <v/>
      </c>
      <c r="G277" s="63">
        <f>'4'!H11&amp;""</f>
        <v/>
      </c>
      <c r="H277" s="63">
        <f>IF(OR(A277="",F277=""),"",F277&amp;"|"&amp;A277)</f>
        <v/>
      </c>
      <c r="I277" s="63">
        <f>IF(AND(H277&lt;&gt;"",OR('Historia wózka'!$B$4="",F277='Historia wózka'!$B$4),A277&gt;='Historia wózka'!$B$5,A277&lt;='Historia wózka'!$B$6),A277+0.8+(5000-ROW())/10000000,0)</f>
        <v/>
      </c>
      <c r="J277" s="63">
        <f>Ustawienia!$B$9&amp;""</f>
        <v/>
      </c>
      <c r="K277" s="63">
        <f>IF(H277="","",COUNTIFS('Zgłoszenia'!$B$5:$B$504,F277,'Zgłoszenia'!$D$5:$D$504,"&gt;="&amp;A277,'Zgłoszenia'!$D$5:$D$504,"&lt;="&amp;(A277+1)))</f>
        <v/>
      </c>
      <c r="L277" s="63">
        <f>IF(OR(H277="",K277=0),"—",IF(ISNUMBER(MATCH(H277,'Zgłoszenia'!$S$5:$S$504,0)),RIGHT("0"&amp;DAY(A277),2)&amp;"."&amp;RIGHT("0"&amp;MONTH(A277),2)&amp;"."&amp;YEAR(A277)&amp;": "&amp;INDEX('Zgłoszenia'!$H$5:$H$504,MATCH(H277,'Zgłoszenia'!$S$5:$S$504,0)),RIGHT("0"&amp;DAY((A277+1)),2)&amp;"."&amp;RIGHT("0"&amp;MONTH((A277+1)),2)&amp;"."&amp;YEAR((A277+1))&amp;": "&amp;INDEX('Zgłoszenia'!$H$5:$H$504,MATCH(F277&amp;"|"&amp;(A277+1),'Zgłoszenia'!$S$5:$S$504,0)))&amp;IF(K277&gt;1," (+"&amp;(K277-1)&amp;")",""))</f>
        <v/>
      </c>
      <c r="M277" s="63" t="n">
        <v>4</v>
      </c>
      <c r="N277" s="2" t="n"/>
      <c r="O277" s="2" t="n"/>
    </row>
    <row r="278">
      <c r="A278" s="62">
        <f>IF('4'!$C$1="","",'4'!$C$1)</f>
        <v/>
      </c>
      <c r="B278" s="63">
        <f>Ustawienia!$A$9&amp;""</f>
        <v/>
      </c>
      <c r="C278" s="63">
        <f>Ustawienia!$A$15&amp;""</f>
        <v/>
      </c>
      <c r="D278" s="63" t="n">
        <v>1</v>
      </c>
      <c r="E278" s="63">
        <f>IF('4'!F13="","",TRIM('4'!F13&amp;""))</f>
        <v/>
      </c>
      <c r="F278" s="63">
        <f>IF('4'!G13="","",'4'!G13)</f>
        <v/>
      </c>
      <c r="G278" s="63">
        <f>'4'!H13&amp;""</f>
        <v/>
      </c>
      <c r="H278" s="63">
        <f>IF(OR(A278="",F278=""),"",F278&amp;"|"&amp;A278)</f>
        <v/>
      </c>
      <c r="I278" s="63">
        <f>IF(AND(H278&lt;&gt;"",OR('Historia wózka'!$B$4="",F278='Historia wózka'!$B$4),A278&gt;='Historia wózka'!$B$5,A278&lt;='Historia wózka'!$B$6),A278+0.8+(5000-ROW())/10000000,0)</f>
        <v/>
      </c>
      <c r="J278" s="63">
        <f>Ustawienia!$B$9&amp;""</f>
        <v/>
      </c>
      <c r="K278" s="63">
        <f>IF(H278="","",COUNTIFS('Zgłoszenia'!$B$5:$B$504,F278,'Zgłoszenia'!$D$5:$D$504,"&gt;="&amp;A278,'Zgłoszenia'!$D$5:$D$504,"&lt;="&amp;(A278+1)))</f>
        <v/>
      </c>
      <c r="L278" s="63">
        <f>IF(OR(H278="",K278=0),"—",IF(ISNUMBER(MATCH(H278,'Zgłoszenia'!$S$5:$S$504,0)),RIGHT("0"&amp;DAY(A278),2)&amp;"."&amp;RIGHT("0"&amp;MONTH(A278),2)&amp;"."&amp;YEAR(A278)&amp;": "&amp;INDEX('Zgłoszenia'!$H$5:$H$504,MATCH(H278,'Zgłoszenia'!$S$5:$S$504,0)),RIGHT("0"&amp;DAY((A278+1)),2)&amp;"."&amp;RIGHT("0"&amp;MONTH((A278+1)),2)&amp;"."&amp;YEAR((A278+1))&amp;": "&amp;INDEX('Zgłoszenia'!$H$5:$H$504,MATCH(F278&amp;"|"&amp;(A278+1),'Zgłoszenia'!$S$5:$S$504,0)))&amp;IF(K278&gt;1," (+"&amp;(K278-1)&amp;")",""))</f>
        <v/>
      </c>
      <c r="M278" s="63" t="n">
        <v>4</v>
      </c>
      <c r="N278" s="2" t="n"/>
      <c r="O278" s="2" t="n"/>
    </row>
    <row r="279">
      <c r="A279" s="62">
        <f>IF('4'!$C$1="","",'4'!$C$1)</f>
        <v/>
      </c>
      <c r="B279" s="63">
        <f>Ustawienia!$A$9&amp;""</f>
        <v/>
      </c>
      <c r="C279" s="63">
        <f>Ustawienia!$A$15&amp;""</f>
        <v/>
      </c>
      <c r="D279" s="63" t="n">
        <v>2</v>
      </c>
      <c r="E279" s="63">
        <f>IF('4'!F14="","",TRIM('4'!F14&amp;""))</f>
        <v/>
      </c>
      <c r="F279" s="63">
        <f>IF('4'!G14="","",'4'!G14)</f>
        <v/>
      </c>
      <c r="G279" s="63">
        <f>'4'!H14&amp;""</f>
        <v/>
      </c>
      <c r="H279" s="63">
        <f>IF(OR(A279="",F279=""),"",F279&amp;"|"&amp;A279)</f>
        <v/>
      </c>
      <c r="I279" s="63">
        <f>IF(AND(H279&lt;&gt;"",OR('Historia wózka'!$B$4="",F279='Historia wózka'!$B$4),A279&gt;='Historia wózka'!$B$5,A279&lt;='Historia wózka'!$B$6),A279+0.8+(5000-ROW())/10000000,0)</f>
        <v/>
      </c>
      <c r="J279" s="63">
        <f>Ustawienia!$B$9&amp;""</f>
        <v/>
      </c>
      <c r="K279" s="63">
        <f>IF(H279="","",COUNTIFS('Zgłoszenia'!$B$5:$B$504,F279,'Zgłoszenia'!$D$5:$D$504,"&gt;="&amp;A279,'Zgłoszenia'!$D$5:$D$504,"&lt;="&amp;(A279+1)))</f>
        <v/>
      </c>
      <c r="L279" s="63">
        <f>IF(OR(H279="",K279=0),"—",IF(ISNUMBER(MATCH(H279,'Zgłoszenia'!$S$5:$S$504,0)),RIGHT("0"&amp;DAY(A279),2)&amp;"."&amp;RIGHT("0"&amp;MONTH(A279),2)&amp;"."&amp;YEAR(A279)&amp;": "&amp;INDEX('Zgłoszenia'!$H$5:$H$504,MATCH(H279,'Zgłoszenia'!$S$5:$S$504,0)),RIGHT("0"&amp;DAY((A279+1)),2)&amp;"."&amp;RIGHT("0"&amp;MONTH((A279+1)),2)&amp;"."&amp;YEAR((A279+1))&amp;": "&amp;INDEX('Zgłoszenia'!$H$5:$H$504,MATCH(F279&amp;"|"&amp;(A279+1),'Zgłoszenia'!$S$5:$S$504,0)))&amp;IF(K279&gt;1," (+"&amp;(K279-1)&amp;")",""))</f>
        <v/>
      </c>
      <c r="M279" s="63" t="n">
        <v>4</v>
      </c>
      <c r="N279" s="2" t="n"/>
      <c r="O279" s="2" t="n"/>
    </row>
    <row r="280">
      <c r="A280" s="62">
        <f>IF('4'!$C$1="","",'4'!$C$1)</f>
        <v/>
      </c>
      <c r="B280" s="63">
        <f>Ustawienia!$A$9&amp;""</f>
        <v/>
      </c>
      <c r="C280" s="63">
        <f>Ustawienia!$A$15&amp;""</f>
        <v/>
      </c>
      <c r="D280" s="63" t="n">
        <v>3</v>
      </c>
      <c r="E280" s="63">
        <f>IF('4'!F15="","",TRIM('4'!F15&amp;""))</f>
        <v/>
      </c>
      <c r="F280" s="63">
        <f>IF('4'!G15="","",'4'!G15)</f>
        <v/>
      </c>
      <c r="G280" s="63">
        <f>'4'!H15&amp;""</f>
        <v/>
      </c>
      <c r="H280" s="63">
        <f>IF(OR(A280="",F280=""),"",F280&amp;"|"&amp;A280)</f>
        <v/>
      </c>
      <c r="I280" s="63">
        <f>IF(AND(H280&lt;&gt;"",OR('Historia wózka'!$B$4="",F280='Historia wózka'!$B$4),A280&gt;='Historia wózka'!$B$5,A280&lt;='Historia wózka'!$B$6),A280+0.8+(5000-ROW())/10000000,0)</f>
        <v/>
      </c>
      <c r="J280" s="63">
        <f>Ustawienia!$B$9&amp;""</f>
        <v/>
      </c>
      <c r="K280" s="63">
        <f>IF(H280="","",COUNTIFS('Zgłoszenia'!$B$5:$B$504,F280,'Zgłoszenia'!$D$5:$D$504,"&gt;="&amp;A280,'Zgłoszenia'!$D$5:$D$504,"&lt;="&amp;(A280+1)))</f>
        <v/>
      </c>
      <c r="L280" s="63">
        <f>IF(OR(H280="",K280=0),"—",IF(ISNUMBER(MATCH(H280,'Zgłoszenia'!$S$5:$S$504,0)),RIGHT("0"&amp;DAY(A280),2)&amp;"."&amp;RIGHT("0"&amp;MONTH(A280),2)&amp;"."&amp;YEAR(A280)&amp;": "&amp;INDEX('Zgłoszenia'!$H$5:$H$504,MATCH(H280,'Zgłoszenia'!$S$5:$S$504,0)),RIGHT("0"&amp;DAY((A280+1)),2)&amp;"."&amp;RIGHT("0"&amp;MONTH((A280+1)),2)&amp;"."&amp;YEAR((A280+1))&amp;": "&amp;INDEX('Zgłoszenia'!$H$5:$H$504,MATCH(F280&amp;"|"&amp;(A280+1),'Zgłoszenia'!$S$5:$S$504,0)))&amp;IF(K280&gt;1," (+"&amp;(K280-1)&amp;")",""))</f>
        <v/>
      </c>
      <c r="M280" s="63" t="n">
        <v>4</v>
      </c>
      <c r="N280" s="2" t="n"/>
      <c r="O280" s="2" t="n"/>
    </row>
    <row r="281">
      <c r="A281" s="62">
        <f>IF('4'!$C$1="","",'4'!$C$1)</f>
        <v/>
      </c>
      <c r="B281" s="63">
        <f>Ustawienia!$A$9&amp;""</f>
        <v/>
      </c>
      <c r="C281" s="63">
        <f>Ustawienia!$A$15&amp;""</f>
        <v/>
      </c>
      <c r="D281" s="63" t="n">
        <v>4</v>
      </c>
      <c r="E281" s="63">
        <f>IF('4'!F16="","",TRIM('4'!F16&amp;""))</f>
        <v/>
      </c>
      <c r="F281" s="63">
        <f>IF('4'!G16="","",'4'!G16)</f>
        <v/>
      </c>
      <c r="G281" s="63">
        <f>'4'!H16&amp;""</f>
        <v/>
      </c>
      <c r="H281" s="63">
        <f>IF(OR(A281="",F281=""),"",F281&amp;"|"&amp;A281)</f>
        <v/>
      </c>
      <c r="I281" s="63">
        <f>IF(AND(H281&lt;&gt;"",OR('Historia wózka'!$B$4="",F281='Historia wózka'!$B$4),A281&gt;='Historia wózka'!$B$5,A281&lt;='Historia wózka'!$B$6),A281+0.8+(5000-ROW())/10000000,0)</f>
        <v/>
      </c>
      <c r="J281" s="63">
        <f>Ustawienia!$B$9&amp;""</f>
        <v/>
      </c>
      <c r="K281" s="63">
        <f>IF(H281="","",COUNTIFS('Zgłoszenia'!$B$5:$B$504,F281,'Zgłoszenia'!$D$5:$D$504,"&gt;="&amp;A281,'Zgłoszenia'!$D$5:$D$504,"&lt;="&amp;(A281+1)))</f>
        <v/>
      </c>
      <c r="L281" s="63">
        <f>IF(OR(H281="",K281=0),"—",IF(ISNUMBER(MATCH(H281,'Zgłoszenia'!$S$5:$S$504,0)),RIGHT("0"&amp;DAY(A281),2)&amp;"."&amp;RIGHT("0"&amp;MONTH(A281),2)&amp;"."&amp;YEAR(A281)&amp;": "&amp;INDEX('Zgłoszenia'!$H$5:$H$504,MATCH(H281,'Zgłoszenia'!$S$5:$S$504,0)),RIGHT("0"&amp;DAY((A281+1)),2)&amp;"."&amp;RIGHT("0"&amp;MONTH((A281+1)),2)&amp;"."&amp;YEAR((A281+1))&amp;": "&amp;INDEX('Zgłoszenia'!$H$5:$H$504,MATCH(F281&amp;"|"&amp;(A281+1),'Zgłoszenia'!$S$5:$S$504,0)))&amp;IF(K281&gt;1," (+"&amp;(K281-1)&amp;")",""))</f>
        <v/>
      </c>
      <c r="M281" s="63" t="n">
        <v>4</v>
      </c>
      <c r="N281" s="2" t="n"/>
      <c r="O281" s="2" t="n"/>
    </row>
    <row r="282">
      <c r="A282" s="62">
        <f>IF('4'!$C$1="","",'4'!$C$1)</f>
        <v/>
      </c>
      <c r="B282" s="63">
        <f>Ustawienia!$A$9&amp;""</f>
        <v/>
      </c>
      <c r="C282" s="63">
        <f>Ustawienia!$A$15&amp;""</f>
        <v/>
      </c>
      <c r="D282" s="63" t="n">
        <v>5</v>
      </c>
      <c r="E282" s="63">
        <f>IF('4'!F17="","",TRIM('4'!F17&amp;""))</f>
        <v/>
      </c>
      <c r="F282" s="63">
        <f>IF('4'!G17="","",'4'!G17)</f>
        <v/>
      </c>
      <c r="G282" s="63">
        <f>'4'!H17&amp;""</f>
        <v/>
      </c>
      <c r="H282" s="63">
        <f>IF(OR(A282="",F282=""),"",F282&amp;"|"&amp;A282)</f>
        <v/>
      </c>
      <c r="I282" s="63">
        <f>IF(AND(H282&lt;&gt;"",OR('Historia wózka'!$B$4="",F282='Historia wózka'!$B$4),A282&gt;='Historia wózka'!$B$5,A282&lt;='Historia wózka'!$B$6),A282+0.8+(5000-ROW())/10000000,0)</f>
        <v/>
      </c>
      <c r="J282" s="63">
        <f>Ustawienia!$B$9&amp;""</f>
        <v/>
      </c>
      <c r="K282" s="63">
        <f>IF(H282="","",COUNTIFS('Zgłoszenia'!$B$5:$B$504,F282,'Zgłoszenia'!$D$5:$D$504,"&gt;="&amp;A282,'Zgłoszenia'!$D$5:$D$504,"&lt;="&amp;(A282+1)))</f>
        <v/>
      </c>
      <c r="L282" s="63">
        <f>IF(OR(H282="",K282=0),"—",IF(ISNUMBER(MATCH(H282,'Zgłoszenia'!$S$5:$S$504,0)),RIGHT("0"&amp;DAY(A282),2)&amp;"."&amp;RIGHT("0"&amp;MONTH(A282),2)&amp;"."&amp;YEAR(A282)&amp;": "&amp;INDEX('Zgłoszenia'!$H$5:$H$504,MATCH(H282,'Zgłoszenia'!$S$5:$S$504,0)),RIGHT("0"&amp;DAY((A282+1)),2)&amp;"."&amp;RIGHT("0"&amp;MONTH((A282+1)),2)&amp;"."&amp;YEAR((A282+1))&amp;": "&amp;INDEX('Zgłoszenia'!$H$5:$H$504,MATCH(F282&amp;"|"&amp;(A282+1),'Zgłoszenia'!$S$5:$S$504,0)))&amp;IF(K282&gt;1," (+"&amp;(K282-1)&amp;")",""))</f>
        <v/>
      </c>
      <c r="M282" s="63" t="n">
        <v>4</v>
      </c>
      <c r="N282" s="2" t="n"/>
      <c r="O282" s="2" t="n"/>
    </row>
    <row r="283">
      <c r="A283" s="62">
        <f>IF('4'!$C$1="","",'4'!$C$1)</f>
        <v/>
      </c>
      <c r="B283" s="63">
        <f>Ustawienia!$A$9&amp;""</f>
        <v/>
      </c>
      <c r="C283" s="63">
        <f>Ustawienia!$A$15&amp;""</f>
        <v/>
      </c>
      <c r="D283" s="63" t="n">
        <v>6</v>
      </c>
      <c r="E283" s="63">
        <f>IF('4'!F18="","",TRIM('4'!F18&amp;""))</f>
        <v/>
      </c>
      <c r="F283" s="63">
        <f>IF('4'!G18="","",'4'!G18)</f>
        <v/>
      </c>
      <c r="G283" s="63">
        <f>'4'!H18&amp;""</f>
        <v/>
      </c>
      <c r="H283" s="63">
        <f>IF(OR(A283="",F283=""),"",F283&amp;"|"&amp;A283)</f>
        <v/>
      </c>
      <c r="I283" s="63">
        <f>IF(AND(H283&lt;&gt;"",OR('Historia wózka'!$B$4="",F283='Historia wózka'!$B$4),A283&gt;='Historia wózka'!$B$5,A283&lt;='Historia wózka'!$B$6),A283+0.8+(5000-ROW())/10000000,0)</f>
        <v/>
      </c>
      <c r="J283" s="63">
        <f>Ustawienia!$B$9&amp;""</f>
        <v/>
      </c>
      <c r="K283" s="63">
        <f>IF(H283="","",COUNTIFS('Zgłoszenia'!$B$5:$B$504,F283,'Zgłoszenia'!$D$5:$D$504,"&gt;="&amp;A283,'Zgłoszenia'!$D$5:$D$504,"&lt;="&amp;(A283+1)))</f>
        <v/>
      </c>
      <c r="L283" s="63">
        <f>IF(OR(H283="",K283=0),"—",IF(ISNUMBER(MATCH(H283,'Zgłoszenia'!$S$5:$S$504,0)),RIGHT("0"&amp;DAY(A283),2)&amp;"."&amp;RIGHT("0"&amp;MONTH(A283),2)&amp;"."&amp;YEAR(A283)&amp;": "&amp;INDEX('Zgłoszenia'!$H$5:$H$504,MATCH(H283,'Zgłoszenia'!$S$5:$S$504,0)),RIGHT("0"&amp;DAY((A283+1)),2)&amp;"."&amp;RIGHT("0"&amp;MONTH((A283+1)),2)&amp;"."&amp;YEAR((A283+1))&amp;": "&amp;INDEX('Zgłoszenia'!$H$5:$H$504,MATCH(F283&amp;"|"&amp;(A283+1),'Zgłoszenia'!$S$5:$S$504,0)))&amp;IF(K283&gt;1," (+"&amp;(K283-1)&amp;")",""))</f>
        <v/>
      </c>
      <c r="M283" s="63" t="n">
        <v>4</v>
      </c>
      <c r="N283" s="2" t="n"/>
      <c r="O283" s="2" t="n"/>
    </row>
    <row r="284">
      <c r="A284" s="62">
        <f>IF('4'!$C$1="","",'4'!$C$1)</f>
        <v/>
      </c>
      <c r="B284" s="63">
        <f>Ustawienia!$A$9&amp;""</f>
        <v/>
      </c>
      <c r="C284" s="63">
        <f>Ustawienia!$A$15&amp;""</f>
        <v/>
      </c>
      <c r="D284" s="63" t="n">
        <v>7</v>
      </c>
      <c r="E284" s="63">
        <f>IF('4'!F19="","",TRIM('4'!F19&amp;""))</f>
        <v/>
      </c>
      <c r="F284" s="63">
        <f>IF('4'!G19="","",'4'!G19)</f>
        <v/>
      </c>
      <c r="G284" s="63">
        <f>'4'!H19&amp;""</f>
        <v/>
      </c>
      <c r="H284" s="63">
        <f>IF(OR(A284="",F284=""),"",F284&amp;"|"&amp;A284)</f>
        <v/>
      </c>
      <c r="I284" s="63">
        <f>IF(AND(H284&lt;&gt;"",OR('Historia wózka'!$B$4="",F284='Historia wózka'!$B$4),A284&gt;='Historia wózka'!$B$5,A284&lt;='Historia wózka'!$B$6),A284+0.8+(5000-ROW())/10000000,0)</f>
        <v/>
      </c>
      <c r="J284" s="63">
        <f>Ustawienia!$B$9&amp;""</f>
        <v/>
      </c>
      <c r="K284" s="63">
        <f>IF(H284="","",COUNTIFS('Zgłoszenia'!$B$5:$B$504,F284,'Zgłoszenia'!$D$5:$D$504,"&gt;="&amp;A284,'Zgłoszenia'!$D$5:$D$504,"&lt;="&amp;(A284+1)))</f>
        <v/>
      </c>
      <c r="L284" s="63">
        <f>IF(OR(H284="",K284=0),"—",IF(ISNUMBER(MATCH(H284,'Zgłoszenia'!$S$5:$S$504,0)),RIGHT("0"&amp;DAY(A284),2)&amp;"."&amp;RIGHT("0"&amp;MONTH(A284),2)&amp;"."&amp;YEAR(A284)&amp;": "&amp;INDEX('Zgłoszenia'!$H$5:$H$504,MATCH(H284,'Zgłoszenia'!$S$5:$S$504,0)),RIGHT("0"&amp;DAY((A284+1)),2)&amp;"."&amp;RIGHT("0"&amp;MONTH((A284+1)),2)&amp;"."&amp;YEAR((A284+1))&amp;": "&amp;INDEX('Zgłoszenia'!$H$5:$H$504,MATCH(F284&amp;"|"&amp;(A284+1),'Zgłoszenia'!$S$5:$S$504,0)))&amp;IF(K284&gt;1," (+"&amp;(K284-1)&amp;")",""))</f>
        <v/>
      </c>
      <c r="M284" s="63" t="n">
        <v>4</v>
      </c>
      <c r="N284" s="2" t="n"/>
      <c r="O284" s="2" t="n"/>
    </row>
    <row r="285">
      <c r="A285" s="62">
        <f>IF('4'!$C$1="","",'4'!$C$1)</f>
        <v/>
      </c>
      <c r="B285" s="63">
        <f>Ustawienia!$A$9&amp;""</f>
        <v/>
      </c>
      <c r="C285" s="63">
        <f>Ustawienia!$A$15&amp;""</f>
        <v/>
      </c>
      <c r="D285" s="63" t="n">
        <v>8</v>
      </c>
      <c r="E285" s="63">
        <f>IF('4'!F20="","",TRIM('4'!F20&amp;""))</f>
        <v/>
      </c>
      <c r="F285" s="63">
        <f>IF('4'!G20="","",'4'!G20)</f>
        <v/>
      </c>
      <c r="G285" s="63">
        <f>'4'!H20&amp;""</f>
        <v/>
      </c>
      <c r="H285" s="63">
        <f>IF(OR(A285="",F285=""),"",F285&amp;"|"&amp;A285)</f>
        <v/>
      </c>
      <c r="I285" s="63">
        <f>IF(AND(H285&lt;&gt;"",OR('Historia wózka'!$B$4="",F285='Historia wózka'!$B$4),A285&gt;='Historia wózka'!$B$5,A285&lt;='Historia wózka'!$B$6),A285+0.8+(5000-ROW())/10000000,0)</f>
        <v/>
      </c>
      <c r="J285" s="63">
        <f>Ustawienia!$B$9&amp;""</f>
        <v/>
      </c>
      <c r="K285" s="63">
        <f>IF(H285="","",COUNTIFS('Zgłoszenia'!$B$5:$B$504,F285,'Zgłoszenia'!$D$5:$D$504,"&gt;="&amp;A285,'Zgłoszenia'!$D$5:$D$504,"&lt;="&amp;(A285+1)))</f>
        <v/>
      </c>
      <c r="L285" s="63">
        <f>IF(OR(H285="",K285=0),"—",IF(ISNUMBER(MATCH(H285,'Zgłoszenia'!$S$5:$S$504,0)),RIGHT("0"&amp;DAY(A285),2)&amp;"."&amp;RIGHT("0"&amp;MONTH(A285),2)&amp;"."&amp;YEAR(A285)&amp;": "&amp;INDEX('Zgłoszenia'!$H$5:$H$504,MATCH(H285,'Zgłoszenia'!$S$5:$S$504,0)),RIGHT("0"&amp;DAY((A285+1)),2)&amp;"."&amp;RIGHT("0"&amp;MONTH((A285+1)),2)&amp;"."&amp;YEAR((A285+1))&amp;": "&amp;INDEX('Zgłoszenia'!$H$5:$H$504,MATCH(F285&amp;"|"&amp;(A285+1),'Zgłoszenia'!$S$5:$S$504,0)))&amp;IF(K285&gt;1," (+"&amp;(K285-1)&amp;")",""))</f>
        <v/>
      </c>
      <c r="M285" s="63" t="n">
        <v>4</v>
      </c>
      <c r="N285" s="2" t="n"/>
      <c r="O285" s="2" t="n"/>
    </row>
    <row r="286">
      <c r="A286" s="62">
        <f>IF('4'!$C$1="","",'4'!$C$1)</f>
        <v/>
      </c>
      <c r="B286" s="63">
        <f>Ustawienia!$A$9&amp;""</f>
        <v/>
      </c>
      <c r="C286" s="63">
        <f>Ustawienia!$A$16&amp;""</f>
        <v/>
      </c>
      <c r="D286" s="63" t="n">
        <v>1</v>
      </c>
      <c r="E286" s="63">
        <f>IF('4'!F22="","",TRIM('4'!F22&amp;""))</f>
        <v/>
      </c>
      <c r="F286" s="63">
        <f>IF('4'!G22="","",'4'!G22)</f>
        <v/>
      </c>
      <c r="G286" s="63">
        <f>'4'!H22&amp;""</f>
        <v/>
      </c>
      <c r="H286" s="63">
        <f>IF(OR(A286="",F286=""),"",F286&amp;"|"&amp;A286)</f>
        <v/>
      </c>
      <c r="I286" s="63">
        <f>IF(AND(H286&lt;&gt;"",OR('Historia wózka'!$B$4="",F286='Historia wózka'!$B$4),A286&gt;='Historia wózka'!$B$5,A286&lt;='Historia wózka'!$B$6),A286+0.8+(5000-ROW())/10000000,0)</f>
        <v/>
      </c>
      <c r="J286" s="63">
        <f>Ustawienia!$B$9&amp;""</f>
        <v/>
      </c>
      <c r="K286" s="63">
        <f>IF(H286="","",COUNTIFS('Zgłoszenia'!$B$5:$B$504,F286,'Zgłoszenia'!$D$5:$D$504,"&gt;="&amp;A286,'Zgłoszenia'!$D$5:$D$504,"&lt;="&amp;(A286+1)))</f>
        <v/>
      </c>
      <c r="L286" s="63">
        <f>IF(OR(H286="",K286=0),"—",IF(ISNUMBER(MATCH(H286,'Zgłoszenia'!$S$5:$S$504,0)),RIGHT("0"&amp;DAY(A286),2)&amp;"."&amp;RIGHT("0"&amp;MONTH(A286),2)&amp;"."&amp;YEAR(A286)&amp;": "&amp;INDEX('Zgłoszenia'!$H$5:$H$504,MATCH(H286,'Zgłoszenia'!$S$5:$S$504,0)),RIGHT("0"&amp;DAY((A286+1)),2)&amp;"."&amp;RIGHT("0"&amp;MONTH((A286+1)),2)&amp;"."&amp;YEAR((A286+1))&amp;": "&amp;INDEX('Zgłoszenia'!$H$5:$H$504,MATCH(F286&amp;"|"&amp;(A286+1),'Zgłoszenia'!$S$5:$S$504,0)))&amp;IF(K286&gt;1," (+"&amp;(K286-1)&amp;")",""))</f>
        <v/>
      </c>
      <c r="M286" s="63" t="n">
        <v>4</v>
      </c>
      <c r="N286" s="2" t="n"/>
      <c r="O286" s="2" t="n"/>
    </row>
    <row r="287">
      <c r="A287" s="62">
        <f>IF('4'!$C$1="","",'4'!$C$1)</f>
        <v/>
      </c>
      <c r="B287" s="63">
        <f>Ustawienia!$A$9&amp;""</f>
        <v/>
      </c>
      <c r="C287" s="63">
        <f>Ustawienia!$A$16&amp;""</f>
        <v/>
      </c>
      <c r="D287" s="63" t="n">
        <v>2</v>
      </c>
      <c r="E287" s="63">
        <f>IF('4'!F23="","",TRIM('4'!F23&amp;""))</f>
        <v/>
      </c>
      <c r="F287" s="63">
        <f>IF('4'!G23="","",'4'!G23)</f>
        <v/>
      </c>
      <c r="G287" s="63">
        <f>'4'!H23&amp;""</f>
        <v/>
      </c>
      <c r="H287" s="63">
        <f>IF(OR(A287="",F287=""),"",F287&amp;"|"&amp;A287)</f>
        <v/>
      </c>
      <c r="I287" s="63">
        <f>IF(AND(H287&lt;&gt;"",OR('Historia wózka'!$B$4="",F287='Historia wózka'!$B$4),A287&gt;='Historia wózka'!$B$5,A287&lt;='Historia wózka'!$B$6),A287+0.8+(5000-ROW())/10000000,0)</f>
        <v/>
      </c>
      <c r="J287" s="63">
        <f>Ustawienia!$B$9&amp;""</f>
        <v/>
      </c>
      <c r="K287" s="63">
        <f>IF(H287="","",COUNTIFS('Zgłoszenia'!$B$5:$B$504,F287,'Zgłoszenia'!$D$5:$D$504,"&gt;="&amp;A287,'Zgłoszenia'!$D$5:$D$504,"&lt;="&amp;(A287+1)))</f>
        <v/>
      </c>
      <c r="L287" s="63">
        <f>IF(OR(H287="",K287=0),"—",IF(ISNUMBER(MATCH(H287,'Zgłoszenia'!$S$5:$S$504,0)),RIGHT("0"&amp;DAY(A287),2)&amp;"."&amp;RIGHT("0"&amp;MONTH(A287),2)&amp;"."&amp;YEAR(A287)&amp;": "&amp;INDEX('Zgłoszenia'!$H$5:$H$504,MATCH(H287,'Zgłoszenia'!$S$5:$S$504,0)),RIGHT("0"&amp;DAY((A287+1)),2)&amp;"."&amp;RIGHT("0"&amp;MONTH((A287+1)),2)&amp;"."&amp;YEAR((A287+1))&amp;": "&amp;INDEX('Zgłoszenia'!$H$5:$H$504,MATCH(F287&amp;"|"&amp;(A287+1),'Zgłoszenia'!$S$5:$S$504,0)))&amp;IF(K287&gt;1," (+"&amp;(K287-1)&amp;")",""))</f>
        <v/>
      </c>
      <c r="M287" s="63" t="n">
        <v>4</v>
      </c>
      <c r="N287" s="2" t="n"/>
      <c r="O287" s="2" t="n"/>
    </row>
    <row r="288">
      <c r="A288" s="62">
        <f>IF('4'!$C$1="","",'4'!$C$1)</f>
        <v/>
      </c>
      <c r="B288" s="63">
        <f>Ustawienia!$A$9&amp;""</f>
        <v/>
      </c>
      <c r="C288" s="63">
        <f>Ustawienia!$A$16&amp;""</f>
        <v/>
      </c>
      <c r="D288" s="63" t="n">
        <v>3</v>
      </c>
      <c r="E288" s="63">
        <f>IF('4'!F24="","",TRIM('4'!F24&amp;""))</f>
        <v/>
      </c>
      <c r="F288" s="63">
        <f>IF('4'!G24="","",'4'!G24)</f>
        <v/>
      </c>
      <c r="G288" s="63">
        <f>'4'!H24&amp;""</f>
        <v/>
      </c>
      <c r="H288" s="63">
        <f>IF(OR(A288="",F288=""),"",F288&amp;"|"&amp;A288)</f>
        <v/>
      </c>
      <c r="I288" s="63">
        <f>IF(AND(H288&lt;&gt;"",OR('Historia wózka'!$B$4="",F288='Historia wózka'!$B$4),A288&gt;='Historia wózka'!$B$5,A288&lt;='Historia wózka'!$B$6),A288+0.8+(5000-ROW())/10000000,0)</f>
        <v/>
      </c>
      <c r="J288" s="63">
        <f>Ustawienia!$B$9&amp;""</f>
        <v/>
      </c>
      <c r="K288" s="63">
        <f>IF(H288="","",COUNTIFS('Zgłoszenia'!$B$5:$B$504,F288,'Zgłoszenia'!$D$5:$D$504,"&gt;="&amp;A288,'Zgłoszenia'!$D$5:$D$504,"&lt;="&amp;(A288+1)))</f>
        <v/>
      </c>
      <c r="L288" s="63">
        <f>IF(OR(H288="",K288=0),"—",IF(ISNUMBER(MATCH(H288,'Zgłoszenia'!$S$5:$S$504,0)),RIGHT("0"&amp;DAY(A288),2)&amp;"."&amp;RIGHT("0"&amp;MONTH(A288),2)&amp;"."&amp;YEAR(A288)&amp;": "&amp;INDEX('Zgłoszenia'!$H$5:$H$504,MATCH(H288,'Zgłoszenia'!$S$5:$S$504,0)),RIGHT("0"&amp;DAY((A288+1)),2)&amp;"."&amp;RIGHT("0"&amp;MONTH((A288+1)),2)&amp;"."&amp;YEAR((A288+1))&amp;": "&amp;INDEX('Zgłoszenia'!$H$5:$H$504,MATCH(F288&amp;"|"&amp;(A288+1),'Zgłoszenia'!$S$5:$S$504,0)))&amp;IF(K288&gt;1," (+"&amp;(K288-1)&amp;")",""))</f>
        <v/>
      </c>
      <c r="M288" s="63" t="n">
        <v>4</v>
      </c>
      <c r="N288" s="2" t="n"/>
      <c r="O288" s="2" t="n"/>
    </row>
    <row r="289">
      <c r="A289" s="62">
        <f>IF('4'!$C$1="","",'4'!$C$1)</f>
        <v/>
      </c>
      <c r="B289" s="63">
        <f>Ustawienia!$A$9&amp;""</f>
        <v/>
      </c>
      <c r="C289" s="63">
        <f>Ustawienia!$A$16&amp;""</f>
        <v/>
      </c>
      <c r="D289" s="63" t="n">
        <v>4</v>
      </c>
      <c r="E289" s="63">
        <f>IF('4'!F25="","",TRIM('4'!F25&amp;""))</f>
        <v/>
      </c>
      <c r="F289" s="63">
        <f>IF('4'!G25="","",'4'!G25)</f>
        <v/>
      </c>
      <c r="G289" s="63">
        <f>'4'!H25&amp;""</f>
        <v/>
      </c>
      <c r="H289" s="63">
        <f>IF(OR(A289="",F289=""),"",F289&amp;"|"&amp;A289)</f>
        <v/>
      </c>
      <c r="I289" s="63">
        <f>IF(AND(H289&lt;&gt;"",OR('Historia wózka'!$B$4="",F289='Historia wózka'!$B$4),A289&gt;='Historia wózka'!$B$5,A289&lt;='Historia wózka'!$B$6),A289+0.8+(5000-ROW())/10000000,0)</f>
        <v/>
      </c>
      <c r="J289" s="63">
        <f>Ustawienia!$B$9&amp;""</f>
        <v/>
      </c>
      <c r="K289" s="63">
        <f>IF(H289="","",COUNTIFS('Zgłoszenia'!$B$5:$B$504,F289,'Zgłoszenia'!$D$5:$D$504,"&gt;="&amp;A289,'Zgłoszenia'!$D$5:$D$504,"&lt;="&amp;(A289+1)))</f>
        <v/>
      </c>
      <c r="L289" s="63">
        <f>IF(OR(H289="",K289=0),"—",IF(ISNUMBER(MATCH(H289,'Zgłoszenia'!$S$5:$S$504,0)),RIGHT("0"&amp;DAY(A289),2)&amp;"."&amp;RIGHT("0"&amp;MONTH(A289),2)&amp;"."&amp;YEAR(A289)&amp;": "&amp;INDEX('Zgłoszenia'!$H$5:$H$504,MATCH(H289,'Zgłoszenia'!$S$5:$S$504,0)),RIGHT("0"&amp;DAY((A289+1)),2)&amp;"."&amp;RIGHT("0"&amp;MONTH((A289+1)),2)&amp;"."&amp;YEAR((A289+1))&amp;": "&amp;INDEX('Zgłoszenia'!$H$5:$H$504,MATCH(F289&amp;"|"&amp;(A289+1),'Zgłoszenia'!$S$5:$S$504,0)))&amp;IF(K289&gt;1," (+"&amp;(K289-1)&amp;")",""))</f>
        <v/>
      </c>
      <c r="M289" s="63" t="n">
        <v>4</v>
      </c>
      <c r="N289" s="2" t="n"/>
      <c r="O289" s="2" t="n"/>
    </row>
    <row r="290">
      <c r="A290" s="62">
        <f>IF('4'!$C$1="","",'4'!$C$1)</f>
        <v/>
      </c>
      <c r="B290" s="63">
        <f>Ustawienia!$A$9&amp;""</f>
        <v/>
      </c>
      <c r="C290" s="63">
        <f>Ustawienia!$A$17&amp;""</f>
        <v/>
      </c>
      <c r="D290" s="63" t="n">
        <v>1</v>
      </c>
      <c r="E290" s="63">
        <f>IF('4'!F27="","",TRIM('4'!F27&amp;""))</f>
        <v/>
      </c>
      <c r="F290" s="63">
        <f>IF('4'!G27="","",'4'!G27)</f>
        <v/>
      </c>
      <c r="G290" s="63">
        <f>'4'!H27&amp;""</f>
        <v/>
      </c>
      <c r="H290" s="63">
        <f>IF(OR(A290="",F290=""),"",F290&amp;"|"&amp;A290)</f>
        <v/>
      </c>
      <c r="I290" s="63">
        <f>IF(AND(H290&lt;&gt;"",OR('Historia wózka'!$B$4="",F290='Historia wózka'!$B$4),A290&gt;='Historia wózka'!$B$5,A290&lt;='Historia wózka'!$B$6),A290+0.8+(5000-ROW())/10000000,0)</f>
        <v/>
      </c>
      <c r="J290" s="63">
        <f>Ustawienia!$B$9&amp;""</f>
        <v/>
      </c>
      <c r="K290" s="63">
        <f>IF(H290="","",COUNTIFS('Zgłoszenia'!$B$5:$B$504,F290,'Zgłoszenia'!$D$5:$D$504,"&gt;="&amp;A290,'Zgłoszenia'!$D$5:$D$504,"&lt;="&amp;(A290+1)))</f>
        <v/>
      </c>
      <c r="L290" s="63">
        <f>IF(OR(H290="",K290=0),"—",IF(ISNUMBER(MATCH(H290,'Zgłoszenia'!$S$5:$S$504,0)),RIGHT("0"&amp;DAY(A290),2)&amp;"."&amp;RIGHT("0"&amp;MONTH(A290),2)&amp;"."&amp;YEAR(A290)&amp;": "&amp;INDEX('Zgłoszenia'!$H$5:$H$504,MATCH(H290,'Zgłoszenia'!$S$5:$S$504,0)),RIGHT("0"&amp;DAY((A290+1)),2)&amp;"."&amp;RIGHT("0"&amp;MONTH((A290+1)),2)&amp;"."&amp;YEAR((A290+1))&amp;": "&amp;INDEX('Zgłoszenia'!$H$5:$H$504,MATCH(F290&amp;"|"&amp;(A290+1),'Zgłoszenia'!$S$5:$S$504,0)))&amp;IF(K290&gt;1," (+"&amp;(K290-1)&amp;")",""))</f>
        <v/>
      </c>
      <c r="M290" s="63" t="n">
        <v>4</v>
      </c>
      <c r="N290" s="2" t="n"/>
      <c r="O290" s="2" t="n"/>
    </row>
    <row r="291">
      <c r="A291" s="62">
        <f>IF('4'!$C$1="","",'4'!$C$1)</f>
        <v/>
      </c>
      <c r="B291" s="63">
        <f>Ustawienia!$A$9&amp;""</f>
        <v/>
      </c>
      <c r="C291" s="63">
        <f>Ustawienia!$A$17&amp;""</f>
        <v/>
      </c>
      <c r="D291" s="63" t="n">
        <v>2</v>
      </c>
      <c r="E291" s="63">
        <f>IF('4'!F28="","",TRIM('4'!F28&amp;""))</f>
        <v/>
      </c>
      <c r="F291" s="63">
        <f>IF('4'!G28="","",'4'!G28)</f>
        <v/>
      </c>
      <c r="G291" s="63">
        <f>'4'!H28&amp;""</f>
        <v/>
      </c>
      <c r="H291" s="63">
        <f>IF(OR(A291="",F291=""),"",F291&amp;"|"&amp;A291)</f>
        <v/>
      </c>
      <c r="I291" s="63">
        <f>IF(AND(H291&lt;&gt;"",OR('Historia wózka'!$B$4="",F291='Historia wózka'!$B$4),A291&gt;='Historia wózka'!$B$5,A291&lt;='Historia wózka'!$B$6),A291+0.8+(5000-ROW())/10000000,0)</f>
        <v/>
      </c>
      <c r="J291" s="63">
        <f>Ustawienia!$B$9&amp;""</f>
        <v/>
      </c>
      <c r="K291" s="63">
        <f>IF(H291="","",COUNTIFS('Zgłoszenia'!$B$5:$B$504,F291,'Zgłoszenia'!$D$5:$D$504,"&gt;="&amp;A291,'Zgłoszenia'!$D$5:$D$504,"&lt;="&amp;(A291+1)))</f>
        <v/>
      </c>
      <c r="L291" s="63">
        <f>IF(OR(H291="",K291=0),"—",IF(ISNUMBER(MATCH(H291,'Zgłoszenia'!$S$5:$S$504,0)),RIGHT("0"&amp;DAY(A291),2)&amp;"."&amp;RIGHT("0"&amp;MONTH(A291),2)&amp;"."&amp;YEAR(A291)&amp;": "&amp;INDEX('Zgłoszenia'!$H$5:$H$504,MATCH(H291,'Zgłoszenia'!$S$5:$S$504,0)),RIGHT("0"&amp;DAY((A291+1)),2)&amp;"."&amp;RIGHT("0"&amp;MONTH((A291+1)),2)&amp;"."&amp;YEAR((A291+1))&amp;": "&amp;INDEX('Zgłoszenia'!$H$5:$H$504,MATCH(F291&amp;"|"&amp;(A291+1),'Zgłoszenia'!$S$5:$S$504,0)))&amp;IF(K291&gt;1," (+"&amp;(K291-1)&amp;")",""))</f>
        <v/>
      </c>
      <c r="M291" s="63" t="n">
        <v>4</v>
      </c>
      <c r="N291" s="2" t="n"/>
      <c r="O291" s="2" t="n"/>
    </row>
    <row r="292">
      <c r="A292" s="62">
        <f>IF('4'!$C$1="","",'4'!$C$1)</f>
        <v/>
      </c>
      <c r="B292" s="63">
        <f>Ustawienia!$A$9&amp;""</f>
        <v/>
      </c>
      <c r="C292" s="63">
        <f>Ustawienia!$A$17&amp;""</f>
        <v/>
      </c>
      <c r="D292" s="63" t="n">
        <v>3</v>
      </c>
      <c r="E292" s="63">
        <f>IF('4'!F29="","",TRIM('4'!F29&amp;""))</f>
        <v/>
      </c>
      <c r="F292" s="63">
        <f>IF('4'!G29="","",'4'!G29)</f>
        <v/>
      </c>
      <c r="G292" s="63">
        <f>'4'!H29&amp;""</f>
        <v/>
      </c>
      <c r="H292" s="63">
        <f>IF(OR(A292="",F292=""),"",F292&amp;"|"&amp;A292)</f>
        <v/>
      </c>
      <c r="I292" s="63">
        <f>IF(AND(H292&lt;&gt;"",OR('Historia wózka'!$B$4="",F292='Historia wózka'!$B$4),A292&gt;='Historia wózka'!$B$5,A292&lt;='Historia wózka'!$B$6),A292+0.8+(5000-ROW())/10000000,0)</f>
        <v/>
      </c>
      <c r="J292" s="63">
        <f>Ustawienia!$B$9&amp;""</f>
        <v/>
      </c>
      <c r="K292" s="63">
        <f>IF(H292="","",COUNTIFS('Zgłoszenia'!$B$5:$B$504,F292,'Zgłoszenia'!$D$5:$D$504,"&gt;="&amp;A292,'Zgłoszenia'!$D$5:$D$504,"&lt;="&amp;(A292+1)))</f>
        <v/>
      </c>
      <c r="L292" s="63">
        <f>IF(OR(H292="",K292=0),"—",IF(ISNUMBER(MATCH(H292,'Zgłoszenia'!$S$5:$S$504,0)),RIGHT("0"&amp;DAY(A292),2)&amp;"."&amp;RIGHT("0"&amp;MONTH(A292),2)&amp;"."&amp;YEAR(A292)&amp;": "&amp;INDEX('Zgłoszenia'!$H$5:$H$504,MATCH(H292,'Zgłoszenia'!$S$5:$S$504,0)),RIGHT("0"&amp;DAY((A292+1)),2)&amp;"."&amp;RIGHT("0"&amp;MONTH((A292+1)),2)&amp;"."&amp;YEAR((A292+1))&amp;": "&amp;INDEX('Zgłoszenia'!$H$5:$H$504,MATCH(F292&amp;"|"&amp;(A292+1),'Zgłoszenia'!$S$5:$S$504,0)))&amp;IF(K292&gt;1," (+"&amp;(K292-1)&amp;")",""))</f>
        <v/>
      </c>
      <c r="M292" s="63" t="n">
        <v>4</v>
      </c>
      <c r="N292" s="2" t="n"/>
      <c r="O292" s="2" t="n"/>
    </row>
    <row r="293">
      <c r="A293" s="62">
        <f>IF('4'!$C$1="","",'4'!$C$1)</f>
        <v/>
      </c>
      <c r="B293" s="63">
        <f>Ustawienia!$A$9&amp;""</f>
        <v/>
      </c>
      <c r="C293" s="63">
        <f>Ustawienia!$A$17&amp;""</f>
        <v/>
      </c>
      <c r="D293" s="63" t="n">
        <v>4</v>
      </c>
      <c r="E293" s="63">
        <f>IF('4'!F30="","",TRIM('4'!F30&amp;""))</f>
        <v/>
      </c>
      <c r="F293" s="63">
        <f>IF('4'!G30="","",'4'!G30)</f>
        <v/>
      </c>
      <c r="G293" s="63">
        <f>'4'!H30&amp;""</f>
        <v/>
      </c>
      <c r="H293" s="63">
        <f>IF(OR(A293="",F293=""),"",F293&amp;"|"&amp;A293)</f>
        <v/>
      </c>
      <c r="I293" s="63">
        <f>IF(AND(H293&lt;&gt;"",OR('Historia wózka'!$B$4="",F293='Historia wózka'!$B$4),A293&gt;='Historia wózka'!$B$5,A293&lt;='Historia wózka'!$B$6),A293+0.8+(5000-ROW())/10000000,0)</f>
        <v/>
      </c>
      <c r="J293" s="63">
        <f>Ustawienia!$B$9&amp;""</f>
        <v/>
      </c>
      <c r="K293" s="63">
        <f>IF(H293="","",COUNTIFS('Zgłoszenia'!$B$5:$B$504,F293,'Zgłoszenia'!$D$5:$D$504,"&gt;="&amp;A293,'Zgłoszenia'!$D$5:$D$504,"&lt;="&amp;(A293+1)))</f>
        <v/>
      </c>
      <c r="L293" s="63">
        <f>IF(OR(H293="",K293=0),"—",IF(ISNUMBER(MATCH(H293,'Zgłoszenia'!$S$5:$S$504,0)),RIGHT("0"&amp;DAY(A293),2)&amp;"."&amp;RIGHT("0"&amp;MONTH(A293),2)&amp;"."&amp;YEAR(A293)&amp;": "&amp;INDEX('Zgłoszenia'!$H$5:$H$504,MATCH(H293,'Zgłoszenia'!$S$5:$S$504,0)),RIGHT("0"&amp;DAY((A293+1)),2)&amp;"."&amp;RIGHT("0"&amp;MONTH((A293+1)),2)&amp;"."&amp;YEAR((A293+1))&amp;": "&amp;INDEX('Zgłoszenia'!$H$5:$H$504,MATCH(F293&amp;"|"&amp;(A293+1),'Zgłoszenia'!$S$5:$S$504,0)))&amp;IF(K293&gt;1," (+"&amp;(K293-1)&amp;")",""))</f>
        <v/>
      </c>
      <c r="M293" s="63" t="n">
        <v>4</v>
      </c>
      <c r="N293" s="2" t="n"/>
      <c r="O293" s="2" t="n"/>
    </row>
    <row r="294">
      <c r="A294" s="62">
        <f>IF('4'!$C$1="","",'4'!$C$1)</f>
        <v/>
      </c>
      <c r="B294" s="63">
        <f>Ustawienia!$A$9&amp;""</f>
        <v/>
      </c>
      <c r="C294" s="63">
        <f>Ustawienia!$A$18&amp;""</f>
        <v/>
      </c>
      <c r="D294" s="63" t="n">
        <v>1</v>
      </c>
      <c r="E294" s="63">
        <f>IF('4'!F32="","",TRIM('4'!F32&amp;""))</f>
        <v/>
      </c>
      <c r="F294" s="63">
        <f>IF('4'!G32="","",'4'!G32)</f>
        <v/>
      </c>
      <c r="G294" s="63">
        <f>'4'!H32&amp;""</f>
        <v/>
      </c>
      <c r="H294" s="63">
        <f>IF(OR(A294="",F294=""),"",F294&amp;"|"&amp;A294)</f>
        <v/>
      </c>
      <c r="I294" s="63">
        <f>IF(AND(H294&lt;&gt;"",OR('Historia wózka'!$B$4="",F294='Historia wózka'!$B$4),A294&gt;='Historia wózka'!$B$5,A294&lt;='Historia wózka'!$B$6),A294+0.8+(5000-ROW())/10000000,0)</f>
        <v/>
      </c>
      <c r="J294" s="63">
        <f>Ustawienia!$B$9&amp;""</f>
        <v/>
      </c>
      <c r="K294" s="63">
        <f>IF(H294="","",COUNTIFS('Zgłoszenia'!$B$5:$B$504,F294,'Zgłoszenia'!$D$5:$D$504,"&gt;="&amp;A294,'Zgłoszenia'!$D$5:$D$504,"&lt;="&amp;(A294+1)))</f>
        <v/>
      </c>
      <c r="L294" s="63">
        <f>IF(OR(H294="",K294=0),"—",IF(ISNUMBER(MATCH(H294,'Zgłoszenia'!$S$5:$S$504,0)),RIGHT("0"&amp;DAY(A294),2)&amp;"."&amp;RIGHT("0"&amp;MONTH(A294),2)&amp;"."&amp;YEAR(A294)&amp;": "&amp;INDEX('Zgłoszenia'!$H$5:$H$504,MATCH(H294,'Zgłoszenia'!$S$5:$S$504,0)),RIGHT("0"&amp;DAY((A294+1)),2)&amp;"."&amp;RIGHT("0"&amp;MONTH((A294+1)),2)&amp;"."&amp;YEAR((A294+1))&amp;": "&amp;INDEX('Zgłoszenia'!$H$5:$H$504,MATCH(F294&amp;"|"&amp;(A294+1),'Zgłoszenia'!$S$5:$S$504,0)))&amp;IF(K294&gt;1," (+"&amp;(K294-1)&amp;")",""))</f>
        <v/>
      </c>
      <c r="M294" s="63" t="n">
        <v>4</v>
      </c>
      <c r="N294" s="2" t="n"/>
      <c r="O294" s="2" t="n"/>
    </row>
    <row r="295">
      <c r="A295" s="62">
        <f>IF('4'!$C$1="","",'4'!$C$1)</f>
        <v/>
      </c>
      <c r="B295" s="63">
        <f>Ustawienia!$A$9&amp;""</f>
        <v/>
      </c>
      <c r="C295" s="63">
        <f>Ustawienia!$A$18&amp;""</f>
        <v/>
      </c>
      <c r="D295" s="63" t="n">
        <v>2</v>
      </c>
      <c r="E295" s="63">
        <f>IF('4'!F33="","",TRIM('4'!F33&amp;""))</f>
        <v/>
      </c>
      <c r="F295" s="63">
        <f>IF('4'!G33="","",'4'!G33)</f>
        <v/>
      </c>
      <c r="G295" s="63">
        <f>'4'!H33&amp;""</f>
        <v/>
      </c>
      <c r="H295" s="63">
        <f>IF(OR(A295="",F295=""),"",F295&amp;"|"&amp;A295)</f>
        <v/>
      </c>
      <c r="I295" s="63">
        <f>IF(AND(H295&lt;&gt;"",OR('Historia wózka'!$B$4="",F295='Historia wózka'!$B$4),A295&gt;='Historia wózka'!$B$5,A295&lt;='Historia wózka'!$B$6),A295+0.8+(5000-ROW())/10000000,0)</f>
        <v/>
      </c>
      <c r="J295" s="63">
        <f>Ustawienia!$B$9&amp;""</f>
        <v/>
      </c>
      <c r="K295" s="63">
        <f>IF(H295="","",COUNTIFS('Zgłoszenia'!$B$5:$B$504,F295,'Zgłoszenia'!$D$5:$D$504,"&gt;="&amp;A295,'Zgłoszenia'!$D$5:$D$504,"&lt;="&amp;(A295+1)))</f>
        <v/>
      </c>
      <c r="L295" s="63">
        <f>IF(OR(H295="",K295=0),"—",IF(ISNUMBER(MATCH(H295,'Zgłoszenia'!$S$5:$S$504,0)),RIGHT("0"&amp;DAY(A295),2)&amp;"."&amp;RIGHT("0"&amp;MONTH(A295),2)&amp;"."&amp;YEAR(A295)&amp;": "&amp;INDEX('Zgłoszenia'!$H$5:$H$504,MATCH(H295,'Zgłoszenia'!$S$5:$S$504,0)),RIGHT("0"&amp;DAY((A295+1)),2)&amp;"."&amp;RIGHT("0"&amp;MONTH((A295+1)),2)&amp;"."&amp;YEAR((A295+1))&amp;": "&amp;INDEX('Zgłoszenia'!$H$5:$H$504,MATCH(F295&amp;"|"&amp;(A295+1),'Zgłoszenia'!$S$5:$S$504,0)))&amp;IF(K295&gt;1," (+"&amp;(K295-1)&amp;")",""))</f>
        <v/>
      </c>
      <c r="M295" s="63" t="n">
        <v>4</v>
      </c>
      <c r="N295" s="2" t="n"/>
      <c r="O295" s="2" t="n"/>
    </row>
    <row r="296">
      <c r="A296" s="62">
        <f>IF('4'!$C$1="","",'4'!$C$1)</f>
        <v/>
      </c>
      <c r="B296" s="63">
        <f>Ustawienia!$A$9&amp;""</f>
        <v/>
      </c>
      <c r="C296" s="63">
        <f>Ustawienia!$A$18&amp;""</f>
        <v/>
      </c>
      <c r="D296" s="63" t="n">
        <v>3</v>
      </c>
      <c r="E296" s="63">
        <f>IF('4'!F34="","",TRIM('4'!F34&amp;""))</f>
        <v/>
      </c>
      <c r="F296" s="63">
        <f>IF('4'!G34="","",'4'!G34)</f>
        <v/>
      </c>
      <c r="G296" s="63">
        <f>'4'!H34&amp;""</f>
        <v/>
      </c>
      <c r="H296" s="63">
        <f>IF(OR(A296="",F296=""),"",F296&amp;"|"&amp;A296)</f>
        <v/>
      </c>
      <c r="I296" s="63">
        <f>IF(AND(H296&lt;&gt;"",OR('Historia wózka'!$B$4="",F296='Historia wózka'!$B$4),A296&gt;='Historia wózka'!$B$5,A296&lt;='Historia wózka'!$B$6),A296+0.8+(5000-ROW())/10000000,0)</f>
        <v/>
      </c>
      <c r="J296" s="63">
        <f>Ustawienia!$B$9&amp;""</f>
        <v/>
      </c>
      <c r="K296" s="63">
        <f>IF(H296="","",COUNTIFS('Zgłoszenia'!$B$5:$B$504,F296,'Zgłoszenia'!$D$5:$D$504,"&gt;="&amp;A296,'Zgłoszenia'!$D$5:$D$504,"&lt;="&amp;(A296+1)))</f>
        <v/>
      </c>
      <c r="L296" s="63">
        <f>IF(OR(H296="",K296=0),"—",IF(ISNUMBER(MATCH(H296,'Zgłoszenia'!$S$5:$S$504,0)),RIGHT("0"&amp;DAY(A296),2)&amp;"."&amp;RIGHT("0"&amp;MONTH(A296),2)&amp;"."&amp;YEAR(A296)&amp;": "&amp;INDEX('Zgłoszenia'!$H$5:$H$504,MATCH(H296,'Zgłoszenia'!$S$5:$S$504,0)),RIGHT("0"&amp;DAY((A296+1)),2)&amp;"."&amp;RIGHT("0"&amp;MONTH((A296+1)),2)&amp;"."&amp;YEAR((A296+1))&amp;": "&amp;INDEX('Zgłoszenia'!$H$5:$H$504,MATCH(F296&amp;"|"&amp;(A296+1),'Zgłoszenia'!$S$5:$S$504,0)))&amp;IF(K296&gt;1," (+"&amp;(K296-1)&amp;")",""))</f>
        <v/>
      </c>
      <c r="M296" s="63" t="n">
        <v>4</v>
      </c>
      <c r="N296" s="2" t="n"/>
      <c r="O296" s="2" t="n"/>
    </row>
    <row r="297">
      <c r="A297" s="62">
        <f>IF('4'!$C$1="","",'4'!$C$1)</f>
        <v/>
      </c>
      <c r="B297" s="63">
        <f>Ustawienia!$A$9&amp;""</f>
        <v/>
      </c>
      <c r="C297" s="63">
        <f>Ustawienia!$A$18&amp;""</f>
        <v/>
      </c>
      <c r="D297" s="63" t="n">
        <v>4</v>
      </c>
      <c r="E297" s="63">
        <f>IF('4'!F35="","",TRIM('4'!F35&amp;""))</f>
        <v/>
      </c>
      <c r="F297" s="63">
        <f>IF('4'!G35="","",'4'!G35)</f>
        <v/>
      </c>
      <c r="G297" s="63">
        <f>'4'!H35&amp;""</f>
        <v/>
      </c>
      <c r="H297" s="63">
        <f>IF(OR(A297="",F297=""),"",F297&amp;"|"&amp;A297)</f>
        <v/>
      </c>
      <c r="I297" s="63">
        <f>IF(AND(H297&lt;&gt;"",OR('Historia wózka'!$B$4="",F297='Historia wózka'!$B$4),A297&gt;='Historia wózka'!$B$5,A297&lt;='Historia wózka'!$B$6),A297+0.8+(5000-ROW())/10000000,0)</f>
        <v/>
      </c>
      <c r="J297" s="63">
        <f>Ustawienia!$B$9&amp;""</f>
        <v/>
      </c>
      <c r="K297" s="63">
        <f>IF(H297="","",COUNTIFS('Zgłoszenia'!$B$5:$B$504,F297,'Zgłoszenia'!$D$5:$D$504,"&gt;="&amp;A297,'Zgłoszenia'!$D$5:$D$504,"&lt;="&amp;(A297+1)))</f>
        <v/>
      </c>
      <c r="L297" s="63">
        <f>IF(OR(H297="",K297=0),"—",IF(ISNUMBER(MATCH(H297,'Zgłoszenia'!$S$5:$S$504,0)),RIGHT("0"&amp;DAY(A297),2)&amp;"."&amp;RIGHT("0"&amp;MONTH(A297),2)&amp;"."&amp;YEAR(A297)&amp;": "&amp;INDEX('Zgłoszenia'!$H$5:$H$504,MATCH(H297,'Zgłoszenia'!$S$5:$S$504,0)),RIGHT("0"&amp;DAY((A297+1)),2)&amp;"."&amp;RIGHT("0"&amp;MONTH((A297+1)),2)&amp;"."&amp;YEAR((A297+1))&amp;": "&amp;INDEX('Zgłoszenia'!$H$5:$H$504,MATCH(F297&amp;"|"&amp;(A297+1),'Zgłoszenia'!$S$5:$S$504,0)))&amp;IF(K297&gt;1," (+"&amp;(K297-1)&amp;")",""))</f>
        <v/>
      </c>
      <c r="M297" s="63" t="n">
        <v>4</v>
      </c>
      <c r="N297" s="2" t="n"/>
      <c r="O297" s="2" t="n"/>
    </row>
    <row r="298">
      <c r="A298" s="62">
        <f>IF('4'!$C$1="","",'4'!$C$1)</f>
        <v/>
      </c>
      <c r="B298" s="63">
        <f>Ustawienia!$A$9&amp;""</f>
        <v/>
      </c>
      <c r="C298" s="63">
        <f>Ustawienia!$A$18&amp;""</f>
        <v/>
      </c>
      <c r="D298" s="63" t="n">
        <v>5</v>
      </c>
      <c r="E298" s="63">
        <f>IF('4'!F36="","",TRIM('4'!F36&amp;""))</f>
        <v/>
      </c>
      <c r="F298" s="63">
        <f>IF('4'!G36="","",'4'!G36)</f>
        <v/>
      </c>
      <c r="G298" s="63">
        <f>'4'!H36&amp;""</f>
        <v/>
      </c>
      <c r="H298" s="63">
        <f>IF(OR(A298="",F298=""),"",F298&amp;"|"&amp;A298)</f>
        <v/>
      </c>
      <c r="I298" s="63">
        <f>IF(AND(H298&lt;&gt;"",OR('Historia wózka'!$B$4="",F298='Historia wózka'!$B$4),A298&gt;='Historia wózka'!$B$5,A298&lt;='Historia wózka'!$B$6),A298+0.8+(5000-ROW())/10000000,0)</f>
        <v/>
      </c>
      <c r="J298" s="63">
        <f>Ustawienia!$B$9&amp;""</f>
        <v/>
      </c>
      <c r="K298" s="63">
        <f>IF(H298="","",COUNTIFS('Zgłoszenia'!$B$5:$B$504,F298,'Zgłoszenia'!$D$5:$D$504,"&gt;="&amp;A298,'Zgłoszenia'!$D$5:$D$504,"&lt;="&amp;(A298+1)))</f>
        <v/>
      </c>
      <c r="L298" s="63">
        <f>IF(OR(H298="",K298=0),"—",IF(ISNUMBER(MATCH(H298,'Zgłoszenia'!$S$5:$S$504,0)),RIGHT("0"&amp;DAY(A298),2)&amp;"."&amp;RIGHT("0"&amp;MONTH(A298),2)&amp;"."&amp;YEAR(A298)&amp;": "&amp;INDEX('Zgłoszenia'!$H$5:$H$504,MATCH(H298,'Zgłoszenia'!$S$5:$S$504,0)),RIGHT("0"&amp;DAY((A298+1)),2)&amp;"."&amp;RIGHT("0"&amp;MONTH((A298+1)),2)&amp;"."&amp;YEAR((A298+1))&amp;": "&amp;INDEX('Zgłoszenia'!$H$5:$H$504,MATCH(F298&amp;"|"&amp;(A298+1),'Zgłoszenia'!$S$5:$S$504,0)))&amp;IF(K298&gt;1," (+"&amp;(K298-1)&amp;")",""))</f>
        <v/>
      </c>
      <c r="M298" s="63" t="n">
        <v>4</v>
      </c>
      <c r="N298" s="2" t="n"/>
      <c r="O298" s="2" t="n"/>
    </row>
    <row r="299">
      <c r="A299" s="62">
        <f>IF('4'!$C$1="","",'4'!$C$1)</f>
        <v/>
      </c>
      <c r="B299" s="63">
        <f>Ustawienia!$A$10&amp;""</f>
        <v/>
      </c>
      <c r="C299" s="63">
        <f>Ustawienia!$A$14&amp;""</f>
        <v/>
      </c>
      <c r="D299" s="63" t="n">
        <v>1</v>
      </c>
      <c r="E299" s="63">
        <f>IF('4'!J6="","",TRIM('4'!J6&amp;""))</f>
        <v/>
      </c>
      <c r="F299" s="63">
        <f>IF('4'!K6="","",'4'!K6)</f>
        <v/>
      </c>
      <c r="G299" s="63">
        <f>'4'!L6&amp;""</f>
        <v/>
      </c>
      <c r="H299" s="63">
        <f>IF(OR(A299="",F299=""),"",F299&amp;"|"&amp;A299)</f>
        <v/>
      </c>
      <c r="I299" s="63">
        <f>IF(AND(H299&lt;&gt;"",OR('Historia wózka'!$B$4="",F299='Historia wózka'!$B$4),A299&gt;='Historia wózka'!$B$5,A299&lt;='Historia wózka'!$B$6),A299+0.7+(5000-ROW())/10000000,0)</f>
        <v/>
      </c>
      <c r="J299" s="63">
        <f>Ustawienia!$B$10&amp;""</f>
        <v/>
      </c>
      <c r="K299" s="63">
        <f>IF(H299="","",COUNTIFS('Zgłoszenia'!$B$5:$B$504,F299,'Zgłoszenia'!$D$5:$D$504,"&gt;="&amp;A299,'Zgłoszenia'!$D$5:$D$504,"&lt;="&amp;(A299+1)))</f>
        <v/>
      </c>
      <c r="L299" s="63">
        <f>IF(OR(H299="",K299=0),"—",IF(ISNUMBER(MATCH(H299,'Zgłoszenia'!$S$5:$S$504,0)),RIGHT("0"&amp;DAY(A299),2)&amp;"."&amp;RIGHT("0"&amp;MONTH(A299),2)&amp;"."&amp;YEAR(A299)&amp;": "&amp;INDEX('Zgłoszenia'!$H$5:$H$504,MATCH(H299,'Zgłoszenia'!$S$5:$S$504,0)),RIGHT("0"&amp;DAY((A299+1)),2)&amp;"."&amp;RIGHT("0"&amp;MONTH((A299+1)),2)&amp;"."&amp;YEAR((A299+1))&amp;": "&amp;INDEX('Zgłoszenia'!$H$5:$H$504,MATCH(F299&amp;"|"&amp;(A299+1),'Zgłoszenia'!$S$5:$S$504,0)))&amp;IF(K299&gt;1," (+"&amp;(K299-1)&amp;")",""))</f>
        <v/>
      </c>
      <c r="M299" s="63" t="n">
        <v>4</v>
      </c>
      <c r="N299" s="2" t="n"/>
      <c r="O299" s="2" t="n"/>
    </row>
    <row r="300">
      <c r="A300" s="62">
        <f>IF('4'!$C$1="","",'4'!$C$1)</f>
        <v/>
      </c>
      <c r="B300" s="63">
        <f>Ustawienia!$A$10&amp;""</f>
        <v/>
      </c>
      <c r="C300" s="63">
        <f>Ustawienia!$A$14&amp;""</f>
        <v/>
      </c>
      <c r="D300" s="63" t="n">
        <v>2</v>
      </c>
      <c r="E300" s="63">
        <f>IF('4'!J7="","",TRIM('4'!J7&amp;""))</f>
        <v/>
      </c>
      <c r="F300" s="63">
        <f>IF('4'!K7="","",'4'!K7)</f>
        <v/>
      </c>
      <c r="G300" s="63">
        <f>'4'!L7&amp;""</f>
        <v/>
      </c>
      <c r="H300" s="63">
        <f>IF(OR(A300="",F300=""),"",F300&amp;"|"&amp;A300)</f>
        <v/>
      </c>
      <c r="I300" s="63">
        <f>IF(AND(H300&lt;&gt;"",OR('Historia wózka'!$B$4="",F300='Historia wózka'!$B$4),A300&gt;='Historia wózka'!$B$5,A300&lt;='Historia wózka'!$B$6),A300+0.7+(5000-ROW())/10000000,0)</f>
        <v/>
      </c>
      <c r="J300" s="63">
        <f>Ustawienia!$B$10&amp;""</f>
        <v/>
      </c>
      <c r="K300" s="63">
        <f>IF(H300="","",COUNTIFS('Zgłoszenia'!$B$5:$B$504,F300,'Zgłoszenia'!$D$5:$D$504,"&gt;="&amp;A300,'Zgłoszenia'!$D$5:$D$504,"&lt;="&amp;(A300+1)))</f>
        <v/>
      </c>
      <c r="L300" s="63">
        <f>IF(OR(H300="",K300=0),"—",IF(ISNUMBER(MATCH(H300,'Zgłoszenia'!$S$5:$S$504,0)),RIGHT("0"&amp;DAY(A300),2)&amp;"."&amp;RIGHT("0"&amp;MONTH(A300),2)&amp;"."&amp;YEAR(A300)&amp;": "&amp;INDEX('Zgłoszenia'!$H$5:$H$504,MATCH(H300,'Zgłoszenia'!$S$5:$S$504,0)),RIGHT("0"&amp;DAY((A300+1)),2)&amp;"."&amp;RIGHT("0"&amp;MONTH((A300+1)),2)&amp;"."&amp;YEAR((A300+1))&amp;": "&amp;INDEX('Zgłoszenia'!$H$5:$H$504,MATCH(F300&amp;"|"&amp;(A300+1),'Zgłoszenia'!$S$5:$S$504,0)))&amp;IF(K300&gt;1," (+"&amp;(K300-1)&amp;")",""))</f>
        <v/>
      </c>
      <c r="M300" s="63" t="n">
        <v>4</v>
      </c>
      <c r="N300" s="2" t="n"/>
      <c r="O300" s="2" t="n"/>
    </row>
    <row r="301">
      <c r="A301" s="62">
        <f>IF('4'!$C$1="","",'4'!$C$1)</f>
        <v/>
      </c>
      <c r="B301" s="63">
        <f>Ustawienia!$A$10&amp;""</f>
        <v/>
      </c>
      <c r="C301" s="63">
        <f>Ustawienia!$A$14&amp;""</f>
        <v/>
      </c>
      <c r="D301" s="63" t="n">
        <v>3</v>
      </c>
      <c r="E301" s="63">
        <f>IF('4'!J8="","",TRIM('4'!J8&amp;""))</f>
        <v/>
      </c>
      <c r="F301" s="63">
        <f>IF('4'!K8="","",'4'!K8)</f>
        <v/>
      </c>
      <c r="G301" s="63">
        <f>'4'!L8&amp;""</f>
        <v/>
      </c>
      <c r="H301" s="63">
        <f>IF(OR(A301="",F301=""),"",F301&amp;"|"&amp;A301)</f>
        <v/>
      </c>
      <c r="I301" s="63">
        <f>IF(AND(H301&lt;&gt;"",OR('Historia wózka'!$B$4="",F301='Historia wózka'!$B$4),A301&gt;='Historia wózka'!$B$5,A301&lt;='Historia wózka'!$B$6),A301+0.7+(5000-ROW())/10000000,0)</f>
        <v/>
      </c>
      <c r="J301" s="63">
        <f>Ustawienia!$B$10&amp;""</f>
        <v/>
      </c>
      <c r="K301" s="63">
        <f>IF(H301="","",COUNTIFS('Zgłoszenia'!$B$5:$B$504,F301,'Zgłoszenia'!$D$5:$D$504,"&gt;="&amp;A301,'Zgłoszenia'!$D$5:$D$504,"&lt;="&amp;(A301+1)))</f>
        <v/>
      </c>
      <c r="L301" s="63">
        <f>IF(OR(H301="",K301=0),"—",IF(ISNUMBER(MATCH(H301,'Zgłoszenia'!$S$5:$S$504,0)),RIGHT("0"&amp;DAY(A301),2)&amp;"."&amp;RIGHT("0"&amp;MONTH(A301),2)&amp;"."&amp;YEAR(A301)&amp;": "&amp;INDEX('Zgłoszenia'!$H$5:$H$504,MATCH(H301,'Zgłoszenia'!$S$5:$S$504,0)),RIGHT("0"&amp;DAY((A301+1)),2)&amp;"."&amp;RIGHT("0"&amp;MONTH((A301+1)),2)&amp;"."&amp;YEAR((A301+1))&amp;": "&amp;INDEX('Zgłoszenia'!$H$5:$H$504,MATCH(F301&amp;"|"&amp;(A301+1),'Zgłoszenia'!$S$5:$S$504,0)))&amp;IF(K301&gt;1," (+"&amp;(K301-1)&amp;")",""))</f>
        <v/>
      </c>
      <c r="M301" s="63" t="n">
        <v>4</v>
      </c>
      <c r="N301" s="2" t="n"/>
      <c r="O301" s="2" t="n"/>
    </row>
    <row r="302">
      <c r="A302" s="62">
        <f>IF('4'!$C$1="","",'4'!$C$1)</f>
        <v/>
      </c>
      <c r="B302" s="63">
        <f>Ustawienia!$A$10&amp;""</f>
        <v/>
      </c>
      <c r="C302" s="63">
        <f>Ustawienia!$A$14&amp;""</f>
        <v/>
      </c>
      <c r="D302" s="63" t="n">
        <v>4</v>
      </c>
      <c r="E302" s="63">
        <f>IF('4'!J9="","",TRIM('4'!J9&amp;""))</f>
        <v/>
      </c>
      <c r="F302" s="63">
        <f>IF('4'!K9="","",'4'!K9)</f>
        <v/>
      </c>
      <c r="G302" s="63">
        <f>'4'!L9&amp;""</f>
        <v/>
      </c>
      <c r="H302" s="63">
        <f>IF(OR(A302="",F302=""),"",F302&amp;"|"&amp;A302)</f>
        <v/>
      </c>
      <c r="I302" s="63">
        <f>IF(AND(H302&lt;&gt;"",OR('Historia wózka'!$B$4="",F302='Historia wózka'!$B$4),A302&gt;='Historia wózka'!$B$5,A302&lt;='Historia wózka'!$B$6),A302+0.7+(5000-ROW())/10000000,0)</f>
        <v/>
      </c>
      <c r="J302" s="63">
        <f>Ustawienia!$B$10&amp;""</f>
        <v/>
      </c>
      <c r="K302" s="63">
        <f>IF(H302="","",COUNTIFS('Zgłoszenia'!$B$5:$B$504,F302,'Zgłoszenia'!$D$5:$D$504,"&gt;="&amp;A302,'Zgłoszenia'!$D$5:$D$504,"&lt;="&amp;(A302+1)))</f>
        <v/>
      </c>
      <c r="L302" s="63">
        <f>IF(OR(H302="",K302=0),"—",IF(ISNUMBER(MATCH(H302,'Zgłoszenia'!$S$5:$S$504,0)),RIGHT("0"&amp;DAY(A302),2)&amp;"."&amp;RIGHT("0"&amp;MONTH(A302),2)&amp;"."&amp;YEAR(A302)&amp;": "&amp;INDEX('Zgłoszenia'!$H$5:$H$504,MATCH(H302,'Zgłoszenia'!$S$5:$S$504,0)),RIGHT("0"&amp;DAY((A302+1)),2)&amp;"."&amp;RIGHT("0"&amp;MONTH((A302+1)),2)&amp;"."&amp;YEAR((A302+1))&amp;": "&amp;INDEX('Zgłoszenia'!$H$5:$H$504,MATCH(F302&amp;"|"&amp;(A302+1),'Zgłoszenia'!$S$5:$S$504,0)))&amp;IF(K302&gt;1," (+"&amp;(K302-1)&amp;")",""))</f>
        <v/>
      </c>
      <c r="M302" s="63" t="n">
        <v>4</v>
      </c>
      <c r="N302" s="2" t="n"/>
      <c r="O302" s="2" t="n"/>
    </row>
    <row r="303">
      <c r="A303" s="62">
        <f>IF('4'!$C$1="","",'4'!$C$1)</f>
        <v/>
      </c>
      <c r="B303" s="63">
        <f>Ustawienia!$A$10&amp;""</f>
        <v/>
      </c>
      <c r="C303" s="63">
        <f>Ustawienia!$A$14&amp;""</f>
        <v/>
      </c>
      <c r="D303" s="63" t="n">
        <v>5</v>
      </c>
      <c r="E303" s="63">
        <f>IF('4'!J10="","",TRIM('4'!J10&amp;""))</f>
        <v/>
      </c>
      <c r="F303" s="63">
        <f>IF('4'!K10="","",'4'!K10)</f>
        <v/>
      </c>
      <c r="G303" s="63">
        <f>'4'!L10&amp;""</f>
        <v/>
      </c>
      <c r="H303" s="63">
        <f>IF(OR(A303="",F303=""),"",F303&amp;"|"&amp;A303)</f>
        <v/>
      </c>
      <c r="I303" s="63">
        <f>IF(AND(H303&lt;&gt;"",OR('Historia wózka'!$B$4="",F303='Historia wózka'!$B$4),A303&gt;='Historia wózka'!$B$5,A303&lt;='Historia wózka'!$B$6),A303+0.7+(5000-ROW())/10000000,0)</f>
        <v/>
      </c>
      <c r="J303" s="63">
        <f>Ustawienia!$B$10&amp;""</f>
        <v/>
      </c>
      <c r="K303" s="63">
        <f>IF(H303="","",COUNTIFS('Zgłoszenia'!$B$5:$B$504,F303,'Zgłoszenia'!$D$5:$D$504,"&gt;="&amp;A303,'Zgłoszenia'!$D$5:$D$504,"&lt;="&amp;(A303+1)))</f>
        <v/>
      </c>
      <c r="L303" s="63">
        <f>IF(OR(H303="",K303=0),"—",IF(ISNUMBER(MATCH(H303,'Zgłoszenia'!$S$5:$S$504,0)),RIGHT("0"&amp;DAY(A303),2)&amp;"."&amp;RIGHT("0"&amp;MONTH(A303),2)&amp;"."&amp;YEAR(A303)&amp;": "&amp;INDEX('Zgłoszenia'!$H$5:$H$504,MATCH(H303,'Zgłoszenia'!$S$5:$S$504,0)),RIGHT("0"&amp;DAY((A303+1)),2)&amp;"."&amp;RIGHT("0"&amp;MONTH((A303+1)),2)&amp;"."&amp;YEAR((A303+1))&amp;": "&amp;INDEX('Zgłoszenia'!$H$5:$H$504,MATCH(F303&amp;"|"&amp;(A303+1),'Zgłoszenia'!$S$5:$S$504,0)))&amp;IF(K303&gt;1," (+"&amp;(K303-1)&amp;")",""))</f>
        <v/>
      </c>
      <c r="M303" s="63" t="n">
        <v>4</v>
      </c>
      <c r="N303" s="2" t="n"/>
      <c r="O303" s="2" t="n"/>
    </row>
    <row r="304">
      <c r="A304" s="62">
        <f>IF('4'!$C$1="","",'4'!$C$1)</f>
        <v/>
      </c>
      <c r="B304" s="63">
        <f>Ustawienia!$A$10&amp;""</f>
        <v/>
      </c>
      <c r="C304" s="63">
        <f>Ustawienia!$A$14&amp;""</f>
        <v/>
      </c>
      <c r="D304" s="63" t="n">
        <v>6</v>
      </c>
      <c r="E304" s="63">
        <f>IF('4'!J11="","",TRIM('4'!J11&amp;""))</f>
        <v/>
      </c>
      <c r="F304" s="63">
        <f>IF('4'!K11="","",'4'!K11)</f>
        <v/>
      </c>
      <c r="G304" s="63">
        <f>'4'!L11&amp;""</f>
        <v/>
      </c>
      <c r="H304" s="63">
        <f>IF(OR(A304="",F304=""),"",F304&amp;"|"&amp;A304)</f>
        <v/>
      </c>
      <c r="I304" s="63">
        <f>IF(AND(H304&lt;&gt;"",OR('Historia wózka'!$B$4="",F304='Historia wózka'!$B$4),A304&gt;='Historia wózka'!$B$5,A304&lt;='Historia wózka'!$B$6),A304+0.7+(5000-ROW())/10000000,0)</f>
        <v/>
      </c>
      <c r="J304" s="63">
        <f>Ustawienia!$B$10&amp;""</f>
        <v/>
      </c>
      <c r="K304" s="63">
        <f>IF(H304="","",COUNTIFS('Zgłoszenia'!$B$5:$B$504,F304,'Zgłoszenia'!$D$5:$D$504,"&gt;="&amp;A304,'Zgłoszenia'!$D$5:$D$504,"&lt;="&amp;(A304+1)))</f>
        <v/>
      </c>
      <c r="L304" s="63">
        <f>IF(OR(H304="",K304=0),"—",IF(ISNUMBER(MATCH(H304,'Zgłoszenia'!$S$5:$S$504,0)),RIGHT("0"&amp;DAY(A304),2)&amp;"."&amp;RIGHT("0"&amp;MONTH(A304),2)&amp;"."&amp;YEAR(A304)&amp;": "&amp;INDEX('Zgłoszenia'!$H$5:$H$504,MATCH(H304,'Zgłoszenia'!$S$5:$S$504,0)),RIGHT("0"&amp;DAY((A304+1)),2)&amp;"."&amp;RIGHT("0"&amp;MONTH((A304+1)),2)&amp;"."&amp;YEAR((A304+1))&amp;": "&amp;INDEX('Zgłoszenia'!$H$5:$H$504,MATCH(F304&amp;"|"&amp;(A304+1),'Zgłoszenia'!$S$5:$S$504,0)))&amp;IF(K304&gt;1," (+"&amp;(K304-1)&amp;")",""))</f>
        <v/>
      </c>
      <c r="M304" s="63" t="n">
        <v>4</v>
      </c>
      <c r="N304" s="2" t="n"/>
      <c r="O304" s="2" t="n"/>
    </row>
    <row r="305">
      <c r="A305" s="62">
        <f>IF('4'!$C$1="","",'4'!$C$1)</f>
        <v/>
      </c>
      <c r="B305" s="63">
        <f>Ustawienia!$A$10&amp;""</f>
        <v/>
      </c>
      <c r="C305" s="63">
        <f>Ustawienia!$A$15&amp;""</f>
        <v/>
      </c>
      <c r="D305" s="63" t="n">
        <v>1</v>
      </c>
      <c r="E305" s="63">
        <f>IF('4'!J13="","",TRIM('4'!J13&amp;""))</f>
        <v/>
      </c>
      <c r="F305" s="63">
        <f>IF('4'!K13="","",'4'!K13)</f>
        <v/>
      </c>
      <c r="G305" s="63">
        <f>'4'!L13&amp;""</f>
        <v/>
      </c>
      <c r="H305" s="63">
        <f>IF(OR(A305="",F305=""),"",F305&amp;"|"&amp;A305)</f>
        <v/>
      </c>
      <c r="I305" s="63">
        <f>IF(AND(H305&lt;&gt;"",OR('Historia wózka'!$B$4="",F305='Historia wózka'!$B$4),A305&gt;='Historia wózka'!$B$5,A305&lt;='Historia wózka'!$B$6),A305+0.7+(5000-ROW())/10000000,0)</f>
        <v/>
      </c>
      <c r="J305" s="63">
        <f>Ustawienia!$B$10&amp;""</f>
        <v/>
      </c>
      <c r="K305" s="63">
        <f>IF(H305="","",COUNTIFS('Zgłoszenia'!$B$5:$B$504,F305,'Zgłoszenia'!$D$5:$D$504,"&gt;="&amp;A305,'Zgłoszenia'!$D$5:$D$504,"&lt;="&amp;(A305+1)))</f>
        <v/>
      </c>
      <c r="L305" s="63">
        <f>IF(OR(H305="",K305=0),"—",IF(ISNUMBER(MATCH(H305,'Zgłoszenia'!$S$5:$S$504,0)),RIGHT("0"&amp;DAY(A305),2)&amp;"."&amp;RIGHT("0"&amp;MONTH(A305),2)&amp;"."&amp;YEAR(A305)&amp;": "&amp;INDEX('Zgłoszenia'!$H$5:$H$504,MATCH(H305,'Zgłoszenia'!$S$5:$S$504,0)),RIGHT("0"&amp;DAY((A305+1)),2)&amp;"."&amp;RIGHT("0"&amp;MONTH((A305+1)),2)&amp;"."&amp;YEAR((A305+1))&amp;": "&amp;INDEX('Zgłoszenia'!$H$5:$H$504,MATCH(F305&amp;"|"&amp;(A305+1),'Zgłoszenia'!$S$5:$S$504,0)))&amp;IF(K305&gt;1," (+"&amp;(K305-1)&amp;")",""))</f>
        <v/>
      </c>
      <c r="M305" s="63" t="n">
        <v>4</v>
      </c>
      <c r="N305" s="2" t="n"/>
      <c r="O305" s="2" t="n"/>
    </row>
    <row r="306">
      <c r="A306" s="62">
        <f>IF('4'!$C$1="","",'4'!$C$1)</f>
        <v/>
      </c>
      <c r="B306" s="63">
        <f>Ustawienia!$A$10&amp;""</f>
        <v/>
      </c>
      <c r="C306" s="63">
        <f>Ustawienia!$A$15&amp;""</f>
        <v/>
      </c>
      <c r="D306" s="63" t="n">
        <v>2</v>
      </c>
      <c r="E306" s="63">
        <f>IF('4'!J14="","",TRIM('4'!J14&amp;""))</f>
        <v/>
      </c>
      <c r="F306" s="63">
        <f>IF('4'!K14="","",'4'!K14)</f>
        <v/>
      </c>
      <c r="G306" s="63">
        <f>'4'!L14&amp;""</f>
        <v/>
      </c>
      <c r="H306" s="63">
        <f>IF(OR(A306="",F306=""),"",F306&amp;"|"&amp;A306)</f>
        <v/>
      </c>
      <c r="I306" s="63">
        <f>IF(AND(H306&lt;&gt;"",OR('Historia wózka'!$B$4="",F306='Historia wózka'!$B$4),A306&gt;='Historia wózka'!$B$5,A306&lt;='Historia wózka'!$B$6),A306+0.7+(5000-ROW())/10000000,0)</f>
        <v/>
      </c>
      <c r="J306" s="63">
        <f>Ustawienia!$B$10&amp;""</f>
        <v/>
      </c>
      <c r="K306" s="63">
        <f>IF(H306="","",COUNTIFS('Zgłoszenia'!$B$5:$B$504,F306,'Zgłoszenia'!$D$5:$D$504,"&gt;="&amp;A306,'Zgłoszenia'!$D$5:$D$504,"&lt;="&amp;(A306+1)))</f>
        <v/>
      </c>
      <c r="L306" s="63">
        <f>IF(OR(H306="",K306=0),"—",IF(ISNUMBER(MATCH(H306,'Zgłoszenia'!$S$5:$S$504,0)),RIGHT("0"&amp;DAY(A306),2)&amp;"."&amp;RIGHT("0"&amp;MONTH(A306),2)&amp;"."&amp;YEAR(A306)&amp;": "&amp;INDEX('Zgłoszenia'!$H$5:$H$504,MATCH(H306,'Zgłoszenia'!$S$5:$S$504,0)),RIGHT("0"&amp;DAY((A306+1)),2)&amp;"."&amp;RIGHT("0"&amp;MONTH((A306+1)),2)&amp;"."&amp;YEAR((A306+1))&amp;": "&amp;INDEX('Zgłoszenia'!$H$5:$H$504,MATCH(F306&amp;"|"&amp;(A306+1),'Zgłoszenia'!$S$5:$S$504,0)))&amp;IF(K306&gt;1," (+"&amp;(K306-1)&amp;")",""))</f>
        <v/>
      </c>
      <c r="M306" s="63" t="n">
        <v>4</v>
      </c>
      <c r="N306" s="2" t="n"/>
      <c r="O306" s="2" t="n"/>
    </row>
    <row r="307">
      <c r="A307" s="62">
        <f>IF('4'!$C$1="","",'4'!$C$1)</f>
        <v/>
      </c>
      <c r="B307" s="63">
        <f>Ustawienia!$A$10&amp;""</f>
        <v/>
      </c>
      <c r="C307" s="63">
        <f>Ustawienia!$A$15&amp;""</f>
        <v/>
      </c>
      <c r="D307" s="63" t="n">
        <v>3</v>
      </c>
      <c r="E307" s="63">
        <f>IF('4'!J15="","",TRIM('4'!J15&amp;""))</f>
        <v/>
      </c>
      <c r="F307" s="63">
        <f>IF('4'!K15="","",'4'!K15)</f>
        <v/>
      </c>
      <c r="G307" s="63">
        <f>'4'!L15&amp;""</f>
        <v/>
      </c>
      <c r="H307" s="63">
        <f>IF(OR(A307="",F307=""),"",F307&amp;"|"&amp;A307)</f>
        <v/>
      </c>
      <c r="I307" s="63">
        <f>IF(AND(H307&lt;&gt;"",OR('Historia wózka'!$B$4="",F307='Historia wózka'!$B$4),A307&gt;='Historia wózka'!$B$5,A307&lt;='Historia wózka'!$B$6),A307+0.7+(5000-ROW())/10000000,0)</f>
        <v/>
      </c>
      <c r="J307" s="63">
        <f>Ustawienia!$B$10&amp;""</f>
        <v/>
      </c>
      <c r="K307" s="63">
        <f>IF(H307="","",COUNTIFS('Zgłoszenia'!$B$5:$B$504,F307,'Zgłoszenia'!$D$5:$D$504,"&gt;="&amp;A307,'Zgłoszenia'!$D$5:$D$504,"&lt;="&amp;(A307+1)))</f>
        <v/>
      </c>
      <c r="L307" s="63">
        <f>IF(OR(H307="",K307=0),"—",IF(ISNUMBER(MATCH(H307,'Zgłoszenia'!$S$5:$S$504,0)),RIGHT("0"&amp;DAY(A307),2)&amp;"."&amp;RIGHT("0"&amp;MONTH(A307),2)&amp;"."&amp;YEAR(A307)&amp;": "&amp;INDEX('Zgłoszenia'!$H$5:$H$504,MATCH(H307,'Zgłoszenia'!$S$5:$S$504,0)),RIGHT("0"&amp;DAY((A307+1)),2)&amp;"."&amp;RIGHT("0"&amp;MONTH((A307+1)),2)&amp;"."&amp;YEAR((A307+1))&amp;": "&amp;INDEX('Zgłoszenia'!$H$5:$H$504,MATCH(F307&amp;"|"&amp;(A307+1),'Zgłoszenia'!$S$5:$S$504,0)))&amp;IF(K307&gt;1," (+"&amp;(K307-1)&amp;")",""))</f>
        <v/>
      </c>
      <c r="M307" s="63" t="n">
        <v>4</v>
      </c>
      <c r="N307" s="2" t="n"/>
      <c r="O307" s="2" t="n"/>
    </row>
    <row r="308">
      <c r="A308" s="62">
        <f>IF('4'!$C$1="","",'4'!$C$1)</f>
        <v/>
      </c>
      <c r="B308" s="63">
        <f>Ustawienia!$A$10&amp;""</f>
        <v/>
      </c>
      <c r="C308" s="63">
        <f>Ustawienia!$A$15&amp;""</f>
        <v/>
      </c>
      <c r="D308" s="63" t="n">
        <v>4</v>
      </c>
      <c r="E308" s="63">
        <f>IF('4'!J16="","",TRIM('4'!J16&amp;""))</f>
        <v/>
      </c>
      <c r="F308" s="63">
        <f>IF('4'!K16="","",'4'!K16)</f>
        <v/>
      </c>
      <c r="G308" s="63">
        <f>'4'!L16&amp;""</f>
        <v/>
      </c>
      <c r="H308" s="63">
        <f>IF(OR(A308="",F308=""),"",F308&amp;"|"&amp;A308)</f>
        <v/>
      </c>
      <c r="I308" s="63">
        <f>IF(AND(H308&lt;&gt;"",OR('Historia wózka'!$B$4="",F308='Historia wózka'!$B$4),A308&gt;='Historia wózka'!$B$5,A308&lt;='Historia wózka'!$B$6),A308+0.7+(5000-ROW())/10000000,0)</f>
        <v/>
      </c>
      <c r="J308" s="63">
        <f>Ustawienia!$B$10&amp;""</f>
        <v/>
      </c>
      <c r="K308" s="63">
        <f>IF(H308="","",COUNTIFS('Zgłoszenia'!$B$5:$B$504,F308,'Zgłoszenia'!$D$5:$D$504,"&gt;="&amp;A308,'Zgłoszenia'!$D$5:$D$504,"&lt;="&amp;(A308+1)))</f>
        <v/>
      </c>
      <c r="L308" s="63">
        <f>IF(OR(H308="",K308=0),"—",IF(ISNUMBER(MATCH(H308,'Zgłoszenia'!$S$5:$S$504,0)),RIGHT("0"&amp;DAY(A308),2)&amp;"."&amp;RIGHT("0"&amp;MONTH(A308),2)&amp;"."&amp;YEAR(A308)&amp;": "&amp;INDEX('Zgłoszenia'!$H$5:$H$504,MATCH(H308,'Zgłoszenia'!$S$5:$S$504,0)),RIGHT("0"&amp;DAY((A308+1)),2)&amp;"."&amp;RIGHT("0"&amp;MONTH((A308+1)),2)&amp;"."&amp;YEAR((A308+1))&amp;": "&amp;INDEX('Zgłoszenia'!$H$5:$H$504,MATCH(F308&amp;"|"&amp;(A308+1),'Zgłoszenia'!$S$5:$S$504,0)))&amp;IF(K308&gt;1," (+"&amp;(K308-1)&amp;")",""))</f>
        <v/>
      </c>
      <c r="M308" s="63" t="n">
        <v>4</v>
      </c>
      <c r="N308" s="2" t="n"/>
      <c r="O308" s="2" t="n"/>
    </row>
    <row r="309">
      <c r="A309" s="62">
        <f>IF('4'!$C$1="","",'4'!$C$1)</f>
        <v/>
      </c>
      <c r="B309" s="63">
        <f>Ustawienia!$A$10&amp;""</f>
        <v/>
      </c>
      <c r="C309" s="63">
        <f>Ustawienia!$A$15&amp;""</f>
        <v/>
      </c>
      <c r="D309" s="63" t="n">
        <v>5</v>
      </c>
      <c r="E309" s="63">
        <f>IF('4'!J17="","",TRIM('4'!J17&amp;""))</f>
        <v/>
      </c>
      <c r="F309" s="63">
        <f>IF('4'!K17="","",'4'!K17)</f>
        <v/>
      </c>
      <c r="G309" s="63">
        <f>'4'!L17&amp;""</f>
        <v/>
      </c>
      <c r="H309" s="63">
        <f>IF(OR(A309="",F309=""),"",F309&amp;"|"&amp;A309)</f>
        <v/>
      </c>
      <c r="I309" s="63">
        <f>IF(AND(H309&lt;&gt;"",OR('Historia wózka'!$B$4="",F309='Historia wózka'!$B$4),A309&gt;='Historia wózka'!$B$5,A309&lt;='Historia wózka'!$B$6),A309+0.7+(5000-ROW())/10000000,0)</f>
        <v/>
      </c>
      <c r="J309" s="63">
        <f>Ustawienia!$B$10&amp;""</f>
        <v/>
      </c>
      <c r="K309" s="63">
        <f>IF(H309="","",COUNTIFS('Zgłoszenia'!$B$5:$B$504,F309,'Zgłoszenia'!$D$5:$D$504,"&gt;="&amp;A309,'Zgłoszenia'!$D$5:$D$504,"&lt;="&amp;(A309+1)))</f>
        <v/>
      </c>
      <c r="L309" s="63">
        <f>IF(OR(H309="",K309=0),"—",IF(ISNUMBER(MATCH(H309,'Zgłoszenia'!$S$5:$S$504,0)),RIGHT("0"&amp;DAY(A309),2)&amp;"."&amp;RIGHT("0"&amp;MONTH(A309),2)&amp;"."&amp;YEAR(A309)&amp;": "&amp;INDEX('Zgłoszenia'!$H$5:$H$504,MATCH(H309,'Zgłoszenia'!$S$5:$S$504,0)),RIGHT("0"&amp;DAY((A309+1)),2)&amp;"."&amp;RIGHT("0"&amp;MONTH((A309+1)),2)&amp;"."&amp;YEAR((A309+1))&amp;": "&amp;INDEX('Zgłoszenia'!$H$5:$H$504,MATCH(F309&amp;"|"&amp;(A309+1),'Zgłoszenia'!$S$5:$S$504,0)))&amp;IF(K309&gt;1," (+"&amp;(K309-1)&amp;")",""))</f>
        <v/>
      </c>
      <c r="M309" s="63" t="n">
        <v>4</v>
      </c>
      <c r="N309" s="2" t="n"/>
      <c r="O309" s="2" t="n"/>
    </row>
    <row r="310">
      <c r="A310" s="62">
        <f>IF('4'!$C$1="","",'4'!$C$1)</f>
        <v/>
      </c>
      <c r="B310" s="63">
        <f>Ustawienia!$A$10&amp;""</f>
        <v/>
      </c>
      <c r="C310" s="63">
        <f>Ustawienia!$A$15&amp;""</f>
        <v/>
      </c>
      <c r="D310" s="63" t="n">
        <v>6</v>
      </c>
      <c r="E310" s="63">
        <f>IF('4'!J18="","",TRIM('4'!J18&amp;""))</f>
        <v/>
      </c>
      <c r="F310" s="63">
        <f>IF('4'!K18="","",'4'!K18)</f>
        <v/>
      </c>
      <c r="G310" s="63">
        <f>'4'!L18&amp;""</f>
        <v/>
      </c>
      <c r="H310" s="63">
        <f>IF(OR(A310="",F310=""),"",F310&amp;"|"&amp;A310)</f>
        <v/>
      </c>
      <c r="I310" s="63">
        <f>IF(AND(H310&lt;&gt;"",OR('Historia wózka'!$B$4="",F310='Historia wózka'!$B$4),A310&gt;='Historia wózka'!$B$5,A310&lt;='Historia wózka'!$B$6),A310+0.7+(5000-ROW())/10000000,0)</f>
        <v/>
      </c>
      <c r="J310" s="63">
        <f>Ustawienia!$B$10&amp;""</f>
        <v/>
      </c>
      <c r="K310" s="63">
        <f>IF(H310="","",COUNTIFS('Zgłoszenia'!$B$5:$B$504,F310,'Zgłoszenia'!$D$5:$D$504,"&gt;="&amp;A310,'Zgłoszenia'!$D$5:$D$504,"&lt;="&amp;(A310+1)))</f>
        <v/>
      </c>
      <c r="L310" s="63">
        <f>IF(OR(H310="",K310=0),"—",IF(ISNUMBER(MATCH(H310,'Zgłoszenia'!$S$5:$S$504,0)),RIGHT("0"&amp;DAY(A310),2)&amp;"."&amp;RIGHT("0"&amp;MONTH(A310),2)&amp;"."&amp;YEAR(A310)&amp;": "&amp;INDEX('Zgłoszenia'!$H$5:$H$504,MATCH(H310,'Zgłoszenia'!$S$5:$S$504,0)),RIGHT("0"&amp;DAY((A310+1)),2)&amp;"."&amp;RIGHT("0"&amp;MONTH((A310+1)),2)&amp;"."&amp;YEAR((A310+1))&amp;": "&amp;INDEX('Zgłoszenia'!$H$5:$H$504,MATCH(F310&amp;"|"&amp;(A310+1),'Zgłoszenia'!$S$5:$S$504,0)))&amp;IF(K310&gt;1," (+"&amp;(K310-1)&amp;")",""))</f>
        <v/>
      </c>
      <c r="M310" s="63" t="n">
        <v>4</v>
      </c>
      <c r="N310" s="2" t="n"/>
      <c r="O310" s="2" t="n"/>
    </row>
    <row r="311">
      <c r="A311" s="62">
        <f>IF('4'!$C$1="","",'4'!$C$1)</f>
        <v/>
      </c>
      <c r="B311" s="63">
        <f>Ustawienia!$A$10&amp;""</f>
        <v/>
      </c>
      <c r="C311" s="63">
        <f>Ustawienia!$A$15&amp;""</f>
        <v/>
      </c>
      <c r="D311" s="63" t="n">
        <v>7</v>
      </c>
      <c r="E311" s="63">
        <f>IF('4'!J19="","",TRIM('4'!J19&amp;""))</f>
        <v/>
      </c>
      <c r="F311" s="63">
        <f>IF('4'!K19="","",'4'!K19)</f>
        <v/>
      </c>
      <c r="G311" s="63">
        <f>'4'!L19&amp;""</f>
        <v/>
      </c>
      <c r="H311" s="63">
        <f>IF(OR(A311="",F311=""),"",F311&amp;"|"&amp;A311)</f>
        <v/>
      </c>
      <c r="I311" s="63">
        <f>IF(AND(H311&lt;&gt;"",OR('Historia wózka'!$B$4="",F311='Historia wózka'!$B$4),A311&gt;='Historia wózka'!$B$5,A311&lt;='Historia wózka'!$B$6),A311+0.7+(5000-ROW())/10000000,0)</f>
        <v/>
      </c>
      <c r="J311" s="63">
        <f>Ustawienia!$B$10&amp;""</f>
        <v/>
      </c>
      <c r="K311" s="63">
        <f>IF(H311="","",COUNTIFS('Zgłoszenia'!$B$5:$B$504,F311,'Zgłoszenia'!$D$5:$D$504,"&gt;="&amp;A311,'Zgłoszenia'!$D$5:$D$504,"&lt;="&amp;(A311+1)))</f>
        <v/>
      </c>
      <c r="L311" s="63">
        <f>IF(OR(H311="",K311=0),"—",IF(ISNUMBER(MATCH(H311,'Zgłoszenia'!$S$5:$S$504,0)),RIGHT("0"&amp;DAY(A311),2)&amp;"."&amp;RIGHT("0"&amp;MONTH(A311),2)&amp;"."&amp;YEAR(A311)&amp;": "&amp;INDEX('Zgłoszenia'!$H$5:$H$504,MATCH(H311,'Zgłoszenia'!$S$5:$S$504,0)),RIGHT("0"&amp;DAY((A311+1)),2)&amp;"."&amp;RIGHT("0"&amp;MONTH((A311+1)),2)&amp;"."&amp;YEAR((A311+1))&amp;": "&amp;INDEX('Zgłoszenia'!$H$5:$H$504,MATCH(F311&amp;"|"&amp;(A311+1),'Zgłoszenia'!$S$5:$S$504,0)))&amp;IF(K311&gt;1," (+"&amp;(K311-1)&amp;")",""))</f>
        <v/>
      </c>
      <c r="M311" s="63" t="n">
        <v>4</v>
      </c>
      <c r="N311" s="2" t="n"/>
      <c r="O311" s="2" t="n"/>
    </row>
    <row r="312">
      <c r="A312" s="62">
        <f>IF('4'!$C$1="","",'4'!$C$1)</f>
        <v/>
      </c>
      <c r="B312" s="63">
        <f>Ustawienia!$A$10&amp;""</f>
        <v/>
      </c>
      <c r="C312" s="63">
        <f>Ustawienia!$A$15&amp;""</f>
        <v/>
      </c>
      <c r="D312" s="63" t="n">
        <v>8</v>
      </c>
      <c r="E312" s="63">
        <f>IF('4'!J20="","",TRIM('4'!J20&amp;""))</f>
        <v/>
      </c>
      <c r="F312" s="63">
        <f>IF('4'!K20="","",'4'!K20)</f>
        <v/>
      </c>
      <c r="G312" s="63">
        <f>'4'!L20&amp;""</f>
        <v/>
      </c>
      <c r="H312" s="63">
        <f>IF(OR(A312="",F312=""),"",F312&amp;"|"&amp;A312)</f>
        <v/>
      </c>
      <c r="I312" s="63">
        <f>IF(AND(H312&lt;&gt;"",OR('Historia wózka'!$B$4="",F312='Historia wózka'!$B$4),A312&gt;='Historia wózka'!$B$5,A312&lt;='Historia wózka'!$B$6),A312+0.7+(5000-ROW())/10000000,0)</f>
        <v/>
      </c>
      <c r="J312" s="63">
        <f>Ustawienia!$B$10&amp;""</f>
        <v/>
      </c>
      <c r="K312" s="63">
        <f>IF(H312="","",COUNTIFS('Zgłoszenia'!$B$5:$B$504,F312,'Zgłoszenia'!$D$5:$D$504,"&gt;="&amp;A312,'Zgłoszenia'!$D$5:$D$504,"&lt;="&amp;(A312+1)))</f>
        <v/>
      </c>
      <c r="L312" s="63">
        <f>IF(OR(H312="",K312=0),"—",IF(ISNUMBER(MATCH(H312,'Zgłoszenia'!$S$5:$S$504,0)),RIGHT("0"&amp;DAY(A312),2)&amp;"."&amp;RIGHT("0"&amp;MONTH(A312),2)&amp;"."&amp;YEAR(A312)&amp;": "&amp;INDEX('Zgłoszenia'!$H$5:$H$504,MATCH(H312,'Zgłoszenia'!$S$5:$S$504,0)),RIGHT("0"&amp;DAY((A312+1)),2)&amp;"."&amp;RIGHT("0"&amp;MONTH((A312+1)),2)&amp;"."&amp;YEAR((A312+1))&amp;": "&amp;INDEX('Zgłoszenia'!$H$5:$H$504,MATCH(F312&amp;"|"&amp;(A312+1),'Zgłoszenia'!$S$5:$S$504,0)))&amp;IF(K312&gt;1," (+"&amp;(K312-1)&amp;")",""))</f>
        <v/>
      </c>
      <c r="M312" s="63" t="n">
        <v>4</v>
      </c>
      <c r="N312" s="2" t="n"/>
      <c r="O312" s="2" t="n"/>
    </row>
    <row r="313">
      <c r="A313" s="62">
        <f>IF('4'!$C$1="","",'4'!$C$1)</f>
        <v/>
      </c>
      <c r="B313" s="63">
        <f>Ustawienia!$A$10&amp;""</f>
        <v/>
      </c>
      <c r="C313" s="63">
        <f>Ustawienia!$A$16&amp;""</f>
        <v/>
      </c>
      <c r="D313" s="63" t="n">
        <v>1</v>
      </c>
      <c r="E313" s="63">
        <f>IF('4'!J22="","",TRIM('4'!J22&amp;""))</f>
        <v/>
      </c>
      <c r="F313" s="63">
        <f>IF('4'!K22="","",'4'!K22)</f>
        <v/>
      </c>
      <c r="G313" s="63">
        <f>'4'!L22&amp;""</f>
        <v/>
      </c>
      <c r="H313" s="63">
        <f>IF(OR(A313="",F313=""),"",F313&amp;"|"&amp;A313)</f>
        <v/>
      </c>
      <c r="I313" s="63">
        <f>IF(AND(H313&lt;&gt;"",OR('Historia wózka'!$B$4="",F313='Historia wózka'!$B$4),A313&gt;='Historia wózka'!$B$5,A313&lt;='Historia wózka'!$B$6),A313+0.7+(5000-ROW())/10000000,0)</f>
        <v/>
      </c>
      <c r="J313" s="63">
        <f>Ustawienia!$B$10&amp;""</f>
        <v/>
      </c>
      <c r="K313" s="63">
        <f>IF(H313="","",COUNTIFS('Zgłoszenia'!$B$5:$B$504,F313,'Zgłoszenia'!$D$5:$D$504,"&gt;="&amp;A313,'Zgłoszenia'!$D$5:$D$504,"&lt;="&amp;(A313+1)))</f>
        <v/>
      </c>
      <c r="L313" s="63">
        <f>IF(OR(H313="",K313=0),"—",IF(ISNUMBER(MATCH(H313,'Zgłoszenia'!$S$5:$S$504,0)),RIGHT("0"&amp;DAY(A313),2)&amp;"."&amp;RIGHT("0"&amp;MONTH(A313),2)&amp;"."&amp;YEAR(A313)&amp;": "&amp;INDEX('Zgłoszenia'!$H$5:$H$504,MATCH(H313,'Zgłoszenia'!$S$5:$S$504,0)),RIGHT("0"&amp;DAY((A313+1)),2)&amp;"."&amp;RIGHT("0"&amp;MONTH((A313+1)),2)&amp;"."&amp;YEAR((A313+1))&amp;": "&amp;INDEX('Zgłoszenia'!$H$5:$H$504,MATCH(F313&amp;"|"&amp;(A313+1),'Zgłoszenia'!$S$5:$S$504,0)))&amp;IF(K313&gt;1," (+"&amp;(K313-1)&amp;")",""))</f>
        <v/>
      </c>
      <c r="M313" s="63" t="n">
        <v>4</v>
      </c>
      <c r="N313" s="2" t="n"/>
      <c r="O313" s="2" t="n"/>
    </row>
    <row r="314">
      <c r="A314" s="62">
        <f>IF('4'!$C$1="","",'4'!$C$1)</f>
        <v/>
      </c>
      <c r="B314" s="63">
        <f>Ustawienia!$A$10&amp;""</f>
        <v/>
      </c>
      <c r="C314" s="63">
        <f>Ustawienia!$A$16&amp;""</f>
        <v/>
      </c>
      <c r="D314" s="63" t="n">
        <v>2</v>
      </c>
      <c r="E314" s="63">
        <f>IF('4'!J23="","",TRIM('4'!J23&amp;""))</f>
        <v/>
      </c>
      <c r="F314" s="63">
        <f>IF('4'!K23="","",'4'!K23)</f>
        <v/>
      </c>
      <c r="G314" s="63">
        <f>'4'!L23&amp;""</f>
        <v/>
      </c>
      <c r="H314" s="63">
        <f>IF(OR(A314="",F314=""),"",F314&amp;"|"&amp;A314)</f>
        <v/>
      </c>
      <c r="I314" s="63">
        <f>IF(AND(H314&lt;&gt;"",OR('Historia wózka'!$B$4="",F314='Historia wózka'!$B$4),A314&gt;='Historia wózka'!$B$5,A314&lt;='Historia wózka'!$B$6),A314+0.7+(5000-ROW())/10000000,0)</f>
        <v/>
      </c>
      <c r="J314" s="63">
        <f>Ustawienia!$B$10&amp;""</f>
        <v/>
      </c>
      <c r="K314" s="63">
        <f>IF(H314="","",COUNTIFS('Zgłoszenia'!$B$5:$B$504,F314,'Zgłoszenia'!$D$5:$D$504,"&gt;="&amp;A314,'Zgłoszenia'!$D$5:$D$504,"&lt;="&amp;(A314+1)))</f>
        <v/>
      </c>
      <c r="L314" s="63">
        <f>IF(OR(H314="",K314=0),"—",IF(ISNUMBER(MATCH(H314,'Zgłoszenia'!$S$5:$S$504,0)),RIGHT("0"&amp;DAY(A314),2)&amp;"."&amp;RIGHT("0"&amp;MONTH(A314),2)&amp;"."&amp;YEAR(A314)&amp;": "&amp;INDEX('Zgłoszenia'!$H$5:$H$504,MATCH(H314,'Zgłoszenia'!$S$5:$S$504,0)),RIGHT("0"&amp;DAY((A314+1)),2)&amp;"."&amp;RIGHT("0"&amp;MONTH((A314+1)),2)&amp;"."&amp;YEAR((A314+1))&amp;": "&amp;INDEX('Zgłoszenia'!$H$5:$H$504,MATCH(F314&amp;"|"&amp;(A314+1),'Zgłoszenia'!$S$5:$S$504,0)))&amp;IF(K314&gt;1," (+"&amp;(K314-1)&amp;")",""))</f>
        <v/>
      </c>
      <c r="M314" s="63" t="n">
        <v>4</v>
      </c>
      <c r="N314" s="2" t="n"/>
      <c r="O314" s="2" t="n"/>
    </row>
    <row r="315">
      <c r="A315" s="62">
        <f>IF('4'!$C$1="","",'4'!$C$1)</f>
        <v/>
      </c>
      <c r="B315" s="63">
        <f>Ustawienia!$A$10&amp;""</f>
        <v/>
      </c>
      <c r="C315" s="63">
        <f>Ustawienia!$A$16&amp;""</f>
        <v/>
      </c>
      <c r="D315" s="63" t="n">
        <v>3</v>
      </c>
      <c r="E315" s="63">
        <f>IF('4'!J24="","",TRIM('4'!J24&amp;""))</f>
        <v/>
      </c>
      <c r="F315" s="63">
        <f>IF('4'!K24="","",'4'!K24)</f>
        <v/>
      </c>
      <c r="G315" s="63">
        <f>'4'!L24&amp;""</f>
        <v/>
      </c>
      <c r="H315" s="63">
        <f>IF(OR(A315="",F315=""),"",F315&amp;"|"&amp;A315)</f>
        <v/>
      </c>
      <c r="I315" s="63">
        <f>IF(AND(H315&lt;&gt;"",OR('Historia wózka'!$B$4="",F315='Historia wózka'!$B$4),A315&gt;='Historia wózka'!$B$5,A315&lt;='Historia wózka'!$B$6),A315+0.7+(5000-ROW())/10000000,0)</f>
        <v/>
      </c>
      <c r="J315" s="63">
        <f>Ustawienia!$B$10&amp;""</f>
        <v/>
      </c>
      <c r="K315" s="63">
        <f>IF(H315="","",COUNTIFS('Zgłoszenia'!$B$5:$B$504,F315,'Zgłoszenia'!$D$5:$D$504,"&gt;="&amp;A315,'Zgłoszenia'!$D$5:$D$504,"&lt;="&amp;(A315+1)))</f>
        <v/>
      </c>
      <c r="L315" s="63">
        <f>IF(OR(H315="",K315=0),"—",IF(ISNUMBER(MATCH(H315,'Zgłoszenia'!$S$5:$S$504,0)),RIGHT("0"&amp;DAY(A315),2)&amp;"."&amp;RIGHT("0"&amp;MONTH(A315),2)&amp;"."&amp;YEAR(A315)&amp;": "&amp;INDEX('Zgłoszenia'!$H$5:$H$504,MATCH(H315,'Zgłoszenia'!$S$5:$S$504,0)),RIGHT("0"&amp;DAY((A315+1)),2)&amp;"."&amp;RIGHT("0"&amp;MONTH((A315+1)),2)&amp;"."&amp;YEAR((A315+1))&amp;": "&amp;INDEX('Zgłoszenia'!$H$5:$H$504,MATCH(F315&amp;"|"&amp;(A315+1),'Zgłoszenia'!$S$5:$S$504,0)))&amp;IF(K315&gt;1," (+"&amp;(K315-1)&amp;")",""))</f>
        <v/>
      </c>
      <c r="M315" s="63" t="n">
        <v>4</v>
      </c>
      <c r="N315" s="2" t="n"/>
      <c r="O315" s="2" t="n"/>
    </row>
    <row r="316">
      <c r="A316" s="62">
        <f>IF('4'!$C$1="","",'4'!$C$1)</f>
        <v/>
      </c>
      <c r="B316" s="63">
        <f>Ustawienia!$A$10&amp;""</f>
        <v/>
      </c>
      <c r="C316" s="63">
        <f>Ustawienia!$A$16&amp;""</f>
        <v/>
      </c>
      <c r="D316" s="63" t="n">
        <v>4</v>
      </c>
      <c r="E316" s="63">
        <f>IF('4'!J25="","",TRIM('4'!J25&amp;""))</f>
        <v/>
      </c>
      <c r="F316" s="63">
        <f>IF('4'!K25="","",'4'!K25)</f>
        <v/>
      </c>
      <c r="G316" s="63">
        <f>'4'!L25&amp;""</f>
        <v/>
      </c>
      <c r="H316" s="63">
        <f>IF(OR(A316="",F316=""),"",F316&amp;"|"&amp;A316)</f>
        <v/>
      </c>
      <c r="I316" s="63">
        <f>IF(AND(H316&lt;&gt;"",OR('Historia wózka'!$B$4="",F316='Historia wózka'!$B$4),A316&gt;='Historia wózka'!$B$5,A316&lt;='Historia wózka'!$B$6),A316+0.7+(5000-ROW())/10000000,0)</f>
        <v/>
      </c>
      <c r="J316" s="63">
        <f>Ustawienia!$B$10&amp;""</f>
        <v/>
      </c>
      <c r="K316" s="63">
        <f>IF(H316="","",COUNTIFS('Zgłoszenia'!$B$5:$B$504,F316,'Zgłoszenia'!$D$5:$D$504,"&gt;="&amp;A316,'Zgłoszenia'!$D$5:$D$504,"&lt;="&amp;(A316+1)))</f>
        <v/>
      </c>
      <c r="L316" s="63">
        <f>IF(OR(H316="",K316=0),"—",IF(ISNUMBER(MATCH(H316,'Zgłoszenia'!$S$5:$S$504,0)),RIGHT("0"&amp;DAY(A316),2)&amp;"."&amp;RIGHT("0"&amp;MONTH(A316),2)&amp;"."&amp;YEAR(A316)&amp;": "&amp;INDEX('Zgłoszenia'!$H$5:$H$504,MATCH(H316,'Zgłoszenia'!$S$5:$S$504,0)),RIGHT("0"&amp;DAY((A316+1)),2)&amp;"."&amp;RIGHT("0"&amp;MONTH((A316+1)),2)&amp;"."&amp;YEAR((A316+1))&amp;": "&amp;INDEX('Zgłoszenia'!$H$5:$H$504,MATCH(F316&amp;"|"&amp;(A316+1),'Zgłoszenia'!$S$5:$S$504,0)))&amp;IF(K316&gt;1," (+"&amp;(K316-1)&amp;")",""))</f>
        <v/>
      </c>
      <c r="M316" s="63" t="n">
        <v>4</v>
      </c>
      <c r="N316" s="2" t="n"/>
      <c r="O316" s="2" t="n"/>
    </row>
    <row r="317">
      <c r="A317" s="62">
        <f>IF('4'!$C$1="","",'4'!$C$1)</f>
        <v/>
      </c>
      <c r="B317" s="63">
        <f>Ustawienia!$A$10&amp;""</f>
        <v/>
      </c>
      <c r="C317" s="63">
        <f>Ustawienia!$A$17&amp;""</f>
        <v/>
      </c>
      <c r="D317" s="63" t="n">
        <v>1</v>
      </c>
      <c r="E317" s="63">
        <f>IF('4'!J27="","",TRIM('4'!J27&amp;""))</f>
        <v/>
      </c>
      <c r="F317" s="63">
        <f>IF('4'!K27="","",'4'!K27)</f>
        <v/>
      </c>
      <c r="G317" s="63">
        <f>'4'!L27&amp;""</f>
        <v/>
      </c>
      <c r="H317" s="63">
        <f>IF(OR(A317="",F317=""),"",F317&amp;"|"&amp;A317)</f>
        <v/>
      </c>
      <c r="I317" s="63">
        <f>IF(AND(H317&lt;&gt;"",OR('Historia wózka'!$B$4="",F317='Historia wózka'!$B$4),A317&gt;='Historia wózka'!$B$5,A317&lt;='Historia wózka'!$B$6),A317+0.7+(5000-ROW())/10000000,0)</f>
        <v/>
      </c>
      <c r="J317" s="63">
        <f>Ustawienia!$B$10&amp;""</f>
        <v/>
      </c>
      <c r="K317" s="63">
        <f>IF(H317="","",COUNTIFS('Zgłoszenia'!$B$5:$B$504,F317,'Zgłoszenia'!$D$5:$D$504,"&gt;="&amp;A317,'Zgłoszenia'!$D$5:$D$504,"&lt;="&amp;(A317+1)))</f>
        <v/>
      </c>
      <c r="L317" s="63">
        <f>IF(OR(H317="",K317=0),"—",IF(ISNUMBER(MATCH(H317,'Zgłoszenia'!$S$5:$S$504,0)),RIGHT("0"&amp;DAY(A317),2)&amp;"."&amp;RIGHT("0"&amp;MONTH(A317),2)&amp;"."&amp;YEAR(A317)&amp;": "&amp;INDEX('Zgłoszenia'!$H$5:$H$504,MATCH(H317,'Zgłoszenia'!$S$5:$S$504,0)),RIGHT("0"&amp;DAY((A317+1)),2)&amp;"."&amp;RIGHT("0"&amp;MONTH((A317+1)),2)&amp;"."&amp;YEAR((A317+1))&amp;": "&amp;INDEX('Zgłoszenia'!$H$5:$H$504,MATCH(F317&amp;"|"&amp;(A317+1),'Zgłoszenia'!$S$5:$S$504,0)))&amp;IF(K317&gt;1," (+"&amp;(K317-1)&amp;")",""))</f>
        <v/>
      </c>
      <c r="M317" s="63" t="n">
        <v>4</v>
      </c>
      <c r="N317" s="2" t="n"/>
      <c r="O317" s="2" t="n"/>
    </row>
    <row r="318">
      <c r="A318" s="62">
        <f>IF('4'!$C$1="","",'4'!$C$1)</f>
        <v/>
      </c>
      <c r="B318" s="63">
        <f>Ustawienia!$A$10&amp;""</f>
        <v/>
      </c>
      <c r="C318" s="63">
        <f>Ustawienia!$A$17&amp;""</f>
        <v/>
      </c>
      <c r="D318" s="63" t="n">
        <v>2</v>
      </c>
      <c r="E318" s="63">
        <f>IF('4'!J28="","",TRIM('4'!J28&amp;""))</f>
        <v/>
      </c>
      <c r="F318" s="63">
        <f>IF('4'!K28="","",'4'!K28)</f>
        <v/>
      </c>
      <c r="G318" s="63">
        <f>'4'!L28&amp;""</f>
        <v/>
      </c>
      <c r="H318" s="63">
        <f>IF(OR(A318="",F318=""),"",F318&amp;"|"&amp;A318)</f>
        <v/>
      </c>
      <c r="I318" s="63">
        <f>IF(AND(H318&lt;&gt;"",OR('Historia wózka'!$B$4="",F318='Historia wózka'!$B$4),A318&gt;='Historia wózka'!$B$5,A318&lt;='Historia wózka'!$B$6),A318+0.7+(5000-ROW())/10000000,0)</f>
        <v/>
      </c>
      <c r="J318" s="63">
        <f>Ustawienia!$B$10&amp;""</f>
        <v/>
      </c>
      <c r="K318" s="63">
        <f>IF(H318="","",COUNTIFS('Zgłoszenia'!$B$5:$B$504,F318,'Zgłoszenia'!$D$5:$D$504,"&gt;="&amp;A318,'Zgłoszenia'!$D$5:$D$504,"&lt;="&amp;(A318+1)))</f>
        <v/>
      </c>
      <c r="L318" s="63">
        <f>IF(OR(H318="",K318=0),"—",IF(ISNUMBER(MATCH(H318,'Zgłoszenia'!$S$5:$S$504,0)),RIGHT("0"&amp;DAY(A318),2)&amp;"."&amp;RIGHT("0"&amp;MONTH(A318),2)&amp;"."&amp;YEAR(A318)&amp;": "&amp;INDEX('Zgłoszenia'!$H$5:$H$504,MATCH(H318,'Zgłoszenia'!$S$5:$S$504,0)),RIGHT("0"&amp;DAY((A318+1)),2)&amp;"."&amp;RIGHT("0"&amp;MONTH((A318+1)),2)&amp;"."&amp;YEAR((A318+1))&amp;": "&amp;INDEX('Zgłoszenia'!$H$5:$H$504,MATCH(F318&amp;"|"&amp;(A318+1),'Zgłoszenia'!$S$5:$S$504,0)))&amp;IF(K318&gt;1," (+"&amp;(K318-1)&amp;")",""))</f>
        <v/>
      </c>
      <c r="M318" s="63" t="n">
        <v>4</v>
      </c>
      <c r="N318" s="2" t="n"/>
      <c r="O318" s="2" t="n"/>
    </row>
    <row r="319">
      <c r="A319" s="62">
        <f>IF('4'!$C$1="","",'4'!$C$1)</f>
        <v/>
      </c>
      <c r="B319" s="63">
        <f>Ustawienia!$A$10&amp;""</f>
        <v/>
      </c>
      <c r="C319" s="63">
        <f>Ustawienia!$A$17&amp;""</f>
        <v/>
      </c>
      <c r="D319" s="63" t="n">
        <v>3</v>
      </c>
      <c r="E319" s="63">
        <f>IF('4'!J29="","",TRIM('4'!J29&amp;""))</f>
        <v/>
      </c>
      <c r="F319" s="63">
        <f>IF('4'!K29="","",'4'!K29)</f>
        <v/>
      </c>
      <c r="G319" s="63">
        <f>'4'!L29&amp;""</f>
        <v/>
      </c>
      <c r="H319" s="63">
        <f>IF(OR(A319="",F319=""),"",F319&amp;"|"&amp;A319)</f>
        <v/>
      </c>
      <c r="I319" s="63">
        <f>IF(AND(H319&lt;&gt;"",OR('Historia wózka'!$B$4="",F319='Historia wózka'!$B$4),A319&gt;='Historia wózka'!$B$5,A319&lt;='Historia wózka'!$B$6),A319+0.7+(5000-ROW())/10000000,0)</f>
        <v/>
      </c>
      <c r="J319" s="63">
        <f>Ustawienia!$B$10&amp;""</f>
        <v/>
      </c>
      <c r="K319" s="63">
        <f>IF(H319="","",COUNTIFS('Zgłoszenia'!$B$5:$B$504,F319,'Zgłoszenia'!$D$5:$D$504,"&gt;="&amp;A319,'Zgłoszenia'!$D$5:$D$504,"&lt;="&amp;(A319+1)))</f>
        <v/>
      </c>
      <c r="L319" s="63">
        <f>IF(OR(H319="",K319=0),"—",IF(ISNUMBER(MATCH(H319,'Zgłoszenia'!$S$5:$S$504,0)),RIGHT("0"&amp;DAY(A319),2)&amp;"."&amp;RIGHT("0"&amp;MONTH(A319),2)&amp;"."&amp;YEAR(A319)&amp;": "&amp;INDEX('Zgłoszenia'!$H$5:$H$504,MATCH(H319,'Zgłoszenia'!$S$5:$S$504,0)),RIGHT("0"&amp;DAY((A319+1)),2)&amp;"."&amp;RIGHT("0"&amp;MONTH((A319+1)),2)&amp;"."&amp;YEAR((A319+1))&amp;": "&amp;INDEX('Zgłoszenia'!$H$5:$H$504,MATCH(F319&amp;"|"&amp;(A319+1),'Zgłoszenia'!$S$5:$S$504,0)))&amp;IF(K319&gt;1," (+"&amp;(K319-1)&amp;")",""))</f>
        <v/>
      </c>
      <c r="M319" s="63" t="n">
        <v>4</v>
      </c>
      <c r="N319" s="2" t="n"/>
      <c r="O319" s="2" t="n"/>
    </row>
    <row r="320">
      <c r="A320" s="62">
        <f>IF('4'!$C$1="","",'4'!$C$1)</f>
        <v/>
      </c>
      <c r="B320" s="63">
        <f>Ustawienia!$A$10&amp;""</f>
        <v/>
      </c>
      <c r="C320" s="63">
        <f>Ustawienia!$A$17&amp;""</f>
        <v/>
      </c>
      <c r="D320" s="63" t="n">
        <v>4</v>
      </c>
      <c r="E320" s="63">
        <f>IF('4'!J30="","",TRIM('4'!J30&amp;""))</f>
        <v/>
      </c>
      <c r="F320" s="63">
        <f>IF('4'!K30="","",'4'!K30)</f>
        <v/>
      </c>
      <c r="G320" s="63">
        <f>'4'!L30&amp;""</f>
        <v/>
      </c>
      <c r="H320" s="63">
        <f>IF(OR(A320="",F320=""),"",F320&amp;"|"&amp;A320)</f>
        <v/>
      </c>
      <c r="I320" s="63">
        <f>IF(AND(H320&lt;&gt;"",OR('Historia wózka'!$B$4="",F320='Historia wózka'!$B$4),A320&gt;='Historia wózka'!$B$5,A320&lt;='Historia wózka'!$B$6),A320+0.7+(5000-ROW())/10000000,0)</f>
        <v/>
      </c>
      <c r="J320" s="63">
        <f>Ustawienia!$B$10&amp;""</f>
        <v/>
      </c>
      <c r="K320" s="63">
        <f>IF(H320="","",COUNTIFS('Zgłoszenia'!$B$5:$B$504,F320,'Zgłoszenia'!$D$5:$D$504,"&gt;="&amp;A320,'Zgłoszenia'!$D$5:$D$504,"&lt;="&amp;(A320+1)))</f>
        <v/>
      </c>
      <c r="L320" s="63">
        <f>IF(OR(H320="",K320=0),"—",IF(ISNUMBER(MATCH(H320,'Zgłoszenia'!$S$5:$S$504,0)),RIGHT("0"&amp;DAY(A320),2)&amp;"."&amp;RIGHT("0"&amp;MONTH(A320),2)&amp;"."&amp;YEAR(A320)&amp;": "&amp;INDEX('Zgłoszenia'!$H$5:$H$504,MATCH(H320,'Zgłoszenia'!$S$5:$S$504,0)),RIGHT("0"&amp;DAY((A320+1)),2)&amp;"."&amp;RIGHT("0"&amp;MONTH((A320+1)),2)&amp;"."&amp;YEAR((A320+1))&amp;": "&amp;INDEX('Zgłoszenia'!$H$5:$H$504,MATCH(F320&amp;"|"&amp;(A320+1),'Zgłoszenia'!$S$5:$S$504,0)))&amp;IF(K320&gt;1," (+"&amp;(K320-1)&amp;")",""))</f>
        <v/>
      </c>
      <c r="M320" s="63" t="n">
        <v>4</v>
      </c>
      <c r="N320" s="2" t="n"/>
      <c r="O320" s="2" t="n"/>
    </row>
    <row r="321">
      <c r="A321" s="62">
        <f>IF('4'!$C$1="","",'4'!$C$1)</f>
        <v/>
      </c>
      <c r="B321" s="63">
        <f>Ustawienia!$A$10&amp;""</f>
        <v/>
      </c>
      <c r="C321" s="63">
        <f>Ustawienia!$A$18&amp;""</f>
        <v/>
      </c>
      <c r="D321" s="63" t="n">
        <v>1</v>
      </c>
      <c r="E321" s="63">
        <f>IF('4'!J32="","",TRIM('4'!J32&amp;""))</f>
        <v/>
      </c>
      <c r="F321" s="63">
        <f>IF('4'!K32="","",'4'!K32)</f>
        <v/>
      </c>
      <c r="G321" s="63">
        <f>'4'!L32&amp;""</f>
        <v/>
      </c>
      <c r="H321" s="63">
        <f>IF(OR(A321="",F321=""),"",F321&amp;"|"&amp;A321)</f>
        <v/>
      </c>
      <c r="I321" s="63">
        <f>IF(AND(H321&lt;&gt;"",OR('Historia wózka'!$B$4="",F321='Historia wózka'!$B$4),A321&gt;='Historia wózka'!$B$5,A321&lt;='Historia wózka'!$B$6),A321+0.7+(5000-ROW())/10000000,0)</f>
        <v/>
      </c>
      <c r="J321" s="63">
        <f>Ustawienia!$B$10&amp;""</f>
        <v/>
      </c>
      <c r="K321" s="63">
        <f>IF(H321="","",COUNTIFS('Zgłoszenia'!$B$5:$B$504,F321,'Zgłoszenia'!$D$5:$D$504,"&gt;="&amp;A321,'Zgłoszenia'!$D$5:$D$504,"&lt;="&amp;(A321+1)))</f>
        <v/>
      </c>
      <c r="L321" s="63">
        <f>IF(OR(H321="",K321=0),"—",IF(ISNUMBER(MATCH(H321,'Zgłoszenia'!$S$5:$S$504,0)),RIGHT("0"&amp;DAY(A321),2)&amp;"."&amp;RIGHT("0"&amp;MONTH(A321),2)&amp;"."&amp;YEAR(A321)&amp;": "&amp;INDEX('Zgłoszenia'!$H$5:$H$504,MATCH(H321,'Zgłoszenia'!$S$5:$S$504,0)),RIGHT("0"&amp;DAY((A321+1)),2)&amp;"."&amp;RIGHT("0"&amp;MONTH((A321+1)),2)&amp;"."&amp;YEAR((A321+1))&amp;": "&amp;INDEX('Zgłoszenia'!$H$5:$H$504,MATCH(F321&amp;"|"&amp;(A321+1),'Zgłoszenia'!$S$5:$S$504,0)))&amp;IF(K321&gt;1," (+"&amp;(K321-1)&amp;")",""))</f>
        <v/>
      </c>
      <c r="M321" s="63" t="n">
        <v>4</v>
      </c>
      <c r="N321" s="2" t="n"/>
      <c r="O321" s="2" t="n"/>
    </row>
    <row r="322">
      <c r="A322" s="62">
        <f>IF('4'!$C$1="","",'4'!$C$1)</f>
        <v/>
      </c>
      <c r="B322" s="63">
        <f>Ustawienia!$A$10&amp;""</f>
        <v/>
      </c>
      <c r="C322" s="63">
        <f>Ustawienia!$A$18&amp;""</f>
        <v/>
      </c>
      <c r="D322" s="63" t="n">
        <v>2</v>
      </c>
      <c r="E322" s="63">
        <f>IF('4'!J33="","",TRIM('4'!J33&amp;""))</f>
        <v/>
      </c>
      <c r="F322" s="63">
        <f>IF('4'!K33="","",'4'!K33)</f>
        <v/>
      </c>
      <c r="G322" s="63">
        <f>'4'!L33&amp;""</f>
        <v/>
      </c>
      <c r="H322" s="63">
        <f>IF(OR(A322="",F322=""),"",F322&amp;"|"&amp;A322)</f>
        <v/>
      </c>
      <c r="I322" s="63">
        <f>IF(AND(H322&lt;&gt;"",OR('Historia wózka'!$B$4="",F322='Historia wózka'!$B$4),A322&gt;='Historia wózka'!$B$5,A322&lt;='Historia wózka'!$B$6),A322+0.7+(5000-ROW())/10000000,0)</f>
        <v/>
      </c>
      <c r="J322" s="63">
        <f>Ustawienia!$B$10&amp;""</f>
        <v/>
      </c>
      <c r="K322" s="63">
        <f>IF(H322="","",COUNTIFS('Zgłoszenia'!$B$5:$B$504,F322,'Zgłoszenia'!$D$5:$D$504,"&gt;="&amp;A322,'Zgłoszenia'!$D$5:$D$504,"&lt;="&amp;(A322+1)))</f>
        <v/>
      </c>
      <c r="L322" s="63">
        <f>IF(OR(H322="",K322=0),"—",IF(ISNUMBER(MATCH(H322,'Zgłoszenia'!$S$5:$S$504,0)),RIGHT("0"&amp;DAY(A322),2)&amp;"."&amp;RIGHT("0"&amp;MONTH(A322),2)&amp;"."&amp;YEAR(A322)&amp;": "&amp;INDEX('Zgłoszenia'!$H$5:$H$504,MATCH(H322,'Zgłoszenia'!$S$5:$S$504,0)),RIGHT("0"&amp;DAY((A322+1)),2)&amp;"."&amp;RIGHT("0"&amp;MONTH((A322+1)),2)&amp;"."&amp;YEAR((A322+1))&amp;": "&amp;INDEX('Zgłoszenia'!$H$5:$H$504,MATCH(F322&amp;"|"&amp;(A322+1),'Zgłoszenia'!$S$5:$S$504,0)))&amp;IF(K322&gt;1," (+"&amp;(K322-1)&amp;")",""))</f>
        <v/>
      </c>
      <c r="M322" s="63" t="n">
        <v>4</v>
      </c>
      <c r="N322" s="2" t="n"/>
      <c r="O322" s="2" t="n"/>
    </row>
    <row r="323">
      <c r="A323" s="62">
        <f>IF('4'!$C$1="","",'4'!$C$1)</f>
        <v/>
      </c>
      <c r="B323" s="63">
        <f>Ustawienia!$A$10&amp;""</f>
        <v/>
      </c>
      <c r="C323" s="63">
        <f>Ustawienia!$A$18&amp;""</f>
        <v/>
      </c>
      <c r="D323" s="63" t="n">
        <v>3</v>
      </c>
      <c r="E323" s="63">
        <f>IF('4'!J34="","",TRIM('4'!J34&amp;""))</f>
        <v/>
      </c>
      <c r="F323" s="63">
        <f>IF('4'!K34="","",'4'!K34)</f>
        <v/>
      </c>
      <c r="G323" s="63">
        <f>'4'!L34&amp;""</f>
        <v/>
      </c>
      <c r="H323" s="63">
        <f>IF(OR(A323="",F323=""),"",F323&amp;"|"&amp;A323)</f>
        <v/>
      </c>
      <c r="I323" s="63">
        <f>IF(AND(H323&lt;&gt;"",OR('Historia wózka'!$B$4="",F323='Historia wózka'!$B$4),A323&gt;='Historia wózka'!$B$5,A323&lt;='Historia wózka'!$B$6),A323+0.7+(5000-ROW())/10000000,0)</f>
        <v/>
      </c>
      <c r="J323" s="63">
        <f>Ustawienia!$B$10&amp;""</f>
        <v/>
      </c>
      <c r="K323" s="63">
        <f>IF(H323="","",COUNTIFS('Zgłoszenia'!$B$5:$B$504,F323,'Zgłoszenia'!$D$5:$D$504,"&gt;="&amp;A323,'Zgłoszenia'!$D$5:$D$504,"&lt;="&amp;(A323+1)))</f>
        <v/>
      </c>
      <c r="L323" s="63">
        <f>IF(OR(H323="",K323=0),"—",IF(ISNUMBER(MATCH(H323,'Zgłoszenia'!$S$5:$S$504,0)),RIGHT("0"&amp;DAY(A323),2)&amp;"."&amp;RIGHT("0"&amp;MONTH(A323),2)&amp;"."&amp;YEAR(A323)&amp;": "&amp;INDEX('Zgłoszenia'!$H$5:$H$504,MATCH(H323,'Zgłoszenia'!$S$5:$S$504,0)),RIGHT("0"&amp;DAY((A323+1)),2)&amp;"."&amp;RIGHT("0"&amp;MONTH((A323+1)),2)&amp;"."&amp;YEAR((A323+1))&amp;": "&amp;INDEX('Zgłoszenia'!$H$5:$H$504,MATCH(F323&amp;"|"&amp;(A323+1),'Zgłoszenia'!$S$5:$S$504,0)))&amp;IF(K323&gt;1," (+"&amp;(K323-1)&amp;")",""))</f>
        <v/>
      </c>
      <c r="M323" s="63" t="n">
        <v>4</v>
      </c>
      <c r="N323" s="2" t="n"/>
      <c r="O323" s="2" t="n"/>
    </row>
    <row r="324">
      <c r="A324" s="62">
        <f>IF('4'!$C$1="","",'4'!$C$1)</f>
        <v/>
      </c>
      <c r="B324" s="63">
        <f>Ustawienia!$A$10&amp;""</f>
        <v/>
      </c>
      <c r="C324" s="63">
        <f>Ustawienia!$A$18&amp;""</f>
        <v/>
      </c>
      <c r="D324" s="63" t="n">
        <v>4</v>
      </c>
      <c r="E324" s="63">
        <f>IF('4'!J35="","",TRIM('4'!J35&amp;""))</f>
        <v/>
      </c>
      <c r="F324" s="63">
        <f>IF('4'!K35="","",'4'!K35)</f>
        <v/>
      </c>
      <c r="G324" s="63">
        <f>'4'!L35&amp;""</f>
        <v/>
      </c>
      <c r="H324" s="63">
        <f>IF(OR(A324="",F324=""),"",F324&amp;"|"&amp;A324)</f>
        <v/>
      </c>
      <c r="I324" s="63">
        <f>IF(AND(H324&lt;&gt;"",OR('Historia wózka'!$B$4="",F324='Historia wózka'!$B$4),A324&gt;='Historia wózka'!$B$5,A324&lt;='Historia wózka'!$B$6),A324+0.7+(5000-ROW())/10000000,0)</f>
        <v/>
      </c>
      <c r="J324" s="63">
        <f>Ustawienia!$B$10&amp;""</f>
        <v/>
      </c>
      <c r="K324" s="63">
        <f>IF(H324="","",COUNTIFS('Zgłoszenia'!$B$5:$B$504,F324,'Zgłoszenia'!$D$5:$D$504,"&gt;="&amp;A324,'Zgłoszenia'!$D$5:$D$504,"&lt;="&amp;(A324+1)))</f>
        <v/>
      </c>
      <c r="L324" s="63">
        <f>IF(OR(H324="",K324=0),"—",IF(ISNUMBER(MATCH(H324,'Zgłoszenia'!$S$5:$S$504,0)),RIGHT("0"&amp;DAY(A324),2)&amp;"."&amp;RIGHT("0"&amp;MONTH(A324),2)&amp;"."&amp;YEAR(A324)&amp;": "&amp;INDEX('Zgłoszenia'!$H$5:$H$504,MATCH(H324,'Zgłoszenia'!$S$5:$S$504,0)),RIGHT("0"&amp;DAY((A324+1)),2)&amp;"."&amp;RIGHT("0"&amp;MONTH((A324+1)),2)&amp;"."&amp;YEAR((A324+1))&amp;": "&amp;INDEX('Zgłoszenia'!$H$5:$H$504,MATCH(F324&amp;"|"&amp;(A324+1),'Zgłoszenia'!$S$5:$S$504,0)))&amp;IF(K324&gt;1," (+"&amp;(K324-1)&amp;")",""))</f>
        <v/>
      </c>
      <c r="M324" s="63" t="n">
        <v>4</v>
      </c>
      <c r="N324" s="2" t="n"/>
      <c r="O324" s="2" t="n"/>
    </row>
    <row r="325">
      <c r="A325" s="62">
        <f>IF('4'!$C$1="","",'4'!$C$1)</f>
        <v/>
      </c>
      <c r="B325" s="63">
        <f>Ustawienia!$A$10&amp;""</f>
        <v/>
      </c>
      <c r="C325" s="63">
        <f>Ustawienia!$A$18&amp;""</f>
        <v/>
      </c>
      <c r="D325" s="63" t="n">
        <v>5</v>
      </c>
      <c r="E325" s="63">
        <f>IF('4'!J36="","",TRIM('4'!J36&amp;""))</f>
        <v/>
      </c>
      <c r="F325" s="63">
        <f>IF('4'!K36="","",'4'!K36)</f>
        <v/>
      </c>
      <c r="G325" s="63">
        <f>'4'!L36&amp;""</f>
        <v/>
      </c>
      <c r="H325" s="63">
        <f>IF(OR(A325="",F325=""),"",F325&amp;"|"&amp;A325)</f>
        <v/>
      </c>
      <c r="I325" s="63">
        <f>IF(AND(H325&lt;&gt;"",OR('Historia wózka'!$B$4="",F325='Historia wózka'!$B$4),A325&gt;='Historia wózka'!$B$5,A325&lt;='Historia wózka'!$B$6),A325+0.7+(5000-ROW())/10000000,0)</f>
        <v/>
      </c>
      <c r="J325" s="63">
        <f>Ustawienia!$B$10&amp;""</f>
        <v/>
      </c>
      <c r="K325" s="63">
        <f>IF(H325="","",COUNTIFS('Zgłoszenia'!$B$5:$B$504,F325,'Zgłoszenia'!$D$5:$D$504,"&gt;="&amp;A325,'Zgłoszenia'!$D$5:$D$504,"&lt;="&amp;(A325+1)))</f>
        <v/>
      </c>
      <c r="L325" s="63">
        <f>IF(OR(H325="",K325=0),"—",IF(ISNUMBER(MATCH(H325,'Zgłoszenia'!$S$5:$S$504,0)),RIGHT("0"&amp;DAY(A325),2)&amp;"."&amp;RIGHT("0"&amp;MONTH(A325),2)&amp;"."&amp;YEAR(A325)&amp;": "&amp;INDEX('Zgłoszenia'!$H$5:$H$504,MATCH(H325,'Zgłoszenia'!$S$5:$S$504,0)),RIGHT("0"&amp;DAY((A325+1)),2)&amp;"."&amp;RIGHT("0"&amp;MONTH((A325+1)),2)&amp;"."&amp;YEAR((A325+1))&amp;": "&amp;INDEX('Zgłoszenia'!$H$5:$H$504,MATCH(F325&amp;"|"&amp;(A325+1),'Zgłoszenia'!$S$5:$S$504,0)))&amp;IF(K325&gt;1," (+"&amp;(K325-1)&amp;")",""))</f>
        <v/>
      </c>
      <c r="M325" s="63" t="n">
        <v>4</v>
      </c>
      <c r="N325" s="2" t="n"/>
      <c r="O325" s="2" t="n"/>
    </row>
    <row r="326">
      <c r="A326" s="62">
        <f>IF('5'!$C$1="","",'5'!$C$1)</f>
        <v/>
      </c>
      <c r="B326" s="63">
        <f>Ustawienia!$A$8&amp;""</f>
        <v/>
      </c>
      <c r="C326" s="63">
        <f>Ustawienia!$A$14&amp;""</f>
        <v/>
      </c>
      <c r="D326" s="63" t="n">
        <v>1</v>
      </c>
      <c r="E326" s="63">
        <f>IF('5'!B6="","",TRIM('5'!B6&amp;""))</f>
        <v/>
      </c>
      <c r="F326" s="63">
        <f>IF('5'!C6="","",'5'!C6)</f>
        <v/>
      </c>
      <c r="G326" s="63">
        <f>'5'!D6&amp;""</f>
        <v/>
      </c>
      <c r="H326" s="63">
        <f>IF(OR(A326="",F326=""),"",F326&amp;"|"&amp;A326)</f>
        <v/>
      </c>
      <c r="I326" s="63">
        <f>IF(AND(H326&lt;&gt;"",OR('Historia wózka'!$B$4="",F326='Historia wózka'!$B$4),A326&gt;='Historia wózka'!$B$5,A326&lt;='Historia wózka'!$B$6),A326+0.9+(5000-ROW())/10000000,0)</f>
        <v/>
      </c>
      <c r="J326" s="63">
        <f>Ustawienia!$B$8&amp;""</f>
        <v/>
      </c>
      <c r="K326" s="63">
        <f>IF(H326="","",COUNTIFS('Zgłoszenia'!$B$5:$B$504,F326,'Zgłoszenia'!$D$5:$D$504,"&gt;="&amp;A326,'Zgłoszenia'!$D$5:$D$504,"&lt;="&amp;(A326+1)))</f>
        <v/>
      </c>
      <c r="L326" s="63">
        <f>IF(OR(H326="",K326=0),"—",IF(ISNUMBER(MATCH(H326,'Zgłoszenia'!$S$5:$S$504,0)),RIGHT("0"&amp;DAY(A326),2)&amp;"."&amp;RIGHT("0"&amp;MONTH(A326),2)&amp;"."&amp;YEAR(A326)&amp;": "&amp;INDEX('Zgłoszenia'!$H$5:$H$504,MATCH(H326,'Zgłoszenia'!$S$5:$S$504,0)),RIGHT("0"&amp;DAY((A326+1)),2)&amp;"."&amp;RIGHT("0"&amp;MONTH((A326+1)),2)&amp;"."&amp;YEAR((A326+1))&amp;": "&amp;INDEX('Zgłoszenia'!$H$5:$H$504,MATCH(F326&amp;"|"&amp;(A326+1),'Zgłoszenia'!$S$5:$S$504,0)))&amp;IF(K326&gt;1," (+"&amp;(K326-1)&amp;")",""))</f>
        <v/>
      </c>
      <c r="M326" s="63" t="n">
        <v>5</v>
      </c>
      <c r="N326" s="2" t="n"/>
      <c r="O326" s="2" t="n"/>
    </row>
    <row r="327">
      <c r="A327" s="62">
        <f>IF('5'!$C$1="","",'5'!$C$1)</f>
        <v/>
      </c>
      <c r="B327" s="63">
        <f>Ustawienia!$A$8&amp;""</f>
        <v/>
      </c>
      <c r="C327" s="63">
        <f>Ustawienia!$A$14&amp;""</f>
        <v/>
      </c>
      <c r="D327" s="63" t="n">
        <v>2</v>
      </c>
      <c r="E327" s="63">
        <f>IF('5'!B7="","",TRIM('5'!B7&amp;""))</f>
        <v/>
      </c>
      <c r="F327" s="63">
        <f>IF('5'!C7="","",'5'!C7)</f>
        <v/>
      </c>
      <c r="G327" s="63">
        <f>'5'!D7&amp;""</f>
        <v/>
      </c>
      <c r="H327" s="63">
        <f>IF(OR(A327="",F327=""),"",F327&amp;"|"&amp;A327)</f>
        <v/>
      </c>
      <c r="I327" s="63">
        <f>IF(AND(H327&lt;&gt;"",OR('Historia wózka'!$B$4="",F327='Historia wózka'!$B$4),A327&gt;='Historia wózka'!$B$5,A327&lt;='Historia wózka'!$B$6),A327+0.9+(5000-ROW())/10000000,0)</f>
        <v/>
      </c>
      <c r="J327" s="63">
        <f>Ustawienia!$B$8&amp;""</f>
        <v/>
      </c>
      <c r="K327" s="63">
        <f>IF(H327="","",COUNTIFS('Zgłoszenia'!$B$5:$B$504,F327,'Zgłoszenia'!$D$5:$D$504,"&gt;="&amp;A327,'Zgłoszenia'!$D$5:$D$504,"&lt;="&amp;(A327+1)))</f>
        <v/>
      </c>
      <c r="L327" s="63">
        <f>IF(OR(H327="",K327=0),"—",IF(ISNUMBER(MATCH(H327,'Zgłoszenia'!$S$5:$S$504,0)),RIGHT("0"&amp;DAY(A327),2)&amp;"."&amp;RIGHT("0"&amp;MONTH(A327),2)&amp;"."&amp;YEAR(A327)&amp;": "&amp;INDEX('Zgłoszenia'!$H$5:$H$504,MATCH(H327,'Zgłoszenia'!$S$5:$S$504,0)),RIGHT("0"&amp;DAY((A327+1)),2)&amp;"."&amp;RIGHT("0"&amp;MONTH((A327+1)),2)&amp;"."&amp;YEAR((A327+1))&amp;": "&amp;INDEX('Zgłoszenia'!$H$5:$H$504,MATCH(F327&amp;"|"&amp;(A327+1),'Zgłoszenia'!$S$5:$S$504,0)))&amp;IF(K327&gt;1," (+"&amp;(K327-1)&amp;")",""))</f>
        <v/>
      </c>
      <c r="M327" s="63" t="n">
        <v>5</v>
      </c>
      <c r="N327" s="2" t="n"/>
      <c r="O327" s="2" t="n"/>
    </row>
    <row r="328">
      <c r="A328" s="62">
        <f>IF('5'!$C$1="","",'5'!$C$1)</f>
        <v/>
      </c>
      <c r="B328" s="63">
        <f>Ustawienia!$A$8&amp;""</f>
        <v/>
      </c>
      <c r="C328" s="63">
        <f>Ustawienia!$A$14&amp;""</f>
        <v/>
      </c>
      <c r="D328" s="63" t="n">
        <v>3</v>
      </c>
      <c r="E328" s="63">
        <f>IF('5'!B8="","",TRIM('5'!B8&amp;""))</f>
        <v/>
      </c>
      <c r="F328" s="63">
        <f>IF('5'!C8="","",'5'!C8)</f>
        <v/>
      </c>
      <c r="G328" s="63">
        <f>'5'!D8&amp;""</f>
        <v/>
      </c>
      <c r="H328" s="63">
        <f>IF(OR(A328="",F328=""),"",F328&amp;"|"&amp;A328)</f>
        <v/>
      </c>
      <c r="I328" s="63">
        <f>IF(AND(H328&lt;&gt;"",OR('Historia wózka'!$B$4="",F328='Historia wózka'!$B$4),A328&gt;='Historia wózka'!$B$5,A328&lt;='Historia wózka'!$B$6),A328+0.9+(5000-ROW())/10000000,0)</f>
        <v/>
      </c>
      <c r="J328" s="63">
        <f>Ustawienia!$B$8&amp;""</f>
        <v/>
      </c>
      <c r="K328" s="63">
        <f>IF(H328="","",COUNTIFS('Zgłoszenia'!$B$5:$B$504,F328,'Zgłoszenia'!$D$5:$D$504,"&gt;="&amp;A328,'Zgłoszenia'!$D$5:$D$504,"&lt;="&amp;(A328+1)))</f>
        <v/>
      </c>
      <c r="L328" s="63">
        <f>IF(OR(H328="",K328=0),"—",IF(ISNUMBER(MATCH(H328,'Zgłoszenia'!$S$5:$S$504,0)),RIGHT("0"&amp;DAY(A328),2)&amp;"."&amp;RIGHT("0"&amp;MONTH(A328),2)&amp;"."&amp;YEAR(A328)&amp;": "&amp;INDEX('Zgłoszenia'!$H$5:$H$504,MATCH(H328,'Zgłoszenia'!$S$5:$S$504,0)),RIGHT("0"&amp;DAY((A328+1)),2)&amp;"."&amp;RIGHT("0"&amp;MONTH((A328+1)),2)&amp;"."&amp;YEAR((A328+1))&amp;": "&amp;INDEX('Zgłoszenia'!$H$5:$H$504,MATCH(F328&amp;"|"&amp;(A328+1),'Zgłoszenia'!$S$5:$S$504,0)))&amp;IF(K328&gt;1," (+"&amp;(K328-1)&amp;")",""))</f>
        <v/>
      </c>
      <c r="M328" s="63" t="n">
        <v>5</v>
      </c>
      <c r="N328" s="2" t="n"/>
      <c r="O328" s="2" t="n"/>
    </row>
    <row r="329">
      <c r="A329" s="62">
        <f>IF('5'!$C$1="","",'5'!$C$1)</f>
        <v/>
      </c>
      <c r="B329" s="63">
        <f>Ustawienia!$A$8&amp;""</f>
        <v/>
      </c>
      <c r="C329" s="63">
        <f>Ustawienia!$A$14&amp;""</f>
        <v/>
      </c>
      <c r="D329" s="63" t="n">
        <v>4</v>
      </c>
      <c r="E329" s="63">
        <f>IF('5'!B9="","",TRIM('5'!B9&amp;""))</f>
        <v/>
      </c>
      <c r="F329" s="63">
        <f>IF('5'!C9="","",'5'!C9)</f>
        <v/>
      </c>
      <c r="G329" s="63">
        <f>'5'!D9&amp;""</f>
        <v/>
      </c>
      <c r="H329" s="63">
        <f>IF(OR(A329="",F329=""),"",F329&amp;"|"&amp;A329)</f>
        <v/>
      </c>
      <c r="I329" s="63">
        <f>IF(AND(H329&lt;&gt;"",OR('Historia wózka'!$B$4="",F329='Historia wózka'!$B$4),A329&gt;='Historia wózka'!$B$5,A329&lt;='Historia wózka'!$B$6),A329+0.9+(5000-ROW())/10000000,0)</f>
        <v/>
      </c>
      <c r="J329" s="63">
        <f>Ustawienia!$B$8&amp;""</f>
        <v/>
      </c>
      <c r="K329" s="63">
        <f>IF(H329="","",COUNTIFS('Zgłoszenia'!$B$5:$B$504,F329,'Zgłoszenia'!$D$5:$D$504,"&gt;="&amp;A329,'Zgłoszenia'!$D$5:$D$504,"&lt;="&amp;(A329+1)))</f>
        <v/>
      </c>
      <c r="L329" s="63">
        <f>IF(OR(H329="",K329=0),"—",IF(ISNUMBER(MATCH(H329,'Zgłoszenia'!$S$5:$S$504,0)),RIGHT("0"&amp;DAY(A329),2)&amp;"."&amp;RIGHT("0"&amp;MONTH(A329),2)&amp;"."&amp;YEAR(A329)&amp;": "&amp;INDEX('Zgłoszenia'!$H$5:$H$504,MATCH(H329,'Zgłoszenia'!$S$5:$S$504,0)),RIGHT("0"&amp;DAY((A329+1)),2)&amp;"."&amp;RIGHT("0"&amp;MONTH((A329+1)),2)&amp;"."&amp;YEAR((A329+1))&amp;": "&amp;INDEX('Zgłoszenia'!$H$5:$H$504,MATCH(F329&amp;"|"&amp;(A329+1),'Zgłoszenia'!$S$5:$S$504,0)))&amp;IF(K329&gt;1," (+"&amp;(K329-1)&amp;")",""))</f>
        <v/>
      </c>
      <c r="M329" s="63" t="n">
        <v>5</v>
      </c>
      <c r="N329" s="2" t="n"/>
      <c r="O329" s="2" t="n"/>
    </row>
    <row r="330">
      <c r="A330" s="62">
        <f>IF('5'!$C$1="","",'5'!$C$1)</f>
        <v/>
      </c>
      <c r="B330" s="63">
        <f>Ustawienia!$A$8&amp;""</f>
        <v/>
      </c>
      <c r="C330" s="63">
        <f>Ustawienia!$A$14&amp;""</f>
        <v/>
      </c>
      <c r="D330" s="63" t="n">
        <v>5</v>
      </c>
      <c r="E330" s="63">
        <f>IF('5'!B10="","",TRIM('5'!B10&amp;""))</f>
        <v/>
      </c>
      <c r="F330" s="63">
        <f>IF('5'!C10="","",'5'!C10)</f>
        <v/>
      </c>
      <c r="G330" s="63">
        <f>'5'!D10&amp;""</f>
        <v/>
      </c>
      <c r="H330" s="63">
        <f>IF(OR(A330="",F330=""),"",F330&amp;"|"&amp;A330)</f>
        <v/>
      </c>
      <c r="I330" s="63">
        <f>IF(AND(H330&lt;&gt;"",OR('Historia wózka'!$B$4="",F330='Historia wózka'!$B$4),A330&gt;='Historia wózka'!$B$5,A330&lt;='Historia wózka'!$B$6),A330+0.9+(5000-ROW())/10000000,0)</f>
        <v/>
      </c>
      <c r="J330" s="63">
        <f>Ustawienia!$B$8&amp;""</f>
        <v/>
      </c>
      <c r="K330" s="63">
        <f>IF(H330="","",COUNTIFS('Zgłoszenia'!$B$5:$B$504,F330,'Zgłoszenia'!$D$5:$D$504,"&gt;="&amp;A330,'Zgłoszenia'!$D$5:$D$504,"&lt;="&amp;(A330+1)))</f>
        <v/>
      </c>
      <c r="L330" s="63">
        <f>IF(OR(H330="",K330=0),"—",IF(ISNUMBER(MATCH(H330,'Zgłoszenia'!$S$5:$S$504,0)),RIGHT("0"&amp;DAY(A330),2)&amp;"."&amp;RIGHT("0"&amp;MONTH(A330),2)&amp;"."&amp;YEAR(A330)&amp;": "&amp;INDEX('Zgłoszenia'!$H$5:$H$504,MATCH(H330,'Zgłoszenia'!$S$5:$S$504,0)),RIGHT("0"&amp;DAY((A330+1)),2)&amp;"."&amp;RIGHT("0"&amp;MONTH((A330+1)),2)&amp;"."&amp;YEAR((A330+1))&amp;": "&amp;INDEX('Zgłoszenia'!$H$5:$H$504,MATCH(F330&amp;"|"&amp;(A330+1),'Zgłoszenia'!$S$5:$S$504,0)))&amp;IF(K330&gt;1," (+"&amp;(K330-1)&amp;")",""))</f>
        <v/>
      </c>
      <c r="M330" s="63" t="n">
        <v>5</v>
      </c>
      <c r="N330" s="2" t="n"/>
      <c r="O330" s="2" t="n"/>
    </row>
    <row r="331">
      <c r="A331" s="62">
        <f>IF('5'!$C$1="","",'5'!$C$1)</f>
        <v/>
      </c>
      <c r="B331" s="63">
        <f>Ustawienia!$A$8&amp;""</f>
        <v/>
      </c>
      <c r="C331" s="63">
        <f>Ustawienia!$A$14&amp;""</f>
        <v/>
      </c>
      <c r="D331" s="63" t="n">
        <v>6</v>
      </c>
      <c r="E331" s="63">
        <f>IF('5'!B11="","",TRIM('5'!B11&amp;""))</f>
        <v/>
      </c>
      <c r="F331" s="63">
        <f>IF('5'!C11="","",'5'!C11)</f>
        <v/>
      </c>
      <c r="G331" s="63">
        <f>'5'!D11&amp;""</f>
        <v/>
      </c>
      <c r="H331" s="63">
        <f>IF(OR(A331="",F331=""),"",F331&amp;"|"&amp;A331)</f>
        <v/>
      </c>
      <c r="I331" s="63">
        <f>IF(AND(H331&lt;&gt;"",OR('Historia wózka'!$B$4="",F331='Historia wózka'!$B$4),A331&gt;='Historia wózka'!$B$5,A331&lt;='Historia wózka'!$B$6),A331+0.9+(5000-ROW())/10000000,0)</f>
        <v/>
      </c>
      <c r="J331" s="63">
        <f>Ustawienia!$B$8&amp;""</f>
        <v/>
      </c>
      <c r="K331" s="63">
        <f>IF(H331="","",COUNTIFS('Zgłoszenia'!$B$5:$B$504,F331,'Zgłoszenia'!$D$5:$D$504,"&gt;="&amp;A331,'Zgłoszenia'!$D$5:$D$504,"&lt;="&amp;(A331+1)))</f>
        <v/>
      </c>
      <c r="L331" s="63">
        <f>IF(OR(H331="",K331=0),"—",IF(ISNUMBER(MATCH(H331,'Zgłoszenia'!$S$5:$S$504,0)),RIGHT("0"&amp;DAY(A331),2)&amp;"."&amp;RIGHT("0"&amp;MONTH(A331),2)&amp;"."&amp;YEAR(A331)&amp;": "&amp;INDEX('Zgłoszenia'!$H$5:$H$504,MATCH(H331,'Zgłoszenia'!$S$5:$S$504,0)),RIGHT("0"&amp;DAY((A331+1)),2)&amp;"."&amp;RIGHT("0"&amp;MONTH((A331+1)),2)&amp;"."&amp;YEAR((A331+1))&amp;": "&amp;INDEX('Zgłoszenia'!$H$5:$H$504,MATCH(F331&amp;"|"&amp;(A331+1),'Zgłoszenia'!$S$5:$S$504,0)))&amp;IF(K331&gt;1," (+"&amp;(K331-1)&amp;")",""))</f>
        <v/>
      </c>
      <c r="M331" s="63" t="n">
        <v>5</v>
      </c>
      <c r="N331" s="2" t="n"/>
      <c r="O331" s="2" t="n"/>
    </row>
    <row r="332">
      <c r="A332" s="62">
        <f>IF('5'!$C$1="","",'5'!$C$1)</f>
        <v/>
      </c>
      <c r="B332" s="63">
        <f>Ustawienia!$A$8&amp;""</f>
        <v/>
      </c>
      <c r="C332" s="63">
        <f>Ustawienia!$A$15&amp;""</f>
        <v/>
      </c>
      <c r="D332" s="63" t="n">
        <v>1</v>
      </c>
      <c r="E332" s="63">
        <f>IF('5'!B13="","",TRIM('5'!B13&amp;""))</f>
        <v/>
      </c>
      <c r="F332" s="63">
        <f>IF('5'!C13="","",'5'!C13)</f>
        <v/>
      </c>
      <c r="G332" s="63">
        <f>'5'!D13&amp;""</f>
        <v/>
      </c>
      <c r="H332" s="63">
        <f>IF(OR(A332="",F332=""),"",F332&amp;"|"&amp;A332)</f>
        <v/>
      </c>
      <c r="I332" s="63">
        <f>IF(AND(H332&lt;&gt;"",OR('Historia wózka'!$B$4="",F332='Historia wózka'!$B$4),A332&gt;='Historia wózka'!$B$5,A332&lt;='Historia wózka'!$B$6),A332+0.9+(5000-ROW())/10000000,0)</f>
        <v/>
      </c>
      <c r="J332" s="63">
        <f>Ustawienia!$B$8&amp;""</f>
        <v/>
      </c>
      <c r="K332" s="63">
        <f>IF(H332="","",COUNTIFS('Zgłoszenia'!$B$5:$B$504,F332,'Zgłoszenia'!$D$5:$D$504,"&gt;="&amp;A332,'Zgłoszenia'!$D$5:$D$504,"&lt;="&amp;(A332+1)))</f>
        <v/>
      </c>
      <c r="L332" s="63">
        <f>IF(OR(H332="",K332=0),"—",IF(ISNUMBER(MATCH(H332,'Zgłoszenia'!$S$5:$S$504,0)),RIGHT("0"&amp;DAY(A332),2)&amp;"."&amp;RIGHT("0"&amp;MONTH(A332),2)&amp;"."&amp;YEAR(A332)&amp;": "&amp;INDEX('Zgłoszenia'!$H$5:$H$504,MATCH(H332,'Zgłoszenia'!$S$5:$S$504,0)),RIGHT("0"&amp;DAY((A332+1)),2)&amp;"."&amp;RIGHT("0"&amp;MONTH((A332+1)),2)&amp;"."&amp;YEAR((A332+1))&amp;": "&amp;INDEX('Zgłoszenia'!$H$5:$H$504,MATCH(F332&amp;"|"&amp;(A332+1),'Zgłoszenia'!$S$5:$S$504,0)))&amp;IF(K332&gt;1," (+"&amp;(K332-1)&amp;")",""))</f>
        <v/>
      </c>
      <c r="M332" s="63" t="n">
        <v>5</v>
      </c>
      <c r="N332" s="2" t="n"/>
      <c r="O332" s="2" t="n"/>
    </row>
    <row r="333">
      <c r="A333" s="62">
        <f>IF('5'!$C$1="","",'5'!$C$1)</f>
        <v/>
      </c>
      <c r="B333" s="63">
        <f>Ustawienia!$A$8&amp;""</f>
        <v/>
      </c>
      <c r="C333" s="63">
        <f>Ustawienia!$A$15&amp;""</f>
        <v/>
      </c>
      <c r="D333" s="63" t="n">
        <v>2</v>
      </c>
      <c r="E333" s="63">
        <f>IF('5'!B14="","",TRIM('5'!B14&amp;""))</f>
        <v/>
      </c>
      <c r="F333" s="63">
        <f>IF('5'!C14="","",'5'!C14)</f>
        <v/>
      </c>
      <c r="G333" s="63">
        <f>'5'!D14&amp;""</f>
        <v/>
      </c>
      <c r="H333" s="63">
        <f>IF(OR(A333="",F333=""),"",F333&amp;"|"&amp;A333)</f>
        <v/>
      </c>
      <c r="I333" s="63">
        <f>IF(AND(H333&lt;&gt;"",OR('Historia wózka'!$B$4="",F333='Historia wózka'!$B$4),A333&gt;='Historia wózka'!$B$5,A333&lt;='Historia wózka'!$B$6),A333+0.9+(5000-ROW())/10000000,0)</f>
        <v/>
      </c>
      <c r="J333" s="63">
        <f>Ustawienia!$B$8&amp;""</f>
        <v/>
      </c>
      <c r="K333" s="63">
        <f>IF(H333="","",COUNTIFS('Zgłoszenia'!$B$5:$B$504,F333,'Zgłoszenia'!$D$5:$D$504,"&gt;="&amp;A333,'Zgłoszenia'!$D$5:$D$504,"&lt;="&amp;(A333+1)))</f>
        <v/>
      </c>
      <c r="L333" s="63">
        <f>IF(OR(H333="",K333=0),"—",IF(ISNUMBER(MATCH(H333,'Zgłoszenia'!$S$5:$S$504,0)),RIGHT("0"&amp;DAY(A333),2)&amp;"."&amp;RIGHT("0"&amp;MONTH(A333),2)&amp;"."&amp;YEAR(A333)&amp;": "&amp;INDEX('Zgłoszenia'!$H$5:$H$504,MATCH(H333,'Zgłoszenia'!$S$5:$S$504,0)),RIGHT("0"&amp;DAY((A333+1)),2)&amp;"."&amp;RIGHT("0"&amp;MONTH((A333+1)),2)&amp;"."&amp;YEAR((A333+1))&amp;": "&amp;INDEX('Zgłoszenia'!$H$5:$H$504,MATCH(F333&amp;"|"&amp;(A333+1),'Zgłoszenia'!$S$5:$S$504,0)))&amp;IF(K333&gt;1," (+"&amp;(K333-1)&amp;")",""))</f>
        <v/>
      </c>
      <c r="M333" s="63" t="n">
        <v>5</v>
      </c>
      <c r="N333" s="2" t="n"/>
      <c r="O333" s="2" t="n"/>
    </row>
    <row r="334">
      <c r="A334" s="62">
        <f>IF('5'!$C$1="","",'5'!$C$1)</f>
        <v/>
      </c>
      <c r="B334" s="63">
        <f>Ustawienia!$A$8&amp;""</f>
        <v/>
      </c>
      <c r="C334" s="63">
        <f>Ustawienia!$A$15&amp;""</f>
        <v/>
      </c>
      <c r="D334" s="63" t="n">
        <v>3</v>
      </c>
      <c r="E334" s="63">
        <f>IF('5'!B15="","",TRIM('5'!B15&amp;""))</f>
        <v/>
      </c>
      <c r="F334" s="63">
        <f>IF('5'!C15="","",'5'!C15)</f>
        <v/>
      </c>
      <c r="G334" s="63">
        <f>'5'!D15&amp;""</f>
        <v/>
      </c>
      <c r="H334" s="63">
        <f>IF(OR(A334="",F334=""),"",F334&amp;"|"&amp;A334)</f>
        <v/>
      </c>
      <c r="I334" s="63">
        <f>IF(AND(H334&lt;&gt;"",OR('Historia wózka'!$B$4="",F334='Historia wózka'!$B$4),A334&gt;='Historia wózka'!$B$5,A334&lt;='Historia wózka'!$B$6),A334+0.9+(5000-ROW())/10000000,0)</f>
        <v/>
      </c>
      <c r="J334" s="63">
        <f>Ustawienia!$B$8&amp;""</f>
        <v/>
      </c>
      <c r="K334" s="63">
        <f>IF(H334="","",COUNTIFS('Zgłoszenia'!$B$5:$B$504,F334,'Zgłoszenia'!$D$5:$D$504,"&gt;="&amp;A334,'Zgłoszenia'!$D$5:$D$504,"&lt;="&amp;(A334+1)))</f>
        <v/>
      </c>
      <c r="L334" s="63">
        <f>IF(OR(H334="",K334=0),"—",IF(ISNUMBER(MATCH(H334,'Zgłoszenia'!$S$5:$S$504,0)),RIGHT("0"&amp;DAY(A334),2)&amp;"."&amp;RIGHT("0"&amp;MONTH(A334),2)&amp;"."&amp;YEAR(A334)&amp;": "&amp;INDEX('Zgłoszenia'!$H$5:$H$504,MATCH(H334,'Zgłoszenia'!$S$5:$S$504,0)),RIGHT("0"&amp;DAY((A334+1)),2)&amp;"."&amp;RIGHT("0"&amp;MONTH((A334+1)),2)&amp;"."&amp;YEAR((A334+1))&amp;": "&amp;INDEX('Zgłoszenia'!$H$5:$H$504,MATCH(F334&amp;"|"&amp;(A334+1),'Zgłoszenia'!$S$5:$S$504,0)))&amp;IF(K334&gt;1," (+"&amp;(K334-1)&amp;")",""))</f>
        <v/>
      </c>
      <c r="M334" s="63" t="n">
        <v>5</v>
      </c>
      <c r="N334" s="2" t="n"/>
      <c r="O334" s="2" t="n"/>
    </row>
    <row r="335">
      <c r="A335" s="62">
        <f>IF('5'!$C$1="","",'5'!$C$1)</f>
        <v/>
      </c>
      <c r="B335" s="63">
        <f>Ustawienia!$A$8&amp;""</f>
        <v/>
      </c>
      <c r="C335" s="63">
        <f>Ustawienia!$A$15&amp;""</f>
        <v/>
      </c>
      <c r="D335" s="63" t="n">
        <v>4</v>
      </c>
      <c r="E335" s="63">
        <f>IF('5'!B16="","",TRIM('5'!B16&amp;""))</f>
        <v/>
      </c>
      <c r="F335" s="63">
        <f>IF('5'!C16="","",'5'!C16)</f>
        <v/>
      </c>
      <c r="G335" s="63">
        <f>'5'!D16&amp;""</f>
        <v/>
      </c>
      <c r="H335" s="63">
        <f>IF(OR(A335="",F335=""),"",F335&amp;"|"&amp;A335)</f>
        <v/>
      </c>
      <c r="I335" s="63">
        <f>IF(AND(H335&lt;&gt;"",OR('Historia wózka'!$B$4="",F335='Historia wózka'!$B$4),A335&gt;='Historia wózka'!$B$5,A335&lt;='Historia wózka'!$B$6),A335+0.9+(5000-ROW())/10000000,0)</f>
        <v/>
      </c>
      <c r="J335" s="63">
        <f>Ustawienia!$B$8&amp;""</f>
        <v/>
      </c>
      <c r="K335" s="63">
        <f>IF(H335="","",COUNTIFS('Zgłoszenia'!$B$5:$B$504,F335,'Zgłoszenia'!$D$5:$D$504,"&gt;="&amp;A335,'Zgłoszenia'!$D$5:$D$504,"&lt;="&amp;(A335+1)))</f>
        <v/>
      </c>
      <c r="L335" s="63">
        <f>IF(OR(H335="",K335=0),"—",IF(ISNUMBER(MATCH(H335,'Zgłoszenia'!$S$5:$S$504,0)),RIGHT("0"&amp;DAY(A335),2)&amp;"."&amp;RIGHT("0"&amp;MONTH(A335),2)&amp;"."&amp;YEAR(A335)&amp;": "&amp;INDEX('Zgłoszenia'!$H$5:$H$504,MATCH(H335,'Zgłoszenia'!$S$5:$S$504,0)),RIGHT("0"&amp;DAY((A335+1)),2)&amp;"."&amp;RIGHT("0"&amp;MONTH((A335+1)),2)&amp;"."&amp;YEAR((A335+1))&amp;": "&amp;INDEX('Zgłoszenia'!$H$5:$H$504,MATCH(F335&amp;"|"&amp;(A335+1),'Zgłoszenia'!$S$5:$S$504,0)))&amp;IF(K335&gt;1," (+"&amp;(K335-1)&amp;")",""))</f>
        <v/>
      </c>
      <c r="M335" s="63" t="n">
        <v>5</v>
      </c>
      <c r="N335" s="2" t="n"/>
      <c r="O335" s="2" t="n"/>
    </row>
    <row r="336">
      <c r="A336" s="62">
        <f>IF('5'!$C$1="","",'5'!$C$1)</f>
        <v/>
      </c>
      <c r="B336" s="63">
        <f>Ustawienia!$A$8&amp;""</f>
        <v/>
      </c>
      <c r="C336" s="63">
        <f>Ustawienia!$A$15&amp;""</f>
        <v/>
      </c>
      <c r="D336" s="63" t="n">
        <v>5</v>
      </c>
      <c r="E336" s="63">
        <f>IF('5'!B17="","",TRIM('5'!B17&amp;""))</f>
        <v/>
      </c>
      <c r="F336" s="63">
        <f>IF('5'!C17="","",'5'!C17)</f>
        <v/>
      </c>
      <c r="G336" s="63">
        <f>'5'!D17&amp;""</f>
        <v/>
      </c>
      <c r="H336" s="63">
        <f>IF(OR(A336="",F336=""),"",F336&amp;"|"&amp;A336)</f>
        <v/>
      </c>
      <c r="I336" s="63">
        <f>IF(AND(H336&lt;&gt;"",OR('Historia wózka'!$B$4="",F336='Historia wózka'!$B$4),A336&gt;='Historia wózka'!$B$5,A336&lt;='Historia wózka'!$B$6),A336+0.9+(5000-ROW())/10000000,0)</f>
        <v/>
      </c>
      <c r="J336" s="63">
        <f>Ustawienia!$B$8&amp;""</f>
        <v/>
      </c>
      <c r="K336" s="63">
        <f>IF(H336="","",COUNTIFS('Zgłoszenia'!$B$5:$B$504,F336,'Zgłoszenia'!$D$5:$D$504,"&gt;="&amp;A336,'Zgłoszenia'!$D$5:$D$504,"&lt;="&amp;(A336+1)))</f>
        <v/>
      </c>
      <c r="L336" s="63">
        <f>IF(OR(H336="",K336=0),"—",IF(ISNUMBER(MATCH(H336,'Zgłoszenia'!$S$5:$S$504,0)),RIGHT("0"&amp;DAY(A336),2)&amp;"."&amp;RIGHT("0"&amp;MONTH(A336),2)&amp;"."&amp;YEAR(A336)&amp;": "&amp;INDEX('Zgłoszenia'!$H$5:$H$504,MATCH(H336,'Zgłoszenia'!$S$5:$S$504,0)),RIGHT("0"&amp;DAY((A336+1)),2)&amp;"."&amp;RIGHT("0"&amp;MONTH((A336+1)),2)&amp;"."&amp;YEAR((A336+1))&amp;": "&amp;INDEX('Zgłoszenia'!$H$5:$H$504,MATCH(F336&amp;"|"&amp;(A336+1),'Zgłoszenia'!$S$5:$S$504,0)))&amp;IF(K336&gt;1," (+"&amp;(K336-1)&amp;")",""))</f>
        <v/>
      </c>
      <c r="M336" s="63" t="n">
        <v>5</v>
      </c>
      <c r="N336" s="2" t="n"/>
      <c r="O336" s="2" t="n"/>
    </row>
    <row r="337">
      <c r="A337" s="62">
        <f>IF('5'!$C$1="","",'5'!$C$1)</f>
        <v/>
      </c>
      <c r="B337" s="63">
        <f>Ustawienia!$A$8&amp;""</f>
        <v/>
      </c>
      <c r="C337" s="63">
        <f>Ustawienia!$A$15&amp;""</f>
        <v/>
      </c>
      <c r="D337" s="63" t="n">
        <v>6</v>
      </c>
      <c r="E337" s="63">
        <f>IF('5'!B18="","",TRIM('5'!B18&amp;""))</f>
        <v/>
      </c>
      <c r="F337" s="63">
        <f>IF('5'!C18="","",'5'!C18)</f>
        <v/>
      </c>
      <c r="G337" s="63">
        <f>'5'!D18&amp;""</f>
        <v/>
      </c>
      <c r="H337" s="63">
        <f>IF(OR(A337="",F337=""),"",F337&amp;"|"&amp;A337)</f>
        <v/>
      </c>
      <c r="I337" s="63">
        <f>IF(AND(H337&lt;&gt;"",OR('Historia wózka'!$B$4="",F337='Historia wózka'!$B$4),A337&gt;='Historia wózka'!$B$5,A337&lt;='Historia wózka'!$B$6),A337+0.9+(5000-ROW())/10000000,0)</f>
        <v/>
      </c>
      <c r="J337" s="63">
        <f>Ustawienia!$B$8&amp;""</f>
        <v/>
      </c>
      <c r="K337" s="63">
        <f>IF(H337="","",COUNTIFS('Zgłoszenia'!$B$5:$B$504,F337,'Zgłoszenia'!$D$5:$D$504,"&gt;="&amp;A337,'Zgłoszenia'!$D$5:$D$504,"&lt;="&amp;(A337+1)))</f>
        <v/>
      </c>
      <c r="L337" s="63">
        <f>IF(OR(H337="",K337=0),"—",IF(ISNUMBER(MATCH(H337,'Zgłoszenia'!$S$5:$S$504,0)),RIGHT("0"&amp;DAY(A337),2)&amp;"."&amp;RIGHT("0"&amp;MONTH(A337),2)&amp;"."&amp;YEAR(A337)&amp;": "&amp;INDEX('Zgłoszenia'!$H$5:$H$504,MATCH(H337,'Zgłoszenia'!$S$5:$S$504,0)),RIGHT("0"&amp;DAY((A337+1)),2)&amp;"."&amp;RIGHT("0"&amp;MONTH((A337+1)),2)&amp;"."&amp;YEAR((A337+1))&amp;": "&amp;INDEX('Zgłoszenia'!$H$5:$H$504,MATCH(F337&amp;"|"&amp;(A337+1),'Zgłoszenia'!$S$5:$S$504,0)))&amp;IF(K337&gt;1," (+"&amp;(K337-1)&amp;")",""))</f>
        <v/>
      </c>
      <c r="M337" s="63" t="n">
        <v>5</v>
      </c>
      <c r="N337" s="2" t="n"/>
      <c r="O337" s="2" t="n"/>
    </row>
    <row r="338">
      <c r="A338" s="62">
        <f>IF('5'!$C$1="","",'5'!$C$1)</f>
        <v/>
      </c>
      <c r="B338" s="63">
        <f>Ustawienia!$A$8&amp;""</f>
        <v/>
      </c>
      <c r="C338" s="63">
        <f>Ustawienia!$A$15&amp;""</f>
        <v/>
      </c>
      <c r="D338" s="63" t="n">
        <v>7</v>
      </c>
      <c r="E338" s="63">
        <f>IF('5'!B19="","",TRIM('5'!B19&amp;""))</f>
        <v/>
      </c>
      <c r="F338" s="63">
        <f>IF('5'!C19="","",'5'!C19)</f>
        <v/>
      </c>
      <c r="G338" s="63">
        <f>'5'!D19&amp;""</f>
        <v/>
      </c>
      <c r="H338" s="63">
        <f>IF(OR(A338="",F338=""),"",F338&amp;"|"&amp;A338)</f>
        <v/>
      </c>
      <c r="I338" s="63">
        <f>IF(AND(H338&lt;&gt;"",OR('Historia wózka'!$B$4="",F338='Historia wózka'!$B$4),A338&gt;='Historia wózka'!$B$5,A338&lt;='Historia wózka'!$B$6),A338+0.9+(5000-ROW())/10000000,0)</f>
        <v/>
      </c>
      <c r="J338" s="63">
        <f>Ustawienia!$B$8&amp;""</f>
        <v/>
      </c>
      <c r="K338" s="63">
        <f>IF(H338="","",COUNTIFS('Zgłoszenia'!$B$5:$B$504,F338,'Zgłoszenia'!$D$5:$D$504,"&gt;="&amp;A338,'Zgłoszenia'!$D$5:$D$504,"&lt;="&amp;(A338+1)))</f>
        <v/>
      </c>
      <c r="L338" s="63">
        <f>IF(OR(H338="",K338=0),"—",IF(ISNUMBER(MATCH(H338,'Zgłoszenia'!$S$5:$S$504,0)),RIGHT("0"&amp;DAY(A338),2)&amp;"."&amp;RIGHT("0"&amp;MONTH(A338),2)&amp;"."&amp;YEAR(A338)&amp;": "&amp;INDEX('Zgłoszenia'!$H$5:$H$504,MATCH(H338,'Zgłoszenia'!$S$5:$S$504,0)),RIGHT("0"&amp;DAY((A338+1)),2)&amp;"."&amp;RIGHT("0"&amp;MONTH((A338+1)),2)&amp;"."&amp;YEAR((A338+1))&amp;": "&amp;INDEX('Zgłoszenia'!$H$5:$H$504,MATCH(F338&amp;"|"&amp;(A338+1),'Zgłoszenia'!$S$5:$S$504,0)))&amp;IF(K338&gt;1," (+"&amp;(K338-1)&amp;")",""))</f>
        <v/>
      </c>
      <c r="M338" s="63" t="n">
        <v>5</v>
      </c>
      <c r="N338" s="2" t="n"/>
      <c r="O338" s="2" t="n"/>
    </row>
    <row r="339">
      <c r="A339" s="62">
        <f>IF('5'!$C$1="","",'5'!$C$1)</f>
        <v/>
      </c>
      <c r="B339" s="63">
        <f>Ustawienia!$A$8&amp;""</f>
        <v/>
      </c>
      <c r="C339" s="63">
        <f>Ustawienia!$A$15&amp;""</f>
        <v/>
      </c>
      <c r="D339" s="63" t="n">
        <v>8</v>
      </c>
      <c r="E339" s="63">
        <f>IF('5'!B20="","",TRIM('5'!B20&amp;""))</f>
        <v/>
      </c>
      <c r="F339" s="63">
        <f>IF('5'!C20="","",'5'!C20)</f>
        <v/>
      </c>
      <c r="G339" s="63">
        <f>'5'!D20&amp;""</f>
        <v/>
      </c>
      <c r="H339" s="63">
        <f>IF(OR(A339="",F339=""),"",F339&amp;"|"&amp;A339)</f>
        <v/>
      </c>
      <c r="I339" s="63">
        <f>IF(AND(H339&lt;&gt;"",OR('Historia wózka'!$B$4="",F339='Historia wózka'!$B$4),A339&gt;='Historia wózka'!$B$5,A339&lt;='Historia wózka'!$B$6),A339+0.9+(5000-ROW())/10000000,0)</f>
        <v/>
      </c>
      <c r="J339" s="63">
        <f>Ustawienia!$B$8&amp;""</f>
        <v/>
      </c>
      <c r="K339" s="63">
        <f>IF(H339="","",COUNTIFS('Zgłoszenia'!$B$5:$B$504,F339,'Zgłoszenia'!$D$5:$D$504,"&gt;="&amp;A339,'Zgłoszenia'!$D$5:$D$504,"&lt;="&amp;(A339+1)))</f>
        <v/>
      </c>
      <c r="L339" s="63">
        <f>IF(OR(H339="",K339=0),"—",IF(ISNUMBER(MATCH(H339,'Zgłoszenia'!$S$5:$S$504,0)),RIGHT("0"&amp;DAY(A339),2)&amp;"."&amp;RIGHT("0"&amp;MONTH(A339),2)&amp;"."&amp;YEAR(A339)&amp;": "&amp;INDEX('Zgłoszenia'!$H$5:$H$504,MATCH(H339,'Zgłoszenia'!$S$5:$S$504,0)),RIGHT("0"&amp;DAY((A339+1)),2)&amp;"."&amp;RIGHT("0"&amp;MONTH((A339+1)),2)&amp;"."&amp;YEAR((A339+1))&amp;": "&amp;INDEX('Zgłoszenia'!$H$5:$H$504,MATCH(F339&amp;"|"&amp;(A339+1),'Zgłoszenia'!$S$5:$S$504,0)))&amp;IF(K339&gt;1," (+"&amp;(K339-1)&amp;")",""))</f>
        <v/>
      </c>
      <c r="M339" s="63" t="n">
        <v>5</v>
      </c>
      <c r="N339" s="2" t="n"/>
      <c r="O339" s="2" t="n"/>
    </row>
    <row r="340">
      <c r="A340" s="62">
        <f>IF('5'!$C$1="","",'5'!$C$1)</f>
        <v/>
      </c>
      <c r="B340" s="63">
        <f>Ustawienia!$A$8&amp;""</f>
        <v/>
      </c>
      <c r="C340" s="63">
        <f>Ustawienia!$A$16&amp;""</f>
        <v/>
      </c>
      <c r="D340" s="63" t="n">
        <v>1</v>
      </c>
      <c r="E340" s="63">
        <f>IF('5'!B22="","",TRIM('5'!B22&amp;""))</f>
        <v/>
      </c>
      <c r="F340" s="63">
        <f>IF('5'!C22="","",'5'!C22)</f>
        <v/>
      </c>
      <c r="G340" s="63">
        <f>'5'!D22&amp;""</f>
        <v/>
      </c>
      <c r="H340" s="63">
        <f>IF(OR(A340="",F340=""),"",F340&amp;"|"&amp;A340)</f>
        <v/>
      </c>
      <c r="I340" s="63">
        <f>IF(AND(H340&lt;&gt;"",OR('Historia wózka'!$B$4="",F340='Historia wózka'!$B$4),A340&gt;='Historia wózka'!$B$5,A340&lt;='Historia wózka'!$B$6),A340+0.9+(5000-ROW())/10000000,0)</f>
        <v/>
      </c>
      <c r="J340" s="63">
        <f>Ustawienia!$B$8&amp;""</f>
        <v/>
      </c>
      <c r="K340" s="63">
        <f>IF(H340="","",COUNTIFS('Zgłoszenia'!$B$5:$B$504,F340,'Zgłoszenia'!$D$5:$D$504,"&gt;="&amp;A340,'Zgłoszenia'!$D$5:$D$504,"&lt;="&amp;(A340+1)))</f>
        <v/>
      </c>
      <c r="L340" s="63">
        <f>IF(OR(H340="",K340=0),"—",IF(ISNUMBER(MATCH(H340,'Zgłoszenia'!$S$5:$S$504,0)),RIGHT("0"&amp;DAY(A340),2)&amp;"."&amp;RIGHT("0"&amp;MONTH(A340),2)&amp;"."&amp;YEAR(A340)&amp;": "&amp;INDEX('Zgłoszenia'!$H$5:$H$504,MATCH(H340,'Zgłoszenia'!$S$5:$S$504,0)),RIGHT("0"&amp;DAY((A340+1)),2)&amp;"."&amp;RIGHT("0"&amp;MONTH((A340+1)),2)&amp;"."&amp;YEAR((A340+1))&amp;": "&amp;INDEX('Zgłoszenia'!$H$5:$H$504,MATCH(F340&amp;"|"&amp;(A340+1),'Zgłoszenia'!$S$5:$S$504,0)))&amp;IF(K340&gt;1," (+"&amp;(K340-1)&amp;")",""))</f>
        <v/>
      </c>
      <c r="M340" s="63" t="n">
        <v>5</v>
      </c>
      <c r="N340" s="2" t="n"/>
      <c r="O340" s="2" t="n"/>
    </row>
    <row r="341">
      <c r="A341" s="62">
        <f>IF('5'!$C$1="","",'5'!$C$1)</f>
        <v/>
      </c>
      <c r="B341" s="63">
        <f>Ustawienia!$A$8&amp;""</f>
        <v/>
      </c>
      <c r="C341" s="63">
        <f>Ustawienia!$A$16&amp;""</f>
        <v/>
      </c>
      <c r="D341" s="63" t="n">
        <v>2</v>
      </c>
      <c r="E341" s="63">
        <f>IF('5'!B23="","",TRIM('5'!B23&amp;""))</f>
        <v/>
      </c>
      <c r="F341" s="63">
        <f>IF('5'!C23="","",'5'!C23)</f>
        <v/>
      </c>
      <c r="G341" s="63">
        <f>'5'!D23&amp;""</f>
        <v/>
      </c>
      <c r="H341" s="63">
        <f>IF(OR(A341="",F341=""),"",F341&amp;"|"&amp;A341)</f>
        <v/>
      </c>
      <c r="I341" s="63">
        <f>IF(AND(H341&lt;&gt;"",OR('Historia wózka'!$B$4="",F341='Historia wózka'!$B$4),A341&gt;='Historia wózka'!$B$5,A341&lt;='Historia wózka'!$B$6),A341+0.9+(5000-ROW())/10000000,0)</f>
        <v/>
      </c>
      <c r="J341" s="63">
        <f>Ustawienia!$B$8&amp;""</f>
        <v/>
      </c>
      <c r="K341" s="63">
        <f>IF(H341="","",COUNTIFS('Zgłoszenia'!$B$5:$B$504,F341,'Zgłoszenia'!$D$5:$D$504,"&gt;="&amp;A341,'Zgłoszenia'!$D$5:$D$504,"&lt;="&amp;(A341+1)))</f>
        <v/>
      </c>
      <c r="L341" s="63">
        <f>IF(OR(H341="",K341=0),"—",IF(ISNUMBER(MATCH(H341,'Zgłoszenia'!$S$5:$S$504,0)),RIGHT("0"&amp;DAY(A341),2)&amp;"."&amp;RIGHT("0"&amp;MONTH(A341),2)&amp;"."&amp;YEAR(A341)&amp;": "&amp;INDEX('Zgłoszenia'!$H$5:$H$504,MATCH(H341,'Zgłoszenia'!$S$5:$S$504,0)),RIGHT("0"&amp;DAY((A341+1)),2)&amp;"."&amp;RIGHT("0"&amp;MONTH((A341+1)),2)&amp;"."&amp;YEAR((A341+1))&amp;": "&amp;INDEX('Zgłoszenia'!$H$5:$H$504,MATCH(F341&amp;"|"&amp;(A341+1),'Zgłoszenia'!$S$5:$S$504,0)))&amp;IF(K341&gt;1," (+"&amp;(K341-1)&amp;")",""))</f>
        <v/>
      </c>
      <c r="M341" s="63" t="n">
        <v>5</v>
      </c>
      <c r="N341" s="2" t="n"/>
      <c r="O341" s="2" t="n"/>
    </row>
    <row r="342">
      <c r="A342" s="62">
        <f>IF('5'!$C$1="","",'5'!$C$1)</f>
        <v/>
      </c>
      <c r="B342" s="63">
        <f>Ustawienia!$A$8&amp;""</f>
        <v/>
      </c>
      <c r="C342" s="63">
        <f>Ustawienia!$A$16&amp;""</f>
        <v/>
      </c>
      <c r="D342" s="63" t="n">
        <v>3</v>
      </c>
      <c r="E342" s="63">
        <f>IF('5'!B24="","",TRIM('5'!B24&amp;""))</f>
        <v/>
      </c>
      <c r="F342" s="63">
        <f>IF('5'!C24="","",'5'!C24)</f>
        <v/>
      </c>
      <c r="G342" s="63">
        <f>'5'!D24&amp;""</f>
        <v/>
      </c>
      <c r="H342" s="63">
        <f>IF(OR(A342="",F342=""),"",F342&amp;"|"&amp;A342)</f>
        <v/>
      </c>
      <c r="I342" s="63">
        <f>IF(AND(H342&lt;&gt;"",OR('Historia wózka'!$B$4="",F342='Historia wózka'!$B$4),A342&gt;='Historia wózka'!$B$5,A342&lt;='Historia wózka'!$B$6),A342+0.9+(5000-ROW())/10000000,0)</f>
        <v/>
      </c>
      <c r="J342" s="63">
        <f>Ustawienia!$B$8&amp;""</f>
        <v/>
      </c>
      <c r="K342" s="63">
        <f>IF(H342="","",COUNTIFS('Zgłoszenia'!$B$5:$B$504,F342,'Zgłoszenia'!$D$5:$D$504,"&gt;="&amp;A342,'Zgłoszenia'!$D$5:$D$504,"&lt;="&amp;(A342+1)))</f>
        <v/>
      </c>
      <c r="L342" s="63">
        <f>IF(OR(H342="",K342=0),"—",IF(ISNUMBER(MATCH(H342,'Zgłoszenia'!$S$5:$S$504,0)),RIGHT("0"&amp;DAY(A342),2)&amp;"."&amp;RIGHT("0"&amp;MONTH(A342),2)&amp;"."&amp;YEAR(A342)&amp;": "&amp;INDEX('Zgłoszenia'!$H$5:$H$504,MATCH(H342,'Zgłoszenia'!$S$5:$S$504,0)),RIGHT("0"&amp;DAY((A342+1)),2)&amp;"."&amp;RIGHT("0"&amp;MONTH((A342+1)),2)&amp;"."&amp;YEAR((A342+1))&amp;": "&amp;INDEX('Zgłoszenia'!$H$5:$H$504,MATCH(F342&amp;"|"&amp;(A342+1),'Zgłoszenia'!$S$5:$S$504,0)))&amp;IF(K342&gt;1," (+"&amp;(K342-1)&amp;")",""))</f>
        <v/>
      </c>
      <c r="M342" s="63" t="n">
        <v>5</v>
      </c>
      <c r="N342" s="2" t="n"/>
      <c r="O342" s="2" t="n"/>
    </row>
    <row r="343">
      <c r="A343" s="62">
        <f>IF('5'!$C$1="","",'5'!$C$1)</f>
        <v/>
      </c>
      <c r="B343" s="63">
        <f>Ustawienia!$A$8&amp;""</f>
        <v/>
      </c>
      <c r="C343" s="63">
        <f>Ustawienia!$A$16&amp;""</f>
        <v/>
      </c>
      <c r="D343" s="63" t="n">
        <v>4</v>
      </c>
      <c r="E343" s="63">
        <f>IF('5'!B25="","",TRIM('5'!B25&amp;""))</f>
        <v/>
      </c>
      <c r="F343" s="63">
        <f>IF('5'!C25="","",'5'!C25)</f>
        <v/>
      </c>
      <c r="G343" s="63">
        <f>'5'!D25&amp;""</f>
        <v/>
      </c>
      <c r="H343" s="63">
        <f>IF(OR(A343="",F343=""),"",F343&amp;"|"&amp;A343)</f>
        <v/>
      </c>
      <c r="I343" s="63">
        <f>IF(AND(H343&lt;&gt;"",OR('Historia wózka'!$B$4="",F343='Historia wózka'!$B$4),A343&gt;='Historia wózka'!$B$5,A343&lt;='Historia wózka'!$B$6),A343+0.9+(5000-ROW())/10000000,0)</f>
        <v/>
      </c>
      <c r="J343" s="63">
        <f>Ustawienia!$B$8&amp;""</f>
        <v/>
      </c>
      <c r="K343" s="63">
        <f>IF(H343="","",COUNTIFS('Zgłoszenia'!$B$5:$B$504,F343,'Zgłoszenia'!$D$5:$D$504,"&gt;="&amp;A343,'Zgłoszenia'!$D$5:$D$504,"&lt;="&amp;(A343+1)))</f>
        <v/>
      </c>
      <c r="L343" s="63">
        <f>IF(OR(H343="",K343=0),"—",IF(ISNUMBER(MATCH(H343,'Zgłoszenia'!$S$5:$S$504,0)),RIGHT("0"&amp;DAY(A343),2)&amp;"."&amp;RIGHT("0"&amp;MONTH(A343),2)&amp;"."&amp;YEAR(A343)&amp;": "&amp;INDEX('Zgłoszenia'!$H$5:$H$504,MATCH(H343,'Zgłoszenia'!$S$5:$S$504,0)),RIGHT("0"&amp;DAY((A343+1)),2)&amp;"."&amp;RIGHT("0"&amp;MONTH((A343+1)),2)&amp;"."&amp;YEAR((A343+1))&amp;": "&amp;INDEX('Zgłoszenia'!$H$5:$H$504,MATCH(F343&amp;"|"&amp;(A343+1),'Zgłoszenia'!$S$5:$S$504,0)))&amp;IF(K343&gt;1," (+"&amp;(K343-1)&amp;")",""))</f>
        <v/>
      </c>
      <c r="M343" s="63" t="n">
        <v>5</v>
      </c>
      <c r="N343" s="2" t="n"/>
      <c r="O343" s="2" t="n"/>
    </row>
    <row r="344">
      <c r="A344" s="62">
        <f>IF('5'!$C$1="","",'5'!$C$1)</f>
        <v/>
      </c>
      <c r="B344" s="63">
        <f>Ustawienia!$A$8&amp;""</f>
        <v/>
      </c>
      <c r="C344" s="63">
        <f>Ustawienia!$A$17&amp;""</f>
        <v/>
      </c>
      <c r="D344" s="63" t="n">
        <v>1</v>
      </c>
      <c r="E344" s="63">
        <f>IF('5'!B27="","",TRIM('5'!B27&amp;""))</f>
        <v/>
      </c>
      <c r="F344" s="63">
        <f>IF('5'!C27="","",'5'!C27)</f>
        <v/>
      </c>
      <c r="G344" s="63">
        <f>'5'!D27&amp;""</f>
        <v/>
      </c>
      <c r="H344" s="63">
        <f>IF(OR(A344="",F344=""),"",F344&amp;"|"&amp;A344)</f>
        <v/>
      </c>
      <c r="I344" s="63">
        <f>IF(AND(H344&lt;&gt;"",OR('Historia wózka'!$B$4="",F344='Historia wózka'!$B$4),A344&gt;='Historia wózka'!$B$5,A344&lt;='Historia wózka'!$B$6),A344+0.9+(5000-ROW())/10000000,0)</f>
        <v/>
      </c>
      <c r="J344" s="63">
        <f>Ustawienia!$B$8&amp;""</f>
        <v/>
      </c>
      <c r="K344" s="63">
        <f>IF(H344="","",COUNTIFS('Zgłoszenia'!$B$5:$B$504,F344,'Zgłoszenia'!$D$5:$D$504,"&gt;="&amp;A344,'Zgłoszenia'!$D$5:$D$504,"&lt;="&amp;(A344+1)))</f>
        <v/>
      </c>
      <c r="L344" s="63">
        <f>IF(OR(H344="",K344=0),"—",IF(ISNUMBER(MATCH(H344,'Zgłoszenia'!$S$5:$S$504,0)),RIGHT("0"&amp;DAY(A344),2)&amp;"."&amp;RIGHT("0"&amp;MONTH(A344),2)&amp;"."&amp;YEAR(A344)&amp;": "&amp;INDEX('Zgłoszenia'!$H$5:$H$504,MATCH(H344,'Zgłoszenia'!$S$5:$S$504,0)),RIGHT("0"&amp;DAY((A344+1)),2)&amp;"."&amp;RIGHT("0"&amp;MONTH((A344+1)),2)&amp;"."&amp;YEAR((A344+1))&amp;": "&amp;INDEX('Zgłoszenia'!$H$5:$H$504,MATCH(F344&amp;"|"&amp;(A344+1),'Zgłoszenia'!$S$5:$S$504,0)))&amp;IF(K344&gt;1," (+"&amp;(K344-1)&amp;")",""))</f>
        <v/>
      </c>
      <c r="M344" s="63" t="n">
        <v>5</v>
      </c>
      <c r="N344" s="2" t="n"/>
      <c r="O344" s="2" t="n"/>
    </row>
    <row r="345">
      <c r="A345" s="62">
        <f>IF('5'!$C$1="","",'5'!$C$1)</f>
        <v/>
      </c>
      <c r="B345" s="63">
        <f>Ustawienia!$A$8&amp;""</f>
        <v/>
      </c>
      <c r="C345" s="63">
        <f>Ustawienia!$A$17&amp;""</f>
        <v/>
      </c>
      <c r="D345" s="63" t="n">
        <v>2</v>
      </c>
      <c r="E345" s="63">
        <f>IF('5'!B28="","",TRIM('5'!B28&amp;""))</f>
        <v/>
      </c>
      <c r="F345" s="63">
        <f>IF('5'!C28="","",'5'!C28)</f>
        <v/>
      </c>
      <c r="G345" s="63">
        <f>'5'!D28&amp;""</f>
        <v/>
      </c>
      <c r="H345" s="63">
        <f>IF(OR(A345="",F345=""),"",F345&amp;"|"&amp;A345)</f>
        <v/>
      </c>
      <c r="I345" s="63">
        <f>IF(AND(H345&lt;&gt;"",OR('Historia wózka'!$B$4="",F345='Historia wózka'!$B$4),A345&gt;='Historia wózka'!$B$5,A345&lt;='Historia wózka'!$B$6),A345+0.9+(5000-ROW())/10000000,0)</f>
        <v/>
      </c>
      <c r="J345" s="63">
        <f>Ustawienia!$B$8&amp;""</f>
        <v/>
      </c>
      <c r="K345" s="63">
        <f>IF(H345="","",COUNTIFS('Zgłoszenia'!$B$5:$B$504,F345,'Zgłoszenia'!$D$5:$D$504,"&gt;="&amp;A345,'Zgłoszenia'!$D$5:$D$504,"&lt;="&amp;(A345+1)))</f>
        <v/>
      </c>
      <c r="L345" s="63">
        <f>IF(OR(H345="",K345=0),"—",IF(ISNUMBER(MATCH(H345,'Zgłoszenia'!$S$5:$S$504,0)),RIGHT("0"&amp;DAY(A345),2)&amp;"."&amp;RIGHT("0"&amp;MONTH(A345),2)&amp;"."&amp;YEAR(A345)&amp;": "&amp;INDEX('Zgłoszenia'!$H$5:$H$504,MATCH(H345,'Zgłoszenia'!$S$5:$S$504,0)),RIGHT("0"&amp;DAY((A345+1)),2)&amp;"."&amp;RIGHT("0"&amp;MONTH((A345+1)),2)&amp;"."&amp;YEAR((A345+1))&amp;": "&amp;INDEX('Zgłoszenia'!$H$5:$H$504,MATCH(F345&amp;"|"&amp;(A345+1),'Zgłoszenia'!$S$5:$S$504,0)))&amp;IF(K345&gt;1," (+"&amp;(K345-1)&amp;")",""))</f>
        <v/>
      </c>
      <c r="M345" s="63" t="n">
        <v>5</v>
      </c>
      <c r="N345" s="2" t="n"/>
      <c r="O345" s="2" t="n"/>
    </row>
    <row r="346">
      <c r="A346" s="62">
        <f>IF('5'!$C$1="","",'5'!$C$1)</f>
        <v/>
      </c>
      <c r="B346" s="63">
        <f>Ustawienia!$A$8&amp;""</f>
        <v/>
      </c>
      <c r="C346" s="63">
        <f>Ustawienia!$A$17&amp;""</f>
        <v/>
      </c>
      <c r="D346" s="63" t="n">
        <v>3</v>
      </c>
      <c r="E346" s="63">
        <f>IF('5'!B29="","",TRIM('5'!B29&amp;""))</f>
        <v/>
      </c>
      <c r="F346" s="63">
        <f>IF('5'!C29="","",'5'!C29)</f>
        <v/>
      </c>
      <c r="G346" s="63">
        <f>'5'!D29&amp;""</f>
        <v/>
      </c>
      <c r="H346" s="63">
        <f>IF(OR(A346="",F346=""),"",F346&amp;"|"&amp;A346)</f>
        <v/>
      </c>
      <c r="I346" s="63">
        <f>IF(AND(H346&lt;&gt;"",OR('Historia wózka'!$B$4="",F346='Historia wózka'!$B$4),A346&gt;='Historia wózka'!$B$5,A346&lt;='Historia wózka'!$B$6),A346+0.9+(5000-ROW())/10000000,0)</f>
        <v/>
      </c>
      <c r="J346" s="63">
        <f>Ustawienia!$B$8&amp;""</f>
        <v/>
      </c>
      <c r="K346" s="63">
        <f>IF(H346="","",COUNTIFS('Zgłoszenia'!$B$5:$B$504,F346,'Zgłoszenia'!$D$5:$D$504,"&gt;="&amp;A346,'Zgłoszenia'!$D$5:$D$504,"&lt;="&amp;(A346+1)))</f>
        <v/>
      </c>
      <c r="L346" s="63">
        <f>IF(OR(H346="",K346=0),"—",IF(ISNUMBER(MATCH(H346,'Zgłoszenia'!$S$5:$S$504,0)),RIGHT("0"&amp;DAY(A346),2)&amp;"."&amp;RIGHT("0"&amp;MONTH(A346),2)&amp;"."&amp;YEAR(A346)&amp;": "&amp;INDEX('Zgłoszenia'!$H$5:$H$504,MATCH(H346,'Zgłoszenia'!$S$5:$S$504,0)),RIGHT("0"&amp;DAY((A346+1)),2)&amp;"."&amp;RIGHT("0"&amp;MONTH((A346+1)),2)&amp;"."&amp;YEAR((A346+1))&amp;": "&amp;INDEX('Zgłoszenia'!$H$5:$H$504,MATCH(F346&amp;"|"&amp;(A346+1),'Zgłoszenia'!$S$5:$S$504,0)))&amp;IF(K346&gt;1," (+"&amp;(K346-1)&amp;")",""))</f>
        <v/>
      </c>
      <c r="M346" s="63" t="n">
        <v>5</v>
      </c>
      <c r="N346" s="2" t="n"/>
      <c r="O346" s="2" t="n"/>
    </row>
    <row r="347">
      <c r="A347" s="62">
        <f>IF('5'!$C$1="","",'5'!$C$1)</f>
        <v/>
      </c>
      <c r="B347" s="63">
        <f>Ustawienia!$A$8&amp;""</f>
        <v/>
      </c>
      <c r="C347" s="63">
        <f>Ustawienia!$A$17&amp;""</f>
        <v/>
      </c>
      <c r="D347" s="63" t="n">
        <v>4</v>
      </c>
      <c r="E347" s="63">
        <f>IF('5'!B30="","",TRIM('5'!B30&amp;""))</f>
        <v/>
      </c>
      <c r="F347" s="63">
        <f>IF('5'!C30="","",'5'!C30)</f>
        <v/>
      </c>
      <c r="G347" s="63">
        <f>'5'!D30&amp;""</f>
        <v/>
      </c>
      <c r="H347" s="63">
        <f>IF(OR(A347="",F347=""),"",F347&amp;"|"&amp;A347)</f>
        <v/>
      </c>
      <c r="I347" s="63">
        <f>IF(AND(H347&lt;&gt;"",OR('Historia wózka'!$B$4="",F347='Historia wózka'!$B$4),A347&gt;='Historia wózka'!$B$5,A347&lt;='Historia wózka'!$B$6),A347+0.9+(5000-ROW())/10000000,0)</f>
        <v/>
      </c>
      <c r="J347" s="63">
        <f>Ustawienia!$B$8&amp;""</f>
        <v/>
      </c>
      <c r="K347" s="63">
        <f>IF(H347="","",COUNTIFS('Zgłoszenia'!$B$5:$B$504,F347,'Zgłoszenia'!$D$5:$D$504,"&gt;="&amp;A347,'Zgłoszenia'!$D$5:$D$504,"&lt;="&amp;(A347+1)))</f>
        <v/>
      </c>
      <c r="L347" s="63">
        <f>IF(OR(H347="",K347=0),"—",IF(ISNUMBER(MATCH(H347,'Zgłoszenia'!$S$5:$S$504,0)),RIGHT("0"&amp;DAY(A347),2)&amp;"."&amp;RIGHT("0"&amp;MONTH(A347),2)&amp;"."&amp;YEAR(A347)&amp;": "&amp;INDEX('Zgłoszenia'!$H$5:$H$504,MATCH(H347,'Zgłoszenia'!$S$5:$S$504,0)),RIGHT("0"&amp;DAY((A347+1)),2)&amp;"."&amp;RIGHT("0"&amp;MONTH((A347+1)),2)&amp;"."&amp;YEAR((A347+1))&amp;": "&amp;INDEX('Zgłoszenia'!$H$5:$H$504,MATCH(F347&amp;"|"&amp;(A347+1),'Zgłoszenia'!$S$5:$S$504,0)))&amp;IF(K347&gt;1," (+"&amp;(K347-1)&amp;")",""))</f>
        <v/>
      </c>
      <c r="M347" s="63" t="n">
        <v>5</v>
      </c>
      <c r="N347" s="2" t="n"/>
      <c r="O347" s="2" t="n"/>
    </row>
    <row r="348">
      <c r="A348" s="62">
        <f>IF('5'!$C$1="","",'5'!$C$1)</f>
        <v/>
      </c>
      <c r="B348" s="63">
        <f>Ustawienia!$A$8&amp;""</f>
        <v/>
      </c>
      <c r="C348" s="63">
        <f>Ustawienia!$A$18&amp;""</f>
        <v/>
      </c>
      <c r="D348" s="63" t="n">
        <v>1</v>
      </c>
      <c r="E348" s="63">
        <f>IF('5'!B32="","",TRIM('5'!B32&amp;""))</f>
        <v/>
      </c>
      <c r="F348" s="63">
        <f>IF('5'!C32="","",'5'!C32)</f>
        <v/>
      </c>
      <c r="G348" s="63">
        <f>'5'!D32&amp;""</f>
        <v/>
      </c>
      <c r="H348" s="63">
        <f>IF(OR(A348="",F348=""),"",F348&amp;"|"&amp;A348)</f>
        <v/>
      </c>
      <c r="I348" s="63">
        <f>IF(AND(H348&lt;&gt;"",OR('Historia wózka'!$B$4="",F348='Historia wózka'!$B$4),A348&gt;='Historia wózka'!$B$5,A348&lt;='Historia wózka'!$B$6),A348+0.9+(5000-ROW())/10000000,0)</f>
        <v/>
      </c>
      <c r="J348" s="63">
        <f>Ustawienia!$B$8&amp;""</f>
        <v/>
      </c>
      <c r="K348" s="63">
        <f>IF(H348="","",COUNTIFS('Zgłoszenia'!$B$5:$B$504,F348,'Zgłoszenia'!$D$5:$D$504,"&gt;="&amp;A348,'Zgłoszenia'!$D$5:$D$504,"&lt;="&amp;(A348+1)))</f>
        <v/>
      </c>
      <c r="L348" s="63">
        <f>IF(OR(H348="",K348=0),"—",IF(ISNUMBER(MATCH(H348,'Zgłoszenia'!$S$5:$S$504,0)),RIGHT("0"&amp;DAY(A348),2)&amp;"."&amp;RIGHT("0"&amp;MONTH(A348),2)&amp;"."&amp;YEAR(A348)&amp;": "&amp;INDEX('Zgłoszenia'!$H$5:$H$504,MATCH(H348,'Zgłoszenia'!$S$5:$S$504,0)),RIGHT("0"&amp;DAY((A348+1)),2)&amp;"."&amp;RIGHT("0"&amp;MONTH((A348+1)),2)&amp;"."&amp;YEAR((A348+1))&amp;": "&amp;INDEX('Zgłoszenia'!$H$5:$H$504,MATCH(F348&amp;"|"&amp;(A348+1),'Zgłoszenia'!$S$5:$S$504,0)))&amp;IF(K348&gt;1," (+"&amp;(K348-1)&amp;")",""))</f>
        <v/>
      </c>
      <c r="M348" s="63" t="n">
        <v>5</v>
      </c>
      <c r="N348" s="2" t="n"/>
      <c r="O348" s="2" t="n"/>
    </row>
    <row r="349">
      <c r="A349" s="62">
        <f>IF('5'!$C$1="","",'5'!$C$1)</f>
        <v/>
      </c>
      <c r="B349" s="63">
        <f>Ustawienia!$A$8&amp;""</f>
        <v/>
      </c>
      <c r="C349" s="63">
        <f>Ustawienia!$A$18&amp;""</f>
        <v/>
      </c>
      <c r="D349" s="63" t="n">
        <v>2</v>
      </c>
      <c r="E349" s="63">
        <f>IF('5'!B33="","",TRIM('5'!B33&amp;""))</f>
        <v/>
      </c>
      <c r="F349" s="63">
        <f>IF('5'!C33="","",'5'!C33)</f>
        <v/>
      </c>
      <c r="G349" s="63">
        <f>'5'!D33&amp;""</f>
        <v/>
      </c>
      <c r="H349" s="63">
        <f>IF(OR(A349="",F349=""),"",F349&amp;"|"&amp;A349)</f>
        <v/>
      </c>
      <c r="I349" s="63">
        <f>IF(AND(H349&lt;&gt;"",OR('Historia wózka'!$B$4="",F349='Historia wózka'!$B$4),A349&gt;='Historia wózka'!$B$5,A349&lt;='Historia wózka'!$B$6),A349+0.9+(5000-ROW())/10000000,0)</f>
        <v/>
      </c>
      <c r="J349" s="63">
        <f>Ustawienia!$B$8&amp;""</f>
        <v/>
      </c>
      <c r="K349" s="63">
        <f>IF(H349="","",COUNTIFS('Zgłoszenia'!$B$5:$B$504,F349,'Zgłoszenia'!$D$5:$D$504,"&gt;="&amp;A349,'Zgłoszenia'!$D$5:$D$504,"&lt;="&amp;(A349+1)))</f>
        <v/>
      </c>
      <c r="L349" s="63">
        <f>IF(OR(H349="",K349=0),"—",IF(ISNUMBER(MATCH(H349,'Zgłoszenia'!$S$5:$S$504,0)),RIGHT("0"&amp;DAY(A349),2)&amp;"."&amp;RIGHT("0"&amp;MONTH(A349),2)&amp;"."&amp;YEAR(A349)&amp;": "&amp;INDEX('Zgłoszenia'!$H$5:$H$504,MATCH(H349,'Zgłoszenia'!$S$5:$S$504,0)),RIGHT("0"&amp;DAY((A349+1)),2)&amp;"."&amp;RIGHT("0"&amp;MONTH((A349+1)),2)&amp;"."&amp;YEAR((A349+1))&amp;": "&amp;INDEX('Zgłoszenia'!$H$5:$H$504,MATCH(F349&amp;"|"&amp;(A349+1),'Zgłoszenia'!$S$5:$S$504,0)))&amp;IF(K349&gt;1," (+"&amp;(K349-1)&amp;")",""))</f>
        <v/>
      </c>
      <c r="M349" s="63" t="n">
        <v>5</v>
      </c>
      <c r="N349" s="2" t="n"/>
      <c r="O349" s="2" t="n"/>
    </row>
    <row r="350">
      <c r="A350" s="62">
        <f>IF('5'!$C$1="","",'5'!$C$1)</f>
        <v/>
      </c>
      <c r="B350" s="63">
        <f>Ustawienia!$A$8&amp;""</f>
        <v/>
      </c>
      <c r="C350" s="63">
        <f>Ustawienia!$A$18&amp;""</f>
        <v/>
      </c>
      <c r="D350" s="63" t="n">
        <v>3</v>
      </c>
      <c r="E350" s="63">
        <f>IF('5'!B34="","",TRIM('5'!B34&amp;""))</f>
        <v/>
      </c>
      <c r="F350" s="63">
        <f>IF('5'!C34="","",'5'!C34)</f>
        <v/>
      </c>
      <c r="G350" s="63">
        <f>'5'!D34&amp;""</f>
        <v/>
      </c>
      <c r="H350" s="63">
        <f>IF(OR(A350="",F350=""),"",F350&amp;"|"&amp;A350)</f>
        <v/>
      </c>
      <c r="I350" s="63">
        <f>IF(AND(H350&lt;&gt;"",OR('Historia wózka'!$B$4="",F350='Historia wózka'!$B$4),A350&gt;='Historia wózka'!$B$5,A350&lt;='Historia wózka'!$B$6),A350+0.9+(5000-ROW())/10000000,0)</f>
        <v/>
      </c>
      <c r="J350" s="63">
        <f>Ustawienia!$B$8&amp;""</f>
        <v/>
      </c>
      <c r="K350" s="63">
        <f>IF(H350="","",COUNTIFS('Zgłoszenia'!$B$5:$B$504,F350,'Zgłoszenia'!$D$5:$D$504,"&gt;="&amp;A350,'Zgłoszenia'!$D$5:$D$504,"&lt;="&amp;(A350+1)))</f>
        <v/>
      </c>
      <c r="L350" s="63">
        <f>IF(OR(H350="",K350=0),"—",IF(ISNUMBER(MATCH(H350,'Zgłoszenia'!$S$5:$S$504,0)),RIGHT("0"&amp;DAY(A350),2)&amp;"."&amp;RIGHT("0"&amp;MONTH(A350),2)&amp;"."&amp;YEAR(A350)&amp;": "&amp;INDEX('Zgłoszenia'!$H$5:$H$504,MATCH(H350,'Zgłoszenia'!$S$5:$S$504,0)),RIGHT("0"&amp;DAY((A350+1)),2)&amp;"."&amp;RIGHT("0"&amp;MONTH((A350+1)),2)&amp;"."&amp;YEAR((A350+1))&amp;": "&amp;INDEX('Zgłoszenia'!$H$5:$H$504,MATCH(F350&amp;"|"&amp;(A350+1),'Zgłoszenia'!$S$5:$S$504,0)))&amp;IF(K350&gt;1," (+"&amp;(K350-1)&amp;")",""))</f>
        <v/>
      </c>
      <c r="M350" s="63" t="n">
        <v>5</v>
      </c>
      <c r="N350" s="2" t="n"/>
      <c r="O350" s="2" t="n"/>
    </row>
    <row r="351">
      <c r="A351" s="62">
        <f>IF('5'!$C$1="","",'5'!$C$1)</f>
        <v/>
      </c>
      <c r="B351" s="63">
        <f>Ustawienia!$A$8&amp;""</f>
        <v/>
      </c>
      <c r="C351" s="63">
        <f>Ustawienia!$A$18&amp;""</f>
        <v/>
      </c>
      <c r="D351" s="63" t="n">
        <v>4</v>
      </c>
      <c r="E351" s="63">
        <f>IF('5'!B35="","",TRIM('5'!B35&amp;""))</f>
        <v/>
      </c>
      <c r="F351" s="63">
        <f>IF('5'!C35="","",'5'!C35)</f>
        <v/>
      </c>
      <c r="G351" s="63">
        <f>'5'!D35&amp;""</f>
        <v/>
      </c>
      <c r="H351" s="63">
        <f>IF(OR(A351="",F351=""),"",F351&amp;"|"&amp;A351)</f>
        <v/>
      </c>
      <c r="I351" s="63">
        <f>IF(AND(H351&lt;&gt;"",OR('Historia wózka'!$B$4="",F351='Historia wózka'!$B$4),A351&gt;='Historia wózka'!$B$5,A351&lt;='Historia wózka'!$B$6),A351+0.9+(5000-ROW())/10000000,0)</f>
        <v/>
      </c>
      <c r="J351" s="63">
        <f>Ustawienia!$B$8&amp;""</f>
        <v/>
      </c>
      <c r="K351" s="63">
        <f>IF(H351="","",COUNTIFS('Zgłoszenia'!$B$5:$B$504,F351,'Zgłoszenia'!$D$5:$D$504,"&gt;="&amp;A351,'Zgłoszenia'!$D$5:$D$504,"&lt;="&amp;(A351+1)))</f>
        <v/>
      </c>
      <c r="L351" s="63">
        <f>IF(OR(H351="",K351=0),"—",IF(ISNUMBER(MATCH(H351,'Zgłoszenia'!$S$5:$S$504,0)),RIGHT("0"&amp;DAY(A351),2)&amp;"."&amp;RIGHT("0"&amp;MONTH(A351),2)&amp;"."&amp;YEAR(A351)&amp;": "&amp;INDEX('Zgłoszenia'!$H$5:$H$504,MATCH(H351,'Zgłoszenia'!$S$5:$S$504,0)),RIGHT("0"&amp;DAY((A351+1)),2)&amp;"."&amp;RIGHT("0"&amp;MONTH((A351+1)),2)&amp;"."&amp;YEAR((A351+1))&amp;": "&amp;INDEX('Zgłoszenia'!$H$5:$H$504,MATCH(F351&amp;"|"&amp;(A351+1),'Zgłoszenia'!$S$5:$S$504,0)))&amp;IF(K351&gt;1," (+"&amp;(K351-1)&amp;")",""))</f>
        <v/>
      </c>
      <c r="M351" s="63" t="n">
        <v>5</v>
      </c>
      <c r="N351" s="2" t="n"/>
      <c r="O351" s="2" t="n"/>
    </row>
    <row r="352">
      <c r="A352" s="62">
        <f>IF('5'!$C$1="","",'5'!$C$1)</f>
        <v/>
      </c>
      <c r="B352" s="63">
        <f>Ustawienia!$A$8&amp;""</f>
        <v/>
      </c>
      <c r="C352" s="63">
        <f>Ustawienia!$A$18&amp;""</f>
        <v/>
      </c>
      <c r="D352" s="63" t="n">
        <v>5</v>
      </c>
      <c r="E352" s="63">
        <f>IF('5'!B36="","",TRIM('5'!B36&amp;""))</f>
        <v/>
      </c>
      <c r="F352" s="63">
        <f>IF('5'!C36="","",'5'!C36)</f>
        <v/>
      </c>
      <c r="G352" s="63">
        <f>'5'!D36&amp;""</f>
        <v/>
      </c>
      <c r="H352" s="63">
        <f>IF(OR(A352="",F352=""),"",F352&amp;"|"&amp;A352)</f>
        <v/>
      </c>
      <c r="I352" s="63">
        <f>IF(AND(H352&lt;&gt;"",OR('Historia wózka'!$B$4="",F352='Historia wózka'!$B$4),A352&gt;='Historia wózka'!$B$5,A352&lt;='Historia wózka'!$B$6),A352+0.9+(5000-ROW())/10000000,0)</f>
        <v/>
      </c>
      <c r="J352" s="63">
        <f>Ustawienia!$B$8&amp;""</f>
        <v/>
      </c>
      <c r="K352" s="63">
        <f>IF(H352="","",COUNTIFS('Zgłoszenia'!$B$5:$B$504,F352,'Zgłoszenia'!$D$5:$D$504,"&gt;="&amp;A352,'Zgłoszenia'!$D$5:$D$504,"&lt;="&amp;(A352+1)))</f>
        <v/>
      </c>
      <c r="L352" s="63">
        <f>IF(OR(H352="",K352=0),"—",IF(ISNUMBER(MATCH(H352,'Zgłoszenia'!$S$5:$S$504,0)),RIGHT("0"&amp;DAY(A352),2)&amp;"."&amp;RIGHT("0"&amp;MONTH(A352),2)&amp;"."&amp;YEAR(A352)&amp;": "&amp;INDEX('Zgłoszenia'!$H$5:$H$504,MATCH(H352,'Zgłoszenia'!$S$5:$S$504,0)),RIGHT("0"&amp;DAY((A352+1)),2)&amp;"."&amp;RIGHT("0"&amp;MONTH((A352+1)),2)&amp;"."&amp;YEAR((A352+1))&amp;": "&amp;INDEX('Zgłoszenia'!$H$5:$H$504,MATCH(F352&amp;"|"&amp;(A352+1),'Zgłoszenia'!$S$5:$S$504,0)))&amp;IF(K352&gt;1," (+"&amp;(K352-1)&amp;")",""))</f>
        <v/>
      </c>
      <c r="M352" s="63" t="n">
        <v>5</v>
      </c>
      <c r="N352" s="2" t="n"/>
      <c r="O352" s="2" t="n"/>
    </row>
    <row r="353">
      <c r="A353" s="62">
        <f>IF('5'!$C$1="","",'5'!$C$1)</f>
        <v/>
      </c>
      <c r="B353" s="63">
        <f>Ustawienia!$A$9&amp;""</f>
        <v/>
      </c>
      <c r="C353" s="63">
        <f>Ustawienia!$A$14&amp;""</f>
        <v/>
      </c>
      <c r="D353" s="63" t="n">
        <v>1</v>
      </c>
      <c r="E353" s="63">
        <f>IF('5'!F6="","",TRIM('5'!F6&amp;""))</f>
        <v/>
      </c>
      <c r="F353" s="63">
        <f>IF('5'!G6="","",'5'!G6)</f>
        <v/>
      </c>
      <c r="G353" s="63">
        <f>'5'!H6&amp;""</f>
        <v/>
      </c>
      <c r="H353" s="63">
        <f>IF(OR(A353="",F353=""),"",F353&amp;"|"&amp;A353)</f>
        <v/>
      </c>
      <c r="I353" s="63">
        <f>IF(AND(H353&lt;&gt;"",OR('Historia wózka'!$B$4="",F353='Historia wózka'!$B$4),A353&gt;='Historia wózka'!$B$5,A353&lt;='Historia wózka'!$B$6),A353+0.8+(5000-ROW())/10000000,0)</f>
        <v/>
      </c>
      <c r="J353" s="63">
        <f>Ustawienia!$B$9&amp;""</f>
        <v/>
      </c>
      <c r="K353" s="63">
        <f>IF(H353="","",COUNTIFS('Zgłoszenia'!$B$5:$B$504,F353,'Zgłoszenia'!$D$5:$D$504,"&gt;="&amp;A353,'Zgłoszenia'!$D$5:$D$504,"&lt;="&amp;(A353+1)))</f>
        <v/>
      </c>
      <c r="L353" s="63">
        <f>IF(OR(H353="",K353=0),"—",IF(ISNUMBER(MATCH(H353,'Zgłoszenia'!$S$5:$S$504,0)),RIGHT("0"&amp;DAY(A353),2)&amp;"."&amp;RIGHT("0"&amp;MONTH(A353),2)&amp;"."&amp;YEAR(A353)&amp;": "&amp;INDEX('Zgłoszenia'!$H$5:$H$504,MATCH(H353,'Zgłoszenia'!$S$5:$S$504,0)),RIGHT("0"&amp;DAY((A353+1)),2)&amp;"."&amp;RIGHT("0"&amp;MONTH((A353+1)),2)&amp;"."&amp;YEAR((A353+1))&amp;": "&amp;INDEX('Zgłoszenia'!$H$5:$H$504,MATCH(F353&amp;"|"&amp;(A353+1),'Zgłoszenia'!$S$5:$S$504,0)))&amp;IF(K353&gt;1," (+"&amp;(K353-1)&amp;")",""))</f>
        <v/>
      </c>
      <c r="M353" s="63" t="n">
        <v>5</v>
      </c>
      <c r="N353" s="2" t="n"/>
      <c r="O353" s="2" t="n"/>
    </row>
    <row r="354">
      <c r="A354" s="62">
        <f>IF('5'!$C$1="","",'5'!$C$1)</f>
        <v/>
      </c>
      <c r="B354" s="63">
        <f>Ustawienia!$A$9&amp;""</f>
        <v/>
      </c>
      <c r="C354" s="63">
        <f>Ustawienia!$A$14&amp;""</f>
        <v/>
      </c>
      <c r="D354" s="63" t="n">
        <v>2</v>
      </c>
      <c r="E354" s="63">
        <f>IF('5'!F7="","",TRIM('5'!F7&amp;""))</f>
        <v/>
      </c>
      <c r="F354" s="63">
        <f>IF('5'!G7="","",'5'!G7)</f>
        <v/>
      </c>
      <c r="G354" s="63">
        <f>'5'!H7&amp;""</f>
        <v/>
      </c>
      <c r="H354" s="63">
        <f>IF(OR(A354="",F354=""),"",F354&amp;"|"&amp;A354)</f>
        <v/>
      </c>
      <c r="I354" s="63">
        <f>IF(AND(H354&lt;&gt;"",OR('Historia wózka'!$B$4="",F354='Historia wózka'!$B$4),A354&gt;='Historia wózka'!$B$5,A354&lt;='Historia wózka'!$B$6),A354+0.8+(5000-ROW())/10000000,0)</f>
        <v/>
      </c>
      <c r="J354" s="63">
        <f>Ustawienia!$B$9&amp;""</f>
        <v/>
      </c>
      <c r="K354" s="63">
        <f>IF(H354="","",COUNTIFS('Zgłoszenia'!$B$5:$B$504,F354,'Zgłoszenia'!$D$5:$D$504,"&gt;="&amp;A354,'Zgłoszenia'!$D$5:$D$504,"&lt;="&amp;(A354+1)))</f>
        <v/>
      </c>
      <c r="L354" s="63">
        <f>IF(OR(H354="",K354=0),"—",IF(ISNUMBER(MATCH(H354,'Zgłoszenia'!$S$5:$S$504,0)),RIGHT("0"&amp;DAY(A354),2)&amp;"."&amp;RIGHT("0"&amp;MONTH(A354),2)&amp;"."&amp;YEAR(A354)&amp;": "&amp;INDEX('Zgłoszenia'!$H$5:$H$504,MATCH(H354,'Zgłoszenia'!$S$5:$S$504,0)),RIGHT("0"&amp;DAY((A354+1)),2)&amp;"."&amp;RIGHT("0"&amp;MONTH((A354+1)),2)&amp;"."&amp;YEAR((A354+1))&amp;": "&amp;INDEX('Zgłoszenia'!$H$5:$H$504,MATCH(F354&amp;"|"&amp;(A354+1),'Zgłoszenia'!$S$5:$S$504,0)))&amp;IF(K354&gt;1," (+"&amp;(K354-1)&amp;")",""))</f>
        <v/>
      </c>
      <c r="M354" s="63" t="n">
        <v>5</v>
      </c>
      <c r="N354" s="2" t="n"/>
      <c r="O354" s="2" t="n"/>
    </row>
    <row r="355">
      <c r="A355" s="62">
        <f>IF('5'!$C$1="","",'5'!$C$1)</f>
        <v/>
      </c>
      <c r="B355" s="63">
        <f>Ustawienia!$A$9&amp;""</f>
        <v/>
      </c>
      <c r="C355" s="63">
        <f>Ustawienia!$A$14&amp;""</f>
        <v/>
      </c>
      <c r="D355" s="63" t="n">
        <v>3</v>
      </c>
      <c r="E355" s="63">
        <f>IF('5'!F8="","",TRIM('5'!F8&amp;""))</f>
        <v/>
      </c>
      <c r="F355" s="63">
        <f>IF('5'!G8="","",'5'!G8)</f>
        <v/>
      </c>
      <c r="G355" s="63">
        <f>'5'!H8&amp;""</f>
        <v/>
      </c>
      <c r="H355" s="63">
        <f>IF(OR(A355="",F355=""),"",F355&amp;"|"&amp;A355)</f>
        <v/>
      </c>
      <c r="I355" s="63">
        <f>IF(AND(H355&lt;&gt;"",OR('Historia wózka'!$B$4="",F355='Historia wózka'!$B$4),A355&gt;='Historia wózka'!$B$5,A355&lt;='Historia wózka'!$B$6),A355+0.8+(5000-ROW())/10000000,0)</f>
        <v/>
      </c>
      <c r="J355" s="63">
        <f>Ustawienia!$B$9&amp;""</f>
        <v/>
      </c>
      <c r="K355" s="63">
        <f>IF(H355="","",COUNTIFS('Zgłoszenia'!$B$5:$B$504,F355,'Zgłoszenia'!$D$5:$D$504,"&gt;="&amp;A355,'Zgłoszenia'!$D$5:$D$504,"&lt;="&amp;(A355+1)))</f>
        <v/>
      </c>
      <c r="L355" s="63">
        <f>IF(OR(H355="",K355=0),"—",IF(ISNUMBER(MATCH(H355,'Zgłoszenia'!$S$5:$S$504,0)),RIGHT("0"&amp;DAY(A355),2)&amp;"."&amp;RIGHT("0"&amp;MONTH(A355),2)&amp;"."&amp;YEAR(A355)&amp;": "&amp;INDEX('Zgłoszenia'!$H$5:$H$504,MATCH(H355,'Zgłoszenia'!$S$5:$S$504,0)),RIGHT("0"&amp;DAY((A355+1)),2)&amp;"."&amp;RIGHT("0"&amp;MONTH((A355+1)),2)&amp;"."&amp;YEAR((A355+1))&amp;": "&amp;INDEX('Zgłoszenia'!$H$5:$H$504,MATCH(F355&amp;"|"&amp;(A355+1),'Zgłoszenia'!$S$5:$S$504,0)))&amp;IF(K355&gt;1," (+"&amp;(K355-1)&amp;")",""))</f>
        <v/>
      </c>
      <c r="M355" s="63" t="n">
        <v>5</v>
      </c>
      <c r="N355" s="2" t="n"/>
      <c r="O355" s="2" t="n"/>
    </row>
    <row r="356">
      <c r="A356" s="62">
        <f>IF('5'!$C$1="","",'5'!$C$1)</f>
        <v/>
      </c>
      <c r="B356" s="63">
        <f>Ustawienia!$A$9&amp;""</f>
        <v/>
      </c>
      <c r="C356" s="63">
        <f>Ustawienia!$A$14&amp;""</f>
        <v/>
      </c>
      <c r="D356" s="63" t="n">
        <v>4</v>
      </c>
      <c r="E356" s="63">
        <f>IF('5'!F9="","",TRIM('5'!F9&amp;""))</f>
        <v/>
      </c>
      <c r="F356" s="63">
        <f>IF('5'!G9="","",'5'!G9)</f>
        <v/>
      </c>
      <c r="G356" s="63">
        <f>'5'!H9&amp;""</f>
        <v/>
      </c>
      <c r="H356" s="63">
        <f>IF(OR(A356="",F356=""),"",F356&amp;"|"&amp;A356)</f>
        <v/>
      </c>
      <c r="I356" s="63">
        <f>IF(AND(H356&lt;&gt;"",OR('Historia wózka'!$B$4="",F356='Historia wózka'!$B$4),A356&gt;='Historia wózka'!$B$5,A356&lt;='Historia wózka'!$B$6),A356+0.8+(5000-ROW())/10000000,0)</f>
        <v/>
      </c>
      <c r="J356" s="63">
        <f>Ustawienia!$B$9&amp;""</f>
        <v/>
      </c>
      <c r="K356" s="63">
        <f>IF(H356="","",COUNTIFS('Zgłoszenia'!$B$5:$B$504,F356,'Zgłoszenia'!$D$5:$D$504,"&gt;="&amp;A356,'Zgłoszenia'!$D$5:$D$504,"&lt;="&amp;(A356+1)))</f>
        <v/>
      </c>
      <c r="L356" s="63">
        <f>IF(OR(H356="",K356=0),"—",IF(ISNUMBER(MATCH(H356,'Zgłoszenia'!$S$5:$S$504,0)),RIGHT("0"&amp;DAY(A356),2)&amp;"."&amp;RIGHT("0"&amp;MONTH(A356),2)&amp;"."&amp;YEAR(A356)&amp;": "&amp;INDEX('Zgłoszenia'!$H$5:$H$504,MATCH(H356,'Zgłoszenia'!$S$5:$S$504,0)),RIGHT("0"&amp;DAY((A356+1)),2)&amp;"."&amp;RIGHT("0"&amp;MONTH((A356+1)),2)&amp;"."&amp;YEAR((A356+1))&amp;": "&amp;INDEX('Zgłoszenia'!$H$5:$H$504,MATCH(F356&amp;"|"&amp;(A356+1),'Zgłoszenia'!$S$5:$S$504,0)))&amp;IF(K356&gt;1," (+"&amp;(K356-1)&amp;")",""))</f>
        <v/>
      </c>
      <c r="M356" s="63" t="n">
        <v>5</v>
      </c>
      <c r="N356" s="2" t="n"/>
      <c r="O356" s="2" t="n"/>
    </row>
    <row r="357">
      <c r="A357" s="62">
        <f>IF('5'!$C$1="","",'5'!$C$1)</f>
        <v/>
      </c>
      <c r="B357" s="63">
        <f>Ustawienia!$A$9&amp;""</f>
        <v/>
      </c>
      <c r="C357" s="63">
        <f>Ustawienia!$A$14&amp;""</f>
        <v/>
      </c>
      <c r="D357" s="63" t="n">
        <v>5</v>
      </c>
      <c r="E357" s="63">
        <f>IF('5'!F10="","",TRIM('5'!F10&amp;""))</f>
        <v/>
      </c>
      <c r="F357" s="63">
        <f>IF('5'!G10="","",'5'!G10)</f>
        <v/>
      </c>
      <c r="G357" s="63">
        <f>'5'!H10&amp;""</f>
        <v/>
      </c>
      <c r="H357" s="63">
        <f>IF(OR(A357="",F357=""),"",F357&amp;"|"&amp;A357)</f>
        <v/>
      </c>
      <c r="I357" s="63">
        <f>IF(AND(H357&lt;&gt;"",OR('Historia wózka'!$B$4="",F357='Historia wózka'!$B$4),A357&gt;='Historia wózka'!$B$5,A357&lt;='Historia wózka'!$B$6),A357+0.8+(5000-ROW())/10000000,0)</f>
        <v/>
      </c>
      <c r="J357" s="63">
        <f>Ustawienia!$B$9&amp;""</f>
        <v/>
      </c>
      <c r="K357" s="63">
        <f>IF(H357="","",COUNTIFS('Zgłoszenia'!$B$5:$B$504,F357,'Zgłoszenia'!$D$5:$D$504,"&gt;="&amp;A357,'Zgłoszenia'!$D$5:$D$504,"&lt;="&amp;(A357+1)))</f>
        <v/>
      </c>
      <c r="L357" s="63">
        <f>IF(OR(H357="",K357=0),"—",IF(ISNUMBER(MATCH(H357,'Zgłoszenia'!$S$5:$S$504,0)),RIGHT("0"&amp;DAY(A357),2)&amp;"."&amp;RIGHT("0"&amp;MONTH(A357),2)&amp;"."&amp;YEAR(A357)&amp;": "&amp;INDEX('Zgłoszenia'!$H$5:$H$504,MATCH(H357,'Zgłoszenia'!$S$5:$S$504,0)),RIGHT("0"&amp;DAY((A357+1)),2)&amp;"."&amp;RIGHT("0"&amp;MONTH((A357+1)),2)&amp;"."&amp;YEAR((A357+1))&amp;": "&amp;INDEX('Zgłoszenia'!$H$5:$H$504,MATCH(F357&amp;"|"&amp;(A357+1),'Zgłoszenia'!$S$5:$S$504,0)))&amp;IF(K357&gt;1," (+"&amp;(K357-1)&amp;")",""))</f>
        <v/>
      </c>
      <c r="M357" s="63" t="n">
        <v>5</v>
      </c>
      <c r="N357" s="2" t="n"/>
      <c r="O357" s="2" t="n"/>
    </row>
    <row r="358">
      <c r="A358" s="62">
        <f>IF('5'!$C$1="","",'5'!$C$1)</f>
        <v/>
      </c>
      <c r="B358" s="63">
        <f>Ustawienia!$A$9&amp;""</f>
        <v/>
      </c>
      <c r="C358" s="63">
        <f>Ustawienia!$A$14&amp;""</f>
        <v/>
      </c>
      <c r="D358" s="63" t="n">
        <v>6</v>
      </c>
      <c r="E358" s="63">
        <f>IF('5'!F11="","",TRIM('5'!F11&amp;""))</f>
        <v/>
      </c>
      <c r="F358" s="63">
        <f>IF('5'!G11="","",'5'!G11)</f>
        <v/>
      </c>
      <c r="G358" s="63">
        <f>'5'!H11&amp;""</f>
        <v/>
      </c>
      <c r="H358" s="63">
        <f>IF(OR(A358="",F358=""),"",F358&amp;"|"&amp;A358)</f>
        <v/>
      </c>
      <c r="I358" s="63">
        <f>IF(AND(H358&lt;&gt;"",OR('Historia wózka'!$B$4="",F358='Historia wózka'!$B$4),A358&gt;='Historia wózka'!$B$5,A358&lt;='Historia wózka'!$B$6),A358+0.8+(5000-ROW())/10000000,0)</f>
        <v/>
      </c>
      <c r="J358" s="63">
        <f>Ustawienia!$B$9&amp;""</f>
        <v/>
      </c>
      <c r="K358" s="63">
        <f>IF(H358="","",COUNTIFS('Zgłoszenia'!$B$5:$B$504,F358,'Zgłoszenia'!$D$5:$D$504,"&gt;="&amp;A358,'Zgłoszenia'!$D$5:$D$504,"&lt;="&amp;(A358+1)))</f>
        <v/>
      </c>
      <c r="L358" s="63">
        <f>IF(OR(H358="",K358=0),"—",IF(ISNUMBER(MATCH(H358,'Zgłoszenia'!$S$5:$S$504,0)),RIGHT("0"&amp;DAY(A358),2)&amp;"."&amp;RIGHT("0"&amp;MONTH(A358),2)&amp;"."&amp;YEAR(A358)&amp;": "&amp;INDEX('Zgłoszenia'!$H$5:$H$504,MATCH(H358,'Zgłoszenia'!$S$5:$S$504,0)),RIGHT("0"&amp;DAY((A358+1)),2)&amp;"."&amp;RIGHT("0"&amp;MONTH((A358+1)),2)&amp;"."&amp;YEAR((A358+1))&amp;": "&amp;INDEX('Zgłoszenia'!$H$5:$H$504,MATCH(F358&amp;"|"&amp;(A358+1),'Zgłoszenia'!$S$5:$S$504,0)))&amp;IF(K358&gt;1," (+"&amp;(K358-1)&amp;")",""))</f>
        <v/>
      </c>
      <c r="M358" s="63" t="n">
        <v>5</v>
      </c>
      <c r="N358" s="2" t="n"/>
      <c r="O358" s="2" t="n"/>
    </row>
    <row r="359">
      <c r="A359" s="62">
        <f>IF('5'!$C$1="","",'5'!$C$1)</f>
        <v/>
      </c>
      <c r="B359" s="63">
        <f>Ustawienia!$A$9&amp;""</f>
        <v/>
      </c>
      <c r="C359" s="63">
        <f>Ustawienia!$A$15&amp;""</f>
        <v/>
      </c>
      <c r="D359" s="63" t="n">
        <v>1</v>
      </c>
      <c r="E359" s="63">
        <f>IF('5'!F13="","",TRIM('5'!F13&amp;""))</f>
        <v/>
      </c>
      <c r="F359" s="63">
        <f>IF('5'!G13="","",'5'!G13)</f>
        <v/>
      </c>
      <c r="G359" s="63">
        <f>'5'!H13&amp;""</f>
        <v/>
      </c>
      <c r="H359" s="63">
        <f>IF(OR(A359="",F359=""),"",F359&amp;"|"&amp;A359)</f>
        <v/>
      </c>
      <c r="I359" s="63">
        <f>IF(AND(H359&lt;&gt;"",OR('Historia wózka'!$B$4="",F359='Historia wózka'!$B$4),A359&gt;='Historia wózka'!$B$5,A359&lt;='Historia wózka'!$B$6),A359+0.8+(5000-ROW())/10000000,0)</f>
        <v/>
      </c>
      <c r="J359" s="63">
        <f>Ustawienia!$B$9&amp;""</f>
        <v/>
      </c>
      <c r="K359" s="63">
        <f>IF(H359="","",COUNTIFS('Zgłoszenia'!$B$5:$B$504,F359,'Zgłoszenia'!$D$5:$D$504,"&gt;="&amp;A359,'Zgłoszenia'!$D$5:$D$504,"&lt;="&amp;(A359+1)))</f>
        <v/>
      </c>
      <c r="L359" s="63">
        <f>IF(OR(H359="",K359=0),"—",IF(ISNUMBER(MATCH(H359,'Zgłoszenia'!$S$5:$S$504,0)),RIGHT("0"&amp;DAY(A359),2)&amp;"."&amp;RIGHT("0"&amp;MONTH(A359),2)&amp;"."&amp;YEAR(A359)&amp;": "&amp;INDEX('Zgłoszenia'!$H$5:$H$504,MATCH(H359,'Zgłoszenia'!$S$5:$S$504,0)),RIGHT("0"&amp;DAY((A359+1)),2)&amp;"."&amp;RIGHT("0"&amp;MONTH((A359+1)),2)&amp;"."&amp;YEAR((A359+1))&amp;": "&amp;INDEX('Zgłoszenia'!$H$5:$H$504,MATCH(F359&amp;"|"&amp;(A359+1),'Zgłoszenia'!$S$5:$S$504,0)))&amp;IF(K359&gt;1," (+"&amp;(K359-1)&amp;")",""))</f>
        <v/>
      </c>
      <c r="M359" s="63" t="n">
        <v>5</v>
      </c>
      <c r="N359" s="2" t="n"/>
      <c r="O359" s="2" t="n"/>
    </row>
    <row r="360">
      <c r="A360" s="62">
        <f>IF('5'!$C$1="","",'5'!$C$1)</f>
        <v/>
      </c>
      <c r="B360" s="63">
        <f>Ustawienia!$A$9&amp;""</f>
        <v/>
      </c>
      <c r="C360" s="63">
        <f>Ustawienia!$A$15&amp;""</f>
        <v/>
      </c>
      <c r="D360" s="63" t="n">
        <v>2</v>
      </c>
      <c r="E360" s="63">
        <f>IF('5'!F14="","",TRIM('5'!F14&amp;""))</f>
        <v/>
      </c>
      <c r="F360" s="63">
        <f>IF('5'!G14="","",'5'!G14)</f>
        <v/>
      </c>
      <c r="G360" s="63">
        <f>'5'!H14&amp;""</f>
        <v/>
      </c>
      <c r="H360" s="63">
        <f>IF(OR(A360="",F360=""),"",F360&amp;"|"&amp;A360)</f>
        <v/>
      </c>
      <c r="I360" s="63">
        <f>IF(AND(H360&lt;&gt;"",OR('Historia wózka'!$B$4="",F360='Historia wózka'!$B$4),A360&gt;='Historia wózka'!$B$5,A360&lt;='Historia wózka'!$B$6),A360+0.8+(5000-ROW())/10000000,0)</f>
        <v/>
      </c>
      <c r="J360" s="63">
        <f>Ustawienia!$B$9&amp;""</f>
        <v/>
      </c>
      <c r="K360" s="63">
        <f>IF(H360="","",COUNTIFS('Zgłoszenia'!$B$5:$B$504,F360,'Zgłoszenia'!$D$5:$D$504,"&gt;="&amp;A360,'Zgłoszenia'!$D$5:$D$504,"&lt;="&amp;(A360+1)))</f>
        <v/>
      </c>
      <c r="L360" s="63">
        <f>IF(OR(H360="",K360=0),"—",IF(ISNUMBER(MATCH(H360,'Zgłoszenia'!$S$5:$S$504,0)),RIGHT("0"&amp;DAY(A360),2)&amp;"."&amp;RIGHT("0"&amp;MONTH(A360),2)&amp;"."&amp;YEAR(A360)&amp;": "&amp;INDEX('Zgłoszenia'!$H$5:$H$504,MATCH(H360,'Zgłoszenia'!$S$5:$S$504,0)),RIGHT("0"&amp;DAY((A360+1)),2)&amp;"."&amp;RIGHT("0"&amp;MONTH((A360+1)),2)&amp;"."&amp;YEAR((A360+1))&amp;": "&amp;INDEX('Zgłoszenia'!$H$5:$H$504,MATCH(F360&amp;"|"&amp;(A360+1),'Zgłoszenia'!$S$5:$S$504,0)))&amp;IF(K360&gt;1," (+"&amp;(K360-1)&amp;")",""))</f>
        <v/>
      </c>
      <c r="M360" s="63" t="n">
        <v>5</v>
      </c>
      <c r="N360" s="2" t="n"/>
      <c r="O360" s="2" t="n"/>
    </row>
    <row r="361">
      <c r="A361" s="62">
        <f>IF('5'!$C$1="","",'5'!$C$1)</f>
        <v/>
      </c>
      <c r="B361" s="63">
        <f>Ustawienia!$A$9&amp;""</f>
        <v/>
      </c>
      <c r="C361" s="63">
        <f>Ustawienia!$A$15&amp;""</f>
        <v/>
      </c>
      <c r="D361" s="63" t="n">
        <v>3</v>
      </c>
      <c r="E361" s="63">
        <f>IF('5'!F15="","",TRIM('5'!F15&amp;""))</f>
        <v/>
      </c>
      <c r="F361" s="63">
        <f>IF('5'!G15="","",'5'!G15)</f>
        <v/>
      </c>
      <c r="G361" s="63">
        <f>'5'!H15&amp;""</f>
        <v/>
      </c>
      <c r="H361" s="63">
        <f>IF(OR(A361="",F361=""),"",F361&amp;"|"&amp;A361)</f>
        <v/>
      </c>
      <c r="I361" s="63">
        <f>IF(AND(H361&lt;&gt;"",OR('Historia wózka'!$B$4="",F361='Historia wózka'!$B$4),A361&gt;='Historia wózka'!$B$5,A361&lt;='Historia wózka'!$B$6),A361+0.8+(5000-ROW())/10000000,0)</f>
        <v/>
      </c>
      <c r="J361" s="63">
        <f>Ustawienia!$B$9&amp;""</f>
        <v/>
      </c>
      <c r="K361" s="63">
        <f>IF(H361="","",COUNTIFS('Zgłoszenia'!$B$5:$B$504,F361,'Zgłoszenia'!$D$5:$D$504,"&gt;="&amp;A361,'Zgłoszenia'!$D$5:$D$504,"&lt;="&amp;(A361+1)))</f>
        <v/>
      </c>
      <c r="L361" s="63">
        <f>IF(OR(H361="",K361=0),"—",IF(ISNUMBER(MATCH(H361,'Zgłoszenia'!$S$5:$S$504,0)),RIGHT("0"&amp;DAY(A361),2)&amp;"."&amp;RIGHT("0"&amp;MONTH(A361),2)&amp;"."&amp;YEAR(A361)&amp;": "&amp;INDEX('Zgłoszenia'!$H$5:$H$504,MATCH(H361,'Zgłoszenia'!$S$5:$S$504,0)),RIGHT("0"&amp;DAY((A361+1)),2)&amp;"."&amp;RIGHT("0"&amp;MONTH((A361+1)),2)&amp;"."&amp;YEAR((A361+1))&amp;": "&amp;INDEX('Zgłoszenia'!$H$5:$H$504,MATCH(F361&amp;"|"&amp;(A361+1),'Zgłoszenia'!$S$5:$S$504,0)))&amp;IF(K361&gt;1," (+"&amp;(K361-1)&amp;")",""))</f>
        <v/>
      </c>
      <c r="M361" s="63" t="n">
        <v>5</v>
      </c>
      <c r="N361" s="2" t="n"/>
      <c r="O361" s="2" t="n"/>
    </row>
    <row r="362">
      <c r="A362" s="62">
        <f>IF('5'!$C$1="","",'5'!$C$1)</f>
        <v/>
      </c>
      <c r="B362" s="63">
        <f>Ustawienia!$A$9&amp;""</f>
        <v/>
      </c>
      <c r="C362" s="63">
        <f>Ustawienia!$A$15&amp;""</f>
        <v/>
      </c>
      <c r="D362" s="63" t="n">
        <v>4</v>
      </c>
      <c r="E362" s="63">
        <f>IF('5'!F16="","",TRIM('5'!F16&amp;""))</f>
        <v/>
      </c>
      <c r="F362" s="63">
        <f>IF('5'!G16="","",'5'!G16)</f>
        <v/>
      </c>
      <c r="G362" s="63">
        <f>'5'!H16&amp;""</f>
        <v/>
      </c>
      <c r="H362" s="63">
        <f>IF(OR(A362="",F362=""),"",F362&amp;"|"&amp;A362)</f>
        <v/>
      </c>
      <c r="I362" s="63">
        <f>IF(AND(H362&lt;&gt;"",OR('Historia wózka'!$B$4="",F362='Historia wózka'!$B$4),A362&gt;='Historia wózka'!$B$5,A362&lt;='Historia wózka'!$B$6),A362+0.8+(5000-ROW())/10000000,0)</f>
        <v/>
      </c>
      <c r="J362" s="63">
        <f>Ustawienia!$B$9&amp;""</f>
        <v/>
      </c>
      <c r="K362" s="63">
        <f>IF(H362="","",COUNTIFS('Zgłoszenia'!$B$5:$B$504,F362,'Zgłoszenia'!$D$5:$D$504,"&gt;="&amp;A362,'Zgłoszenia'!$D$5:$D$504,"&lt;="&amp;(A362+1)))</f>
        <v/>
      </c>
      <c r="L362" s="63">
        <f>IF(OR(H362="",K362=0),"—",IF(ISNUMBER(MATCH(H362,'Zgłoszenia'!$S$5:$S$504,0)),RIGHT("0"&amp;DAY(A362),2)&amp;"."&amp;RIGHT("0"&amp;MONTH(A362),2)&amp;"."&amp;YEAR(A362)&amp;": "&amp;INDEX('Zgłoszenia'!$H$5:$H$504,MATCH(H362,'Zgłoszenia'!$S$5:$S$504,0)),RIGHT("0"&amp;DAY((A362+1)),2)&amp;"."&amp;RIGHT("0"&amp;MONTH((A362+1)),2)&amp;"."&amp;YEAR((A362+1))&amp;": "&amp;INDEX('Zgłoszenia'!$H$5:$H$504,MATCH(F362&amp;"|"&amp;(A362+1),'Zgłoszenia'!$S$5:$S$504,0)))&amp;IF(K362&gt;1," (+"&amp;(K362-1)&amp;")",""))</f>
        <v/>
      </c>
      <c r="M362" s="63" t="n">
        <v>5</v>
      </c>
      <c r="N362" s="2" t="n"/>
      <c r="O362" s="2" t="n"/>
    </row>
    <row r="363">
      <c r="A363" s="62">
        <f>IF('5'!$C$1="","",'5'!$C$1)</f>
        <v/>
      </c>
      <c r="B363" s="63">
        <f>Ustawienia!$A$9&amp;""</f>
        <v/>
      </c>
      <c r="C363" s="63">
        <f>Ustawienia!$A$15&amp;""</f>
        <v/>
      </c>
      <c r="D363" s="63" t="n">
        <v>5</v>
      </c>
      <c r="E363" s="63">
        <f>IF('5'!F17="","",TRIM('5'!F17&amp;""))</f>
        <v/>
      </c>
      <c r="F363" s="63">
        <f>IF('5'!G17="","",'5'!G17)</f>
        <v/>
      </c>
      <c r="G363" s="63">
        <f>'5'!H17&amp;""</f>
        <v/>
      </c>
      <c r="H363" s="63">
        <f>IF(OR(A363="",F363=""),"",F363&amp;"|"&amp;A363)</f>
        <v/>
      </c>
      <c r="I363" s="63">
        <f>IF(AND(H363&lt;&gt;"",OR('Historia wózka'!$B$4="",F363='Historia wózka'!$B$4),A363&gt;='Historia wózka'!$B$5,A363&lt;='Historia wózka'!$B$6),A363+0.8+(5000-ROW())/10000000,0)</f>
        <v/>
      </c>
      <c r="J363" s="63">
        <f>Ustawienia!$B$9&amp;""</f>
        <v/>
      </c>
      <c r="K363" s="63">
        <f>IF(H363="","",COUNTIFS('Zgłoszenia'!$B$5:$B$504,F363,'Zgłoszenia'!$D$5:$D$504,"&gt;="&amp;A363,'Zgłoszenia'!$D$5:$D$504,"&lt;="&amp;(A363+1)))</f>
        <v/>
      </c>
      <c r="L363" s="63">
        <f>IF(OR(H363="",K363=0),"—",IF(ISNUMBER(MATCH(H363,'Zgłoszenia'!$S$5:$S$504,0)),RIGHT("0"&amp;DAY(A363),2)&amp;"."&amp;RIGHT("0"&amp;MONTH(A363),2)&amp;"."&amp;YEAR(A363)&amp;": "&amp;INDEX('Zgłoszenia'!$H$5:$H$504,MATCH(H363,'Zgłoszenia'!$S$5:$S$504,0)),RIGHT("0"&amp;DAY((A363+1)),2)&amp;"."&amp;RIGHT("0"&amp;MONTH((A363+1)),2)&amp;"."&amp;YEAR((A363+1))&amp;": "&amp;INDEX('Zgłoszenia'!$H$5:$H$504,MATCH(F363&amp;"|"&amp;(A363+1),'Zgłoszenia'!$S$5:$S$504,0)))&amp;IF(K363&gt;1," (+"&amp;(K363-1)&amp;")",""))</f>
        <v/>
      </c>
      <c r="M363" s="63" t="n">
        <v>5</v>
      </c>
      <c r="N363" s="2" t="n"/>
      <c r="O363" s="2" t="n"/>
    </row>
    <row r="364">
      <c r="A364" s="62">
        <f>IF('5'!$C$1="","",'5'!$C$1)</f>
        <v/>
      </c>
      <c r="B364" s="63">
        <f>Ustawienia!$A$9&amp;""</f>
        <v/>
      </c>
      <c r="C364" s="63">
        <f>Ustawienia!$A$15&amp;""</f>
        <v/>
      </c>
      <c r="D364" s="63" t="n">
        <v>6</v>
      </c>
      <c r="E364" s="63">
        <f>IF('5'!F18="","",TRIM('5'!F18&amp;""))</f>
        <v/>
      </c>
      <c r="F364" s="63">
        <f>IF('5'!G18="","",'5'!G18)</f>
        <v/>
      </c>
      <c r="G364" s="63">
        <f>'5'!H18&amp;""</f>
        <v/>
      </c>
      <c r="H364" s="63">
        <f>IF(OR(A364="",F364=""),"",F364&amp;"|"&amp;A364)</f>
        <v/>
      </c>
      <c r="I364" s="63">
        <f>IF(AND(H364&lt;&gt;"",OR('Historia wózka'!$B$4="",F364='Historia wózka'!$B$4),A364&gt;='Historia wózka'!$B$5,A364&lt;='Historia wózka'!$B$6),A364+0.8+(5000-ROW())/10000000,0)</f>
        <v/>
      </c>
      <c r="J364" s="63">
        <f>Ustawienia!$B$9&amp;""</f>
        <v/>
      </c>
      <c r="K364" s="63">
        <f>IF(H364="","",COUNTIFS('Zgłoszenia'!$B$5:$B$504,F364,'Zgłoszenia'!$D$5:$D$504,"&gt;="&amp;A364,'Zgłoszenia'!$D$5:$D$504,"&lt;="&amp;(A364+1)))</f>
        <v/>
      </c>
      <c r="L364" s="63">
        <f>IF(OR(H364="",K364=0),"—",IF(ISNUMBER(MATCH(H364,'Zgłoszenia'!$S$5:$S$504,0)),RIGHT("0"&amp;DAY(A364),2)&amp;"."&amp;RIGHT("0"&amp;MONTH(A364),2)&amp;"."&amp;YEAR(A364)&amp;": "&amp;INDEX('Zgłoszenia'!$H$5:$H$504,MATCH(H364,'Zgłoszenia'!$S$5:$S$504,0)),RIGHT("0"&amp;DAY((A364+1)),2)&amp;"."&amp;RIGHT("0"&amp;MONTH((A364+1)),2)&amp;"."&amp;YEAR((A364+1))&amp;": "&amp;INDEX('Zgłoszenia'!$H$5:$H$504,MATCH(F364&amp;"|"&amp;(A364+1),'Zgłoszenia'!$S$5:$S$504,0)))&amp;IF(K364&gt;1," (+"&amp;(K364-1)&amp;")",""))</f>
        <v/>
      </c>
      <c r="M364" s="63" t="n">
        <v>5</v>
      </c>
      <c r="N364" s="2" t="n"/>
      <c r="O364" s="2" t="n"/>
    </row>
    <row r="365">
      <c r="A365" s="62">
        <f>IF('5'!$C$1="","",'5'!$C$1)</f>
        <v/>
      </c>
      <c r="B365" s="63">
        <f>Ustawienia!$A$9&amp;""</f>
        <v/>
      </c>
      <c r="C365" s="63">
        <f>Ustawienia!$A$15&amp;""</f>
        <v/>
      </c>
      <c r="D365" s="63" t="n">
        <v>7</v>
      </c>
      <c r="E365" s="63">
        <f>IF('5'!F19="","",TRIM('5'!F19&amp;""))</f>
        <v/>
      </c>
      <c r="F365" s="63">
        <f>IF('5'!G19="","",'5'!G19)</f>
        <v/>
      </c>
      <c r="G365" s="63">
        <f>'5'!H19&amp;""</f>
        <v/>
      </c>
      <c r="H365" s="63">
        <f>IF(OR(A365="",F365=""),"",F365&amp;"|"&amp;A365)</f>
        <v/>
      </c>
      <c r="I365" s="63">
        <f>IF(AND(H365&lt;&gt;"",OR('Historia wózka'!$B$4="",F365='Historia wózka'!$B$4),A365&gt;='Historia wózka'!$B$5,A365&lt;='Historia wózka'!$B$6),A365+0.8+(5000-ROW())/10000000,0)</f>
        <v/>
      </c>
      <c r="J365" s="63">
        <f>Ustawienia!$B$9&amp;""</f>
        <v/>
      </c>
      <c r="K365" s="63">
        <f>IF(H365="","",COUNTIFS('Zgłoszenia'!$B$5:$B$504,F365,'Zgłoszenia'!$D$5:$D$504,"&gt;="&amp;A365,'Zgłoszenia'!$D$5:$D$504,"&lt;="&amp;(A365+1)))</f>
        <v/>
      </c>
      <c r="L365" s="63">
        <f>IF(OR(H365="",K365=0),"—",IF(ISNUMBER(MATCH(H365,'Zgłoszenia'!$S$5:$S$504,0)),RIGHT("0"&amp;DAY(A365),2)&amp;"."&amp;RIGHT("0"&amp;MONTH(A365),2)&amp;"."&amp;YEAR(A365)&amp;": "&amp;INDEX('Zgłoszenia'!$H$5:$H$504,MATCH(H365,'Zgłoszenia'!$S$5:$S$504,0)),RIGHT("0"&amp;DAY((A365+1)),2)&amp;"."&amp;RIGHT("0"&amp;MONTH((A365+1)),2)&amp;"."&amp;YEAR((A365+1))&amp;": "&amp;INDEX('Zgłoszenia'!$H$5:$H$504,MATCH(F365&amp;"|"&amp;(A365+1),'Zgłoszenia'!$S$5:$S$504,0)))&amp;IF(K365&gt;1," (+"&amp;(K365-1)&amp;")",""))</f>
        <v/>
      </c>
      <c r="M365" s="63" t="n">
        <v>5</v>
      </c>
      <c r="N365" s="2" t="n"/>
      <c r="O365" s="2" t="n"/>
    </row>
    <row r="366">
      <c r="A366" s="62">
        <f>IF('5'!$C$1="","",'5'!$C$1)</f>
        <v/>
      </c>
      <c r="B366" s="63">
        <f>Ustawienia!$A$9&amp;""</f>
        <v/>
      </c>
      <c r="C366" s="63">
        <f>Ustawienia!$A$15&amp;""</f>
        <v/>
      </c>
      <c r="D366" s="63" t="n">
        <v>8</v>
      </c>
      <c r="E366" s="63">
        <f>IF('5'!F20="","",TRIM('5'!F20&amp;""))</f>
        <v/>
      </c>
      <c r="F366" s="63">
        <f>IF('5'!G20="","",'5'!G20)</f>
        <v/>
      </c>
      <c r="G366" s="63">
        <f>'5'!H20&amp;""</f>
        <v/>
      </c>
      <c r="H366" s="63">
        <f>IF(OR(A366="",F366=""),"",F366&amp;"|"&amp;A366)</f>
        <v/>
      </c>
      <c r="I366" s="63">
        <f>IF(AND(H366&lt;&gt;"",OR('Historia wózka'!$B$4="",F366='Historia wózka'!$B$4),A366&gt;='Historia wózka'!$B$5,A366&lt;='Historia wózka'!$B$6),A366+0.8+(5000-ROW())/10000000,0)</f>
        <v/>
      </c>
      <c r="J366" s="63">
        <f>Ustawienia!$B$9&amp;""</f>
        <v/>
      </c>
      <c r="K366" s="63">
        <f>IF(H366="","",COUNTIFS('Zgłoszenia'!$B$5:$B$504,F366,'Zgłoszenia'!$D$5:$D$504,"&gt;="&amp;A366,'Zgłoszenia'!$D$5:$D$504,"&lt;="&amp;(A366+1)))</f>
        <v/>
      </c>
      <c r="L366" s="63">
        <f>IF(OR(H366="",K366=0),"—",IF(ISNUMBER(MATCH(H366,'Zgłoszenia'!$S$5:$S$504,0)),RIGHT("0"&amp;DAY(A366),2)&amp;"."&amp;RIGHT("0"&amp;MONTH(A366),2)&amp;"."&amp;YEAR(A366)&amp;": "&amp;INDEX('Zgłoszenia'!$H$5:$H$504,MATCH(H366,'Zgłoszenia'!$S$5:$S$504,0)),RIGHT("0"&amp;DAY((A366+1)),2)&amp;"."&amp;RIGHT("0"&amp;MONTH((A366+1)),2)&amp;"."&amp;YEAR((A366+1))&amp;": "&amp;INDEX('Zgłoszenia'!$H$5:$H$504,MATCH(F366&amp;"|"&amp;(A366+1),'Zgłoszenia'!$S$5:$S$504,0)))&amp;IF(K366&gt;1," (+"&amp;(K366-1)&amp;")",""))</f>
        <v/>
      </c>
      <c r="M366" s="63" t="n">
        <v>5</v>
      </c>
      <c r="N366" s="2" t="n"/>
      <c r="O366" s="2" t="n"/>
    </row>
    <row r="367">
      <c r="A367" s="62">
        <f>IF('5'!$C$1="","",'5'!$C$1)</f>
        <v/>
      </c>
      <c r="B367" s="63">
        <f>Ustawienia!$A$9&amp;""</f>
        <v/>
      </c>
      <c r="C367" s="63">
        <f>Ustawienia!$A$16&amp;""</f>
        <v/>
      </c>
      <c r="D367" s="63" t="n">
        <v>1</v>
      </c>
      <c r="E367" s="63">
        <f>IF('5'!F22="","",TRIM('5'!F22&amp;""))</f>
        <v/>
      </c>
      <c r="F367" s="63">
        <f>IF('5'!G22="","",'5'!G22)</f>
        <v/>
      </c>
      <c r="G367" s="63">
        <f>'5'!H22&amp;""</f>
        <v/>
      </c>
      <c r="H367" s="63">
        <f>IF(OR(A367="",F367=""),"",F367&amp;"|"&amp;A367)</f>
        <v/>
      </c>
      <c r="I367" s="63">
        <f>IF(AND(H367&lt;&gt;"",OR('Historia wózka'!$B$4="",F367='Historia wózka'!$B$4),A367&gt;='Historia wózka'!$B$5,A367&lt;='Historia wózka'!$B$6),A367+0.8+(5000-ROW())/10000000,0)</f>
        <v/>
      </c>
      <c r="J367" s="63">
        <f>Ustawienia!$B$9&amp;""</f>
        <v/>
      </c>
      <c r="K367" s="63">
        <f>IF(H367="","",COUNTIFS('Zgłoszenia'!$B$5:$B$504,F367,'Zgłoszenia'!$D$5:$D$504,"&gt;="&amp;A367,'Zgłoszenia'!$D$5:$D$504,"&lt;="&amp;(A367+1)))</f>
        <v/>
      </c>
      <c r="L367" s="63">
        <f>IF(OR(H367="",K367=0),"—",IF(ISNUMBER(MATCH(H367,'Zgłoszenia'!$S$5:$S$504,0)),RIGHT("0"&amp;DAY(A367),2)&amp;"."&amp;RIGHT("0"&amp;MONTH(A367),2)&amp;"."&amp;YEAR(A367)&amp;": "&amp;INDEX('Zgłoszenia'!$H$5:$H$504,MATCH(H367,'Zgłoszenia'!$S$5:$S$504,0)),RIGHT("0"&amp;DAY((A367+1)),2)&amp;"."&amp;RIGHT("0"&amp;MONTH((A367+1)),2)&amp;"."&amp;YEAR((A367+1))&amp;": "&amp;INDEX('Zgłoszenia'!$H$5:$H$504,MATCH(F367&amp;"|"&amp;(A367+1),'Zgłoszenia'!$S$5:$S$504,0)))&amp;IF(K367&gt;1," (+"&amp;(K367-1)&amp;")",""))</f>
        <v/>
      </c>
      <c r="M367" s="63" t="n">
        <v>5</v>
      </c>
      <c r="N367" s="2" t="n"/>
      <c r="O367" s="2" t="n"/>
    </row>
    <row r="368">
      <c r="A368" s="62">
        <f>IF('5'!$C$1="","",'5'!$C$1)</f>
        <v/>
      </c>
      <c r="B368" s="63">
        <f>Ustawienia!$A$9&amp;""</f>
        <v/>
      </c>
      <c r="C368" s="63">
        <f>Ustawienia!$A$16&amp;""</f>
        <v/>
      </c>
      <c r="D368" s="63" t="n">
        <v>2</v>
      </c>
      <c r="E368" s="63">
        <f>IF('5'!F23="","",TRIM('5'!F23&amp;""))</f>
        <v/>
      </c>
      <c r="F368" s="63">
        <f>IF('5'!G23="","",'5'!G23)</f>
        <v/>
      </c>
      <c r="G368" s="63">
        <f>'5'!H23&amp;""</f>
        <v/>
      </c>
      <c r="H368" s="63">
        <f>IF(OR(A368="",F368=""),"",F368&amp;"|"&amp;A368)</f>
        <v/>
      </c>
      <c r="I368" s="63">
        <f>IF(AND(H368&lt;&gt;"",OR('Historia wózka'!$B$4="",F368='Historia wózka'!$B$4),A368&gt;='Historia wózka'!$B$5,A368&lt;='Historia wózka'!$B$6),A368+0.8+(5000-ROW())/10000000,0)</f>
        <v/>
      </c>
      <c r="J368" s="63">
        <f>Ustawienia!$B$9&amp;""</f>
        <v/>
      </c>
      <c r="K368" s="63">
        <f>IF(H368="","",COUNTIFS('Zgłoszenia'!$B$5:$B$504,F368,'Zgłoszenia'!$D$5:$D$504,"&gt;="&amp;A368,'Zgłoszenia'!$D$5:$D$504,"&lt;="&amp;(A368+1)))</f>
        <v/>
      </c>
      <c r="L368" s="63">
        <f>IF(OR(H368="",K368=0),"—",IF(ISNUMBER(MATCH(H368,'Zgłoszenia'!$S$5:$S$504,0)),RIGHT("0"&amp;DAY(A368),2)&amp;"."&amp;RIGHT("0"&amp;MONTH(A368),2)&amp;"."&amp;YEAR(A368)&amp;": "&amp;INDEX('Zgłoszenia'!$H$5:$H$504,MATCH(H368,'Zgłoszenia'!$S$5:$S$504,0)),RIGHT("0"&amp;DAY((A368+1)),2)&amp;"."&amp;RIGHT("0"&amp;MONTH((A368+1)),2)&amp;"."&amp;YEAR((A368+1))&amp;": "&amp;INDEX('Zgłoszenia'!$H$5:$H$504,MATCH(F368&amp;"|"&amp;(A368+1),'Zgłoszenia'!$S$5:$S$504,0)))&amp;IF(K368&gt;1," (+"&amp;(K368-1)&amp;")",""))</f>
        <v/>
      </c>
      <c r="M368" s="63" t="n">
        <v>5</v>
      </c>
      <c r="N368" s="2" t="n"/>
      <c r="O368" s="2" t="n"/>
    </row>
    <row r="369">
      <c r="A369" s="62">
        <f>IF('5'!$C$1="","",'5'!$C$1)</f>
        <v/>
      </c>
      <c r="B369" s="63">
        <f>Ustawienia!$A$9&amp;""</f>
        <v/>
      </c>
      <c r="C369" s="63">
        <f>Ustawienia!$A$16&amp;""</f>
        <v/>
      </c>
      <c r="D369" s="63" t="n">
        <v>3</v>
      </c>
      <c r="E369" s="63">
        <f>IF('5'!F24="","",TRIM('5'!F24&amp;""))</f>
        <v/>
      </c>
      <c r="F369" s="63">
        <f>IF('5'!G24="","",'5'!G24)</f>
        <v/>
      </c>
      <c r="G369" s="63">
        <f>'5'!H24&amp;""</f>
        <v/>
      </c>
      <c r="H369" s="63">
        <f>IF(OR(A369="",F369=""),"",F369&amp;"|"&amp;A369)</f>
        <v/>
      </c>
      <c r="I369" s="63">
        <f>IF(AND(H369&lt;&gt;"",OR('Historia wózka'!$B$4="",F369='Historia wózka'!$B$4),A369&gt;='Historia wózka'!$B$5,A369&lt;='Historia wózka'!$B$6),A369+0.8+(5000-ROW())/10000000,0)</f>
        <v/>
      </c>
      <c r="J369" s="63">
        <f>Ustawienia!$B$9&amp;""</f>
        <v/>
      </c>
      <c r="K369" s="63">
        <f>IF(H369="","",COUNTIFS('Zgłoszenia'!$B$5:$B$504,F369,'Zgłoszenia'!$D$5:$D$504,"&gt;="&amp;A369,'Zgłoszenia'!$D$5:$D$504,"&lt;="&amp;(A369+1)))</f>
        <v/>
      </c>
      <c r="L369" s="63">
        <f>IF(OR(H369="",K369=0),"—",IF(ISNUMBER(MATCH(H369,'Zgłoszenia'!$S$5:$S$504,0)),RIGHT("0"&amp;DAY(A369),2)&amp;"."&amp;RIGHT("0"&amp;MONTH(A369),2)&amp;"."&amp;YEAR(A369)&amp;": "&amp;INDEX('Zgłoszenia'!$H$5:$H$504,MATCH(H369,'Zgłoszenia'!$S$5:$S$504,0)),RIGHT("0"&amp;DAY((A369+1)),2)&amp;"."&amp;RIGHT("0"&amp;MONTH((A369+1)),2)&amp;"."&amp;YEAR((A369+1))&amp;": "&amp;INDEX('Zgłoszenia'!$H$5:$H$504,MATCH(F369&amp;"|"&amp;(A369+1),'Zgłoszenia'!$S$5:$S$504,0)))&amp;IF(K369&gt;1," (+"&amp;(K369-1)&amp;")",""))</f>
        <v/>
      </c>
      <c r="M369" s="63" t="n">
        <v>5</v>
      </c>
      <c r="N369" s="2" t="n"/>
      <c r="O369" s="2" t="n"/>
    </row>
    <row r="370">
      <c r="A370" s="62">
        <f>IF('5'!$C$1="","",'5'!$C$1)</f>
        <v/>
      </c>
      <c r="B370" s="63">
        <f>Ustawienia!$A$9&amp;""</f>
        <v/>
      </c>
      <c r="C370" s="63">
        <f>Ustawienia!$A$16&amp;""</f>
        <v/>
      </c>
      <c r="D370" s="63" t="n">
        <v>4</v>
      </c>
      <c r="E370" s="63">
        <f>IF('5'!F25="","",TRIM('5'!F25&amp;""))</f>
        <v/>
      </c>
      <c r="F370" s="63">
        <f>IF('5'!G25="","",'5'!G25)</f>
        <v/>
      </c>
      <c r="G370" s="63">
        <f>'5'!H25&amp;""</f>
        <v/>
      </c>
      <c r="H370" s="63">
        <f>IF(OR(A370="",F370=""),"",F370&amp;"|"&amp;A370)</f>
        <v/>
      </c>
      <c r="I370" s="63">
        <f>IF(AND(H370&lt;&gt;"",OR('Historia wózka'!$B$4="",F370='Historia wózka'!$B$4),A370&gt;='Historia wózka'!$B$5,A370&lt;='Historia wózka'!$B$6),A370+0.8+(5000-ROW())/10000000,0)</f>
        <v/>
      </c>
      <c r="J370" s="63">
        <f>Ustawienia!$B$9&amp;""</f>
        <v/>
      </c>
      <c r="K370" s="63">
        <f>IF(H370="","",COUNTIFS('Zgłoszenia'!$B$5:$B$504,F370,'Zgłoszenia'!$D$5:$D$504,"&gt;="&amp;A370,'Zgłoszenia'!$D$5:$D$504,"&lt;="&amp;(A370+1)))</f>
        <v/>
      </c>
      <c r="L370" s="63">
        <f>IF(OR(H370="",K370=0),"—",IF(ISNUMBER(MATCH(H370,'Zgłoszenia'!$S$5:$S$504,0)),RIGHT("0"&amp;DAY(A370),2)&amp;"."&amp;RIGHT("0"&amp;MONTH(A370),2)&amp;"."&amp;YEAR(A370)&amp;": "&amp;INDEX('Zgłoszenia'!$H$5:$H$504,MATCH(H370,'Zgłoszenia'!$S$5:$S$504,0)),RIGHT("0"&amp;DAY((A370+1)),2)&amp;"."&amp;RIGHT("0"&amp;MONTH((A370+1)),2)&amp;"."&amp;YEAR((A370+1))&amp;": "&amp;INDEX('Zgłoszenia'!$H$5:$H$504,MATCH(F370&amp;"|"&amp;(A370+1),'Zgłoszenia'!$S$5:$S$504,0)))&amp;IF(K370&gt;1," (+"&amp;(K370-1)&amp;")",""))</f>
        <v/>
      </c>
      <c r="M370" s="63" t="n">
        <v>5</v>
      </c>
      <c r="N370" s="2" t="n"/>
      <c r="O370" s="2" t="n"/>
    </row>
    <row r="371">
      <c r="A371" s="62">
        <f>IF('5'!$C$1="","",'5'!$C$1)</f>
        <v/>
      </c>
      <c r="B371" s="63">
        <f>Ustawienia!$A$9&amp;""</f>
        <v/>
      </c>
      <c r="C371" s="63">
        <f>Ustawienia!$A$17&amp;""</f>
        <v/>
      </c>
      <c r="D371" s="63" t="n">
        <v>1</v>
      </c>
      <c r="E371" s="63">
        <f>IF('5'!F27="","",TRIM('5'!F27&amp;""))</f>
        <v/>
      </c>
      <c r="F371" s="63">
        <f>IF('5'!G27="","",'5'!G27)</f>
        <v/>
      </c>
      <c r="G371" s="63">
        <f>'5'!H27&amp;""</f>
        <v/>
      </c>
      <c r="H371" s="63">
        <f>IF(OR(A371="",F371=""),"",F371&amp;"|"&amp;A371)</f>
        <v/>
      </c>
      <c r="I371" s="63">
        <f>IF(AND(H371&lt;&gt;"",OR('Historia wózka'!$B$4="",F371='Historia wózka'!$B$4),A371&gt;='Historia wózka'!$B$5,A371&lt;='Historia wózka'!$B$6),A371+0.8+(5000-ROW())/10000000,0)</f>
        <v/>
      </c>
      <c r="J371" s="63">
        <f>Ustawienia!$B$9&amp;""</f>
        <v/>
      </c>
      <c r="K371" s="63">
        <f>IF(H371="","",COUNTIFS('Zgłoszenia'!$B$5:$B$504,F371,'Zgłoszenia'!$D$5:$D$504,"&gt;="&amp;A371,'Zgłoszenia'!$D$5:$D$504,"&lt;="&amp;(A371+1)))</f>
        <v/>
      </c>
      <c r="L371" s="63">
        <f>IF(OR(H371="",K371=0),"—",IF(ISNUMBER(MATCH(H371,'Zgłoszenia'!$S$5:$S$504,0)),RIGHT("0"&amp;DAY(A371),2)&amp;"."&amp;RIGHT("0"&amp;MONTH(A371),2)&amp;"."&amp;YEAR(A371)&amp;": "&amp;INDEX('Zgłoszenia'!$H$5:$H$504,MATCH(H371,'Zgłoszenia'!$S$5:$S$504,0)),RIGHT("0"&amp;DAY((A371+1)),2)&amp;"."&amp;RIGHT("0"&amp;MONTH((A371+1)),2)&amp;"."&amp;YEAR((A371+1))&amp;": "&amp;INDEX('Zgłoszenia'!$H$5:$H$504,MATCH(F371&amp;"|"&amp;(A371+1),'Zgłoszenia'!$S$5:$S$504,0)))&amp;IF(K371&gt;1," (+"&amp;(K371-1)&amp;")",""))</f>
        <v/>
      </c>
      <c r="M371" s="63" t="n">
        <v>5</v>
      </c>
      <c r="N371" s="2" t="n"/>
      <c r="O371" s="2" t="n"/>
    </row>
    <row r="372">
      <c r="A372" s="62">
        <f>IF('5'!$C$1="","",'5'!$C$1)</f>
        <v/>
      </c>
      <c r="B372" s="63">
        <f>Ustawienia!$A$9&amp;""</f>
        <v/>
      </c>
      <c r="C372" s="63">
        <f>Ustawienia!$A$17&amp;""</f>
        <v/>
      </c>
      <c r="D372" s="63" t="n">
        <v>2</v>
      </c>
      <c r="E372" s="63">
        <f>IF('5'!F28="","",TRIM('5'!F28&amp;""))</f>
        <v/>
      </c>
      <c r="F372" s="63">
        <f>IF('5'!G28="","",'5'!G28)</f>
        <v/>
      </c>
      <c r="G372" s="63">
        <f>'5'!H28&amp;""</f>
        <v/>
      </c>
      <c r="H372" s="63">
        <f>IF(OR(A372="",F372=""),"",F372&amp;"|"&amp;A372)</f>
        <v/>
      </c>
      <c r="I372" s="63">
        <f>IF(AND(H372&lt;&gt;"",OR('Historia wózka'!$B$4="",F372='Historia wózka'!$B$4),A372&gt;='Historia wózka'!$B$5,A372&lt;='Historia wózka'!$B$6),A372+0.8+(5000-ROW())/10000000,0)</f>
        <v/>
      </c>
      <c r="J372" s="63">
        <f>Ustawienia!$B$9&amp;""</f>
        <v/>
      </c>
      <c r="K372" s="63">
        <f>IF(H372="","",COUNTIFS('Zgłoszenia'!$B$5:$B$504,F372,'Zgłoszenia'!$D$5:$D$504,"&gt;="&amp;A372,'Zgłoszenia'!$D$5:$D$504,"&lt;="&amp;(A372+1)))</f>
        <v/>
      </c>
      <c r="L372" s="63">
        <f>IF(OR(H372="",K372=0),"—",IF(ISNUMBER(MATCH(H372,'Zgłoszenia'!$S$5:$S$504,0)),RIGHT("0"&amp;DAY(A372),2)&amp;"."&amp;RIGHT("0"&amp;MONTH(A372),2)&amp;"."&amp;YEAR(A372)&amp;": "&amp;INDEX('Zgłoszenia'!$H$5:$H$504,MATCH(H372,'Zgłoszenia'!$S$5:$S$504,0)),RIGHT("0"&amp;DAY((A372+1)),2)&amp;"."&amp;RIGHT("0"&amp;MONTH((A372+1)),2)&amp;"."&amp;YEAR((A372+1))&amp;": "&amp;INDEX('Zgłoszenia'!$H$5:$H$504,MATCH(F372&amp;"|"&amp;(A372+1),'Zgłoszenia'!$S$5:$S$504,0)))&amp;IF(K372&gt;1," (+"&amp;(K372-1)&amp;")",""))</f>
        <v/>
      </c>
      <c r="M372" s="63" t="n">
        <v>5</v>
      </c>
      <c r="N372" s="2" t="n"/>
      <c r="O372" s="2" t="n"/>
    </row>
    <row r="373">
      <c r="A373" s="62">
        <f>IF('5'!$C$1="","",'5'!$C$1)</f>
        <v/>
      </c>
      <c r="B373" s="63">
        <f>Ustawienia!$A$9&amp;""</f>
        <v/>
      </c>
      <c r="C373" s="63">
        <f>Ustawienia!$A$17&amp;""</f>
        <v/>
      </c>
      <c r="D373" s="63" t="n">
        <v>3</v>
      </c>
      <c r="E373" s="63">
        <f>IF('5'!F29="","",TRIM('5'!F29&amp;""))</f>
        <v/>
      </c>
      <c r="F373" s="63">
        <f>IF('5'!G29="","",'5'!G29)</f>
        <v/>
      </c>
      <c r="G373" s="63">
        <f>'5'!H29&amp;""</f>
        <v/>
      </c>
      <c r="H373" s="63">
        <f>IF(OR(A373="",F373=""),"",F373&amp;"|"&amp;A373)</f>
        <v/>
      </c>
      <c r="I373" s="63">
        <f>IF(AND(H373&lt;&gt;"",OR('Historia wózka'!$B$4="",F373='Historia wózka'!$B$4),A373&gt;='Historia wózka'!$B$5,A373&lt;='Historia wózka'!$B$6),A373+0.8+(5000-ROW())/10000000,0)</f>
        <v/>
      </c>
      <c r="J373" s="63">
        <f>Ustawienia!$B$9&amp;""</f>
        <v/>
      </c>
      <c r="K373" s="63">
        <f>IF(H373="","",COUNTIFS('Zgłoszenia'!$B$5:$B$504,F373,'Zgłoszenia'!$D$5:$D$504,"&gt;="&amp;A373,'Zgłoszenia'!$D$5:$D$504,"&lt;="&amp;(A373+1)))</f>
        <v/>
      </c>
      <c r="L373" s="63">
        <f>IF(OR(H373="",K373=0),"—",IF(ISNUMBER(MATCH(H373,'Zgłoszenia'!$S$5:$S$504,0)),RIGHT("0"&amp;DAY(A373),2)&amp;"."&amp;RIGHT("0"&amp;MONTH(A373),2)&amp;"."&amp;YEAR(A373)&amp;": "&amp;INDEX('Zgłoszenia'!$H$5:$H$504,MATCH(H373,'Zgłoszenia'!$S$5:$S$504,0)),RIGHT("0"&amp;DAY((A373+1)),2)&amp;"."&amp;RIGHT("0"&amp;MONTH((A373+1)),2)&amp;"."&amp;YEAR((A373+1))&amp;": "&amp;INDEX('Zgłoszenia'!$H$5:$H$504,MATCH(F373&amp;"|"&amp;(A373+1),'Zgłoszenia'!$S$5:$S$504,0)))&amp;IF(K373&gt;1," (+"&amp;(K373-1)&amp;")",""))</f>
        <v/>
      </c>
      <c r="M373" s="63" t="n">
        <v>5</v>
      </c>
      <c r="N373" s="2" t="n"/>
      <c r="O373" s="2" t="n"/>
    </row>
    <row r="374">
      <c r="A374" s="62">
        <f>IF('5'!$C$1="","",'5'!$C$1)</f>
        <v/>
      </c>
      <c r="B374" s="63">
        <f>Ustawienia!$A$9&amp;""</f>
        <v/>
      </c>
      <c r="C374" s="63">
        <f>Ustawienia!$A$17&amp;""</f>
        <v/>
      </c>
      <c r="D374" s="63" t="n">
        <v>4</v>
      </c>
      <c r="E374" s="63">
        <f>IF('5'!F30="","",TRIM('5'!F30&amp;""))</f>
        <v/>
      </c>
      <c r="F374" s="63">
        <f>IF('5'!G30="","",'5'!G30)</f>
        <v/>
      </c>
      <c r="G374" s="63">
        <f>'5'!H30&amp;""</f>
        <v/>
      </c>
      <c r="H374" s="63">
        <f>IF(OR(A374="",F374=""),"",F374&amp;"|"&amp;A374)</f>
        <v/>
      </c>
      <c r="I374" s="63">
        <f>IF(AND(H374&lt;&gt;"",OR('Historia wózka'!$B$4="",F374='Historia wózka'!$B$4),A374&gt;='Historia wózka'!$B$5,A374&lt;='Historia wózka'!$B$6),A374+0.8+(5000-ROW())/10000000,0)</f>
        <v/>
      </c>
      <c r="J374" s="63">
        <f>Ustawienia!$B$9&amp;""</f>
        <v/>
      </c>
      <c r="K374" s="63">
        <f>IF(H374="","",COUNTIFS('Zgłoszenia'!$B$5:$B$504,F374,'Zgłoszenia'!$D$5:$D$504,"&gt;="&amp;A374,'Zgłoszenia'!$D$5:$D$504,"&lt;="&amp;(A374+1)))</f>
        <v/>
      </c>
      <c r="L374" s="63">
        <f>IF(OR(H374="",K374=0),"—",IF(ISNUMBER(MATCH(H374,'Zgłoszenia'!$S$5:$S$504,0)),RIGHT("0"&amp;DAY(A374),2)&amp;"."&amp;RIGHT("0"&amp;MONTH(A374),2)&amp;"."&amp;YEAR(A374)&amp;": "&amp;INDEX('Zgłoszenia'!$H$5:$H$504,MATCH(H374,'Zgłoszenia'!$S$5:$S$504,0)),RIGHT("0"&amp;DAY((A374+1)),2)&amp;"."&amp;RIGHT("0"&amp;MONTH((A374+1)),2)&amp;"."&amp;YEAR((A374+1))&amp;": "&amp;INDEX('Zgłoszenia'!$H$5:$H$504,MATCH(F374&amp;"|"&amp;(A374+1),'Zgłoszenia'!$S$5:$S$504,0)))&amp;IF(K374&gt;1," (+"&amp;(K374-1)&amp;")",""))</f>
        <v/>
      </c>
      <c r="M374" s="63" t="n">
        <v>5</v>
      </c>
      <c r="N374" s="2" t="n"/>
      <c r="O374" s="2" t="n"/>
    </row>
    <row r="375">
      <c r="A375" s="62">
        <f>IF('5'!$C$1="","",'5'!$C$1)</f>
        <v/>
      </c>
      <c r="B375" s="63">
        <f>Ustawienia!$A$9&amp;""</f>
        <v/>
      </c>
      <c r="C375" s="63">
        <f>Ustawienia!$A$18&amp;""</f>
        <v/>
      </c>
      <c r="D375" s="63" t="n">
        <v>1</v>
      </c>
      <c r="E375" s="63">
        <f>IF('5'!F32="","",TRIM('5'!F32&amp;""))</f>
        <v/>
      </c>
      <c r="F375" s="63">
        <f>IF('5'!G32="","",'5'!G32)</f>
        <v/>
      </c>
      <c r="G375" s="63">
        <f>'5'!H32&amp;""</f>
        <v/>
      </c>
      <c r="H375" s="63">
        <f>IF(OR(A375="",F375=""),"",F375&amp;"|"&amp;A375)</f>
        <v/>
      </c>
      <c r="I375" s="63">
        <f>IF(AND(H375&lt;&gt;"",OR('Historia wózka'!$B$4="",F375='Historia wózka'!$B$4),A375&gt;='Historia wózka'!$B$5,A375&lt;='Historia wózka'!$B$6),A375+0.8+(5000-ROW())/10000000,0)</f>
        <v/>
      </c>
      <c r="J375" s="63">
        <f>Ustawienia!$B$9&amp;""</f>
        <v/>
      </c>
      <c r="K375" s="63">
        <f>IF(H375="","",COUNTIFS('Zgłoszenia'!$B$5:$B$504,F375,'Zgłoszenia'!$D$5:$D$504,"&gt;="&amp;A375,'Zgłoszenia'!$D$5:$D$504,"&lt;="&amp;(A375+1)))</f>
        <v/>
      </c>
      <c r="L375" s="63">
        <f>IF(OR(H375="",K375=0),"—",IF(ISNUMBER(MATCH(H375,'Zgłoszenia'!$S$5:$S$504,0)),RIGHT("0"&amp;DAY(A375),2)&amp;"."&amp;RIGHT("0"&amp;MONTH(A375),2)&amp;"."&amp;YEAR(A375)&amp;": "&amp;INDEX('Zgłoszenia'!$H$5:$H$504,MATCH(H375,'Zgłoszenia'!$S$5:$S$504,0)),RIGHT("0"&amp;DAY((A375+1)),2)&amp;"."&amp;RIGHT("0"&amp;MONTH((A375+1)),2)&amp;"."&amp;YEAR((A375+1))&amp;": "&amp;INDEX('Zgłoszenia'!$H$5:$H$504,MATCH(F375&amp;"|"&amp;(A375+1),'Zgłoszenia'!$S$5:$S$504,0)))&amp;IF(K375&gt;1," (+"&amp;(K375-1)&amp;")",""))</f>
        <v/>
      </c>
      <c r="M375" s="63" t="n">
        <v>5</v>
      </c>
      <c r="N375" s="2" t="n"/>
      <c r="O375" s="2" t="n"/>
    </row>
    <row r="376">
      <c r="A376" s="62">
        <f>IF('5'!$C$1="","",'5'!$C$1)</f>
        <v/>
      </c>
      <c r="B376" s="63">
        <f>Ustawienia!$A$9&amp;""</f>
        <v/>
      </c>
      <c r="C376" s="63">
        <f>Ustawienia!$A$18&amp;""</f>
        <v/>
      </c>
      <c r="D376" s="63" t="n">
        <v>2</v>
      </c>
      <c r="E376" s="63">
        <f>IF('5'!F33="","",TRIM('5'!F33&amp;""))</f>
        <v/>
      </c>
      <c r="F376" s="63">
        <f>IF('5'!G33="","",'5'!G33)</f>
        <v/>
      </c>
      <c r="G376" s="63">
        <f>'5'!H33&amp;""</f>
        <v/>
      </c>
      <c r="H376" s="63">
        <f>IF(OR(A376="",F376=""),"",F376&amp;"|"&amp;A376)</f>
        <v/>
      </c>
      <c r="I376" s="63">
        <f>IF(AND(H376&lt;&gt;"",OR('Historia wózka'!$B$4="",F376='Historia wózka'!$B$4),A376&gt;='Historia wózka'!$B$5,A376&lt;='Historia wózka'!$B$6),A376+0.8+(5000-ROW())/10000000,0)</f>
        <v/>
      </c>
      <c r="J376" s="63">
        <f>Ustawienia!$B$9&amp;""</f>
        <v/>
      </c>
      <c r="K376" s="63">
        <f>IF(H376="","",COUNTIFS('Zgłoszenia'!$B$5:$B$504,F376,'Zgłoszenia'!$D$5:$D$504,"&gt;="&amp;A376,'Zgłoszenia'!$D$5:$D$504,"&lt;="&amp;(A376+1)))</f>
        <v/>
      </c>
      <c r="L376" s="63">
        <f>IF(OR(H376="",K376=0),"—",IF(ISNUMBER(MATCH(H376,'Zgłoszenia'!$S$5:$S$504,0)),RIGHT("0"&amp;DAY(A376),2)&amp;"."&amp;RIGHT("0"&amp;MONTH(A376),2)&amp;"."&amp;YEAR(A376)&amp;": "&amp;INDEX('Zgłoszenia'!$H$5:$H$504,MATCH(H376,'Zgłoszenia'!$S$5:$S$504,0)),RIGHT("0"&amp;DAY((A376+1)),2)&amp;"."&amp;RIGHT("0"&amp;MONTH((A376+1)),2)&amp;"."&amp;YEAR((A376+1))&amp;": "&amp;INDEX('Zgłoszenia'!$H$5:$H$504,MATCH(F376&amp;"|"&amp;(A376+1),'Zgłoszenia'!$S$5:$S$504,0)))&amp;IF(K376&gt;1," (+"&amp;(K376-1)&amp;")",""))</f>
        <v/>
      </c>
      <c r="M376" s="63" t="n">
        <v>5</v>
      </c>
      <c r="N376" s="2" t="n"/>
      <c r="O376" s="2" t="n"/>
    </row>
    <row r="377">
      <c r="A377" s="62">
        <f>IF('5'!$C$1="","",'5'!$C$1)</f>
        <v/>
      </c>
      <c r="B377" s="63">
        <f>Ustawienia!$A$9&amp;""</f>
        <v/>
      </c>
      <c r="C377" s="63">
        <f>Ustawienia!$A$18&amp;""</f>
        <v/>
      </c>
      <c r="D377" s="63" t="n">
        <v>3</v>
      </c>
      <c r="E377" s="63">
        <f>IF('5'!F34="","",TRIM('5'!F34&amp;""))</f>
        <v/>
      </c>
      <c r="F377" s="63">
        <f>IF('5'!G34="","",'5'!G34)</f>
        <v/>
      </c>
      <c r="G377" s="63">
        <f>'5'!H34&amp;""</f>
        <v/>
      </c>
      <c r="H377" s="63">
        <f>IF(OR(A377="",F377=""),"",F377&amp;"|"&amp;A377)</f>
        <v/>
      </c>
      <c r="I377" s="63">
        <f>IF(AND(H377&lt;&gt;"",OR('Historia wózka'!$B$4="",F377='Historia wózka'!$B$4),A377&gt;='Historia wózka'!$B$5,A377&lt;='Historia wózka'!$B$6),A377+0.8+(5000-ROW())/10000000,0)</f>
        <v/>
      </c>
      <c r="J377" s="63">
        <f>Ustawienia!$B$9&amp;""</f>
        <v/>
      </c>
      <c r="K377" s="63">
        <f>IF(H377="","",COUNTIFS('Zgłoszenia'!$B$5:$B$504,F377,'Zgłoszenia'!$D$5:$D$504,"&gt;="&amp;A377,'Zgłoszenia'!$D$5:$D$504,"&lt;="&amp;(A377+1)))</f>
        <v/>
      </c>
      <c r="L377" s="63">
        <f>IF(OR(H377="",K377=0),"—",IF(ISNUMBER(MATCH(H377,'Zgłoszenia'!$S$5:$S$504,0)),RIGHT("0"&amp;DAY(A377),2)&amp;"."&amp;RIGHT("0"&amp;MONTH(A377),2)&amp;"."&amp;YEAR(A377)&amp;": "&amp;INDEX('Zgłoszenia'!$H$5:$H$504,MATCH(H377,'Zgłoszenia'!$S$5:$S$504,0)),RIGHT("0"&amp;DAY((A377+1)),2)&amp;"."&amp;RIGHT("0"&amp;MONTH((A377+1)),2)&amp;"."&amp;YEAR((A377+1))&amp;": "&amp;INDEX('Zgłoszenia'!$H$5:$H$504,MATCH(F377&amp;"|"&amp;(A377+1),'Zgłoszenia'!$S$5:$S$504,0)))&amp;IF(K377&gt;1," (+"&amp;(K377-1)&amp;")",""))</f>
        <v/>
      </c>
      <c r="M377" s="63" t="n">
        <v>5</v>
      </c>
      <c r="N377" s="2" t="n"/>
      <c r="O377" s="2" t="n"/>
    </row>
    <row r="378">
      <c r="A378" s="62">
        <f>IF('5'!$C$1="","",'5'!$C$1)</f>
        <v/>
      </c>
      <c r="B378" s="63">
        <f>Ustawienia!$A$9&amp;""</f>
        <v/>
      </c>
      <c r="C378" s="63">
        <f>Ustawienia!$A$18&amp;""</f>
        <v/>
      </c>
      <c r="D378" s="63" t="n">
        <v>4</v>
      </c>
      <c r="E378" s="63">
        <f>IF('5'!F35="","",TRIM('5'!F35&amp;""))</f>
        <v/>
      </c>
      <c r="F378" s="63">
        <f>IF('5'!G35="","",'5'!G35)</f>
        <v/>
      </c>
      <c r="G378" s="63">
        <f>'5'!H35&amp;""</f>
        <v/>
      </c>
      <c r="H378" s="63">
        <f>IF(OR(A378="",F378=""),"",F378&amp;"|"&amp;A378)</f>
        <v/>
      </c>
      <c r="I378" s="63">
        <f>IF(AND(H378&lt;&gt;"",OR('Historia wózka'!$B$4="",F378='Historia wózka'!$B$4),A378&gt;='Historia wózka'!$B$5,A378&lt;='Historia wózka'!$B$6),A378+0.8+(5000-ROW())/10000000,0)</f>
        <v/>
      </c>
      <c r="J378" s="63">
        <f>Ustawienia!$B$9&amp;""</f>
        <v/>
      </c>
      <c r="K378" s="63">
        <f>IF(H378="","",COUNTIFS('Zgłoszenia'!$B$5:$B$504,F378,'Zgłoszenia'!$D$5:$D$504,"&gt;="&amp;A378,'Zgłoszenia'!$D$5:$D$504,"&lt;="&amp;(A378+1)))</f>
        <v/>
      </c>
      <c r="L378" s="63">
        <f>IF(OR(H378="",K378=0),"—",IF(ISNUMBER(MATCH(H378,'Zgłoszenia'!$S$5:$S$504,0)),RIGHT("0"&amp;DAY(A378),2)&amp;"."&amp;RIGHT("0"&amp;MONTH(A378),2)&amp;"."&amp;YEAR(A378)&amp;": "&amp;INDEX('Zgłoszenia'!$H$5:$H$504,MATCH(H378,'Zgłoszenia'!$S$5:$S$504,0)),RIGHT("0"&amp;DAY((A378+1)),2)&amp;"."&amp;RIGHT("0"&amp;MONTH((A378+1)),2)&amp;"."&amp;YEAR((A378+1))&amp;": "&amp;INDEX('Zgłoszenia'!$H$5:$H$504,MATCH(F378&amp;"|"&amp;(A378+1),'Zgłoszenia'!$S$5:$S$504,0)))&amp;IF(K378&gt;1," (+"&amp;(K378-1)&amp;")",""))</f>
        <v/>
      </c>
      <c r="M378" s="63" t="n">
        <v>5</v>
      </c>
      <c r="N378" s="2" t="n"/>
      <c r="O378" s="2" t="n"/>
    </row>
    <row r="379">
      <c r="A379" s="62">
        <f>IF('5'!$C$1="","",'5'!$C$1)</f>
        <v/>
      </c>
      <c r="B379" s="63">
        <f>Ustawienia!$A$9&amp;""</f>
        <v/>
      </c>
      <c r="C379" s="63">
        <f>Ustawienia!$A$18&amp;""</f>
        <v/>
      </c>
      <c r="D379" s="63" t="n">
        <v>5</v>
      </c>
      <c r="E379" s="63">
        <f>IF('5'!F36="","",TRIM('5'!F36&amp;""))</f>
        <v/>
      </c>
      <c r="F379" s="63">
        <f>IF('5'!G36="","",'5'!G36)</f>
        <v/>
      </c>
      <c r="G379" s="63">
        <f>'5'!H36&amp;""</f>
        <v/>
      </c>
      <c r="H379" s="63">
        <f>IF(OR(A379="",F379=""),"",F379&amp;"|"&amp;A379)</f>
        <v/>
      </c>
      <c r="I379" s="63">
        <f>IF(AND(H379&lt;&gt;"",OR('Historia wózka'!$B$4="",F379='Historia wózka'!$B$4),A379&gt;='Historia wózka'!$B$5,A379&lt;='Historia wózka'!$B$6),A379+0.8+(5000-ROW())/10000000,0)</f>
        <v/>
      </c>
      <c r="J379" s="63">
        <f>Ustawienia!$B$9&amp;""</f>
        <v/>
      </c>
      <c r="K379" s="63">
        <f>IF(H379="","",COUNTIFS('Zgłoszenia'!$B$5:$B$504,F379,'Zgłoszenia'!$D$5:$D$504,"&gt;="&amp;A379,'Zgłoszenia'!$D$5:$D$504,"&lt;="&amp;(A379+1)))</f>
        <v/>
      </c>
      <c r="L379" s="63">
        <f>IF(OR(H379="",K379=0),"—",IF(ISNUMBER(MATCH(H379,'Zgłoszenia'!$S$5:$S$504,0)),RIGHT("0"&amp;DAY(A379),2)&amp;"."&amp;RIGHT("0"&amp;MONTH(A379),2)&amp;"."&amp;YEAR(A379)&amp;": "&amp;INDEX('Zgłoszenia'!$H$5:$H$504,MATCH(H379,'Zgłoszenia'!$S$5:$S$504,0)),RIGHT("0"&amp;DAY((A379+1)),2)&amp;"."&amp;RIGHT("0"&amp;MONTH((A379+1)),2)&amp;"."&amp;YEAR((A379+1))&amp;": "&amp;INDEX('Zgłoszenia'!$H$5:$H$504,MATCH(F379&amp;"|"&amp;(A379+1),'Zgłoszenia'!$S$5:$S$504,0)))&amp;IF(K379&gt;1," (+"&amp;(K379-1)&amp;")",""))</f>
        <v/>
      </c>
      <c r="M379" s="63" t="n">
        <v>5</v>
      </c>
      <c r="N379" s="2" t="n"/>
      <c r="O379" s="2" t="n"/>
    </row>
    <row r="380">
      <c r="A380" s="62">
        <f>IF('5'!$C$1="","",'5'!$C$1)</f>
        <v/>
      </c>
      <c r="B380" s="63">
        <f>Ustawienia!$A$10&amp;""</f>
        <v/>
      </c>
      <c r="C380" s="63">
        <f>Ustawienia!$A$14&amp;""</f>
        <v/>
      </c>
      <c r="D380" s="63" t="n">
        <v>1</v>
      </c>
      <c r="E380" s="63">
        <f>IF('5'!J6="","",TRIM('5'!J6&amp;""))</f>
        <v/>
      </c>
      <c r="F380" s="63">
        <f>IF('5'!K6="","",'5'!K6)</f>
        <v/>
      </c>
      <c r="G380" s="63">
        <f>'5'!L6&amp;""</f>
        <v/>
      </c>
      <c r="H380" s="63">
        <f>IF(OR(A380="",F380=""),"",F380&amp;"|"&amp;A380)</f>
        <v/>
      </c>
      <c r="I380" s="63">
        <f>IF(AND(H380&lt;&gt;"",OR('Historia wózka'!$B$4="",F380='Historia wózka'!$B$4),A380&gt;='Historia wózka'!$B$5,A380&lt;='Historia wózka'!$B$6),A380+0.7+(5000-ROW())/10000000,0)</f>
        <v/>
      </c>
      <c r="J380" s="63">
        <f>Ustawienia!$B$10&amp;""</f>
        <v/>
      </c>
      <c r="K380" s="63">
        <f>IF(H380="","",COUNTIFS('Zgłoszenia'!$B$5:$B$504,F380,'Zgłoszenia'!$D$5:$D$504,"&gt;="&amp;A380,'Zgłoszenia'!$D$5:$D$504,"&lt;="&amp;(A380+1)))</f>
        <v/>
      </c>
      <c r="L380" s="63">
        <f>IF(OR(H380="",K380=0),"—",IF(ISNUMBER(MATCH(H380,'Zgłoszenia'!$S$5:$S$504,0)),RIGHT("0"&amp;DAY(A380),2)&amp;"."&amp;RIGHT("0"&amp;MONTH(A380),2)&amp;"."&amp;YEAR(A380)&amp;": "&amp;INDEX('Zgłoszenia'!$H$5:$H$504,MATCH(H380,'Zgłoszenia'!$S$5:$S$504,0)),RIGHT("0"&amp;DAY((A380+1)),2)&amp;"."&amp;RIGHT("0"&amp;MONTH((A380+1)),2)&amp;"."&amp;YEAR((A380+1))&amp;": "&amp;INDEX('Zgłoszenia'!$H$5:$H$504,MATCH(F380&amp;"|"&amp;(A380+1),'Zgłoszenia'!$S$5:$S$504,0)))&amp;IF(K380&gt;1," (+"&amp;(K380-1)&amp;")",""))</f>
        <v/>
      </c>
      <c r="M380" s="63" t="n">
        <v>5</v>
      </c>
      <c r="N380" s="2" t="n"/>
      <c r="O380" s="2" t="n"/>
    </row>
    <row r="381">
      <c r="A381" s="62">
        <f>IF('5'!$C$1="","",'5'!$C$1)</f>
        <v/>
      </c>
      <c r="B381" s="63">
        <f>Ustawienia!$A$10&amp;""</f>
        <v/>
      </c>
      <c r="C381" s="63">
        <f>Ustawienia!$A$14&amp;""</f>
        <v/>
      </c>
      <c r="D381" s="63" t="n">
        <v>2</v>
      </c>
      <c r="E381" s="63">
        <f>IF('5'!J7="","",TRIM('5'!J7&amp;""))</f>
        <v/>
      </c>
      <c r="F381" s="63">
        <f>IF('5'!K7="","",'5'!K7)</f>
        <v/>
      </c>
      <c r="G381" s="63">
        <f>'5'!L7&amp;""</f>
        <v/>
      </c>
      <c r="H381" s="63">
        <f>IF(OR(A381="",F381=""),"",F381&amp;"|"&amp;A381)</f>
        <v/>
      </c>
      <c r="I381" s="63">
        <f>IF(AND(H381&lt;&gt;"",OR('Historia wózka'!$B$4="",F381='Historia wózka'!$B$4),A381&gt;='Historia wózka'!$B$5,A381&lt;='Historia wózka'!$B$6),A381+0.7+(5000-ROW())/10000000,0)</f>
        <v/>
      </c>
      <c r="J381" s="63">
        <f>Ustawienia!$B$10&amp;""</f>
        <v/>
      </c>
      <c r="K381" s="63">
        <f>IF(H381="","",COUNTIFS('Zgłoszenia'!$B$5:$B$504,F381,'Zgłoszenia'!$D$5:$D$504,"&gt;="&amp;A381,'Zgłoszenia'!$D$5:$D$504,"&lt;="&amp;(A381+1)))</f>
        <v/>
      </c>
      <c r="L381" s="63">
        <f>IF(OR(H381="",K381=0),"—",IF(ISNUMBER(MATCH(H381,'Zgłoszenia'!$S$5:$S$504,0)),RIGHT("0"&amp;DAY(A381),2)&amp;"."&amp;RIGHT("0"&amp;MONTH(A381),2)&amp;"."&amp;YEAR(A381)&amp;": "&amp;INDEX('Zgłoszenia'!$H$5:$H$504,MATCH(H381,'Zgłoszenia'!$S$5:$S$504,0)),RIGHT("0"&amp;DAY((A381+1)),2)&amp;"."&amp;RIGHT("0"&amp;MONTH((A381+1)),2)&amp;"."&amp;YEAR((A381+1))&amp;": "&amp;INDEX('Zgłoszenia'!$H$5:$H$504,MATCH(F381&amp;"|"&amp;(A381+1),'Zgłoszenia'!$S$5:$S$504,0)))&amp;IF(K381&gt;1," (+"&amp;(K381-1)&amp;")",""))</f>
        <v/>
      </c>
      <c r="M381" s="63" t="n">
        <v>5</v>
      </c>
      <c r="N381" s="2" t="n"/>
      <c r="O381" s="2" t="n"/>
    </row>
    <row r="382">
      <c r="A382" s="62">
        <f>IF('5'!$C$1="","",'5'!$C$1)</f>
        <v/>
      </c>
      <c r="B382" s="63">
        <f>Ustawienia!$A$10&amp;""</f>
        <v/>
      </c>
      <c r="C382" s="63">
        <f>Ustawienia!$A$14&amp;""</f>
        <v/>
      </c>
      <c r="D382" s="63" t="n">
        <v>3</v>
      </c>
      <c r="E382" s="63">
        <f>IF('5'!J8="","",TRIM('5'!J8&amp;""))</f>
        <v/>
      </c>
      <c r="F382" s="63">
        <f>IF('5'!K8="","",'5'!K8)</f>
        <v/>
      </c>
      <c r="G382" s="63">
        <f>'5'!L8&amp;""</f>
        <v/>
      </c>
      <c r="H382" s="63">
        <f>IF(OR(A382="",F382=""),"",F382&amp;"|"&amp;A382)</f>
        <v/>
      </c>
      <c r="I382" s="63">
        <f>IF(AND(H382&lt;&gt;"",OR('Historia wózka'!$B$4="",F382='Historia wózka'!$B$4),A382&gt;='Historia wózka'!$B$5,A382&lt;='Historia wózka'!$B$6),A382+0.7+(5000-ROW())/10000000,0)</f>
        <v/>
      </c>
      <c r="J382" s="63">
        <f>Ustawienia!$B$10&amp;""</f>
        <v/>
      </c>
      <c r="K382" s="63">
        <f>IF(H382="","",COUNTIFS('Zgłoszenia'!$B$5:$B$504,F382,'Zgłoszenia'!$D$5:$D$504,"&gt;="&amp;A382,'Zgłoszenia'!$D$5:$D$504,"&lt;="&amp;(A382+1)))</f>
        <v/>
      </c>
      <c r="L382" s="63">
        <f>IF(OR(H382="",K382=0),"—",IF(ISNUMBER(MATCH(H382,'Zgłoszenia'!$S$5:$S$504,0)),RIGHT("0"&amp;DAY(A382),2)&amp;"."&amp;RIGHT("0"&amp;MONTH(A382),2)&amp;"."&amp;YEAR(A382)&amp;": "&amp;INDEX('Zgłoszenia'!$H$5:$H$504,MATCH(H382,'Zgłoszenia'!$S$5:$S$504,0)),RIGHT("0"&amp;DAY((A382+1)),2)&amp;"."&amp;RIGHT("0"&amp;MONTH((A382+1)),2)&amp;"."&amp;YEAR((A382+1))&amp;": "&amp;INDEX('Zgłoszenia'!$H$5:$H$504,MATCH(F382&amp;"|"&amp;(A382+1),'Zgłoszenia'!$S$5:$S$504,0)))&amp;IF(K382&gt;1," (+"&amp;(K382-1)&amp;")",""))</f>
        <v/>
      </c>
      <c r="M382" s="63" t="n">
        <v>5</v>
      </c>
      <c r="N382" s="2" t="n"/>
      <c r="O382" s="2" t="n"/>
    </row>
    <row r="383">
      <c r="A383" s="62">
        <f>IF('5'!$C$1="","",'5'!$C$1)</f>
        <v/>
      </c>
      <c r="B383" s="63">
        <f>Ustawienia!$A$10&amp;""</f>
        <v/>
      </c>
      <c r="C383" s="63">
        <f>Ustawienia!$A$14&amp;""</f>
        <v/>
      </c>
      <c r="D383" s="63" t="n">
        <v>4</v>
      </c>
      <c r="E383" s="63">
        <f>IF('5'!J9="","",TRIM('5'!J9&amp;""))</f>
        <v/>
      </c>
      <c r="F383" s="63">
        <f>IF('5'!K9="","",'5'!K9)</f>
        <v/>
      </c>
      <c r="G383" s="63">
        <f>'5'!L9&amp;""</f>
        <v/>
      </c>
      <c r="H383" s="63">
        <f>IF(OR(A383="",F383=""),"",F383&amp;"|"&amp;A383)</f>
        <v/>
      </c>
      <c r="I383" s="63">
        <f>IF(AND(H383&lt;&gt;"",OR('Historia wózka'!$B$4="",F383='Historia wózka'!$B$4),A383&gt;='Historia wózka'!$B$5,A383&lt;='Historia wózka'!$B$6),A383+0.7+(5000-ROW())/10000000,0)</f>
        <v/>
      </c>
      <c r="J383" s="63">
        <f>Ustawienia!$B$10&amp;""</f>
        <v/>
      </c>
      <c r="K383" s="63">
        <f>IF(H383="","",COUNTIFS('Zgłoszenia'!$B$5:$B$504,F383,'Zgłoszenia'!$D$5:$D$504,"&gt;="&amp;A383,'Zgłoszenia'!$D$5:$D$504,"&lt;="&amp;(A383+1)))</f>
        <v/>
      </c>
      <c r="L383" s="63">
        <f>IF(OR(H383="",K383=0),"—",IF(ISNUMBER(MATCH(H383,'Zgłoszenia'!$S$5:$S$504,0)),RIGHT("0"&amp;DAY(A383),2)&amp;"."&amp;RIGHT("0"&amp;MONTH(A383),2)&amp;"."&amp;YEAR(A383)&amp;": "&amp;INDEX('Zgłoszenia'!$H$5:$H$504,MATCH(H383,'Zgłoszenia'!$S$5:$S$504,0)),RIGHT("0"&amp;DAY((A383+1)),2)&amp;"."&amp;RIGHT("0"&amp;MONTH((A383+1)),2)&amp;"."&amp;YEAR((A383+1))&amp;": "&amp;INDEX('Zgłoszenia'!$H$5:$H$504,MATCH(F383&amp;"|"&amp;(A383+1),'Zgłoszenia'!$S$5:$S$504,0)))&amp;IF(K383&gt;1," (+"&amp;(K383-1)&amp;")",""))</f>
        <v/>
      </c>
      <c r="M383" s="63" t="n">
        <v>5</v>
      </c>
      <c r="N383" s="2" t="n"/>
      <c r="O383" s="2" t="n"/>
    </row>
    <row r="384">
      <c r="A384" s="62">
        <f>IF('5'!$C$1="","",'5'!$C$1)</f>
        <v/>
      </c>
      <c r="B384" s="63">
        <f>Ustawienia!$A$10&amp;""</f>
        <v/>
      </c>
      <c r="C384" s="63">
        <f>Ustawienia!$A$14&amp;""</f>
        <v/>
      </c>
      <c r="D384" s="63" t="n">
        <v>5</v>
      </c>
      <c r="E384" s="63">
        <f>IF('5'!J10="","",TRIM('5'!J10&amp;""))</f>
        <v/>
      </c>
      <c r="F384" s="63">
        <f>IF('5'!K10="","",'5'!K10)</f>
        <v/>
      </c>
      <c r="G384" s="63">
        <f>'5'!L10&amp;""</f>
        <v/>
      </c>
      <c r="H384" s="63">
        <f>IF(OR(A384="",F384=""),"",F384&amp;"|"&amp;A384)</f>
        <v/>
      </c>
      <c r="I384" s="63">
        <f>IF(AND(H384&lt;&gt;"",OR('Historia wózka'!$B$4="",F384='Historia wózka'!$B$4),A384&gt;='Historia wózka'!$B$5,A384&lt;='Historia wózka'!$B$6),A384+0.7+(5000-ROW())/10000000,0)</f>
        <v/>
      </c>
      <c r="J384" s="63">
        <f>Ustawienia!$B$10&amp;""</f>
        <v/>
      </c>
      <c r="K384" s="63">
        <f>IF(H384="","",COUNTIFS('Zgłoszenia'!$B$5:$B$504,F384,'Zgłoszenia'!$D$5:$D$504,"&gt;="&amp;A384,'Zgłoszenia'!$D$5:$D$504,"&lt;="&amp;(A384+1)))</f>
        <v/>
      </c>
      <c r="L384" s="63">
        <f>IF(OR(H384="",K384=0),"—",IF(ISNUMBER(MATCH(H384,'Zgłoszenia'!$S$5:$S$504,0)),RIGHT("0"&amp;DAY(A384),2)&amp;"."&amp;RIGHT("0"&amp;MONTH(A384),2)&amp;"."&amp;YEAR(A384)&amp;": "&amp;INDEX('Zgłoszenia'!$H$5:$H$504,MATCH(H384,'Zgłoszenia'!$S$5:$S$504,0)),RIGHT("0"&amp;DAY((A384+1)),2)&amp;"."&amp;RIGHT("0"&amp;MONTH((A384+1)),2)&amp;"."&amp;YEAR((A384+1))&amp;": "&amp;INDEX('Zgłoszenia'!$H$5:$H$504,MATCH(F384&amp;"|"&amp;(A384+1),'Zgłoszenia'!$S$5:$S$504,0)))&amp;IF(K384&gt;1," (+"&amp;(K384-1)&amp;")",""))</f>
        <v/>
      </c>
      <c r="M384" s="63" t="n">
        <v>5</v>
      </c>
      <c r="N384" s="2" t="n"/>
      <c r="O384" s="2" t="n"/>
    </row>
    <row r="385">
      <c r="A385" s="62">
        <f>IF('5'!$C$1="","",'5'!$C$1)</f>
        <v/>
      </c>
      <c r="B385" s="63">
        <f>Ustawienia!$A$10&amp;""</f>
        <v/>
      </c>
      <c r="C385" s="63">
        <f>Ustawienia!$A$14&amp;""</f>
        <v/>
      </c>
      <c r="D385" s="63" t="n">
        <v>6</v>
      </c>
      <c r="E385" s="63">
        <f>IF('5'!J11="","",TRIM('5'!J11&amp;""))</f>
        <v/>
      </c>
      <c r="F385" s="63">
        <f>IF('5'!K11="","",'5'!K11)</f>
        <v/>
      </c>
      <c r="G385" s="63">
        <f>'5'!L11&amp;""</f>
        <v/>
      </c>
      <c r="H385" s="63">
        <f>IF(OR(A385="",F385=""),"",F385&amp;"|"&amp;A385)</f>
        <v/>
      </c>
      <c r="I385" s="63">
        <f>IF(AND(H385&lt;&gt;"",OR('Historia wózka'!$B$4="",F385='Historia wózka'!$B$4),A385&gt;='Historia wózka'!$B$5,A385&lt;='Historia wózka'!$B$6),A385+0.7+(5000-ROW())/10000000,0)</f>
        <v/>
      </c>
      <c r="J385" s="63">
        <f>Ustawienia!$B$10&amp;""</f>
        <v/>
      </c>
      <c r="K385" s="63">
        <f>IF(H385="","",COUNTIFS('Zgłoszenia'!$B$5:$B$504,F385,'Zgłoszenia'!$D$5:$D$504,"&gt;="&amp;A385,'Zgłoszenia'!$D$5:$D$504,"&lt;="&amp;(A385+1)))</f>
        <v/>
      </c>
      <c r="L385" s="63">
        <f>IF(OR(H385="",K385=0),"—",IF(ISNUMBER(MATCH(H385,'Zgłoszenia'!$S$5:$S$504,0)),RIGHT("0"&amp;DAY(A385),2)&amp;"."&amp;RIGHT("0"&amp;MONTH(A385),2)&amp;"."&amp;YEAR(A385)&amp;": "&amp;INDEX('Zgłoszenia'!$H$5:$H$504,MATCH(H385,'Zgłoszenia'!$S$5:$S$504,0)),RIGHT("0"&amp;DAY((A385+1)),2)&amp;"."&amp;RIGHT("0"&amp;MONTH((A385+1)),2)&amp;"."&amp;YEAR((A385+1))&amp;": "&amp;INDEX('Zgłoszenia'!$H$5:$H$504,MATCH(F385&amp;"|"&amp;(A385+1),'Zgłoszenia'!$S$5:$S$504,0)))&amp;IF(K385&gt;1," (+"&amp;(K385-1)&amp;")",""))</f>
        <v/>
      </c>
      <c r="M385" s="63" t="n">
        <v>5</v>
      </c>
      <c r="N385" s="2" t="n"/>
      <c r="O385" s="2" t="n"/>
    </row>
    <row r="386">
      <c r="A386" s="62">
        <f>IF('5'!$C$1="","",'5'!$C$1)</f>
        <v/>
      </c>
      <c r="B386" s="63">
        <f>Ustawienia!$A$10&amp;""</f>
        <v/>
      </c>
      <c r="C386" s="63">
        <f>Ustawienia!$A$15&amp;""</f>
        <v/>
      </c>
      <c r="D386" s="63" t="n">
        <v>1</v>
      </c>
      <c r="E386" s="63">
        <f>IF('5'!J13="","",TRIM('5'!J13&amp;""))</f>
        <v/>
      </c>
      <c r="F386" s="63">
        <f>IF('5'!K13="","",'5'!K13)</f>
        <v/>
      </c>
      <c r="G386" s="63">
        <f>'5'!L13&amp;""</f>
        <v/>
      </c>
      <c r="H386" s="63">
        <f>IF(OR(A386="",F386=""),"",F386&amp;"|"&amp;A386)</f>
        <v/>
      </c>
      <c r="I386" s="63">
        <f>IF(AND(H386&lt;&gt;"",OR('Historia wózka'!$B$4="",F386='Historia wózka'!$B$4),A386&gt;='Historia wózka'!$B$5,A386&lt;='Historia wózka'!$B$6),A386+0.7+(5000-ROW())/10000000,0)</f>
        <v/>
      </c>
      <c r="J386" s="63">
        <f>Ustawienia!$B$10&amp;""</f>
        <v/>
      </c>
      <c r="K386" s="63">
        <f>IF(H386="","",COUNTIFS('Zgłoszenia'!$B$5:$B$504,F386,'Zgłoszenia'!$D$5:$D$504,"&gt;="&amp;A386,'Zgłoszenia'!$D$5:$D$504,"&lt;="&amp;(A386+1)))</f>
        <v/>
      </c>
      <c r="L386" s="63">
        <f>IF(OR(H386="",K386=0),"—",IF(ISNUMBER(MATCH(H386,'Zgłoszenia'!$S$5:$S$504,0)),RIGHT("0"&amp;DAY(A386),2)&amp;"."&amp;RIGHT("0"&amp;MONTH(A386),2)&amp;"."&amp;YEAR(A386)&amp;": "&amp;INDEX('Zgłoszenia'!$H$5:$H$504,MATCH(H386,'Zgłoszenia'!$S$5:$S$504,0)),RIGHT("0"&amp;DAY((A386+1)),2)&amp;"."&amp;RIGHT("0"&amp;MONTH((A386+1)),2)&amp;"."&amp;YEAR((A386+1))&amp;": "&amp;INDEX('Zgłoszenia'!$H$5:$H$504,MATCH(F386&amp;"|"&amp;(A386+1),'Zgłoszenia'!$S$5:$S$504,0)))&amp;IF(K386&gt;1," (+"&amp;(K386-1)&amp;")",""))</f>
        <v/>
      </c>
      <c r="M386" s="63" t="n">
        <v>5</v>
      </c>
      <c r="N386" s="2" t="n"/>
      <c r="O386" s="2" t="n"/>
    </row>
    <row r="387">
      <c r="A387" s="62">
        <f>IF('5'!$C$1="","",'5'!$C$1)</f>
        <v/>
      </c>
      <c r="B387" s="63">
        <f>Ustawienia!$A$10&amp;""</f>
        <v/>
      </c>
      <c r="C387" s="63">
        <f>Ustawienia!$A$15&amp;""</f>
        <v/>
      </c>
      <c r="D387" s="63" t="n">
        <v>2</v>
      </c>
      <c r="E387" s="63">
        <f>IF('5'!J14="","",TRIM('5'!J14&amp;""))</f>
        <v/>
      </c>
      <c r="F387" s="63">
        <f>IF('5'!K14="","",'5'!K14)</f>
        <v/>
      </c>
      <c r="G387" s="63">
        <f>'5'!L14&amp;""</f>
        <v/>
      </c>
      <c r="H387" s="63">
        <f>IF(OR(A387="",F387=""),"",F387&amp;"|"&amp;A387)</f>
        <v/>
      </c>
      <c r="I387" s="63">
        <f>IF(AND(H387&lt;&gt;"",OR('Historia wózka'!$B$4="",F387='Historia wózka'!$B$4),A387&gt;='Historia wózka'!$B$5,A387&lt;='Historia wózka'!$B$6),A387+0.7+(5000-ROW())/10000000,0)</f>
        <v/>
      </c>
      <c r="J387" s="63">
        <f>Ustawienia!$B$10&amp;""</f>
        <v/>
      </c>
      <c r="K387" s="63">
        <f>IF(H387="","",COUNTIFS('Zgłoszenia'!$B$5:$B$504,F387,'Zgłoszenia'!$D$5:$D$504,"&gt;="&amp;A387,'Zgłoszenia'!$D$5:$D$504,"&lt;="&amp;(A387+1)))</f>
        <v/>
      </c>
      <c r="L387" s="63">
        <f>IF(OR(H387="",K387=0),"—",IF(ISNUMBER(MATCH(H387,'Zgłoszenia'!$S$5:$S$504,0)),RIGHT("0"&amp;DAY(A387),2)&amp;"."&amp;RIGHT("0"&amp;MONTH(A387),2)&amp;"."&amp;YEAR(A387)&amp;": "&amp;INDEX('Zgłoszenia'!$H$5:$H$504,MATCH(H387,'Zgłoszenia'!$S$5:$S$504,0)),RIGHT("0"&amp;DAY((A387+1)),2)&amp;"."&amp;RIGHT("0"&amp;MONTH((A387+1)),2)&amp;"."&amp;YEAR((A387+1))&amp;": "&amp;INDEX('Zgłoszenia'!$H$5:$H$504,MATCH(F387&amp;"|"&amp;(A387+1),'Zgłoszenia'!$S$5:$S$504,0)))&amp;IF(K387&gt;1," (+"&amp;(K387-1)&amp;")",""))</f>
        <v/>
      </c>
      <c r="M387" s="63" t="n">
        <v>5</v>
      </c>
      <c r="N387" s="2" t="n"/>
      <c r="O387" s="2" t="n"/>
    </row>
    <row r="388">
      <c r="A388" s="62">
        <f>IF('5'!$C$1="","",'5'!$C$1)</f>
        <v/>
      </c>
      <c r="B388" s="63">
        <f>Ustawienia!$A$10&amp;""</f>
        <v/>
      </c>
      <c r="C388" s="63">
        <f>Ustawienia!$A$15&amp;""</f>
        <v/>
      </c>
      <c r="D388" s="63" t="n">
        <v>3</v>
      </c>
      <c r="E388" s="63">
        <f>IF('5'!J15="","",TRIM('5'!J15&amp;""))</f>
        <v/>
      </c>
      <c r="F388" s="63">
        <f>IF('5'!K15="","",'5'!K15)</f>
        <v/>
      </c>
      <c r="G388" s="63">
        <f>'5'!L15&amp;""</f>
        <v/>
      </c>
      <c r="H388" s="63">
        <f>IF(OR(A388="",F388=""),"",F388&amp;"|"&amp;A388)</f>
        <v/>
      </c>
      <c r="I388" s="63">
        <f>IF(AND(H388&lt;&gt;"",OR('Historia wózka'!$B$4="",F388='Historia wózka'!$B$4),A388&gt;='Historia wózka'!$B$5,A388&lt;='Historia wózka'!$B$6),A388+0.7+(5000-ROW())/10000000,0)</f>
        <v/>
      </c>
      <c r="J388" s="63">
        <f>Ustawienia!$B$10&amp;""</f>
        <v/>
      </c>
      <c r="K388" s="63">
        <f>IF(H388="","",COUNTIFS('Zgłoszenia'!$B$5:$B$504,F388,'Zgłoszenia'!$D$5:$D$504,"&gt;="&amp;A388,'Zgłoszenia'!$D$5:$D$504,"&lt;="&amp;(A388+1)))</f>
        <v/>
      </c>
      <c r="L388" s="63">
        <f>IF(OR(H388="",K388=0),"—",IF(ISNUMBER(MATCH(H388,'Zgłoszenia'!$S$5:$S$504,0)),RIGHT("0"&amp;DAY(A388),2)&amp;"."&amp;RIGHT("0"&amp;MONTH(A388),2)&amp;"."&amp;YEAR(A388)&amp;": "&amp;INDEX('Zgłoszenia'!$H$5:$H$504,MATCH(H388,'Zgłoszenia'!$S$5:$S$504,0)),RIGHT("0"&amp;DAY((A388+1)),2)&amp;"."&amp;RIGHT("0"&amp;MONTH((A388+1)),2)&amp;"."&amp;YEAR((A388+1))&amp;": "&amp;INDEX('Zgłoszenia'!$H$5:$H$504,MATCH(F388&amp;"|"&amp;(A388+1),'Zgłoszenia'!$S$5:$S$504,0)))&amp;IF(K388&gt;1," (+"&amp;(K388-1)&amp;")",""))</f>
        <v/>
      </c>
      <c r="M388" s="63" t="n">
        <v>5</v>
      </c>
      <c r="N388" s="2" t="n"/>
      <c r="O388" s="2" t="n"/>
    </row>
    <row r="389">
      <c r="A389" s="62">
        <f>IF('5'!$C$1="","",'5'!$C$1)</f>
        <v/>
      </c>
      <c r="B389" s="63">
        <f>Ustawienia!$A$10&amp;""</f>
        <v/>
      </c>
      <c r="C389" s="63">
        <f>Ustawienia!$A$15&amp;""</f>
        <v/>
      </c>
      <c r="D389" s="63" t="n">
        <v>4</v>
      </c>
      <c r="E389" s="63">
        <f>IF('5'!J16="","",TRIM('5'!J16&amp;""))</f>
        <v/>
      </c>
      <c r="F389" s="63">
        <f>IF('5'!K16="","",'5'!K16)</f>
        <v/>
      </c>
      <c r="G389" s="63">
        <f>'5'!L16&amp;""</f>
        <v/>
      </c>
      <c r="H389" s="63">
        <f>IF(OR(A389="",F389=""),"",F389&amp;"|"&amp;A389)</f>
        <v/>
      </c>
      <c r="I389" s="63">
        <f>IF(AND(H389&lt;&gt;"",OR('Historia wózka'!$B$4="",F389='Historia wózka'!$B$4),A389&gt;='Historia wózka'!$B$5,A389&lt;='Historia wózka'!$B$6),A389+0.7+(5000-ROW())/10000000,0)</f>
        <v/>
      </c>
      <c r="J389" s="63">
        <f>Ustawienia!$B$10&amp;""</f>
        <v/>
      </c>
      <c r="K389" s="63">
        <f>IF(H389="","",COUNTIFS('Zgłoszenia'!$B$5:$B$504,F389,'Zgłoszenia'!$D$5:$D$504,"&gt;="&amp;A389,'Zgłoszenia'!$D$5:$D$504,"&lt;="&amp;(A389+1)))</f>
        <v/>
      </c>
      <c r="L389" s="63">
        <f>IF(OR(H389="",K389=0),"—",IF(ISNUMBER(MATCH(H389,'Zgłoszenia'!$S$5:$S$504,0)),RIGHT("0"&amp;DAY(A389),2)&amp;"."&amp;RIGHT("0"&amp;MONTH(A389),2)&amp;"."&amp;YEAR(A389)&amp;": "&amp;INDEX('Zgłoszenia'!$H$5:$H$504,MATCH(H389,'Zgłoszenia'!$S$5:$S$504,0)),RIGHT("0"&amp;DAY((A389+1)),2)&amp;"."&amp;RIGHT("0"&amp;MONTH((A389+1)),2)&amp;"."&amp;YEAR((A389+1))&amp;": "&amp;INDEX('Zgłoszenia'!$H$5:$H$504,MATCH(F389&amp;"|"&amp;(A389+1),'Zgłoszenia'!$S$5:$S$504,0)))&amp;IF(K389&gt;1," (+"&amp;(K389-1)&amp;")",""))</f>
        <v/>
      </c>
      <c r="M389" s="63" t="n">
        <v>5</v>
      </c>
      <c r="N389" s="2" t="n"/>
      <c r="O389" s="2" t="n"/>
    </row>
    <row r="390">
      <c r="A390" s="62">
        <f>IF('5'!$C$1="","",'5'!$C$1)</f>
        <v/>
      </c>
      <c r="B390" s="63">
        <f>Ustawienia!$A$10&amp;""</f>
        <v/>
      </c>
      <c r="C390" s="63">
        <f>Ustawienia!$A$15&amp;""</f>
        <v/>
      </c>
      <c r="D390" s="63" t="n">
        <v>5</v>
      </c>
      <c r="E390" s="63">
        <f>IF('5'!J17="","",TRIM('5'!J17&amp;""))</f>
        <v/>
      </c>
      <c r="F390" s="63">
        <f>IF('5'!K17="","",'5'!K17)</f>
        <v/>
      </c>
      <c r="G390" s="63">
        <f>'5'!L17&amp;""</f>
        <v/>
      </c>
      <c r="H390" s="63">
        <f>IF(OR(A390="",F390=""),"",F390&amp;"|"&amp;A390)</f>
        <v/>
      </c>
      <c r="I390" s="63">
        <f>IF(AND(H390&lt;&gt;"",OR('Historia wózka'!$B$4="",F390='Historia wózka'!$B$4),A390&gt;='Historia wózka'!$B$5,A390&lt;='Historia wózka'!$B$6),A390+0.7+(5000-ROW())/10000000,0)</f>
        <v/>
      </c>
      <c r="J390" s="63">
        <f>Ustawienia!$B$10&amp;""</f>
        <v/>
      </c>
      <c r="K390" s="63">
        <f>IF(H390="","",COUNTIFS('Zgłoszenia'!$B$5:$B$504,F390,'Zgłoszenia'!$D$5:$D$504,"&gt;="&amp;A390,'Zgłoszenia'!$D$5:$D$504,"&lt;="&amp;(A390+1)))</f>
        <v/>
      </c>
      <c r="L390" s="63">
        <f>IF(OR(H390="",K390=0),"—",IF(ISNUMBER(MATCH(H390,'Zgłoszenia'!$S$5:$S$504,0)),RIGHT("0"&amp;DAY(A390),2)&amp;"."&amp;RIGHT("0"&amp;MONTH(A390),2)&amp;"."&amp;YEAR(A390)&amp;": "&amp;INDEX('Zgłoszenia'!$H$5:$H$504,MATCH(H390,'Zgłoszenia'!$S$5:$S$504,0)),RIGHT("0"&amp;DAY((A390+1)),2)&amp;"."&amp;RIGHT("0"&amp;MONTH((A390+1)),2)&amp;"."&amp;YEAR((A390+1))&amp;": "&amp;INDEX('Zgłoszenia'!$H$5:$H$504,MATCH(F390&amp;"|"&amp;(A390+1),'Zgłoszenia'!$S$5:$S$504,0)))&amp;IF(K390&gt;1," (+"&amp;(K390-1)&amp;")",""))</f>
        <v/>
      </c>
      <c r="M390" s="63" t="n">
        <v>5</v>
      </c>
      <c r="N390" s="2" t="n"/>
      <c r="O390" s="2" t="n"/>
    </row>
    <row r="391">
      <c r="A391" s="62">
        <f>IF('5'!$C$1="","",'5'!$C$1)</f>
        <v/>
      </c>
      <c r="B391" s="63">
        <f>Ustawienia!$A$10&amp;""</f>
        <v/>
      </c>
      <c r="C391" s="63">
        <f>Ustawienia!$A$15&amp;""</f>
        <v/>
      </c>
      <c r="D391" s="63" t="n">
        <v>6</v>
      </c>
      <c r="E391" s="63">
        <f>IF('5'!J18="","",TRIM('5'!J18&amp;""))</f>
        <v/>
      </c>
      <c r="F391" s="63">
        <f>IF('5'!K18="","",'5'!K18)</f>
        <v/>
      </c>
      <c r="G391" s="63">
        <f>'5'!L18&amp;""</f>
        <v/>
      </c>
      <c r="H391" s="63">
        <f>IF(OR(A391="",F391=""),"",F391&amp;"|"&amp;A391)</f>
        <v/>
      </c>
      <c r="I391" s="63">
        <f>IF(AND(H391&lt;&gt;"",OR('Historia wózka'!$B$4="",F391='Historia wózka'!$B$4),A391&gt;='Historia wózka'!$B$5,A391&lt;='Historia wózka'!$B$6),A391+0.7+(5000-ROW())/10000000,0)</f>
        <v/>
      </c>
      <c r="J391" s="63">
        <f>Ustawienia!$B$10&amp;""</f>
        <v/>
      </c>
      <c r="K391" s="63">
        <f>IF(H391="","",COUNTIFS('Zgłoszenia'!$B$5:$B$504,F391,'Zgłoszenia'!$D$5:$D$504,"&gt;="&amp;A391,'Zgłoszenia'!$D$5:$D$504,"&lt;="&amp;(A391+1)))</f>
        <v/>
      </c>
      <c r="L391" s="63">
        <f>IF(OR(H391="",K391=0),"—",IF(ISNUMBER(MATCH(H391,'Zgłoszenia'!$S$5:$S$504,0)),RIGHT("0"&amp;DAY(A391),2)&amp;"."&amp;RIGHT("0"&amp;MONTH(A391),2)&amp;"."&amp;YEAR(A391)&amp;": "&amp;INDEX('Zgłoszenia'!$H$5:$H$504,MATCH(H391,'Zgłoszenia'!$S$5:$S$504,0)),RIGHT("0"&amp;DAY((A391+1)),2)&amp;"."&amp;RIGHT("0"&amp;MONTH((A391+1)),2)&amp;"."&amp;YEAR((A391+1))&amp;": "&amp;INDEX('Zgłoszenia'!$H$5:$H$504,MATCH(F391&amp;"|"&amp;(A391+1),'Zgłoszenia'!$S$5:$S$504,0)))&amp;IF(K391&gt;1," (+"&amp;(K391-1)&amp;")",""))</f>
        <v/>
      </c>
      <c r="M391" s="63" t="n">
        <v>5</v>
      </c>
      <c r="N391" s="2" t="n"/>
      <c r="O391" s="2" t="n"/>
    </row>
    <row r="392">
      <c r="A392" s="62">
        <f>IF('5'!$C$1="","",'5'!$C$1)</f>
        <v/>
      </c>
      <c r="B392" s="63">
        <f>Ustawienia!$A$10&amp;""</f>
        <v/>
      </c>
      <c r="C392" s="63">
        <f>Ustawienia!$A$15&amp;""</f>
        <v/>
      </c>
      <c r="D392" s="63" t="n">
        <v>7</v>
      </c>
      <c r="E392" s="63">
        <f>IF('5'!J19="","",TRIM('5'!J19&amp;""))</f>
        <v/>
      </c>
      <c r="F392" s="63">
        <f>IF('5'!K19="","",'5'!K19)</f>
        <v/>
      </c>
      <c r="G392" s="63">
        <f>'5'!L19&amp;""</f>
        <v/>
      </c>
      <c r="H392" s="63">
        <f>IF(OR(A392="",F392=""),"",F392&amp;"|"&amp;A392)</f>
        <v/>
      </c>
      <c r="I392" s="63">
        <f>IF(AND(H392&lt;&gt;"",OR('Historia wózka'!$B$4="",F392='Historia wózka'!$B$4),A392&gt;='Historia wózka'!$B$5,A392&lt;='Historia wózka'!$B$6),A392+0.7+(5000-ROW())/10000000,0)</f>
        <v/>
      </c>
      <c r="J392" s="63">
        <f>Ustawienia!$B$10&amp;""</f>
        <v/>
      </c>
      <c r="K392" s="63">
        <f>IF(H392="","",COUNTIFS('Zgłoszenia'!$B$5:$B$504,F392,'Zgłoszenia'!$D$5:$D$504,"&gt;="&amp;A392,'Zgłoszenia'!$D$5:$D$504,"&lt;="&amp;(A392+1)))</f>
        <v/>
      </c>
      <c r="L392" s="63">
        <f>IF(OR(H392="",K392=0),"—",IF(ISNUMBER(MATCH(H392,'Zgłoszenia'!$S$5:$S$504,0)),RIGHT("0"&amp;DAY(A392),2)&amp;"."&amp;RIGHT("0"&amp;MONTH(A392),2)&amp;"."&amp;YEAR(A392)&amp;": "&amp;INDEX('Zgłoszenia'!$H$5:$H$504,MATCH(H392,'Zgłoszenia'!$S$5:$S$504,0)),RIGHT("0"&amp;DAY((A392+1)),2)&amp;"."&amp;RIGHT("0"&amp;MONTH((A392+1)),2)&amp;"."&amp;YEAR((A392+1))&amp;": "&amp;INDEX('Zgłoszenia'!$H$5:$H$504,MATCH(F392&amp;"|"&amp;(A392+1),'Zgłoszenia'!$S$5:$S$504,0)))&amp;IF(K392&gt;1," (+"&amp;(K392-1)&amp;")",""))</f>
        <v/>
      </c>
      <c r="M392" s="63" t="n">
        <v>5</v>
      </c>
      <c r="N392" s="2" t="n"/>
      <c r="O392" s="2" t="n"/>
    </row>
    <row r="393">
      <c r="A393" s="62">
        <f>IF('5'!$C$1="","",'5'!$C$1)</f>
        <v/>
      </c>
      <c r="B393" s="63">
        <f>Ustawienia!$A$10&amp;""</f>
        <v/>
      </c>
      <c r="C393" s="63">
        <f>Ustawienia!$A$15&amp;""</f>
        <v/>
      </c>
      <c r="D393" s="63" t="n">
        <v>8</v>
      </c>
      <c r="E393" s="63">
        <f>IF('5'!J20="","",TRIM('5'!J20&amp;""))</f>
        <v/>
      </c>
      <c r="F393" s="63">
        <f>IF('5'!K20="","",'5'!K20)</f>
        <v/>
      </c>
      <c r="G393" s="63">
        <f>'5'!L20&amp;""</f>
        <v/>
      </c>
      <c r="H393" s="63">
        <f>IF(OR(A393="",F393=""),"",F393&amp;"|"&amp;A393)</f>
        <v/>
      </c>
      <c r="I393" s="63">
        <f>IF(AND(H393&lt;&gt;"",OR('Historia wózka'!$B$4="",F393='Historia wózka'!$B$4),A393&gt;='Historia wózka'!$B$5,A393&lt;='Historia wózka'!$B$6),A393+0.7+(5000-ROW())/10000000,0)</f>
        <v/>
      </c>
      <c r="J393" s="63">
        <f>Ustawienia!$B$10&amp;""</f>
        <v/>
      </c>
      <c r="K393" s="63">
        <f>IF(H393="","",COUNTIFS('Zgłoszenia'!$B$5:$B$504,F393,'Zgłoszenia'!$D$5:$D$504,"&gt;="&amp;A393,'Zgłoszenia'!$D$5:$D$504,"&lt;="&amp;(A393+1)))</f>
        <v/>
      </c>
      <c r="L393" s="63">
        <f>IF(OR(H393="",K393=0),"—",IF(ISNUMBER(MATCH(H393,'Zgłoszenia'!$S$5:$S$504,0)),RIGHT("0"&amp;DAY(A393),2)&amp;"."&amp;RIGHT("0"&amp;MONTH(A393),2)&amp;"."&amp;YEAR(A393)&amp;": "&amp;INDEX('Zgłoszenia'!$H$5:$H$504,MATCH(H393,'Zgłoszenia'!$S$5:$S$504,0)),RIGHT("0"&amp;DAY((A393+1)),2)&amp;"."&amp;RIGHT("0"&amp;MONTH((A393+1)),2)&amp;"."&amp;YEAR((A393+1))&amp;": "&amp;INDEX('Zgłoszenia'!$H$5:$H$504,MATCH(F393&amp;"|"&amp;(A393+1),'Zgłoszenia'!$S$5:$S$504,0)))&amp;IF(K393&gt;1," (+"&amp;(K393-1)&amp;")",""))</f>
        <v/>
      </c>
      <c r="M393" s="63" t="n">
        <v>5</v>
      </c>
      <c r="N393" s="2" t="n"/>
      <c r="O393" s="2" t="n"/>
    </row>
    <row r="394">
      <c r="A394" s="62">
        <f>IF('5'!$C$1="","",'5'!$C$1)</f>
        <v/>
      </c>
      <c r="B394" s="63">
        <f>Ustawienia!$A$10&amp;""</f>
        <v/>
      </c>
      <c r="C394" s="63">
        <f>Ustawienia!$A$16&amp;""</f>
        <v/>
      </c>
      <c r="D394" s="63" t="n">
        <v>1</v>
      </c>
      <c r="E394" s="63">
        <f>IF('5'!J22="","",TRIM('5'!J22&amp;""))</f>
        <v/>
      </c>
      <c r="F394" s="63">
        <f>IF('5'!K22="","",'5'!K22)</f>
        <v/>
      </c>
      <c r="G394" s="63">
        <f>'5'!L22&amp;""</f>
        <v/>
      </c>
      <c r="H394" s="63">
        <f>IF(OR(A394="",F394=""),"",F394&amp;"|"&amp;A394)</f>
        <v/>
      </c>
      <c r="I394" s="63">
        <f>IF(AND(H394&lt;&gt;"",OR('Historia wózka'!$B$4="",F394='Historia wózka'!$B$4),A394&gt;='Historia wózka'!$B$5,A394&lt;='Historia wózka'!$B$6),A394+0.7+(5000-ROW())/10000000,0)</f>
        <v/>
      </c>
      <c r="J394" s="63">
        <f>Ustawienia!$B$10&amp;""</f>
        <v/>
      </c>
      <c r="K394" s="63">
        <f>IF(H394="","",COUNTIFS('Zgłoszenia'!$B$5:$B$504,F394,'Zgłoszenia'!$D$5:$D$504,"&gt;="&amp;A394,'Zgłoszenia'!$D$5:$D$504,"&lt;="&amp;(A394+1)))</f>
        <v/>
      </c>
      <c r="L394" s="63">
        <f>IF(OR(H394="",K394=0),"—",IF(ISNUMBER(MATCH(H394,'Zgłoszenia'!$S$5:$S$504,0)),RIGHT("0"&amp;DAY(A394),2)&amp;"."&amp;RIGHT("0"&amp;MONTH(A394),2)&amp;"."&amp;YEAR(A394)&amp;": "&amp;INDEX('Zgłoszenia'!$H$5:$H$504,MATCH(H394,'Zgłoszenia'!$S$5:$S$504,0)),RIGHT("0"&amp;DAY((A394+1)),2)&amp;"."&amp;RIGHT("0"&amp;MONTH((A394+1)),2)&amp;"."&amp;YEAR((A394+1))&amp;": "&amp;INDEX('Zgłoszenia'!$H$5:$H$504,MATCH(F394&amp;"|"&amp;(A394+1),'Zgłoszenia'!$S$5:$S$504,0)))&amp;IF(K394&gt;1," (+"&amp;(K394-1)&amp;")",""))</f>
        <v/>
      </c>
      <c r="M394" s="63" t="n">
        <v>5</v>
      </c>
      <c r="N394" s="2" t="n"/>
      <c r="O394" s="2" t="n"/>
    </row>
    <row r="395">
      <c r="A395" s="62">
        <f>IF('5'!$C$1="","",'5'!$C$1)</f>
        <v/>
      </c>
      <c r="B395" s="63">
        <f>Ustawienia!$A$10&amp;""</f>
        <v/>
      </c>
      <c r="C395" s="63">
        <f>Ustawienia!$A$16&amp;""</f>
        <v/>
      </c>
      <c r="D395" s="63" t="n">
        <v>2</v>
      </c>
      <c r="E395" s="63">
        <f>IF('5'!J23="","",TRIM('5'!J23&amp;""))</f>
        <v/>
      </c>
      <c r="F395" s="63">
        <f>IF('5'!K23="","",'5'!K23)</f>
        <v/>
      </c>
      <c r="G395" s="63">
        <f>'5'!L23&amp;""</f>
        <v/>
      </c>
      <c r="H395" s="63">
        <f>IF(OR(A395="",F395=""),"",F395&amp;"|"&amp;A395)</f>
        <v/>
      </c>
      <c r="I395" s="63">
        <f>IF(AND(H395&lt;&gt;"",OR('Historia wózka'!$B$4="",F395='Historia wózka'!$B$4),A395&gt;='Historia wózka'!$B$5,A395&lt;='Historia wózka'!$B$6),A395+0.7+(5000-ROW())/10000000,0)</f>
        <v/>
      </c>
      <c r="J395" s="63">
        <f>Ustawienia!$B$10&amp;""</f>
        <v/>
      </c>
      <c r="K395" s="63">
        <f>IF(H395="","",COUNTIFS('Zgłoszenia'!$B$5:$B$504,F395,'Zgłoszenia'!$D$5:$D$504,"&gt;="&amp;A395,'Zgłoszenia'!$D$5:$D$504,"&lt;="&amp;(A395+1)))</f>
        <v/>
      </c>
      <c r="L395" s="63">
        <f>IF(OR(H395="",K395=0),"—",IF(ISNUMBER(MATCH(H395,'Zgłoszenia'!$S$5:$S$504,0)),RIGHT("0"&amp;DAY(A395),2)&amp;"."&amp;RIGHT("0"&amp;MONTH(A395),2)&amp;"."&amp;YEAR(A395)&amp;": "&amp;INDEX('Zgłoszenia'!$H$5:$H$504,MATCH(H395,'Zgłoszenia'!$S$5:$S$504,0)),RIGHT("0"&amp;DAY((A395+1)),2)&amp;"."&amp;RIGHT("0"&amp;MONTH((A395+1)),2)&amp;"."&amp;YEAR((A395+1))&amp;": "&amp;INDEX('Zgłoszenia'!$H$5:$H$504,MATCH(F395&amp;"|"&amp;(A395+1),'Zgłoszenia'!$S$5:$S$504,0)))&amp;IF(K395&gt;1," (+"&amp;(K395-1)&amp;")",""))</f>
        <v/>
      </c>
      <c r="M395" s="63" t="n">
        <v>5</v>
      </c>
      <c r="N395" s="2" t="n"/>
      <c r="O395" s="2" t="n"/>
    </row>
    <row r="396">
      <c r="A396" s="62">
        <f>IF('5'!$C$1="","",'5'!$C$1)</f>
        <v/>
      </c>
      <c r="B396" s="63">
        <f>Ustawienia!$A$10&amp;""</f>
        <v/>
      </c>
      <c r="C396" s="63">
        <f>Ustawienia!$A$16&amp;""</f>
        <v/>
      </c>
      <c r="D396" s="63" t="n">
        <v>3</v>
      </c>
      <c r="E396" s="63">
        <f>IF('5'!J24="","",TRIM('5'!J24&amp;""))</f>
        <v/>
      </c>
      <c r="F396" s="63">
        <f>IF('5'!K24="","",'5'!K24)</f>
        <v/>
      </c>
      <c r="G396" s="63">
        <f>'5'!L24&amp;""</f>
        <v/>
      </c>
      <c r="H396" s="63">
        <f>IF(OR(A396="",F396=""),"",F396&amp;"|"&amp;A396)</f>
        <v/>
      </c>
      <c r="I396" s="63">
        <f>IF(AND(H396&lt;&gt;"",OR('Historia wózka'!$B$4="",F396='Historia wózka'!$B$4),A396&gt;='Historia wózka'!$B$5,A396&lt;='Historia wózka'!$B$6),A396+0.7+(5000-ROW())/10000000,0)</f>
        <v/>
      </c>
      <c r="J396" s="63">
        <f>Ustawienia!$B$10&amp;""</f>
        <v/>
      </c>
      <c r="K396" s="63">
        <f>IF(H396="","",COUNTIFS('Zgłoszenia'!$B$5:$B$504,F396,'Zgłoszenia'!$D$5:$D$504,"&gt;="&amp;A396,'Zgłoszenia'!$D$5:$D$504,"&lt;="&amp;(A396+1)))</f>
        <v/>
      </c>
      <c r="L396" s="63">
        <f>IF(OR(H396="",K396=0),"—",IF(ISNUMBER(MATCH(H396,'Zgłoszenia'!$S$5:$S$504,0)),RIGHT("0"&amp;DAY(A396),2)&amp;"."&amp;RIGHT("0"&amp;MONTH(A396),2)&amp;"."&amp;YEAR(A396)&amp;": "&amp;INDEX('Zgłoszenia'!$H$5:$H$504,MATCH(H396,'Zgłoszenia'!$S$5:$S$504,0)),RIGHT("0"&amp;DAY((A396+1)),2)&amp;"."&amp;RIGHT("0"&amp;MONTH((A396+1)),2)&amp;"."&amp;YEAR((A396+1))&amp;": "&amp;INDEX('Zgłoszenia'!$H$5:$H$504,MATCH(F396&amp;"|"&amp;(A396+1),'Zgłoszenia'!$S$5:$S$504,0)))&amp;IF(K396&gt;1," (+"&amp;(K396-1)&amp;")",""))</f>
        <v/>
      </c>
      <c r="M396" s="63" t="n">
        <v>5</v>
      </c>
      <c r="N396" s="2" t="n"/>
      <c r="O396" s="2" t="n"/>
    </row>
    <row r="397">
      <c r="A397" s="62">
        <f>IF('5'!$C$1="","",'5'!$C$1)</f>
        <v/>
      </c>
      <c r="B397" s="63">
        <f>Ustawienia!$A$10&amp;""</f>
        <v/>
      </c>
      <c r="C397" s="63">
        <f>Ustawienia!$A$16&amp;""</f>
        <v/>
      </c>
      <c r="D397" s="63" t="n">
        <v>4</v>
      </c>
      <c r="E397" s="63">
        <f>IF('5'!J25="","",TRIM('5'!J25&amp;""))</f>
        <v/>
      </c>
      <c r="F397" s="63">
        <f>IF('5'!K25="","",'5'!K25)</f>
        <v/>
      </c>
      <c r="G397" s="63">
        <f>'5'!L25&amp;""</f>
        <v/>
      </c>
      <c r="H397" s="63">
        <f>IF(OR(A397="",F397=""),"",F397&amp;"|"&amp;A397)</f>
        <v/>
      </c>
      <c r="I397" s="63">
        <f>IF(AND(H397&lt;&gt;"",OR('Historia wózka'!$B$4="",F397='Historia wózka'!$B$4),A397&gt;='Historia wózka'!$B$5,A397&lt;='Historia wózka'!$B$6),A397+0.7+(5000-ROW())/10000000,0)</f>
        <v/>
      </c>
      <c r="J397" s="63">
        <f>Ustawienia!$B$10&amp;""</f>
        <v/>
      </c>
      <c r="K397" s="63">
        <f>IF(H397="","",COUNTIFS('Zgłoszenia'!$B$5:$B$504,F397,'Zgłoszenia'!$D$5:$D$504,"&gt;="&amp;A397,'Zgłoszenia'!$D$5:$D$504,"&lt;="&amp;(A397+1)))</f>
        <v/>
      </c>
      <c r="L397" s="63">
        <f>IF(OR(H397="",K397=0),"—",IF(ISNUMBER(MATCH(H397,'Zgłoszenia'!$S$5:$S$504,0)),RIGHT("0"&amp;DAY(A397),2)&amp;"."&amp;RIGHT("0"&amp;MONTH(A397),2)&amp;"."&amp;YEAR(A397)&amp;": "&amp;INDEX('Zgłoszenia'!$H$5:$H$504,MATCH(H397,'Zgłoszenia'!$S$5:$S$504,0)),RIGHT("0"&amp;DAY((A397+1)),2)&amp;"."&amp;RIGHT("0"&amp;MONTH((A397+1)),2)&amp;"."&amp;YEAR((A397+1))&amp;": "&amp;INDEX('Zgłoszenia'!$H$5:$H$504,MATCH(F397&amp;"|"&amp;(A397+1),'Zgłoszenia'!$S$5:$S$504,0)))&amp;IF(K397&gt;1," (+"&amp;(K397-1)&amp;")",""))</f>
        <v/>
      </c>
      <c r="M397" s="63" t="n">
        <v>5</v>
      </c>
      <c r="N397" s="2" t="n"/>
      <c r="O397" s="2" t="n"/>
    </row>
    <row r="398">
      <c r="A398" s="62">
        <f>IF('5'!$C$1="","",'5'!$C$1)</f>
        <v/>
      </c>
      <c r="B398" s="63">
        <f>Ustawienia!$A$10&amp;""</f>
        <v/>
      </c>
      <c r="C398" s="63">
        <f>Ustawienia!$A$17&amp;""</f>
        <v/>
      </c>
      <c r="D398" s="63" t="n">
        <v>1</v>
      </c>
      <c r="E398" s="63">
        <f>IF('5'!J27="","",TRIM('5'!J27&amp;""))</f>
        <v/>
      </c>
      <c r="F398" s="63">
        <f>IF('5'!K27="","",'5'!K27)</f>
        <v/>
      </c>
      <c r="G398" s="63">
        <f>'5'!L27&amp;""</f>
        <v/>
      </c>
      <c r="H398" s="63">
        <f>IF(OR(A398="",F398=""),"",F398&amp;"|"&amp;A398)</f>
        <v/>
      </c>
      <c r="I398" s="63">
        <f>IF(AND(H398&lt;&gt;"",OR('Historia wózka'!$B$4="",F398='Historia wózka'!$B$4),A398&gt;='Historia wózka'!$B$5,A398&lt;='Historia wózka'!$B$6),A398+0.7+(5000-ROW())/10000000,0)</f>
        <v/>
      </c>
      <c r="J398" s="63">
        <f>Ustawienia!$B$10&amp;""</f>
        <v/>
      </c>
      <c r="K398" s="63">
        <f>IF(H398="","",COUNTIFS('Zgłoszenia'!$B$5:$B$504,F398,'Zgłoszenia'!$D$5:$D$504,"&gt;="&amp;A398,'Zgłoszenia'!$D$5:$D$504,"&lt;="&amp;(A398+1)))</f>
        <v/>
      </c>
      <c r="L398" s="63">
        <f>IF(OR(H398="",K398=0),"—",IF(ISNUMBER(MATCH(H398,'Zgłoszenia'!$S$5:$S$504,0)),RIGHT("0"&amp;DAY(A398),2)&amp;"."&amp;RIGHT("0"&amp;MONTH(A398),2)&amp;"."&amp;YEAR(A398)&amp;": "&amp;INDEX('Zgłoszenia'!$H$5:$H$504,MATCH(H398,'Zgłoszenia'!$S$5:$S$504,0)),RIGHT("0"&amp;DAY((A398+1)),2)&amp;"."&amp;RIGHT("0"&amp;MONTH((A398+1)),2)&amp;"."&amp;YEAR((A398+1))&amp;": "&amp;INDEX('Zgłoszenia'!$H$5:$H$504,MATCH(F398&amp;"|"&amp;(A398+1),'Zgłoszenia'!$S$5:$S$504,0)))&amp;IF(K398&gt;1," (+"&amp;(K398-1)&amp;")",""))</f>
        <v/>
      </c>
      <c r="M398" s="63" t="n">
        <v>5</v>
      </c>
      <c r="N398" s="2" t="n"/>
      <c r="O398" s="2" t="n"/>
    </row>
    <row r="399">
      <c r="A399" s="62">
        <f>IF('5'!$C$1="","",'5'!$C$1)</f>
        <v/>
      </c>
      <c r="B399" s="63">
        <f>Ustawienia!$A$10&amp;""</f>
        <v/>
      </c>
      <c r="C399" s="63">
        <f>Ustawienia!$A$17&amp;""</f>
        <v/>
      </c>
      <c r="D399" s="63" t="n">
        <v>2</v>
      </c>
      <c r="E399" s="63">
        <f>IF('5'!J28="","",TRIM('5'!J28&amp;""))</f>
        <v/>
      </c>
      <c r="F399" s="63">
        <f>IF('5'!K28="","",'5'!K28)</f>
        <v/>
      </c>
      <c r="G399" s="63">
        <f>'5'!L28&amp;""</f>
        <v/>
      </c>
      <c r="H399" s="63">
        <f>IF(OR(A399="",F399=""),"",F399&amp;"|"&amp;A399)</f>
        <v/>
      </c>
      <c r="I399" s="63">
        <f>IF(AND(H399&lt;&gt;"",OR('Historia wózka'!$B$4="",F399='Historia wózka'!$B$4),A399&gt;='Historia wózka'!$B$5,A399&lt;='Historia wózka'!$B$6),A399+0.7+(5000-ROW())/10000000,0)</f>
        <v/>
      </c>
      <c r="J399" s="63">
        <f>Ustawienia!$B$10&amp;""</f>
        <v/>
      </c>
      <c r="K399" s="63">
        <f>IF(H399="","",COUNTIFS('Zgłoszenia'!$B$5:$B$504,F399,'Zgłoszenia'!$D$5:$D$504,"&gt;="&amp;A399,'Zgłoszenia'!$D$5:$D$504,"&lt;="&amp;(A399+1)))</f>
        <v/>
      </c>
      <c r="L399" s="63">
        <f>IF(OR(H399="",K399=0),"—",IF(ISNUMBER(MATCH(H399,'Zgłoszenia'!$S$5:$S$504,0)),RIGHT("0"&amp;DAY(A399),2)&amp;"."&amp;RIGHT("0"&amp;MONTH(A399),2)&amp;"."&amp;YEAR(A399)&amp;": "&amp;INDEX('Zgłoszenia'!$H$5:$H$504,MATCH(H399,'Zgłoszenia'!$S$5:$S$504,0)),RIGHT("0"&amp;DAY((A399+1)),2)&amp;"."&amp;RIGHT("0"&amp;MONTH((A399+1)),2)&amp;"."&amp;YEAR((A399+1))&amp;": "&amp;INDEX('Zgłoszenia'!$H$5:$H$504,MATCH(F399&amp;"|"&amp;(A399+1),'Zgłoszenia'!$S$5:$S$504,0)))&amp;IF(K399&gt;1," (+"&amp;(K399-1)&amp;")",""))</f>
        <v/>
      </c>
      <c r="M399" s="63" t="n">
        <v>5</v>
      </c>
      <c r="N399" s="2" t="n"/>
      <c r="O399" s="2" t="n"/>
    </row>
    <row r="400">
      <c r="A400" s="62">
        <f>IF('5'!$C$1="","",'5'!$C$1)</f>
        <v/>
      </c>
      <c r="B400" s="63">
        <f>Ustawienia!$A$10&amp;""</f>
        <v/>
      </c>
      <c r="C400" s="63">
        <f>Ustawienia!$A$17&amp;""</f>
        <v/>
      </c>
      <c r="D400" s="63" t="n">
        <v>3</v>
      </c>
      <c r="E400" s="63">
        <f>IF('5'!J29="","",TRIM('5'!J29&amp;""))</f>
        <v/>
      </c>
      <c r="F400" s="63">
        <f>IF('5'!K29="","",'5'!K29)</f>
        <v/>
      </c>
      <c r="G400" s="63">
        <f>'5'!L29&amp;""</f>
        <v/>
      </c>
      <c r="H400" s="63">
        <f>IF(OR(A400="",F400=""),"",F400&amp;"|"&amp;A400)</f>
        <v/>
      </c>
      <c r="I400" s="63">
        <f>IF(AND(H400&lt;&gt;"",OR('Historia wózka'!$B$4="",F400='Historia wózka'!$B$4),A400&gt;='Historia wózka'!$B$5,A400&lt;='Historia wózka'!$B$6),A400+0.7+(5000-ROW())/10000000,0)</f>
        <v/>
      </c>
      <c r="J400" s="63">
        <f>Ustawienia!$B$10&amp;""</f>
        <v/>
      </c>
      <c r="K400" s="63">
        <f>IF(H400="","",COUNTIFS('Zgłoszenia'!$B$5:$B$504,F400,'Zgłoszenia'!$D$5:$D$504,"&gt;="&amp;A400,'Zgłoszenia'!$D$5:$D$504,"&lt;="&amp;(A400+1)))</f>
        <v/>
      </c>
      <c r="L400" s="63">
        <f>IF(OR(H400="",K400=0),"—",IF(ISNUMBER(MATCH(H400,'Zgłoszenia'!$S$5:$S$504,0)),RIGHT("0"&amp;DAY(A400),2)&amp;"."&amp;RIGHT("0"&amp;MONTH(A400),2)&amp;"."&amp;YEAR(A400)&amp;": "&amp;INDEX('Zgłoszenia'!$H$5:$H$504,MATCH(H400,'Zgłoszenia'!$S$5:$S$504,0)),RIGHT("0"&amp;DAY((A400+1)),2)&amp;"."&amp;RIGHT("0"&amp;MONTH((A400+1)),2)&amp;"."&amp;YEAR((A400+1))&amp;": "&amp;INDEX('Zgłoszenia'!$H$5:$H$504,MATCH(F400&amp;"|"&amp;(A400+1),'Zgłoszenia'!$S$5:$S$504,0)))&amp;IF(K400&gt;1," (+"&amp;(K400-1)&amp;")",""))</f>
        <v/>
      </c>
      <c r="M400" s="63" t="n">
        <v>5</v>
      </c>
      <c r="N400" s="2" t="n"/>
      <c r="O400" s="2" t="n"/>
    </row>
    <row r="401">
      <c r="A401" s="62">
        <f>IF('5'!$C$1="","",'5'!$C$1)</f>
        <v/>
      </c>
      <c r="B401" s="63">
        <f>Ustawienia!$A$10&amp;""</f>
        <v/>
      </c>
      <c r="C401" s="63">
        <f>Ustawienia!$A$17&amp;""</f>
        <v/>
      </c>
      <c r="D401" s="63" t="n">
        <v>4</v>
      </c>
      <c r="E401" s="63">
        <f>IF('5'!J30="","",TRIM('5'!J30&amp;""))</f>
        <v/>
      </c>
      <c r="F401" s="63">
        <f>IF('5'!K30="","",'5'!K30)</f>
        <v/>
      </c>
      <c r="G401" s="63">
        <f>'5'!L30&amp;""</f>
        <v/>
      </c>
      <c r="H401" s="63">
        <f>IF(OR(A401="",F401=""),"",F401&amp;"|"&amp;A401)</f>
        <v/>
      </c>
      <c r="I401" s="63">
        <f>IF(AND(H401&lt;&gt;"",OR('Historia wózka'!$B$4="",F401='Historia wózka'!$B$4),A401&gt;='Historia wózka'!$B$5,A401&lt;='Historia wózka'!$B$6),A401+0.7+(5000-ROW())/10000000,0)</f>
        <v/>
      </c>
      <c r="J401" s="63">
        <f>Ustawienia!$B$10&amp;""</f>
        <v/>
      </c>
      <c r="K401" s="63">
        <f>IF(H401="","",COUNTIFS('Zgłoszenia'!$B$5:$B$504,F401,'Zgłoszenia'!$D$5:$D$504,"&gt;="&amp;A401,'Zgłoszenia'!$D$5:$D$504,"&lt;="&amp;(A401+1)))</f>
        <v/>
      </c>
      <c r="L401" s="63">
        <f>IF(OR(H401="",K401=0),"—",IF(ISNUMBER(MATCH(H401,'Zgłoszenia'!$S$5:$S$504,0)),RIGHT("0"&amp;DAY(A401),2)&amp;"."&amp;RIGHT("0"&amp;MONTH(A401),2)&amp;"."&amp;YEAR(A401)&amp;": "&amp;INDEX('Zgłoszenia'!$H$5:$H$504,MATCH(H401,'Zgłoszenia'!$S$5:$S$504,0)),RIGHT("0"&amp;DAY((A401+1)),2)&amp;"."&amp;RIGHT("0"&amp;MONTH((A401+1)),2)&amp;"."&amp;YEAR((A401+1))&amp;": "&amp;INDEX('Zgłoszenia'!$H$5:$H$504,MATCH(F401&amp;"|"&amp;(A401+1),'Zgłoszenia'!$S$5:$S$504,0)))&amp;IF(K401&gt;1," (+"&amp;(K401-1)&amp;")",""))</f>
        <v/>
      </c>
      <c r="M401" s="63" t="n">
        <v>5</v>
      </c>
      <c r="N401" s="2" t="n"/>
      <c r="O401" s="2" t="n"/>
    </row>
    <row r="402">
      <c r="A402" s="62">
        <f>IF('5'!$C$1="","",'5'!$C$1)</f>
        <v/>
      </c>
      <c r="B402" s="63">
        <f>Ustawienia!$A$10&amp;""</f>
        <v/>
      </c>
      <c r="C402" s="63">
        <f>Ustawienia!$A$18&amp;""</f>
        <v/>
      </c>
      <c r="D402" s="63" t="n">
        <v>1</v>
      </c>
      <c r="E402" s="63">
        <f>IF('5'!J32="","",TRIM('5'!J32&amp;""))</f>
        <v/>
      </c>
      <c r="F402" s="63">
        <f>IF('5'!K32="","",'5'!K32)</f>
        <v/>
      </c>
      <c r="G402" s="63">
        <f>'5'!L32&amp;""</f>
        <v/>
      </c>
      <c r="H402" s="63">
        <f>IF(OR(A402="",F402=""),"",F402&amp;"|"&amp;A402)</f>
        <v/>
      </c>
      <c r="I402" s="63">
        <f>IF(AND(H402&lt;&gt;"",OR('Historia wózka'!$B$4="",F402='Historia wózka'!$B$4),A402&gt;='Historia wózka'!$B$5,A402&lt;='Historia wózka'!$B$6),A402+0.7+(5000-ROW())/10000000,0)</f>
        <v/>
      </c>
      <c r="J402" s="63">
        <f>Ustawienia!$B$10&amp;""</f>
        <v/>
      </c>
      <c r="K402" s="63">
        <f>IF(H402="","",COUNTIFS('Zgłoszenia'!$B$5:$B$504,F402,'Zgłoszenia'!$D$5:$D$504,"&gt;="&amp;A402,'Zgłoszenia'!$D$5:$D$504,"&lt;="&amp;(A402+1)))</f>
        <v/>
      </c>
      <c r="L402" s="63">
        <f>IF(OR(H402="",K402=0),"—",IF(ISNUMBER(MATCH(H402,'Zgłoszenia'!$S$5:$S$504,0)),RIGHT("0"&amp;DAY(A402),2)&amp;"."&amp;RIGHT("0"&amp;MONTH(A402),2)&amp;"."&amp;YEAR(A402)&amp;": "&amp;INDEX('Zgłoszenia'!$H$5:$H$504,MATCH(H402,'Zgłoszenia'!$S$5:$S$504,0)),RIGHT("0"&amp;DAY((A402+1)),2)&amp;"."&amp;RIGHT("0"&amp;MONTH((A402+1)),2)&amp;"."&amp;YEAR((A402+1))&amp;": "&amp;INDEX('Zgłoszenia'!$H$5:$H$504,MATCH(F402&amp;"|"&amp;(A402+1),'Zgłoszenia'!$S$5:$S$504,0)))&amp;IF(K402&gt;1," (+"&amp;(K402-1)&amp;")",""))</f>
        <v/>
      </c>
      <c r="M402" s="63" t="n">
        <v>5</v>
      </c>
      <c r="N402" s="2" t="n"/>
      <c r="O402" s="2" t="n"/>
    </row>
    <row r="403">
      <c r="A403" s="62">
        <f>IF('5'!$C$1="","",'5'!$C$1)</f>
        <v/>
      </c>
      <c r="B403" s="63">
        <f>Ustawienia!$A$10&amp;""</f>
        <v/>
      </c>
      <c r="C403" s="63">
        <f>Ustawienia!$A$18&amp;""</f>
        <v/>
      </c>
      <c r="D403" s="63" t="n">
        <v>2</v>
      </c>
      <c r="E403" s="63">
        <f>IF('5'!J33="","",TRIM('5'!J33&amp;""))</f>
        <v/>
      </c>
      <c r="F403" s="63">
        <f>IF('5'!K33="","",'5'!K33)</f>
        <v/>
      </c>
      <c r="G403" s="63">
        <f>'5'!L33&amp;""</f>
        <v/>
      </c>
      <c r="H403" s="63">
        <f>IF(OR(A403="",F403=""),"",F403&amp;"|"&amp;A403)</f>
        <v/>
      </c>
      <c r="I403" s="63">
        <f>IF(AND(H403&lt;&gt;"",OR('Historia wózka'!$B$4="",F403='Historia wózka'!$B$4),A403&gt;='Historia wózka'!$B$5,A403&lt;='Historia wózka'!$B$6),A403+0.7+(5000-ROW())/10000000,0)</f>
        <v/>
      </c>
      <c r="J403" s="63">
        <f>Ustawienia!$B$10&amp;""</f>
        <v/>
      </c>
      <c r="K403" s="63">
        <f>IF(H403="","",COUNTIFS('Zgłoszenia'!$B$5:$B$504,F403,'Zgłoszenia'!$D$5:$D$504,"&gt;="&amp;A403,'Zgłoszenia'!$D$5:$D$504,"&lt;="&amp;(A403+1)))</f>
        <v/>
      </c>
      <c r="L403" s="63">
        <f>IF(OR(H403="",K403=0),"—",IF(ISNUMBER(MATCH(H403,'Zgłoszenia'!$S$5:$S$504,0)),RIGHT("0"&amp;DAY(A403),2)&amp;"."&amp;RIGHT("0"&amp;MONTH(A403),2)&amp;"."&amp;YEAR(A403)&amp;": "&amp;INDEX('Zgłoszenia'!$H$5:$H$504,MATCH(H403,'Zgłoszenia'!$S$5:$S$504,0)),RIGHT("0"&amp;DAY((A403+1)),2)&amp;"."&amp;RIGHT("0"&amp;MONTH((A403+1)),2)&amp;"."&amp;YEAR((A403+1))&amp;": "&amp;INDEX('Zgłoszenia'!$H$5:$H$504,MATCH(F403&amp;"|"&amp;(A403+1),'Zgłoszenia'!$S$5:$S$504,0)))&amp;IF(K403&gt;1," (+"&amp;(K403-1)&amp;")",""))</f>
        <v/>
      </c>
      <c r="M403" s="63" t="n">
        <v>5</v>
      </c>
      <c r="N403" s="2" t="n"/>
      <c r="O403" s="2" t="n"/>
    </row>
    <row r="404">
      <c r="A404" s="62">
        <f>IF('5'!$C$1="","",'5'!$C$1)</f>
        <v/>
      </c>
      <c r="B404" s="63">
        <f>Ustawienia!$A$10&amp;""</f>
        <v/>
      </c>
      <c r="C404" s="63">
        <f>Ustawienia!$A$18&amp;""</f>
        <v/>
      </c>
      <c r="D404" s="63" t="n">
        <v>3</v>
      </c>
      <c r="E404" s="63">
        <f>IF('5'!J34="","",TRIM('5'!J34&amp;""))</f>
        <v/>
      </c>
      <c r="F404" s="63">
        <f>IF('5'!K34="","",'5'!K34)</f>
        <v/>
      </c>
      <c r="G404" s="63">
        <f>'5'!L34&amp;""</f>
        <v/>
      </c>
      <c r="H404" s="63">
        <f>IF(OR(A404="",F404=""),"",F404&amp;"|"&amp;A404)</f>
        <v/>
      </c>
      <c r="I404" s="63">
        <f>IF(AND(H404&lt;&gt;"",OR('Historia wózka'!$B$4="",F404='Historia wózka'!$B$4),A404&gt;='Historia wózka'!$B$5,A404&lt;='Historia wózka'!$B$6),A404+0.7+(5000-ROW())/10000000,0)</f>
        <v/>
      </c>
      <c r="J404" s="63">
        <f>Ustawienia!$B$10&amp;""</f>
        <v/>
      </c>
      <c r="K404" s="63">
        <f>IF(H404="","",COUNTIFS('Zgłoszenia'!$B$5:$B$504,F404,'Zgłoszenia'!$D$5:$D$504,"&gt;="&amp;A404,'Zgłoszenia'!$D$5:$D$504,"&lt;="&amp;(A404+1)))</f>
        <v/>
      </c>
      <c r="L404" s="63">
        <f>IF(OR(H404="",K404=0),"—",IF(ISNUMBER(MATCH(H404,'Zgłoszenia'!$S$5:$S$504,0)),RIGHT("0"&amp;DAY(A404),2)&amp;"."&amp;RIGHT("0"&amp;MONTH(A404),2)&amp;"."&amp;YEAR(A404)&amp;": "&amp;INDEX('Zgłoszenia'!$H$5:$H$504,MATCH(H404,'Zgłoszenia'!$S$5:$S$504,0)),RIGHT("0"&amp;DAY((A404+1)),2)&amp;"."&amp;RIGHT("0"&amp;MONTH((A404+1)),2)&amp;"."&amp;YEAR((A404+1))&amp;": "&amp;INDEX('Zgłoszenia'!$H$5:$H$504,MATCH(F404&amp;"|"&amp;(A404+1),'Zgłoszenia'!$S$5:$S$504,0)))&amp;IF(K404&gt;1," (+"&amp;(K404-1)&amp;")",""))</f>
        <v/>
      </c>
      <c r="M404" s="63" t="n">
        <v>5</v>
      </c>
      <c r="N404" s="2" t="n"/>
      <c r="O404" s="2" t="n"/>
    </row>
    <row r="405">
      <c r="A405" s="62">
        <f>IF('5'!$C$1="","",'5'!$C$1)</f>
        <v/>
      </c>
      <c r="B405" s="63">
        <f>Ustawienia!$A$10&amp;""</f>
        <v/>
      </c>
      <c r="C405" s="63">
        <f>Ustawienia!$A$18&amp;""</f>
        <v/>
      </c>
      <c r="D405" s="63" t="n">
        <v>4</v>
      </c>
      <c r="E405" s="63">
        <f>IF('5'!J35="","",TRIM('5'!J35&amp;""))</f>
        <v/>
      </c>
      <c r="F405" s="63">
        <f>IF('5'!K35="","",'5'!K35)</f>
        <v/>
      </c>
      <c r="G405" s="63">
        <f>'5'!L35&amp;""</f>
        <v/>
      </c>
      <c r="H405" s="63">
        <f>IF(OR(A405="",F405=""),"",F405&amp;"|"&amp;A405)</f>
        <v/>
      </c>
      <c r="I405" s="63">
        <f>IF(AND(H405&lt;&gt;"",OR('Historia wózka'!$B$4="",F405='Historia wózka'!$B$4),A405&gt;='Historia wózka'!$B$5,A405&lt;='Historia wózka'!$B$6),A405+0.7+(5000-ROW())/10000000,0)</f>
        <v/>
      </c>
      <c r="J405" s="63">
        <f>Ustawienia!$B$10&amp;""</f>
        <v/>
      </c>
      <c r="K405" s="63">
        <f>IF(H405="","",COUNTIFS('Zgłoszenia'!$B$5:$B$504,F405,'Zgłoszenia'!$D$5:$D$504,"&gt;="&amp;A405,'Zgłoszenia'!$D$5:$D$504,"&lt;="&amp;(A405+1)))</f>
        <v/>
      </c>
      <c r="L405" s="63">
        <f>IF(OR(H405="",K405=0),"—",IF(ISNUMBER(MATCH(H405,'Zgłoszenia'!$S$5:$S$504,0)),RIGHT("0"&amp;DAY(A405),2)&amp;"."&amp;RIGHT("0"&amp;MONTH(A405),2)&amp;"."&amp;YEAR(A405)&amp;": "&amp;INDEX('Zgłoszenia'!$H$5:$H$504,MATCH(H405,'Zgłoszenia'!$S$5:$S$504,0)),RIGHT("0"&amp;DAY((A405+1)),2)&amp;"."&amp;RIGHT("0"&amp;MONTH((A405+1)),2)&amp;"."&amp;YEAR((A405+1))&amp;": "&amp;INDEX('Zgłoszenia'!$H$5:$H$504,MATCH(F405&amp;"|"&amp;(A405+1),'Zgłoszenia'!$S$5:$S$504,0)))&amp;IF(K405&gt;1," (+"&amp;(K405-1)&amp;")",""))</f>
        <v/>
      </c>
      <c r="M405" s="63" t="n">
        <v>5</v>
      </c>
      <c r="N405" s="2" t="n"/>
      <c r="O405" s="2" t="n"/>
    </row>
    <row r="406">
      <c r="A406" s="62">
        <f>IF('5'!$C$1="","",'5'!$C$1)</f>
        <v/>
      </c>
      <c r="B406" s="63">
        <f>Ustawienia!$A$10&amp;""</f>
        <v/>
      </c>
      <c r="C406" s="63">
        <f>Ustawienia!$A$18&amp;""</f>
        <v/>
      </c>
      <c r="D406" s="63" t="n">
        <v>5</v>
      </c>
      <c r="E406" s="63">
        <f>IF('5'!J36="","",TRIM('5'!J36&amp;""))</f>
        <v/>
      </c>
      <c r="F406" s="63">
        <f>IF('5'!K36="","",'5'!K36)</f>
        <v/>
      </c>
      <c r="G406" s="63">
        <f>'5'!L36&amp;""</f>
        <v/>
      </c>
      <c r="H406" s="63">
        <f>IF(OR(A406="",F406=""),"",F406&amp;"|"&amp;A406)</f>
        <v/>
      </c>
      <c r="I406" s="63">
        <f>IF(AND(H406&lt;&gt;"",OR('Historia wózka'!$B$4="",F406='Historia wózka'!$B$4),A406&gt;='Historia wózka'!$B$5,A406&lt;='Historia wózka'!$B$6),A406+0.7+(5000-ROW())/10000000,0)</f>
        <v/>
      </c>
      <c r="J406" s="63">
        <f>Ustawienia!$B$10&amp;""</f>
        <v/>
      </c>
      <c r="K406" s="63">
        <f>IF(H406="","",COUNTIFS('Zgłoszenia'!$B$5:$B$504,F406,'Zgłoszenia'!$D$5:$D$504,"&gt;="&amp;A406,'Zgłoszenia'!$D$5:$D$504,"&lt;="&amp;(A406+1)))</f>
        <v/>
      </c>
      <c r="L406" s="63">
        <f>IF(OR(H406="",K406=0),"—",IF(ISNUMBER(MATCH(H406,'Zgłoszenia'!$S$5:$S$504,0)),RIGHT("0"&amp;DAY(A406),2)&amp;"."&amp;RIGHT("0"&amp;MONTH(A406),2)&amp;"."&amp;YEAR(A406)&amp;": "&amp;INDEX('Zgłoszenia'!$H$5:$H$504,MATCH(H406,'Zgłoszenia'!$S$5:$S$504,0)),RIGHT("0"&amp;DAY((A406+1)),2)&amp;"."&amp;RIGHT("0"&amp;MONTH((A406+1)),2)&amp;"."&amp;YEAR((A406+1))&amp;": "&amp;INDEX('Zgłoszenia'!$H$5:$H$504,MATCH(F406&amp;"|"&amp;(A406+1),'Zgłoszenia'!$S$5:$S$504,0)))&amp;IF(K406&gt;1," (+"&amp;(K406-1)&amp;")",""))</f>
        <v/>
      </c>
      <c r="M406" s="63" t="n">
        <v>5</v>
      </c>
      <c r="N406" s="2" t="n"/>
      <c r="O406" s="2" t="n"/>
    </row>
    <row r="407">
      <c r="A407" s="62">
        <f>IF('6'!$C$1="","",'6'!$C$1)</f>
        <v/>
      </c>
      <c r="B407" s="63">
        <f>Ustawienia!$A$8&amp;""</f>
        <v/>
      </c>
      <c r="C407" s="63">
        <f>Ustawienia!$A$14&amp;""</f>
        <v/>
      </c>
      <c r="D407" s="63" t="n">
        <v>1</v>
      </c>
      <c r="E407" s="63">
        <f>IF('6'!B6="","",TRIM('6'!B6&amp;""))</f>
        <v/>
      </c>
      <c r="F407" s="63">
        <f>IF('6'!C6="","",'6'!C6)</f>
        <v/>
      </c>
      <c r="G407" s="63">
        <f>'6'!D6&amp;""</f>
        <v/>
      </c>
      <c r="H407" s="63">
        <f>IF(OR(A407="",F407=""),"",F407&amp;"|"&amp;A407)</f>
        <v/>
      </c>
      <c r="I407" s="63">
        <f>IF(AND(H407&lt;&gt;"",OR('Historia wózka'!$B$4="",F407='Historia wózka'!$B$4),A407&gt;='Historia wózka'!$B$5,A407&lt;='Historia wózka'!$B$6),A407+0.9+(5000-ROW())/10000000,0)</f>
        <v/>
      </c>
      <c r="J407" s="63">
        <f>Ustawienia!$B$8&amp;""</f>
        <v/>
      </c>
      <c r="K407" s="63">
        <f>IF(H407="","",COUNTIFS('Zgłoszenia'!$B$5:$B$504,F407,'Zgłoszenia'!$D$5:$D$504,"&gt;="&amp;A407,'Zgłoszenia'!$D$5:$D$504,"&lt;="&amp;(A407+1)))</f>
        <v/>
      </c>
      <c r="L407" s="63">
        <f>IF(OR(H407="",K407=0),"—",IF(ISNUMBER(MATCH(H407,'Zgłoszenia'!$S$5:$S$504,0)),RIGHT("0"&amp;DAY(A407),2)&amp;"."&amp;RIGHT("0"&amp;MONTH(A407),2)&amp;"."&amp;YEAR(A407)&amp;": "&amp;INDEX('Zgłoszenia'!$H$5:$H$504,MATCH(H407,'Zgłoszenia'!$S$5:$S$504,0)),RIGHT("0"&amp;DAY((A407+1)),2)&amp;"."&amp;RIGHT("0"&amp;MONTH((A407+1)),2)&amp;"."&amp;YEAR((A407+1))&amp;": "&amp;INDEX('Zgłoszenia'!$H$5:$H$504,MATCH(F407&amp;"|"&amp;(A407+1),'Zgłoszenia'!$S$5:$S$504,0)))&amp;IF(K407&gt;1," (+"&amp;(K407-1)&amp;")",""))</f>
        <v/>
      </c>
      <c r="M407" s="63" t="n">
        <v>6</v>
      </c>
      <c r="N407" s="2" t="n"/>
      <c r="O407" s="2" t="n"/>
    </row>
    <row r="408">
      <c r="A408" s="62">
        <f>IF('6'!$C$1="","",'6'!$C$1)</f>
        <v/>
      </c>
      <c r="B408" s="63">
        <f>Ustawienia!$A$8&amp;""</f>
        <v/>
      </c>
      <c r="C408" s="63">
        <f>Ustawienia!$A$14&amp;""</f>
        <v/>
      </c>
      <c r="D408" s="63" t="n">
        <v>2</v>
      </c>
      <c r="E408" s="63">
        <f>IF('6'!B7="","",TRIM('6'!B7&amp;""))</f>
        <v/>
      </c>
      <c r="F408" s="63">
        <f>IF('6'!C7="","",'6'!C7)</f>
        <v/>
      </c>
      <c r="G408" s="63">
        <f>'6'!D7&amp;""</f>
        <v/>
      </c>
      <c r="H408" s="63">
        <f>IF(OR(A408="",F408=""),"",F408&amp;"|"&amp;A408)</f>
        <v/>
      </c>
      <c r="I408" s="63">
        <f>IF(AND(H408&lt;&gt;"",OR('Historia wózka'!$B$4="",F408='Historia wózka'!$B$4),A408&gt;='Historia wózka'!$B$5,A408&lt;='Historia wózka'!$B$6),A408+0.9+(5000-ROW())/10000000,0)</f>
        <v/>
      </c>
      <c r="J408" s="63">
        <f>Ustawienia!$B$8&amp;""</f>
        <v/>
      </c>
      <c r="K408" s="63">
        <f>IF(H408="","",COUNTIFS('Zgłoszenia'!$B$5:$B$504,F408,'Zgłoszenia'!$D$5:$D$504,"&gt;="&amp;A408,'Zgłoszenia'!$D$5:$D$504,"&lt;="&amp;(A408+1)))</f>
        <v/>
      </c>
      <c r="L408" s="63">
        <f>IF(OR(H408="",K408=0),"—",IF(ISNUMBER(MATCH(H408,'Zgłoszenia'!$S$5:$S$504,0)),RIGHT("0"&amp;DAY(A408),2)&amp;"."&amp;RIGHT("0"&amp;MONTH(A408),2)&amp;"."&amp;YEAR(A408)&amp;": "&amp;INDEX('Zgłoszenia'!$H$5:$H$504,MATCH(H408,'Zgłoszenia'!$S$5:$S$504,0)),RIGHT("0"&amp;DAY((A408+1)),2)&amp;"."&amp;RIGHT("0"&amp;MONTH((A408+1)),2)&amp;"."&amp;YEAR((A408+1))&amp;": "&amp;INDEX('Zgłoszenia'!$H$5:$H$504,MATCH(F408&amp;"|"&amp;(A408+1),'Zgłoszenia'!$S$5:$S$504,0)))&amp;IF(K408&gt;1," (+"&amp;(K408-1)&amp;")",""))</f>
        <v/>
      </c>
      <c r="M408" s="63" t="n">
        <v>6</v>
      </c>
      <c r="N408" s="2" t="n"/>
      <c r="O408" s="2" t="n"/>
    </row>
    <row r="409">
      <c r="A409" s="62">
        <f>IF('6'!$C$1="","",'6'!$C$1)</f>
        <v/>
      </c>
      <c r="B409" s="63">
        <f>Ustawienia!$A$8&amp;""</f>
        <v/>
      </c>
      <c r="C409" s="63">
        <f>Ustawienia!$A$14&amp;""</f>
        <v/>
      </c>
      <c r="D409" s="63" t="n">
        <v>3</v>
      </c>
      <c r="E409" s="63">
        <f>IF('6'!B8="","",TRIM('6'!B8&amp;""))</f>
        <v/>
      </c>
      <c r="F409" s="63">
        <f>IF('6'!C8="","",'6'!C8)</f>
        <v/>
      </c>
      <c r="G409" s="63">
        <f>'6'!D8&amp;""</f>
        <v/>
      </c>
      <c r="H409" s="63">
        <f>IF(OR(A409="",F409=""),"",F409&amp;"|"&amp;A409)</f>
        <v/>
      </c>
      <c r="I409" s="63">
        <f>IF(AND(H409&lt;&gt;"",OR('Historia wózka'!$B$4="",F409='Historia wózka'!$B$4),A409&gt;='Historia wózka'!$B$5,A409&lt;='Historia wózka'!$B$6),A409+0.9+(5000-ROW())/10000000,0)</f>
        <v/>
      </c>
      <c r="J409" s="63">
        <f>Ustawienia!$B$8&amp;""</f>
        <v/>
      </c>
      <c r="K409" s="63">
        <f>IF(H409="","",COUNTIFS('Zgłoszenia'!$B$5:$B$504,F409,'Zgłoszenia'!$D$5:$D$504,"&gt;="&amp;A409,'Zgłoszenia'!$D$5:$D$504,"&lt;="&amp;(A409+1)))</f>
        <v/>
      </c>
      <c r="L409" s="63">
        <f>IF(OR(H409="",K409=0),"—",IF(ISNUMBER(MATCH(H409,'Zgłoszenia'!$S$5:$S$504,0)),RIGHT("0"&amp;DAY(A409),2)&amp;"."&amp;RIGHT("0"&amp;MONTH(A409),2)&amp;"."&amp;YEAR(A409)&amp;": "&amp;INDEX('Zgłoszenia'!$H$5:$H$504,MATCH(H409,'Zgłoszenia'!$S$5:$S$504,0)),RIGHT("0"&amp;DAY((A409+1)),2)&amp;"."&amp;RIGHT("0"&amp;MONTH((A409+1)),2)&amp;"."&amp;YEAR((A409+1))&amp;": "&amp;INDEX('Zgłoszenia'!$H$5:$H$504,MATCH(F409&amp;"|"&amp;(A409+1),'Zgłoszenia'!$S$5:$S$504,0)))&amp;IF(K409&gt;1," (+"&amp;(K409-1)&amp;")",""))</f>
        <v/>
      </c>
      <c r="M409" s="63" t="n">
        <v>6</v>
      </c>
      <c r="N409" s="2" t="n"/>
      <c r="O409" s="2" t="n"/>
    </row>
    <row r="410">
      <c r="A410" s="62">
        <f>IF('6'!$C$1="","",'6'!$C$1)</f>
        <v/>
      </c>
      <c r="B410" s="63">
        <f>Ustawienia!$A$8&amp;""</f>
        <v/>
      </c>
      <c r="C410" s="63">
        <f>Ustawienia!$A$14&amp;""</f>
        <v/>
      </c>
      <c r="D410" s="63" t="n">
        <v>4</v>
      </c>
      <c r="E410" s="63">
        <f>IF('6'!B9="","",TRIM('6'!B9&amp;""))</f>
        <v/>
      </c>
      <c r="F410" s="63">
        <f>IF('6'!C9="","",'6'!C9)</f>
        <v/>
      </c>
      <c r="G410" s="63">
        <f>'6'!D9&amp;""</f>
        <v/>
      </c>
      <c r="H410" s="63">
        <f>IF(OR(A410="",F410=""),"",F410&amp;"|"&amp;A410)</f>
        <v/>
      </c>
      <c r="I410" s="63">
        <f>IF(AND(H410&lt;&gt;"",OR('Historia wózka'!$B$4="",F410='Historia wózka'!$B$4),A410&gt;='Historia wózka'!$B$5,A410&lt;='Historia wózka'!$B$6),A410+0.9+(5000-ROW())/10000000,0)</f>
        <v/>
      </c>
      <c r="J410" s="63">
        <f>Ustawienia!$B$8&amp;""</f>
        <v/>
      </c>
      <c r="K410" s="63">
        <f>IF(H410="","",COUNTIFS('Zgłoszenia'!$B$5:$B$504,F410,'Zgłoszenia'!$D$5:$D$504,"&gt;="&amp;A410,'Zgłoszenia'!$D$5:$D$504,"&lt;="&amp;(A410+1)))</f>
        <v/>
      </c>
      <c r="L410" s="63">
        <f>IF(OR(H410="",K410=0),"—",IF(ISNUMBER(MATCH(H410,'Zgłoszenia'!$S$5:$S$504,0)),RIGHT("0"&amp;DAY(A410),2)&amp;"."&amp;RIGHT("0"&amp;MONTH(A410),2)&amp;"."&amp;YEAR(A410)&amp;": "&amp;INDEX('Zgłoszenia'!$H$5:$H$504,MATCH(H410,'Zgłoszenia'!$S$5:$S$504,0)),RIGHT("0"&amp;DAY((A410+1)),2)&amp;"."&amp;RIGHT("0"&amp;MONTH((A410+1)),2)&amp;"."&amp;YEAR((A410+1))&amp;": "&amp;INDEX('Zgłoszenia'!$H$5:$H$504,MATCH(F410&amp;"|"&amp;(A410+1),'Zgłoszenia'!$S$5:$S$504,0)))&amp;IF(K410&gt;1," (+"&amp;(K410-1)&amp;")",""))</f>
        <v/>
      </c>
      <c r="M410" s="63" t="n">
        <v>6</v>
      </c>
      <c r="N410" s="2" t="n"/>
      <c r="O410" s="2" t="n"/>
    </row>
    <row r="411">
      <c r="A411" s="62">
        <f>IF('6'!$C$1="","",'6'!$C$1)</f>
        <v/>
      </c>
      <c r="B411" s="63">
        <f>Ustawienia!$A$8&amp;""</f>
        <v/>
      </c>
      <c r="C411" s="63">
        <f>Ustawienia!$A$14&amp;""</f>
        <v/>
      </c>
      <c r="D411" s="63" t="n">
        <v>5</v>
      </c>
      <c r="E411" s="63">
        <f>IF('6'!B10="","",TRIM('6'!B10&amp;""))</f>
        <v/>
      </c>
      <c r="F411" s="63">
        <f>IF('6'!C10="","",'6'!C10)</f>
        <v/>
      </c>
      <c r="G411" s="63">
        <f>'6'!D10&amp;""</f>
        <v/>
      </c>
      <c r="H411" s="63">
        <f>IF(OR(A411="",F411=""),"",F411&amp;"|"&amp;A411)</f>
        <v/>
      </c>
      <c r="I411" s="63">
        <f>IF(AND(H411&lt;&gt;"",OR('Historia wózka'!$B$4="",F411='Historia wózka'!$B$4),A411&gt;='Historia wózka'!$B$5,A411&lt;='Historia wózka'!$B$6),A411+0.9+(5000-ROW())/10000000,0)</f>
        <v/>
      </c>
      <c r="J411" s="63">
        <f>Ustawienia!$B$8&amp;""</f>
        <v/>
      </c>
      <c r="K411" s="63">
        <f>IF(H411="","",COUNTIFS('Zgłoszenia'!$B$5:$B$504,F411,'Zgłoszenia'!$D$5:$D$504,"&gt;="&amp;A411,'Zgłoszenia'!$D$5:$D$504,"&lt;="&amp;(A411+1)))</f>
        <v/>
      </c>
      <c r="L411" s="63">
        <f>IF(OR(H411="",K411=0),"—",IF(ISNUMBER(MATCH(H411,'Zgłoszenia'!$S$5:$S$504,0)),RIGHT("0"&amp;DAY(A411),2)&amp;"."&amp;RIGHT("0"&amp;MONTH(A411),2)&amp;"."&amp;YEAR(A411)&amp;": "&amp;INDEX('Zgłoszenia'!$H$5:$H$504,MATCH(H411,'Zgłoszenia'!$S$5:$S$504,0)),RIGHT("0"&amp;DAY((A411+1)),2)&amp;"."&amp;RIGHT("0"&amp;MONTH((A411+1)),2)&amp;"."&amp;YEAR((A411+1))&amp;": "&amp;INDEX('Zgłoszenia'!$H$5:$H$504,MATCH(F411&amp;"|"&amp;(A411+1),'Zgłoszenia'!$S$5:$S$504,0)))&amp;IF(K411&gt;1," (+"&amp;(K411-1)&amp;")",""))</f>
        <v/>
      </c>
      <c r="M411" s="63" t="n">
        <v>6</v>
      </c>
      <c r="N411" s="2" t="n"/>
      <c r="O411" s="2" t="n"/>
    </row>
    <row r="412">
      <c r="A412" s="62">
        <f>IF('6'!$C$1="","",'6'!$C$1)</f>
        <v/>
      </c>
      <c r="B412" s="63">
        <f>Ustawienia!$A$8&amp;""</f>
        <v/>
      </c>
      <c r="C412" s="63">
        <f>Ustawienia!$A$14&amp;""</f>
        <v/>
      </c>
      <c r="D412" s="63" t="n">
        <v>6</v>
      </c>
      <c r="E412" s="63">
        <f>IF('6'!B11="","",TRIM('6'!B11&amp;""))</f>
        <v/>
      </c>
      <c r="F412" s="63">
        <f>IF('6'!C11="","",'6'!C11)</f>
        <v/>
      </c>
      <c r="G412" s="63">
        <f>'6'!D11&amp;""</f>
        <v/>
      </c>
      <c r="H412" s="63">
        <f>IF(OR(A412="",F412=""),"",F412&amp;"|"&amp;A412)</f>
        <v/>
      </c>
      <c r="I412" s="63">
        <f>IF(AND(H412&lt;&gt;"",OR('Historia wózka'!$B$4="",F412='Historia wózka'!$B$4),A412&gt;='Historia wózka'!$B$5,A412&lt;='Historia wózka'!$B$6),A412+0.9+(5000-ROW())/10000000,0)</f>
        <v/>
      </c>
      <c r="J412" s="63">
        <f>Ustawienia!$B$8&amp;""</f>
        <v/>
      </c>
      <c r="K412" s="63">
        <f>IF(H412="","",COUNTIFS('Zgłoszenia'!$B$5:$B$504,F412,'Zgłoszenia'!$D$5:$D$504,"&gt;="&amp;A412,'Zgłoszenia'!$D$5:$D$504,"&lt;="&amp;(A412+1)))</f>
        <v/>
      </c>
      <c r="L412" s="63">
        <f>IF(OR(H412="",K412=0),"—",IF(ISNUMBER(MATCH(H412,'Zgłoszenia'!$S$5:$S$504,0)),RIGHT("0"&amp;DAY(A412),2)&amp;"."&amp;RIGHT("0"&amp;MONTH(A412),2)&amp;"."&amp;YEAR(A412)&amp;": "&amp;INDEX('Zgłoszenia'!$H$5:$H$504,MATCH(H412,'Zgłoszenia'!$S$5:$S$504,0)),RIGHT("0"&amp;DAY((A412+1)),2)&amp;"."&amp;RIGHT("0"&amp;MONTH((A412+1)),2)&amp;"."&amp;YEAR((A412+1))&amp;": "&amp;INDEX('Zgłoszenia'!$H$5:$H$504,MATCH(F412&amp;"|"&amp;(A412+1),'Zgłoszenia'!$S$5:$S$504,0)))&amp;IF(K412&gt;1," (+"&amp;(K412-1)&amp;")",""))</f>
        <v/>
      </c>
      <c r="M412" s="63" t="n">
        <v>6</v>
      </c>
      <c r="N412" s="2" t="n"/>
      <c r="O412" s="2" t="n"/>
    </row>
    <row r="413">
      <c r="A413" s="62">
        <f>IF('6'!$C$1="","",'6'!$C$1)</f>
        <v/>
      </c>
      <c r="B413" s="63">
        <f>Ustawienia!$A$8&amp;""</f>
        <v/>
      </c>
      <c r="C413" s="63">
        <f>Ustawienia!$A$15&amp;""</f>
        <v/>
      </c>
      <c r="D413" s="63" t="n">
        <v>1</v>
      </c>
      <c r="E413" s="63">
        <f>IF('6'!B13="","",TRIM('6'!B13&amp;""))</f>
        <v/>
      </c>
      <c r="F413" s="63">
        <f>IF('6'!C13="","",'6'!C13)</f>
        <v/>
      </c>
      <c r="G413" s="63">
        <f>'6'!D13&amp;""</f>
        <v/>
      </c>
      <c r="H413" s="63">
        <f>IF(OR(A413="",F413=""),"",F413&amp;"|"&amp;A413)</f>
        <v/>
      </c>
      <c r="I413" s="63">
        <f>IF(AND(H413&lt;&gt;"",OR('Historia wózka'!$B$4="",F413='Historia wózka'!$B$4),A413&gt;='Historia wózka'!$B$5,A413&lt;='Historia wózka'!$B$6),A413+0.9+(5000-ROW())/10000000,0)</f>
        <v/>
      </c>
      <c r="J413" s="63">
        <f>Ustawienia!$B$8&amp;""</f>
        <v/>
      </c>
      <c r="K413" s="63">
        <f>IF(H413="","",COUNTIFS('Zgłoszenia'!$B$5:$B$504,F413,'Zgłoszenia'!$D$5:$D$504,"&gt;="&amp;A413,'Zgłoszenia'!$D$5:$D$504,"&lt;="&amp;(A413+1)))</f>
        <v/>
      </c>
      <c r="L413" s="63">
        <f>IF(OR(H413="",K413=0),"—",IF(ISNUMBER(MATCH(H413,'Zgłoszenia'!$S$5:$S$504,0)),RIGHT("0"&amp;DAY(A413),2)&amp;"."&amp;RIGHT("0"&amp;MONTH(A413),2)&amp;"."&amp;YEAR(A413)&amp;": "&amp;INDEX('Zgłoszenia'!$H$5:$H$504,MATCH(H413,'Zgłoszenia'!$S$5:$S$504,0)),RIGHT("0"&amp;DAY((A413+1)),2)&amp;"."&amp;RIGHT("0"&amp;MONTH((A413+1)),2)&amp;"."&amp;YEAR((A413+1))&amp;": "&amp;INDEX('Zgłoszenia'!$H$5:$H$504,MATCH(F413&amp;"|"&amp;(A413+1),'Zgłoszenia'!$S$5:$S$504,0)))&amp;IF(K413&gt;1," (+"&amp;(K413-1)&amp;")",""))</f>
        <v/>
      </c>
      <c r="M413" s="63" t="n">
        <v>6</v>
      </c>
      <c r="N413" s="2" t="n"/>
      <c r="O413" s="2" t="n"/>
    </row>
    <row r="414">
      <c r="A414" s="62">
        <f>IF('6'!$C$1="","",'6'!$C$1)</f>
        <v/>
      </c>
      <c r="B414" s="63">
        <f>Ustawienia!$A$8&amp;""</f>
        <v/>
      </c>
      <c r="C414" s="63">
        <f>Ustawienia!$A$15&amp;""</f>
        <v/>
      </c>
      <c r="D414" s="63" t="n">
        <v>2</v>
      </c>
      <c r="E414" s="63">
        <f>IF('6'!B14="","",TRIM('6'!B14&amp;""))</f>
        <v/>
      </c>
      <c r="F414" s="63">
        <f>IF('6'!C14="","",'6'!C14)</f>
        <v/>
      </c>
      <c r="G414" s="63">
        <f>'6'!D14&amp;""</f>
        <v/>
      </c>
      <c r="H414" s="63">
        <f>IF(OR(A414="",F414=""),"",F414&amp;"|"&amp;A414)</f>
        <v/>
      </c>
      <c r="I414" s="63">
        <f>IF(AND(H414&lt;&gt;"",OR('Historia wózka'!$B$4="",F414='Historia wózka'!$B$4),A414&gt;='Historia wózka'!$B$5,A414&lt;='Historia wózka'!$B$6),A414+0.9+(5000-ROW())/10000000,0)</f>
        <v/>
      </c>
      <c r="J414" s="63">
        <f>Ustawienia!$B$8&amp;""</f>
        <v/>
      </c>
      <c r="K414" s="63">
        <f>IF(H414="","",COUNTIFS('Zgłoszenia'!$B$5:$B$504,F414,'Zgłoszenia'!$D$5:$D$504,"&gt;="&amp;A414,'Zgłoszenia'!$D$5:$D$504,"&lt;="&amp;(A414+1)))</f>
        <v/>
      </c>
      <c r="L414" s="63">
        <f>IF(OR(H414="",K414=0),"—",IF(ISNUMBER(MATCH(H414,'Zgłoszenia'!$S$5:$S$504,0)),RIGHT("0"&amp;DAY(A414),2)&amp;"."&amp;RIGHT("0"&amp;MONTH(A414),2)&amp;"."&amp;YEAR(A414)&amp;": "&amp;INDEX('Zgłoszenia'!$H$5:$H$504,MATCH(H414,'Zgłoszenia'!$S$5:$S$504,0)),RIGHT("0"&amp;DAY((A414+1)),2)&amp;"."&amp;RIGHT("0"&amp;MONTH((A414+1)),2)&amp;"."&amp;YEAR((A414+1))&amp;": "&amp;INDEX('Zgłoszenia'!$H$5:$H$504,MATCH(F414&amp;"|"&amp;(A414+1),'Zgłoszenia'!$S$5:$S$504,0)))&amp;IF(K414&gt;1," (+"&amp;(K414-1)&amp;")",""))</f>
        <v/>
      </c>
      <c r="M414" s="63" t="n">
        <v>6</v>
      </c>
      <c r="N414" s="2" t="n"/>
      <c r="O414" s="2" t="n"/>
    </row>
    <row r="415">
      <c r="A415" s="62">
        <f>IF('6'!$C$1="","",'6'!$C$1)</f>
        <v/>
      </c>
      <c r="B415" s="63">
        <f>Ustawienia!$A$8&amp;""</f>
        <v/>
      </c>
      <c r="C415" s="63">
        <f>Ustawienia!$A$15&amp;""</f>
        <v/>
      </c>
      <c r="D415" s="63" t="n">
        <v>3</v>
      </c>
      <c r="E415" s="63">
        <f>IF('6'!B15="","",TRIM('6'!B15&amp;""))</f>
        <v/>
      </c>
      <c r="F415" s="63">
        <f>IF('6'!C15="","",'6'!C15)</f>
        <v/>
      </c>
      <c r="G415" s="63">
        <f>'6'!D15&amp;""</f>
        <v/>
      </c>
      <c r="H415" s="63">
        <f>IF(OR(A415="",F415=""),"",F415&amp;"|"&amp;A415)</f>
        <v/>
      </c>
      <c r="I415" s="63">
        <f>IF(AND(H415&lt;&gt;"",OR('Historia wózka'!$B$4="",F415='Historia wózka'!$B$4),A415&gt;='Historia wózka'!$B$5,A415&lt;='Historia wózka'!$B$6),A415+0.9+(5000-ROW())/10000000,0)</f>
        <v/>
      </c>
      <c r="J415" s="63">
        <f>Ustawienia!$B$8&amp;""</f>
        <v/>
      </c>
      <c r="K415" s="63">
        <f>IF(H415="","",COUNTIFS('Zgłoszenia'!$B$5:$B$504,F415,'Zgłoszenia'!$D$5:$D$504,"&gt;="&amp;A415,'Zgłoszenia'!$D$5:$D$504,"&lt;="&amp;(A415+1)))</f>
        <v/>
      </c>
      <c r="L415" s="63">
        <f>IF(OR(H415="",K415=0),"—",IF(ISNUMBER(MATCH(H415,'Zgłoszenia'!$S$5:$S$504,0)),RIGHT("0"&amp;DAY(A415),2)&amp;"."&amp;RIGHT("0"&amp;MONTH(A415),2)&amp;"."&amp;YEAR(A415)&amp;": "&amp;INDEX('Zgłoszenia'!$H$5:$H$504,MATCH(H415,'Zgłoszenia'!$S$5:$S$504,0)),RIGHT("0"&amp;DAY((A415+1)),2)&amp;"."&amp;RIGHT("0"&amp;MONTH((A415+1)),2)&amp;"."&amp;YEAR((A415+1))&amp;": "&amp;INDEX('Zgłoszenia'!$H$5:$H$504,MATCH(F415&amp;"|"&amp;(A415+1),'Zgłoszenia'!$S$5:$S$504,0)))&amp;IF(K415&gt;1," (+"&amp;(K415-1)&amp;")",""))</f>
        <v/>
      </c>
      <c r="M415" s="63" t="n">
        <v>6</v>
      </c>
      <c r="N415" s="2" t="n"/>
      <c r="O415" s="2" t="n"/>
    </row>
    <row r="416">
      <c r="A416" s="62">
        <f>IF('6'!$C$1="","",'6'!$C$1)</f>
        <v/>
      </c>
      <c r="B416" s="63">
        <f>Ustawienia!$A$8&amp;""</f>
        <v/>
      </c>
      <c r="C416" s="63">
        <f>Ustawienia!$A$15&amp;""</f>
        <v/>
      </c>
      <c r="D416" s="63" t="n">
        <v>4</v>
      </c>
      <c r="E416" s="63">
        <f>IF('6'!B16="","",TRIM('6'!B16&amp;""))</f>
        <v/>
      </c>
      <c r="F416" s="63">
        <f>IF('6'!C16="","",'6'!C16)</f>
        <v/>
      </c>
      <c r="G416" s="63">
        <f>'6'!D16&amp;""</f>
        <v/>
      </c>
      <c r="H416" s="63">
        <f>IF(OR(A416="",F416=""),"",F416&amp;"|"&amp;A416)</f>
        <v/>
      </c>
      <c r="I416" s="63">
        <f>IF(AND(H416&lt;&gt;"",OR('Historia wózka'!$B$4="",F416='Historia wózka'!$B$4),A416&gt;='Historia wózka'!$B$5,A416&lt;='Historia wózka'!$B$6),A416+0.9+(5000-ROW())/10000000,0)</f>
        <v/>
      </c>
      <c r="J416" s="63">
        <f>Ustawienia!$B$8&amp;""</f>
        <v/>
      </c>
      <c r="K416" s="63">
        <f>IF(H416="","",COUNTIFS('Zgłoszenia'!$B$5:$B$504,F416,'Zgłoszenia'!$D$5:$D$504,"&gt;="&amp;A416,'Zgłoszenia'!$D$5:$D$504,"&lt;="&amp;(A416+1)))</f>
        <v/>
      </c>
      <c r="L416" s="63">
        <f>IF(OR(H416="",K416=0),"—",IF(ISNUMBER(MATCH(H416,'Zgłoszenia'!$S$5:$S$504,0)),RIGHT("0"&amp;DAY(A416),2)&amp;"."&amp;RIGHT("0"&amp;MONTH(A416),2)&amp;"."&amp;YEAR(A416)&amp;": "&amp;INDEX('Zgłoszenia'!$H$5:$H$504,MATCH(H416,'Zgłoszenia'!$S$5:$S$504,0)),RIGHT("0"&amp;DAY((A416+1)),2)&amp;"."&amp;RIGHT("0"&amp;MONTH((A416+1)),2)&amp;"."&amp;YEAR((A416+1))&amp;": "&amp;INDEX('Zgłoszenia'!$H$5:$H$504,MATCH(F416&amp;"|"&amp;(A416+1),'Zgłoszenia'!$S$5:$S$504,0)))&amp;IF(K416&gt;1," (+"&amp;(K416-1)&amp;")",""))</f>
        <v/>
      </c>
      <c r="M416" s="63" t="n">
        <v>6</v>
      </c>
      <c r="N416" s="2" t="n"/>
      <c r="O416" s="2" t="n"/>
    </row>
    <row r="417">
      <c r="A417" s="62">
        <f>IF('6'!$C$1="","",'6'!$C$1)</f>
        <v/>
      </c>
      <c r="B417" s="63">
        <f>Ustawienia!$A$8&amp;""</f>
        <v/>
      </c>
      <c r="C417" s="63">
        <f>Ustawienia!$A$15&amp;""</f>
        <v/>
      </c>
      <c r="D417" s="63" t="n">
        <v>5</v>
      </c>
      <c r="E417" s="63">
        <f>IF('6'!B17="","",TRIM('6'!B17&amp;""))</f>
        <v/>
      </c>
      <c r="F417" s="63">
        <f>IF('6'!C17="","",'6'!C17)</f>
        <v/>
      </c>
      <c r="G417" s="63">
        <f>'6'!D17&amp;""</f>
        <v/>
      </c>
      <c r="H417" s="63">
        <f>IF(OR(A417="",F417=""),"",F417&amp;"|"&amp;A417)</f>
        <v/>
      </c>
      <c r="I417" s="63">
        <f>IF(AND(H417&lt;&gt;"",OR('Historia wózka'!$B$4="",F417='Historia wózka'!$B$4),A417&gt;='Historia wózka'!$B$5,A417&lt;='Historia wózka'!$B$6),A417+0.9+(5000-ROW())/10000000,0)</f>
        <v/>
      </c>
      <c r="J417" s="63">
        <f>Ustawienia!$B$8&amp;""</f>
        <v/>
      </c>
      <c r="K417" s="63">
        <f>IF(H417="","",COUNTIFS('Zgłoszenia'!$B$5:$B$504,F417,'Zgłoszenia'!$D$5:$D$504,"&gt;="&amp;A417,'Zgłoszenia'!$D$5:$D$504,"&lt;="&amp;(A417+1)))</f>
        <v/>
      </c>
      <c r="L417" s="63">
        <f>IF(OR(H417="",K417=0),"—",IF(ISNUMBER(MATCH(H417,'Zgłoszenia'!$S$5:$S$504,0)),RIGHT("0"&amp;DAY(A417),2)&amp;"."&amp;RIGHT("0"&amp;MONTH(A417),2)&amp;"."&amp;YEAR(A417)&amp;": "&amp;INDEX('Zgłoszenia'!$H$5:$H$504,MATCH(H417,'Zgłoszenia'!$S$5:$S$504,0)),RIGHT("0"&amp;DAY((A417+1)),2)&amp;"."&amp;RIGHT("0"&amp;MONTH((A417+1)),2)&amp;"."&amp;YEAR((A417+1))&amp;": "&amp;INDEX('Zgłoszenia'!$H$5:$H$504,MATCH(F417&amp;"|"&amp;(A417+1),'Zgłoszenia'!$S$5:$S$504,0)))&amp;IF(K417&gt;1," (+"&amp;(K417-1)&amp;")",""))</f>
        <v/>
      </c>
      <c r="M417" s="63" t="n">
        <v>6</v>
      </c>
      <c r="N417" s="2" t="n"/>
      <c r="O417" s="2" t="n"/>
    </row>
    <row r="418">
      <c r="A418" s="62">
        <f>IF('6'!$C$1="","",'6'!$C$1)</f>
        <v/>
      </c>
      <c r="B418" s="63">
        <f>Ustawienia!$A$8&amp;""</f>
        <v/>
      </c>
      <c r="C418" s="63">
        <f>Ustawienia!$A$15&amp;""</f>
        <v/>
      </c>
      <c r="D418" s="63" t="n">
        <v>6</v>
      </c>
      <c r="E418" s="63">
        <f>IF('6'!B18="","",TRIM('6'!B18&amp;""))</f>
        <v/>
      </c>
      <c r="F418" s="63">
        <f>IF('6'!C18="","",'6'!C18)</f>
        <v/>
      </c>
      <c r="G418" s="63">
        <f>'6'!D18&amp;""</f>
        <v/>
      </c>
      <c r="H418" s="63">
        <f>IF(OR(A418="",F418=""),"",F418&amp;"|"&amp;A418)</f>
        <v/>
      </c>
      <c r="I418" s="63">
        <f>IF(AND(H418&lt;&gt;"",OR('Historia wózka'!$B$4="",F418='Historia wózka'!$B$4),A418&gt;='Historia wózka'!$B$5,A418&lt;='Historia wózka'!$B$6),A418+0.9+(5000-ROW())/10000000,0)</f>
        <v/>
      </c>
      <c r="J418" s="63">
        <f>Ustawienia!$B$8&amp;""</f>
        <v/>
      </c>
      <c r="K418" s="63">
        <f>IF(H418="","",COUNTIFS('Zgłoszenia'!$B$5:$B$504,F418,'Zgłoszenia'!$D$5:$D$504,"&gt;="&amp;A418,'Zgłoszenia'!$D$5:$D$504,"&lt;="&amp;(A418+1)))</f>
        <v/>
      </c>
      <c r="L418" s="63">
        <f>IF(OR(H418="",K418=0),"—",IF(ISNUMBER(MATCH(H418,'Zgłoszenia'!$S$5:$S$504,0)),RIGHT("0"&amp;DAY(A418),2)&amp;"."&amp;RIGHT("0"&amp;MONTH(A418),2)&amp;"."&amp;YEAR(A418)&amp;": "&amp;INDEX('Zgłoszenia'!$H$5:$H$504,MATCH(H418,'Zgłoszenia'!$S$5:$S$504,0)),RIGHT("0"&amp;DAY((A418+1)),2)&amp;"."&amp;RIGHT("0"&amp;MONTH((A418+1)),2)&amp;"."&amp;YEAR((A418+1))&amp;": "&amp;INDEX('Zgłoszenia'!$H$5:$H$504,MATCH(F418&amp;"|"&amp;(A418+1),'Zgłoszenia'!$S$5:$S$504,0)))&amp;IF(K418&gt;1," (+"&amp;(K418-1)&amp;")",""))</f>
        <v/>
      </c>
      <c r="M418" s="63" t="n">
        <v>6</v>
      </c>
      <c r="N418" s="2" t="n"/>
      <c r="O418" s="2" t="n"/>
    </row>
    <row r="419">
      <c r="A419" s="62">
        <f>IF('6'!$C$1="","",'6'!$C$1)</f>
        <v/>
      </c>
      <c r="B419" s="63">
        <f>Ustawienia!$A$8&amp;""</f>
        <v/>
      </c>
      <c r="C419" s="63">
        <f>Ustawienia!$A$15&amp;""</f>
        <v/>
      </c>
      <c r="D419" s="63" t="n">
        <v>7</v>
      </c>
      <c r="E419" s="63">
        <f>IF('6'!B19="","",TRIM('6'!B19&amp;""))</f>
        <v/>
      </c>
      <c r="F419" s="63">
        <f>IF('6'!C19="","",'6'!C19)</f>
        <v/>
      </c>
      <c r="G419" s="63">
        <f>'6'!D19&amp;""</f>
        <v/>
      </c>
      <c r="H419" s="63">
        <f>IF(OR(A419="",F419=""),"",F419&amp;"|"&amp;A419)</f>
        <v/>
      </c>
      <c r="I419" s="63">
        <f>IF(AND(H419&lt;&gt;"",OR('Historia wózka'!$B$4="",F419='Historia wózka'!$B$4),A419&gt;='Historia wózka'!$B$5,A419&lt;='Historia wózka'!$B$6),A419+0.9+(5000-ROW())/10000000,0)</f>
        <v/>
      </c>
      <c r="J419" s="63">
        <f>Ustawienia!$B$8&amp;""</f>
        <v/>
      </c>
      <c r="K419" s="63">
        <f>IF(H419="","",COUNTIFS('Zgłoszenia'!$B$5:$B$504,F419,'Zgłoszenia'!$D$5:$D$504,"&gt;="&amp;A419,'Zgłoszenia'!$D$5:$D$504,"&lt;="&amp;(A419+1)))</f>
        <v/>
      </c>
      <c r="L419" s="63">
        <f>IF(OR(H419="",K419=0),"—",IF(ISNUMBER(MATCH(H419,'Zgłoszenia'!$S$5:$S$504,0)),RIGHT("0"&amp;DAY(A419),2)&amp;"."&amp;RIGHT("0"&amp;MONTH(A419),2)&amp;"."&amp;YEAR(A419)&amp;": "&amp;INDEX('Zgłoszenia'!$H$5:$H$504,MATCH(H419,'Zgłoszenia'!$S$5:$S$504,0)),RIGHT("0"&amp;DAY((A419+1)),2)&amp;"."&amp;RIGHT("0"&amp;MONTH((A419+1)),2)&amp;"."&amp;YEAR((A419+1))&amp;": "&amp;INDEX('Zgłoszenia'!$H$5:$H$504,MATCH(F419&amp;"|"&amp;(A419+1),'Zgłoszenia'!$S$5:$S$504,0)))&amp;IF(K419&gt;1," (+"&amp;(K419-1)&amp;")",""))</f>
        <v/>
      </c>
      <c r="M419" s="63" t="n">
        <v>6</v>
      </c>
      <c r="N419" s="2" t="n"/>
      <c r="O419" s="2" t="n"/>
    </row>
    <row r="420">
      <c r="A420" s="62">
        <f>IF('6'!$C$1="","",'6'!$C$1)</f>
        <v/>
      </c>
      <c r="B420" s="63">
        <f>Ustawienia!$A$8&amp;""</f>
        <v/>
      </c>
      <c r="C420" s="63">
        <f>Ustawienia!$A$15&amp;""</f>
        <v/>
      </c>
      <c r="D420" s="63" t="n">
        <v>8</v>
      </c>
      <c r="E420" s="63">
        <f>IF('6'!B20="","",TRIM('6'!B20&amp;""))</f>
        <v/>
      </c>
      <c r="F420" s="63">
        <f>IF('6'!C20="","",'6'!C20)</f>
        <v/>
      </c>
      <c r="G420" s="63">
        <f>'6'!D20&amp;""</f>
        <v/>
      </c>
      <c r="H420" s="63">
        <f>IF(OR(A420="",F420=""),"",F420&amp;"|"&amp;A420)</f>
        <v/>
      </c>
      <c r="I420" s="63">
        <f>IF(AND(H420&lt;&gt;"",OR('Historia wózka'!$B$4="",F420='Historia wózka'!$B$4),A420&gt;='Historia wózka'!$B$5,A420&lt;='Historia wózka'!$B$6),A420+0.9+(5000-ROW())/10000000,0)</f>
        <v/>
      </c>
      <c r="J420" s="63">
        <f>Ustawienia!$B$8&amp;""</f>
        <v/>
      </c>
      <c r="K420" s="63">
        <f>IF(H420="","",COUNTIFS('Zgłoszenia'!$B$5:$B$504,F420,'Zgłoszenia'!$D$5:$D$504,"&gt;="&amp;A420,'Zgłoszenia'!$D$5:$D$504,"&lt;="&amp;(A420+1)))</f>
        <v/>
      </c>
      <c r="L420" s="63">
        <f>IF(OR(H420="",K420=0),"—",IF(ISNUMBER(MATCH(H420,'Zgłoszenia'!$S$5:$S$504,0)),RIGHT("0"&amp;DAY(A420),2)&amp;"."&amp;RIGHT("0"&amp;MONTH(A420),2)&amp;"."&amp;YEAR(A420)&amp;": "&amp;INDEX('Zgłoszenia'!$H$5:$H$504,MATCH(H420,'Zgłoszenia'!$S$5:$S$504,0)),RIGHT("0"&amp;DAY((A420+1)),2)&amp;"."&amp;RIGHT("0"&amp;MONTH((A420+1)),2)&amp;"."&amp;YEAR((A420+1))&amp;": "&amp;INDEX('Zgłoszenia'!$H$5:$H$504,MATCH(F420&amp;"|"&amp;(A420+1),'Zgłoszenia'!$S$5:$S$504,0)))&amp;IF(K420&gt;1," (+"&amp;(K420-1)&amp;")",""))</f>
        <v/>
      </c>
      <c r="M420" s="63" t="n">
        <v>6</v>
      </c>
      <c r="N420" s="2" t="n"/>
      <c r="O420" s="2" t="n"/>
    </row>
    <row r="421">
      <c r="A421" s="62">
        <f>IF('6'!$C$1="","",'6'!$C$1)</f>
        <v/>
      </c>
      <c r="B421" s="63">
        <f>Ustawienia!$A$8&amp;""</f>
        <v/>
      </c>
      <c r="C421" s="63">
        <f>Ustawienia!$A$16&amp;""</f>
        <v/>
      </c>
      <c r="D421" s="63" t="n">
        <v>1</v>
      </c>
      <c r="E421" s="63">
        <f>IF('6'!B22="","",TRIM('6'!B22&amp;""))</f>
        <v/>
      </c>
      <c r="F421" s="63">
        <f>IF('6'!C22="","",'6'!C22)</f>
        <v/>
      </c>
      <c r="G421" s="63">
        <f>'6'!D22&amp;""</f>
        <v/>
      </c>
      <c r="H421" s="63">
        <f>IF(OR(A421="",F421=""),"",F421&amp;"|"&amp;A421)</f>
        <v/>
      </c>
      <c r="I421" s="63">
        <f>IF(AND(H421&lt;&gt;"",OR('Historia wózka'!$B$4="",F421='Historia wózka'!$B$4),A421&gt;='Historia wózka'!$B$5,A421&lt;='Historia wózka'!$B$6),A421+0.9+(5000-ROW())/10000000,0)</f>
        <v/>
      </c>
      <c r="J421" s="63">
        <f>Ustawienia!$B$8&amp;""</f>
        <v/>
      </c>
      <c r="K421" s="63">
        <f>IF(H421="","",COUNTIFS('Zgłoszenia'!$B$5:$B$504,F421,'Zgłoszenia'!$D$5:$D$504,"&gt;="&amp;A421,'Zgłoszenia'!$D$5:$D$504,"&lt;="&amp;(A421+1)))</f>
        <v/>
      </c>
      <c r="L421" s="63">
        <f>IF(OR(H421="",K421=0),"—",IF(ISNUMBER(MATCH(H421,'Zgłoszenia'!$S$5:$S$504,0)),RIGHT("0"&amp;DAY(A421),2)&amp;"."&amp;RIGHT("0"&amp;MONTH(A421),2)&amp;"."&amp;YEAR(A421)&amp;": "&amp;INDEX('Zgłoszenia'!$H$5:$H$504,MATCH(H421,'Zgłoszenia'!$S$5:$S$504,0)),RIGHT("0"&amp;DAY((A421+1)),2)&amp;"."&amp;RIGHT("0"&amp;MONTH((A421+1)),2)&amp;"."&amp;YEAR((A421+1))&amp;": "&amp;INDEX('Zgłoszenia'!$H$5:$H$504,MATCH(F421&amp;"|"&amp;(A421+1),'Zgłoszenia'!$S$5:$S$504,0)))&amp;IF(K421&gt;1," (+"&amp;(K421-1)&amp;")",""))</f>
        <v/>
      </c>
      <c r="M421" s="63" t="n">
        <v>6</v>
      </c>
      <c r="N421" s="2" t="n"/>
      <c r="O421" s="2" t="n"/>
    </row>
    <row r="422">
      <c r="A422" s="62">
        <f>IF('6'!$C$1="","",'6'!$C$1)</f>
        <v/>
      </c>
      <c r="B422" s="63">
        <f>Ustawienia!$A$8&amp;""</f>
        <v/>
      </c>
      <c r="C422" s="63">
        <f>Ustawienia!$A$16&amp;""</f>
        <v/>
      </c>
      <c r="D422" s="63" t="n">
        <v>2</v>
      </c>
      <c r="E422" s="63">
        <f>IF('6'!B23="","",TRIM('6'!B23&amp;""))</f>
        <v/>
      </c>
      <c r="F422" s="63">
        <f>IF('6'!C23="","",'6'!C23)</f>
        <v/>
      </c>
      <c r="G422" s="63">
        <f>'6'!D23&amp;""</f>
        <v/>
      </c>
      <c r="H422" s="63">
        <f>IF(OR(A422="",F422=""),"",F422&amp;"|"&amp;A422)</f>
        <v/>
      </c>
      <c r="I422" s="63">
        <f>IF(AND(H422&lt;&gt;"",OR('Historia wózka'!$B$4="",F422='Historia wózka'!$B$4),A422&gt;='Historia wózka'!$B$5,A422&lt;='Historia wózka'!$B$6),A422+0.9+(5000-ROW())/10000000,0)</f>
        <v/>
      </c>
      <c r="J422" s="63">
        <f>Ustawienia!$B$8&amp;""</f>
        <v/>
      </c>
      <c r="K422" s="63">
        <f>IF(H422="","",COUNTIFS('Zgłoszenia'!$B$5:$B$504,F422,'Zgłoszenia'!$D$5:$D$504,"&gt;="&amp;A422,'Zgłoszenia'!$D$5:$D$504,"&lt;="&amp;(A422+1)))</f>
        <v/>
      </c>
      <c r="L422" s="63">
        <f>IF(OR(H422="",K422=0),"—",IF(ISNUMBER(MATCH(H422,'Zgłoszenia'!$S$5:$S$504,0)),RIGHT("0"&amp;DAY(A422),2)&amp;"."&amp;RIGHT("0"&amp;MONTH(A422),2)&amp;"."&amp;YEAR(A422)&amp;": "&amp;INDEX('Zgłoszenia'!$H$5:$H$504,MATCH(H422,'Zgłoszenia'!$S$5:$S$504,0)),RIGHT("0"&amp;DAY((A422+1)),2)&amp;"."&amp;RIGHT("0"&amp;MONTH((A422+1)),2)&amp;"."&amp;YEAR((A422+1))&amp;": "&amp;INDEX('Zgłoszenia'!$H$5:$H$504,MATCH(F422&amp;"|"&amp;(A422+1),'Zgłoszenia'!$S$5:$S$504,0)))&amp;IF(K422&gt;1," (+"&amp;(K422-1)&amp;")",""))</f>
        <v/>
      </c>
      <c r="M422" s="63" t="n">
        <v>6</v>
      </c>
      <c r="N422" s="2" t="n"/>
      <c r="O422" s="2" t="n"/>
    </row>
    <row r="423">
      <c r="A423" s="62">
        <f>IF('6'!$C$1="","",'6'!$C$1)</f>
        <v/>
      </c>
      <c r="B423" s="63">
        <f>Ustawienia!$A$8&amp;""</f>
        <v/>
      </c>
      <c r="C423" s="63">
        <f>Ustawienia!$A$16&amp;""</f>
        <v/>
      </c>
      <c r="D423" s="63" t="n">
        <v>3</v>
      </c>
      <c r="E423" s="63">
        <f>IF('6'!B24="","",TRIM('6'!B24&amp;""))</f>
        <v/>
      </c>
      <c r="F423" s="63">
        <f>IF('6'!C24="","",'6'!C24)</f>
        <v/>
      </c>
      <c r="G423" s="63">
        <f>'6'!D24&amp;""</f>
        <v/>
      </c>
      <c r="H423" s="63">
        <f>IF(OR(A423="",F423=""),"",F423&amp;"|"&amp;A423)</f>
        <v/>
      </c>
      <c r="I423" s="63">
        <f>IF(AND(H423&lt;&gt;"",OR('Historia wózka'!$B$4="",F423='Historia wózka'!$B$4),A423&gt;='Historia wózka'!$B$5,A423&lt;='Historia wózka'!$B$6),A423+0.9+(5000-ROW())/10000000,0)</f>
        <v/>
      </c>
      <c r="J423" s="63">
        <f>Ustawienia!$B$8&amp;""</f>
        <v/>
      </c>
      <c r="K423" s="63">
        <f>IF(H423="","",COUNTIFS('Zgłoszenia'!$B$5:$B$504,F423,'Zgłoszenia'!$D$5:$D$504,"&gt;="&amp;A423,'Zgłoszenia'!$D$5:$D$504,"&lt;="&amp;(A423+1)))</f>
        <v/>
      </c>
      <c r="L423" s="63">
        <f>IF(OR(H423="",K423=0),"—",IF(ISNUMBER(MATCH(H423,'Zgłoszenia'!$S$5:$S$504,0)),RIGHT("0"&amp;DAY(A423),2)&amp;"."&amp;RIGHT("0"&amp;MONTH(A423),2)&amp;"."&amp;YEAR(A423)&amp;": "&amp;INDEX('Zgłoszenia'!$H$5:$H$504,MATCH(H423,'Zgłoszenia'!$S$5:$S$504,0)),RIGHT("0"&amp;DAY((A423+1)),2)&amp;"."&amp;RIGHT("0"&amp;MONTH((A423+1)),2)&amp;"."&amp;YEAR((A423+1))&amp;": "&amp;INDEX('Zgłoszenia'!$H$5:$H$504,MATCH(F423&amp;"|"&amp;(A423+1),'Zgłoszenia'!$S$5:$S$504,0)))&amp;IF(K423&gt;1," (+"&amp;(K423-1)&amp;")",""))</f>
        <v/>
      </c>
      <c r="M423" s="63" t="n">
        <v>6</v>
      </c>
      <c r="N423" s="2" t="n"/>
      <c r="O423" s="2" t="n"/>
    </row>
    <row r="424">
      <c r="A424" s="62">
        <f>IF('6'!$C$1="","",'6'!$C$1)</f>
        <v/>
      </c>
      <c r="B424" s="63">
        <f>Ustawienia!$A$8&amp;""</f>
        <v/>
      </c>
      <c r="C424" s="63">
        <f>Ustawienia!$A$16&amp;""</f>
        <v/>
      </c>
      <c r="D424" s="63" t="n">
        <v>4</v>
      </c>
      <c r="E424" s="63">
        <f>IF('6'!B25="","",TRIM('6'!B25&amp;""))</f>
        <v/>
      </c>
      <c r="F424" s="63">
        <f>IF('6'!C25="","",'6'!C25)</f>
        <v/>
      </c>
      <c r="G424" s="63">
        <f>'6'!D25&amp;""</f>
        <v/>
      </c>
      <c r="H424" s="63">
        <f>IF(OR(A424="",F424=""),"",F424&amp;"|"&amp;A424)</f>
        <v/>
      </c>
      <c r="I424" s="63">
        <f>IF(AND(H424&lt;&gt;"",OR('Historia wózka'!$B$4="",F424='Historia wózka'!$B$4),A424&gt;='Historia wózka'!$B$5,A424&lt;='Historia wózka'!$B$6),A424+0.9+(5000-ROW())/10000000,0)</f>
        <v/>
      </c>
      <c r="J424" s="63">
        <f>Ustawienia!$B$8&amp;""</f>
        <v/>
      </c>
      <c r="K424" s="63">
        <f>IF(H424="","",COUNTIFS('Zgłoszenia'!$B$5:$B$504,F424,'Zgłoszenia'!$D$5:$D$504,"&gt;="&amp;A424,'Zgłoszenia'!$D$5:$D$504,"&lt;="&amp;(A424+1)))</f>
        <v/>
      </c>
      <c r="L424" s="63">
        <f>IF(OR(H424="",K424=0),"—",IF(ISNUMBER(MATCH(H424,'Zgłoszenia'!$S$5:$S$504,0)),RIGHT("0"&amp;DAY(A424),2)&amp;"."&amp;RIGHT("0"&amp;MONTH(A424),2)&amp;"."&amp;YEAR(A424)&amp;": "&amp;INDEX('Zgłoszenia'!$H$5:$H$504,MATCH(H424,'Zgłoszenia'!$S$5:$S$504,0)),RIGHT("0"&amp;DAY((A424+1)),2)&amp;"."&amp;RIGHT("0"&amp;MONTH((A424+1)),2)&amp;"."&amp;YEAR((A424+1))&amp;": "&amp;INDEX('Zgłoszenia'!$H$5:$H$504,MATCH(F424&amp;"|"&amp;(A424+1),'Zgłoszenia'!$S$5:$S$504,0)))&amp;IF(K424&gt;1," (+"&amp;(K424-1)&amp;")",""))</f>
        <v/>
      </c>
      <c r="M424" s="63" t="n">
        <v>6</v>
      </c>
      <c r="N424" s="2" t="n"/>
      <c r="O424" s="2" t="n"/>
    </row>
    <row r="425">
      <c r="A425" s="62">
        <f>IF('6'!$C$1="","",'6'!$C$1)</f>
        <v/>
      </c>
      <c r="B425" s="63">
        <f>Ustawienia!$A$8&amp;""</f>
        <v/>
      </c>
      <c r="C425" s="63">
        <f>Ustawienia!$A$17&amp;""</f>
        <v/>
      </c>
      <c r="D425" s="63" t="n">
        <v>1</v>
      </c>
      <c r="E425" s="63">
        <f>IF('6'!B27="","",TRIM('6'!B27&amp;""))</f>
        <v/>
      </c>
      <c r="F425" s="63">
        <f>IF('6'!C27="","",'6'!C27)</f>
        <v/>
      </c>
      <c r="G425" s="63">
        <f>'6'!D27&amp;""</f>
        <v/>
      </c>
      <c r="H425" s="63">
        <f>IF(OR(A425="",F425=""),"",F425&amp;"|"&amp;A425)</f>
        <v/>
      </c>
      <c r="I425" s="63">
        <f>IF(AND(H425&lt;&gt;"",OR('Historia wózka'!$B$4="",F425='Historia wózka'!$B$4),A425&gt;='Historia wózka'!$B$5,A425&lt;='Historia wózka'!$B$6),A425+0.9+(5000-ROW())/10000000,0)</f>
        <v/>
      </c>
      <c r="J425" s="63">
        <f>Ustawienia!$B$8&amp;""</f>
        <v/>
      </c>
      <c r="K425" s="63">
        <f>IF(H425="","",COUNTIFS('Zgłoszenia'!$B$5:$B$504,F425,'Zgłoszenia'!$D$5:$D$504,"&gt;="&amp;A425,'Zgłoszenia'!$D$5:$D$504,"&lt;="&amp;(A425+1)))</f>
        <v/>
      </c>
      <c r="L425" s="63">
        <f>IF(OR(H425="",K425=0),"—",IF(ISNUMBER(MATCH(H425,'Zgłoszenia'!$S$5:$S$504,0)),RIGHT("0"&amp;DAY(A425),2)&amp;"."&amp;RIGHT("0"&amp;MONTH(A425),2)&amp;"."&amp;YEAR(A425)&amp;": "&amp;INDEX('Zgłoszenia'!$H$5:$H$504,MATCH(H425,'Zgłoszenia'!$S$5:$S$504,0)),RIGHT("0"&amp;DAY((A425+1)),2)&amp;"."&amp;RIGHT("0"&amp;MONTH((A425+1)),2)&amp;"."&amp;YEAR((A425+1))&amp;": "&amp;INDEX('Zgłoszenia'!$H$5:$H$504,MATCH(F425&amp;"|"&amp;(A425+1),'Zgłoszenia'!$S$5:$S$504,0)))&amp;IF(K425&gt;1," (+"&amp;(K425-1)&amp;")",""))</f>
        <v/>
      </c>
      <c r="M425" s="63" t="n">
        <v>6</v>
      </c>
      <c r="N425" s="2" t="n"/>
      <c r="O425" s="2" t="n"/>
    </row>
    <row r="426">
      <c r="A426" s="62">
        <f>IF('6'!$C$1="","",'6'!$C$1)</f>
        <v/>
      </c>
      <c r="B426" s="63">
        <f>Ustawienia!$A$8&amp;""</f>
        <v/>
      </c>
      <c r="C426" s="63">
        <f>Ustawienia!$A$17&amp;""</f>
        <v/>
      </c>
      <c r="D426" s="63" t="n">
        <v>2</v>
      </c>
      <c r="E426" s="63">
        <f>IF('6'!B28="","",TRIM('6'!B28&amp;""))</f>
        <v/>
      </c>
      <c r="F426" s="63">
        <f>IF('6'!C28="","",'6'!C28)</f>
        <v/>
      </c>
      <c r="G426" s="63">
        <f>'6'!D28&amp;""</f>
        <v/>
      </c>
      <c r="H426" s="63">
        <f>IF(OR(A426="",F426=""),"",F426&amp;"|"&amp;A426)</f>
        <v/>
      </c>
      <c r="I426" s="63">
        <f>IF(AND(H426&lt;&gt;"",OR('Historia wózka'!$B$4="",F426='Historia wózka'!$B$4),A426&gt;='Historia wózka'!$B$5,A426&lt;='Historia wózka'!$B$6),A426+0.9+(5000-ROW())/10000000,0)</f>
        <v/>
      </c>
      <c r="J426" s="63">
        <f>Ustawienia!$B$8&amp;""</f>
        <v/>
      </c>
      <c r="K426" s="63">
        <f>IF(H426="","",COUNTIFS('Zgłoszenia'!$B$5:$B$504,F426,'Zgłoszenia'!$D$5:$D$504,"&gt;="&amp;A426,'Zgłoszenia'!$D$5:$D$504,"&lt;="&amp;(A426+1)))</f>
        <v/>
      </c>
      <c r="L426" s="63">
        <f>IF(OR(H426="",K426=0),"—",IF(ISNUMBER(MATCH(H426,'Zgłoszenia'!$S$5:$S$504,0)),RIGHT("0"&amp;DAY(A426),2)&amp;"."&amp;RIGHT("0"&amp;MONTH(A426),2)&amp;"."&amp;YEAR(A426)&amp;": "&amp;INDEX('Zgłoszenia'!$H$5:$H$504,MATCH(H426,'Zgłoszenia'!$S$5:$S$504,0)),RIGHT("0"&amp;DAY((A426+1)),2)&amp;"."&amp;RIGHT("0"&amp;MONTH((A426+1)),2)&amp;"."&amp;YEAR((A426+1))&amp;": "&amp;INDEX('Zgłoszenia'!$H$5:$H$504,MATCH(F426&amp;"|"&amp;(A426+1),'Zgłoszenia'!$S$5:$S$504,0)))&amp;IF(K426&gt;1," (+"&amp;(K426-1)&amp;")",""))</f>
        <v/>
      </c>
      <c r="M426" s="63" t="n">
        <v>6</v>
      </c>
      <c r="N426" s="2" t="n"/>
      <c r="O426" s="2" t="n"/>
    </row>
    <row r="427">
      <c r="A427" s="62">
        <f>IF('6'!$C$1="","",'6'!$C$1)</f>
        <v/>
      </c>
      <c r="B427" s="63">
        <f>Ustawienia!$A$8&amp;""</f>
        <v/>
      </c>
      <c r="C427" s="63">
        <f>Ustawienia!$A$17&amp;""</f>
        <v/>
      </c>
      <c r="D427" s="63" t="n">
        <v>3</v>
      </c>
      <c r="E427" s="63">
        <f>IF('6'!B29="","",TRIM('6'!B29&amp;""))</f>
        <v/>
      </c>
      <c r="F427" s="63">
        <f>IF('6'!C29="","",'6'!C29)</f>
        <v/>
      </c>
      <c r="G427" s="63">
        <f>'6'!D29&amp;""</f>
        <v/>
      </c>
      <c r="H427" s="63">
        <f>IF(OR(A427="",F427=""),"",F427&amp;"|"&amp;A427)</f>
        <v/>
      </c>
      <c r="I427" s="63">
        <f>IF(AND(H427&lt;&gt;"",OR('Historia wózka'!$B$4="",F427='Historia wózka'!$B$4),A427&gt;='Historia wózka'!$B$5,A427&lt;='Historia wózka'!$B$6),A427+0.9+(5000-ROW())/10000000,0)</f>
        <v/>
      </c>
      <c r="J427" s="63">
        <f>Ustawienia!$B$8&amp;""</f>
        <v/>
      </c>
      <c r="K427" s="63">
        <f>IF(H427="","",COUNTIFS('Zgłoszenia'!$B$5:$B$504,F427,'Zgłoszenia'!$D$5:$D$504,"&gt;="&amp;A427,'Zgłoszenia'!$D$5:$D$504,"&lt;="&amp;(A427+1)))</f>
        <v/>
      </c>
      <c r="L427" s="63">
        <f>IF(OR(H427="",K427=0),"—",IF(ISNUMBER(MATCH(H427,'Zgłoszenia'!$S$5:$S$504,0)),RIGHT("0"&amp;DAY(A427),2)&amp;"."&amp;RIGHT("0"&amp;MONTH(A427),2)&amp;"."&amp;YEAR(A427)&amp;": "&amp;INDEX('Zgłoszenia'!$H$5:$H$504,MATCH(H427,'Zgłoszenia'!$S$5:$S$504,0)),RIGHT("0"&amp;DAY((A427+1)),2)&amp;"."&amp;RIGHT("0"&amp;MONTH((A427+1)),2)&amp;"."&amp;YEAR((A427+1))&amp;": "&amp;INDEX('Zgłoszenia'!$H$5:$H$504,MATCH(F427&amp;"|"&amp;(A427+1),'Zgłoszenia'!$S$5:$S$504,0)))&amp;IF(K427&gt;1," (+"&amp;(K427-1)&amp;")",""))</f>
        <v/>
      </c>
      <c r="M427" s="63" t="n">
        <v>6</v>
      </c>
      <c r="N427" s="2" t="n"/>
      <c r="O427" s="2" t="n"/>
    </row>
    <row r="428">
      <c r="A428" s="62">
        <f>IF('6'!$C$1="","",'6'!$C$1)</f>
        <v/>
      </c>
      <c r="B428" s="63">
        <f>Ustawienia!$A$8&amp;""</f>
        <v/>
      </c>
      <c r="C428" s="63">
        <f>Ustawienia!$A$17&amp;""</f>
        <v/>
      </c>
      <c r="D428" s="63" t="n">
        <v>4</v>
      </c>
      <c r="E428" s="63">
        <f>IF('6'!B30="","",TRIM('6'!B30&amp;""))</f>
        <v/>
      </c>
      <c r="F428" s="63">
        <f>IF('6'!C30="","",'6'!C30)</f>
        <v/>
      </c>
      <c r="G428" s="63">
        <f>'6'!D30&amp;""</f>
        <v/>
      </c>
      <c r="H428" s="63">
        <f>IF(OR(A428="",F428=""),"",F428&amp;"|"&amp;A428)</f>
        <v/>
      </c>
      <c r="I428" s="63">
        <f>IF(AND(H428&lt;&gt;"",OR('Historia wózka'!$B$4="",F428='Historia wózka'!$B$4),A428&gt;='Historia wózka'!$B$5,A428&lt;='Historia wózka'!$B$6),A428+0.9+(5000-ROW())/10000000,0)</f>
        <v/>
      </c>
      <c r="J428" s="63">
        <f>Ustawienia!$B$8&amp;""</f>
        <v/>
      </c>
      <c r="K428" s="63">
        <f>IF(H428="","",COUNTIFS('Zgłoszenia'!$B$5:$B$504,F428,'Zgłoszenia'!$D$5:$D$504,"&gt;="&amp;A428,'Zgłoszenia'!$D$5:$D$504,"&lt;="&amp;(A428+1)))</f>
        <v/>
      </c>
      <c r="L428" s="63">
        <f>IF(OR(H428="",K428=0),"—",IF(ISNUMBER(MATCH(H428,'Zgłoszenia'!$S$5:$S$504,0)),RIGHT("0"&amp;DAY(A428),2)&amp;"."&amp;RIGHT("0"&amp;MONTH(A428),2)&amp;"."&amp;YEAR(A428)&amp;": "&amp;INDEX('Zgłoszenia'!$H$5:$H$504,MATCH(H428,'Zgłoszenia'!$S$5:$S$504,0)),RIGHT("0"&amp;DAY((A428+1)),2)&amp;"."&amp;RIGHT("0"&amp;MONTH((A428+1)),2)&amp;"."&amp;YEAR((A428+1))&amp;": "&amp;INDEX('Zgłoszenia'!$H$5:$H$504,MATCH(F428&amp;"|"&amp;(A428+1),'Zgłoszenia'!$S$5:$S$504,0)))&amp;IF(K428&gt;1," (+"&amp;(K428-1)&amp;")",""))</f>
        <v/>
      </c>
      <c r="M428" s="63" t="n">
        <v>6</v>
      </c>
      <c r="N428" s="2" t="n"/>
      <c r="O428" s="2" t="n"/>
    </row>
    <row r="429">
      <c r="A429" s="62">
        <f>IF('6'!$C$1="","",'6'!$C$1)</f>
        <v/>
      </c>
      <c r="B429" s="63">
        <f>Ustawienia!$A$8&amp;""</f>
        <v/>
      </c>
      <c r="C429" s="63">
        <f>Ustawienia!$A$18&amp;""</f>
        <v/>
      </c>
      <c r="D429" s="63" t="n">
        <v>1</v>
      </c>
      <c r="E429" s="63">
        <f>IF('6'!B32="","",TRIM('6'!B32&amp;""))</f>
        <v/>
      </c>
      <c r="F429" s="63">
        <f>IF('6'!C32="","",'6'!C32)</f>
        <v/>
      </c>
      <c r="G429" s="63">
        <f>'6'!D32&amp;""</f>
        <v/>
      </c>
      <c r="H429" s="63">
        <f>IF(OR(A429="",F429=""),"",F429&amp;"|"&amp;A429)</f>
        <v/>
      </c>
      <c r="I429" s="63">
        <f>IF(AND(H429&lt;&gt;"",OR('Historia wózka'!$B$4="",F429='Historia wózka'!$B$4),A429&gt;='Historia wózka'!$B$5,A429&lt;='Historia wózka'!$B$6),A429+0.9+(5000-ROW())/10000000,0)</f>
        <v/>
      </c>
      <c r="J429" s="63">
        <f>Ustawienia!$B$8&amp;""</f>
        <v/>
      </c>
      <c r="K429" s="63">
        <f>IF(H429="","",COUNTIFS('Zgłoszenia'!$B$5:$B$504,F429,'Zgłoszenia'!$D$5:$D$504,"&gt;="&amp;A429,'Zgłoszenia'!$D$5:$D$504,"&lt;="&amp;(A429+1)))</f>
        <v/>
      </c>
      <c r="L429" s="63">
        <f>IF(OR(H429="",K429=0),"—",IF(ISNUMBER(MATCH(H429,'Zgłoszenia'!$S$5:$S$504,0)),RIGHT("0"&amp;DAY(A429),2)&amp;"."&amp;RIGHT("0"&amp;MONTH(A429),2)&amp;"."&amp;YEAR(A429)&amp;": "&amp;INDEX('Zgłoszenia'!$H$5:$H$504,MATCH(H429,'Zgłoszenia'!$S$5:$S$504,0)),RIGHT("0"&amp;DAY((A429+1)),2)&amp;"."&amp;RIGHT("0"&amp;MONTH((A429+1)),2)&amp;"."&amp;YEAR((A429+1))&amp;": "&amp;INDEX('Zgłoszenia'!$H$5:$H$504,MATCH(F429&amp;"|"&amp;(A429+1),'Zgłoszenia'!$S$5:$S$504,0)))&amp;IF(K429&gt;1," (+"&amp;(K429-1)&amp;")",""))</f>
        <v/>
      </c>
      <c r="M429" s="63" t="n">
        <v>6</v>
      </c>
      <c r="N429" s="2" t="n"/>
      <c r="O429" s="2" t="n"/>
    </row>
    <row r="430">
      <c r="A430" s="62">
        <f>IF('6'!$C$1="","",'6'!$C$1)</f>
        <v/>
      </c>
      <c r="B430" s="63">
        <f>Ustawienia!$A$8&amp;""</f>
        <v/>
      </c>
      <c r="C430" s="63">
        <f>Ustawienia!$A$18&amp;""</f>
        <v/>
      </c>
      <c r="D430" s="63" t="n">
        <v>2</v>
      </c>
      <c r="E430" s="63">
        <f>IF('6'!B33="","",TRIM('6'!B33&amp;""))</f>
        <v/>
      </c>
      <c r="F430" s="63">
        <f>IF('6'!C33="","",'6'!C33)</f>
        <v/>
      </c>
      <c r="G430" s="63">
        <f>'6'!D33&amp;""</f>
        <v/>
      </c>
      <c r="H430" s="63">
        <f>IF(OR(A430="",F430=""),"",F430&amp;"|"&amp;A430)</f>
        <v/>
      </c>
      <c r="I430" s="63">
        <f>IF(AND(H430&lt;&gt;"",OR('Historia wózka'!$B$4="",F430='Historia wózka'!$B$4),A430&gt;='Historia wózka'!$B$5,A430&lt;='Historia wózka'!$B$6),A430+0.9+(5000-ROW())/10000000,0)</f>
        <v/>
      </c>
      <c r="J430" s="63">
        <f>Ustawienia!$B$8&amp;""</f>
        <v/>
      </c>
      <c r="K430" s="63">
        <f>IF(H430="","",COUNTIFS('Zgłoszenia'!$B$5:$B$504,F430,'Zgłoszenia'!$D$5:$D$504,"&gt;="&amp;A430,'Zgłoszenia'!$D$5:$D$504,"&lt;="&amp;(A430+1)))</f>
        <v/>
      </c>
      <c r="L430" s="63">
        <f>IF(OR(H430="",K430=0),"—",IF(ISNUMBER(MATCH(H430,'Zgłoszenia'!$S$5:$S$504,0)),RIGHT("0"&amp;DAY(A430),2)&amp;"."&amp;RIGHT("0"&amp;MONTH(A430),2)&amp;"."&amp;YEAR(A430)&amp;": "&amp;INDEX('Zgłoszenia'!$H$5:$H$504,MATCH(H430,'Zgłoszenia'!$S$5:$S$504,0)),RIGHT("0"&amp;DAY((A430+1)),2)&amp;"."&amp;RIGHT("0"&amp;MONTH((A430+1)),2)&amp;"."&amp;YEAR((A430+1))&amp;": "&amp;INDEX('Zgłoszenia'!$H$5:$H$504,MATCH(F430&amp;"|"&amp;(A430+1),'Zgłoszenia'!$S$5:$S$504,0)))&amp;IF(K430&gt;1," (+"&amp;(K430-1)&amp;")",""))</f>
        <v/>
      </c>
      <c r="M430" s="63" t="n">
        <v>6</v>
      </c>
      <c r="N430" s="2" t="n"/>
      <c r="O430" s="2" t="n"/>
    </row>
    <row r="431">
      <c r="A431" s="62">
        <f>IF('6'!$C$1="","",'6'!$C$1)</f>
        <v/>
      </c>
      <c r="B431" s="63">
        <f>Ustawienia!$A$8&amp;""</f>
        <v/>
      </c>
      <c r="C431" s="63">
        <f>Ustawienia!$A$18&amp;""</f>
        <v/>
      </c>
      <c r="D431" s="63" t="n">
        <v>3</v>
      </c>
      <c r="E431" s="63">
        <f>IF('6'!B34="","",TRIM('6'!B34&amp;""))</f>
        <v/>
      </c>
      <c r="F431" s="63">
        <f>IF('6'!C34="","",'6'!C34)</f>
        <v/>
      </c>
      <c r="G431" s="63">
        <f>'6'!D34&amp;""</f>
        <v/>
      </c>
      <c r="H431" s="63">
        <f>IF(OR(A431="",F431=""),"",F431&amp;"|"&amp;A431)</f>
        <v/>
      </c>
      <c r="I431" s="63">
        <f>IF(AND(H431&lt;&gt;"",OR('Historia wózka'!$B$4="",F431='Historia wózka'!$B$4),A431&gt;='Historia wózka'!$B$5,A431&lt;='Historia wózka'!$B$6),A431+0.9+(5000-ROW())/10000000,0)</f>
        <v/>
      </c>
      <c r="J431" s="63">
        <f>Ustawienia!$B$8&amp;""</f>
        <v/>
      </c>
      <c r="K431" s="63">
        <f>IF(H431="","",COUNTIFS('Zgłoszenia'!$B$5:$B$504,F431,'Zgłoszenia'!$D$5:$D$504,"&gt;="&amp;A431,'Zgłoszenia'!$D$5:$D$504,"&lt;="&amp;(A431+1)))</f>
        <v/>
      </c>
      <c r="L431" s="63">
        <f>IF(OR(H431="",K431=0),"—",IF(ISNUMBER(MATCH(H431,'Zgłoszenia'!$S$5:$S$504,0)),RIGHT("0"&amp;DAY(A431),2)&amp;"."&amp;RIGHT("0"&amp;MONTH(A431),2)&amp;"."&amp;YEAR(A431)&amp;": "&amp;INDEX('Zgłoszenia'!$H$5:$H$504,MATCH(H431,'Zgłoszenia'!$S$5:$S$504,0)),RIGHT("0"&amp;DAY((A431+1)),2)&amp;"."&amp;RIGHT("0"&amp;MONTH((A431+1)),2)&amp;"."&amp;YEAR((A431+1))&amp;": "&amp;INDEX('Zgłoszenia'!$H$5:$H$504,MATCH(F431&amp;"|"&amp;(A431+1),'Zgłoszenia'!$S$5:$S$504,0)))&amp;IF(K431&gt;1," (+"&amp;(K431-1)&amp;")",""))</f>
        <v/>
      </c>
      <c r="M431" s="63" t="n">
        <v>6</v>
      </c>
      <c r="N431" s="2" t="n"/>
      <c r="O431" s="2" t="n"/>
    </row>
    <row r="432">
      <c r="A432" s="62">
        <f>IF('6'!$C$1="","",'6'!$C$1)</f>
        <v/>
      </c>
      <c r="B432" s="63">
        <f>Ustawienia!$A$8&amp;""</f>
        <v/>
      </c>
      <c r="C432" s="63">
        <f>Ustawienia!$A$18&amp;""</f>
        <v/>
      </c>
      <c r="D432" s="63" t="n">
        <v>4</v>
      </c>
      <c r="E432" s="63">
        <f>IF('6'!B35="","",TRIM('6'!B35&amp;""))</f>
        <v/>
      </c>
      <c r="F432" s="63">
        <f>IF('6'!C35="","",'6'!C35)</f>
        <v/>
      </c>
      <c r="G432" s="63">
        <f>'6'!D35&amp;""</f>
        <v/>
      </c>
      <c r="H432" s="63">
        <f>IF(OR(A432="",F432=""),"",F432&amp;"|"&amp;A432)</f>
        <v/>
      </c>
      <c r="I432" s="63">
        <f>IF(AND(H432&lt;&gt;"",OR('Historia wózka'!$B$4="",F432='Historia wózka'!$B$4),A432&gt;='Historia wózka'!$B$5,A432&lt;='Historia wózka'!$B$6),A432+0.9+(5000-ROW())/10000000,0)</f>
        <v/>
      </c>
      <c r="J432" s="63">
        <f>Ustawienia!$B$8&amp;""</f>
        <v/>
      </c>
      <c r="K432" s="63">
        <f>IF(H432="","",COUNTIFS('Zgłoszenia'!$B$5:$B$504,F432,'Zgłoszenia'!$D$5:$D$504,"&gt;="&amp;A432,'Zgłoszenia'!$D$5:$D$504,"&lt;="&amp;(A432+1)))</f>
        <v/>
      </c>
      <c r="L432" s="63">
        <f>IF(OR(H432="",K432=0),"—",IF(ISNUMBER(MATCH(H432,'Zgłoszenia'!$S$5:$S$504,0)),RIGHT("0"&amp;DAY(A432),2)&amp;"."&amp;RIGHT("0"&amp;MONTH(A432),2)&amp;"."&amp;YEAR(A432)&amp;": "&amp;INDEX('Zgłoszenia'!$H$5:$H$504,MATCH(H432,'Zgłoszenia'!$S$5:$S$504,0)),RIGHT("0"&amp;DAY((A432+1)),2)&amp;"."&amp;RIGHT("0"&amp;MONTH((A432+1)),2)&amp;"."&amp;YEAR((A432+1))&amp;": "&amp;INDEX('Zgłoszenia'!$H$5:$H$504,MATCH(F432&amp;"|"&amp;(A432+1),'Zgłoszenia'!$S$5:$S$504,0)))&amp;IF(K432&gt;1," (+"&amp;(K432-1)&amp;")",""))</f>
        <v/>
      </c>
      <c r="M432" s="63" t="n">
        <v>6</v>
      </c>
      <c r="N432" s="2" t="n"/>
      <c r="O432" s="2" t="n"/>
    </row>
    <row r="433">
      <c r="A433" s="62">
        <f>IF('6'!$C$1="","",'6'!$C$1)</f>
        <v/>
      </c>
      <c r="B433" s="63">
        <f>Ustawienia!$A$8&amp;""</f>
        <v/>
      </c>
      <c r="C433" s="63">
        <f>Ustawienia!$A$18&amp;""</f>
        <v/>
      </c>
      <c r="D433" s="63" t="n">
        <v>5</v>
      </c>
      <c r="E433" s="63">
        <f>IF('6'!B36="","",TRIM('6'!B36&amp;""))</f>
        <v/>
      </c>
      <c r="F433" s="63">
        <f>IF('6'!C36="","",'6'!C36)</f>
        <v/>
      </c>
      <c r="G433" s="63">
        <f>'6'!D36&amp;""</f>
        <v/>
      </c>
      <c r="H433" s="63">
        <f>IF(OR(A433="",F433=""),"",F433&amp;"|"&amp;A433)</f>
        <v/>
      </c>
      <c r="I433" s="63">
        <f>IF(AND(H433&lt;&gt;"",OR('Historia wózka'!$B$4="",F433='Historia wózka'!$B$4),A433&gt;='Historia wózka'!$B$5,A433&lt;='Historia wózka'!$B$6),A433+0.9+(5000-ROW())/10000000,0)</f>
        <v/>
      </c>
      <c r="J433" s="63">
        <f>Ustawienia!$B$8&amp;""</f>
        <v/>
      </c>
      <c r="K433" s="63">
        <f>IF(H433="","",COUNTIFS('Zgłoszenia'!$B$5:$B$504,F433,'Zgłoszenia'!$D$5:$D$504,"&gt;="&amp;A433,'Zgłoszenia'!$D$5:$D$504,"&lt;="&amp;(A433+1)))</f>
        <v/>
      </c>
      <c r="L433" s="63">
        <f>IF(OR(H433="",K433=0),"—",IF(ISNUMBER(MATCH(H433,'Zgłoszenia'!$S$5:$S$504,0)),RIGHT("0"&amp;DAY(A433),2)&amp;"."&amp;RIGHT("0"&amp;MONTH(A433),2)&amp;"."&amp;YEAR(A433)&amp;": "&amp;INDEX('Zgłoszenia'!$H$5:$H$504,MATCH(H433,'Zgłoszenia'!$S$5:$S$504,0)),RIGHT("0"&amp;DAY((A433+1)),2)&amp;"."&amp;RIGHT("0"&amp;MONTH((A433+1)),2)&amp;"."&amp;YEAR((A433+1))&amp;": "&amp;INDEX('Zgłoszenia'!$H$5:$H$504,MATCH(F433&amp;"|"&amp;(A433+1),'Zgłoszenia'!$S$5:$S$504,0)))&amp;IF(K433&gt;1," (+"&amp;(K433-1)&amp;")",""))</f>
        <v/>
      </c>
      <c r="M433" s="63" t="n">
        <v>6</v>
      </c>
      <c r="N433" s="2" t="n"/>
      <c r="O433" s="2" t="n"/>
    </row>
    <row r="434">
      <c r="A434" s="62">
        <f>IF('6'!$C$1="","",'6'!$C$1)</f>
        <v/>
      </c>
      <c r="B434" s="63">
        <f>Ustawienia!$A$9&amp;""</f>
        <v/>
      </c>
      <c r="C434" s="63">
        <f>Ustawienia!$A$14&amp;""</f>
        <v/>
      </c>
      <c r="D434" s="63" t="n">
        <v>1</v>
      </c>
      <c r="E434" s="63">
        <f>IF('6'!F6="","",TRIM('6'!F6&amp;""))</f>
        <v/>
      </c>
      <c r="F434" s="63">
        <f>IF('6'!G6="","",'6'!G6)</f>
        <v/>
      </c>
      <c r="G434" s="63">
        <f>'6'!H6&amp;""</f>
        <v/>
      </c>
      <c r="H434" s="63">
        <f>IF(OR(A434="",F434=""),"",F434&amp;"|"&amp;A434)</f>
        <v/>
      </c>
      <c r="I434" s="63">
        <f>IF(AND(H434&lt;&gt;"",OR('Historia wózka'!$B$4="",F434='Historia wózka'!$B$4),A434&gt;='Historia wózka'!$B$5,A434&lt;='Historia wózka'!$B$6),A434+0.8+(5000-ROW())/10000000,0)</f>
        <v/>
      </c>
      <c r="J434" s="63">
        <f>Ustawienia!$B$9&amp;""</f>
        <v/>
      </c>
      <c r="K434" s="63">
        <f>IF(H434="","",COUNTIFS('Zgłoszenia'!$B$5:$B$504,F434,'Zgłoszenia'!$D$5:$D$504,"&gt;="&amp;A434,'Zgłoszenia'!$D$5:$D$504,"&lt;="&amp;(A434+1)))</f>
        <v/>
      </c>
      <c r="L434" s="63">
        <f>IF(OR(H434="",K434=0),"—",IF(ISNUMBER(MATCH(H434,'Zgłoszenia'!$S$5:$S$504,0)),RIGHT("0"&amp;DAY(A434),2)&amp;"."&amp;RIGHT("0"&amp;MONTH(A434),2)&amp;"."&amp;YEAR(A434)&amp;": "&amp;INDEX('Zgłoszenia'!$H$5:$H$504,MATCH(H434,'Zgłoszenia'!$S$5:$S$504,0)),RIGHT("0"&amp;DAY((A434+1)),2)&amp;"."&amp;RIGHT("0"&amp;MONTH((A434+1)),2)&amp;"."&amp;YEAR((A434+1))&amp;": "&amp;INDEX('Zgłoszenia'!$H$5:$H$504,MATCH(F434&amp;"|"&amp;(A434+1),'Zgłoszenia'!$S$5:$S$504,0)))&amp;IF(K434&gt;1," (+"&amp;(K434-1)&amp;")",""))</f>
        <v/>
      </c>
      <c r="M434" s="63" t="n">
        <v>6</v>
      </c>
      <c r="N434" s="2" t="n"/>
      <c r="O434" s="2" t="n"/>
    </row>
    <row r="435">
      <c r="A435" s="62">
        <f>IF('6'!$C$1="","",'6'!$C$1)</f>
        <v/>
      </c>
      <c r="B435" s="63">
        <f>Ustawienia!$A$9&amp;""</f>
        <v/>
      </c>
      <c r="C435" s="63">
        <f>Ustawienia!$A$14&amp;""</f>
        <v/>
      </c>
      <c r="D435" s="63" t="n">
        <v>2</v>
      </c>
      <c r="E435" s="63">
        <f>IF('6'!F7="","",TRIM('6'!F7&amp;""))</f>
        <v/>
      </c>
      <c r="F435" s="63">
        <f>IF('6'!G7="","",'6'!G7)</f>
        <v/>
      </c>
      <c r="G435" s="63">
        <f>'6'!H7&amp;""</f>
        <v/>
      </c>
      <c r="H435" s="63">
        <f>IF(OR(A435="",F435=""),"",F435&amp;"|"&amp;A435)</f>
        <v/>
      </c>
      <c r="I435" s="63">
        <f>IF(AND(H435&lt;&gt;"",OR('Historia wózka'!$B$4="",F435='Historia wózka'!$B$4),A435&gt;='Historia wózka'!$B$5,A435&lt;='Historia wózka'!$B$6),A435+0.8+(5000-ROW())/10000000,0)</f>
        <v/>
      </c>
      <c r="J435" s="63">
        <f>Ustawienia!$B$9&amp;""</f>
        <v/>
      </c>
      <c r="K435" s="63">
        <f>IF(H435="","",COUNTIFS('Zgłoszenia'!$B$5:$B$504,F435,'Zgłoszenia'!$D$5:$D$504,"&gt;="&amp;A435,'Zgłoszenia'!$D$5:$D$504,"&lt;="&amp;(A435+1)))</f>
        <v/>
      </c>
      <c r="L435" s="63">
        <f>IF(OR(H435="",K435=0),"—",IF(ISNUMBER(MATCH(H435,'Zgłoszenia'!$S$5:$S$504,0)),RIGHT("0"&amp;DAY(A435),2)&amp;"."&amp;RIGHT("0"&amp;MONTH(A435),2)&amp;"."&amp;YEAR(A435)&amp;": "&amp;INDEX('Zgłoszenia'!$H$5:$H$504,MATCH(H435,'Zgłoszenia'!$S$5:$S$504,0)),RIGHT("0"&amp;DAY((A435+1)),2)&amp;"."&amp;RIGHT("0"&amp;MONTH((A435+1)),2)&amp;"."&amp;YEAR((A435+1))&amp;": "&amp;INDEX('Zgłoszenia'!$H$5:$H$504,MATCH(F435&amp;"|"&amp;(A435+1),'Zgłoszenia'!$S$5:$S$504,0)))&amp;IF(K435&gt;1," (+"&amp;(K435-1)&amp;")",""))</f>
        <v/>
      </c>
      <c r="M435" s="63" t="n">
        <v>6</v>
      </c>
      <c r="N435" s="2" t="n"/>
      <c r="O435" s="2" t="n"/>
    </row>
    <row r="436">
      <c r="A436" s="62">
        <f>IF('6'!$C$1="","",'6'!$C$1)</f>
        <v/>
      </c>
      <c r="B436" s="63">
        <f>Ustawienia!$A$9&amp;""</f>
        <v/>
      </c>
      <c r="C436" s="63">
        <f>Ustawienia!$A$14&amp;""</f>
        <v/>
      </c>
      <c r="D436" s="63" t="n">
        <v>3</v>
      </c>
      <c r="E436" s="63">
        <f>IF('6'!F8="","",TRIM('6'!F8&amp;""))</f>
        <v/>
      </c>
      <c r="F436" s="63">
        <f>IF('6'!G8="","",'6'!G8)</f>
        <v/>
      </c>
      <c r="G436" s="63">
        <f>'6'!H8&amp;""</f>
        <v/>
      </c>
      <c r="H436" s="63">
        <f>IF(OR(A436="",F436=""),"",F436&amp;"|"&amp;A436)</f>
        <v/>
      </c>
      <c r="I436" s="63">
        <f>IF(AND(H436&lt;&gt;"",OR('Historia wózka'!$B$4="",F436='Historia wózka'!$B$4),A436&gt;='Historia wózka'!$B$5,A436&lt;='Historia wózka'!$B$6),A436+0.8+(5000-ROW())/10000000,0)</f>
        <v/>
      </c>
      <c r="J436" s="63">
        <f>Ustawienia!$B$9&amp;""</f>
        <v/>
      </c>
      <c r="K436" s="63">
        <f>IF(H436="","",COUNTIFS('Zgłoszenia'!$B$5:$B$504,F436,'Zgłoszenia'!$D$5:$D$504,"&gt;="&amp;A436,'Zgłoszenia'!$D$5:$D$504,"&lt;="&amp;(A436+1)))</f>
        <v/>
      </c>
      <c r="L436" s="63">
        <f>IF(OR(H436="",K436=0),"—",IF(ISNUMBER(MATCH(H436,'Zgłoszenia'!$S$5:$S$504,0)),RIGHT("0"&amp;DAY(A436),2)&amp;"."&amp;RIGHT("0"&amp;MONTH(A436),2)&amp;"."&amp;YEAR(A436)&amp;": "&amp;INDEX('Zgłoszenia'!$H$5:$H$504,MATCH(H436,'Zgłoszenia'!$S$5:$S$504,0)),RIGHT("0"&amp;DAY((A436+1)),2)&amp;"."&amp;RIGHT("0"&amp;MONTH((A436+1)),2)&amp;"."&amp;YEAR((A436+1))&amp;": "&amp;INDEX('Zgłoszenia'!$H$5:$H$504,MATCH(F436&amp;"|"&amp;(A436+1),'Zgłoszenia'!$S$5:$S$504,0)))&amp;IF(K436&gt;1," (+"&amp;(K436-1)&amp;")",""))</f>
        <v/>
      </c>
      <c r="M436" s="63" t="n">
        <v>6</v>
      </c>
      <c r="N436" s="2" t="n"/>
      <c r="O436" s="2" t="n"/>
    </row>
    <row r="437">
      <c r="A437" s="62">
        <f>IF('6'!$C$1="","",'6'!$C$1)</f>
        <v/>
      </c>
      <c r="B437" s="63">
        <f>Ustawienia!$A$9&amp;""</f>
        <v/>
      </c>
      <c r="C437" s="63">
        <f>Ustawienia!$A$14&amp;""</f>
        <v/>
      </c>
      <c r="D437" s="63" t="n">
        <v>4</v>
      </c>
      <c r="E437" s="63">
        <f>IF('6'!F9="","",TRIM('6'!F9&amp;""))</f>
        <v/>
      </c>
      <c r="F437" s="63">
        <f>IF('6'!G9="","",'6'!G9)</f>
        <v/>
      </c>
      <c r="G437" s="63">
        <f>'6'!H9&amp;""</f>
        <v/>
      </c>
      <c r="H437" s="63">
        <f>IF(OR(A437="",F437=""),"",F437&amp;"|"&amp;A437)</f>
        <v/>
      </c>
      <c r="I437" s="63">
        <f>IF(AND(H437&lt;&gt;"",OR('Historia wózka'!$B$4="",F437='Historia wózka'!$B$4),A437&gt;='Historia wózka'!$B$5,A437&lt;='Historia wózka'!$B$6),A437+0.8+(5000-ROW())/10000000,0)</f>
        <v/>
      </c>
      <c r="J437" s="63">
        <f>Ustawienia!$B$9&amp;""</f>
        <v/>
      </c>
      <c r="K437" s="63">
        <f>IF(H437="","",COUNTIFS('Zgłoszenia'!$B$5:$B$504,F437,'Zgłoszenia'!$D$5:$D$504,"&gt;="&amp;A437,'Zgłoszenia'!$D$5:$D$504,"&lt;="&amp;(A437+1)))</f>
        <v/>
      </c>
      <c r="L437" s="63">
        <f>IF(OR(H437="",K437=0),"—",IF(ISNUMBER(MATCH(H437,'Zgłoszenia'!$S$5:$S$504,0)),RIGHT("0"&amp;DAY(A437),2)&amp;"."&amp;RIGHT("0"&amp;MONTH(A437),2)&amp;"."&amp;YEAR(A437)&amp;": "&amp;INDEX('Zgłoszenia'!$H$5:$H$504,MATCH(H437,'Zgłoszenia'!$S$5:$S$504,0)),RIGHT("0"&amp;DAY((A437+1)),2)&amp;"."&amp;RIGHT("0"&amp;MONTH((A437+1)),2)&amp;"."&amp;YEAR((A437+1))&amp;": "&amp;INDEX('Zgłoszenia'!$H$5:$H$504,MATCH(F437&amp;"|"&amp;(A437+1),'Zgłoszenia'!$S$5:$S$504,0)))&amp;IF(K437&gt;1," (+"&amp;(K437-1)&amp;")",""))</f>
        <v/>
      </c>
      <c r="M437" s="63" t="n">
        <v>6</v>
      </c>
      <c r="N437" s="2" t="n"/>
      <c r="O437" s="2" t="n"/>
    </row>
    <row r="438">
      <c r="A438" s="62">
        <f>IF('6'!$C$1="","",'6'!$C$1)</f>
        <v/>
      </c>
      <c r="B438" s="63">
        <f>Ustawienia!$A$9&amp;""</f>
        <v/>
      </c>
      <c r="C438" s="63">
        <f>Ustawienia!$A$14&amp;""</f>
        <v/>
      </c>
      <c r="D438" s="63" t="n">
        <v>5</v>
      </c>
      <c r="E438" s="63">
        <f>IF('6'!F10="","",TRIM('6'!F10&amp;""))</f>
        <v/>
      </c>
      <c r="F438" s="63">
        <f>IF('6'!G10="","",'6'!G10)</f>
        <v/>
      </c>
      <c r="G438" s="63">
        <f>'6'!H10&amp;""</f>
        <v/>
      </c>
      <c r="H438" s="63">
        <f>IF(OR(A438="",F438=""),"",F438&amp;"|"&amp;A438)</f>
        <v/>
      </c>
      <c r="I438" s="63">
        <f>IF(AND(H438&lt;&gt;"",OR('Historia wózka'!$B$4="",F438='Historia wózka'!$B$4),A438&gt;='Historia wózka'!$B$5,A438&lt;='Historia wózka'!$B$6),A438+0.8+(5000-ROW())/10000000,0)</f>
        <v/>
      </c>
      <c r="J438" s="63">
        <f>Ustawienia!$B$9&amp;""</f>
        <v/>
      </c>
      <c r="K438" s="63">
        <f>IF(H438="","",COUNTIFS('Zgłoszenia'!$B$5:$B$504,F438,'Zgłoszenia'!$D$5:$D$504,"&gt;="&amp;A438,'Zgłoszenia'!$D$5:$D$504,"&lt;="&amp;(A438+1)))</f>
        <v/>
      </c>
      <c r="L438" s="63">
        <f>IF(OR(H438="",K438=0),"—",IF(ISNUMBER(MATCH(H438,'Zgłoszenia'!$S$5:$S$504,0)),RIGHT("0"&amp;DAY(A438),2)&amp;"."&amp;RIGHT("0"&amp;MONTH(A438),2)&amp;"."&amp;YEAR(A438)&amp;": "&amp;INDEX('Zgłoszenia'!$H$5:$H$504,MATCH(H438,'Zgłoszenia'!$S$5:$S$504,0)),RIGHT("0"&amp;DAY((A438+1)),2)&amp;"."&amp;RIGHT("0"&amp;MONTH((A438+1)),2)&amp;"."&amp;YEAR((A438+1))&amp;": "&amp;INDEX('Zgłoszenia'!$H$5:$H$504,MATCH(F438&amp;"|"&amp;(A438+1),'Zgłoszenia'!$S$5:$S$504,0)))&amp;IF(K438&gt;1," (+"&amp;(K438-1)&amp;")",""))</f>
        <v/>
      </c>
      <c r="M438" s="63" t="n">
        <v>6</v>
      </c>
      <c r="N438" s="2" t="n"/>
      <c r="O438" s="2" t="n"/>
    </row>
    <row r="439">
      <c r="A439" s="62">
        <f>IF('6'!$C$1="","",'6'!$C$1)</f>
        <v/>
      </c>
      <c r="B439" s="63">
        <f>Ustawienia!$A$9&amp;""</f>
        <v/>
      </c>
      <c r="C439" s="63">
        <f>Ustawienia!$A$14&amp;""</f>
        <v/>
      </c>
      <c r="D439" s="63" t="n">
        <v>6</v>
      </c>
      <c r="E439" s="63">
        <f>IF('6'!F11="","",TRIM('6'!F11&amp;""))</f>
        <v/>
      </c>
      <c r="F439" s="63">
        <f>IF('6'!G11="","",'6'!G11)</f>
        <v/>
      </c>
      <c r="G439" s="63">
        <f>'6'!H11&amp;""</f>
        <v/>
      </c>
      <c r="H439" s="63">
        <f>IF(OR(A439="",F439=""),"",F439&amp;"|"&amp;A439)</f>
        <v/>
      </c>
      <c r="I439" s="63">
        <f>IF(AND(H439&lt;&gt;"",OR('Historia wózka'!$B$4="",F439='Historia wózka'!$B$4),A439&gt;='Historia wózka'!$B$5,A439&lt;='Historia wózka'!$B$6),A439+0.8+(5000-ROW())/10000000,0)</f>
        <v/>
      </c>
      <c r="J439" s="63">
        <f>Ustawienia!$B$9&amp;""</f>
        <v/>
      </c>
      <c r="K439" s="63">
        <f>IF(H439="","",COUNTIFS('Zgłoszenia'!$B$5:$B$504,F439,'Zgłoszenia'!$D$5:$D$504,"&gt;="&amp;A439,'Zgłoszenia'!$D$5:$D$504,"&lt;="&amp;(A439+1)))</f>
        <v/>
      </c>
      <c r="L439" s="63">
        <f>IF(OR(H439="",K439=0),"—",IF(ISNUMBER(MATCH(H439,'Zgłoszenia'!$S$5:$S$504,0)),RIGHT("0"&amp;DAY(A439),2)&amp;"."&amp;RIGHT("0"&amp;MONTH(A439),2)&amp;"."&amp;YEAR(A439)&amp;": "&amp;INDEX('Zgłoszenia'!$H$5:$H$504,MATCH(H439,'Zgłoszenia'!$S$5:$S$504,0)),RIGHT("0"&amp;DAY((A439+1)),2)&amp;"."&amp;RIGHT("0"&amp;MONTH((A439+1)),2)&amp;"."&amp;YEAR((A439+1))&amp;": "&amp;INDEX('Zgłoszenia'!$H$5:$H$504,MATCH(F439&amp;"|"&amp;(A439+1),'Zgłoszenia'!$S$5:$S$504,0)))&amp;IF(K439&gt;1," (+"&amp;(K439-1)&amp;")",""))</f>
        <v/>
      </c>
      <c r="M439" s="63" t="n">
        <v>6</v>
      </c>
      <c r="N439" s="2" t="n"/>
      <c r="O439" s="2" t="n"/>
    </row>
    <row r="440">
      <c r="A440" s="62">
        <f>IF('6'!$C$1="","",'6'!$C$1)</f>
        <v/>
      </c>
      <c r="B440" s="63">
        <f>Ustawienia!$A$9&amp;""</f>
        <v/>
      </c>
      <c r="C440" s="63">
        <f>Ustawienia!$A$15&amp;""</f>
        <v/>
      </c>
      <c r="D440" s="63" t="n">
        <v>1</v>
      </c>
      <c r="E440" s="63">
        <f>IF('6'!F13="","",TRIM('6'!F13&amp;""))</f>
        <v/>
      </c>
      <c r="F440" s="63">
        <f>IF('6'!G13="","",'6'!G13)</f>
        <v/>
      </c>
      <c r="G440" s="63">
        <f>'6'!H13&amp;""</f>
        <v/>
      </c>
      <c r="H440" s="63">
        <f>IF(OR(A440="",F440=""),"",F440&amp;"|"&amp;A440)</f>
        <v/>
      </c>
      <c r="I440" s="63">
        <f>IF(AND(H440&lt;&gt;"",OR('Historia wózka'!$B$4="",F440='Historia wózka'!$B$4),A440&gt;='Historia wózka'!$B$5,A440&lt;='Historia wózka'!$B$6),A440+0.8+(5000-ROW())/10000000,0)</f>
        <v/>
      </c>
      <c r="J440" s="63">
        <f>Ustawienia!$B$9&amp;""</f>
        <v/>
      </c>
      <c r="K440" s="63">
        <f>IF(H440="","",COUNTIFS('Zgłoszenia'!$B$5:$B$504,F440,'Zgłoszenia'!$D$5:$D$504,"&gt;="&amp;A440,'Zgłoszenia'!$D$5:$D$504,"&lt;="&amp;(A440+1)))</f>
        <v/>
      </c>
      <c r="L440" s="63">
        <f>IF(OR(H440="",K440=0),"—",IF(ISNUMBER(MATCH(H440,'Zgłoszenia'!$S$5:$S$504,0)),RIGHT("0"&amp;DAY(A440),2)&amp;"."&amp;RIGHT("0"&amp;MONTH(A440),2)&amp;"."&amp;YEAR(A440)&amp;": "&amp;INDEX('Zgłoszenia'!$H$5:$H$504,MATCH(H440,'Zgłoszenia'!$S$5:$S$504,0)),RIGHT("0"&amp;DAY((A440+1)),2)&amp;"."&amp;RIGHT("0"&amp;MONTH((A440+1)),2)&amp;"."&amp;YEAR((A440+1))&amp;": "&amp;INDEX('Zgłoszenia'!$H$5:$H$504,MATCH(F440&amp;"|"&amp;(A440+1),'Zgłoszenia'!$S$5:$S$504,0)))&amp;IF(K440&gt;1," (+"&amp;(K440-1)&amp;")",""))</f>
        <v/>
      </c>
      <c r="M440" s="63" t="n">
        <v>6</v>
      </c>
      <c r="N440" s="2" t="n"/>
      <c r="O440" s="2" t="n"/>
    </row>
    <row r="441">
      <c r="A441" s="62">
        <f>IF('6'!$C$1="","",'6'!$C$1)</f>
        <v/>
      </c>
      <c r="B441" s="63">
        <f>Ustawienia!$A$9&amp;""</f>
        <v/>
      </c>
      <c r="C441" s="63">
        <f>Ustawienia!$A$15&amp;""</f>
        <v/>
      </c>
      <c r="D441" s="63" t="n">
        <v>2</v>
      </c>
      <c r="E441" s="63">
        <f>IF('6'!F14="","",TRIM('6'!F14&amp;""))</f>
        <v/>
      </c>
      <c r="F441" s="63">
        <f>IF('6'!G14="","",'6'!G14)</f>
        <v/>
      </c>
      <c r="G441" s="63">
        <f>'6'!H14&amp;""</f>
        <v/>
      </c>
      <c r="H441" s="63">
        <f>IF(OR(A441="",F441=""),"",F441&amp;"|"&amp;A441)</f>
        <v/>
      </c>
      <c r="I441" s="63">
        <f>IF(AND(H441&lt;&gt;"",OR('Historia wózka'!$B$4="",F441='Historia wózka'!$B$4),A441&gt;='Historia wózka'!$B$5,A441&lt;='Historia wózka'!$B$6),A441+0.8+(5000-ROW())/10000000,0)</f>
        <v/>
      </c>
      <c r="J441" s="63">
        <f>Ustawienia!$B$9&amp;""</f>
        <v/>
      </c>
      <c r="K441" s="63">
        <f>IF(H441="","",COUNTIFS('Zgłoszenia'!$B$5:$B$504,F441,'Zgłoszenia'!$D$5:$D$504,"&gt;="&amp;A441,'Zgłoszenia'!$D$5:$D$504,"&lt;="&amp;(A441+1)))</f>
        <v/>
      </c>
      <c r="L441" s="63">
        <f>IF(OR(H441="",K441=0),"—",IF(ISNUMBER(MATCH(H441,'Zgłoszenia'!$S$5:$S$504,0)),RIGHT("0"&amp;DAY(A441),2)&amp;"."&amp;RIGHT("0"&amp;MONTH(A441),2)&amp;"."&amp;YEAR(A441)&amp;": "&amp;INDEX('Zgłoszenia'!$H$5:$H$504,MATCH(H441,'Zgłoszenia'!$S$5:$S$504,0)),RIGHT("0"&amp;DAY((A441+1)),2)&amp;"."&amp;RIGHT("0"&amp;MONTH((A441+1)),2)&amp;"."&amp;YEAR((A441+1))&amp;": "&amp;INDEX('Zgłoszenia'!$H$5:$H$504,MATCH(F441&amp;"|"&amp;(A441+1),'Zgłoszenia'!$S$5:$S$504,0)))&amp;IF(K441&gt;1," (+"&amp;(K441-1)&amp;")",""))</f>
        <v/>
      </c>
      <c r="M441" s="63" t="n">
        <v>6</v>
      </c>
      <c r="N441" s="2" t="n"/>
      <c r="O441" s="2" t="n"/>
    </row>
    <row r="442">
      <c r="A442" s="62">
        <f>IF('6'!$C$1="","",'6'!$C$1)</f>
        <v/>
      </c>
      <c r="B442" s="63">
        <f>Ustawienia!$A$9&amp;""</f>
        <v/>
      </c>
      <c r="C442" s="63">
        <f>Ustawienia!$A$15&amp;""</f>
        <v/>
      </c>
      <c r="D442" s="63" t="n">
        <v>3</v>
      </c>
      <c r="E442" s="63">
        <f>IF('6'!F15="","",TRIM('6'!F15&amp;""))</f>
        <v/>
      </c>
      <c r="F442" s="63">
        <f>IF('6'!G15="","",'6'!G15)</f>
        <v/>
      </c>
      <c r="G442" s="63">
        <f>'6'!H15&amp;""</f>
        <v/>
      </c>
      <c r="H442" s="63">
        <f>IF(OR(A442="",F442=""),"",F442&amp;"|"&amp;A442)</f>
        <v/>
      </c>
      <c r="I442" s="63">
        <f>IF(AND(H442&lt;&gt;"",OR('Historia wózka'!$B$4="",F442='Historia wózka'!$B$4),A442&gt;='Historia wózka'!$B$5,A442&lt;='Historia wózka'!$B$6),A442+0.8+(5000-ROW())/10000000,0)</f>
        <v/>
      </c>
      <c r="J442" s="63">
        <f>Ustawienia!$B$9&amp;""</f>
        <v/>
      </c>
      <c r="K442" s="63">
        <f>IF(H442="","",COUNTIFS('Zgłoszenia'!$B$5:$B$504,F442,'Zgłoszenia'!$D$5:$D$504,"&gt;="&amp;A442,'Zgłoszenia'!$D$5:$D$504,"&lt;="&amp;(A442+1)))</f>
        <v/>
      </c>
      <c r="L442" s="63">
        <f>IF(OR(H442="",K442=0),"—",IF(ISNUMBER(MATCH(H442,'Zgłoszenia'!$S$5:$S$504,0)),RIGHT("0"&amp;DAY(A442),2)&amp;"."&amp;RIGHT("0"&amp;MONTH(A442),2)&amp;"."&amp;YEAR(A442)&amp;": "&amp;INDEX('Zgłoszenia'!$H$5:$H$504,MATCH(H442,'Zgłoszenia'!$S$5:$S$504,0)),RIGHT("0"&amp;DAY((A442+1)),2)&amp;"."&amp;RIGHT("0"&amp;MONTH((A442+1)),2)&amp;"."&amp;YEAR((A442+1))&amp;": "&amp;INDEX('Zgłoszenia'!$H$5:$H$504,MATCH(F442&amp;"|"&amp;(A442+1),'Zgłoszenia'!$S$5:$S$504,0)))&amp;IF(K442&gt;1," (+"&amp;(K442-1)&amp;")",""))</f>
        <v/>
      </c>
      <c r="M442" s="63" t="n">
        <v>6</v>
      </c>
      <c r="N442" s="2" t="n"/>
      <c r="O442" s="2" t="n"/>
    </row>
    <row r="443">
      <c r="A443" s="62">
        <f>IF('6'!$C$1="","",'6'!$C$1)</f>
        <v/>
      </c>
      <c r="B443" s="63">
        <f>Ustawienia!$A$9&amp;""</f>
        <v/>
      </c>
      <c r="C443" s="63">
        <f>Ustawienia!$A$15&amp;""</f>
        <v/>
      </c>
      <c r="D443" s="63" t="n">
        <v>4</v>
      </c>
      <c r="E443" s="63">
        <f>IF('6'!F16="","",TRIM('6'!F16&amp;""))</f>
        <v/>
      </c>
      <c r="F443" s="63">
        <f>IF('6'!G16="","",'6'!G16)</f>
        <v/>
      </c>
      <c r="G443" s="63">
        <f>'6'!H16&amp;""</f>
        <v/>
      </c>
      <c r="H443" s="63">
        <f>IF(OR(A443="",F443=""),"",F443&amp;"|"&amp;A443)</f>
        <v/>
      </c>
      <c r="I443" s="63">
        <f>IF(AND(H443&lt;&gt;"",OR('Historia wózka'!$B$4="",F443='Historia wózka'!$B$4),A443&gt;='Historia wózka'!$B$5,A443&lt;='Historia wózka'!$B$6),A443+0.8+(5000-ROW())/10000000,0)</f>
        <v/>
      </c>
      <c r="J443" s="63">
        <f>Ustawienia!$B$9&amp;""</f>
        <v/>
      </c>
      <c r="K443" s="63">
        <f>IF(H443="","",COUNTIFS('Zgłoszenia'!$B$5:$B$504,F443,'Zgłoszenia'!$D$5:$D$504,"&gt;="&amp;A443,'Zgłoszenia'!$D$5:$D$504,"&lt;="&amp;(A443+1)))</f>
        <v/>
      </c>
      <c r="L443" s="63">
        <f>IF(OR(H443="",K443=0),"—",IF(ISNUMBER(MATCH(H443,'Zgłoszenia'!$S$5:$S$504,0)),RIGHT("0"&amp;DAY(A443),2)&amp;"."&amp;RIGHT("0"&amp;MONTH(A443),2)&amp;"."&amp;YEAR(A443)&amp;": "&amp;INDEX('Zgłoszenia'!$H$5:$H$504,MATCH(H443,'Zgłoszenia'!$S$5:$S$504,0)),RIGHT("0"&amp;DAY((A443+1)),2)&amp;"."&amp;RIGHT("0"&amp;MONTH((A443+1)),2)&amp;"."&amp;YEAR((A443+1))&amp;": "&amp;INDEX('Zgłoszenia'!$H$5:$H$504,MATCH(F443&amp;"|"&amp;(A443+1),'Zgłoszenia'!$S$5:$S$504,0)))&amp;IF(K443&gt;1," (+"&amp;(K443-1)&amp;")",""))</f>
        <v/>
      </c>
      <c r="M443" s="63" t="n">
        <v>6</v>
      </c>
      <c r="N443" s="2" t="n"/>
      <c r="O443" s="2" t="n"/>
    </row>
    <row r="444">
      <c r="A444" s="62">
        <f>IF('6'!$C$1="","",'6'!$C$1)</f>
        <v/>
      </c>
      <c r="B444" s="63">
        <f>Ustawienia!$A$9&amp;""</f>
        <v/>
      </c>
      <c r="C444" s="63">
        <f>Ustawienia!$A$15&amp;""</f>
        <v/>
      </c>
      <c r="D444" s="63" t="n">
        <v>5</v>
      </c>
      <c r="E444" s="63">
        <f>IF('6'!F17="","",TRIM('6'!F17&amp;""))</f>
        <v/>
      </c>
      <c r="F444" s="63">
        <f>IF('6'!G17="","",'6'!G17)</f>
        <v/>
      </c>
      <c r="G444" s="63">
        <f>'6'!H17&amp;""</f>
        <v/>
      </c>
      <c r="H444" s="63">
        <f>IF(OR(A444="",F444=""),"",F444&amp;"|"&amp;A444)</f>
        <v/>
      </c>
      <c r="I444" s="63">
        <f>IF(AND(H444&lt;&gt;"",OR('Historia wózka'!$B$4="",F444='Historia wózka'!$B$4),A444&gt;='Historia wózka'!$B$5,A444&lt;='Historia wózka'!$B$6),A444+0.8+(5000-ROW())/10000000,0)</f>
        <v/>
      </c>
      <c r="J444" s="63">
        <f>Ustawienia!$B$9&amp;""</f>
        <v/>
      </c>
      <c r="K444" s="63">
        <f>IF(H444="","",COUNTIFS('Zgłoszenia'!$B$5:$B$504,F444,'Zgłoszenia'!$D$5:$D$504,"&gt;="&amp;A444,'Zgłoszenia'!$D$5:$D$504,"&lt;="&amp;(A444+1)))</f>
        <v/>
      </c>
      <c r="L444" s="63">
        <f>IF(OR(H444="",K444=0),"—",IF(ISNUMBER(MATCH(H444,'Zgłoszenia'!$S$5:$S$504,0)),RIGHT("0"&amp;DAY(A444),2)&amp;"."&amp;RIGHT("0"&amp;MONTH(A444),2)&amp;"."&amp;YEAR(A444)&amp;": "&amp;INDEX('Zgłoszenia'!$H$5:$H$504,MATCH(H444,'Zgłoszenia'!$S$5:$S$504,0)),RIGHT("0"&amp;DAY((A444+1)),2)&amp;"."&amp;RIGHT("0"&amp;MONTH((A444+1)),2)&amp;"."&amp;YEAR((A444+1))&amp;": "&amp;INDEX('Zgłoszenia'!$H$5:$H$504,MATCH(F444&amp;"|"&amp;(A444+1),'Zgłoszenia'!$S$5:$S$504,0)))&amp;IF(K444&gt;1," (+"&amp;(K444-1)&amp;")",""))</f>
        <v/>
      </c>
      <c r="M444" s="63" t="n">
        <v>6</v>
      </c>
      <c r="N444" s="2" t="n"/>
      <c r="O444" s="2" t="n"/>
    </row>
    <row r="445">
      <c r="A445" s="62">
        <f>IF('6'!$C$1="","",'6'!$C$1)</f>
        <v/>
      </c>
      <c r="B445" s="63">
        <f>Ustawienia!$A$9&amp;""</f>
        <v/>
      </c>
      <c r="C445" s="63">
        <f>Ustawienia!$A$15&amp;""</f>
        <v/>
      </c>
      <c r="D445" s="63" t="n">
        <v>6</v>
      </c>
      <c r="E445" s="63">
        <f>IF('6'!F18="","",TRIM('6'!F18&amp;""))</f>
        <v/>
      </c>
      <c r="F445" s="63">
        <f>IF('6'!G18="","",'6'!G18)</f>
        <v/>
      </c>
      <c r="G445" s="63">
        <f>'6'!H18&amp;""</f>
        <v/>
      </c>
      <c r="H445" s="63">
        <f>IF(OR(A445="",F445=""),"",F445&amp;"|"&amp;A445)</f>
        <v/>
      </c>
      <c r="I445" s="63">
        <f>IF(AND(H445&lt;&gt;"",OR('Historia wózka'!$B$4="",F445='Historia wózka'!$B$4),A445&gt;='Historia wózka'!$B$5,A445&lt;='Historia wózka'!$B$6),A445+0.8+(5000-ROW())/10000000,0)</f>
        <v/>
      </c>
      <c r="J445" s="63">
        <f>Ustawienia!$B$9&amp;""</f>
        <v/>
      </c>
      <c r="K445" s="63">
        <f>IF(H445="","",COUNTIFS('Zgłoszenia'!$B$5:$B$504,F445,'Zgłoszenia'!$D$5:$D$504,"&gt;="&amp;A445,'Zgłoszenia'!$D$5:$D$504,"&lt;="&amp;(A445+1)))</f>
        <v/>
      </c>
      <c r="L445" s="63">
        <f>IF(OR(H445="",K445=0),"—",IF(ISNUMBER(MATCH(H445,'Zgłoszenia'!$S$5:$S$504,0)),RIGHT("0"&amp;DAY(A445),2)&amp;"."&amp;RIGHT("0"&amp;MONTH(A445),2)&amp;"."&amp;YEAR(A445)&amp;": "&amp;INDEX('Zgłoszenia'!$H$5:$H$504,MATCH(H445,'Zgłoszenia'!$S$5:$S$504,0)),RIGHT("0"&amp;DAY((A445+1)),2)&amp;"."&amp;RIGHT("0"&amp;MONTH((A445+1)),2)&amp;"."&amp;YEAR((A445+1))&amp;": "&amp;INDEX('Zgłoszenia'!$H$5:$H$504,MATCH(F445&amp;"|"&amp;(A445+1),'Zgłoszenia'!$S$5:$S$504,0)))&amp;IF(K445&gt;1," (+"&amp;(K445-1)&amp;")",""))</f>
        <v/>
      </c>
      <c r="M445" s="63" t="n">
        <v>6</v>
      </c>
      <c r="N445" s="2" t="n"/>
      <c r="O445" s="2" t="n"/>
    </row>
    <row r="446">
      <c r="A446" s="62">
        <f>IF('6'!$C$1="","",'6'!$C$1)</f>
        <v/>
      </c>
      <c r="B446" s="63">
        <f>Ustawienia!$A$9&amp;""</f>
        <v/>
      </c>
      <c r="C446" s="63">
        <f>Ustawienia!$A$15&amp;""</f>
        <v/>
      </c>
      <c r="D446" s="63" t="n">
        <v>7</v>
      </c>
      <c r="E446" s="63">
        <f>IF('6'!F19="","",TRIM('6'!F19&amp;""))</f>
        <v/>
      </c>
      <c r="F446" s="63">
        <f>IF('6'!G19="","",'6'!G19)</f>
        <v/>
      </c>
      <c r="G446" s="63">
        <f>'6'!H19&amp;""</f>
        <v/>
      </c>
      <c r="H446" s="63">
        <f>IF(OR(A446="",F446=""),"",F446&amp;"|"&amp;A446)</f>
        <v/>
      </c>
      <c r="I446" s="63">
        <f>IF(AND(H446&lt;&gt;"",OR('Historia wózka'!$B$4="",F446='Historia wózka'!$B$4),A446&gt;='Historia wózka'!$B$5,A446&lt;='Historia wózka'!$B$6),A446+0.8+(5000-ROW())/10000000,0)</f>
        <v/>
      </c>
      <c r="J446" s="63">
        <f>Ustawienia!$B$9&amp;""</f>
        <v/>
      </c>
      <c r="K446" s="63">
        <f>IF(H446="","",COUNTIFS('Zgłoszenia'!$B$5:$B$504,F446,'Zgłoszenia'!$D$5:$D$504,"&gt;="&amp;A446,'Zgłoszenia'!$D$5:$D$504,"&lt;="&amp;(A446+1)))</f>
        <v/>
      </c>
      <c r="L446" s="63">
        <f>IF(OR(H446="",K446=0),"—",IF(ISNUMBER(MATCH(H446,'Zgłoszenia'!$S$5:$S$504,0)),RIGHT("0"&amp;DAY(A446),2)&amp;"."&amp;RIGHT("0"&amp;MONTH(A446),2)&amp;"."&amp;YEAR(A446)&amp;": "&amp;INDEX('Zgłoszenia'!$H$5:$H$504,MATCH(H446,'Zgłoszenia'!$S$5:$S$504,0)),RIGHT("0"&amp;DAY((A446+1)),2)&amp;"."&amp;RIGHT("0"&amp;MONTH((A446+1)),2)&amp;"."&amp;YEAR((A446+1))&amp;": "&amp;INDEX('Zgłoszenia'!$H$5:$H$504,MATCH(F446&amp;"|"&amp;(A446+1),'Zgłoszenia'!$S$5:$S$504,0)))&amp;IF(K446&gt;1," (+"&amp;(K446-1)&amp;")",""))</f>
        <v/>
      </c>
      <c r="M446" s="63" t="n">
        <v>6</v>
      </c>
      <c r="N446" s="2" t="n"/>
      <c r="O446" s="2" t="n"/>
    </row>
    <row r="447">
      <c r="A447" s="62">
        <f>IF('6'!$C$1="","",'6'!$C$1)</f>
        <v/>
      </c>
      <c r="B447" s="63">
        <f>Ustawienia!$A$9&amp;""</f>
        <v/>
      </c>
      <c r="C447" s="63">
        <f>Ustawienia!$A$15&amp;""</f>
        <v/>
      </c>
      <c r="D447" s="63" t="n">
        <v>8</v>
      </c>
      <c r="E447" s="63">
        <f>IF('6'!F20="","",TRIM('6'!F20&amp;""))</f>
        <v/>
      </c>
      <c r="F447" s="63">
        <f>IF('6'!G20="","",'6'!G20)</f>
        <v/>
      </c>
      <c r="G447" s="63">
        <f>'6'!H20&amp;""</f>
        <v/>
      </c>
      <c r="H447" s="63">
        <f>IF(OR(A447="",F447=""),"",F447&amp;"|"&amp;A447)</f>
        <v/>
      </c>
      <c r="I447" s="63">
        <f>IF(AND(H447&lt;&gt;"",OR('Historia wózka'!$B$4="",F447='Historia wózka'!$B$4),A447&gt;='Historia wózka'!$B$5,A447&lt;='Historia wózka'!$B$6),A447+0.8+(5000-ROW())/10000000,0)</f>
        <v/>
      </c>
      <c r="J447" s="63">
        <f>Ustawienia!$B$9&amp;""</f>
        <v/>
      </c>
      <c r="K447" s="63">
        <f>IF(H447="","",COUNTIFS('Zgłoszenia'!$B$5:$B$504,F447,'Zgłoszenia'!$D$5:$D$504,"&gt;="&amp;A447,'Zgłoszenia'!$D$5:$D$504,"&lt;="&amp;(A447+1)))</f>
        <v/>
      </c>
      <c r="L447" s="63">
        <f>IF(OR(H447="",K447=0),"—",IF(ISNUMBER(MATCH(H447,'Zgłoszenia'!$S$5:$S$504,0)),RIGHT("0"&amp;DAY(A447),2)&amp;"."&amp;RIGHT("0"&amp;MONTH(A447),2)&amp;"."&amp;YEAR(A447)&amp;": "&amp;INDEX('Zgłoszenia'!$H$5:$H$504,MATCH(H447,'Zgłoszenia'!$S$5:$S$504,0)),RIGHT("0"&amp;DAY((A447+1)),2)&amp;"."&amp;RIGHT("0"&amp;MONTH((A447+1)),2)&amp;"."&amp;YEAR((A447+1))&amp;": "&amp;INDEX('Zgłoszenia'!$H$5:$H$504,MATCH(F447&amp;"|"&amp;(A447+1),'Zgłoszenia'!$S$5:$S$504,0)))&amp;IF(K447&gt;1," (+"&amp;(K447-1)&amp;")",""))</f>
        <v/>
      </c>
      <c r="M447" s="63" t="n">
        <v>6</v>
      </c>
      <c r="N447" s="2" t="n"/>
      <c r="O447" s="2" t="n"/>
    </row>
    <row r="448">
      <c r="A448" s="62">
        <f>IF('6'!$C$1="","",'6'!$C$1)</f>
        <v/>
      </c>
      <c r="B448" s="63">
        <f>Ustawienia!$A$9&amp;""</f>
        <v/>
      </c>
      <c r="C448" s="63">
        <f>Ustawienia!$A$16&amp;""</f>
        <v/>
      </c>
      <c r="D448" s="63" t="n">
        <v>1</v>
      </c>
      <c r="E448" s="63">
        <f>IF('6'!F22="","",TRIM('6'!F22&amp;""))</f>
        <v/>
      </c>
      <c r="F448" s="63">
        <f>IF('6'!G22="","",'6'!G22)</f>
        <v/>
      </c>
      <c r="G448" s="63">
        <f>'6'!H22&amp;""</f>
        <v/>
      </c>
      <c r="H448" s="63">
        <f>IF(OR(A448="",F448=""),"",F448&amp;"|"&amp;A448)</f>
        <v/>
      </c>
      <c r="I448" s="63">
        <f>IF(AND(H448&lt;&gt;"",OR('Historia wózka'!$B$4="",F448='Historia wózka'!$B$4),A448&gt;='Historia wózka'!$B$5,A448&lt;='Historia wózka'!$B$6),A448+0.8+(5000-ROW())/10000000,0)</f>
        <v/>
      </c>
      <c r="J448" s="63">
        <f>Ustawienia!$B$9&amp;""</f>
        <v/>
      </c>
      <c r="K448" s="63">
        <f>IF(H448="","",COUNTIFS('Zgłoszenia'!$B$5:$B$504,F448,'Zgłoszenia'!$D$5:$D$504,"&gt;="&amp;A448,'Zgłoszenia'!$D$5:$D$504,"&lt;="&amp;(A448+1)))</f>
        <v/>
      </c>
      <c r="L448" s="63">
        <f>IF(OR(H448="",K448=0),"—",IF(ISNUMBER(MATCH(H448,'Zgłoszenia'!$S$5:$S$504,0)),RIGHT("0"&amp;DAY(A448),2)&amp;"."&amp;RIGHT("0"&amp;MONTH(A448),2)&amp;"."&amp;YEAR(A448)&amp;": "&amp;INDEX('Zgłoszenia'!$H$5:$H$504,MATCH(H448,'Zgłoszenia'!$S$5:$S$504,0)),RIGHT("0"&amp;DAY((A448+1)),2)&amp;"."&amp;RIGHT("0"&amp;MONTH((A448+1)),2)&amp;"."&amp;YEAR((A448+1))&amp;": "&amp;INDEX('Zgłoszenia'!$H$5:$H$504,MATCH(F448&amp;"|"&amp;(A448+1),'Zgłoszenia'!$S$5:$S$504,0)))&amp;IF(K448&gt;1," (+"&amp;(K448-1)&amp;")",""))</f>
        <v/>
      </c>
      <c r="M448" s="63" t="n">
        <v>6</v>
      </c>
      <c r="N448" s="2" t="n"/>
      <c r="O448" s="2" t="n"/>
    </row>
    <row r="449">
      <c r="A449" s="62">
        <f>IF('6'!$C$1="","",'6'!$C$1)</f>
        <v/>
      </c>
      <c r="B449" s="63">
        <f>Ustawienia!$A$9&amp;""</f>
        <v/>
      </c>
      <c r="C449" s="63">
        <f>Ustawienia!$A$16&amp;""</f>
        <v/>
      </c>
      <c r="D449" s="63" t="n">
        <v>2</v>
      </c>
      <c r="E449" s="63">
        <f>IF('6'!F23="","",TRIM('6'!F23&amp;""))</f>
        <v/>
      </c>
      <c r="F449" s="63">
        <f>IF('6'!G23="","",'6'!G23)</f>
        <v/>
      </c>
      <c r="G449" s="63">
        <f>'6'!H23&amp;""</f>
        <v/>
      </c>
      <c r="H449" s="63">
        <f>IF(OR(A449="",F449=""),"",F449&amp;"|"&amp;A449)</f>
        <v/>
      </c>
      <c r="I449" s="63">
        <f>IF(AND(H449&lt;&gt;"",OR('Historia wózka'!$B$4="",F449='Historia wózka'!$B$4),A449&gt;='Historia wózka'!$B$5,A449&lt;='Historia wózka'!$B$6),A449+0.8+(5000-ROW())/10000000,0)</f>
        <v/>
      </c>
      <c r="J449" s="63">
        <f>Ustawienia!$B$9&amp;""</f>
        <v/>
      </c>
      <c r="K449" s="63">
        <f>IF(H449="","",COUNTIFS('Zgłoszenia'!$B$5:$B$504,F449,'Zgłoszenia'!$D$5:$D$504,"&gt;="&amp;A449,'Zgłoszenia'!$D$5:$D$504,"&lt;="&amp;(A449+1)))</f>
        <v/>
      </c>
      <c r="L449" s="63">
        <f>IF(OR(H449="",K449=0),"—",IF(ISNUMBER(MATCH(H449,'Zgłoszenia'!$S$5:$S$504,0)),RIGHT("0"&amp;DAY(A449),2)&amp;"."&amp;RIGHT("0"&amp;MONTH(A449),2)&amp;"."&amp;YEAR(A449)&amp;": "&amp;INDEX('Zgłoszenia'!$H$5:$H$504,MATCH(H449,'Zgłoszenia'!$S$5:$S$504,0)),RIGHT("0"&amp;DAY((A449+1)),2)&amp;"."&amp;RIGHT("0"&amp;MONTH((A449+1)),2)&amp;"."&amp;YEAR((A449+1))&amp;": "&amp;INDEX('Zgłoszenia'!$H$5:$H$504,MATCH(F449&amp;"|"&amp;(A449+1),'Zgłoszenia'!$S$5:$S$504,0)))&amp;IF(K449&gt;1," (+"&amp;(K449-1)&amp;")",""))</f>
        <v/>
      </c>
      <c r="M449" s="63" t="n">
        <v>6</v>
      </c>
      <c r="N449" s="2" t="n"/>
      <c r="O449" s="2" t="n"/>
    </row>
    <row r="450">
      <c r="A450" s="62">
        <f>IF('6'!$C$1="","",'6'!$C$1)</f>
        <v/>
      </c>
      <c r="B450" s="63">
        <f>Ustawienia!$A$9&amp;""</f>
        <v/>
      </c>
      <c r="C450" s="63">
        <f>Ustawienia!$A$16&amp;""</f>
        <v/>
      </c>
      <c r="D450" s="63" t="n">
        <v>3</v>
      </c>
      <c r="E450" s="63">
        <f>IF('6'!F24="","",TRIM('6'!F24&amp;""))</f>
        <v/>
      </c>
      <c r="F450" s="63">
        <f>IF('6'!G24="","",'6'!G24)</f>
        <v/>
      </c>
      <c r="G450" s="63">
        <f>'6'!H24&amp;""</f>
        <v/>
      </c>
      <c r="H450" s="63">
        <f>IF(OR(A450="",F450=""),"",F450&amp;"|"&amp;A450)</f>
        <v/>
      </c>
      <c r="I450" s="63">
        <f>IF(AND(H450&lt;&gt;"",OR('Historia wózka'!$B$4="",F450='Historia wózka'!$B$4),A450&gt;='Historia wózka'!$B$5,A450&lt;='Historia wózka'!$B$6),A450+0.8+(5000-ROW())/10000000,0)</f>
        <v/>
      </c>
      <c r="J450" s="63">
        <f>Ustawienia!$B$9&amp;""</f>
        <v/>
      </c>
      <c r="K450" s="63">
        <f>IF(H450="","",COUNTIFS('Zgłoszenia'!$B$5:$B$504,F450,'Zgłoszenia'!$D$5:$D$504,"&gt;="&amp;A450,'Zgłoszenia'!$D$5:$D$504,"&lt;="&amp;(A450+1)))</f>
        <v/>
      </c>
      <c r="L450" s="63">
        <f>IF(OR(H450="",K450=0),"—",IF(ISNUMBER(MATCH(H450,'Zgłoszenia'!$S$5:$S$504,0)),RIGHT("0"&amp;DAY(A450),2)&amp;"."&amp;RIGHT("0"&amp;MONTH(A450),2)&amp;"."&amp;YEAR(A450)&amp;": "&amp;INDEX('Zgłoszenia'!$H$5:$H$504,MATCH(H450,'Zgłoszenia'!$S$5:$S$504,0)),RIGHT("0"&amp;DAY((A450+1)),2)&amp;"."&amp;RIGHT("0"&amp;MONTH((A450+1)),2)&amp;"."&amp;YEAR((A450+1))&amp;": "&amp;INDEX('Zgłoszenia'!$H$5:$H$504,MATCH(F450&amp;"|"&amp;(A450+1),'Zgłoszenia'!$S$5:$S$504,0)))&amp;IF(K450&gt;1," (+"&amp;(K450-1)&amp;")",""))</f>
        <v/>
      </c>
      <c r="M450" s="63" t="n">
        <v>6</v>
      </c>
      <c r="N450" s="2" t="n"/>
      <c r="O450" s="2" t="n"/>
    </row>
    <row r="451">
      <c r="A451" s="62">
        <f>IF('6'!$C$1="","",'6'!$C$1)</f>
        <v/>
      </c>
      <c r="B451" s="63">
        <f>Ustawienia!$A$9&amp;""</f>
        <v/>
      </c>
      <c r="C451" s="63">
        <f>Ustawienia!$A$16&amp;""</f>
        <v/>
      </c>
      <c r="D451" s="63" t="n">
        <v>4</v>
      </c>
      <c r="E451" s="63">
        <f>IF('6'!F25="","",TRIM('6'!F25&amp;""))</f>
        <v/>
      </c>
      <c r="F451" s="63">
        <f>IF('6'!G25="","",'6'!G25)</f>
        <v/>
      </c>
      <c r="G451" s="63">
        <f>'6'!H25&amp;""</f>
        <v/>
      </c>
      <c r="H451" s="63">
        <f>IF(OR(A451="",F451=""),"",F451&amp;"|"&amp;A451)</f>
        <v/>
      </c>
      <c r="I451" s="63">
        <f>IF(AND(H451&lt;&gt;"",OR('Historia wózka'!$B$4="",F451='Historia wózka'!$B$4),A451&gt;='Historia wózka'!$B$5,A451&lt;='Historia wózka'!$B$6),A451+0.8+(5000-ROW())/10000000,0)</f>
        <v/>
      </c>
      <c r="J451" s="63">
        <f>Ustawienia!$B$9&amp;""</f>
        <v/>
      </c>
      <c r="K451" s="63">
        <f>IF(H451="","",COUNTIFS('Zgłoszenia'!$B$5:$B$504,F451,'Zgłoszenia'!$D$5:$D$504,"&gt;="&amp;A451,'Zgłoszenia'!$D$5:$D$504,"&lt;="&amp;(A451+1)))</f>
        <v/>
      </c>
      <c r="L451" s="63">
        <f>IF(OR(H451="",K451=0),"—",IF(ISNUMBER(MATCH(H451,'Zgłoszenia'!$S$5:$S$504,0)),RIGHT("0"&amp;DAY(A451),2)&amp;"."&amp;RIGHT("0"&amp;MONTH(A451),2)&amp;"."&amp;YEAR(A451)&amp;": "&amp;INDEX('Zgłoszenia'!$H$5:$H$504,MATCH(H451,'Zgłoszenia'!$S$5:$S$504,0)),RIGHT("0"&amp;DAY((A451+1)),2)&amp;"."&amp;RIGHT("0"&amp;MONTH((A451+1)),2)&amp;"."&amp;YEAR((A451+1))&amp;": "&amp;INDEX('Zgłoszenia'!$H$5:$H$504,MATCH(F451&amp;"|"&amp;(A451+1),'Zgłoszenia'!$S$5:$S$504,0)))&amp;IF(K451&gt;1," (+"&amp;(K451-1)&amp;")",""))</f>
        <v/>
      </c>
      <c r="M451" s="63" t="n">
        <v>6</v>
      </c>
      <c r="N451" s="2" t="n"/>
      <c r="O451" s="2" t="n"/>
    </row>
    <row r="452">
      <c r="A452" s="62">
        <f>IF('6'!$C$1="","",'6'!$C$1)</f>
        <v/>
      </c>
      <c r="B452" s="63">
        <f>Ustawienia!$A$9&amp;""</f>
        <v/>
      </c>
      <c r="C452" s="63">
        <f>Ustawienia!$A$17&amp;""</f>
        <v/>
      </c>
      <c r="D452" s="63" t="n">
        <v>1</v>
      </c>
      <c r="E452" s="63">
        <f>IF('6'!F27="","",TRIM('6'!F27&amp;""))</f>
        <v/>
      </c>
      <c r="F452" s="63">
        <f>IF('6'!G27="","",'6'!G27)</f>
        <v/>
      </c>
      <c r="G452" s="63">
        <f>'6'!H27&amp;""</f>
        <v/>
      </c>
      <c r="H452" s="63">
        <f>IF(OR(A452="",F452=""),"",F452&amp;"|"&amp;A452)</f>
        <v/>
      </c>
      <c r="I452" s="63">
        <f>IF(AND(H452&lt;&gt;"",OR('Historia wózka'!$B$4="",F452='Historia wózka'!$B$4),A452&gt;='Historia wózka'!$B$5,A452&lt;='Historia wózka'!$B$6),A452+0.8+(5000-ROW())/10000000,0)</f>
        <v/>
      </c>
      <c r="J452" s="63">
        <f>Ustawienia!$B$9&amp;""</f>
        <v/>
      </c>
      <c r="K452" s="63">
        <f>IF(H452="","",COUNTIFS('Zgłoszenia'!$B$5:$B$504,F452,'Zgłoszenia'!$D$5:$D$504,"&gt;="&amp;A452,'Zgłoszenia'!$D$5:$D$504,"&lt;="&amp;(A452+1)))</f>
        <v/>
      </c>
      <c r="L452" s="63">
        <f>IF(OR(H452="",K452=0),"—",IF(ISNUMBER(MATCH(H452,'Zgłoszenia'!$S$5:$S$504,0)),RIGHT("0"&amp;DAY(A452),2)&amp;"."&amp;RIGHT("0"&amp;MONTH(A452),2)&amp;"."&amp;YEAR(A452)&amp;": "&amp;INDEX('Zgłoszenia'!$H$5:$H$504,MATCH(H452,'Zgłoszenia'!$S$5:$S$504,0)),RIGHT("0"&amp;DAY((A452+1)),2)&amp;"."&amp;RIGHT("0"&amp;MONTH((A452+1)),2)&amp;"."&amp;YEAR((A452+1))&amp;": "&amp;INDEX('Zgłoszenia'!$H$5:$H$504,MATCH(F452&amp;"|"&amp;(A452+1),'Zgłoszenia'!$S$5:$S$504,0)))&amp;IF(K452&gt;1," (+"&amp;(K452-1)&amp;")",""))</f>
        <v/>
      </c>
      <c r="M452" s="63" t="n">
        <v>6</v>
      </c>
      <c r="N452" s="2" t="n"/>
      <c r="O452" s="2" t="n"/>
    </row>
    <row r="453">
      <c r="A453" s="62">
        <f>IF('6'!$C$1="","",'6'!$C$1)</f>
        <v/>
      </c>
      <c r="B453" s="63">
        <f>Ustawienia!$A$9&amp;""</f>
        <v/>
      </c>
      <c r="C453" s="63">
        <f>Ustawienia!$A$17&amp;""</f>
        <v/>
      </c>
      <c r="D453" s="63" t="n">
        <v>2</v>
      </c>
      <c r="E453" s="63">
        <f>IF('6'!F28="","",TRIM('6'!F28&amp;""))</f>
        <v/>
      </c>
      <c r="F453" s="63">
        <f>IF('6'!G28="","",'6'!G28)</f>
        <v/>
      </c>
      <c r="G453" s="63">
        <f>'6'!H28&amp;""</f>
        <v/>
      </c>
      <c r="H453" s="63">
        <f>IF(OR(A453="",F453=""),"",F453&amp;"|"&amp;A453)</f>
        <v/>
      </c>
      <c r="I453" s="63">
        <f>IF(AND(H453&lt;&gt;"",OR('Historia wózka'!$B$4="",F453='Historia wózka'!$B$4),A453&gt;='Historia wózka'!$B$5,A453&lt;='Historia wózka'!$B$6),A453+0.8+(5000-ROW())/10000000,0)</f>
        <v/>
      </c>
      <c r="J453" s="63">
        <f>Ustawienia!$B$9&amp;""</f>
        <v/>
      </c>
      <c r="K453" s="63">
        <f>IF(H453="","",COUNTIFS('Zgłoszenia'!$B$5:$B$504,F453,'Zgłoszenia'!$D$5:$D$504,"&gt;="&amp;A453,'Zgłoszenia'!$D$5:$D$504,"&lt;="&amp;(A453+1)))</f>
        <v/>
      </c>
      <c r="L453" s="63">
        <f>IF(OR(H453="",K453=0),"—",IF(ISNUMBER(MATCH(H453,'Zgłoszenia'!$S$5:$S$504,0)),RIGHT("0"&amp;DAY(A453),2)&amp;"."&amp;RIGHT("0"&amp;MONTH(A453),2)&amp;"."&amp;YEAR(A453)&amp;": "&amp;INDEX('Zgłoszenia'!$H$5:$H$504,MATCH(H453,'Zgłoszenia'!$S$5:$S$504,0)),RIGHT("0"&amp;DAY((A453+1)),2)&amp;"."&amp;RIGHT("0"&amp;MONTH((A453+1)),2)&amp;"."&amp;YEAR((A453+1))&amp;": "&amp;INDEX('Zgłoszenia'!$H$5:$H$504,MATCH(F453&amp;"|"&amp;(A453+1),'Zgłoszenia'!$S$5:$S$504,0)))&amp;IF(K453&gt;1," (+"&amp;(K453-1)&amp;")",""))</f>
        <v/>
      </c>
      <c r="M453" s="63" t="n">
        <v>6</v>
      </c>
      <c r="N453" s="2" t="n"/>
      <c r="O453" s="2" t="n"/>
    </row>
    <row r="454">
      <c r="A454" s="62">
        <f>IF('6'!$C$1="","",'6'!$C$1)</f>
        <v/>
      </c>
      <c r="B454" s="63">
        <f>Ustawienia!$A$9&amp;""</f>
        <v/>
      </c>
      <c r="C454" s="63">
        <f>Ustawienia!$A$17&amp;""</f>
        <v/>
      </c>
      <c r="D454" s="63" t="n">
        <v>3</v>
      </c>
      <c r="E454" s="63">
        <f>IF('6'!F29="","",TRIM('6'!F29&amp;""))</f>
        <v/>
      </c>
      <c r="F454" s="63">
        <f>IF('6'!G29="","",'6'!G29)</f>
        <v/>
      </c>
      <c r="G454" s="63">
        <f>'6'!H29&amp;""</f>
        <v/>
      </c>
      <c r="H454" s="63">
        <f>IF(OR(A454="",F454=""),"",F454&amp;"|"&amp;A454)</f>
        <v/>
      </c>
      <c r="I454" s="63">
        <f>IF(AND(H454&lt;&gt;"",OR('Historia wózka'!$B$4="",F454='Historia wózka'!$B$4),A454&gt;='Historia wózka'!$B$5,A454&lt;='Historia wózka'!$B$6),A454+0.8+(5000-ROW())/10000000,0)</f>
        <v/>
      </c>
      <c r="J454" s="63">
        <f>Ustawienia!$B$9&amp;""</f>
        <v/>
      </c>
      <c r="K454" s="63">
        <f>IF(H454="","",COUNTIFS('Zgłoszenia'!$B$5:$B$504,F454,'Zgłoszenia'!$D$5:$D$504,"&gt;="&amp;A454,'Zgłoszenia'!$D$5:$D$504,"&lt;="&amp;(A454+1)))</f>
        <v/>
      </c>
      <c r="L454" s="63">
        <f>IF(OR(H454="",K454=0),"—",IF(ISNUMBER(MATCH(H454,'Zgłoszenia'!$S$5:$S$504,0)),RIGHT("0"&amp;DAY(A454),2)&amp;"."&amp;RIGHT("0"&amp;MONTH(A454),2)&amp;"."&amp;YEAR(A454)&amp;": "&amp;INDEX('Zgłoszenia'!$H$5:$H$504,MATCH(H454,'Zgłoszenia'!$S$5:$S$504,0)),RIGHT("0"&amp;DAY((A454+1)),2)&amp;"."&amp;RIGHT("0"&amp;MONTH((A454+1)),2)&amp;"."&amp;YEAR((A454+1))&amp;": "&amp;INDEX('Zgłoszenia'!$H$5:$H$504,MATCH(F454&amp;"|"&amp;(A454+1),'Zgłoszenia'!$S$5:$S$504,0)))&amp;IF(K454&gt;1," (+"&amp;(K454-1)&amp;")",""))</f>
        <v/>
      </c>
      <c r="M454" s="63" t="n">
        <v>6</v>
      </c>
      <c r="N454" s="2" t="n"/>
      <c r="O454" s="2" t="n"/>
    </row>
    <row r="455">
      <c r="A455" s="62">
        <f>IF('6'!$C$1="","",'6'!$C$1)</f>
        <v/>
      </c>
      <c r="B455" s="63">
        <f>Ustawienia!$A$9&amp;""</f>
        <v/>
      </c>
      <c r="C455" s="63">
        <f>Ustawienia!$A$17&amp;""</f>
        <v/>
      </c>
      <c r="D455" s="63" t="n">
        <v>4</v>
      </c>
      <c r="E455" s="63">
        <f>IF('6'!F30="","",TRIM('6'!F30&amp;""))</f>
        <v/>
      </c>
      <c r="F455" s="63">
        <f>IF('6'!G30="","",'6'!G30)</f>
        <v/>
      </c>
      <c r="G455" s="63">
        <f>'6'!H30&amp;""</f>
        <v/>
      </c>
      <c r="H455" s="63">
        <f>IF(OR(A455="",F455=""),"",F455&amp;"|"&amp;A455)</f>
        <v/>
      </c>
      <c r="I455" s="63">
        <f>IF(AND(H455&lt;&gt;"",OR('Historia wózka'!$B$4="",F455='Historia wózka'!$B$4),A455&gt;='Historia wózka'!$B$5,A455&lt;='Historia wózka'!$B$6),A455+0.8+(5000-ROW())/10000000,0)</f>
        <v/>
      </c>
      <c r="J455" s="63">
        <f>Ustawienia!$B$9&amp;""</f>
        <v/>
      </c>
      <c r="K455" s="63">
        <f>IF(H455="","",COUNTIFS('Zgłoszenia'!$B$5:$B$504,F455,'Zgłoszenia'!$D$5:$D$504,"&gt;="&amp;A455,'Zgłoszenia'!$D$5:$D$504,"&lt;="&amp;(A455+1)))</f>
        <v/>
      </c>
      <c r="L455" s="63">
        <f>IF(OR(H455="",K455=0),"—",IF(ISNUMBER(MATCH(H455,'Zgłoszenia'!$S$5:$S$504,0)),RIGHT("0"&amp;DAY(A455),2)&amp;"."&amp;RIGHT("0"&amp;MONTH(A455),2)&amp;"."&amp;YEAR(A455)&amp;": "&amp;INDEX('Zgłoszenia'!$H$5:$H$504,MATCH(H455,'Zgłoszenia'!$S$5:$S$504,0)),RIGHT("0"&amp;DAY((A455+1)),2)&amp;"."&amp;RIGHT("0"&amp;MONTH((A455+1)),2)&amp;"."&amp;YEAR((A455+1))&amp;": "&amp;INDEX('Zgłoszenia'!$H$5:$H$504,MATCH(F455&amp;"|"&amp;(A455+1),'Zgłoszenia'!$S$5:$S$504,0)))&amp;IF(K455&gt;1," (+"&amp;(K455-1)&amp;")",""))</f>
        <v/>
      </c>
      <c r="M455" s="63" t="n">
        <v>6</v>
      </c>
      <c r="N455" s="2" t="n"/>
      <c r="O455" s="2" t="n"/>
    </row>
    <row r="456">
      <c r="A456" s="62">
        <f>IF('6'!$C$1="","",'6'!$C$1)</f>
        <v/>
      </c>
      <c r="B456" s="63">
        <f>Ustawienia!$A$9&amp;""</f>
        <v/>
      </c>
      <c r="C456" s="63">
        <f>Ustawienia!$A$18&amp;""</f>
        <v/>
      </c>
      <c r="D456" s="63" t="n">
        <v>1</v>
      </c>
      <c r="E456" s="63">
        <f>IF('6'!F32="","",TRIM('6'!F32&amp;""))</f>
        <v/>
      </c>
      <c r="F456" s="63">
        <f>IF('6'!G32="","",'6'!G32)</f>
        <v/>
      </c>
      <c r="G456" s="63">
        <f>'6'!H32&amp;""</f>
        <v/>
      </c>
      <c r="H456" s="63">
        <f>IF(OR(A456="",F456=""),"",F456&amp;"|"&amp;A456)</f>
        <v/>
      </c>
      <c r="I456" s="63">
        <f>IF(AND(H456&lt;&gt;"",OR('Historia wózka'!$B$4="",F456='Historia wózka'!$B$4),A456&gt;='Historia wózka'!$B$5,A456&lt;='Historia wózka'!$B$6),A456+0.8+(5000-ROW())/10000000,0)</f>
        <v/>
      </c>
      <c r="J456" s="63">
        <f>Ustawienia!$B$9&amp;""</f>
        <v/>
      </c>
      <c r="K456" s="63">
        <f>IF(H456="","",COUNTIFS('Zgłoszenia'!$B$5:$B$504,F456,'Zgłoszenia'!$D$5:$D$504,"&gt;="&amp;A456,'Zgłoszenia'!$D$5:$D$504,"&lt;="&amp;(A456+1)))</f>
        <v/>
      </c>
      <c r="L456" s="63">
        <f>IF(OR(H456="",K456=0),"—",IF(ISNUMBER(MATCH(H456,'Zgłoszenia'!$S$5:$S$504,0)),RIGHT("0"&amp;DAY(A456),2)&amp;"."&amp;RIGHT("0"&amp;MONTH(A456),2)&amp;"."&amp;YEAR(A456)&amp;": "&amp;INDEX('Zgłoszenia'!$H$5:$H$504,MATCH(H456,'Zgłoszenia'!$S$5:$S$504,0)),RIGHT("0"&amp;DAY((A456+1)),2)&amp;"."&amp;RIGHT("0"&amp;MONTH((A456+1)),2)&amp;"."&amp;YEAR((A456+1))&amp;": "&amp;INDEX('Zgłoszenia'!$H$5:$H$504,MATCH(F456&amp;"|"&amp;(A456+1),'Zgłoszenia'!$S$5:$S$504,0)))&amp;IF(K456&gt;1," (+"&amp;(K456-1)&amp;")",""))</f>
        <v/>
      </c>
      <c r="M456" s="63" t="n">
        <v>6</v>
      </c>
      <c r="N456" s="2" t="n"/>
      <c r="O456" s="2" t="n"/>
    </row>
    <row r="457">
      <c r="A457" s="62">
        <f>IF('6'!$C$1="","",'6'!$C$1)</f>
        <v/>
      </c>
      <c r="B457" s="63">
        <f>Ustawienia!$A$9&amp;""</f>
        <v/>
      </c>
      <c r="C457" s="63">
        <f>Ustawienia!$A$18&amp;""</f>
        <v/>
      </c>
      <c r="D457" s="63" t="n">
        <v>2</v>
      </c>
      <c r="E457" s="63">
        <f>IF('6'!F33="","",TRIM('6'!F33&amp;""))</f>
        <v/>
      </c>
      <c r="F457" s="63">
        <f>IF('6'!G33="","",'6'!G33)</f>
        <v/>
      </c>
      <c r="G457" s="63">
        <f>'6'!H33&amp;""</f>
        <v/>
      </c>
      <c r="H457" s="63">
        <f>IF(OR(A457="",F457=""),"",F457&amp;"|"&amp;A457)</f>
        <v/>
      </c>
      <c r="I457" s="63">
        <f>IF(AND(H457&lt;&gt;"",OR('Historia wózka'!$B$4="",F457='Historia wózka'!$B$4),A457&gt;='Historia wózka'!$B$5,A457&lt;='Historia wózka'!$B$6),A457+0.8+(5000-ROW())/10000000,0)</f>
        <v/>
      </c>
      <c r="J457" s="63">
        <f>Ustawienia!$B$9&amp;""</f>
        <v/>
      </c>
      <c r="K457" s="63">
        <f>IF(H457="","",COUNTIFS('Zgłoszenia'!$B$5:$B$504,F457,'Zgłoszenia'!$D$5:$D$504,"&gt;="&amp;A457,'Zgłoszenia'!$D$5:$D$504,"&lt;="&amp;(A457+1)))</f>
        <v/>
      </c>
      <c r="L457" s="63">
        <f>IF(OR(H457="",K457=0),"—",IF(ISNUMBER(MATCH(H457,'Zgłoszenia'!$S$5:$S$504,0)),RIGHT("0"&amp;DAY(A457),2)&amp;"."&amp;RIGHT("0"&amp;MONTH(A457),2)&amp;"."&amp;YEAR(A457)&amp;": "&amp;INDEX('Zgłoszenia'!$H$5:$H$504,MATCH(H457,'Zgłoszenia'!$S$5:$S$504,0)),RIGHT("0"&amp;DAY((A457+1)),2)&amp;"."&amp;RIGHT("0"&amp;MONTH((A457+1)),2)&amp;"."&amp;YEAR((A457+1))&amp;": "&amp;INDEX('Zgłoszenia'!$H$5:$H$504,MATCH(F457&amp;"|"&amp;(A457+1),'Zgłoszenia'!$S$5:$S$504,0)))&amp;IF(K457&gt;1," (+"&amp;(K457-1)&amp;")",""))</f>
        <v/>
      </c>
      <c r="M457" s="63" t="n">
        <v>6</v>
      </c>
      <c r="N457" s="2" t="n"/>
      <c r="O457" s="2" t="n"/>
    </row>
    <row r="458">
      <c r="A458" s="62">
        <f>IF('6'!$C$1="","",'6'!$C$1)</f>
        <v/>
      </c>
      <c r="B458" s="63">
        <f>Ustawienia!$A$9&amp;""</f>
        <v/>
      </c>
      <c r="C458" s="63">
        <f>Ustawienia!$A$18&amp;""</f>
        <v/>
      </c>
      <c r="D458" s="63" t="n">
        <v>3</v>
      </c>
      <c r="E458" s="63">
        <f>IF('6'!F34="","",TRIM('6'!F34&amp;""))</f>
        <v/>
      </c>
      <c r="F458" s="63">
        <f>IF('6'!G34="","",'6'!G34)</f>
        <v/>
      </c>
      <c r="G458" s="63">
        <f>'6'!H34&amp;""</f>
        <v/>
      </c>
      <c r="H458" s="63">
        <f>IF(OR(A458="",F458=""),"",F458&amp;"|"&amp;A458)</f>
        <v/>
      </c>
      <c r="I458" s="63">
        <f>IF(AND(H458&lt;&gt;"",OR('Historia wózka'!$B$4="",F458='Historia wózka'!$B$4),A458&gt;='Historia wózka'!$B$5,A458&lt;='Historia wózka'!$B$6),A458+0.8+(5000-ROW())/10000000,0)</f>
        <v/>
      </c>
      <c r="J458" s="63">
        <f>Ustawienia!$B$9&amp;""</f>
        <v/>
      </c>
      <c r="K458" s="63">
        <f>IF(H458="","",COUNTIFS('Zgłoszenia'!$B$5:$B$504,F458,'Zgłoszenia'!$D$5:$D$504,"&gt;="&amp;A458,'Zgłoszenia'!$D$5:$D$504,"&lt;="&amp;(A458+1)))</f>
        <v/>
      </c>
      <c r="L458" s="63">
        <f>IF(OR(H458="",K458=0),"—",IF(ISNUMBER(MATCH(H458,'Zgłoszenia'!$S$5:$S$504,0)),RIGHT("0"&amp;DAY(A458),2)&amp;"."&amp;RIGHT("0"&amp;MONTH(A458),2)&amp;"."&amp;YEAR(A458)&amp;": "&amp;INDEX('Zgłoszenia'!$H$5:$H$504,MATCH(H458,'Zgłoszenia'!$S$5:$S$504,0)),RIGHT("0"&amp;DAY((A458+1)),2)&amp;"."&amp;RIGHT("0"&amp;MONTH((A458+1)),2)&amp;"."&amp;YEAR((A458+1))&amp;": "&amp;INDEX('Zgłoszenia'!$H$5:$H$504,MATCH(F458&amp;"|"&amp;(A458+1),'Zgłoszenia'!$S$5:$S$504,0)))&amp;IF(K458&gt;1," (+"&amp;(K458-1)&amp;")",""))</f>
        <v/>
      </c>
      <c r="M458" s="63" t="n">
        <v>6</v>
      </c>
      <c r="N458" s="2" t="n"/>
      <c r="O458" s="2" t="n"/>
    </row>
    <row r="459">
      <c r="A459" s="62">
        <f>IF('6'!$C$1="","",'6'!$C$1)</f>
        <v/>
      </c>
      <c r="B459" s="63">
        <f>Ustawienia!$A$9&amp;""</f>
        <v/>
      </c>
      <c r="C459" s="63">
        <f>Ustawienia!$A$18&amp;""</f>
        <v/>
      </c>
      <c r="D459" s="63" t="n">
        <v>4</v>
      </c>
      <c r="E459" s="63">
        <f>IF('6'!F35="","",TRIM('6'!F35&amp;""))</f>
        <v/>
      </c>
      <c r="F459" s="63">
        <f>IF('6'!G35="","",'6'!G35)</f>
        <v/>
      </c>
      <c r="G459" s="63">
        <f>'6'!H35&amp;""</f>
        <v/>
      </c>
      <c r="H459" s="63">
        <f>IF(OR(A459="",F459=""),"",F459&amp;"|"&amp;A459)</f>
        <v/>
      </c>
      <c r="I459" s="63">
        <f>IF(AND(H459&lt;&gt;"",OR('Historia wózka'!$B$4="",F459='Historia wózka'!$B$4),A459&gt;='Historia wózka'!$B$5,A459&lt;='Historia wózka'!$B$6),A459+0.8+(5000-ROW())/10000000,0)</f>
        <v/>
      </c>
      <c r="J459" s="63">
        <f>Ustawienia!$B$9&amp;""</f>
        <v/>
      </c>
      <c r="K459" s="63">
        <f>IF(H459="","",COUNTIFS('Zgłoszenia'!$B$5:$B$504,F459,'Zgłoszenia'!$D$5:$D$504,"&gt;="&amp;A459,'Zgłoszenia'!$D$5:$D$504,"&lt;="&amp;(A459+1)))</f>
        <v/>
      </c>
      <c r="L459" s="63">
        <f>IF(OR(H459="",K459=0),"—",IF(ISNUMBER(MATCH(H459,'Zgłoszenia'!$S$5:$S$504,0)),RIGHT("0"&amp;DAY(A459),2)&amp;"."&amp;RIGHT("0"&amp;MONTH(A459),2)&amp;"."&amp;YEAR(A459)&amp;": "&amp;INDEX('Zgłoszenia'!$H$5:$H$504,MATCH(H459,'Zgłoszenia'!$S$5:$S$504,0)),RIGHT("0"&amp;DAY((A459+1)),2)&amp;"."&amp;RIGHT("0"&amp;MONTH((A459+1)),2)&amp;"."&amp;YEAR((A459+1))&amp;": "&amp;INDEX('Zgłoszenia'!$H$5:$H$504,MATCH(F459&amp;"|"&amp;(A459+1),'Zgłoszenia'!$S$5:$S$504,0)))&amp;IF(K459&gt;1," (+"&amp;(K459-1)&amp;")",""))</f>
        <v/>
      </c>
      <c r="M459" s="63" t="n">
        <v>6</v>
      </c>
      <c r="N459" s="2" t="n"/>
      <c r="O459" s="2" t="n"/>
    </row>
    <row r="460">
      <c r="A460" s="62">
        <f>IF('6'!$C$1="","",'6'!$C$1)</f>
        <v/>
      </c>
      <c r="B460" s="63">
        <f>Ustawienia!$A$9&amp;""</f>
        <v/>
      </c>
      <c r="C460" s="63">
        <f>Ustawienia!$A$18&amp;""</f>
        <v/>
      </c>
      <c r="D460" s="63" t="n">
        <v>5</v>
      </c>
      <c r="E460" s="63">
        <f>IF('6'!F36="","",TRIM('6'!F36&amp;""))</f>
        <v/>
      </c>
      <c r="F460" s="63">
        <f>IF('6'!G36="","",'6'!G36)</f>
        <v/>
      </c>
      <c r="G460" s="63">
        <f>'6'!H36&amp;""</f>
        <v/>
      </c>
      <c r="H460" s="63">
        <f>IF(OR(A460="",F460=""),"",F460&amp;"|"&amp;A460)</f>
        <v/>
      </c>
      <c r="I460" s="63">
        <f>IF(AND(H460&lt;&gt;"",OR('Historia wózka'!$B$4="",F460='Historia wózka'!$B$4),A460&gt;='Historia wózka'!$B$5,A460&lt;='Historia wózka'!$B$6),A460+0.8+(5000-ROW())/10000000,0)</f>
        <v/>
      </c>
      <c r="J460" s="63">
        <f>Ustawienia!$B$9&amp;""</f>
        <v/>
      </c>
      <c r="K460" s="63">
        <f>IF(H460="","",COUNTIFS('Zgłoszenia'!$B$5:$B$504,F460,'Zgłoszenia'!$D$5:$D$504,"&gt;="&amp;A460,'Zgłoszenia'!$D$5:$D$504,"&lt;="&amp;(A460+1)))</f>
        <v/>
      </c>
      <c r="L460" s="63">
        <f>IF(OR(H460="",K460=0),"—",IF(ISNUMBER(MATCH(H460,'Zgłoszenia'!$S$5:$S$504,0)),RIGHT("0"&amp;DAY(A460),2)&amp;"."&amp;RIGHT("0"&amp;MONTH(A460),2)&amp;"."&amp;YEAR(A460)&amp;": "&amp;INDEX('Zgłoszenia'!$H$5:$H$504,MATCH(H460,'Zgłoszenia'!$S$5:$S$504,0)),RIGHT("0"&amp;DAY((A460+1)),2)&amp;"."&amp;RIGHT("0"&amp;MONTH((A460+1)),2)&amp;"."&amp;YEAR((A460+1))&amp;": "&amp;INDEX('Zgłoszenia'!$H$5:$H$504,MATCH(F460&amp;"|"&amp;(A460+1),'Zgłoszenia'!$S$5:$S$504,0)))&amp;IF(K460&gt;1," (+"&amp;(K460-1)&amp;")",""))</f>
        <v/>
      </c>
      <c r="M460" s="63" t="n">
        <v>6</v>
      </c>
      <c r="N460" s="2" t="n"/>
      <c r="O460" s="2" t="n"/>
    </row>
    <row r="461">
      <c r="A461" s="62">
        <f>IF('6'!$C$1="","",'6'!$C$1)</f>
        <v/>
      </c>
      <c r="B461" s="63">
        <f>Ustawienia!$A$10&amp;""</f>
        <v/>
      </c>
      <c r="C461" s="63">
        <f>Ustawienia!$A$14&amp;""</f>
        <v/>
      </c>
      <c r="D461" s="63" t="n">
        <v>1</v>
      </c>
      <c r="E461" s="63">
        <f>IF('6'!J6="","",TRIM('6'!J6&amp;""))</f>
        <v/>
      </c>
      <c r="F461" s="63">
        <f>IF('6'!K6="","",'6'!K6)</f>
        <v/>
      </c>
      <c r="G461" s="63">
        <f>'6'!L6&amp;""</f>
        <v/>
      </c>
      <c r="H461" s="63">
        <f>IF(OR(A461="",F461=""),"",F461&amp;"|"&amp;A461)</f>
        <v/>
      </c>
      <c r="I461" s="63">
        <f>IF(AND(H461&lt;&gt;"",OR('Historia wózka'!$B$4="",F461='Historia wózka'!$B$4),A461&gt;='Historia wózka'!$B$5,A461&lt;='Historia wózka'!$B$6),A461+0.7+(5000-ROW())/10000000,0)</f>
        <v/>
      </c>
      <c r="J461" s="63">
        <f>Ustawienia!$B$10&amp;""</f>
        <v/>
      </c>
      <c r="K461" s="63">
        <f>IF(H461="","",COUNTIFS('Zgłoszenia'!$B$5:$B$504,F461,'Zgłoszenia'!$D$5:$D$504,"&gt;="&amp;A461,'Zgłoszenia'!$D$5:$D$504,"&lt;="&amp;(A461+1)))</f>
        <v/>
      </c>
      <c r="L461" s="63">
        <f>IF(OR(H461="",K461=0),"—",IF(ISNUMBER(MATCH(H461,'Zgłoszenia'!$S$5:$S$504,0)),RIGHT("0"&amp;DAY(A461),2)&amp;"."&amp;RIGHT("0"&amp;MONTH(A461),2)&amp;"."&amp;YEAR(A461)&amp;": "&amp;INDEX('Zgłoszenia'!$H$5:$H$504,MATCH(H461,'Zgłoszenia'!$S$5:$S$504,0)),RIGHT("0"&amp;DAY((A461+1)),2)&amp;"."&amp;RIGHT("0"&amp;MONTH((A461+1)),2)&amp;"."&amp;YEAR((A461+1))&amp;": "&amp;INDEX('Zgłoszenia'!$H$5:$H$504,MATCH(F461&amp;"|"&amp;(A461+1),'Zgłoszenia'!$S$5:$S$504,0)))&amp;IF(K461&gt;1," (+"&amp;(K461-1)&amp;")",""))</f>
        <v/>
      </c>
      <c r="M461" s="63" t="n">
        <v>6</v>
      </c>
      <c r="N461" s="2" t="n"/>
      <c r="O461" s="2" t="n"/>
    </row>
    <row r="462">
      <c r="A462" s="62">
        <f>IF('6'!$C$1="","",'6'!$C$1)</f>
        <v/>
      </c>
      <c r="B462" s="63">
        <f>Ustawienia!$A$10&amp;""</f>
        <v/>
      </c>
      <c r="C462" s="63">
        <f>Ustawienia!$A$14&amp;""</f>
        <v/>
      </c>
      <c r="D462" s="63" t="n">
        <v>2</v>
      </c>
      <c r="E462" s="63">
        <f>IF('6'!J7="","",TRIM('6'!J7&amp;""))</f>
        <v/>
      </c>
      <c r="F462" s="63">
        <f>IF('6'!K7="","",'6'!K7)</f>
        <v/>
      </c>
      <c r="G462" s="63">
        <f>'6'!L7&amp;""</f>
        <v/>
      </c>
      <c r="H462" s="63">
        <f>IF(OR(A462="",F462=""),"",F462&amp;"|"&amp;A462)</f>
        <v/>
      </c>
      <c r="I462" s="63">
        <f>IF(AND(H462&lt;&gt;"",OR('Historia wózka'!$B$4="",F462='Historia wózka'!$B$4),A462&gt;='Historia wózka'!$B$5,A462&lt;='Historia wózka'!$B$6),A462+0.7+(5000-ROW())/10000000,0)</f>
        <v/>
      </c>
      <c r="J462" s="63">
        <f>Ustawienia!$B$10&amp;""</f>
        <v/>
      </c>
      <c r="K462" s="63">
        <f>IF(H462="","",COUNTIFS('Zgłoszenia'!$B$5:$B$504,F462,'Zgłoszenia'!$D$5:$D$504,"&gt;="&amp;A462,'Zgłoszenia'!$D$5:$D$504,"&lt;="&amp;(A462+1)))</f>
        <v/>
      </c>
      <c r="L462" s="63">
        <f>IF(OR(H462="",K462=0),"—",IF(ISNUMBER(MATCH(H462,'Zgłoszenia'!$S$5:$S$504,0)),RIGHT("0"&amp;DAY(A462),2)&amp;"."&amp;RIGHT("0"&amp;MONTH(A462),2)&amp;"."&amp;YEAR(A462)&amp;": "&amp;INDEX('Zgłoszenia'!$H$5:$H$504,MATCH(H462,'Zgłoszenia'!$S$5:$S$504,0)),RIGHT("0"&amp;DAY((A462+1)),2)&amp;"."&amp;RIGHT("0"&amp;MONTH((A462+1)),2)&amp;"."&amp;YEAR((A462+1))&amp;": "&amp;INDEX('Zgłoszenia'!$H$5:$H$504,MATCH(F462&amp;"|"&amp;(A462+1),'Zgłoszenia'!$S$5:$S$504,0)))&amp;IF(K462&gt;1," (+"&amp;(K462-1)&amp;")",""))</f>
        <v/>
      </c>
      <c r="M462" s="63" t="n">
        <v>6</v>
      </c>
      <c r="N462" s="2" t="n"/>
      <c r="O462" s="2" t="n"/>
    </row>
    <row r="463">
      <c r="A463" s="62">
        <f>IF('6'!$C$1="","",'6'!$C$1)</f>
        <v/>
      </c>
      <c r="B463" s="63">
        <f>Ustawienia!$A$10&amp;""</f>
        <v/>
      </c>
      <c r="C463" s="63">
        <f>Ustawienia!$A$14&amp;""</f>
        <v/>
      </c>
      <c r="D463" s="63" t="n">
        <v>3</v>
      </c>
      <c r="E463" s="63">
        <f>IF('6'!J8="","",TRIM('6'!J8&amp;""))</f>
        <v/>
      </c>
      <c r="F463" s="63">
        <f>IF('6'!K8="","",'6'!K8)</f>
        <v/>
      </c>
      <c r="G463" s="63">
        <f>'6'!L8&amp;""</f>
        <v/>
      </c>
      <c r="H463" s="63">
        <f>IF(OR(A463="",F463=""),"",F463&amp;"|"&amp;A463)</f>
        <v/>
      </c>
      <c r="I463" s="63">
        <f>IF(AND(H463&lt;&gt;"",OR('Historia wózka'!$B$4="",F463='Historia wózka'!$B$4),A463&gt;='Historia wózka'!$B$5,A463&lt;='Historia wózka'!$B$6),A463+0.7+(5000-ROW())/10000000,0)</f>
        <v/>
      </c>
      <c r="J463" s="63">
        <f>Ustawienia!$B$10&amp;""</f>
        <v/>
      </c>
      <c r="K463" s="63">
        <f>IF(H463="","",COUNTIFS('Zgłoszenia'!$B$5:$B$504,F463,'Zgłoszenia'!$D$5:$D$504,"&gt;="&amp;A463,'Zgłoszenia'!$D$5:$D$504,"&lt;="&amp;(A463+1)))</f>
        <v/>
      </c>
      <c r="L463" s="63">
        <f>IF(OR(H463="",K463=0),"—",IF(ISNUMBER(MATCH(H463,'Zgłoszenia'!$S$5:$S$504,0)),RIGHT("0"&amp;DAY(A463),2)&amp;"."&amp;RIGHT("0"&amp;MONTH(A463),2)&amp;"."&amp;YEAR(A463)&amp;": "&amp;INDEX('Zgłoszenia'!$H$5:$H$504,MATCH(H463,'Zgłoszenia'!$S$5:$S$504,0)),RIGHT("0"&amp;DAY((A463+1)),2)&amp;"."&amp;RIGHT("0"&amp;MONTH((A463+1)),2)&amp;"."&amp;YEAR((A463+1))&amp;": "&amp;INDEX('Zgłoszenia'!$H$5:$H$504,MATCH(F463&amp;"|"&amp;(A463+1),'Zgłoszenia'!$S$5:$S$504,0)))&amp;IF(K463&gt;1," (+"&amp;(K463-1)&amp;")",""))</f>
        <v/>
      </c>
      <c r="M463" s="63" t="n">
        <v>6</v>
      </c>
      <c r="N463" s="2" t="n"/>
      <c r="O463" s="2" t="n"/>
    </row>
    <row r="464">
      <c r="A464" s="62">
        <f>IF('6'!$C$1="","",'6'!$C$1)</f>
        <v/>
      </c>
      <c r="B464" s="63">
        <f>Ustawienia!$A$10&amp;""</f>
        <v/>
      </c>
      <c r="C464" s="63">
        <f>Ustawienia!$A$14&amp;""</f>
        <v/>
      </c>
      <c r="D464" s="63" t="n">
        <v>4</v>
      </c>
      <c r="E464" s="63">
        <f>IF('6'!J9="","",TRIM('6'!J9&amp;""))</f>
        <v/>
      </c>
      <c r="F464" s="63">
        <f>IF('6'!K9="","",'6'!K9)</f>
        <v/>
      </c>
      <c r="G464" s="63">
        <f>'6'!L9&amp;""</f>
        <v/>
      </c>
      <c r="H464" s="63">
        <f>IF(OR(A464="",F464=""),"",F464&amp;"|"&amp;A464)</f>
        <v/>
      </c>
      <c r="I464" s="63">
        <f>IF(AND(H464&lt;&gt;"",OR('Historia wózka'!$B$4="",F464='Historia wózka'!$B$4),A464&gt;='Historia wózka'!$B$5,A464&lt;='Historia wózka'!$B$6),A464+0.7+(5000-ROW())/10000000,0)</f>
        <v/>
      </c>
      <c r="J464" s="63">
        <f>Ustawienia!$B$10&amp;""</f>
        <v/>
      </c>
      <c r="K464" s="63">
        <f>IF(H464="","",COUNTIFS('Zgłoszenia'!$B$5:$B$504,F464,'Zgłoszenia'!$D$5:$D$504,"&gt;="&amp;A464,'Zgłoszenia'!$D$5:$D$504,"&lt;="&amp;(A464+1)))</f>
        <v/>
      </c>
      <c r="L464" s="63">
        <f>IF(OR(H464="",K464=0),"—",IF(ISNUMBER(MATCH(H464,'Zgłoszenia'!$S$5:$S$504,0)),RIGHT("0"&amp;DAY(A464),2)&amp;"."&amp;RIGHT("0"&amp;MONTH(A464),2)&amp;"."&amp;YEAR(A464)&amp;": "&amp;INDEX('Zgłoszenia'!$H$5:$H$504,MATCH(H464,'Zgłoszenia'!$S$5:$S$504,0)),RIGHT("0"&amp;DAY((A464+1)),2)&amp;"."&amp;RIGHT("0"&amp;MONTH((A464+1)),2)&amp;"."&amp;YEAR((A464+1))&amp;": "&amp;INDEX('Zgłoszenia'!$H$5:$H$504,MATCH(F464&amp;"|"&amp;(A464+1),'Zgłoszenia'!$S$5:$S$504,0)))&amp;IF(K464&gt;1," (+"&amp;(K464-1)&amp;")",""))</f>
        <v/>
      </c>
      <c r="M464" s="63" t="n">
        <v>6</v>
      </c>
      <c r="N464" s="2" t="n"/>
      <c r="O464" s="2" t="n"/>
    </row>
    <row r="465">
      <c r="A465" s="62">
        <f>IF('6'!$C$1="","",'6'!$C$1)</f>
        <v/>
      </c>
      <c r="B465" s="63">
        <f>Ustawienia!$A$10&amp;""</f>
        <v/>
      </c>
      <c r="C465" s="63">
        <f>Ustawienia!$A$14&amp;""</f>
        <v/>
      </c>
      <c r="D465" s="63" t="n">
        <v>5</v>
      </c>
      <c r="E465" s="63">
        <f>IF('6'!J10="","",TRIM('6'!J10&amp;""))</f>
        <v/>
      </c>
      <c r="F465" s="63">
        <f>IF('6'!K10="","",'6'!K10)</f>
        <v/>
      </c>
      <c r="G465" s="63">
        <f>'6'!L10&amp;""</f>
        <v/>
      </c>
      <c r="H465" s="63">
        <f>IF(OR(A465="",F465=""),"",F465&amp;"|"&amp;A465)</f>
        <v/>
      </c>
      <c r="I465" s="63">
        <f>IF(AND(H465&lt;&gt;"",OR('Historia wózka'!$B$4="",F465='Historia wózka'!$B$4),A465&gt;='Historia wózka'!$B$5,A465&lt;='Historia wózka'!$B$6),A465+0.7+(5000-ROW())/10000000,0)</f>
        <v/>
      </c>
      <c r="J465" s="63">
        <f>Ustawienia!$B$10&amp;""</f>
        <v/>
      </c>
      <c r="K465" s="63">
        <f>IF(H465="","",COUNTIFS('Zgłoszenia'!$B$5:$B$504,F465,'Zgłoszenia'!$D$5:$D$504,"&gt;="&amp;A465,'Zgłoszenia'!$D$5:$D$504,"&lt;="&amp;(A465+1)))</f>
        <v/>
      </c>
      <c r="L465" s="63">
        <f>IF(OR(H465="",K465=0),"—",IF(ISNUMBER(MATCH(H465,'Zgłoszenia'!$S$5:$S$504,0)),RIGHT("0"&amp;DAY(A465),2)&amp;"."&amp;RIGHT("0"&amp;MONTH(A465),2)&amp;"."&amp;YEAR(A465)&amp;": "&amp;INDEX('Zgłoszenia'!$H$5:$H$504,MATCH(H465,'Zgłoszenia'!$S$5:$S$504,0)),RIGHT("0"&amp;DAY((A465+1)),2)&amp;"."&amp;RIGHT("0"&amp;MONTH((A465+1)),2)&amp;"."&amp;YEAR((A465+1))&amp;": "&amp;INDEX('Zgłoszenia'!$H$5:$H$504,MATCH(F465&amp;"|"&amp;(A465+1),'Zgłoszenia'!$S$5:$S$504,0)))&amp;IF(K465&gt;1," (+"&amp;(K465-1)&amp;")",""))</f>
        <v/>
      </c>
      <c r="M465" s="63" t="n">
        <v>6</v>
      </c>
      <c r="N465" s="2" t="n"/>
      <c r="O465" s="2" t="n"/>
    </row>
    <row r="466">
      <c r="A466" s="62">
        <f>IF('6'!$C$1="","",'6'!$C$1)</f>
        <v/>
      </c>
      <c r="B466" s="63">
        <f>Ustawienia!$A$10&amp;""</f>
        <v/>
      </c>
      <c r="C466" s="63">
        <f>Ustawienia!$A$14&amp;""</f>
        <v/>
      </c>
      <c r="D466" s="63" t="n">
        <v>6</v>
      </c>
      <c r="E466" s="63">
        <f>IF('6'!J11="","",TRIM('6'!J11&amp;""))</f>
        <v/>
      </c>
      <c r="F466" s="63">
        <f>IF('6'!K11="","",'6'!K11)</f>
        <v/>
      </c>
      <c r="G466" s="63">
        <f>'6'!L11&amp;""</f>
        <v/>
      </c>
      <c r="H466" s="63">
        <f>IF(OR(A466="",F466=""),"",F466&amp;"|"&amp;A466)</f>
        <v/>
      </c>
      <c r="I466" s="63">
        <f>IF(AND(H466&lt;&gt;"",OR('Historia wózka'!$B$4="",F466='Historia wózka'!$B$4),A466&gt;='Historia wózka'!$B$5,A466&lt;='Historia wózka'!$B$6),A466+0.7+(5000-ROW())/10000000,0)</f>
        <v/>
      </c>
      <c r="J466" s="63">
        <f>Ustawienia!$B$10&amp;""</f>
        <v/>
      </c>
      <c r="K466" s="63">
        <f>IF(H466="","",COUNTIFS('Zgłoszenia'!$B$5:$B$504,F466,'Zgłoszenia'!$D$5:$D$504,"&gt;="&amp;A466,'Zgłoszenia'!$D$5:$D$504,"&lt;="&amp;(A466+1)))</f>
        <v/>
      </c>
      <c r="L466" s="63">
        <f>IF(OR(H466="",K466=0),"—",IF(ISNUMBER(MATCH(H466,'Zgłoszenia'!$S$5:$S$504,0)),RIGHT("0"&amp;DAY(A466),2)&amp;"."&amp;RIGHT("0"&amp;MONTH(A466),2)&amp;"."&amp;YEAR(A466)&amp;": "&amp;INDEX('Zgłoszenia'!$H$5:$H$504,MATCH(H466,'Zgłoszenia'!$S$5:$S$504,0)),RIGHT("0"&amp;DAY((A466+1)),2)&amp;"."&amp;RIGHT("0"&amp;MONTH((A466+1)),2)&amp;"."&amp;YEAR((A466+1))&amp;": "&amp;INDEX('Zgłoszenia'!$H$5:$H$504,MATCH(F466&amp;"|"&amp;(A466+1),'Zgłoszenia'!$S$5:$S$504,0)))&amp;IF(K466&gt;1," (+"&amp;(K466-1)&amp;")",""))</f>
        <v/>
      </c>
      <c r="M466" s="63" t="n">
        <v>6</v>
      </c>
      <c r="N466" s="2" t="n"/>
      <c r="O466" s="2" t="n"/>
    </row>
    <row r="467">
      <c r="A467" s="62">
        <f>IF('6'!$C$1="","",'6'!$C$1)</f>
        <v/>
      </c>
      <c r="B467" s="63">
        <f>Ustawienia!$A$10&amp;""</f>
        <v/>
      </c>
      <c r="C467" s="63">
        <f>Ustawienia!$A$15&amp;""</f>
        <v/>
      </c>
      <c r="D467" s="63" t="n">
        <v>1</v>
      </c>
      <c r="E467" s="63">
        <f>IF('6'!J13="","",TRIM('6'!J13&amp;""))</f>
        <v/>
      </c>
      <c r="F467" s="63">
        <f>IF('6'!K13="","",'6'!K13)</f>
        <v/>
      </c>
      <c r="G467" s="63">
        <f>'6'!L13&amp;""</f>
        <v/>
      </c>
      <c r="H467" s="63">
        <f>IF(OR(A467="",F467=""),"",F467&amp;"|"&amp;A467)</f>
        <v/>
      </c>
      <c r="I467" s="63">
        <f>IF(AND(H467&lt;&gt;"",OR('Historia wózka'!$B$4="",F467='Historia wózka'!$B$4),A467&gt;='Historia wózka'!$B$5,A467&lt;='Historia wózka'!$B$6),A467+0.7+(5000-ROW())/10000000,0)</f>
        <v/>
      </c>
      <c r="J467" s="63">
        <f>Ustawienia!$B$10&amp;""</f>
        <v/>
      </c>
      <c r="K467" s="63">
        <f>IF(H467="","",COUNTIFS('Zgłoszenia'!$B$5:$B$504,F467,'Zgłoszenia'!$D$5:$D$504,"&gt;="&amp;A467,'Zgłoszenia'!$D$5:$D$504,"&lt;="&amp;(A467+1)))</f>
        <v/>
      </c>
      <c r="L467" s="63">
        <f>IF(OR(H467="",K467=0),"—",IF(ISNUMBER(MATCH(H467,'Zgłoszenia'!$S$5:$S$504,0)),RIGHT("0"&amp;DAY(A467),2)&amp;"."&amp;RIGHT("0"&amp;MONTH(A467),2)&amp;"."&amp;YEAR(A467)&amp;": "&amp;INDEX('Zgłoszenia'!$H$5:$H$504,MATCH(H467,'Zgłoszenia'!$S$5:$S$504,0)),RIGHT("0"&amp;DAY((A467+1)),2)&amp;"."&amp;RIGHT("0"&amp;MONTH((A467+1)),2)&amp;"."&amp;YEAR((A467+1))&amp;": "&amp;INDEX('Zgłoszenia'!$H$5:$H$504,MATCH(F467&amp;"|"&amp;(A467+1),'Zgłoszenia'!$S$5:$S$504,0)))&amp;IF(K467&gt;1," (+"&amp;(K467-1)&amp;")",""))</f>
        <v/>
      </c>
      <c r="M467" s="63" t="n">
        <v>6</v>
      </c>
      <c r="N467" s="2" t="n"/>
      <c r="O467" s="2" t="n"/>
    </row>
    <row r="468">
      <c r="A468" s="62">
        <f>IF('6'!$C$1="","",'6'!$C$1)</f>
        <v/>
      </c>
      <c r="B468" s="63">
        <f>Ustawienia!$A$10&amp;""</f>
        <v/>
      </c>
      <c r="C468" s="63">
        <f>Ustawienia!$A$15&amp;""</f>
        <v/>
      </c>
      <c r="D468" s="63" t="n">
        <v>2</v>
      </c>
      <c r="E468" s="63">
        <f>IF('6'!J14="","",TRIM('6'!J14&amp;""))</f>
        <v/>
      </c>
      <c r="F468" s="63">
        <f>IF('6'!K14="","",'6'!K14)</f>
        <v/>
      </c>
      <c r="G468" s="63">
        <f>'6'!L14&amp;""</f>
        <v/>
      </c>
      <c r="H468" s="63">
        <f>IF(OR(A468="",F468=""),"",F468&amp;"|"&amp;A468)</f>
        <v/>
      </c>
      <c r="I468" s="63">
        <f>IF(AND(H468&lt;&gt;"",OR('Historia wózka'!$B$4="",F468='Historia wózka'!$B$4),A468&gt;='Historia wózka'!$B$5,A468&lt;='Historia wózka'!$B$6),A468+0.7+(5000-ROW())/10000000,0)</f>
        <v/>
      </c>
      <c r="J468" s="63">
        <f>Ustawienia!$B$10&amp;""</f>
        <v/>
      </c>
      <c r="K468" s="63">
        <f>IF(H468="","",COUNTIFS('Zgłoszenia'!$B$5:$B$504,F468,'Zgłoszenia'!$D$5:$D$504,"&gt;="&amp;A468,'Zgłoszenia'!$D$5:$D$504,"&lt;="&amp;(A468+1)))</f>
        <v/>
      </c>
      <c r="L468" s="63">
        <f>IF(OR(H468="",K468=0),"—",IF(ISNUMBER(MATCH(H468,'Zgłoszenia'!$S$5:$S$504,0)),RIGHT("0"&amp;DAY(A468),2)&amp;"."&amp;RIGHT("0"&amp;MONTH(A468),2)&amp;"."&amp;YEAR(A468)&amp;": "&amp;INDEX('Zgłoszenia'!$H$5:$H$504,MATCH(H468,'Zgłoszenia'!$S$5:$S$504,0)),RIGHT("0"&amp;DAY((A468+1)),2)&amp;"."&amp;RIGHT("0"&amp;MONTH((A468+1)),2)&amp;"."&amp;YEAR((A468+1))&amp;": "&amp;INDEX('Zgłoszenia'!$H$5:$H$504,MATCH(F468&amp;"|"&amp;(A468+1),'Zgłoszenia'!$S$5:$S$504,0)))&amp;IF(K468&gt;1," (+"&amp;(K468-1)&amp;")",""))</f>
        <v/>
      </c>
      <c r="M468" s="63" t="n">
        <v>6</v>
      </c>
      <c r="N468" s="2" t="n"/>
      <c r="O468" s="2" t="n"/>
    </row>
    <row r="469">
      <c r="A469" s="62">
        <f>IF('6'!$C$1="","",'6'!$C$1)</f>
        <v/>
      </c>
      <c r="B469" s="63">
        <f>Ustawienia!$A$10&amp;""</f>
        <v/>
      </c>
      <c r="C469" s="63">
        <f>Ustawienia!$A$15&amp;""</f>
        <v/>
      </c>
      <c r="D469" s="63" t="n">
        <v>3</v>
      </c>
      <c r="E469" s="63">
        <f>IF('6'!J15="","",TRIM('6'!J15&amp;""))</f>
        <v/>
      </c>
      <c r="F469" s="63">
        <f>IF('6'!K15="","",'6'!K15)</f>
        <v/>
      </c>
      <c r="G469" s="63">
        <f>'6'!L15&amp;""</f>
        <v/>
      </c>
      <c r="H469" s="63">
        <f>IF(OR(A469="",F469=""),"",F469&amp;"|"&amp;A469)</f>
        <v/>
      </c>
      <c r="I469" s="63">
        <f>IF(AND(H469&lt;&gt;"",OR('Historia wózka'!$B$4="",F469='Historia wózka'!$B$4),A469&gt;='Historia wózka'!$B$5,A469&lt;='Historia wózka'!$B$6),A469+0.7+(5000-ROW())/10000000,0)</f>
        <v/>
      </c>
      <c r="J469" s="63">
        <f>Ustawienia!$B$10&amp;""</f>
        <v/>
      </c>
      <c r="K469" s="63">
        <f>IF(H469="","",COUNTIFS('Zgłoszenia'!$B$5:$B$504,F469,'Zgłoszenia'!$D$5:$D$504,"&gt;="&amp;A469,'Zgłoszenia'!$D$5:$D$504,"&lt;="&amp;(A469+1)))</f>
        <v/>
      </c>
      <c r="L469" s="63">
        <f>IF(OR(H469="",K469=0),"—",IF(ISNUMBER(MATCH(H469,'Zgłoszenia'!$S$5:$S$504,0)),RIGHT("0"&amp;DAY(A469),2)&amp;"."&amp;RIGHT("0"&amp;MONTH(A469),2)&amp;"."&amp;YEAR(A469)&amp;": "&amp;INDEX('Zgłoszenia'!$H$5:$H$504,MATCH(H469,'Zgłoszenia'!$S$5:$S$504,0)),RIGHT("0"&amp;DAY((A469+1)),2)&amp;"."&amp;RIGHT("0"&amp;MONTH((A469+1)),2)&amp;"."&amp;YEAR((A469+1))&amp;": "&amp;INDEX('Zgłoszenia'!$H$5:$H$504,MATCH(F469&amp;"|"&amp;(A469+1),'Zgłoszenia'!$S$5:$S$504,0)))&amp;IF(K469&gt;1," (+"&amp;(K469-1)&amp;")",""))</f>
        <v/>
      </c>
      <c r="M469" s="63" t="n">
        <v>6</v>
      </c>
      <c r="N469" s="2" t="n"/>
      <c r="O469" s="2" t="n"/>
    </row>
    <row r="470">
      <c r="A470" s="62">
        <f>IF('6'!$C$1="","",'6'!$C$1)</f>
        <v/>
      </c>
      <c r="B470" s="63">
        <f>Ustawienia!$A$10&amp;""</f>
        <v/>
      </c>
      <c r="C470" s="63">
        <f>Ustawienia!$A$15&amp;""</f>
        <v/>
      </c>
      <c r="D470" s="63" t="n">
        <v>4</v>
      </c>
      <c r="E470" s="63">
        <f>IF('6'!J16="","",TRIM('6'!J16&amp;""))</f>
        <v/>
      </c>
      <c r="F470" s="63">
        <f>IF('6'!K16="","",'6'!K16)</f>
        <v/>
      </c>
      <c r="G470" s="63">
        <f>'6'!L16&amp;""</f>
        <v/>
      </c>
      <c r="H470" s="63">
        <f>IF(OR(A470="",F470=""),"",F470&amp;"|"&amp;A470)</f>
        <v/>
      </c>
      <c r="I470" s="63">
        <f>IF(AND(H470&lt;&gt;"",OR('Historia wózka'!$B$4="",F470='Historia wózka'!$B$4),A470&gt;='Historia wózka'!$B$5,A470&lt;='Historia wózka'!$B$6),A470+0.7+(5000-ROW())/10000000,0)</f>
        <v/>
      </c>
      <c r="J470" s="63">
        <f>Ustawienia!$B$10&amp;""</f>
        <v/>
      </c>
      <c r="K470" s="63">
        <f>IF(H470="","",COUNTIFS('Zgłoszenia'!$B$5:$B$504,F470,'Zgłoszenia'!$D$5:$D$504,"&gt;="&amp;A470,'Zgłoszenia'!$D$5:$D$504,"&lt;="&amp;(A470+1)))</f>
        <v/>
      </c>
      <c r="L470" s="63">
        <f>IF(OR(H470="",K470=0),"—",IF(ISNUMBER(MATCH(H470,'Zgłoszenia'!$S$5:$S$504,0)),RIGHT("0"&amp;DAY(A470),2)&amp;"."&amp;RIGHT("0"&amp;MONTH(A470),2)&amp;"."&amp;YEAR(A470)&amp;": "&amp;INDEX('Zgłoszenia'!$H$5:$H$504,MATCH(H470,'Zgłoszenia'!$S$5:$S$504,0)),RIGHT("0"&amp;DAY((A470+1)),2)&amp;"."&amp;RIGHT("0"&amp;MONTH((A470+1)),2)&amp;"."&amp;YEAR((A470+1))&amp;": "&amp;INDEX('Zgłoszenia'!$H$5:$H$504,MATCH(F470&amp;"|"&amp;(A470+1),'Zgłoszenia'!$S$5:$S$504,0)))&amp;IF(K470&gt;1," (+"&amp;(K470-1)&amp;")",""))</f>
        <v/>
      </c>
      <c r="M470" s="63" t="n">
        <v>6</v>
      </c>
      <c r="N470" s="2" t="n"/>
      <c r="O470" s="2" t="n"/>
    </row>
    <row r="471">
      <c r="A471" s="62">
        <f>IF('6'!$C$1="","",'6'!$C$1)</f>
        <v/>
      </c>
      <c r="B471" s="63">
        <f>Ustawienia!$A$10&amp;""</f>
        <v/>
      </c>
      <c r="C471" s="63">
        <f>Ustawienia!$A$15&amp;""</f>
        <v/>
      </c>
      <c r="D471" s="63" t="n">
        <v>5</v>
      </c>
      <c r="E471" s="63">
        <f>IF('6'!J17="","",TRIM('6'!J17&amp;""))</f>
        <v/>
      </c>
      <c r="F471" s="63">
        <f>IF('6'!K17="","",'6'!K17)</f>
        <v/>
      </c>
      <c r="G471" s="63">
        <f>'6'!L17&amp;""</f>
        <v/>
      </c>
      <c r="H471" s="63">
        <f>IF(OR(A471="",F471=""),"",F471&amp;"|"&amp;A471)</f>
        <v/>
      </c>
      <c r="I471" s="63">
        <f>IF(AND(H471&lt;&gt;"",OR('Historia wózka'!$B$4="",F471='Historia wózka'!$B$4),A471&gt;='Historia wózka'!$B$5,A471&lt;='Historia wózka'!$B$6),A471+0.7+(5000-ROW())/10000000,0)</f>
        <v/>
      </c>
      <c r="J471" s="63">
        <f>Ustawienia!$B$10&amp;""</f>
        <v/>
      </c>
      <c r="K471" s="63">
        <f>IF(H471="","",COUNTIFS('Zgłoszenia'!$B$5:$B$504,F471,'Zgłoszenia'!$D$5:$D$504,"&gt;="&amp;A471,'Zgłoszenia'!$D$5:$D$504,"&lt;="&amp;(A471+1)))</f>
        <v/>
      </c>
      <c r="L471" s="63">
        <f>IF(OR(H471="",K471=0),"—",IF(ISNUMBER(MATCH(H471,'Zgłoszenia'!$S$5:$S$504,0)),RIGHT("0"&amp;DAY(A471),2)&amp;"."&amp;RIGHT("0"&amp;MONTH(A471),2)&amp;"."&amp;YEAR(A471)&amp;": "&amp;INDEX('Zgłoszenia'!$H$5:$H$504,MATCH(H471,'Zgłoszenia'!$S$5:$S$504,0)),RIGHT("0"&amp;DAY((A471+1)),2)&amp;"."&amp;RIGHT("0"&amp;MONTH((A471+1)),2)&amp;"."&amp;YEAR((A471+1))&amp;": "&amp;INDEX('Zgłoszenia'!$H$5:$H$504,MATCH(F471&amp;"|"&amp;(A471+1),'Zgłoszenia'!$S$5:$S$504,0)))&amp;IF(K471&gt;1," (+"&amp;(K471-1)&amp;")",""))</f>
        <v/>
      </c>
      <c r="M471" s="63" t="n">
        <v>6</v>
      </c>
      <c r="N471" s="2" t="n"/>
      <c r="O471" s="2" t="n"/>
    </row>
    <row r="472">
      <c r="A472" s="62">
        <f>IF('6'!$C$1="","",'6'!$C$1)</f>
        <v/>
      </c>
      <c r="B472" s="63">
        <f>Ustawienia!$A$10&amp;""</f>
        <v/>
      </c>
      <c r="C472" s="63">
        <f>Ustawienia!$A$15&amp;""</f>
        <v/>
      </c>
      <c r="D472" s="63" t="n">
        <v>6</v>
      </c>
      <c r="E472" s="63">
        <f>IF('6'!J18="","",TRIM('6'!J18&amp;""))</f>
        <v/>
      </c>
      <c r="F472" s="63">
        <f>IF('6'!K18="","",'6'!K18)</f>
        <v/>
      </c>
      <c r="G472" s="63">
        <f>'6'!L18&amp;""</f>
        <v/>
      </c>
      <c r="H472" s="63">
        <f>IF(OR(A472="",F472=""),"",F472&amp;"|"&amp;A472)</f>
        <v/>
      </c>
      <c r="I472" s="63">
        <f>IF(AND(H472&lt;&gt;"",OR('Historia wózka'!$B$4="",F472='Historia wózka'!$B$4),A472&gt;='Historia wózka'!$B$5,A472&lt;='Historia wózka'!$B$6),A472+0.7+(5000-ROW())/10000000,0)</f>
        <v/>
      </c>
      <c r="J472" s="63">
        <f>Ustawienia!$B$10&amp;""</f>
        <v/>
      </c>
      <c r="K472" s="63">
        <f>IF(H472="","",COUNTIFS('Zgłoszenia'!$B$5:$B$504,F472,'Zgłoszenia'!$D$5:$D$504,"&gt;="&amp;A472,'Zgłoszenia'!$D$5:$D$504,"&lt;="&amp;(A472+1)))</f>
        <v/>
      </c>
      <c r="L472" s="63">
        <f>IF(OR(H472="",K472=0),"—",IF(ISNUMBER(MATCH(H472,'Zgłoszenia'!$S$5:$S$504,0)),RIGHT("0"&amp;DAY(A472),2)&amp;"."&amp;RIGHT("0"&amp;MONTH(A472),2)&amp;"."&amp;YEAR(A472)&amp;": "&amp;INDEX('Zgłoszenia'!$H$5:$H$504,MATCH(H472,'Zgłoszenia'!$S$5:$S$504,0)),RIGHT("0"&amp;DAY((A472+1)),2)&amp;"."&amp;RIGHT("0"&amp;MONTH((A472+1)),2)&amp;"."&amp;YEAR((A472+1))&amp;": "&amp;INDEX('Zgłoszenia'!$H$5:$H$504,MATCH(F472&amp;"|"&amp;(A472+1),'Zgłoszenia'!$S$5:$S$504,0)))&amp;IF(K472&gt;1," (+"&amp;(K472-1)&amp;")",""))</f>
        <v/>
      </c>
      <c r="M472" s="63" t="n">
        <v>6</v>
      </c>
      <c r="N472" s="2" t="n"/>
      <c r="O472" s="2" t="n"/>
    </row>
    <row r="473">
      <c r="A473" s="62">
        <f>IF('6'!$C$1="","",'6'!$C$1)</f>
        <v/>
      </c>
      <c r="B473" s="63">
        <f>Ustawienia!$A$10&amp;""</f>
        <v/>
      </c>
      <c r="C473" s="63">
        <f>Ustawienia!$A$15&amp;""</f>
        <v/>
      </c>
      <c r="D473" s="63" t="n">
        <v>7</v>
      </c>
      <c r="E473" s="63">
        <f>IF('6'!J19="","",TRIM('6'!J19&amp;""))</f>
        <v/>
      </c>
      <c r="F473" s="63">
        <f>IF('6'!K19="","",'6'!K19)</f>
        <v/>
      </c>
      <c r="G473" s="63">
        <f>'6'!L19&amp;""</f>
        <v/>
      </c>
      <c r="H473" s="63">
        <f>IF(OR(A473="",F473=""),"",F473&amp;"|"&amp;A473)</f>
        <v/>
      </c>
      <c r="I473" s="63">
        <f>IF(AND(H473&lt;&gt;"",OR('Historia wózka'!$B$4="",F473='Historia wózka'!$B$4),A473&gt;='Historia wózka'!$B$5,A473&lt;='Historia wózka'!$B$6),A473+0.7+(5000-ROW())/10000000,0)</f>
        <v/>
      </c>
      <c r="J473" s="63">
        <f>Ustawienia!$B$10&amp;""</f>
        <v/>
      </c>
      <c r="K473" s="63">
        <f>IF(H473="","",COUNTIFS('Zgłoszenia'!$B$5:$B$504,F473,'Zgłoszenia'!$D$5:$D$504,"&gt;="&amp;A473,'Zgłoszenia'!$D$5:$D$504,"&lt;="&amp;(A473+1)))</f>
        <v/>
      </c>
      <c r="L473" s="63">
        <f>IF(OR(H473="",K473=0),"—",IF(ISNUMBER(MATCH(H473,'Zgłoszenia'!$S$5:$S$504,0)),RIGHT("0"&amp;DAY(A473),2)&amp;"."&amp;RIGHT("0"&amp;MONTH(A473),2)&amp;"."&amp;YEAR(A473)&amp;": "&amp;INDEX('Zgłoszenia'!$H$5:$H$504,MATCH(H473,'Zgłoszenia'!$S$5:$S$504,0)),RIGHT("0"&amp;DAY((A473+1)),2)&amp;"."&amp;RIGHT("0"&amp;MONTH((A473+1)),2)&amp;"."&amp;YEAR((A473+1))&amp;": "&amp;INDEX('Zgłoszenia'!$H$5:$H$504,MATCH(F473&amp;"|"&amp;(A473+1),'Zgłoszenia'!$S$5:$S$504,0)))&amp;IF(K473&gt;1," (+"&amp;(K473-1)&amp;")",""))</f>
        <v/>
      </c>
      <c r="M473" s="63" t="n">
        <v>6</v>
      </c>
      <c r="N473" s="2" t="n"/>
      <c r="O473" s="2" t="n"/>
    </row>
    <row r="474">
      <c r="A474" s="62">
        <f>IF('6'!$C$1="","",'6'!$C$1)</f>
        <v/>
      </c>
      <c r="B474" s="63">
        <f>Ustawienia!$A$10&amp;""</f>
        <v/>
      </c>
      <c r="C474" s="63">
        <f>Ustawienia!$A$15&amp;""</f>
        <v/>
      </c>
      <c r="D474" s="63" t="n">
        <v>8</v>
      </c>
      <c r="E474" s="63">
        <f>IF('6'!J20="","",TRIM('6'!J20&amp;""))</f>
        <v/>
      </c>
      <c r="F474" s="63">
        <f>IF('6'!K20="","",'6'!K20)</f>
        <v/>
      </c>
      <c r="G474" s="63">
        <f>'6'!L20&amp;""</f>
        <v/>
      </c>
      <c r="H474" s="63">
        <f>IF(OR(A474="",F474=""),"",F474&amp;"|"&amp;A474)</f>
        <v/>
      </c>
      <c r="I474" s="63">
        <f>IF(AND(H474&lt;&gt;"",OR('Historia wózka'!$B$4="",F474='Historia wózka'!$B$4),A474&gt;='Historia wózka'!$B$5,A474&lt;='Historia wózka'!$B$6),A474+0.7+(5000-ROW())/10000000,0)</f>
        <v/>
      </c>
      <c r="J474" s="63">
        <f>Ustawienia!$B$10&amp;""</f>
        <v/>
      </c>
      <c r="K474" s="63">
        <f>IF(H474="","",COUNTIFS('Zgłoszenia'!$B$5:$B$504,F474,'Zgłoszenia'!$D$5:$D$504,"&gt;="&amp;A474,'Zgłoszenia'!$D$5:$D$504,"&lt;="&amp;(A474+1)))</f>
        <v/>
      </c>
      <c r="L474" s="63">
        <f>IF(OR(H474="",K474=0),"—",IF(ISNUMBER(MATCH(H474,'Zgłoszenia'!$S$5:$S$504,0)),RIGHT("0"&amp;DAY(A474),2)&amp;"."&amp;RIGHT("0"&amp;MONTH(A474),2)&amp;"."&amp;YEAR(A474)&amp;": "&amp;INDEX('Zgłoszenia'!$H$5:$H$504,MATCH(H474,'Zgłoszenia'!$S$5:$S$504,0)),RIGHT("0"&amp;DAY((A474+1)),2)&amp;"."&amp;RIGHT("0"&amp;MONTH((A474+1)),2)&amp;"."&amp;YEAR((A474+1))&amp;": "&amp;INDEX('Zgłoszenia'!$H$5:$H$504,MATCH(F474&amp;"|"&amp;(A474+1),'Zgłoszenia'!$S$5:$S$504,0)))&amp;IF(K474&gt;1," (+"&amp;(K474-1)&amp;")",""))</f>
        <v/>
      </c>
      <c r="M474" s="63" t="n">
        <v>6</v>
      </c>
      <c r="N474" s="2" t="n"/>
      <c r="O474" s="2" t="n"/>
    </row>
    <row r="475">
      <c r="A475" s="62">
        <f>IF('6'!$C$1="","",'6'!$C$1)</f>
        <v/>
      </c>
      <c r="B475" s="63">
        <f>Ustawienia!$A$10&amp;""</f>
        <v/>
      </c>
      <c r="C475" s="63">
        <f>Ustawienia!$A$16&amp;""</f>
        <v/>
      </c>
      <c r="D475" s="63" t="n">
        <v>1</v>
      </c>
      <c r="E475" s="63">
        <f>IF('6'!J22="","",TRIM('6'!J22&amp;""))</f>
        <v/>
      </c>
      <c r="F475" s="63">
        <f>IF('6'!K22="","",'6'!K22)</f>
        <v/>
      </c>
      <c r="G475" s="63">
        <f>'6'!L22&amp;""</f>
        <v/>
      </c>
      <c r="H475" s="63">
        <f>IF(OR(A475="",F475=""),"",F475&amp;"|"&amp;A475)</f>
        <v/>
      </c>
      <c r="I475" s="63">
        <f>IF(AND(H475&lt;&gt;"",OR('Historia wózka'!$B$4="",F475='Historia wózka'!$B$4),A475&gt;='Historia wózka'!$B$5,A475&lt;='Historia wózka'!$B$6),A475+0.7+(5000-ROW())/10000000,0)</f>
        <v/>
      </c>
      <c r="J475" s="63">
        <f>Ustawienia!$B$10&amp;""</f>
        <v/>
      </c>
      <c r="K475" s="63">
        <f>IF(H475="","",COUNTIFS('Zgłoszenia'!$B$5:$B$504,F475,'Zgłoszenia'!$D$5:$D$504,"&gt;="&amp;A475,'Zgłoszenia'!$D$5:$D$504,"&lt;="&amp;(A475+1)))</f>
        <v/>
      </c>
      <c r="L475" s="63">
        <f>IF(OR(H475="",K475=0),"—",IF(ISNUMBER(MATCH(H475,'Zgłoszenia'!$S$5:$S$504,0)),RIGHT("0"&amp;DAY(A475),2)&amp;"."&amp;RIGHT("0"&amp;MONTH(A475),2)&amp;"."&amp;YEAR(A475)&amp;": "&amp;INDEX('Zgłoszenia'!$H$5:$H$504,MATCH(H475,'Zgłoszenia'!$S$5:$S$504,0)),RIGHT("0"&amp;DAY((A475+1)),2)&amp;"."&amp;RIGHT("0"&amp;MONTH((A475+1)),2)&amp;"."&amp;YEAR((A475+1))&amp;": "&amp;INDEX('Zgłoszenia'!$H$5:$H$504,MATCH(F475&amp;"|"&amp;(A475+1),'Zgłoszenia'!$S$5:$S$504,0)))&amp;IF(K475&gt;1," (+"&amp;(K475-1)&amp;")",""))</f>
        <v/>
      </c>
      <c r="M475" s="63" t="n">
        <v>6</v>
      </c>
      <c r="N475" s="2" t="n"/>
      <c r="O475" s="2" t="n"/>
    </row>
    <row r="476">
      <c r="A476" s="62">
        <f>IF('6'!$C$1="","",'6'!$C$1)</f>
        <v/>
      </c>
      <c r="B476" s="63">
        <f>Ustawienia!$A$10&amp;""</f>
        <v/>
      </c>
      <c r="C476" s="63">
        <f>Ustawienia!$A$16&amp;""</f>
        <v/>
      </c>
      <c r="D476" s="63" t="n">
        <v>2</v>
      </c>
      <c r="E476" s="63">
        <f>IF('6'!J23="","",TRIM('6'!J23&amp;""))</f>
        <v/>
      </c>
      <c r="F476" s="63">
        <f>IF('6'!K23="","",'6'!K23)</f>
        <v/>
      </c>
      <c r="G476" s="63">
        <f>'6'!L23&amp;""</f>
        <v/>
      </c>
      <c r="H476" s="63">
        <f>IF(OR(A476="",F476=""),"",F476&amp;"|"&amp;A476)</f>
        <v/>
      </c>
      <c r="I476" s="63">
        <f>IF(AND(H476&lt;&gt;"",OR('Historia wózka'!$B$4="",F476='Historia wózka'!$B$4),A476&gt;='Historia wózka'!$B$5,A476&lt;='Historia wózka'!$B$6),A476+0.7+(5000-ROW())/10000000,0)</f>
        <v/>
      </c>
      <c r="J476" s="63">
        <f>Ustawienia!$B$10&amp;""</f>
        <v/>
      </c>
      <c r="K476" s="63">
        <f>IF(H476="","",COUNTIFS('Zgłoszenia'!$B$5:$B$504,F476,'Zgłoszenia'!$D$5:$D$504,"&gt;="&amp;A476,'Zgłoszenia'!$D$5:$D$504,"&lt;="&amp;(A476+1)))</f>
        <v/>
      </c>
      <c r="L476" s="63">
        <f>IF(OR(H476="",K476=0),"—",IF(ISNUMBER(MATCH(H476,'Zgłoszenia'!$S$5:$S$504,0)),RIGHT("0"&amp;DAY(A476),2)&amp;"."&amp;RIGHT("0"&amp;MONTH(A476),2)&amp;"."&amp;YEAR(A476)&amp;": "&amp;INDEX('Zgłoszenia'!$H$5:$H$504,MATCH(H476,'Zgłoszenia'!$S$5:$S$504,0)),RIGHT("0"&amp;DAY((A476+1)),2)&amp;"."&amp;RIGHT("0"&amp;MONTH((A476+1)),2)&amp;"."&amp;YEAR((A476+1))&amp;": "&amp;INDEX('Zgłoszenia'!$H$5:$H$504,MATCH(F476&amp;"|"&amp;(A476+1),'Zgłoszenia'!$S$5:$S$504,0)))&amp;IF(K476&gt;1," (+"&amp;(K476-1)&amp;")",""))</f>
        <v/>
      </c>
      <c r="M476" s="63" t="n">
        <v>6</v>
      </c>
      <c r="N476" s="2" t="n"/>
      <c r="O476" s="2" t="n"/>
    </row>
    <row r="477">
      <c r="A477" s="62">
        <f>IF('6'!$C$1="","",'6'!$C$1)</f>
        <v/>
      </c>
      <c r="B477" s="63">
        <f>Ustawienia!$A$10&amp;""</f>
        <v/>
      </c>
      <c r="C477" s="63">
        <f>Ustawienia!$A$16&amp;""</f>
        <v/>
      </c>
      <c r="D477" s="63" t="n">
        <v>3</v>
      </c>
      <c r="E477" s="63">
        <f>IF('6'!J24="","",TRIM('6'!J24&amp;""))</f>
        <v/>
      </c>
      <c r="F477" s="63">
        <f>IF('6'!K24="","",'6'!K24)</f>
        <v/>
      </c>
      <c r="G477" s="63">
        <f>'6'!L24&amp;""</f>
        <v/>
      </c>
      <c r="H477" s="63">
        <f>IF(OR(A477="",F477=""),"",F477&amp;"|"&amp;A477)</f>
        <v/>
      </c>
      <c r="I477" s="63">
        <f>IF(AND(H477&lt;&gt;"",OR('Historia wózka'!$B$4="",F477='Historia wózka'!$B$4),A477&gt;='Historia wózka'!$B$5,A477&lt;='Historia wózka'!$B$6),A477+0.7+(5000-ROW())/10000000,0)</f>
        <v/>
      </c>
      <c r="J477" s="63">
        <f>Ustawienia!$B$10&amp;""</f>
        <v/>
      </c>
      <c r="K477" s="63">
        <f>IF(H477="","",COUNTIFS('Zgłoszenia'!$B$5:$B$504,F477,'Zgłoszenia'!$D$5:$D$504,"&gt;="&amp;A477,'Zgłoszenia'!$D$5:$D$504,"&lt;="&amp;(A477+1)))</f>
        <v/>
      </c>
      <c r="L477" s="63">
        <f>IF(OR(H477="",K477=0),"—",IF(ISNUMBER(MATCH(H477,'Zgłoszenia'!$S$5:$S$504,0)),RIGHT("0"&amp;DAY(A477),2)&amp;"."&amp;RIGHT("0"&amp;MONTH(A477),2)&amp;"."&amp;YEAR(A477)&amp;": "&amp;INDEX('Zgłoszenia'!$H$5:$H$504,MATCH(H477,'Zgłoszenia'!$S$5:$S$504,0)),RIGHT("0"&amp;DAY((A477+1)),2)&amp;"."&amp;RIGHT("0"&amp;MONTH((A477+1)),2)&amp;"."&amp;YEAR((A477+1))&amp;": "&amp;INDEX('Zgłoszenia'!$H$5:$H$504,MATCH(F477&amp;"|"&amp;(A477+1),'Zgłoszenia'!$S$5:$S$504,0)))&amp;IF(K477&gt;1," (+"&amp;(K477-1)&amp;")",""))</f>
        <v/>
      </c>
      <c r="M477" s="63" t="n">
        <v>6</v>
      </c>
      <c r="N477" s="2" t="n"/>
      <c r="O477" s="2" t="n"/>
    </row>
    <row r="478">
      <c r="A478" s="62">
        <f>IF('6'!$C$1="","",'6'!$C$1)</f>
        <v/>
      </c>
      <c r="B478" s="63">
        <f>Ustawienia!$A$10&amp;""</f>
        <v/>
      </c>
      <c r="C478" s="63">
        <f>Ustawienia!$A$16&amp;""</f>
        <v/>
      </c>
      <c r="D478" s="63" t="n">
        <v>4</v>
      </c>
      <c r="E478" s="63">
        <f>IF('6'!J25="","",TRIM('6'!J25&amp;""))</f>
        <v/>
      </c>
      <c r="F478" s="63">
        <f>IF('6'!K25="","",'6'!K25)</f>
        <v/>
      </c>
      <c r="G478" s="63">
        <f>'6'!L25&amp;""</f>
        <v/>
      </c>
      <c r="H478" s="63">
        <f>IF(OR(A478="",F478=""),"",F478&amp;"|"&amp;A478)</f>
        <v/>
      </c>
      <c r="I478" s="63">
        <f>IF(AND(H478&lt;&gt;"",OR('Historia wózka'!$B$4="",F478='Historia wózka'!$B$4),A478&gt;='Historia wózka'!$B$5,A478&lt;='Historia wózka'!$B$6),A478+0.7+(5000-ROW())/10000000,0)</f>
        <v/>
      </c>
      <c r="J478" s="63">
        <f>Ustawienia!$B$10&amp;""</f>
        <v/>
      </c>
      <c r="K478" s="63">
        <f>IF(H478="","",COUNTIFS('Zgłoszenia'!$B$5:$B$504,F478,'Zgłoszenia'!$D$5:$D$504,"&gt;="&amp;A478,'Zgłoszenia'!$D$5:$D$504,"&lt;="&amp;(A478+1)))</f>
        <v/>
      </c>
      <c r="L478" s="63">
        <f>IF(OR(H478="",K478=0),"—",IF(ISNUMBER(MATCH(H478,'Zgłoszenia'!$S$5:$S$504,0)),RIGHT("0"&amp;DAY(A478),2)&amp;"."&amp;RIGHT("0"&amp;MONTH(A478),2)&amp;"."&amp;YEAR(A478)&amp;": "&amp;INDEX('Zgłoszenia'!$H$5:$H$504,MATCH(H478,'Zgłoszenia'!$S$5:$S$504,0)),RIGHT("0"&amp;DAY((A478+1)),2)&amp;"."&amp;RIGHT("0"&amp;MONTH((A478+1)),2)&amp;"."&amp;YEAR((A478+1))&amp;": "&amp;INDEX('Zgłoszenia'!$H$5:$H$504,MATCH(F478&amp;"|"&amp;(A478+1),'Zgłoszenia'!$S$5:$S$504,0)))&amp;IF(K478&gt;1," (+"&amp;(K478-1)&amp;")",""))</f>
        <v/>
      </c>
      <c r="M478" s="63" t="n">
        <v>6</v>
      </c>
      <c r="N478" s="2" t="n"/>
      <c r="O478" s="2" t="n"/>
    </row>
    <row r="479">
      <c r="A479" s="62">
        <f>IF('6'!$C$1="","",'6'!$C$1)</f>
        <v/>
      </c>
      <c r="B479" s="63">
        <f>Ustawienia!$A$10&amp;""</f>
        <v/>
      </c>
      <c r="C479" s="63">
        <f>Ustawienia!$A$17&amp;""</f>
        <v/>
      </c>
      <c r="D479" s="63" t="n">
        <v>1</v>
      </c>
      <c r="E479" s="63">
        <f>IF('6'!J27="","",TRIM('6'!J27&amp;""))</f>
        <v/>
      </c>
      <c r="F479" s="63">
        <f>IF('6'!K27="","",'6'!K27)</f>
        <v/>
      </c>
      <c r="G479" s="63">
        <f>'6'!L27&amp;""</f>
        <v/>
      </c>
      <c r="H479" s="63">
        <f>IF(OR(A479="",F479=""),"",F479&amp;"|"&amp;A479)</f>
        <v/>
      </c>
      <c r="I479" s="63">
        <f>IF(AND(H479&lt;&gt;"",OR('Historia wózka'!$B$4="",F479='Historia wózka'!$B$4),A479&gt;='Historia wózka'!$B$5,A479&lt;='Historia wózka'!$B$6),A479+0.7+(5000-ROW())/10000000,0)</f>
        <v/>
      </c>
      <c r="J479" s="63">
        <f>Ustawienia!$B$10&amp;""</f>
        <v/>
      </c>
      <c r="K479" s="63">
        <f>IF(H479="","",COUNTIFS('Zgłoszenia'!$B$5:$B$504,F479,'Zgłoszenia'!$D$5:$D$504,"&gt;="&amp;A479,'Zgłoszenia'!$D$5:$D$504,"&lt;="&amp;(A479+1)))</f>
        <v/>
      </c>
      <c r="L479" s="63">
        <f>IF(OR(H479="",K479=0),"—",IF(ISNUMBER(MATCH(H479,'Zgłoszenia'!$S$5:$S$504,0)),RIGHT("0"&amp;DAY(A479),2)&amp;"."&amp;RIGHT("0"&amp;MONTH(A479),2)&amp;"."&amp;YEAR(A479)&amp;": "&amp;INDEX('Zgłoszenia'!$H$5:$H$504,MATCH(H479,'Zgłoszenia'!$S$5:$S$504,0)),RIGHT("0"&amp;DAY((A479+1)),2)&amp;"."&amp;RIGHT("0"&amp;MONTH((A479+1)),2)&amp;"."&amp;YEAR((A479+1))&amp;": "&amp;INDEX('Zgłoszenia'!$H$5:$H$504,MATCH(F479&amp;"|"&amp;(A479+1),'Zgłoszenia'!$S$5:$S$504,0)))&amp;IF(K479&gt;1," (+"&amp;(K479-1)&amp;")",""))</f>
        <v/>
      </c>
      <c r="M479" s="63" t="n">
        <v>6</v>
      </c>
      <c r="N479" s="2" t="n"/>
      <c r="O479" s="2" t="n"/>
    </row>
    <row r="480">
      <c r="A480" s="62">
        <f>IF('6'!$C$1="","",'6'!$C$1)</f>
        <v/>
      </c>
      <c r="B480" s="63">
        <f>Ustawienia!$A$10&amp;""</f>
        <v/>
      </c>
      <c r="C480" s="63">
        <f>Ustawienia!$A$17&amp;""</f>
        <v/>
      </c>
      <c r="D480" s="63" t="n">
        <v>2</v>
      </c>
      <c r="E480" s="63">
        <f>IF('6'!J28="","",TRIM('6'!J28&amp;""))</f>
        <v/>
      </c>
      <c r="F480" s="63">
        <f>IF('6'!K28="","",'6'!K28)</f>
        <v/>
      </c>
      <c r="G480" s="63">
        <f>'6'!L28&amp;""</f>
        <v/>
      </c>
      <c r="H480" s="63">
        <f>IF(OR(A480="",F480=""),"",F480&amp;"|"&amp;A480)</f>
        <v/>
      </c>
      <c r="I480" s="63">
        <f>IF(AND(H480&lt;&gt;"",OR('Historia wózka'!$B$4="",F480='Historia wózka'!$B$4),A480&gt;='Historia wózka'!$B$5,A480&lt;='Historia wózka'!$B$6),A480+0.7+(5000-ROW())/10000000,0)</f>
        <v/>
      </c>
      <c r="J480" s="63">
        <f>Ustawienia!$B$10&amp;""</f>
        <v/>
      </c>
      <c r="K480" s="63">
        <f>IF(H480="","",COUNTIFS('Zgłoszenia'!$B$5:$B$504,F480,'Zgłoszenia'!$D$5:$D$504,"&gt;="&amp;A480,'Zgłoszenia'!$D$5:$D$504,"&lt;="&amp;(A480+1)))</f>
        <v/>
      </c>
      <c r="L480" s="63">
        <f>IF(OR(H480="",K480=0),"—",IF(ISNUMBER(MATCH(H480,'Zgłoszenia'!$S$5:$S$504,0)),RIGHT("0"&amp;DAY(A480),2)&amp;"."&amp;RIGHT("0"&amp;MONTH(A480),2)&amp;"."&amp;YEAR(A480)&amp;": "&amp;INDEX('Zgłoszenia'!$H$5:$H$504,MATCH(H480,'Zgłoszenia'!$S$5:$S$504,0)),RIGHT("0"&amp;DAY((A480+1)),2)&amp;"."&amp;RIGHT("0"&amp;MONTH((A480+1)),2)&amp;"."&amp;YEAR((A480+1))&amp;": "&amp;INDEX('Zgłoszenia'!$H$5:$H$504,MATCH(F480&amp;"|"&amp;(A480+1),'Zgłoszenia'!$S$5:$S$504,0)))&amp;IF(K480&gt;1," (+"&amp;(K480-1)&amp;")",""))</f>
        <v/>
      </c>
      <c r="M480" s="63" t="n">
        <v>6</v>
      </c>
      <c r="N480" s="2" t="n"/>
      <c r="O480" s="2" t="n"/>
    </row>
    <row r="481">
      <c r="A481" s="62">
        <f>IF('6'!$C$1="","",'6'!$C$1)</f>
        <v/>
      </c>
      <c r="B481" s="63">
        <f>Ustawienia!$A$10&amp;""</f>
        <v/>
      </c>
      <c r="C481" s="63">
        <f>Ustawienia!$A$17&amp;""</f>
        <v/>
      </c>
      <c r="D481" s="63" t="n">
        <v>3</v>
      </c>
      <c r="E481" s="63">
        <f>IF('6'!J29="","",TRIM('6'!J29&amp;""))</f>
        <v/>
      </c>
      <c r="F481" s="63">
        <f>IF('6'!K29="","",'6'!K29)</f>
        <v/>
      </c>
      <c r="G481" s="63">
        <f>'6'!L29&amp;""</f>
        <v/>
      </c>
      <c r="H481" s="63">
        <f>IF(OR(A481="",F481=""),"",F481&amp;"|"&amp;A481)</f>
        <v/>
      </c>
      <c r="I481" s="63">
        <f>IF(AND(H481&lt;&gt;"",OR('Historia wózka'!$B$4="",F481='Historia wózka'!$B$4),A481&gt;='Historia wózka'!$B$5,A481&lt;='Historia wózka'!$B$6),A481+0.7+(5000-ROW())/10000000,0)</f>
        <v/>
      </c>
      <c r="J481" s="63">
        <f>Ustawienia!$B$10&amp;""</f>
        <v/>
      </c>
      <c r="K481" s="63">
        <f>IF(H481="","",COUNTIFS('Zgłoszenia'!$B$5:$B$504,F481,'Zgłoszenia'!$D$5:$D$504,"&gt;="&amp;A481,'Zgłoszenia'!$D$5:$D$504,"&lt;="&amp;(A481+1)))</f>
        <v/>
      </c>
      <c r="L481" s="63">
        <f>IF(OR(H481="",K481=0),"—",IF(ISNUMBER(MATCH(H481,'Zgłoszenia'!$S$5:$S$504,0)),RIGHT("0"&amp;DAY(A481),2)&amp;"."&amp;RIGHT("0"&amp;MONTH(A481),2)&amp;"."&amp;YEAR(A481)&amp;": "&amp;INDEX('Zgłoszenia'!$H$5:$H$504,MATCH(H481,'Zgłoszenia'!$S$5:$S$504,0)),RIGHT("0"&amp;DAY((A481+1)),2)&amp;"."&amp;RIGHT("0"&amp;MONTH((A481+1)),2)&amp;"."&amp;YEAR((A481+1))&amp;": "&amp;INDEX('Zgłoszenia'!$H$5:$H$504,MATCH(F481&amp;"|"&amp;(A481+1),'Zgłoszenia'!$S$5:$S$504,0)))&amp;IF(K481&gt;1," (+"&amp;(K481-1)&amp;")",""))</f>
        <v/>
      </c>
      <c r="M481" s="63" t="n">
        <v>6</v>
      </c>
      <c r="N481" s="2" t="n"/>
      <c r="O481" s="2" t="n"/>
    </row>
    <row r="482">
      <c r="A482" s="62">
        <f>IF('6'!$C$1="","",'6'!$C$1)</f>
        <v/>
      </c>
      <c r="B482" s="63">
        <f>Ustawienia!$A$10&amp;""</f>
        <v/>
      </c>
      <c r="C482" s="63">
        <f>Ustawienia!$A$17&amp;""</f>
        <v/>
      </c>
      <c r="D482" s="63" t="n">
        <v>4</v>
      </c>
      <c r="E482" s="63">
        <f>IF('6'!J30="","",TRIM('6'!J30&amp;""))</f>
        <v/>
      </c>
      <c r="F482" s="63">
        <f>IF('6'!K30="","",'6'!K30)</f>
        <v/>
      </c>
      <c r="G482" s="63">
        <f>'6'!L30&amp;""</f>
        <v/>
      </c>
      <c r="H482" s="63">
        <f>IF(OR(A482="",F482=""),"",F482&amp;"|"&amp;A482)</f>
        <v/>
      </c>
      <c r="I482" s="63">
        <f>IF(AND(H482&lt;&gt;"",OR('Historia wózka'!$B$4="",F482='Historia wózka'!$B$4),A482&gt;='Historia wózka'!$B$5,A482&lt;='Historia wózka'!$B$6),A482+0.7+(5000-ROW())/10000000,0)</f>
        <v/>
      </c>
      <c r="J482" s="63">
        <f>Ustawienia!$B$10&amp;""</f>
        <v/>
      </c>
      <c r="K482" s="63">
        <f>IF(H482="","",COUNTIFS('Zgłoszenia'!$B$5:$B$504,F482,'Zgłoszenia'!$D$5:$D$504,"&gt;="&amp;A482,'Zgłoszenia'!$D$5:$D$504,"&lt;="&amp;(A482+1)))</f>
        <v/>
      </c>
      <c r="L482" s="63">
        <f>IF(OR(H482="",K482=0),"—",IF(ISNUMBER(MATCH(H482,'Zgłoszenia'!$S$5:$S$504,0)),RIGHT("0"&amp;DAY(A482),2)&amp;"."&amp;RIGHT("0"&amp;MONTH(A482),2)&amp;"."&amp;YEAR(A482)&amp;": "&amp;INDEX('Zgłoszenia'!$H$5:$H$504,MATCH(H482,'Zgłoszenia'!$S$5:$S$504,0)),RIGHT("0"&amp;DAY((A482+1)),2)&amp;"."&amp;RIGHT("0"&amp;MONTH((A482+1)),2)&amp;"."&amp;YEAR((A482+1))&amp;": "&amp;INDEX('Zgłoszenia'!$H$5:$H$504,MATCH(F482&amp;"|"&amp;(A482+1),'Zgłoszenia'!$S$5:$S$504,0)))&amp;IF(K482&gt;1," (+"&amp;(K482-1)&amp;")",""))</f>
        <v/>
      </c>
      <c r="M482" s="63" t="n">
        <v>6</v>
      </c>
      <c r="N482" s="2" t="n"/>
      <c r="O482" s="2" t="n"/>
    </row>
    <row r="483">
      <c r="A483" s="62">
        <f>IF('6'!$C$1="","",'6'!$C$1)</f>
        <v/>
      </c>
      <c r="B483" s="63">
        <f>Ustawienia!$A$10&amp;""</f>
        <v/>
      </c>
      <c r="C483" s="63">
        <f>Ustawienia!$A$18&amp;""</f>
        <v/>
      </c>
      <c r="D483" s="63" t="n">
        <v>1</v>
      </c>
      <c r="E483" s="63">
        <f>IF('6'!J32="","",TRIM('6'!J32&amp;""))</f>
        <v/>
      </c>
      <c r="F483" s="63">
        <f>IF('6'!K32="","",'6'!K32)</f>
        <v/>
      </c>
      <c r="G483" s="63">
        <f>'6'!L32&amp;""</f>
        <v/>
      </c>
      <c r="H483" s="63">
        <f>IF(OR(A483="",F483=""),"",F483&amp;"|"&amp;A483)</f>
        <v/>
      </c>
      <c r="I483" s="63">
        <f>IF(AND(H483&lt;&gt;"",OR('Historia wózka'!$B$4="",F483='Historia wózka'!$B$4),A483&gt;='Historia wózka'!$B$5,A483&lt;='Historia wózka'!$B$6),A483+0.7+(5000-ROW())/10000000,0)</f>
        <v/>
      </c>
      <c r="J483" s="63">
        <f>Ustawienia!$B$10&amp;""</f>
        <v/>
      </c>
      <c r="K483" s="63">
        <f>IF(H483="","",COUNTIFS('Zgłoszenia'!$B$5:$B$504,F483,'Zgłoszenia'!$D$5:$D$504,"&gt;="&amp;A483,'Zgłoszenia'!$D$5:$D$504,"&lt;="&amp;(A483+1)))</f>
        <v/>
      </c>
      <c r="L483" s="63">
        <f>IF(OR(H483="",K483=0),"—",IF(ISNUMBER(MATCH(H483,'Zgłoszenia'!$S$5:$S$504,0)),RIGHT("0"&amp;DAY(A483),2)&amp;"."&amp;RIGHT("0"&amp;MONTH(A483),2)&amp;"."&amp;YEAR(A483)&amp;": "&amp;INDEX('Zgłoszenia'!$H$5:$H$504,MATCH(H483,'Zgłoszenia'!$S$5:$S$504,0)),RIGHT("0"&amp;DAY((A483+1)),2)&amp;"."&amp;RIGHT("0"&amp;MONTH((A483+1)),2)&amp;"."&amp;YEAR((A483+1))&amp;": "&amp;INDEX('Zgłoszenia'!$H$5:$H$504,MATCH(F483&amp;"|"&amp;(A483+1),'Zgłoszenia'!$S$5:$S$504,0)))&amp;IF(K483&gt;1," (+"&amp;(K483-1)&amp;")",""))</f>
        <v/>
      </c>
      <c r="M483" s="63" t="n">
        <v>6</v>
      </c>
      <c r="N483" s="2" t="n"/>
      <c r="O483" s="2" t="n"/>
    </row>
    <row r="484">
      <c r="A484" s="62">
        <f>IF('6'!$C$1="","",'6'!$C$1)</f>
        <v/>
      </c>
      <c r="B484" s="63">
        <f>Ustawienia!$A$10&amp;""</f>
        <v/>
      </c>
      <c r="C484" s="63">
        <f>Ustawienia!$A$18&amp;""</f>
        <v/>
      </c>
      <c r="D484" s="63" t="n">
        <v>2</v>
      </c>
      <c r="E484" s="63">
        <f>IF('6'!J33="","",TRIM('6'!J33&amp;""))</f>
        <v/>
      </c>
      <c r="F484" s="63">
        <f>IF('6'!K33="","",'6'!K33)</f>
        <v/>
      </c>
      <c r="G484" s="63">
        <f>'6'!L33&amp;""</f>
        <v/>
      </c>
      <c r="H484" s="63">
        <f>IF(OR(A484="",F484=""),"",F484&amp;"|"&amp;A484)</f>
        <v/>
      </c>
      <c r="I484" s="63">
        <f>IF(AND(H484&lt;&gt;"",OR('Historia wózka'!$B$4="",F484='Historia wózka'!$B$4),A484&gt;='Historia wózka'!$B$5,A484&lt;='Historia wózka'!$B$6),A484+0.7+(5000-ROW())/10000000,0)</f>
        <v/>
      </c>
      <c r="J484" s="63">
        <f>Ustawienia!$B$10&amp;""</f>
        <v/>
      </c>
      <c r="K484" s="63">
        <f>IF(H484="","",COUNTIFS('Zgłoszenia'!$B$5:$B$504,F484,'Zgłoszenia'!$D$5:$D$504,"&gt;="&amp;A484,'Zgłoszenia'!$D$5:$D$504,"&lt;="&amp;(A484+1)))</f>
        <v/>
      </c>
      <c r="L484" s="63">
        <f>IF(OR(H484="",K484=0),"—",IF(ISNUMBER(MATCH(H484,'Zgłoszenia'!$S$5:$S$504,0)),RIGHT("0"&amp;DAY(A484),2)&amp;"."&amp;RIGHT("0"&amp;MONTH(A484),2)&amp;"."&amp;YEAR(A484)&amp;": "&amp;INDEX('Zgłoszenia'!$H$5:$H$504,MATCH(H484,'Zgłoszenia'!$S$5:$S$504,0)),RIGHT("0"&amp;DAY((A484+1)),2)&amp;"."&amp;RIGHT("0"&amp;MONTH((A484+1)),2)&amp;"."&amp;YEAR((A484+1))&amp;": "&amp;INDEX('Zgłoszenia'!$H$5:$H$504,MATCH(F484&amp;"|"&amp;(A484+1),'Zgłoszenia'!$S$5:$S$504,0)))&amp;IF(K484&gt;1," (+"&amp;(K484-1)&amp;")",""))</f>
        <v/>
      </c>
      <c r="M484" s="63" t="n">
        <v>6</v>
      </c>
      <c r="N484" s="2" t="n"/>
      <c r="O484" s="2" t="n"/>
    </row>
    <row r="485">
      <c r="A485" s="62">
        <f>IF('6'!$C$1="","",'6'!$C$1)</f>
        <v/>
      </c>
      <c r="B485" s="63">
        <f>Ustawienia!$A$10&amp;""</f>
        <v/>
      </c>
      <c r="C485" s="63">
        <f>Ustawienia!$A$18&amp;""</f>
        <v/>
      </c>
      <c r="D485" s="63" t="n">
        <v>3</v>
      </c>
      <c r="E485" s="63">
        <f>IF('6'!J34="","",TRIM('6'!J34&amp;""))</f>
        <v/>
      </c>
      <c r="F485" s="63">
        <f>IF('6'!K34="","",'6'!K34)</f>
        <v/>
      </c>
      <c r="G485" s="63">
        <f>'6'!L34&amp;""</f>
        <v/>
      </c>
      <c r="H485" s="63">
        <f>IF(OR(A485="",F485=""),"",F485&amp;"|"&amp;A485)</f>
        <v/>
      </c>
      <c r="I485" s="63">
        <f>IF(AND(H485&lt;&gt;"",OR('Historia wózka'!$B$4="",F485='Historia wózka'!$B$4),A485&gt;='Historia wózka'!$B$5,A485&lt;='Historia wózka'!$B$6),A485+0.7+(5000-ROW())/10000000,0)</f>
        <v/>
      </c>
      <c r="J485" s="63">
        <f>Ustawienia!$B$10&amp;""</f>
        <v/>
      </c>
      <c r="K485" s="63">
        <f>IF(H485="","",COUNTIFS('Zgłoszenia'!$B$5:$B$504,F485,'Zgłoszenia'!$D$5:$D$504,"&gt;="&amp;A485,'Zgłoszenia'!$D$5:$D$504,"&lt;="&amp;(A485+1)))</f>
        <v/>
      </c>
      <c r="L485" s="63">
        <f>IF(OR(H485="",K485=0),"—",IF(ISNUMBER(MATCH(H485,'Zgłoszenia'!$S$5:$S$504,0)),RIGHT("0"&amp;DAY(A485),2)&amp;"."&amp;RIGHT("0"&amp;MONTH(A485),2)&amp;"."&amp;YEAR(A485)&amp;": "&amp;INDEX('Zgłoszenia'!$H$5:$H$504,MATCH(H485,'Zgłoszenia'!$S$5:$S$504,0)),RIGHT("0"&amp;DAY((A485+1)),2)&amp;"."&amp;RIGHT("0"&amp;MONTH((A485+1)),2)&amp;"."&amp;YEAR((A485+1))&amp;": "&amp;INDEX('Zgłoszenia'!$H$5:$H$504,MATCH(F485&amp;"|"&amp;(A485+1),'Zgłoszenia'!$S$5:$S$504,0)))&amp;IF(K485&gt;1," (+"&amp;(K485-1)&amp;")",""))</f>
        <v/>
      </c>
      <c r="M485" s="63" t="n">
        <v>6</v>
      </c>
      <c r="N485" s="2" t="n"/>
      <c r="O485" s="2" t="n"/>
    </row>
    <row r="486">
      <c r="A486" s="62">
        <f>IF('6'!$C$1="","",'6'!$C$1)</f>
        <v/>
      </c>
      <c r="B486" s="63">
        <f>Ustawienia!$A$10&amp;""</f>
        <v/>
      </c>
      <c r="C486" s="63">
        <f>Ustawienia!$A$18&amp;""</f>
        <v/>
      </c>
      <c r="D486" s="63" t="n">
        <v>4</v>
      </c>
      <c r="E486" s="63">
        <f>IF('6'!J35="","",TRIM('6'!J35&amp;""))</f>
        <v/>
      </c>
      <c r="F486" s="63">
        <f>IF('6'!K35="","",'6'!K35)</f>
        <v/>
      </c>
      <c r="G486" s="63">
        <f>'6'!L35&amp;""</f>
        <v/>
      </c>
      <c r="H486" s="63">
        <f>IF(OR(A486="",F486=""),"",F486&amp;"|"&amp;A486)</f>
        <v/>
      </c>
      <c r="I486" s="63">
        <f>IF(AND(H486&lt;&gt;"",OR('Historia wózka'!$B$4="",F486='Historia wózka'!$B$4),A486&gt;='Historia wózka'!$B$5,A486&lt;='Historia wózka'!$B$6),A486+0.7+(5000-ROW())/10000000,0)</f>
        <v/>
      </c>
      <c r="J486" s="63">
        <f>Ustawienia!$B$10&amp;""</f>
        <v/>
      </c>
      <c r="K486" s="63">
        <f>IF(H486="","",COUNTIFS('Zgłoszenia'!$B$5:$B$504,F486,'Zgłoszenia'!$D$5:$D$504,"&gt;="&amp;A486,'Zgłoszenia'!$D$5:$D$504,"&lt;="&amp;(A486+1)))</f>
        <v/>
      </c>
      <c r="L486" s="63">
        <f>IF(OR(H486="",K486=0),"—",IF(ISNUMBER(MATCH(H486,'Zgłoszenia'!$S$5:$S$504,0)),RIGHT("0"&amp;DAY(A486),2)&amp;"."&amp;RIGHT("0"&amp;MONTH(A486),2)&amp;"."&amp;YEAR(A486)&amp;": "&amp;INDEX('Zgłoszenia'!$H$5:$H$504,MATCH(H486,'Zgłoszenia'!$S$5:$S$504,0)),RIGHT("0"&amp;DAY((A486+1)),2)&amp;"."&amp;RIGHT("0"&amp;MONTH((A486+1)),2)&amp;"."&amp;YEAR((A486+1))&amp;": "&amp;INDEX('Zgłoszenia'!$H$5:$H$504,MATCH(F486&amp;"|"&amp;(A486+1),'Zgłoszenia'!$S$5:$S$504,0)))&amp;IF(K486&gt;1," (+"&amp;(K486-1)&amp;")",""))</f>
        <v/>
      </c>
      <c r="M486" s="63" t="n">
        <v>6</v>
      </c>
      <c r="N486" s="2" t="n"/>
      <c r="O486" s="2" t="n"/>
    </row>
    <row r="487">
      <c r="A487" s="62">
        <f>IF('6'!$C$1="","",'6'!$C$1)</f>
        <v/>
      </c>
      <c r="B487" s="63">
        <f>Ustawienia!$A$10&amp;""</f>
        <v/>
      </c>
      <c r="C487" s="63">
        <f>Ustawienia!$A$18&amp;""</f>
        <v/>
      </c>
      <c r="D487" s="63" t="n">
        <v>5</v>
      </c>
      <c r="E487" s="63">
        <f>IF('6'!J36="","",TRIM('6'!J36&amp;""))</f>
        <v/>
      </c>
      <c r="F487" s="63">
        <f>IF('6'!K36="","",'6'!K36)</f>
        <v/>
      </c>
      <c r="G487" s="63">
        <f>'6'!L36&amp;""</f>
        <v/>
      </c>
      <c r="H487" s="63">
        <f>IF(OR(A487="",F487=""),"",F487&amp;"|"&amp;A487)</f>
        <v/>
      </c>
      <c r="I487" s="63">
        <f>IF(AND(H487&lt;&gt;"",OR('Historia wózka'!$B$4="",F487='Historia wózka'!$B$4),A487&gt;='Historia wózka'!$B$5,A487&lt;='Historia wózka'!$B$6),A487+0.7+(5000-ROW())/10000000,0)</f>
        <v/>
      </c>
      <c r="J487" s="63">
        <f>Ustawienia!$B$10&amp;""</f>
        <v/>
      </c>
      <c r="K487" s="63">
        <f>IF(H487="","",COUNTIFS('Zgłoszenia'!$B$5:$B$504,F487,'Zgłoszenia'!$D$5:$D$504,"&gt;="&amp;A487,'Zgłoszenia'!$D$5:$D$504,"&lt;="&amp;(A487+1)))</f>
        <v/>
      </c>
      <c r="L487" s="63">
        <f>IF(OR(H487="",K487=0),"—",IF(ISNUMBER(MATCH(H487,'Zgłoszenia'!$S$5:$S$504,0)),RIGHT("0"&amp;DAY(A487),2)&amp;"."&amp;RIGHT("0"&amp;MONTH(A487),2)&amp;"."&amp;YEAR(A487)&amp;": "&amp;INDEX('Zgłoszenia'!$H$5:$H$504,MATCH(H487,'Zgłoszenia'!$S$5:$S$504,0)),RIGHT("0"&amp;DAY((A487+1)),2)&amp;"."&amp;RIGHT("0"&amp;MONTH((A487+1)),2)&amp;"."&amp;YEAR((A487+1))&amp;": "&amp;INDEX('Zgłoszenia'!$H$5:$H$504,MATCH(F487&amp;"|"&amp;(A487+1),'Zgłoszenia'!$S$5:$S$504,0)))&amp;IF(K487&gt;1," (+"&amp;(K487-1)&amp;")",""))</f>
        <v/>
      </c>
      <c r="M487" s="63" t="n">
        <v>6</v>
      </c>
      <c r="N487" s="2" t="n"/>
      <c r="O487" s="2" t="n"/>
    </row>
    <row r="488">
      <c r="A488" s="62">
        <f>IF('7'!$C$1="","",'7'!$C$1)</f>
        <v/>
      </c>
      <c r="B488" s="63">
        <f>Ustawienia!$A$8&amp;""</f>
        <v/>
      </c>
      <c r="C488" s="63">
        <f>Ustawienia!$A$14&amp;""</f>
        <v/>
      </c>
      <c r="D488" s="63" t="n">
        <v>1</v>
      </c>
      <c r="E488" s="63">
        <f>IF('7'!B6="","",TRIM('7'!B6&amp;""))</f>
        <v/>
      </c>
      <c r="F488" s="63">
        <f>IF('7'!C6="","",'7'!C6)</f>
        <v/>
      </c>
      <c r="G488" s="63">
        <f>'7'!D6&amp;""</f>
        <v/>
      </c>
      <c r="H488" s="63">
        <f>IF(OR(A488="",F488=""),"",F488&amp;"|"&amp;A488)</f>
        <v/>
      </c>
      <c r="I488" s="63">
        <f>IF(AND(H488&lt;&gt;"",OR('Historia wózka'!$B$4="",F488='Historia wózka'!$B$4),A488&gt;='Historia wózka'!$B$5,A488&lt;='Historia wózka'!$B$6),A488+0.9+(5000-ROW())/10000000,0)</f>
        <v/>
      </c>
      <c r="J488" s="63">
        <f>Ustawienia!$B$8&amp;""</f>
        <v/>
      </c>
      <c r="K488" s="63">
        <f>IF(H488="","",COUNTIFS('Zgłoszenia'!$B$5:$B$504,F488,'Zgłoszenia'!$D$5:$D$504,"&gt;="&amp;A488,'Zgłoszenia'!$D$5:$D$504,"&lt;="&amp;(A488+1)))</f>
        <v/>
      </c>
      <c r="L488" s="63">
        <f>IF(OR(H488="",K488=0),"—",IF(ISNUMBER(MATCH(H488,'Zgłoszenia'!$S$5:$S$504,0)),RIGHT("0"&amp;DAY(A488),2)&amp;"."&amp;RIGHT("0"&amp;MONTH(A488),2)&amp;"."&amp;YEAR(A488)&amp;": "&amp;INDEX('Zgłoszenia'!$H$5:$H$504,MATCH(H488,'Zgłoszenia'!$S$5:$S$504,0)),RIGHT("0"&amp;DAY((A488+1)),2)&amp;"."&amp;RIGHT("0"&amp;MONTH((A488+1)),2)&amp;"."&amp;YEAR((A488+1))&amp;": "&amp;INDEX('Zgłoszenia'!$H$5:$H$504,MATCH(F488&amp;"|"&amp;(A488+1),'Zgłoszenia'!$S$5:$S$504,0)))&amp;IF(K488&gt;1," (+"&amp;(K488-1)&amp;")",""))</f>
        <v/>
      </c>
      <c r="M488" s="63" t="n">
        <v>7</v>
      </c>
      <c r="N488" s="2" t="n"/>
      <c r="O488" s="2" t="n"/>
    </row>
    <row r="489">
      <c r="A489" s="62">
        <f>IF('7'!$C$1="","",'7'!$C$1)</f>
        <v/>
      </c>
      <c r="B489" s="63">
        <f>Ustawienia!$A$8&amp;""</f>
        <v/>
      </c>
      <c r="C489" s="63">
        <f>Ustawienia!$A$14&amp;""</f>
        <v/>
      </c>
      <c r="D489" s="63" t="n">
        <v>2</v>
      </c>
      <c r="E489" s="63">
        <f>IF('7'!B7="","",TRIM('7'!B7&amp;""))</f>
        <v/>
      </c>
      <c r="F489" s="63">
        <f>IF('7'!C7="","",'7'!C7)</f>
        <v/>
      </c>
      <c r="G489" s="63">
        <f>'7'!D7&amp;""</f>
        <v/>
      </c>
      <c r="H489" s="63">
        <f>IF(OR(A489="",F489=""),"",F489&amp;"|"&amp;A489)</f>
        <v/>
      </c>
      <c r="I489" s="63">
        <f>IF(AND(H489&lt;&gt;"",OR('Historia wózka'!$B$4="",F489='Historia wózka'!$B$4),A489&gt;='Historia wózka'!$B$5,A489&lt;='Historia wózka'!$B$6),A489+0.9+(5000-ROW())/10000000,0)</f>
        <v/>
      </c>
      <c r="J489" s="63">
        <f>Ustawienia!$B$8&amp;""</f>
        <v/>
      </c>
      <c r="K489" s="63">
        <f>IF(H489="","",COUNTIFS('Zgłoszenia'!$B$5:$B$504,F489,'Zgłoszenia'!$D$5:$D$504,"&gt;="&amp;A489,'Zgłoszenia'!$D$5:$D$504,"&lt;="&amp;(A489+1)))</f>
        <v/>
      </c>
      <c r="L489" s="63">
        <f>IF(OR(H489="",K489=0),"—",IF(ISNUMBER(MATCH(H489,'Zgłoszenia'!$S$5:$S$504,0)),RIGHT("0"&amp;DAY(A489),2)&amp;"."&amp;RIGHT("0"&amp;MONTH(A489),2)&amp;"."&amp;YEAR(A489)&amp;": "&amp;INDEX('Zgłoszenia'!$H$5:$H$504,MATCH(H489,'Zgłoszenia'!$S$5:$S$504,0)),RIGHT("0"&amp;DAY((A489+1)),2)&amp;"."&amp;RIGHT("0"&amp;MONTH((A489+1)),2)&amp;"."&amp;YEAR((A489+1))&amp;": "&amp;INDEX('Zgłoszenia'!$H$5:$H$504,MATCH(F489&amp;"|"&amp;(A489+1),'Zgłoszenia'!$S$5:$S$504,0)))&amp;IF(K489&gt;1," (+"&amp;(K489-1)&amp;")",""))</f>
        <v/>
      </c>
      <c r="M489" s="63" t="n">
        <v>7</v>
      </c>
      <c r="N489" s="2" t="n"/>
      <c r="O489" s="2" t="n"/>
    </row>
    <row r="490">
      <c r="A490" s="62">
        <f>IF('7'!$C$1="","",'7'!$C$1)</f>
        <v/>
      </c>
      <c r="B490" s="63">
        <f>Ustawienia!$A$8&amp;""</f>
        <v/>
      </c>
      <c r="C490" s="63">
        <f>Ustawienia!$A$14&amp;""</f>
        <v/>
      </c>
      <c r="D490" s="63" t="n">
        <v>3</v>
      </c>
      <c r="E490" s="63">
        <f>IF('7'!B8="","",TRIM('7'!B8&amp;""))</f>
        <v/>
      </c>
      <c r="F490" s="63">
        <f>IF('7'!C8="","",'7'!C8)</f>
        <v/>
      </c>
      <c r="G490" s="63">
        <f>'7'!D8&amp;""</f>
        <v/>
      </c>
      <c r="H490" s="63">
        <f>IF(OR(A490="",F490=""),"",F490&amp;"|"&amp;A490)</f>
        <v/>
      </c>
      <c r="I490" s="63">
        <f>IF(AND(H490&lt;&gt;"",OR('Historia wózka'!$B$4="",F490='Historia wózka'!$B$4),A490&gt;='Historia wózka'!$B$5,A490&lt;='Historia wózka'!$B$6),A490+0.9+(5000-ROW())/10000000,0)</f>
        <v/>
      </c>
      <c r="J490" s="63">
        <f>Ustawienia!$B$8&amp;""</f>
        <v/>
      </c>
      <c r="K490" s="63">
        <f>IF(H490="","",COUNTIFS('Zgłoszenia'!$B$5:$B$504,F490,'Zgłoszenia'!$D$5:$D$504,"&gt;="&amp;A490,'Zgłoszenia'!$D$5:$D$504,"&lt;="&amp;(A490+1)))</f>
        <v/>
      </c>
      <c r="L490" s="63">
        <f>IF(OR(H490="",K490=0),"—",IF(ISNUMBER(MATCH(H490,'Zgłoszenia'!$S$5:$S$504,0)),RIGHT("0"&amp;DAY(A490),2)&amp;"."&amp;RIGHT("0"&amp;MONTH(A490),2)&amp;"."&amp;YEAR(A490)&amp;": "&amp;INDEX('Zgłoszenia'!$H$5:$H$504,MATCH(H490,'Zgłoszenia'!$S$5:$S$504,0)),RIGHT("0"&amp;DAY((A490+1)),2)&amp;"."&amp;RIGHT("0"&amp;MONTH((A490+1)),2)&amp;"."&amp;YEAR((A490+1))&amp;": "&amp;INDEX('Zgłoszenia'!$H$5:$H$504,MATCH(F490&amp;"|"&amp;(A490+1),'Zgłoszenia'!$S$5:$S$504,0)))&amp;IF(K490&gt;1," (+"&amp;(K490-1)&amp;")",""))</f>
        <v/>
      </c>
      <c r="M490" s="63" t="n">
        <v>7</v>
      </c>
      <c r="N490" s="2" t="n"/>
      <c r="O490" s="2" t="n"/>
    </row>
    <row r="491">
      <c r="A491" s="62">
        <f>IF('7'!$C$1="","",'7'!$C$1)</f>
        <v/>
      </c>
      <c r="B491" s="63">
        <f>Ustawienia!$A$8&amp;""</f>
        <v/>
      </c>
      <c r="C491" s="63">
        <f>Ustawienia!$A$14&amp;""</f>
        <v/>
      </c>
      <c r="D491" s="63" t="n">
        <v>4</v>
      </c>
      <c r="E491" s="63">
        <f>IF('7'!B9="","",TRIM('7'!B9&amp;""))</f>
        <v/>
      </c>
      <c r="F491" s="63">
        <f>IF('7'!C9="","",'7'!C9)</f>
        <v/>
      </c>
      <c r="G491" s="63">
        <f>'7'!D9&amp;""</f>
        <v/>
      </c>
      <c r="H491" s="63">
        <f>IF(OR(A491="",F491=""),"",F491&amp;"|"&amp;A491)</f>
        <v/>
      </c>
      <c r="I491" s="63">
        <f>IF(AND(H491&lt;&gt;"",OR('Historia wózka'!$B$4="",F491='Historia wózka'!$B$4),A491&gt;='Historia wózka'!$B$5,A491&lt;='Historia wózka'!$B$6),A491+0.9+(5000-ROW())/10000000,0)</f>
        <v/>
      </c>
      <c r="J491" s="63">
        <f>Ustawienia!$B$8&amp;""</f>
        <v/>
      </c>
      <c r="K491" s="63">
        <f>IF(H491="","",COUNTIFS('Zgłoszenia'!$B$5:$B$504,F491,'Zgłoszenia'!$D$5:$D$504,"&gt;="&amp;A491,'Zgłoszenia'!$D$5:$D$504,"&lt;="&amp;(A491+1)))</f>
        <v/>
      </c>
      <c r="L491" s="63">
        <f>IF(OR(H491="",K491=0),"—",IF(ISNUMBER(MATCH(H491,'Zgłoszenia'!$S$5:$S$504,0)),RIGHT("0"&amp;DAY(A491),2)&amp;"."&amp;RIGHT("0"&amp;MONTH(A491),2)&amp;"."&amp;YEAR(A491)&amp;": "&amp;INDEX('Zgłoszenia'!$H$5:$H$504,MATCH(H491,'Zgłoszenia'!$S$5:$S$504,0)),RIGHT("0"&amp;DAY((A491+1)),2)&amp;"."&amp;RIGHT("0"&amp;MONTH((A491+1)),2)&amp;"."&amp;YEAR((A491+1))&amp;": "&amp;INDEX('Zgłoszenia'!$H$5:$H$504,MATCH(F491&amp;"|"&amp;(A491+1),'Zgłoszenia'!$S$5:$S$504,0)))&amp;IF(K491&gt;1," (+"&amp;(K491-1)&amp;")",""))</f>
        <v/>
      </c>
      <c r="M491" s="63" t="n">
        <v>7</v>
      </c>
      <c r="N491" s="2" t="n"/>
      <c r="O491" s="2" t="n"/>
    </row>
    <row r="492">
      <c r="A492" s="62">
        <f>IF('7'!$C$1="","",'7'!$C$1)</f>
        <v/>
      </c>
      <c r="B492" s="63">
        <f>Ustawienia!$A$8&amp;""</f>
        <v/>
      </c>
      <c r="C492" s="63">
        <f>Ustawienia!$A$14&amp;""</f>
        <v/>
      </c>
      <c r="D492" s="63" t="n">
        <v>5</v>
      </c>
      <c r="E492" s="63">
        <f>IF('7'!B10="","",TRIM('7'!B10&amp;""))</f>
        <v/>
      </c>
      <c r="F492" s="63">
        <f>IF('7'!C10="","",'7'!C10)</f>
        <v/>
      </c>
      <c r="G492" s="63">
        <f>'7'!D10&amp;""</f>
        <v/>
      </c>
      <c r="H492" s="63">
        <f>IF(OR(A492="",F492=""),"",F492&amp;"|"&amp;A492)</f>
        <v/>
      </c>
      <c r="I492" s="63">
        <f>IF(AND(H492&lt;&gt;"",OR('Historia wózka'!$B$4="",F492='Historia wózka'!$B$4),A492&gt;='Historia wózka'!$B$5,A492&lt;='Historia wózka'!$B$6),A492+0.9+(5000-ROW())/10000000,0)</f>
        <v/>
      </c>
      <c r="J492" s="63">
        <f>Ustawienia!$B$8&amp;""</f>
        <v/>
      </c>
      <c r="K492" s="63">
        <f>IF(H492="","",COUNTIFS('Zgłoszenia'!$B$5:$B$504,F492,'Zgłoszenia'!$D$5:$D$504,"&gt;="&amp;A492,'Zgłoszenia'!$D$5:$D$504,"&lt;="&amp;(A492+1)))</f>
        <v/>
      </c>
      <c r="L492" s="63">
        <f>IF(OR(H492="",K492=0),"—",IF(ISNUMBER(MATCH(H492,'Zgłoszenia'!$S$5:$S$504,0)),RIGHT("0"&amp;DAY(A492),2)&amp;"."&amp;RIGHT("0"&amp;MONTH(A492),2)&amp;"."&amp;YEAR(A492)&amp;": "&amp;INDEX('Zgłoszenia'!$H$5:$H$504,MATCH(H492,'Zgłoszenia'!$S$5:$S$504,0)),RIGHT("0"&amp;DAY((A492+1)),2)&amp;"."&amp;RIGHT("0"&amp;MONTH((A492+1)),2)&amp;"."&amp;YEAR((A492+1))&amp;": "&amp;INDEX('Zgłoszenia'!$H$5:$H$504,MATCH(F492&amp;"|"&amp;(A492+1),'Zgłoszenia'!$S$5:$S$504,0)))&amp;IF(K492&gt;1," (+"&amp;(K492-1)&amp;")",""))</f>
        <v/>
      </c>
      <c r="M492" s="63" t="n">
        <v>7</v>
      </c>
      <c r="N492" s="2" t="n"/>
      <c r="O492" s="2" t="n"/>
    </row>
    <row r="493">
      <c r="A493" s="62">
        <f>IF('7'!$C$1="","",'7'!$C$1)</f>
        <v/>
      </c>
      <c r="B493" s="63">
        <f>Ustawienia!$A$8&amp;""</f>
        <v/>
      </c>
      <c r="C493" s="63">
        <f>Ustawienia!$A$14&amp;""</f>
        <v/>
      </c>
      <c r="D493" s="63" t="n">
        <v>6</v>
      </c>
      <c r="E493" s="63">
        <f>IF('7'!B11="","",TRIM('7'!B11&amp;""))</f>
        <v/>
      </c>
      <c r="F493" s="63">
        <f>IF('7'!C11="","",'7'!C11)</f>
        <v/>
      </c>
      <c r="G493" s="63">
        <f>'7'!D11&amp;""</f>
        <v/>
      </c>
      <c r="H493" s="63">
        <f>IF(OR(A493="",F493=""),"",F493&amp;"|"&amp;A493)</f>
        <v/>
      </c>
      <c r="I493" s="63">
        <f>IF(AND(H493&lt;&gt;"",OR('Historia wózka'!$B$4="",F493='Historia wózka'!$B$4),A493&gt;='Historia wózka'!$B$5,A493&lt;='Historia wózka'!$B$6),A493+0.9+(5000-ROW())/10000000,0)</f>
        <v/>
      </c>
      <c r="J493" s="63">
        <f>Ustawienia!$B$8&amp;""</f>
        <v/>
      </c>
      <c r="K493" s="63">
        <f>IF(H493="","",COUNTIFS('Zgłoszenia'!$B$5:$B$504,F493,'Zgłoszenia'!$D$5:$D$504,"&gt;="&amp;A493,'Zgłoszenia'!$D$5:$D$504,"&lt;="&amp;(A493+1)))</f>
        <v/>
      </c>
      <c r="L493" s="63">
        <f>IF(OR(H493="",K493=0),"—",IF(ISNUMBER(MATCH(H493,'Zgłoszenia'!$S$5:$S$504,0)),RIGHT("0"&amp;DAY(A493),2)&amp;"."&amp;RIGHT("0"&amp;MONTH(A493),2)&amp;"."&amp;YEAR(A493)&amp;": "&amp;INDEX('Zgłoszenia'!$H$5:$H$504,MATCH(H493,'Zgłoszenia'!$S$5:$S$504,0)),RIGHT("0"&amp;DAY((A493+1)),2)&amp;"."&amp;RIGHT("0"&amp;MONTH((A493+1)),2)&amp;"."&amp;YEAR((A493+1))&amp;": "&amp;INDEX('Zgłoszenia'!$H$5:$H$504,MATCH(F493&amp;"|"&amp;(A493+1),'Zgłoszenia'!$S$5:$S$504,0)))&amp;IF(K493&gt;1," (+"&amp;(K493-1)&amp;")",""))</f>
        <v/>
      </c>
      <c r="M493" s="63" t="n">
        <v>7</v>
      </c>
      <c r="N493" s="2" t="n"/>
      <c r="O493" s="2" t="n"/>
    </row>
    <row r="494">
      <c r="A494" s="62">
        <f>IF('7'!$C$1="","",'7'!$C$1)</f>
        <v/>
      </c>
      <c r="B494" s="63">
        <f>Ustawienia!$A$8&amp;""</f>
        <v/>
      </c>
      <c r="C494" s="63">
        <f>Ustawienia!$A$15&amp;""</f>
        <v/>
      </c>
      <c r="D494" s="63" t="n">
        <v>1</v>
      </c>
      <c r="E494" s="63">
        <f>IF('7'!B13="","",TRIM('7'!B13&amp;""))</f>
        <v/>
      </c>
      <c r="F494" s="63">
        <f>IF('7'!C13="","",'7'!C13)</f>
        <v/>
      </c>
      <c r="G494" s="63">
        <f>'7'!D13&amp;""</f>
        <v/>
      </c>
      <c r="H494" s="63">
        <f>IF(OR(A494="",F494=""),"",F494&amp;"|"&amp;A494)</f>
        <v/>
      </c>
      <c r="I494" s="63">
        <f>IF(AND(H494&lt;&gt;"",OR('Historia wózka'!$B$4="",F494='Historia wózka'!$B$4),A494&gt;='Historia wózka'!$B$5,A494&lt;='Historia wózka'!$B$6),A494+0.9+(5000-ROW())/10000000,0)</f>
        <v/>
      </c>
      <c r="J494" s="63">
        <f>Ustawienia!$B$8&amp;""</f>
        <v/>
      </c>
      <c r="K494" s="63">
        <f>IF(H494="","",COUNTIFS('Zgłoszenia'!$B$5:$B$504,F494,'Zgłoszenia'!$D$5:$D$504,"&gt;="&amp;A494,'Zgłoszenia'!$D$5:$D$504,"&lt;="&amp;(A494+1)))</f>
        <v/>
      </c>
      <c r="L494" s="63">
        <f>IF(OR(H494="",K494=0),"—",IF(ISNUMBER(MATCH(H494,'Zgłoszenia'!$S$5:$S$504,0)),RIGHT("0"&amp;DAY(A494),2)&amp;"."&amp;RIGHT("0"&amp;MONTH(A494),2)&amp;"."&amp;YEAR(A494)&amp;": "&amp;INDEX('Zgłoszenia'!$H$5:$H$504,MATCH(H494,'Zgłoszenia'!$S$5:$S$504,0)),RIGHT("0"&amp;DAY((A494+1)),2)&amp;"."&amp;RIGHT("0"&amp;MONTH((A494+1)),2)&amp;"."&amp;YEAR((A494+1))&amp;": "&amp;INDEX('Zgłoszenia'!$H$5:$H$504,MATCH(F494&amp;"|"&amp;(A494+1),'Zgłoszenia'!$S$5:$S$504,0)))&amp;IF(K494&gt;1," (+"&amp;(K494-1)&amp;")",""))</f>
        <v/>
      </c>
      <c r="M494" s="63" t="n">
        <v>7</v>
      </c>
      <c r="N494" s="2" t="n"/>
      <c r="O494" s="2" t="n"/>
    </row>
    <row r="495">
      <c r="A495" s="62">
        <f>IF('7'!$C$1="","",'7'!$C$1)</f>
        <v/>
      </c>
      <c r="B495" s="63">
        <f>Ustawienia!$A$8&amp;""</f>
        <v/>
      </c>
      <c r="C495" s="63">
        <f>Ustawienia!$A$15&amp;""</f>
        <v/>
      </c>
      <c r="D495" s="63" t="n">
        <v>2</v>
      </c>
      <c r="E495" s="63">
        <f>IF('7'!B14="","",TRIM('7'!B14&amp;""))</f>
        <v/>
      </c>
      <c r="F495" s="63">
        <f>IF('7'!C14="","",'7'!C14)</f>
        <v/>
      </c>
      <c r="G495" s="63">
        <f>'7'!D14&amp;""</f>
        <v/>
      </c>
      <c r="H495" s="63">
        <f>IF(OR(A495="",F495=""),"",F495&amp;"|"&amp;A495)</f>
        <v/>
      </c>
      <c r="I495" s="63">
        <f>IF(AND(H495&lt;&gt;"",OR('Historia wózka'!$B$4="",F495='Historia wózka'!$B$4),A495&gt;='Historia wózka'!$B$5,A495&lt;='Historia wózka'!$B$6),A495+0.9+(5000-ROW())/10000000,0)</f>
        <v/>
      </c>
      <c r="J495" s="63">
        <f>Ustawienia!$B$8&amp;""</f>
        <v/>
      </c>
      <c r="K495" s="63">
        <f>IF(H495="","",COUNTIFS('Zgłoszenia'!$B$5:$B$504,F495,'Zgłoszenia'!$D$5:$D$504,"&gt;="&amp;A495,'Zgłoszenia'!$D$5:$D$504,"&lt;="&amp;(A495+1)))</f>
        <v/>
      </c>
      <c r="L495" s="63">
        <f>IF(OR(H495="",K495=0),"—",IF(ISNUMBER(MATCH(H495,'Zgłoszenia'!$S$5:$S$504,0)),RIGHT("0"&amp;DAY(A495),2)&amp;"."&amp;RIGHT("0"&amp;MONTH(A495),2)&amp;"."&amp;YEAR(A495)&amp;": "&amp;INDEX('Zgłoszenia'!$H$5:$H$504,MATCH(H495,'Zgłoszenia'!$S$5:$S$504,0)),RIGHT("0"&amp;DAY((A495+1)),2)&amp;"."&amp;RIGHT("0"&amp;MONTH((A495+1)),2)&amp;"."&amp;YEAR((A495+1))&amp;": "&amp;INDEX('Zgłoszenia'!$H$5:$H$504,MATCH(F495&amp;"|"&amp;(A495+1),'Zgłoszenia'!$S$5:$S$504,0)))&amp;IF(K495&gt;1," (+"&amp;(K495-1)&amp;")",""))</f>
        <v/>
      </c>
      <c r="M495" s="63" t="n">
        <v>7</v>
      </c>
      <c r="N495" s="2" t="n"/>
      <c r="O495" s="2" t="n"/>
    </row>
    <row r="496">
      <c r="A496" s="62">
        <f>IF('7'!$C$1="","",'7'!$C$1)</f>
        <v/>
      </c>
      <c r="B496" s="63">
        <f>Ustawienia!$A$8&amp;""</f>
        <v/>
      </c>
      <c r="C496" s="63">
        <f>Ustawienia!$A$15&amp;""</f>
        <v/>
      </c>
      <c r="D496" s="63" t="n">
        <v>3</v>
      </c>
      <c r="E496" s="63">
        <f>IF('7'!B15="","",TRIM('7'!B15&amp;""))</f>
        <v/>
      </c>
      <c r="F496" s="63">
        <f>IF('7'!C15="","",'7'!C15)</f>
        <v/>
      </c>
      <c r="G496" s="63">
        <f>'7'!D15&amp;""</f>
        <v/>
      </c>
      <c r="H496" s="63">
        <f>IF(OR(A496="",F496=""),"",F496&amp;"|"&amp;A496)</f>
        <v/>
      </c>
      <c r="I496" s="63">
        <f>IF(AND(H496&lt;&gt;"",OR('Historia wózka'!$B$4="",F496='Historia wózka'!$B$4),A496&gt;='Historia wózka'!$B$5,A496&lt;='Historia wózka'!$B$6),A496+0.9+(5000-ROW())/10000000,0)</f>
        <v/>
      </c>
      <c r="J496" s="63">
        <f>Ustawienia!$B$8&amp;""</f>
        <v/>
      </c>
      <c r="K496" s="63">
        <f>IF(H496="","",COUNTIFS('Zgłoszenia'!$B$5:$B$504,F496,'Zgłoszenia'!$D$5:$D$504,"&gt;="&amp;A496,'Zgłoszenia'!$D$5:$D$504,"&lt;="&amp;(A496+1)))</f>
        <v/>
      </c>
      <c r="L496" s="63">
        <f>IF(OR(H496="",K496=0),"—",IF(ISNUMBER(MATCH(H496,'Zgłoszenia'!$S$5:$S$504,0)),RIGHT("0"&amp;DAY(A496),2)&amp;"."&amp;RIGHT("0"&amp;MONTH(A496),2)&amp;"."&amp;YEAR(A496)&amp;": "&amp;INDEX('Zgłoszenia'!$H$5:$H$504,MATCH(H496,'Zgłoszenia'!$S$5:$S$504,0)),RIGHT("0"&amp;DAY((A496+1)),2)&amp;"."&amp;RIGHT("0"&amp;MONTH((A496+1)),2)&amp;"."&amp;YEAR((A496+1))&amp;": "&amp;INDEX('Zgłoszenia'!$H$5:$H$504,MATCH(F496&amp;"|"&amp;(A496+1),'Zgłoszenia'!$S$5:$S$504,0)))&amp;IF(K496&gt;1," (+"&amp;(K496-1)&amp;")",""))</f>
        <v/>
      </c>
      <c r="M496" s="63" t="n">
        <v>7</v>
      </c>
      <c r="N496" s="2" t="n"/>
      <c r="O496" s="2" t="n"/>
    </row>
    <row r="497">
      <c r="A497" s="62">
        <f>IF('7'!$C$1="","",'7'!$C$1)</f>
        <v/>
      </c>
      <c r="B497" s="63">
        <f>Ustawienia!$A$8&amp;""</f>
        <v/>
      </c>
      <c r="C497" s="63">
        <f>Ustawienia!$A$15&amp;""</f>
        <v/>
      </c>
      <c r="D497" s="63" t="n">
        <v>4</v>
      </c>
      <c r="E497" s="63">
        <f>IF('7'!B16="","",TRIM('7'!B16&amp;""))</f>
        <v/>
      </c>
      <c r="F497" s="63">
        <f>IF('7'!C16="","",'7'!C16)</f>
        <v/>
      </c>
      <c r="G497" s="63">
        <f>'7'!D16&amp;""</f>
        <v/>
      </c>
      <c r="H497" s="63">
        <f>IF(OR(A497="",F497=""),"",F497&amp;"|"&amp;A497)</f>
        <v/>
      </c>
      <c r="I497" s="63">
        <f>IF(AND(H497&lt;&gt;"",OR('Historia wózka'!$B$4="",F497='Historia wózka'!$B$4),A497&gt;='Historia wózka'!$B$5,A497&lt;='Historia wózka'!$B$6),A497+0.9+(5000-ROW())/10000000,0)</f>
        <v/>
      </c>
      <c r="J497" s="63">
        <f>Ustawienia!$B$8&amp;""</f>
        <v/>
      </c>
      <c r="K497" s="63">
        <f>IF(H497="","",COUNTIFS('Zgłoszenia'!$B$5:$B$504,F497,'Zgłoszenia'!$D$5:$D$504,"&gt;="&amp;A497,'Zgłoszenia'!$D$5:$D$504,"&lt;="&amp;(A497+1)))</f>
        <v/>
      </c>
      <c r="L497" s="63">
        <f>IF(OR(H497="",K497=0),"—",IF(ISNUMBER(MATCH(H497,'Zgłoszenia'!$S$5:$S$504,0)),RIGHT("0"&amp;DAY(A497),2)&amp;"."&amp;RIGHT("0"&amp;MONTH(A497),2)&amp;"."&amp;YEAR(A497)&amp;": "&amp;INDEX('Zgłoszenia'!$H$5:$H$504,MATCH(H497,'Zgłoszenia'!$S$5:$S$504,0)),RIGHT("0"&amp;DAY((A497+1)),2)&amp;"."&amp;RIGHT("0"&amp;MONTH((A497+1)),2)&amp;"."&amp;YEAR((A497+1))&amp;": "&amp;INDEX('Zgłoszenia'!$H$5:$H$504,MATCH(F497&amp;"|"&amp;(A497+1),'Zgłoszenia'!$S$5:$S$504,0)))&amp;IF(K497&gt;1," (+"&amp;(K497-1)&amp;")",""))</f>
        <v/>
      </c>
      <c r="M497" s="63" t="n">
        <v>7</v>
      </c>
      <c r="N497" s="2" t="n"/>
      <c r="O497" s="2" t="n"/>
    </row>
    <row r="498">
      <c r="A498" s="62">
        <f>IF('7'!$C$1="","",'7'!$C$1)</f>
        <v/>
      </c>
      <c r="B498" s="63">
        <f>Ustawienia!$A$8&amp;""</f>
        <v/>
      </c>
      <c r="C498" s="63">
        <f>Ustawienia!$A$15&amp;""</f>
        <v/>
      </c>
      <c r="D498" s="63" t="n">
        <v>5</v>
      </c>
      <c r="E498" s="63">
        <f>IF('7'!B17="","",TRIM('7'!B17&amp;""))</f>
        <v/>
      </c>
      <c r="F498" s="63">
        <f>IF('7'!C17="","",'7'!C17)</f>
        <v/>
      </c>
      <c r="G498" s="63">
        <f>'7'!D17&amp;""</f>
        <v/>
      </c>
      <c r="H498" s="63">
        <f>IF(OR(A498="",F498=""),"",F498&amp;"|"&amp;A498)</f>
        <v/>
      </c>
      <c r="I498" s="63">
        <f>IF(AND(H498&lt;&gt;"",OR('Historia wózka'!$B$4="",F498='Historia wózka'!$B$4),A498&gt;='Historia wózka'!$B$5,A498&lt;='Historia wózka'!$B$6),A498+0.9+(5000-ROW())/10000000,0)</f>
        <v/>
      </c>
      <c r="J498" s="63">
        <f>Ustawienia!$B$8&amp;""</f>
        <v/>
      </c>
      <c r="K498" s="63">
        <f>IF(H498="","",COUNTIFS('Zgłoszenia'!$B$5:$B$504,F498,'Zgłoszenia'!$D$5:$D$504,"&gt;="&amp;A498,'Zgłoszenia'!$D$5:$D$504,"&lt;="&amp;(A498+1)))</f>
        <v/>
      </c>
      <c r="L498" s="63">
        <f>IF(OR(H498="",K498=0),"—",IF(ISNUMBER(MATCH(H498,'Zgłoszenia'!$S$5:$S$504,0)),RIGHT("0"&amp;DAY(A498),2)&amp;"."&amp;RIGHT("0"&amp;MONTH(A498),2)&amp;"."&amp;YEAR(A498)&amp;": "&amp;INDEX('Zgłoszenia'!$H$5:$H$504,MATCH(H498,'Zgłoszenia'!$S$5:$S$504,0)),RIGHT("0"&amp;DAY((A498+1)),2)&amp;"."&amp;RIGHT("0"&amp;MONTH((A498+1)),2)&amp;"."&amp;YEAR((A498+1))&amp;": "&amp;INDEX('Zgłoszenia'!$H$5:$H$504,MATCH(F498&amp;"|"&amp;(A498+1),'Zgłoszenia'!$S$5:$S$504,0)))&amp;IF(K498&gt;1," (+"&amp;(K498-1)&amp;")",""))</f>
        <v/>
      </c>
      <c r="M498" s="63" t="n">
        <v>7</v>
      </c>
      <c r="N498" s="2" t="n"/>
      <c r="O498" s="2" t="n"/>
    </row>
    <row r="499">
      <c r="A499" s="62">
        <f>IF('7'!$C$1="","",'7'!$C$1)</f>
        <v/>
      </c>
      <c r="B499" s="63">
        <f>Ustawienia!$A$8&amp;""</f>
        <v/>
      </c>
      <c r="C499" s="63">
        <f>Ustawienia!$A$15&amp;""</f>
        <v/>
      </c>
      <c r="D499" s="63" t="n">
        <v>6</v>
      </c>
      <c r="E499" s="63">
        <f>IF('7'!B18="","",TRIM('7'!B18&amp;""))</f>
        <v/>
      </c>
      <c r="F499" s="63">
        <f>IF('7'!C18="","",'7'!C18)</f>
        <v/>
      </c>
      <c r="G499" s="63">
        <f>'7'!D18&amp;""</f>
        <v/>
      </c>
      <c r="H499" s="63">
        <f>IF(OR(A499="",F499=""),"",F499&amp;"|"&amp;A499)</f>
        <v/>
      </c>
      <c r="I499" s="63">
        <f>IF(AND(H499&lt;&gt;"",OR('Historia wózka'!$B$4="",F499='Historia wózka'!$B$4),A499&gt;='Historia wózka'!$B$5,A499&lt;='Historia wózka'!$B$6),A499+0.9+(5000-ROW())/10000000,0)</f>
        <v/>
      </c>
      <c r="J499" s="63">
        <f>Ustawienia!$B$8&amp;""</f>
        <v/>
      </c>
      <c r="K499" s="63">
        <f>IF(H499="","",COUNTIFS('Zgłoszenia'!$B$5:$B$504,F499,'Zgłoszenia'!$D$5:$D$504,"&gt;="&amp;A499,'Zgłoszenia'!$D$5:$D$504,"&lt;="&amp;(A499+1)))</f>
        <v/>
      </c>
      <c r="L499" s="63">
        <f>IF(OR(H499="",K499=0),"—",IF(ISNUMBER(MATCH(H499,'Zgłoszenia'!$S$5:$S$504,0)),RIGHT("0"&amp;DAY(A499),2)&amp;"."&amp;RIGHT("0"&amp;MONTH(A499),2)&amp;"."&amp;YEAR(A499)&amp;": "&amp;INDEX('Zgłoszenia'!$H$5:$H$504,MATCH(H499,'Zgłoszenia'!$S$5:$S$504,0)),RIGHT("0"&amp;DAY((A499+1)),2)&amp;"."&amp;RIGHT("0"&amp;MONTH((A499+1)),2)&amp;"."&amp;YEAR((A499+1))&amp;": "&amp;INDEX('Zgłoszenia'!$H$5:$H$504,MATCH(F499&amp;"|"&amp;(A499+1),'Zgłoszenia'!$S$5:$S$504,0)))&amp;IF(K499&gt;1," (+"&amp;(K499-1)&amp;")",""))</f>
        <v/>
      </c>
      <c r="M499" s="63" t="n">
        <v>7</v>
      </c>
      <c r="N499" s="2" t="n"/>
      <c r="O499" s="2" t="n"/>
    </row>
    <row r="500">
      <c r="A500" s="62">
        <f>IF('7'!$C$1="","",'7'!$C$1)</f>
        <v/>
      </c>
      <c r="B500" s="63">
        <f>Ustawienia!$A$8&amp;""</f>
        <v/>
      </c>
      <c r="C500" s="63">
        <f>Ustawienia!$A$15&amp;""</f>
        <v/>
      </c>
      <c r="D500" s="63" t="n">
        <v>7</v>
      </c>
      <c r="E500" s="63">
        <f>IF('7'!B19="","",TRIM('7'!B19&amp;""))</f>
        <v/>
      </c>
      <c r="F500" s="63">
        <f>IF('7'!C19="","",'7'!C19)</f>
        <v/>
      </c>
      <c r="G500" s="63">
        <f>'7'!D19&amp;""</f>
        <v/>
      </c>
      <c r="H500" s="63">
        <f>IF(OR(A500="",F500=""),"",F500&amp;"|"&amp;A500)</f>
        <v/>
      </c>
      <c r="I500" s="63">
        <f>IF(AND(H500&lt;&gt;"",OR('Historia wózka'!$B$4="",F500='Historia wózka'!$B$4),A500&gt;='Historia wózka'!$B$5,A500&lt;='Historia wózka'!$B$6),A500+0.9+(5000-ROW())/10000000,0)</f>
        <v/>
      </c>
      <c r="J500" s="63">
        <f>Ustawienia!$B$8&amp;""</f>
        <v/>
      </c>
      <c r="K500" s="63">
        <f>IF(H500="","",COUNTIFS('Zgłoszenia'!$B$5:$B$504,F500,'Zgłoszenia'!$D$5:$D$504,"&gt;="&amp;A500,'Zgłoszenia'!$D$5:$D$504,"&lt;="&amp;(A500+1)))</f>
        <v/>
      </c>
      <c r="L500" s="63">
        <f>IF(OR(H500="",K500=0),"—",IF(ISNUMBER(MATCH(H500,'Zgłoszenia'!$S$5:$S$504,0)),RIGHT("0"&amp;DAY(A500),2)&amp;"."&amp;RIGHT("0"&amp;MONTH(A500),2)&amp;"."&amp;YEAR(A500)&amp;": "&amp;INDEX('Zgłoszenia'!$H$5:$H$504,MATCH(H500,'Zgłoszenia'!$S$5:$S$504,0)),RIGHT("0"&amp;DAY((A500+1)),2)&amp;"."&amp;RIGHT("0"&amp;MONTH((A500+1)),2)&amp;"."&amp;YEAR((A500+1))&amp;": "&amp;INDEX('Zgłoszenia'!$H$5:$H$504,MATCH(F500&amp;"|"&amp;(A500+1),'Zgłoszenia'!$S$5:$S$504,0)))&amp;IF(K500&gt;1," (+"&amp;(K500-1)&amp;")",""))</f>
        <v/>
      </c>
      <c r="M500" s="63" t="n">
        <v>7</v>
      </c>
      <c r="N500" s="2" t="n"/>
      <c r="O500" s="2" t="n"/>
    </row>
    <row r="501">
      <c r="A501" s="62">
        <f>IF('7'!$C$1="","",'7'!$C$1)</f>
        <v/>
      </c>
      <c r="B501" s="63">
        <f>Ustawienia!$A$8&amp;""</f>
        <v/>
      </c>
      <c r="C501" s="63">
        <f>Ustawienia!$A$15&amp;""</f>
        <v/>
      </c>
      <c r="D501" s="63" t="n">
        <v>8</v>
      </c>
      <c r="E501" s="63">
        <f>IF('7'!B20="","",TRIM('7'!B20&amp;""))</f>
        <v/>
      </c>
      <c r="F501" s="63">
        <f>IF('7'!C20="","",'7'!C20)</f>
        <v/>
      </c>
      <c r="G501" s="63">
        <f>'7'!D20&amp;""</f>
        <v/>
      </c>
      <c r="H501" s="63">
        <f>IF(OR(A501="",F501=""),"",F501&amp;"|"&amp;A501)</f>
        <v/>
      </c>
      <c r="I501" s="63">
        <f>IF(AND(H501&lt;&gt;"",OR('Historia wózka'!$B$4="",F501='Historia wózka'!$B$4),A501&gt;='Historia wózka'!$B$5,A501&lt;='Historia wózka'!$B$6),A501+0.9+(5000-ROW())/10000000,0)</f>
        <v/>
      </c>
      <c r="J501" s="63">
        <f>Ustawienia!$B$8&amp;""</f>
        <v/>
      </c>
      <c r="K501" s="63">
        <f>IF(H501="","",COUNTIFS('Zgłoszenia'!$B$5:$B$504,F501,'Zgłoszenia'!$D$5:$D$504,"&gt;="&amp;A501,'Zgłoszenia'!$D$5:$D$504,"&lt;="&amp;(A501+1)))</f>
        <v/>
      </c>
      <c r="L501" s="63">
        <f>IF(OR(H501="",K501=0),"—",IF(ISNUMBER(MATCH(H501,'Zgłoszenia'!$S$5:$S$504,0)),RIGHT("0"&amp;DAY(A501),2)&amp;"."&amp;RIGHT("0"&amp;MONTH(A501),2)&amp;"."&amp;YEAR(A501)&amp;": "&amp;INDEX('Zgłoszenia'!$H$5:$H$504,MATCH(H501,'Zgłoszenia'!$S$5:$S$504,0)),RIGHT("0"&amp;DAY((A501+1)),2)&amp;"."&amp;RIGHT("0"&amp;MONTH((A501+1)),2)&amp;"."&amp;YEAR((A501+1))&amp;": "&amp;INDEX('Zgłoszenia'!$H$5:$H$504,MATCH(F501&amp;"|"&amp;(A501+1),'Zgłoszenia'!$S$5:$S$504,0)))&amp;IF(K501&gt;1," (+"&amp;(K501-1)&amp;")",""))</f>
        <v/>
      </c>
      <c r="M501" s="63" t="n">
        <v>7</v>
      </c>
      <c r="N501" s="2" t="n"/>
      <c r="O501" s="2" t="n"/>
    </row>
    <row r="502">
      <c r="A502" s="62">
        <f>IF('7'!$C$1="","",'7'!$C$1)</f>
        <v/>
      </c>
      <c r="B502" s="63">
        <f>Ustawienia!$A$8&amp;""</f>
        <v/>
      </c>
      <c r="C502" s="63">
        <f>Ustawienia!$A$16&amp;""</f>
        <v/>
      </c>
      <c r="D502" s="63" t="n">
        <v>1</v>
      </c>
      <c r="E502" s="63">
        <f>IF('7'!B22="","",TRIM('7'!B22&amp;""))</f>
        <v/>
      </c>
      <c r="F502" s="63">
        <f>IF('7'!C22="","",'7'!C22)</f>
        <v/>
      </c>
      <c r="G502" s="63">
        <f>'7'!D22&amp;""</f>
        <v/>
      </c>
      <c r="H502" s="63">
        <f>IF(OR(A502="",F502=""),"",F502&amp;"|"&amp;A502)</f>
        <v/>
      </c>
      <c r="I502" s="63">
        <f>IF(AND(H502&lt;&gt;"",OR('Historia wózka'!$B$4="",F502='Historia wózka'!$B$4),A502&gt;='Historia wózka'!$B$5,A502&lt;='Historia wózka'!$B$6),A502+0.9+(5000-ROW())/10000000,0)</f>
        <v/>
      </c>
      <c r="J502" s="63">
        <f>Ustawienia!$B$8&amp;""</f>
        <v/>
      </c>
      <c r="K502" s="63">
        <f>IF(H502="","",COUNTIFS('Zgłoszenia'!$B$5:$B$504,F502,'Zgłoszenia'!$D$5:$D$504,"&gt;="&amp;A502,'Zgłoszenia'!$D$5:$D$504,"&lt;="&amp;(A502+1)))</f>
        <v/>
      </c>
      <c r="L502" s="63">
        <f>IF(OR(H502="",K502=0),"—",IF(ISNUMBER(MATCH(H502,'Zgłoszenia'!$S$5:$S$504,0)),RIGHT("0"&amp;DAY(A502),2)&amp;"."&amp;RIGHT("0"&amp;MONTH(A502),2)&amp;"."&amp;YEAR(A502)&amp;": "&amp;INDEX('Zgłoszenia'!$H$5:$H$504,MATCH(H502,'Zgłoszenia'!$S$5:$S$504,0)),RIGHT("0"&amp;DAY((A502+1)),2)&amp;"."&amp;RIGHT("0"&amp;MONTH((A502+1)),2)&amp;"."&amp;YEAR((A502+1))&amp;": "&amp;INDEX('Zgłoszenia'!$H$5:$H$504,MATCH(F502&amp;"|"&amp;(A502+1),'Zgłoszenia'!$S$5:$S$504,0)))&amp;IF(K502&gt;1," (+"&amp;(K502-1)&amp;")",""))</f>
        <v/>
      </c>
      <c r="M502" s="63" t="n">
        <v>7</v>
      </c>
      <c r="N502" s="2" t="n"/>
      <c r="O502" s="2" t="n"/>
    </row>
    <row r="503">
      <c r="A503" s="62">
        <f>IF('7'!$C$1="","",'7'!$C$1)</f>
        <v/>
      </c>
      <c r="B503" s="63">
        <f>Ustawienia!$A$8&amp;""</f>
        <v/>
      </c>
      <c r="C503" s="63">
        <f>Ustawienia!$A$16&amp;""</f>
        <v/>
      </c>
      <c r="D503" s="63" t="n">
        <v>2</v>
      </c>
      <c r="E503" s="63">
        <f>IF('7'!B23="","",TRIM('7'!B23&amp;""))</f>
        <v/>
      </c>
      <c r="F503" s="63">
        <f>IF('7'!C23="","",'7'!C23)</f>
        <v/>
      </c>
      <c r="G503" s="63">
        <f>'7'!D23&amp;""</f>
        <v/>
      </c>
      <c r="H503" s="63">
        <f>IF(OR(A503="",F503=""),"",F503&amp;"|"&amp;A503)</f>
        <v/>
      </c>
      <c r="I503" s="63">
        <f>IF(AND(H503&lt;&gt;"",OR('Historia wózka'!$B$4="",F503='Historia wózka'!$B$4),A503&gt;='Historia wózka'!$B$5,A503&lt;='Historia wózka'!$B$6),A503+0.9+(5000-ROW())/10000000,0)</f>
        <v/>
      </c>
      <c r="J503" s="63">
        <f>Ustawienia!$B$8&amp;""</f>
        <v/>
      </c>
      <c r="K503" s="63">
        <f>IF(H503="","",COUNTIFS('Zgłoszenia'!$B$5:$B$504,F503,'Zgłoszenia'!$D$5:$D$504,"&gt;="&amp;A503,'Zgłoszenia'!$D$5:$D$504,"&lt;="&amp;(A503+1)))</f>
        <v/>
      </c>
      <c r="L503" s="63">
        <f>IF(OR(H503="",K503=0),"—",IF(ISNUMBER(MATCH(H503,'Zgłoszenia'!$S$5:$S$504,0)),RIGHT("0"&amp;DAY(A503),2)&amp;"."&amp;RIGHT("0"&amp;MONTH(A503),2)&amp;"."&amp;YEAR(A503)&amp;": "&amp;INDEX('Zgłoszenia'!$H$5:$H$504,MATCH(H503,'Zgłoszenia'!$S$5:$S$504,0)),RIGHT("0"&amp;DAY((A503+1)),2)&amp;"."&amp;RIGHT("0"&amp;MONTH((A503+1)),2)&amp;"."&amp;YEAR((A503+1))&amp;": "&amp;INDEX('Zgłoszenia'!$H$5:$H$504,MATCH(F503&amp;"|"&amp;(A503+1),'Zgłoszenia'!$S$5:$S$504,0)))&amp;IF(K503&gt;1," (+"&amp;(K503-1)&amp;")",""))</f>
        <v/>
      </c>
      <c r="M503" s="63" t="n">
        <v>7</v>
      </c>
      <c r="N503" s="2" t="n"/>
      <c r="O503" s="2" t="n"/>
    </row>
    <row r="504">
      <c r="A504" s="62">
        <f>IF('7'!$C$1="","",'7'!$C$1)</f>
        <v/>
      </c>
      <c r="B504" s="63">
        <f>Ustawienia!$A$8&amp;""</f>
        <v/>
      </c>
      <c r="C504" s="63">
        <f>Ustawienia!$A$16&amp;""</f>
        <v/>
      </c>
      <c r="D504" s="63" t="n">
        <v>3</v>
      </c>
      <c r="E504" s="63">
        <f>IF('7'!B24="","",TRIM('7'!B24&amp;""))</f>
        <v/>
      </c>
      <c r="F504" s="63">
        <f>IF('7'!C24="","",'7'!C24)</f>
        <v/>
      </c>
      <c r="G504" s="63">
        <f>'7'!D24&amp;""</f>
        <v/>
      </c>
      <c r="H504" s="63">
        <f>IF(OR(A504="",F504=""),"",F504&amp;"|"&amp;A504)</f>
        <v/>
      </c>
      <c r="I504" s="63">
        <f>IF(AND(H504&lt;&gt;"",OR('Historia wózka'!$B$4="",F504='Historia wózka'!$B$4),A504&gt;='Historia wózka'!$B$5,A504&lt;='Historia wózka'!$B$6),A504+0.9+(5000-ROW())/10000000,0)</f>
        <v/>
      </c>
      <c r="J504" s="63">
        <f>Ustawienia!$B$8&amp;""</f>
        <v/>
      </c>
      <c r="K504" s="63">
        <f>IF(H504="","",COUNTIFS('Zgłoszenia'!$B$5:$B$504,F504,'Zgłoszenia'!$D$5:$D$504,"&gt;="&amp;A504,'Zgłoszenia'!$D$5:$D$504,"&lt;="&amp;(A504+1)))</f>
        <v/>
      </c>
      <c r="L504" s="63">
        <f>IF(OR(H504="",K504=0),"—",IF(ISNUMBER(MATCH(H504,'Zgłoszenia'!$S$5:$S$504,0)),RIGHT("0"&amp;DAY(A504),2)&amp;"."&amp;RIGHT("0"&amp;MONTH(A504),2)&amp;"."&amp;YEAR(A504)&amp;": "&amp;INDEX('Zgłoszenia'!$H$5:$H$504,MATCH(H504,'Zgłoszenia'!$S$5:$S$504,0)),RIGHT("0"&amp;DAY((A504+1)),2)&amp;"."&amp;RIGHT("0"&amp;MONTH((A504+1)),2)&amp;"."&amp;YEAR((A504+1))&amp;": "&amp;INDEX('Zgłoszenia'!$H$5:$H$504,MATCH(F504&amp;"|"&amp;(A504+1),'Zgłoszenia'!$S$5:$S$504,0)))&amp;IF(K504&gt;1," (+"&amp;(K504-1)&amp;")",""))</f>
        <v/>
      </c>
      <c r="M504" s="63" t="n">
        <v>7</v>
      </c>
      <c r="N504" s="2" t="n"/>
      <c r="O504" s="2" t="n"/>
    </row>
    <row r="505">
      <c r="A505" s="62">
        <f>IF('7'!$C$1="","",'7'!$C$1)</f>
        <v/>
      </c>
      <c r="B505" s="63">
        <f>Ustawienia!$A$8&amp;""</f>
        <v/>
      </c>
      <c r="C505" s="63">
        <f>Ustawienia!$A$16&amp;""</f>
        <v/>
      </c>
      <c r="D505" s="63" t="n">
        <v>4</v>
      </c>
      <c r="E505" s="63">
        <f>IF('7'!B25="","",TRIM('7'!B25&amp;""))</f>
        <v/>
      </c>
      <c r="F505" s="63">
        <f>IF('7'!C25="","",'7'!C25)</f>
        <v/>
      </c>
      <c r="G505" s="63">
        <f>'7'!D25&amp;""</f>
        <v/>
      </c>
      <c r="H505" s="63">
        <f>IF(OR(A505="",F505=""),"",F505&amp;"|"&amp;A505)</f>
        <v/>
      </c>
      <c r="I505" s="63">
        <f>IF(AND(H505&lt;&gt;"",OR('Historia wózka'!$B$4="",F505='Historia wózka'!$B$4),A505&gt;='Historia wózka'!$B$5,A505&lt;='Historia wózka'!$B$6),A505+0.9+(5000-ROW())/10000000,0)</f>
        <v/>
      </c>
      <c r="J505" s="63">
        <f>Ustawienia!$B$8&amp;""</f>
        <v/>
      </c>
      <c r="K505" s="63">
        <f>IF(H505="","",COUNTIFS('Zgłoszenia'!$B$5:$B$504,F505,'Zgłoszenia'!$D$5:$D$504,"&gt;="&amp;A505,'Zgłoszenia'!$D$5:$D$504,"&lt;="&amp;(A505+1)))</f>
        <v/>
      </c>
      <c r="L505" s="63">
        <f>IF(OR(H505="",K505=0),"—",IF(ISNUMBER(MATCH(H505,'Zgłoszenia'!$S$5:$S$504,0)),RIGHT("0"&amp;DAY(A505),2)&amp;"."&amp;RIGHT("0"&amp;MONTH(A505),2)&amp;"."&amp;YEAR(A505)&amp;": "&amp;INDEX('Zgłoszenia'!$H$5:$H$504,MATCH(H505,'Zgłoszenia'!$S$5:$S$504,0)),RIGHT("0"&amp;DAY((A505+1)),2)&amp;"."&amp;RIGHT("0"&amp;MONTH((A505+1)),2)&amp;"."&amp;YEAR((A505+1))&amp;": "&amp;INDEX('Zgłoszenia'!$H$5:$H$504,MATCH(F505&amp;"|"&amp;(A505+1),'Zgłoszenia'!$S$5:$S$504,0)))&amp;IF(K505&gt;1," (+"&amp;(K505-1)&amp;")",""))</f>
        <v/>
      </c>
      <c r="M505" s="63" t="n">
        <v>7</v>
      </c>
      <c r="N505" s="2" t="n"/>
      <c r="O505" s="2" t="n"/>
    </row>
    <row r="506">
      <c r="A506" s="62">
        <f>IF('7'!$C$1="","",'7'!$C$1)</f>
        <v/>
      </c>
      <c r="B506" s="63">
        <f>Ustawienia!$A$8&amp;""</f>
        <v/>
      </c>
      <c r="C506" s="63">
        <f>Ustawienia!$A$17&amp;""</f>
        <v/>
      </c>
      <c r="D506" s="63" t="n">
        <v>1</v>
      </c>
      <c r="E506" s="63">
        <f>IF('7'!B27="","",TRIM('7'!B27&amp;""))</f>
        <v/>
      </c>
      <c r="F506" s="63">
        <f>IF('7'!C27="","",'7'!C27)</f>
        <v/>
      </c>
      <c r="G506" s="63">
        <f>'7'!D27&amp;""</f>
        <v/>
      </c>
      <c r="H506" s="63">
        <f>IF(OR(A506="",F506=""),"",F506&amp;"|"&amp;A506)</f>
        <v/>
      </c>
      <c r="I506" s="63">
        <f>IF(AND(H506&lt;&gt;"",OR('Historia wózka'!$B$4="",F506='Historia wózka'!$B$4),A506&gt;='Historia wózka'!$B$5,A506&lt;='Historia wózka'!$B$6),A506+0.9+(5000-ROW())/10000000,0)</f>
        <v/>
      </c>
      <c r="J506" s="63">
        <f>Ustawienia!$B$8&amp;""</f>
        <v/>
      </c>
      <c r="K506" s="63">
        <f>IF(H506="","",COUNTIFS('Zgłoszenia'!$B$5:$B$504,F506,'Zgłoszenia'!$D$5:$D$504,"&gt;="&amp;A506,'Zgłoszenia'!$D$5:$D$504,"&lt;="&amp;(A506+1)))</f>
        <v/>
      </c>
      <c r="L506" s="63">
        <f>IF(OR(H506="",K506=0),"—",IF(ISNUMBER(MATCH(H506,'Zgłoszenia'!$S$5:$S$504,0)),RIGHT("0"&amp;DAY(A506),2)&amp;"."&amp;RIGHT("0"&amp;MONTH(A506),2)&amp;"."&amp;YEAR(A506)&amp;": "&amp;INDEX('Zgłoszenia'!$H$5:$H$504,MATCH(H506,'Zgłoszenia'!$S$5:$S$504,0)),RIGHT("0"&amp;DAY((A506+1)),2)&amp;"."&amp;RIGHT("0"&amp;MONTH((A506+1)),2)&amp;"."&amp;YEAR((A506+1))&amp;": "&amp;INDEX('Zgłoszenia'!$H$5:$H$504,MATCH(F506&amp;"|"&amp;(A506+1),'Zgłoszenia'!$S$5:$S$504,0)))&amp;IF(K506&gt;1," (+"&amp;(K506-1)&amp;")",""))</f>
        <v/>
      </c>
      <c r="M506" s="63" t="n">
        <v>7</v>
      </c>
      <c r="N506" s="2" t="n"/>
      <c r="O506" s="2" t="n"/>
    </row>
    <row r="507">
      <c r="A507" s="62">
        <f>IF('7'!$C$1="","",'7'!$C$1)</f>
        <v/>
      </c>
      <c r="B507" s="63">
        <f>Ustawienia!$A$8&amp;""</f>
        <v/>
      </c>
      <c r="C507" s="63">
        <f>Ustawienia!$A$17&amp;""</f>
        <v/>
      </c>
      <c r="D507" s="63" t="n">
        <v>2</v>
      </c>
      <c r="E507" s="63">
        <f>IF('7'!B28="","",TRIM('7'!B28&amp;""))</f>
        <v/>
      </c>
      <c r="F507" s="63">
        <f>IF('7'!C28="","",'7'!C28)</f>
        <v/>
      </c>
      <c r="G507" s="63">
        <f>'7'!D28&amp;""</f>
        <v/>
      </c>
      <c r="H507" s="63">
        <f>IF(OR(A507="",F507=""),"",F507&amp;"|"&amp;A507)</f>
        <v/>
      </c>
      <c r="I507" s="63">
        <f>IF(AND(H507&lt;&gt;"",OR('Historia wózka'!$B$4="",F507='Historia wózka'!$B$4),A507&gt;='Historia wózka'!$B$5,A507&lt;='Historia wózka'!$B$6),A507+0.9+(5000-ROW())/10000000,0)</f>
        <v/>
      </c>
      <c r="J507" s="63">
        <f>Ustawienia!$B$8&amp;""</f>
        <v/>
      </c>
      <c r="K507" s="63">
        <f>IF(H507="","",COUNTIFS('Zgłoszenia'!$B$5:$B$504,F507,'Zgłoszenia'!$D$5:$D$504,"&gt;="&amp;A507,'Zgłoszenia'!$D$5:$D$504,"&lt;="&amp;(A507+1)))</f>
        <v/>
      </c>
      <c r="L507" s="63">
        <f>IF(OR(H507="",K507=0),"—",IF(ISNUMBER(MATCH(H507,'Zgłoszenia'!$S$5:$S$504,0)),RIGHT("0"&amp;DAY(A507),2)&amp;"."&amp;RIGHT("0"&amp;MONTH(A507),2)&amp;"."&amp;YEAR(A507)&amp;": "&amp;INDEX('Zgłoszenia'!$H$5:$H$504,MATCH(H507,'Zgłoszenia'!$S$5:$S$504,0)),RIGHT("0"&amp;DAY((A507+1)),2)&amp;"."&amp;RIGHT("0"&amp;MONTH((A507+1)),2)&amp;"."&amp;YEAR((A507+1))&amp;": "&amp;INDEX('Zgłoszenia'!$H$5:$H$504,MATCH(F507&amp;"|"&amp;(A507+1),'Zgłoszenia'!$S$5:$S$504,0)))&amp;IF(K507&gt;1," (+"&amp;(K507-1)&amp;")",""))</f>
        <v/>
      </c>
      <c r="M507" s="63" t="n">
        <v>7</v>
      </c>
      <c r="N507" s="2" t="n"/>
      <c r="O507" s="2" t="n"/>
    </row>
    <row r="508">
      <c r="A508" s="62">
        <f>IF('7'!$C$1="","",'7'!$C$1)</f>
        <v/>
      </c>
      <c r="B508" s="63">
        <f>Ustawienia!$A$8&amp;""</f>
        <v/>
      </c>
      <c r="C508" s="63">
        <f>Ustawienia!$A$17&amp;""</f>
        <v/>
      </c>
      <c r="D508" s="63" t="n">
        <v>3</v>
      </c>
      <c r="E508" s="63">
        <f>IF('7'!B29="","",TRIM('7'!B29&amp;""))</f>
        <v/>
      </c>
      <c r="F508" s="63">
        <f>IF('7'!C29="","",'7'!C29)</f>
        <v/>
      </c>
      <c r="G508" s="63">
        <f>'7'!D29&amp;""</f>
        <v/>
      </c>
      <c r="H508" s="63">
        <f>IF(OR(A508="",F508=""),"",F508&amp;"|"&amp;A508)</f>
        <v/>
      </c>
      <c r="I508" s="63">
        <f>IF(AND(H508&lt;&gt;"",OR('Historia wózka'!$B$4="",F508='Historia wózka'!$B$4),A508&gt;='Historia wózka'!$B$5,A508&lt;='Historia wózka'!$B$6),A508+0.9+(5000-ROW())/10000000,0)</f>
        <v/>
      </c>
      <c r="J508" s="63">
        <f>Ustawienia!$B$8&amp;""</f>
        <v/>
      </c>
      <c r="K508" s="63">
        <f>IF(H508="","",COUNTIFS('Zgłoszenia'!$B$5:$B$504,F508,'Zgłoszenia'!$D$5:$D$504,"&gt;="&amp;A508,'Zgłoszenia'!$D$5:$D$504,"&lt;="&amp;(A508+1)))</f>
        <v/>
      </c>
      <c r="L508" s="63">
        <f>IF(OR(H508="",K508=0),"—",IF(ISNUMBER(MATCH(H508,'Zgłoszenia'!$S$5:$S$504,0)),RIGHT("0"&amp;DAY(A508),2)&amp;"."&amp;RIGHT("0"&amp;MONTH(A508),2)&amp;"."&amp;YEAR(A508)&amp;": "&amp;INDEX('Zgłoszenia'!$H$5:$H$504,MATCH(H508,'Zgłoszenia'!$S$5:$S$504,0)),RIGHT("0"&amp;DAY((A508+1)),2)&amp;"."&amp;RIGHT("0"&amp;MONTH((A508+1)),2)&amp;"."&amp;YEAR((A508+1))&amp;": "&amp;INDEX('Zgłoszenia'!$H$5:$H$504,MATCH(F508&amp;"|"&amp;(A508+1),'Zgłoszenia'!$S$5:$S$504,0)))&amp;IF(K508&gt;1," (+"&amp;(K508-1)&amp;")",""))</f>
        <v/>
      </c>
      <c r="M508" s="63" t="n">
        <v>7</v>
      </c>
      <c r="N508" s="2" t="n"/>
      <c r="O508" s="2" t="n"/>
    </row>
    <row r="509">
      <c r="A509" s="62">
        <f>IF('7'!$C$1="","",'7'!$C$1)</f>
        <v/>
      </c>
      <c r="B509" s="63">
        <f>Ustawienia!$A$8&amp;""</f>
        <v/>
      </c>
      <c r="C509" s="63">
        <f>Ustawienia!$A$17&amp;""</f>
        <v/>
      </c>
      <c r="D509" s="63" t="n">
        <v>4</v>
      </c>
      <c r="E509" s="63">
        <f>IF('7'!B30="","",TRIM('7'!B30&amp;""))</f>
        <v/>
      </c>
      <c r="F509" s="63">
        <f>IF('7'!C30="","",'7'!C30)</f>
        <v/>
      </c>
      <c r="G509" s="63">
        <f>'7'!D30&amp;""</f>
        <v/>
      </c>
      <c r="H509" s="63">
        <f>IF(OR(A509="",F509=""),"",F509&amp;"|"&amp;A509)</f>
        <v/>
      </c>
      <c r="I509" s="63">
        <f>IF(AND(H509&lt;&gt;"",OR('Historia wózka'!$B$4="",F509='Historia wózka'!$B$4),A509&gt;='Historia wózka'!$B$5,A509&lt;='Historia wózka'!$B$6),A509+0.9+(5000-ROW())/10000000,0)</f>
        <v/>
      </c>
      <c r="J509" s="63">
        <f>Ustawienia!$B$8&amp;""</f>
        <v/>
      </c>
      <c r="K509" s="63">
        <f>IF(H509="","",COUNTIFS('Zgłoszenia'!$B$5:$B$504,F509,'Zgłoszenia'!$D$5:$D$504,"&gt;="&amp;A509,'Zgłoszenia'!$D$5:$D$504,"&lt;="&amp;(A509+1)))</f>
        <v/>
      </c>
      <c r="L509" s="63">
        <f>IF(OR(H509="",K509=0),"—",IF(ISNUMBER(MATCH(H509,'Zgłoszenia'!$S$5:$S$504,0)),RIGHT("0"&amp;DAY(A509),2)&amp;"."&amp;RIGHT("0"&amp;MONTH(A509),2)&amp;"."&amp;YEAR(A509)&amp;": "&amp;INDEX('Zgłoszenia'!$H$5:$H$504,MATCH(H509,'Zgłoszenia'!$S$5:$S$504,0)),RIGHT("0"&amp;DAY((A509+1)),2)&amp;"."&amp;RIGHT("0"&amp;MONTH((A509+1)),2)&amp;"."&amp;YEAR((A509+1))&amp;": "&amp;INDEX('Zgłoszenia'!$H$5:$H$504,MATCH(F509&amp;"|"&amp;(A509+1),'Zgłoszenia'!$S$5:$S$504,0)))&amp;IF(K509&gt;1," (+"&amp;(K509-1)&amp;")",""))</f>
        <v/>
      </c>
      <c r="M509" s="63" t="n">
        <v>7</v>
      </c>
      <c r="N509" s="2" t="n"/>
      <c r="O509" s="2" t="n"/>
    </row>
    <row r="510">
      <c r="A510" s="62">
        <f>IF('7'!$C$1="","",'7'!$C$1)</f>
        <v/>
      </c>
      <c r="B510" s="63">
        <f>Ustawienia!$A$8&amp;""</f>
        <v/>
      </c>
      <c r="C510" s="63">
        <f>Ustawienia!$A$18&amp;""</f>
        <v/>
      </c>
      <c r="D510" s="63" t="n">
        <v>1</v>
      </c>
      <c r="E510" s="63">
        <f>IF('7'!B32="","",TRIM('7'!B32&amp;""))</f>
        <v/>
      </c>
      <c r="F510" s="63">
        <f>IF('7'!C32="","",'7'!C32)</f>
        <v/>
      </c>
      <c r="G510" s="63">
        <f>'7'!D32&amp;""</f>
        <v/>
      </c>
      <c r="H510" s="63">
        <f>IF(OR(A510="",F510=""),"",F510&amp;"|"&amp;A510)</f>
        <v/>
      </c>
      <c r="I510" s="63">
        <f>IF(AND(H510&lt;&gt;"",OR('Historia wózka'!$B$4="",F510='Historia wózka'!$B$4),A510&gt;='Historia wózka'!$B$5,A510&lt;='Historia wózka'!$B$6),A510+0.9+(5000-ROW())/10000000,0)</f>
        <v/>
      </c>
      <c r="J510" s="63">
        <f>Ustawienia!$B$8&amp;""</f>
        <v/>
      </c>
      <c r="K510" s="63">
        <f>IF(H510="","",COUNTIFS('Zgłoszenia'!$B$5:$B$504,F510,'Zgłoszenia'!$D$5:$D$504,"&gt;="&amp;A510,'Zgłoszenia'!$D$5:$D$504,"&lt;="&amp;(A510+1)))</f>
        <v/>
      </c>
      <c r="L510" s="63">
        <f>IF(OR(H510="",K510=0),"—",IF(ISNUMBER(MATCH(H510,'Zgłoszenia'!$S$5:$S$504,0)),RIGHT("0"&amp;DAY(A510),2)&amp;"."&amp;RIGHT("0"&amp;MONTH(A510),2)&amp;"."&amp;YEAR(A510)&amp;": "&amp;INDEX('Zgłoszenia'!$H$5:$H$504,MATCH(H510,'Zgłoszenia'!$S$5:$S$504,0)),RIGHT("0"&amp;DAY((A510+1)),2)&amp;"."&amp;RIGHT("0"&amp;MONTH((A510+1)),2)&amp;"."&amp;YEAR((A510+1))&amp;": "&amp;INDEX('Zgłoszenia'!$H$5:$H$504,MATCH(F510&amp;"|"&amp;(A510+1),'Zgłoszenia'!$S$5:$S$504,0)))&amp;IF(K510&gt;1," (+"&amp;(K510-1)&amp;")",""))</f>
        <v/>
      </c>
      <c r="M510" s="63" t="n">
        <v>7</v>
      </c>
      <c r="N510" s="2" t="n"/>
      <c r="O510" s="2" t="n"/>
    </row>
    <row r="511">
      <c r="A511" s="62">
        <f>IF('7'!$C$1="","",'7'!$C$1)</f>
        <v/>
      </c>
      <c r="B511" s="63">
        <f>Ustawienia!$A$8&amp;""</f>
        <v/>
      </c>
      <c r="C511" s="63">
        <f>Ustawienia!$A$18&amp;""</f>
        <v/>
      </c>
      <c r="D511" s="63" t="n">
        <v>2</v>
      </c>
      <c r="E511" s="63">
        <f>IF('7'!B33="","",TRIM('7'!B33&amp;""))</f>
        <v/>
      </c>
      <c r="F511" s="63">
        <f>IF('7'!C33="","",'7'!C33)</f>
        <v/>
      </c>
      <c r="G511" s="63">
        <f>'7'!D33&amp;""</f>
        <v/>
      </c>
      <c r="H511" s="63">
        <f>IF(OR(A511="",F511=""),"",F511&amp;"|"&amp;A511)</f>
        <v/>
      </c>
      <c r="I511" s="63">
        <f>IF(AND(H511&lt;&gt;"",OR('Historia wózka'!$B$4="",F511='Historia wózka'!$B$4),A511&gt;='Historia wózka'!$B$5,A511&lt;='Historia wózka'!$B$6),A511+0.9+(5000-ROW())/10000000,0)</f>
        <v/>
      </c>
      <c r="J511" s="63">
        <f>Ustawienia!$B$8&amp;""</f>
        <v/>
      </c>
      <c r="K511" s="63">
        <f>IF(H511="","",COUNTIFS('Zgłoszenia'!$B$5:$B$504,F511,'Zgłoszenia'!$D$5:$D$504,"&gt;="&amp;A511,'Zgłoszenia'!$D$5:$D$504,"&lt;="&amp;(A511+1)))</f>
        <v/>
      </c>
      <c r="L511" s="63">
        <f>IF(OR(H511="",K511=0),"—",IF(ISNUMBER(MATCH(H511,'Zgłoszenia'!$S$5:$S$504,0)),RIGHT("0"&amp;DAY(A511),2)&amp;"."&amp;RIGHT("0"&amp;MONTH(A511),2)&amp;"."&amp;YEAR(A511)&amp;": "&amp;INDEX('Zgłoszenia'!$H$5:$H$504,MATCH(H511,'Zgłoszenia'!$S$5:$S$504,0)),RIGHT("0"&amp;DAY((A511+1)),2)&amp;"."&amp;RIGHT("0"&amp;MONTH((A511+1)),2)&amp;"."&amp;YEAR((A511+1))&amp;": "&amp;INDEX('Zgłoszenia'!$H$5:$H$504,MATCH(F511&amp;"|"&amp;(A511+1),'Zgłoszenia'!$S$5:$S$504,0)))&amp;IF(K511&gt;1," (+"&amp;(K511-1)&amp;")",""))</f>
        <v/>
      </c>
      <c r="M511" s="63" t="n">
        <v>7</v>
      </c>
      <c r="N511" s="2" t="n"/>
      <c r="O511" s="2" t="n"/>
    </row>
    <row r="512">
      <c r="A512" s="62">
        <f>IF('7'!$C$1="","",'7'!$C$1)</f>
        <v/>
      </c>
      <c r="B512" s="63">
        <f>Ustawienia!$A$8&amp;""</f>
        <v/>
      </c>
      <c r="C512" s="63">
        <f>Ustawienia!$A$18&amp;""</f>
        <v/>
      </c>
      <c r="D512" s="63" t="n">
        <v>3</v>
      </c>
      <c r="E512" s="63">
        <f>IF('7'!B34="","",TRIM('7'!B34&amp;""))</f>
        <v/>
      </c>
      <c r="F512" s="63">
        <f>IF('7'!C34="","",'7'!C34)</f>
        <v/>
      </c>
      <c r="G512" s="63">
        <f>'7'!D34&amp;""</f>
        <v/>
      </c>
      <c r="H512" s="63">
        <f>IF(OR(A512="",F512=""),"",F512&amp;"|"&amp;A512)</f>
        <v/>
      </c>
      <c r="I512" s="63">
        <f>IF(AND(H512&lt;&gt;"",OR('Historia wózka'!$B$4="",F512='Historia wózka'!$B$4),A512&gt;='Historia wózka'!$B$5,A512&lt;='Historia wózka'!$B$6),A512+0.9+(5000-ROW())/10000000,0)</f>
        <v/>
      </c>
      <c r="J512" s="63">
        <f>Ustawienia!$B$8&amp;""</f>
        <v/>
      </c>
      <c r="K512" s="63">
        <f>IF(H512="","",COUNTIFS('Zgłoszenia'!$B$5:$B$504,F512,'Zgłoszenia'!$D$5:$D$504,"&gt;="&amp;A512,'Zgłoszenia'!$D$5:$D$504,"&lt;="&amp;(A512+1)))</f>
        <v/>
      </c>
      <c r="L512" s="63">
        <f>IF(OR(H512="",K512=0),"—",IF(ISNUMBER(MATCH(H512,'Zgłoszenia'!$S$5:$S$504,0)),RIGHT("0"&amp;DAY(A512),2)&amp;"."&amp;RIGHT("0"&amp;MONTH(A512),2)&amp;"."&amp;YEAR(A512)&amp;": "&amp;INDEX('Zgłoszenia'!$H$5:$H$504,MATCH(H512,'Zgłoszenia'!$S$5:$S$504,0)),RIGHT("0"&amp;DAY((A512+1)),2)&amp;"."&amp;RIGHT("0"&amp;MONTH((A512+1)),2)&amp;"."&amp;YEAR((A512+1))&amp;": "&amp;INDEX('Zgłoszenia'!$H$5:$H$504,MATCH(F512&amp;"|"&amp;(A512+1),'Zgłoszenia'!$S$5:$S$504,0)))&amp;IF(K512&gt;1," (+"&amp;(K512-1)&amp;")",""))</f>
        <v/>
      </c>
      <c r="M512" s="63" t="n">
        <v>7</v>
      </c>
      <c r="N512" s="2" t="n"/>
      <c r="O512" s="2" t="n"/>
    </row>
    <row r="513">
      <c r="A513" s="62">
        <f>IF('7'!$C$1="","",'7'!$C$1)</f>
        <v/>
      </c>
      <c r="B513" s="63">
        <f>Ustawienia!$A$8&amp;""</f>
        <v/>
      </c>
      <c r="C513" s="63">
        <f>Ustawienia!$A$18&amp;""</f>
        <v/>
      </c>
      <c r="D513" s="63" t="n">
        <v>4</v>
      </c>
      <c r="E513" s="63">
        <f>IF('7'!B35="","",TRIM('7'!B35&amp;""))</f>
        <v/>
      </c>
      <c r="F513" s="63">
        <f>IF('7'!C35="","",'7'!C35)</f>
        <v/>
      </c>
      <c r="G513" s="63">
        <f>'7'!D35&amp;""</f>
        <v/>
      </c>
      <c r="H513" s="63">
        <f>IF(OR(A513="",F513=""),"",F513&amp;"|"&amp;A513)</f>
        <v/>
      </c>
      <c r="I513" s="63">
        <f>IF(AND(H513&lt;&gt;"",OR('Historia wózka'!$B$4="",F513='Historia wózka'!$B$4),A513&gt;='Historia wózka'!$B$5,A513&lt;='Historia wózka'!$B$6),A513+0.9+(5000-ROW())/10000000,0)</f>
        <v/>
      </c>
      <c r="J513" s="63">
        <f>Ustawienia!$B$8&amp;""</f>
        <v/>
      </c>
      <c r="K513" s="63">
        <f>IF(H513="","",COUNTIFS('Zgłoszenia'!$B$5:$B$504,F513,'Zgłoszenia'!$D$5:$D$504,"&gt;="&amp;A513,'Zgłoszenia'!$D$5:$D$504,"&lt;="&amp;(A513+1)))</f>
        <v/>
      </c>
      <c r="L513" s="63">
        <f>IF(OR(H513="",K513=0),"—",IF(ISNUMBER(MATCH(H513,'Zgłoszenia'!$S$5:$S$504,0)),RIGHT("0"&amp;DAY(A513),2)&amp;"."&amp;RIGHT("0"&amp;MONTH(A513),2)&amp;"."&amp;YEAR(A513)&amp;": "&amp;INDEX('Zgłoszenia'!$H$5:$H$504,MATCH(H513,'Zgłoszenia'!$S$5:$S$504,0)),RIGHT("0"&amp;DAY((A513+1)),2)&amp;"."&amp;RIGHT("0"&amp;MONTH((A513+1)),2)&amp;"."&amp;YEAR((A513+1))&amp;": "&amp;INDEX('Zgłoszenia'!$H$5:$H$504,MATCH(F513&amp;"|"&amp;(A513+1),'Zgłoszenia'!$S$5:$S$504,0)))&amp;IF(K513&gt;1," (+"&amp;(K513-1)&amp;")",""))</f>
        <v/>
      </c>
      <c r="M513" s="63" t="n">
        <v>7</v>
      </c>
      <c r="N513" s="2" t="n"/>
      <c r="O513" s="2" t="n"/>
    </row>
    <row r="514">
      <c r="A514" s="62">
        <f>IF('7'!$C$1="","",'7'!$C$1)</f>
        <v/>
      </c>
      <c r="B514" s="63">
        <f>Ustawienia!$A$8&amp;""</f>
        <v/>
      </c>
      <c r="C514" s="63">
        <f>Ustawienia!$A$18&amp;""</f>
        <v/>
      </c>
      <c r="D514" s="63" t="n">
        <v>5</v>
      </c>
      <c r="E514" s="63">
        <f>IF('7'!B36="","",TRIM('7'!B36&amp;""))</f>
        <v/>
      </c>
      <c r="F514" s="63">
        <f>IF('7'!C36="","",'7'!C36)</f>
        <v/>
      </c>
      <c r="G514" s="63">
        <f>'7'!D36&amp;""</f>
        <v/>
      </c>
      <c r="H514" s="63">
        <f>IF(OR(A514="",F514=""),"",F514&amp;"|"&amp;A514)</f>
        <v/>
      </c>
      <c r="I514" s="63">
        <f>IF(AND(H514&lt;&gt;"",OR('Historia wózka'!$B$4="",F514='Historia wózka'!$B$4),A514&gt;='Historia wózka'!$B$5,A514&lt;='Historia wózka'!$B$6),A514+0.9+(5000-ROW())/10000000,0)</f>
        <v/>
      </c>
      <c r="J514" s="63">
        <f>Ustawienia!$B$8&amp;""</f>
        <v/>
      </c>
      <c r="K514" s="63">
        <f>IF(H514="","",COUNTIFS('Zgłoszenia'!$B$5:$B$504,F514,'Zgłoszenia'!$D$5:$D$504,"&gt;="&amp;A514,'Zgłoszenia'!$D$5:$D$504,"&lt;="&amp;(A514+1)))</f>
        <v/>
      </c>
      <c r="L514" s="63">
        <f>IF(OR(H514="",K514=0),"—",IF(ISNUMBER(MATCH(H514,'Zgłoszenia'!$S$5:$S$504,0)),RIGHT("0"&amp;DAY(A514),2)&amp;"."&amp;RIGHT("0"&amp;MONTH(A514),2)&amp;"."&amp;YEAR(A514)&amp;": "&amp;INDEX('Zgłoszenia'!$H$5:$H$504,MATCH(H514,'Zgłoszenia'!$S$5:$S$504,0)),RIGHT("0"&amp;DAY((A514+1)),2)&amp;"."&amp;RIGHT("0"&amp;MONTH((A514+1)),2)&amp;"."&amp;YEAR((A514+1))&amp;": "&amp;INDEX('Zgłoszenia'!$H$5:$H$504,MATCH(F514&amp;"|"&amp;(A514+1),'Zgłoszenia'!$S$5:$S$504,0)))&amp;IF(K514&gt;1," (+"&amp;(K514-1)&amp;")",""))</f>
        <v/>
      </c>
      <c r="M514" s="63" t="n">
        <v>7</v>
      </c>
      <c r="N514" s="2" t="n"/>
      <c r="O514" s="2" t="n"/>
    </row>
    <row r="515">
      <c r="A515" s="62">
        <f>IF('7'!$C$1="","",'7'!$C$1)</f>
        <v/>
      </c>
      <c r="B515" s="63">
        <f>Ustawienia!$A$9&amp;""</f>
        <v/>
      </c>
      <c r="C515" s="63">
        <f>Ustawienia!$A$14&amp;""</f>
        <v/>
      </c>
      <c r="D515" s="63" t="n">
        <v>1</v>
      </c>
      <c r="E515" s="63">
        <f>IF('7'!F6="","",TRIM('7'!F6&amp;""))</f>
        <v/>
      </c>
      <c r="F515" s="63">
        <f>IF('7'!G6="","",'7'!G6)</f>
        <v/>
      </c>
      <c r="G515" s="63">
        <f>'7'!H6&amp;""</f>
        <v/>
      </c>
      <c r="H515" s="63">
        <f>IF(OR(A515="",F515=""),"",F515&amp;"|"&amp;A515)</f>
        <v/>
      </c>
      <c r="I515" s="63">
        <f>IF(AND(H515&lt;&gt;"",OR('Historia wózka'!$B$4="",F515='Historia wózka'!$B$4),A515&gt;='Historia wózka'!$B$5,A515&lt;='Historia wózka'!$B$6),A515+0.8+(5000-ROW())/10000000,0)</f>
        <v/>
      </c>
      <c r="J515" s="63">
        <f>Ustawienia!$B$9&amp;""</f>
        <v/>
      </c>
      <c r="K515" s="63">
        <f>IF(H515="","",COUNTIFS('Zgłoszenia'!$B$5:$B$504,F515,'Zgłoszenia'!$D$5:$D$504,"&gt;="&amp;A515,'Zgłoszenia'!$D$5:$D$504,"&lt;="&amp;(A515+1)))</f>
        <v/>
      </c>
      <c r="L515" s="63">
        <f>IF(OR(H515="",K515=0),"—",IF(ISNUMBER(MATCH(H515,'Zgłoszenia'!$S$5:$S$504,0)),RIGHT("0"&amp;DAY(A515),2)&amp;"."&amp;RIGHT("0"&amp;MONTH(A515),2)&amp;"."&amp;YEAR(A515)&amp;": "&amp;INDEX('Zgłoszenia'!$H$5:$H$504,MATCH(H515,'Zgłoszenia'!$S$5:$S$504,0)),RIGHT("0"&amp;DAY((A515+1)),2)&amp;"."&amp;RIGHT("0"&amp;MONTH((A515+1)),2)&amp;"."&amp;YEAR((A515+1))&amp;": "&amp;INDEX('Zgłoszenia'!$H$5:$H$504,MATCH(F515&amp;"|"&amp;(A515+1),'Zgłoszenia'!$S$5:$S$504,0)))&amp;IF(K515&gt;1," (+"&amp;(K515-1)&amp;")",""))</f>
        <v/>
      </c>
      <c r="M515" s="63" t="n">
        <v>7</v>
      </c>
      <c r="N515" s="2" t="n"/>
      <c r="O515" s="2" t="n"/>
    </row>
    <row r="516">
      <c r="A516" s="62">
        <f>IF('7'!$C$1="","",'7'!$C$1)</f>
        <v/>
      </c>
      <c r="B516" s="63">
        <f>Ustawienia!$A$9&amp;""</f>
        <v/>
      </c>
      <c r="C516" s="63">
        <f>Ustawienia!$A$14&amp;""</f>
        <v/>
      </c>
      <c r="D516" s="63" t="n">
        <v>2</v>
      </c>
      <c r="E516" s="63">
        <f>IF('7'!F7="","",TRIM('7'!F7&amp;""))</f>
        <v/>
      </c>
      <c r="F516" s="63">
        <f>IF('7'!G7="","",'7'!G7)</f>
        <v/>
      </c>
      <c r="G516" s="63">
        <f>'7'!H7&amp;""</f>
        <v/>
      </c>
      <c r="H516" s="63">
        <f>IF(OR(A516="",F516=""),"",F516&amp;"|"&amp;A516)</f>
        <v/>
      </c>
      <c r="I516" s="63">
        <f>IF(AND(H516&lt;&gt;"",OR('Historia wózka'!$B$4="",F516='Historia wózka'!$B$4),A516&gt;='Historia wózka'!$B$5,A516&lt;='Historia wózka'!$B$6),A516+0.8+(5000-ROW())/10000000,0)</f>
        <v/>
      </c>
      <c r="J516" s="63">
        <f>Ustawienia!$B$9&amp;""</f>
        <v/>
      </c>
      <c r="K516" s="63">
        <f>IF(H516="","",COUNTIFS('Zgłoszenia'!$B$5:$B$504,F516,'Zgłoszenia'!$D$5:$D$504,"&gt;="&amp;A516,'Zgłoszenia'!$D$5:$D$504,"&lt;="&amp;(A516+1)))</f>
        <v/>
      </c>
      <c r="L516" s="63">
        <f>IF(OR(H516="",K516=0),"—",IF(ISNUMBER(MATCH(H516,'Zgłoszenia'!$S$5:$S$504,0)),RIGHT("0"&amp;DAY(A516),2)&amp;"."&amp;RIGHT("0"&amp;MONTH(A516),2)&amp;"."&amp;YEAR(A516)&amp;": "&amp;INDEX('Zgłoszenia'!$H$5:$H$504,MATCH(H516,'Zgłoszenia'!$S$5:$S$504,0)),RIGHT("0"&amp;DAY((A516+1)),2)&amp;"."&amp;RIGHT("0"&amp;MONTH((A516+1)),2)&amp;"."&amp;YEAR((A516+1))&amp;": "&amp;INDEX('Zgłoszenia'!$H$5:$H$504,MATCH(F516&amp;"|"&amp;(A516+1),'Zgłoszenia'!$S$5:$S$504,0)))&amp;IF(K516&gt;1," (+"&amp;(K516-1)&amp;")",""))</f>
        <v/>
      </c>
      <c r="M516" s="63" t="n">
        <v>7</v>
      </c>
      <c r="N516" s="2" t="n"/>
      <c r="O516" s="2" t="n"/>
    </row>
    <row r="517">
      <c r="A517" s="62">
        <f>IF('7'!$C$1="","",'7'!$C$1)</f>
        <v/>
      </c>
      <c r="B517" s="63">
        <f>Ustawienia!$A$9&amp;""</f>
        <v/>
      </c>
      <c r="C517" s="63">
        <f>Ustawienia!$A$14&amp;""</f>
        <v/>
      </c>
      <c r="D517" s="63" t="n">
        <v>3</v>
      </c>
      <c r="E517" s="63">
        <f>IF('7'!F8="","",TRIM('7'!F8&amp;""))</f>
        <v/>
      </c>
      <c r="F517" s="63">
        <f>IF('7'!G8="","",'7'!G8)</f>
        <v/>
      </c>
      <c r="G517" s="63">
        <f>'7'!H8&amp;""</f>
        <v/>
      </c>
      <c r="H517" s="63">
        <f>IF(OR(A517="",F517=""),"",F517&amp;"|"&amp;A517)</f>
        <v/>
      </c>
      <c r="I517" s="63">
        <f>IF(AND(H517&lt;&gt;"",OR('Historia wózka'!$B$4="",F517='Historia wózka'!$B$4),A517&gt;='Historia wózka'!$B$5,A517&lt;='Historia wózka'!$B$6),A517+0.8+(5000-ROW())/10000000,0)</f>
        <v/>
      </c>
      <c r="J517" s="63">
        <f>Ustawienia!$B$9&amp;""</f>
        <v/>
      </c>
      <c r="K517" s="63">
        <f>IF(H517="","",COUNTIFS('Zgłoszenia'!$B$5:$B$504,F517,'Zgłoszenia'!$D$5:$D$504,"&gt;="&amp;A517,'Zgłoszenia'!$D$5:$D$504,"&lt;="&amp;(A517+1)))</f>
        <v/>
      </c>
      <c r="L517" s="63">
        <f>IF(OR(H517="",K517=0),"—",IF(ISNUMBER(MATCH(H517,'Zgłoszenia'!$S$5:$S$504,0)),RIGHT("0"&amp;DAY(A517),2)&amp;"."&amp;RIGHT("0"&amp;MONTH(A517),2)&amp;"."&amp;YEAR(A517)&amp;": "&amp;INDEX('Zgłoszenia'!$H$5:$H$504,MATCH(H517,'Zgłoszenia'!$S$5:$S$504,0)),RIGHT("0"&amp;DAY((A517+1)),2)&amp;"."&amp;RIGHT("0"&amp;MONTH((A517+1)),2)&amp;"."&amp;YEAR((A517+1))&amp;": "&amp;INDEX('Zgłoszenia'!$H$5:$H$504,MATCH(F517&amp;"|"&amp;(A517+1),'Zgłoszenia'!$S$5:$S$504,0)))&amp;IF(K517&gt;1," (+"&amp;(K517-1)&amp;")",""))</f>
        <v/>
      </c>
      <c r="M517" s="63" t="n">
        <v>7</v>
      </c>
      <c r="N517" s="2" t="n"/>
      <c r="O517" s="2" t="n"/>
    </row>
    <row r="518">
      <c r="A518" s="62">
        <f>IF('7'!$C$1="","",'7'!$C$1)</f>
        <v/>
      </c>
      <c r="B518" s="63">
        <f>Ustawienia!$A$9&amp;""</f>
        <v/>
      </c>
      <c r="C518" s="63">
        <f>Ustawienia!$A$14&amp;""</f>
        <v/>
      </c>
      <c r="D518" s="63" t="n">
        <v>4</v>
      </c>
      <c r="E518" s="63">
        <f>IF('7'!F9="","",TRIM('7'!F9&amp;""))</f>
        <v/>
      </c>
      <c r="F518" s="63">
        <f>IF('7'!G9="","",'7'!G9)</f>
        <v/>
      </c>
      <c r="G518" s="63">
        <f>'7'!H9&amp;""</f>
        <v/>
      </c>
      <c r="H518" s="63">
        <f>IF(OR(A518="",F518=""),"",F518&amp;"|"&amp;A518)</f>
        <v/>
      </c>
      <c r="I518" s="63">
        <f>IF(AND(H518&lt;&gt;"",OR('Historia wózka'!$B$4="",F518='Historia wózka'!$B$4),A518&gt;='Historia wózka'!$B$5,A518&lt;='Historia wózka'!$B$6),A518+0.8+(5000-ROW())/10000000,0)</f>
        <v/>
      </c>
      <c r="J518" s="63">
        <f>Ustawienia!$B$9&amp;""</f>
        <v/>
      </c>
      <c r="K518" s="63">
        <f>IF(H518="","",COUNTIFS('Zgłoszenia'!$B$5:$B$504,F518,'Zgłoszenia'!$D$5:$D$504,"&gt;="&amp;A518,'Zgłoszenia'!$D$5:$D$504,"&lt;="&amp;(A518+1)))</f>
        <v/>
      </c>
      <c r="L518" s="63">
        <f>IF(OR(H518="",K518=0),"—",IF(ISNUMBER(MATCH(H518,'Zgłoszenia'!$S$5:$S$504,0)),RIGHT("0"&amp;DAY(A518),2)&amp;"."&amp;RIGHT("0"&amp;MONTH(A518),2)&amp;"."&amp;YEAR(A518)&amp;": "&amp;INDEX('Zgłoszenia'!$H$5:$H$504,MATCH(H518,'Zgłoszenia'!$S$5:$S$504,0)),RIGHT("0"&amp;DAY((A518+1)),2)&amp;"."&amp;RIGHT("0"&amp;MONTH((A518+1)),2)&amp;"."&amp;YEAR((A518+1))&amp;": "&amp;INDEX('Zgłoszenia'!$H$5:$H$504,MATCH(F518&amp;"|"&amp;(A518+1),'Zgłoszenia'!$S$5:$S$504,0)))&amp;IF(K518&gt;1," (+"&amp;(K518-1)&amp;")",""))</f>
        <v/>
      </c>
      <c r="M518" s="63" t="n">
        <v>7</v>
      </c>
      <c r="N518" s="2" t="n"/>
      <c r="O518" s="2" t="n"/>
    </row>
    <row r="519">
      <c r="A519" s="62">
        <f>IF('7'!$C$1="","",'7'!$C$1)</f>
        <v/>
      </c>
      <c r="B519" s="63">
        <f>Ustawienia!$A$9&amp;""</f>
        <v/>
      </c>
      <c r="C519" s="63">
        <f>Ustawienia!$A$14&amp;""</f>
        <v/>
      </c>
      <c r="D519" s="63" t="n">
        <v>5</v>
      </c>
      <c r="E519" s="63">
        <f>IF('7'!F10="","",TRIM('7'!F10&amp;""))</f>
        <v/>
      </c>
      <c r="F519" s="63">
        <f>IF('7'!G10="","",'7'!G10)</f>
        <v/>
      </c>
      <c r="G519" s="63">
        <f>'7'!H10&amp;""</f>
        <v/>
      </c>
      <c r="H519" s="63">
        <f>IF(OR(A519="",F519=""),"",F519&amp;"|"&amp;A519)</f>
        <v/>
      </c>
      <c r="I519" s="63">
        <f>IF(AND(H519&lt;&gt;"",OR('Historia wózka'!$B$4="",F519='Historia wózka'!$B$4),A519&gt;='Historia wózka'!$B$5,A519&lt;='Historia wózka'!$B$6),A519+0.8+(5000-ROW())/10000000,0)</f>
        <v/>
      </c>
      <c r="J519" s="63">
        <f>Ustawienia!$B$9&amp;""</f>
        <v/>
      </c>
      <c r="K519" s="63">
        <f>IF(H519="","",COUNTIFS('Zgłoszenia'!$B$5:$B$504,F519,'Zgłoszenia'!$D$5:$D$504,"&gt;="&amp;A519,'Zgłoszenia'!$D$5:$D$504,"&lt;="&amp;(A519+1)))</f>
        <v/>
      </c>
      <c r="L519" s="63">
        <f>IF(OR(H519="",K519=0),"—",IF(ISNUMBER(MATCH(H519,'Zgłoszenia'!$S$5:$S$504,0)),RIGHT("0"&amp;DAY(A519),2)&amp;"."&amp;RIGHT("0"&amp;MONTH(A519),2)&amp;"."&amp;YEAR(A519)&amp;": "&amp;INDEX('Zgłoszenia'!$H$5:$H$504,MATCH(H519,'Zgłoszenia'!$S$5:$S$504,0)),RIGHT("0"&amp;DAY((A519+1)),2)&amp;"."&amp;RIGHT("0"&amp;MONTH((A519+1)),2)&amp;"."&amp;YEAR((A519+1))&amp;": "&amp;INDEX('Zgłoszenia'!$H$5:$H$504,MATCH(F519&amp;"|"&amp;(A519+1),'Zgłoszenia'!$S$5:$S$504,0)))&amp;IF(K519&gt;1," (+"&amp;(K519-1)&amp;")",""))</f>
        <v/>
      </c>
      <c r="M519" s="63" t="n">
        <v>7</v>
      </c>
      <c r="N519" s="2" t="n"/>
      <c r="O519" s="2" t="n"/>
    </row>
    <row r="520">
      <c r="A520" s="62">
        <f>IF('7'!$C$1="","",'7'!$C$1)</f>
        <v/>
      </c>
      <c r="B520" s="63">
        <f>Ustawienia!$A$9&amp;""</f>
        <v/>
      </c>
      <c r="C520" s="63">
        <f>Ustawienia!$A$14&amp;""</f>
        <v/>
      </c>
      <c r="D520" s="63" t="n">
        <v>6</v>
      </c>
      <c r="E520" s="63">
        <f>IF('7'!F11="","",TRIM('7'!F11&amp;""))</f>
        <v/>
      </c>
      <c r="F520" s="63">
        <f>IF('7'!G11="","",'7'!G11)</f>
        <v/>
      </c>
      <c r="G520" s="63">
        <f>'7'!H11&amp;""</f>
        <v/>
      </c>
      <c r="H520" s="63">
        <f>IF(OR(A520="",F520=""),"",F520&amp;"|"&amp;A520)</f>
        <v/>
      </c>
      <c r="I520" s="63">
        <f>IF(AND(H520&lt;&gt;"",OR('Historia wózka'!$B$4="",F520='Historia wózka'!$B$4),A520&gt;='Historia wózka'!$B$5,A520&lt;='Historia wózka'!$B$6),A520+0.8+(5000-ROW())/10000000,0)</f>
        <v/>
      </c>
      <c r="J520" s="63">
        <f>Ustawienia!$B$9&amp;""</f>
        <v/>
      </c>
      <c r="K520" s="63">
        <f>IF(H520="","",COUNTIFS('Zgłoszenia'!$B$5:$B$504,F520,'Zgłoszenia'!$D$5:$D$504,"&gt;="&amp;A520,'Zgłoszenia'!$D$5:$D$504,"&lt;="&amp;(A520+1)))</f>
        <v/>
      </c>
      <c r="L520" s="63">
        <f>IF(OR(H520="",K520=0),"—",IF(ISNUMBER(MATCH(H520,'Zgłoszenia'!$S$5:$S$504,0)),RIGHT("0"&amp;DAY(A520),2)&amp;"."&amp;RIGHT("0"&amp;MONTH(A520),2)&amp;"."&amp;YEAR(A520)&amp;": "&amp;INDEX('Zgłoszenia'!$H$5:$H$504,MATCH(H520,'Zgłoszenia'!$S$5:$S$504,0)),RIGHT("0"&amp;DAY((A520+1)),2)&amp;"."&amp;RIGHT("0"&amp;MONTH((A520+1)),2)&amp;"."&amp;YEAR((A520+1))&amp;": "&amp;INDEX('Zgłoszenia'!$H$5:$H$504,MATCH(F520&amp;"|"&amp;(A520+1),'Zgłoszenia'!$S$5:$S$504,0)))&amp;IF(K520&gt;1," (+"&amp;(K520-1)&amp;")",""))</f>
        <v/>
      </c>
      <c r="M520" s="63" t="n">
        <v>7</v>
      </c>
      <c r="N520" s="2" t="n"/>
      <c r="O520" s="2" t="n"/>
    </row>
    <row r="521">
      <c r="A521" s="62">
        <f>IF('7'!$C$1="","",'7'!$C$1)</f>
        <v/>
      </c>
      <c r="B521" s="63">
        <f>Ustawienia!$A$9&amp;""</f>
        <v/>
      </c>
      <c r="C521" s="63">
        <f>Ustawienia!$A$15&amp;""</f>
        <v/>
      </c>
      <c r="D521" s="63" t="n">
        <v>1</v>
      </c>
      <c r="E521" s="63">
        <f>IF('7'!F13="","",TRIM('7'!F13&amp;""))</f>
        <v/>
      </c>
      <c r="F521" s="63">
        <f>IF('7'!G13="","",'7'!G13)</f>
        <v/>
      </c>
      <c r="G521" s="63">
        <f>'7'!H13&amp;""</f>
        <v/>
      </c>
      <c r="H521" s="63">
        <f>IF(OR(A521="",F521=""),"",F521&amp;"|"&amp;A521)</f>
        <v/>
      </c>
      <c r="I521" s="63">
        <f>IF(AND(H521&lt;&gt;"",OR('Historia wózka'!$B$4="",F521='Historia wózka'!$B$4),A521&gt;='Historia wózka'!$B$5,A521&lt;='Historia wózka'!$B$6),A521+0.8+(5000-ROW())/10000000,0)</f>
        <v/>
      </c>
      <c r="J521" s="63">
        <f>Ustawienia!$B$9&amp;""</f>
        <v/>
      </c>
      <c r="K521" s="63">
        <f>IF(H521="","",COUNTIFS('Zgłoszenia'!$B$5:$B$504,F521,'Zgłoszenia'!$D$5:$D$504,"&gt;="&amp;A521,'Zgłoszenia'!$D$5:$D$504,"&lt;="&amp;(A521+1)))</f>
        <v/>
      </c>
      <c r="L521" s="63">
        <f>IF(OR(H521="",K521=0),"—",IF(ISNUMBER(MATCH(H521,'Zgłoszenia'!$S$5:$S$504,0)),RIGHT("0"&amp;DAY(A521),2)&amp;"."&amp;RIGHT("0"&amp;MONTH(A521),2)&amp;"."&amp;YEAR(A521)&amp;": "&amp;INDEX('Zgłoszenia'!$H$5:$H$504,MATCH(H521,'Zgłoszenia'!$S$5:$S$504,0)),RIGHT("0"&amp;DAY((A521+1)),2)&amp;"."&amp;RIGHT("0"&amp;MONTH((A521+1)),2)&amp;"."&amp;YEAR((A521+1))&amp;": "&amp;INDEX('Zgłoszenia'!$H$5:$H$504,MATCH(F521&amp;"|"&amp;(A521+1),'Zgłoszenia'!$S$5:$S$504,0)))&amp;IF(K521&gt;1," (+"&amp;(K521-1)&amp;")",""))</f>
        <v/>
      </c>
      <c r="M521" s="63" t="n">
        <v>7</v>
      </c>
      <c r="N521" s="2" t="n"/>
      <c r="O521" s="2" t="n"/>
    </row>
    <row r="522">
      <c r="A522" s="62">
        <f>IF('7'!$C$1="","",'7'!$C$1)</f>
        <v/>
      </c>
      <c r="B522" s="63">
        <f>Ustawienia!$A$9&amp;""</f>
        <v/>
      </c>
      <c r="C522" s="63">
        <f>Ustawienia!$A$15&amp;""</f>
        <v/>
      </c>
      <c r="D522" s="63" t="n">
        <v>2</v>
      </c>
      <c r="E522" s="63">
        <f>IF('7'!F14="","",TRIM('7'!F14&amp;""))</f>
        <v/>
      </c>
      <c r="F522" s="63">
        <f>IF('7'!G14="","",'7'!G14)</f>
        <v/>
      </c>
      <c r="G522" s="63">
        <f>'7'!H14&amp;""</f>
        <v/>
      </c>
      <c r="H522" s="63">
        <f>IF(OR(A522="",F522=""),"",F522&amp;"|"&amp;A522)</f>
        <v/>
      </c>
      <c r="I522" s="63">
        <f>IF(AND(H522&lt;&gt;"",OR('Historia wózka'!$B$4="",F522='Historia wózka'!$B$4),A522&gt;='Historia wózka'!$B$5,A522&lt;='Historia wózka'!$B$6),A522+0.8+(5000-ROW())/10000000,0)</f>
        <v/>
      </c>
      <c r="J522" s="63">
        <f>Ustawienia!$B$9&amp;""</f>
        <v/>
      </c>
      <c r="K522" s="63">
        <f>IF(H522="","",COUNTIFS('Zgłoszenia'!$B$5:$B$504,F522,'Zgłoszenia'!$D$5:$D$504,"&gt;="&amp;A522,'Zgłoszenia'!$D$5:$D$504,"&lt;="&amp;(A522+1)))</f>
        <v/>
      </c>
      <c r="L522" s="63">
        <f>IF(OR(H522="",K522=0),"—",IF(ISNUMBER(MATCH(H522,'Zgłoszenia'!$S$5:$S$504,0)),RIGHT("0"&amp;DAY(A522),2)&amp;"."&amp;RIGHT("0"&amp;MONTH(A522),2)&amp;"."&amp;YEAR(A522)&amp;": "&amp;INDEX('Zgłoszenia'!$H$5:$H$504,MATCH(H522,'Zgłoszenia'!$S$5:$S$504,0)),RIGHT("0"&amp;DAY((A522+1)),2)&amp;"."&amp;RIGHT("0"&amp;MONTH((A522+1)),2)&amp;"."&amp;YEAR((A522+1))&amp;": "&amp;INDEX('Zgłoszenia'!$H$5:$H$504,MATCH(F522&amp;"|"&amp;(A522+1),'Zgłoszenia'!$S$5:$S$504,0)))&amp;IF(K522&gt;1," (+"&amp;(K522-1)&amp;")",""))</f>
        <v/>
      </c>
      <c r="M522" s="63" t="n">
        <v>7</v>
      </c>
      <c r="N522" s="2" t="n"/>
      <c r="O522" s="2" t="n"/>
    </row>
    <row r="523">
      <c r="A523" s="62">
        <f>IF('7'!$C$1="","",'7'!$C$1)</f>
        <v/>
      </c>
      <c r="B523" s="63">
        <f>Ustawienia!$A$9&amp;""</f>
        <v/>
      </c>
      <c r="C523" s="63">
        <f>Ustawienia!$A$15&amp;""</f>
        <v/>
      </c>
      <c r="D523" s="63" t="n">
        <v>3</v>
      </c>
      <c r="E523" s="63">
        <f>IF('7'!F15="","",TRIM('7'!F15&amp;""))</f>
        <v/>
      </c>
      <c r="F523" s="63">
        <f>IF('7'!G15="","",'7'!G15)</f>
        <v/>
      </c>
      <c r="G523" s="63">
        <f>'7'!H15&amp;""</f>
        <v/>
      </c>
      <c r="H523" s="63">
        <f>IF(OR(A523="",F523=""),"",F523&amp;"|"&amp;A523)</f>
        <v/>
      </c>
      <c r="I523" s="63">
        <f>IF(AND(H523&lt;&gt;"",OR('Historia wózka'!$B$4="",F523='Historia wózka'!$B$4),A523&gt;='Historia wózka'!$B$5,A523&lt;='Historia wózka'!$B$6),A523+0.8+(5000-ROW())/10000000,0)</f>
        <v/>
      </c>
      <c r="J523" s="63">
        <f>Ustawienia!$B$9&amp;""</f>
        <v/>
      </c>
      <c r="K523" s="63">
        <f>IF(H523="","",COUNTIFS('Zgłoszenia'!$B$5:$B$504,F523,'Zgłoszenia'!$D$5:$D$504,"&gt;="&amp;A523,'Zgłoszenia'!$D$5:$D$504,"&lt;="&amp;(A523+1)))</f>
        <v/>
      </c>
      <c r="L523" s="63">
        <f>IF(OR(H523="",K523=0),"—",IF(ISNUMBER(MATCH(H523,'Zgłoszenia'!$S$5:$S$504,0)),RIGHT("0"&amp;DAY(A523),2)&amp;"."&amp;RIGHT("0"&amp;MONTH(A523),2)&amp;"."&amp;YEAR(A523)&amp;": "&amp;INDEX('Zgłoszenia'!$H$5:$H$504,MATCH(H523,'Zgłoszenia'!$S$5:$S$504,0)),RIGHT("0"&amp;DAY((A523+1)),2)&amp;"."&amp;RIGHT("0"&amp;MONTH((A523+1)),2)&amp;"."&amp;YEAR((A523+1))&amp;": "&amp;INDEX('Zgłoszenia'!$H$5:$H$504,MATCH(F523&amp;"|"&amp;(A523+1),'Zgłoszenia'!$S$5:$S$504,0)))&amp;IF(K523&gt;1," (+"&amp;(K523-1)&amp;")",""))</f>
        <v/>
      </c>
      <c r="M523" s="63" t="n">
        <v>7</v>
      </c>
      <c r="N523" s="2" t="n"/>
      <c r="O523" s="2" t="n"/>
    </row>
    <row r="524">
      <c r="A524" s="62">
        <f>IF('7'!$C$1="","",'7'!$C$1)</f>
        <v/>
      </c>
      <c r="B524" s="63">
        <f>Ustawienia!$A$9&amp;""</f>
        <v/>
      </c>
      <c r="C524" s="63">
        <f>Ustawienia!$A$15&amp;""</f>
        <v/>
      </c>
      <c r="D524" s="63" t="n">
        <v>4</v>
      </c>
      <c r="E524" s="63">
        <f>IF('7'!F16="","",TRIM('7'!F16&amp;""))</f>
        <v/>
      </c>
      <c r="F524" s="63">
        <f>IF('7'!G16="","",'7'!G16)</f>
        <v/>
      </c>
      <c r="G524" s="63">
        <f>'7'!H16&amp;""</f>
        <v/>
      </c>
      <c r="H524" s="63">
        <f>IF(OR(A524="",F524=""),"",F524&amp;"|"&amp;A524)</f>
        <v/>
      </c>
      <c r="I524" s="63">
        <f>IF(AND(H524&lt;&gt;"",OR('Historia wózka'!$B$4="",F524='Historia wózka'!$B$4),A524&gt;='Historia wózka'!$B$5,A524&lt;='Historia wózka'!$B$6),A524+0.8+(5000-ROW())/10000000,0)</f>
        <v/>
      </c>
      <c r="J524" s="63">
        <f>Ustawienia!$B$9&amp;""</f>
        <v/>
      </c>
      <c r="K524" s="63">
        <f>IF(H524="","",COUNTIFS('Zgłoszenia'!$B$5:$B$504,F524,'Zgłoszenia'!$D$5:$D$504,"&gt;="&amp;A524,'Zgłoszenia'!$D$5:$D$504,"&lt;="&amp;(A524+1)))</f>
        <v/>
      </c>
      <c r="L524" s="63">
        <f>IF(OR(H524="",K524=0),"—",IF(ISNUMBER(MATCH(H524,'Zgłoszenia'!$S$5:$S$504,0)),RIGHT("0"&amp;DAY(A524),2)&amp;"."&amp;RIGHT("0"&amp;MONTH(A524),2)&amp;"."&amp;YEAR(A524)&amp;": "&amp;INDEX('Zgłoszenia'!$H$5:$H$504,MATCH(H524,'Zgłoszenia'!$S$5:$S$504,0)),RIGHT("0"&amp;DAY((A524+1)),2)&amp;"."&amp;RIGHT("0"&amp;MONTH((A524+1)),2)&amp;"."&amp;YEAR((A524+1))&amp;": "&amp;INDEX('Zgłoszenia'!$H$5:$H$504,MATCH(F524&amp;"|"&amp;(A524+1),'Zgłoszenia'!$S$5:$S$504,0)))&amp;IF(K524&gt;1," (+"&amp;(K524-1)&amp;")",""))</f>
        <v/>
      </c>
      <c r="M524" s="63" t="n">
        <v>7</v>
      </c>
      <c r="N524" s="2" t="n"/>
      <c r="O524" s="2" t="n"/>
    </row>
    <row r="525">
      <c r="A525" s="62">
        <f>IF('7'!$C$1="","",'7'!$C$1)</f>
        <v/>
      </c>
      <c r="B525" s="63">
        <f>Ustawienia!$A$9&amp;""</f>
        <v/>
      </c>
      <c r="C525" s="63">
        <f>Ustawienia!$A$15&amp;""</f>
        <v/>
      </c>
      <c r="D525" s="63" t="n">
        <v>5</v>
      </c>
      <c r="E525" s="63">
        <f>IF('7'!F17="","",TRIM('7'!F17&amp;""))</f>
        <v/>
      </c>
      <c r="F525" s="63">
        <f>IF('7'!G17="","",'7'!G17)</f>
        <v/>
      </c>
      <c r="G525" s="63">
        <f>'7'!H17&amp;""</f>
        <v/>
      </c>
      <c r="H525" s="63">
        <f>IF(OR(A525="",F525=""),"",F525&amp;"|"&amp;A525)</f>
        <v/>
      </c>
      <c r="I525" s="63">
        <f>IF(AND(H525&lt;&gt;"",OR('Historia wózka'!$B$4="",F525='Historia wózka'!$B$4),A525&gt;='Historia wózka'!$B$5,A525&lt;='Historia wózka'!$B$6),A525+0.8+(5000-ROW())/10000000,0)</f>
        <v/>
      </c>
      <c r="J525" s="63">
        <f>Ustawienia!$B$9&amp;""</f>
        <v/>
      </c>
      <c r="K525" s="63">
        <f>IF(H525="","",COUNTIFS('Zgłoszenia'!$B$5:$B$504,F525,'Zgłoszenia'!$D$5:$D$504,"&gt;="&amp;A525,'Zgłoszenia'!$D$5:$D$504,"&lt;="&amp;(A525+1)))</f>
        <v/>
      </c>
      <c r="L525" s="63">
        <f>IF(OR(H525="",K525=0),"—",IF(ISNUMBER(MATCH(H525,'Zgłoszenia'!$S$5:$S$504,0)),RIGHT("0"&amp;DAY(A525),2)&amp;"."&amp;RIGHT("0"&amp;MONTH(A525),2)&amp;"."&amp;YEAR(A525)&amp;": "&amp;INDEX('Zgłoszenia'!$H$5:$H$504,MATCH(H525,'Zgłoszenia'!$S$5:$S$504,0)),RIGHT("0"&amp;DAY((A525+1)),2)&amp;"."&amp;RIGHT("0"&amp;MONTH((A525+1)),2)&amp;"."&amp;YEAR((A525+1))&amp;": "&amp;INDEX('Zgłoszenia'!$H$5:$H$504,MATCH(F525&amp;"|"&amp;(A525+1),'Zgłoszenia'!$S$5:$S$504,0)))&amp;IF(K525&gt;1," (+"&amp;(K525-1)&amp;")",""))</f>
        <v/>
      </c>
      <c r="M525" s="63" t="n">
        <v>7</v>
      </c>
      <c r="N525" s="2" t="n"/>
      <c r="O525" s="2" t="n"/>
    </row>
    <row r="526">
      <c r="A526" s="62">
        <f>IF('7'!$C$1="","",'7'!$C$1)</f>
        <v/>
      </c>
      <c r="B526" s="63">
        <f>Ustawienia!$A$9&amp;""</f>
        <v/>
      </c>
      <c r="C526" s="63">
        <f>Ustawienia!$A$15&amp;""</f>
        <v/>
      </c>
      <c r="D526" s="63" t="n">
        <v>6</v>
      </c>
      <c r="E526" s="63">
        <f>IF('7'!F18="","",TRIM('7'!F18&amp;""))</f>
        <v/>
      </c>
      <c r="F526" s="63">
        <f>IF('7'!G18="","",'7'!G18)</f>
        <v/>
      </c>
      <c r="G526" s="63">
        <f>'7'!H18&amp;""</f>
        <v/>
      </c>
      <c r="H526" s="63">
        <f>IF(OR(A526="",F526=""),"",F526&amp;"|"&amp;A526)</f>
        <v/>
      </c>
      <c r="I526" s="63">
        <f>IF(AND(H526&lt;&gt;"",OR('Historia wózka'!$B$4="",F526='Historia wózka'!$B$4),A526&gt;='Historia wózka'!$B$5,A526&lt;='Historia wózka'!$B$6),A526+0.8+(5000-ROW())/10000000,0)</f>
        <v/>
      </c>
      <c r="J526" s="63">
        <f>Ustawienia!$B$9&amp;""</f>
        <v/>
      </c>
      <c r="K526" s="63">
        <f>IF(H526="","",COUNTIFS('Zgłoszenia'!$B$5:$B$504,F526,'Zgłoszenia'!$D$5:$D$504,"&gt;="&amp;A526,'Zgłoszenia'!$D$5:$D$504,"&lt;="&amp;(A526+1)))</f>
        <v/>
      </c>
      <c r="L526" s="63">
        <f>IF(OR(H526="",K526=0),"—",IF(ISNUMBER(MATCH(H526,'Zgłoszenia'!$S$5:$S$504,0)),RIGHT("0"&amp;DAY(A526),2)&amp;"."&amp;RIGHT("0"&amp;MONTH(A526),2)&amp;"."&amp;YEAR(A526)&amp;": "&amp;INDEX('Zgłoszenia'!$H$5:$H$504,MATCH(H526,'Zgłoszenia'!$S$5:$S$504,0)),RIGHT("0"&amp;DAY((A526+1)),2)&amp;"."&amp;RIGHT("0"&amp;MONTH((A526+1)),2)&amp;"."&amp;YEAR((A526+1))&amp;": "&amp;INDEX('Zgłoszenia'!$H$5:$H$504,MATCH(F526&amp;"|"&amp;(A526+1),'Zgłoszenia'!$S$5:$S$504,0)))&amp;IF(K526&gt;1," (+"&amp;(K526-1)&amp;")",""))</f>
        <v/>
      </c>
      <c r="M526" s="63" t="n">
        <v>7</v>
      </c>
      <c r="N526" s="2" t="n"/>
      <c r="O526" s="2" t="n"/>
    </row>
    <row r="527">
      <c r="A527" s="62">
        <f>IF('7'!$C$1="","",'7'!$C$1)</f>
        <v/>
      </c>
      <c r="B527" s="63">
        <f>Ustawienia!$A$9&amp;""</f>
        <v/>
      </c>
      <c r="C527" s="63">
        <f>Ustawienia!$A$15&amp;""</f>
        <v/>
      </c>
      <c r="D527" s="63" t="n">
        <v>7</v>
      </c>
      <c r="E527" s="63">
        <f>IF('7'!F19="","",TRIM('7'!F19&amp;""))</f>
        <v/>
      </c>
      <c r="F527" s="63">
        <f>IF('7'!G19="","",'7'!G19)</f>
        <v/>
      </c>
      <c r="G527" s="63">
        <f>'7'!H19&amp;""</f>
        <v/>
      </c>
      <c r="H527" s="63">
        <f>IF(OR(A527="",F527=""),"",F527&amp;"|"&amp;A527)</f>
        <v/>
      </c>
      <c r="I527" s="63">
        <f>IF(AND(H527&lt;&gt;"",OR('Historia wózka'!$B$4="",F527='Historia wózka'!$B$4),A527&gt;='Historia wózka'!$B$5,A527&lt;='Historia wózka'!$B$6),A527+0.8+(5000-ROW())/10000000,0)</f>
        <v/>
      </c>
      <c r="J527" s="63">
        <f>Ustawienia!$B$9&amp;""</f>
        <v/>
      </c>
      <c r="K527" s="63">
        <f>IF(H527="","",COUNTIFS('Zgłoszenia'!$B$5:$B$504,F527,'Zgłoszenia'!$D$5:$D$504,"&gt;="&amp;A527,'Zgłoszenia'!$D$5:$D$504,"&lt;="&amp;(A527+1)))</f>
        <v/>
      </c>
      <c r="L527" s="63">
        <f>IF(OR(H527="",K527=0),"—",IF(ISNUMBER(MATCH(H527,'Zgłoszenia'!$S$5:$S$504,0)),RIGHT("0"&amp;DAY(A527),2)&amp;"."&amp;RIGHT("0"&amp;MONTH(A527),2)&amp;"."&amp;YEAR(A527)&amp;": "&amp;INDEX('Zgłoszenia'!$H$5:$H$504,MATCH(H527,'Zgłoszenia'!$S$5:$S$504,0)),RIGHT("0"&amp;DAY((A527+1)),2)&amp;"."&amp;RIGHT("0"&amp;MONTH((A527+1)),2)&amp;"."&amp;YEAR((A527+1))&amp;": "&amp;INDEX('Zgłoszenia'!$H$5:$H$504,MATCH(F527&amp;"|"&amp;(A527+1),'Zgłoszenia'!$S$5:$S$504,0)))&amp;IF(K527&gt;1," (+"&amp;(K527-1)&amp;")",""))</f>
        <v/>
      </c>
      <c r="M527" s="63" t="n">
        <v>7</v>
      </c>
      <c r="N527" s="2" t="n"/>
      <c r="O527" s="2" t="n"/>
    </row>
    <row r="528">
      <c r="A528" s="62">
        <f>IF('7'!$C$1="","",'7'!$C$1)</f>
        <v/>
      </c>
      <c r="B528" s="63">
        <f>Ustawienia!$A$9&amp;""</f>
        <v/>
      </c>
      <c r="C528" s="63">
        <f>Ustawienia!$A$15&amp;""</f>
        <v/>
      </c>
      <c r="D528" s="63" t="n">
        <v>8</v>
      </c>
      <c r="E528" s="63">
        <f>IF('7'!F20="","",TRIM('7'!F20&amp;""))</f>
        <v/>
      </c>
      <c r="F528" s="63">
        <f>IF('7'!G20="","",'7'!G20)</f>
        <v/>
      </c>
      <c r="G528" s="63">
        <f>'7'!H20&amp;""</f>
        <v/>
      </c>
      <c r="H528" s="63">
        <f>IF(OR(A528="",F528=""),"",F528&amp;"|"&amp;A528)</f>
        <v/>
      </c>
      <c r="I528" s="63">
        <f>IF(AND(H528&lt;&gt;"",OR('Historia wózka'!$B$4="",F528='Historia wózka'!$B$4),A528&gt;='Historia wózka'!$B$5,A528&lt;='Historia wózka'!$B$6),A528+0.8+(5000-ROW())/10000000,0)</f>
        <v/>
      </c>
      <c r="J528" s="63">
        <f>Ustawienia!$B$9&amp;""</f>
        <v/>
      </c>
      <c r="K528" s="63">
        <f>IF(H528="","",COUNTIFS('Zgłoszenia'!$B$5:$B$504,F528,'Zgłoszenia'!$D$5:$D$504,"&gt;="&amp;A528,'Zgłoszenia'!$D$5:$D$504,"&lt;="&amp;(A528+1)))</f>
        <v/>
      </c>
      <c r="L528" s="63">
        <f>IF(OR(H528="",K528=0),"—",IF(ISNUMBER(MATCH(H528,'Zgłoszenia'!$S$5:$S$504,0)),RIGHT("0"&amp;DAY(A528),2)&amp;"."&amp;RIGHT("0"&amp;MONTH(A528),2)&amp;"."&amp;YEAR(A528)&amp;": "&amp;INDEX('Zgłoszenia'!$H$5:$H$504,MATCH(H528,'Zgłoszenia'!$S$5:$S$504,0)),RIGHT("0"&amp;DAY((A528+1)),2)&amp;"."&amp;RIGHT("0"&amp;MONTH((A528+1)),2)&amp;"."&amp;YEAR((A528+1))&amp;": "&amp;INDEX('Zgłoszenia'!$H$5:$H$504,MATCH(F528&amp;"|"&amp;(A528+1),'Zgłoszenia'!$S$5:$S$504,0)))&amp;IF(K528&gt;1," (+"&amp;(K528-1)&amp;")",""))</f>
        <v/>
      </c>
      <c r="M528" s="63" t="n">
        <v>7</v>
      </c>
      <c r="N528" s="2" t="n"/>
      <c r="O528" s="2" t="n"/>
    </row>
    <row r="529">
      <c r="A529" s="62">
        <f>IF('7'!$C$1="","",'7'!$C$1)</f>
        <v/>
      </c>
      <c r="B529" s="63">
        <f>Ustawienia!$A$9&amp;""</f>
        <v/>
      </c>
      <c r="C529" s="63">
        <f>Ustawienia!$A$16&amp;""</f>
        <v/>
      </c>
      <c r="D529" s="63" t="n">
        <v>1</v>
      </c>
      <c r="E529" s="63">
        <f>IF('7'!F22="","",TRIM('7'!F22&amp;""))</f>
        <v/>
      </c>
      <c r="F529" s="63">
        <f>IF('7'!G22="","",'7'!G22)</f>
        <v/>
      </c>
      <c r="G529" s="63">
        <f>'7'!H22&amp;""</f>
        <v/>
      </c>
      <c r="H529" s="63">
        <f>IF(OR(A529="",F529=""),"",F529&amp;"|"&amp;A529)</f>
        <v/>
      </c>
      <c r="I529" s="63">
        <f>IF(AND(H529&lt;&gt;"",OR('Historia wózka'!$B$4="",F529='Historia wózka'!$B$4),A529&gt;='Historia wózka'!$B$5,A529&lt;='Historia wózka'!$B$6),A529+0.8+(5000-ROW())/10000000,0)</f>
        <v/>
      </c>
      <c r="J529" s="63">
        <f>Ustawienia!$B$9&amp;""</f>
        <v/>
      </c>
      <c r="K529" s="63">
        <f>IF(H529="","",COUNTIFS('Zgłoszenia'!$B$5:$B$504,F529,'Zgłoszenia'!$D$5:$D$504,"&gt;="&amp;A529,'Zgłoszenia'!$D$5:$D$504,"&lt;="&amp;(A529+1)))</f>
        <v/>
      </c>
      <c r="L529" s="63">
        <f>IF(OR(H529="",K529=0),"—",IF(ISNUMBER(MATCH(H529,'Zgłoszenia'!$S$5:$S$504,0)),RIGHT("0"&amp;DAY(A529),2)&amp;"."&amp;RIGHT("0"&amp;MONTH(A529),2)&amp;"."&amp;YEAR(A529)&amp;": "&amp;INDEX('Zgłoszenia'!$H$5:$H$504,MATCH(H529,'Zgłoszenia'!$S$5:$S$504,0)),RIGHT("0"&amp;DAY((A529+1)),2)&amp;"."&amp;RIGHT("0"&amp;MONTH((A529+1)),2)&amp;"."&amp;YEAR((A529+1))&amp;": "&amp;INDEX('Zgłoszenia'!$H$5:$H$504,MATCH(F529&amp;"|"&amp;(A529+1),'Zgłoszenia'!$S$5:$S$504,0)))&amp;IF(K529&gt;1," (+"&amp;(K529-1)&amp;")",""))</f>
        <v/>
      </c>
      <c r="M529" s="63" t="n">
        <v>7</v>
      </c>
      <c r="N529" s="2" t="n"/>
      <c r="O529" s="2" t="n"/>
    </row>
    <row r="530">
      <c r="A530" s="62">
        <f>IF('7'!$C$1="","",'7'!$C$1)</f>
        <v/>
      </c>
      <c r="B530" s="63">
        <f>Ustawienia!$A$9&amp;""</f>
        <v/>
      </c>
      <c r="C530" s="63">
        <f>Ustawienia!$A$16&amp;""</f>
        <v/>
      </c>
      <c r="D530" s="63" t="n">
        <v>2</v>
      </c>
      <c r="E530" s="63">
        <f>IF('7'!F23="","",TRIM('7'!F23&amp;""))</f>
        <v/>
      </c>
      <c r="F530" s="63">
        <f>IF('7'!G23="","",'7'!G23)</f>
        <v/>
      </c>
      <c r="G530" s="63">
        <f>'7'!H23&amp;""</f>
        <v/>
      </c>
      <c r="H530" s="63">
        <f>IF(OR(A530="",F530=""),"",F530&amp;"|"&amp;A530)</f>
        <v/>
      </c>
      <c r="I530" s="63">
        <f>IF(AND(H530&lt;&gt;"",OR('Historia wózka'!$B$4="",F530='Historia wózka'!$B$4),A530&gt;='Historia wózka'!$B$5,A530&lt;='Historia wózka'!$B$6),A530+0.8+(5000-ROW())/10000000,0)</f>
        <v/>
      </c>
      <c r="J530" s="63">
        <f>Ustawienia!$B$9&amp;""</f>
        <v/>
      </c>
      <c r="K530" s="63">
        <f>IF(H530="","",COUNTIFS('Zgłoszenia'!$B$5:$B$504,F530,'Zgłoszenia'!$D$5:$D$504,"&gt;="&amp;A530,'Zgłoszenia'!$D$5:$D$504,"&lt;="&amp;(A530+1)))</f>
        <v/>
      </c>
      <c r="L530" s="63">
        <f>IF(OR(H530="",K530=0),"—",IF(ISNUMBER(MATCH(H530,'Zgłoszenia'!$S$5:$S$504,0)),RIGHT("0"&amp;DAY(A530),2)&amp;"."&amp;RIGHT("0"&amp;MONTH(A530),2)&amp;"."&amp;YEAR(A530)&amp;": "&amp;INDEX('Zgłoszenia'!$H$5:$H$504,MATCH(H530,'Zgłoszenia'!$S$5:$S$504,0)),RIGHT("0"&amp;DAY((A530+1)),2)&amp;"."&amp;RIGHT("0"&amp;MONTH((A530+1)),2)&amp;"."&amp;YEAR((A530+1))&amp;": "&amp;INDEX('Zgłoszenia'!$H$5:$H$504,MATCH(F530&amp;"|"&amp;(A530+1),'Zgłoszenia'!$S$5:$S$504,0)))&amp;IF(K530&gt;1," (+"&amp;(K530-1)&amp;")",""))</f>
        <v/>
      </c>
      <c r="M530" s="63" t="n">
        <v>7</v>
      </c>
      <c r="N530" s="2" t="n"/>
      <c r="O530" s="2" t="n"/>
    </row>
    <row r="531">
      <c r="A531" s="62">
        <f>IF('7'!$C$1="","",'7'!$C$1)</f>
        <v/>
      </c>
      <c r="B531" s="63">
        <f>Ustawienia!$A$9&amp;""</f>
        <v/>
      </c>
      <c r="C531" s="63">
        <f>Ustawienia!$A$16&amp;""</f>
        <v/>
      </c>
      <c r="D531" s="63" t="n">
        <v>3</v>
      </c>
      <c r="E531" s="63">
        <f>IF('7'!F24="","",TRIM('7'!F24&amp;""))</f>
        <v/>
      </c>
      <c r="F531" s="63">
        <f>IF('7'!G24="","",'7'!G24)</f>
        <v/>
      </c>
      <c r="G531" s="63">
        <f>'7'!H24&amp;""</f>
        <v/>
      </c>
      <c r="H531" s="63">
        <f>IF(OR(A531="",F531=""),"",F531&amp;"|"&amp;A531)</f>
        <v/>
      </c>
      <c r="I531" s="63">
        <f>IF(AND(H531&lt;&gt;"",OR('Historia wózka'!$B$4="",F531='Historia wózka'!$B$4),A531&gt;='Historia wózka'!$B$5,A531&lt;='Historia wózka'!$B$6),A531+0.8+(5000-ROW())/10000000,0)</f>
        <v/>
      </c>
      <c r="J531" s="63">
        <f>Ustawienia!$B$9&amp;""</f>
        <v/>
      </c>
      <c r="K531" s="63">
        <f>IF(H531="","",COUNTIFS('Zgłoszenia'!$B$5:$B$504,F531,'Zgłoszenia'!$D$5:$D$504,"&gt;="&amp;A531,'Zgłoszenia'!$D$5:$D$504,"&lt;="&amp;(A531+1)))</f>
        <v/>
      </c>
      <c r="L531" s="63">
        <f>IF(OR(H531="",K531=0),"—",IF(ISNUMBER(MATCH(H531,'Zgłoszenia'!$S$5:$S$504,0)),RIGHT("0"&amp;DAY(A531),2)&amp;"."&amp;RIGHT("0"&amp;MONTH(A531),2)&amp;"."&amp;YEAR(A531)&amp;": "&amp;INDEX('Zgłoszenia'!$H$5:$H$504,MATCH(H531,'Zgłoszenia'!$S$5:$S$504,0)),RIGHT("0"&amp;DAY((A531+1)),2)&amp;"."&amp;RIGHT("0"&amp;MONTH((A531+1)),2)&amp;"."&amp;YEAR((A531+1))&amp;": "&amp;INDEX('Zgłoszenia'!$H$5:$H$504,MATCH(F531&amp;"|"&amp;(A531+1),'Zgłoszenia'!$S$5:$S$504,0)))&amp;IF(K531&gt;1," (+"&amp;(K531-1)&amp;")",""))</f>
        <v/>
      </c>
      <c r="M531" s="63" t="n">
        <v>7</v>
      </c>
      <c r="N531" s="2" t="n"/>
      <c r="O531" s="2" t="n"/>
    </row>
    <row r="532">
      <c r="A532" s="62">
        <f>IF('7'!$C$1="","",'7'!$C$1)</f>
        <v/>
      </c>
      <c r="B532" s="63">
        <f>Ustawienia!$A$9&amp;""</f>
        <v/>
      </c>
      <c r="C532" s="63">
        <f>Ustawienia!$A$16&amp;""</f>
        <v/>
      </c>
      <c r="D532" s="63" t="n">
        <v>4</v>
      </c>
      <c r="E532" s="63">
        <f>IF('7'!F25="","",TRIM('7'!F25&amp;""))</f>
        <v/>
      </c>
      <c r="F532" s="63">
        <f>IF('7'!G25="","",'7'!G25)</f>
        <v/>
      </c>
      <c r="G532" s="63">
        <f>'7'!H25&amp;""</f>
        <v/>
      </c>
      <c r="H532" s="63">
        <f>IF(OR(A532="",F532=""),"",F532&amp;"|"&amp;A532)</f>
        <v/>
      </c>
      <c r="I532" s="63">
        <f>IF(AND(H532&lt;&gt;"",OR('Historia wózka'!$B$4="",F532='Historia wózka'!$B$4),A532&gt;='Historia wózka'!$B$5,A532&lt;='Historia wózka'!$B$6),A532+0.8+(5000-ROW())/10000000,0)</f>
        <v/>
      </c>
      <c r="J532" s="63">
        <f>Ustawienia!$B$9&amp;""</f>
        <v/>
      </c>
      <c r="K532" s="63">
        <f>IF(H532="","",COUNTIFS('Zgłoszenia'!$B$5:$B$504,F532,'Zgłoszenia'!$D$5:$D$504,"&gt;="&amp;A532,'Zgłoszenia'!$D$5:$D$504,"&lt;="&amp;(A532+1)))</f>
        <v/>
      </c>
      <c r="L532" s="63">
        <f>IF(OR(H532="",K532=0),"—",IF(ISNUMBER(MATCH(H532,'Zgłoszenia'!$S$5:$S$504,0)),RIGHT("0"&amp;DAY(A532),2)&amp;"."&amp;RIGHT("0"&amp;MONTH(A532),2)&amp;"."&amp;YEAR(A532)&amp;": "&amp;INDEX('Zgłoszenia'!$H$5:$H$504,MATCH(H532,'Zgłoszenia'!$S$5:$S$504,0)),RIGHT("0"&amp;DAY((A532+1)),2)&amp;"."&amp;RIGHT("0"&amp;MONTH((A532+1)),2)&amp;"."&amp;YEAR((A532+1))&amp;": "&amp;INDEX('Zgłoszenia'!$H$5:$H$504,MATCH(F532&amp;"|"&amp;(A532+1),'Zgłoszenia'!$S$5:$S$504,0)))&amp;IF(K532&gt;1," (+"&amp;(K532-1)&amp;")",""))</f>
        <v/>
      </c>
      <c r="M532" s="63" t="n">
        <v>7</v>
      </c>
      <c r="N532" s="2" t="n"/>
      <c r="O532" s="2" t="n"/>
    </row>
    <row r="533">
      <c r="A533" s="62">
        <f>IF('7'!$C$1="","",'7'!$C$1)</f>
        <v/>
      </c>
      <c r="B533" s="63">
        <f>Ustawienia!$A$9&amp;""</f>
        <v/>
      </c>
      <c r="C533" s="63">
        <f>Ustawienia!$A$17&amp;""</f>
        <v/>
      </c>
      <c r="D533" s="63" t="n">
        <v>1</v>
      </c>
      <c r="E533" s="63">
        <f>IF('7'!F27="","",TRIM('7'!F27&amp;""))</f>
        <v/>
      </c>
      <c r="F533" s="63">
        <f>IF('7'!G27="","",'7'!G27)</f>
        <v/>
      </c>
      <c r="G533" s="63">
        <f>'7'!H27&amp;""</f>
        <v/>
      </c>
      <c r="H533" s="63">
        <f>IF(OR(A533="",F533=""),"",F533&amp;"|"&amp;A533)</f>
        <v/>
      </c>
      <c r="I533" s="63">
        <f>IF(AND(H533&lt;&gt;"",OR('Historia wózka'!$B$4="",F533='Historia wózka'!$B$4),A533&gt;='Historia wózka'!$B$5,A533&lt;='Historia wózka'!$B$6),A533+0.8+(5000-ROW())/10000000,0)</f>
        <v/>
      </c>
      <c r="J533" s="63">
        <f>Ustawienia!$B$9&amp;""</f>
        <v/>
      </c>
      <c r="K533" s="63">
        <f>IF(H533="","",COUNTIFS('Zgłoszenia'!$B$5:$B$504,F533,'Zgłoszenia'!$D$5:$D$504,"&gt;="&amp;A533,'Zgłoszenia'!$D$5:$D$504,"&lt;="&amp;(A533+1)))</f>
        <v/>
      </c>
      <c r="L533" s="63">
        <f>IF(OR(H533="",K533=0),"—",IF(ISNUMBER(MATCH(H533,'Zgłoszenia'!$S$5:$S$504,0)),RIGHT("0"&amp;DAY(A533),2)&amp;"."&amp;RIGHT("0"&amp;MONTH(A533),2)&amp;"."&amp;YEAR(A533)&amp;": "&amp;INDEX('Zgłoszenia'!$H$5:$H$504,MATCH(H533,'Zgłoszenia'!$S$5:$S$504,0)),RIGHT("0"&amp;DAY((A533+1)),2)&amp;"."&amp;RIGHT("0"&amp;MONTH((A533+1)),2)&amp;"."&amp;YEAR((A533+1))&amp;": "&amp;INDEX('Zgłoszenia'!$H$5:$H$504,MATCH(F533&amp;"|"&amp;(A533+1),'Zgłoszenia'!$S$5:$S$504,0)))&amp;IF(K533&gt;1," (+"&amp;(K533-1)&amp;")",""))</f>
        <v/>
      </c>
      <c r="M533" s="63" t="n">
        <v>7</v>
      </c>
      <c r="N533" s="2" t="n"/>
      <c r="O533" s="2" t="n"/>
    </row>
    <row r="534">
      <c r="A534" s="62">
        <f>IF('7'!$C$1="","",'7'!$C$1)</f>
        <v/>
      </c>
      <c r="B534" s="63">
        <f>Ustawienia!$A$9&amp;""</f>
        <v/>
      </c>
      <c r="C534" s="63">
        <f>Ustawienia!$A$17&amp;""</f>
        <v/>
      </c>
      <c r="D534" s="63" t="n">
        <v>2</v>
      </c>
      <c r="E534" s="63">
        <f>IF('7'!F28="","",TRIM('7'!F28&amp;""))</f>
        <v/>
      </c>
      <c r="F534" s="63">
        <f>IF('7'!G28="","",'7'!G28)</f>
        <v/>
      </c>
      <c r="G534" s="63">
        <f>'7'!H28&amp;""</f>
        <v/>
      </c>
      <c r="H534" s="63">
        <f>IF(OR(A534="",F534=""),"",F534&amp;"|"&amp;A534)</f>
        <v/>
      </c>
      <c r="I534" s="63">
        <f>IF(AND(H534&lt;&gt;"",OR('Historia wózka'!$B$4="",F534='Historia wózka'!$B$4),A534&gt;='Historia wózka'!$B$5,A534&lt;='Historia wózka'!$B$6),A534+0.8+(5000-ROW())/10000000,0)</f>
        <v/>
      </c>
      <c r="J534" s="63">
        <f>Ustawienia!$B$9&amp;""</f>
        <v/>
      </c>
      <c r="K534" s="63">
        <f>IF(H534="","",COUNTIFS('Zgłoszenia'!$B$5:$B$504,F534,'Zgłoszenia'!$D$5:$D$504,"&gt;="&amp;A534,'Zgłoszenia'!$D$5:$D$504,"&lt;="&amp;(A534+1)))</f>
        <v/>
      </c>
      <c r="L534" s="63">
        <f>IF(OR(H534="",K534=0),"—",IF(ISNUMBER(MATCH(H534,'Zgłoszenia'!$S$5:$S$504,0)),RIGHT("0"&amp;DAY(A534),2)&amp;"."&amp;RIGHT("0"&amp;MONTH(A534),2)&amp;"."&amp;YEAR(A534)&amp;": "&amp;INDEX('Zgłoszenia'!$H$5:$H$504,MATCH(H534,'Zgłoszenia'!$S$5:$S$504,0)),RIGHT("0"&amp;DAY((A534+1)),2)&amp;"."&amp;RIGHT("0"&amp;MONTH((A534+1)),2)&amp;"."&amp;YEAR((A534+1))&amp;": "&amp;INDEX('Zgłoszenia'!$H$5:$H$504,MATCH(F534&amp;"|"&amp;(A534+1),'Zgłoszenia'!$S$5:$S$504,0)))&amp;IF(K534&gt;1," (+"&amp;(K534-1)&amp;")",""))</f>
        <v/>
      </c>
      <c r="M534" s="63" t="n">
        <v>7</v>
      </c>
      <c r="N534" s="2" t="n"/>
      <c r="O534" s="2" t="n"/>
    </row>
    <row r="535">
      <c r="A535" s="62">
        <f>IF('7'!$C$1="","",'7'!$C$1)</f>
        <v/>
      </c>
      <c r="B535" s="63">
        <f>Ustawienia!$A$9&amp;""</f>
        <v/>
      </c>
      <c r="C535" s="63">
        <f>Ustawienia!$A$17&amp;""</f>
        <v/>
      </c>
      <c r="D535" s="63" t="n">
        <v>3</v>
      </c>
      <c r="E535" s="63">
        <f>IF('7'!F29="","",TRIM('7'!F29&amp;""))</f>
        <v/>
      </c>
      <c r="F535" s="63">
        <f>IF('7'!G29="","",'7'!G29)</f>
        <v/>
      </c>
      <c r="G535" s="63">
        <f>'7'!H29&amp;""</f>
        <v/>
      </c>
      <c r="H535" s="63">
        <f>IF(OR(A535="",F535=""),"",F535&amp;"|"&amp;A535)</f>
        <v/>
      </c>
      <c r="I535" s="63">
        <f>IF(AND(H535&lt;&gt;"",OR('Historia wózka'!$B$4="",F535='Historia wózka'!$B$4),A535&gt;='Historia wózka'!$B$5,A535&lt;='Historia wózka'!$B$6),A535+0.8+(5000-ROW())/10000000,0)</f>
        <v/>
      </c>
      <c r="J535" s="63">
        <f>Ustawienia!$B$9&amp;""</f>
        <v/>
      </c>
      <c r="K535" s="63">
        <f>IF(H535="","",COUNTIFS('Zgłoszenia'!$B$5:$B$504,F535,'Zgłoszenia'!$D$5:$D$504,"&gt;="&amp;A535,'Zgłoszenia'!$D$5:$D$504,"&lt;="&amp;(A535+1)))</f>
        <v/>
      </c>
      <c r="L535" s="63">
        <f>IF(OR(H535="",K535=0),"—",IF(ISNUMBER(MATCH(H535,'Zgłoszenia'!$S$5:$S$504,0)),RIGHT("0"&amp;DAY(A535),2)&amp;"."&amp;RIGHT("0"&amp;MONTH(A535),2)&amp;"."&amp;YEAR(A535)&amp;": "&amp;INDEX('Zgłoszenia'!$H$5:$H$504,MATCH(H535,'Zgłoszenia'!$S$5:$S$504,0)),RIGHT("0"&amp;DAY((A535+1)),2)&amp;"."&amp;RIGHT("0"&amp;MONTH((A535+1)),2)&amp;"."&amp;YEAR((A535+1))&amp;": "&amp;INDEX('Zgłoszenia'!$H$5:$H$504,MATCH(F535&amp;"|"&amp;(A535+1),'Zgłoszenia'!$S$5:$S$504,0)))&amp;IF(K535&gt;1," (+"&amp;(K535-1)&amp;")",""))</f>
        <v/>
      </c>
      <c r="M535" s="63" t="n">
        <v>7</v>
      </c>
      <c r="N535" s="2" t="n"/>
      <c r="O535" s="2" t="n"/>
    </row>
    <row r="536">
      <c r="A536" s="62">
        <f>IF('7'!$C$1="","",'7'!$C$1)</f>
        <v/>
      </c>
      <c r="B536" s="63">
        <f>Ustawienia!$A$9&amp;""</f>
        <v/>
      </c>
      <c r="C536" s="63">
        <f>Ustawienia!$A$17&amp;""</f>
        <v/>
      </c>
      <c r="D536" s="63" t="n">
        <v>4</v>
      </c>
      <c r="E536" s="63">
        <f>IF('7'!F30="","",TRIM('7'!F30&amp;""))</f>
        <v/>
      </c>
      <c r="F536" s="63">
        <f>IF('7'!G30="","",'7'!G30)</f>
        <v/>
      </c>
      <c r="G536" s="63">
        <f>'7'!H30&amp;""</f>
        <v/>
      </c>
      <c r="H536" s="63">
        <f>IF(OR(A536="",F536=""),"",F536&amp;"|"&amp;A536)</f>
        <v/>
      </c>
      <c r="I536" s="63">
        <f>IF(AND(H536&lt;&gt;"",OR('Historia wózka'!$B$4="",F536='Historia wózka'!$B$4),A536&gt;='Historia wózka'!$B$5,A536&lt;='Historia wózka'!$B$6),A536+0.8+(5000-ROW())/10000000,0)</f>
        <v/>
      </c>
      <c r="J536" s="63">
        <f>Ustawienia!$B$9&amp;""</f>
        <v/>
      </c>
      <c r="K536" s="63">
        <f>IF(H536="","",COUNTIFS('Zgłoszenia'!$B$5:$B$504,F536,'Zgłoszenia'!$D$5:$D$504,"&gt;="&amp;A536,'Zgłoszenia'!$D$5:$D$504,"&lt;="&amp;(A536+1)))</f>
        <v/>
      </c>
      <c r="L536" s="63">
        <f>IF(OR(H536="",K536=0),"—",IF(ISNUMBER(MATCH(H536,'Zgłoszenia'!$S$5:$S$504,0)),RIGHT("0"&amp;DAY(A536),2)&amp;"."&amp;RIGHT("0"&amp;MONTH(A536),2)&amp;"."&amp;YEAR(A536)&amp;": "&amp;INDEX('Zgłoszenia'!$H$5:$H$504,MATCH(H536,'Zgłoszenia'!$S$5:$S$504,0)),RIGHT("0"&amp;DAY((A536+1)),2)&amp;"."&amp;RIGHT("0"&amp;MONTH((A536+1)),2)&amp;"."&amp;YEAR((A536+1))&amp;": "&amp;INDEX('Zgłoszenia'!$H$5:$H$504,MATCH(F536&amp;"|"&amp;(A536+1),'Zgłoszenia'!$S$5:$S$504,0)))&amp;IF(K536&gt;1," (+"&amp;(K536-1)&amp;")",""))</f>
        <v/>
      </c>
      <c r="M536" s="63" t="n">
        <v>7</v>
      </c>
      <c r="N536" s="2" t="n"/>
      <c r="O536" s="2" t="n"/>
    </row>
    <row r="537">
      <c r="A537" s="62">
        <f>IF('7'!$C$1="","",'7'!$C$1)</f>
        <v/>
      </c>
      <c r="B537" s="63">
        <f>Ustawienia!$A$9&amp;""</f>
        <v/>
      </c>
      <c r="C537" s="63">
        <f>Ustawienia!$A$18&amp;""</f>
        <v/>
      </c>
      <c r="D537" s="63" t="n">
        <v>1</v>
      </c>
      <c r="E537" s="63">
        <f>IF('7'!F32="","",TRIM('7'!F32&amp;""))</f>
        <v/>
      </c>
      <c r="F537" s="63">
        <f>IF('7'!G32="","",'7'!G32)</f>
        <v/>
      </c>
      <c r="G537" s="63">
        <f>'7'!H32&amp;""</f>
        <v/>
      </c>
      <c r="H537" s="63">
        <f>IF(OR(A537="",F537=""),"",F537&amp;"|"&amp;A537)</f>
        <v/>
      </c>
      <c r="I537" s="63">
        <f>IF(AND(H537&lt;&gt;"",OR('Historia wózka'!$B$4="",F537='Historia wózka'!$B$4),A537&gt;='Historia wózka'!$B$5,A537&lt;='Historia wózka'!$B$6),A537+0.8+(5000-ROW())/10000000,0)</f>
        <v/>
      </c>
      <c r="J537" s="63">
        <f>Ustawienia!$B$9&amp;""</f>
        <v/>
      </c>
      <c r="K537" s="63">
        <f>IF(H537="","",COUNTIFS('Zgłoszenia'!$B$5:$B$504,F537,'Zgłoszenia'!$D$5:$D$504,"&gt;="&amp;A537,'Zgłoszenia'!$D$5:$D$504,"&lt;="&amp;(A537+1)))</f>
        <v/>
      </c>
      <c r="L537" s="63">
        <f>IF(OR(H537="",K537=0),"—",IF(ISNUMBER(MATCH(H537,'Zgłoszenia'!$S$5:$S$504,0)),RIGHT("0"&amp;DAY(A537),2)&amp;"."&amp;RIGHT("0"&amp;MONTH(A537),2)&amp;"."&amp;YEAR(A537)&amp;": "&amp;INDEX('Zgłoszenia'!$H$5:$H$504,MATCH(H537,'Zgłoszenia'!$S$5:$S$504,0)),RIGHT("0"&amp;DAY((A537+1)),2)&amp;"."&amp;RIGHT("0"&amp;MONTH((A537+1)),2)&amp;"."&amp;YEAR((A537+1))&amp;": "&amp;INDEX('Zgłoszenia'!$H$5:$H$504,MATCH(F537&amp;"|"&amp;(A537+1),'Zgłoszenia'!$S$5:$S$504,0)))&amp;IF(K537&gt;1," (+"&amp;(K537-1)&amp;")",""))</f>
        <v/>
      </c>
      <c r="M537" s="63" t="n">
        <v>7</v>
      </c>
      <c r="N537" s="2" t="n"/>
      <c r="O537" s="2" t="n"/>
    </row>
    <row r="538">
      <c r="A538" s="62">
        <f>IF('7'!$C$1="","",'7'!$C$1)</f>
        <v/>
      </c>
      <c r="B538" s="63">
        <f>Ustawienia!$A$9&amp;""</f>
        <v/>
      </c>
      <c r="C538" s="63">
        <f>Ustawienia!$A$18&amp;""</f>
        <v/>
      </c>
      <c r="D538" s="63" t="n">
        <v>2</v>
      </c>
      <c r="E538" s="63">
        <f>IF('7'!F33="","",TRIM('7'!F33&amp;""))</f>
        <v/>
      </c>
      <c r="F538" s="63">
        <f>IF('7'!G33="","",'7'!G33)</f>
        <v/>
      </c>
      <c r="G538" s="63">
        <f>'7'!H33&amp;""</f>
        <v/>
      </c>
      <c r="H538" s="63">
        <f>IF(OR(A538="",F538=""),"",F538&amp;"|"&amp;A538)</f>
        <v/>
      </c>
      <c r="I538" s="63">
        <f>IF(AND(H538&lt;&gt;"",OR('Historia wózka'!$B$4="",F538='Historia wózka'!$B$4),A538&gt;='Historia wózka'!$B$5,A538&lt;='Historia wózka'!$B$6),A538+0.8+(5000-ROW())/10000000,0)</f>
        <v/>
      </c>
      <c r="J538" s="63">
        <f>Ustawienia!$B$9&amp;""</f>
        <v/>
      </c>
      <c r="K538" s="63">
        <f>IF(H538="","",COUNTIFS('Zgłoszenia'!$B$5:$B$504,F538,'Zgłoszenia'!$D$5:$D$504,"&gt;="&amp;A538,'Zgłoszenia'!$D$5:$D$504,"&lt;="&amp;(A538+1)))</f>
        <v/>
      </c>
      <c r="L538" s="63">
        <f>IF(OR(H538="",K538=0),"—",IF(ISNUMBER(MATCH(H538,'Zgłoszenia'!$S$5:$S$504,0)),RIGHT("0"&amp;DAY(A538),2)&amp;"."&amp;RIGHT("0"&amp;MONTH(A538),2)&amp;"."&amp;YEAR(A538)&amp;": "&amp;INDEX('Zgłoszenia'!$H$5:$H$504,MATCH(H538,'Zgłoszenia'!$S$5:$S$504,0)),RIGHT("0"&amp;DAY((A538+1)),2)&amp;"."&amp;RIGHT("0"&amp;MONTH((A538+1)),2)&amp;"."&amp;YEAR((A538+1))&amp;": "&amp;INDEX('Zgłoszenia'!$H$5:$H$504,MATCH(F538&amp;"|"&amp;(A538+1),'Zgłoszenia'!$S$5:$S$504,0)))&amp;IF(K538&gt;1," (+"&amp;(K538-1)&amp;")",""))</f>
        <v/>
      </c>
      <c r="M538" s="63" t="n">
        <v>7</v>
      </c>
      <c r="N538" s="2" t="n"/>
      <c r="O538" s="2" t="n"/>
    </row>
    <row r="539">
      <c r="A539" s="62">
        <f>IF('7'!$C$1="","",'7'!$C$1)</f>
        <v/>
      </c>
      <c r="B539" s="63">
        <f>Ustawienia!$A$9&amp;""</f>
        <v/>
      </c>
      <c r="C539" s="63">
        <f>Ustawienia!$A$18&amp;""</f>
        <v/>
      </c>
      <c r="D539" s="63" t="n">
        <v>3</v>
      </c>
      <c r="E539" s="63">
        <f>IF('7'!F34="","",TRIM('7'!F34&amp;""))</f>
        <v/>
      </c>
      <c r="F539" s="63">
        <f>IF('7'!G34="","",'7'!G34)</f>
        <v/>
      </c>
      <c r="G539" s="63">
        <f>'7'!H34&amp;""</f>
        <v/>
      </c>
      <c r="H539" s="63">
        <f>IF(OR(A539="",F539=""),"",F539&amp;"|"&amp;A539)</f>
        <v/>
      </c>
      <c r="I539" s="63">
        <f>IF(AND(H539&lt;&gt;"",OR('Historia wózka'!$B$4="",F539='Historia wózka'!$B$4),A539&gt;='Historia wózka'!$B$5,A539&lt;='Historia wózka'!$B$6),A539+0.8+(5000-ROW())/10000000,0)</f>
        <v/>
      </c>
      <c r="J539" s="63">
        <f>Ustawienia!$B$9&amp;""</f>
        <v/>
      </c>
      <c r="K539" s="63">
        <f>IF(H539="","",COUNTIFS('Zgłoszenia'!$B$5:$B$504,F539,'Zgłoszenia'!$D$5:$D$504,"&gt;="&amp;A539,'Zgłoszenia'!$D$5:$D$504,"&lt;="&amp;(A539+1)))</f>
        <v/>
      </c>
      <c r="L539" s="63">
        <f>IF(OR(H539="",K539=0),"—",IF(ISNUMBER(MATCH(H539,'Zgłoszenia'!$S$5:$S$504,0)),RIGHT("0"&amp;DAY(A539),2)&amp;"."&amp;RIGHT("0"&amp;MONTH(A539),2)&amp;"."&amp;YEAR(A539)&amp;": "&amp;INDEX('Zgłoszenia'!$H$5:$H$504,MATCH(H539,'Zgłoszenia'!$S$5:$S$504,0)),RIGHT("0"&amp;DAY((A539+1)),2)&amp;"."&amp;RIGHT("0"&amp;MONTH((A539+1)),2)&amp;"."&amp;YEAR((A539+1))&amp;": "&amp;INDEX('Zgłoszenia'!$H$5:$H$504,MATCH(F539&amp;"|"&amp;(A539+1),'Zgłoszenia'!$S$5:$S$504,0)))&amp;IF(K539&gt;1," (+"&amp;(K539-1)&amp;")",""))</f>
        <v/>
      </c>
      <c r="M539" s="63" t="n">
        <v>7</v>
      </c>
      <c r="N539" s="2" t="n"/>
      <c r="O539" s="2" t="n"/>
    </row>
    <row r="540">
      <c r="A540" s="62">
        <f>IF('7'!$C$1="","",'7'!$C$1)</f>
        <v/>
      </c>
      <c r="B540" s="63">
        <f>Ustawienia!$A$9&amp;""</f>
        <v/>
      </c>
      <c r="C540" s="63">
        <f>Ustawienia!$A$18&amp;""</f>
        <v/>
      </c>
      <c r="D540" s="63" t="n">
        <v>4</v>
      </c>
      <c r="E540" s="63">
        <f>IF('7'!F35="","",TRIM('7'!F35&amp;""))</f>
        <v/>
      </c>
      <c r="F540" s="63">
        <f>IF('7'!G35="","",'7'!G35)</f>
        <v/>
      </c>
      <c r="G540" s="63">
        <f>'7'!H35&amp;""</f>
        <v/>
      </c>
      <c r="H540" s="63">
        <f>IF(OR(A540="",F540=""),"",F540&amp;"|"&amp;A540)</f>
        <v/>
      </c>
      <c r="I540" s="63">
        <f>IF(AND(H540&lt;&gt;"",OR('Historia wózka'!$B$4="",F540='Historia wózka'!$B$4),A540&gt;='Historia wózka'!$B$5,A540&lt;='Historia wózka'!$B$6),A540+0.8+(5000-ROW())/10000000,0)</f>
        <v/>
      </c>
      <c r="J540" s="63">
        <f>Ustawienia!$B$9&amp;""</f>
        <v/>
      </c>
      <c r="K540" s="63">
        <f>IF(H540="","",COUNTIFS('Zgłoszenia'!$B$5:$B$504,F540,'Zgłoszenia'!$D$5:$D$504,"&gt;="&amp;A540,'Zgłoszenia'!$D$5:$D$504,"&lt;="&amp;(A540+1)))</f>
        <v/>
      </c>
      <c r="L540" s="63">
        <f>IF(OR(H540="",K540=0),"—",IF(ISNUMBER(MATCH(H540,'Zgłoszenia'!$S$5:$S$504,0)),RIGHT("0"&amp;DAY(A540),2)&amp;"."&amp;RIGHT("0"&amp;MONTH(A540),2)&amp;"."&amp;YEAR(A540)&amp;": "&amp;INDEX('Zgłoszenia'!$H$5:$H$504,MATCH(H540,'Zgłoszenia'!$S$5:$S$504,0)),RIGHT("0"&amp;DAY((A540+1)),2)&amp;"."&amp;RIGHT("0"&amp;MONTH((A540+1)),2)&amp;"."&amp;YEAR((A540+1))&amp;": "&amp;INDEX('Zgłoszenia'!$H$5:$H$504,MATCH(F540&amp;"|"&amp;(A540+1),'Zgłoszenia'!$S$5:$S$504,0)))&amp;IF(K540&gt;1," (+"&amp;(K540-1)&amp;")",""))</f>
        <v/>
      </c>
      <c r="M540" s="63" t="n">
        <v>7</v>
      </c>
      <c r="N540" s="2" t="n"/>
      <c r="O540" s="2" t="n"/>
    </row>
    <row r="541">
      <c r="A541" s="62">
        <f>IF('7'!$C$1="","",'7'!$C$1)</f>
        <v/>
      </c>
      <c r="B541" s="63">
        <f>Ustawienia!$A$9&amp;""</f>
        <v/>
      </c>
      <c r="C541" s="63">
        <f>Ustawienia!$A$18&amp;""</f>
        <v/>
      </c>
      <c r="D541" s="63" t="n">
        <v>5</v>
      </c>
      <c r="E541" s="63">
        <f>IF('7'!F36="","",TRIM('7'!F36&amp;""))</f>
        <v/>
      </c>
      <c r="F541" s="63">
        <f>IF('7'!G36="","",'7'!G36)</f>
        <v/>
      </c>
      <c r="G541" s="63">
        <f>'7'!H36&amp;""</f>
        <v/>
      </c>
      <c r="H541" s="63">
        <f>IF(OR(A541="",F541=""),"",F541&amp;"|"&amp;A541)</f>
        <v/>
      </c>
      <c r="I541" s="63">
        <f>IF(AND(H541&lt;&gt;"",OR('Historia wózka'!$B$4="",F541='Historia wózka'!$B$4),A541&gt;='Historia wózka'!$B$5,A541&lt;='Historia wózka'!$B$6),A541+0.8+(5000-ROW())/10000000,0)</f>
        <v/>
      </c>
      <c r="J541" s="63">
        <f>Ustawienia!$B$9&amp;""</f>
        <v/>
      </c>
      <c r="K541" s="63">
        <f>IF(H541="","",COUNTIFS('Zgłoszenia'!$B$5:$B$504,F541,'Zgłoszenia'!$D$5:$D$504,"&gt;="&amp;A541,'Zgłoszenia'!$D$5:$D$504,"&lt;="&amp;(A541+1)))</f>
        <v/>
      </c>
      <c r="L541" s="63">
        <f>IF(OR(H541="",K541=0),"—",IF(ISNUMBER(MATCH(H541,'Zgłoszenia'!$S$5:$S$504,0)),RIGHT("0"&amp;DAY(A541),2)&amp;"."&amp;RIGHT("0"&amp;MONTH(A541),2)&amp;"."&amp;YEAR(A541)&amp;": "&amp;INDEX('Zgłoszenia'!$H$5:$H$504,MATCH(H541,'Zgłoszenia'!$S$5:$S$504,0)),RIGHT("0"&amp;DAY((A541+1)),2)&amp;"."&amp;RIGHT("0"&amp;MONTH((A541+1)),2)&amp;"."&amp;YEAR((A541+1))&amp;": "&amp;INDEX('Zgłoszenia'!$H$5:$H$504,MATCH(F541&amp;"|"&amp;(A541+1),'Zgłoszenia'!$S$5:$S$504,0)))&amp;IF(K541&gt;1," (+"&amp;(K541-1)&amp;")",""))</f>
        <v/>
      </c>
      <c r="M541" s="63" t="n">
        <v>7</v>
      </c>
      <c r="N541" s="2" t="n"/>
      <c r="O541" s="2" t="n"/>
    </row>
    <row r="542">
      <c r="A542" s="62">
        <f>IF('7'!$C$1="","",'7'!$C$1)</f>
        <v/>
      </c>
      <c r="B542" s="63">
        <f>Ustawienia!$A$10&amp;""</f>
        <v/>
      </c>
      <c r="C542" s="63">
        <f>Ustawienia!$A$14&amp;""</f>
        <v/>
      </c>
      <c r="D542" s="63" t="n">
        <v>1</v>
      </c>
      <c r="E542" s="63">
        <f>IF('7'!J6="","",TRIM('7'!J6&amp;""))</f>
        <v/>
      </c>
      <c r="F542" s="63">
        <f>IF('7'!K6="","",'7'!K6)</f>
        <v/>
      </c>
      <c r="G542" s="63">
        <f>'7'!L6&amp;""</f>
        <v/>
      </c>
      <c r="H542" s="63">
        <f>IF(OR(A542="",F542=""),"",F542&amp;"|"&amp;A542)</f>
        <v/>
      </c>
      <c r="I542" s="63">
        <f>IF(AND(H542&lt;&gt;"",OR('Historia wózka'!$B$4="",F542='Historia wózka'!$B$4),A542&gt;='Historia wózka'!$B$5,A542&lt;='Historia wózka'!$B$6),A542+0.7+(5000-ROW())/10000000,0)</f>
        <v/>
      </c>
      <c r="J542" s="63">
        <f>Ustawienia!$B$10&amp;""</f>
        <v/>
      </c>
      <c r="K542" s="63">
        <f>IF(H542="","",COUNTIFS('Zgłoszenia'!$B$5:$B$504,F542,'Zgłoszenia'!$D$5:$D$504,"&gt;="&amp;A542,'Zgłoszenia'!$D$5:$D$504,"&lt;="&amp;(A542+1)))</f>
        <v/>
      </c>
      <c r="L542" s="63">
        <f>IF(OR(H542="",K542=0),"—",IF(ISNUMBER(MATCH(H542,'Zgłoszenia'!$S$5:$S$504,0)),RIGHT("0"&amp;DAY(A542),2)&amp;"."&amp;RIGHT("0"&amp;MONTH(A542),2)&amp;"."&amp;YEAR(A542)&amp;": "&amp;INDEX('Zgłoszenia'!$H$5:$H$504,MATCH(H542,'Zgłoszenia'!$S$5:$S$504,0)),RIGHT("0"&amp;DAY((A542+1)),2)&amp;"."&amp;RIGHT("0"&amp;MONTH((A542+1)),2)&amp;"."&amp;YEAR((A542+1))&amp;": "&amp;INDEX('Zgłoszenia'!$H$5:$H$504,MATCH(F542&amp;"|"&amp;(A542+1),'Zgłoszenia'!$S$5:$S$504,0)))&amp;IF(K542&gt;1," (+"&amp;(K542-1)&amp;")",""))</f>
        <v/>
      </c>
      <c r="M542" s="63" t="n">
        <v>7</v>
      </c>
      <c r="N542" s="2" t="n"/>
      <c r="O542" s="2" t="n"/>
    </row>
    <row r="543">
      <c r="A543" s="62">
        <f>IF('7'!$C$1="","",'7'!$C$1)</f>
        <v/>
      </c>
      <c r="B543" s="63">
        <f>Ustawienia!$A$10&amp;""</f>
        <v/>
      </c>
      <c r="C543" s="63">
        <f>Ustawienia!$A$14&amp;""</f>
        <v/>
      </c>
      <c r="D543" s="63" t="n">
        <v>2</v>
      </c>
      <c r="E543" s="63">
        <f>IF('7'!J7="","",TRIM('7'!J7&amp;""))</f>
        <v/>
      </c>
      <c r="F543" s="63">
        <f>IF('7'!K7="","",'7'!K7)</f>
        <v/>
      </c>
      <c r="G543" s="63">
        <f>'7'!L7&amp;""</f>
        <v/>
      </c>
      <c r="H543" s="63">
        <f>IF(OR(A543="",F543=""),"",F543&amp;"|"&amp;A543)</f>
        <v/>
      </c>
      <c r="I543" s="63">
        <f>IF(AND(H543&lt;&gt;"",OR('Historia wózka'!$B$4="",F543='Historia wózka'!$B$4),A543&gt;='Historia wózka'!$B$5,A543&lt;='Historia wózka'!$B$6),A543+0.7+(5000-ROW())/10000000,0)</f>
        <v/>
      </c>
      <c r="J543" s="63">
        <f>Ustawienia!$B$10&amp;""</f>
        <v/>
      </c>
      <c r="K543" s="63">
        <f>IF(H543="","",COUNTIFS('Zgłoszenia'!$B$5:$B$504,F543,'Zgłoszenia'!$D$5:$D$504,"&gt;="&amp;A543,'Zgłoszenia'!$D$5:$D$504,"&lt;="&amp;(A543+1)))</f>
        <v/>
      </c>
      <c r="L543" s="63">
        <f>IF(OR(H543="",K543=0),"—",IF(ISNUMBER(MATCH(H543,'Zgłoszenia'!$S$5:$S$504,0)),RIGHT("0"&amp;DAY(A543),2)&amp;"."&amp;RIGHT("0"&amp;MONTH(A543),2)&amp;"."&amp;YEAR(A543)&amp;": "&amp;INDEX('Zgłoszenia'!$H$5:$H$504,MATCH(H543,'Zgłoszenia'!$S$5:$S$504,0)),RIGHT("0"&amp;DAY((A543+1)),2)&amp;"."&amp;RIGHT("0"&amp;MONTH((A543+1)),2)&amp;"."&amp;YEAR((A543+1))&amp;": "&amp;INDEX('Zgłoszenia'!$H$5:$H$504,MATCH(F543&amp;"|"&amp;(A543+1),'Zgłoszenia'!$S$5:$S$504,0)))&amp;IF(K543&gt;1," (+"&amp;(K543-1)&amp;")",""))</f>
        <v/>
      </c>
      <c r="M543" s="63" t="n">
        <v>7</v>
      </c>
      <c r="N543" s="2" t="n"/>
      <c r="O543" s="2" t="n"/>
    </row>
    <row r="544">
      <c r="A544" s="62">
        <f>IF('7'!$C$1="","",'7'!$C$1)</f>
        <v/>
      </c>
      <c r="B544" s="63">
        <f>Ustawienia!$A$10&amp;""</f>
        <v/>
      </c>
      <c r="C544" s="63">
        <f>Ustawienia!$A$14&amp;""</f>
        <v/>
      </c>
      <c r="D544" s="63" t="n">
        <v>3</v>
      </c>
      <c r="E544" s="63">
        <f>IF('7'!J8="","",TRIM('7'!J8&amp;""))</f>
        <v/>
      </c>
      <c r="F544" s="63">
        <f>IF('7'!K8="","",'7'!K8)</f>
        <v/>
      </c>
      <c r="G544" s="63">
        <f>'7'!L8&amp;""</f>
        <v/>
      </c>
      <c r="H544" s="63">
        <f>IF(OR(A544="",F544=""),"",F544&amp;"|"&amp;A544)</f>
        <v/>
      </c>
      <c r="I544" s="63">
        <f>IF(AND(H544&lt;&gt;"",OR('Historia wózka'!$B$4="",F544='Historia wózka'!$B$4),A544&gt;='Historia wózka'!$B$5,A544&lt;='Historia wózka'!$B$6),A544+0.7+(5000-ROW())/10000000,0)</f>
        <v/>
      </c>
      <c r="J544" s="63">
        <f>Ustawienia!$B$10&amp;""</f>
        <v/>
      </c>
      <c r="K544" s="63">
        <f>IF(H544="","",COUNTIFS('Zgłoszenia'!$B$5:$B$504,F544,'Zgłoszenia'!$D$5:$D$504,"&gt;="&amp;A544,'Zgłoszenia'!$D$5:$D$504,"&lt;="&amp;(A544+1)))</f>
        <v/>
      </c>
      <c r="L544" s="63">
        <f>IF(OR(H544="",K544=0),"—",IF(ISNUMBER(MATCH(H544,'Zgłoszenia'!$S$5:$S$504,0)),RIGHT("0"&amp;DAY(A544),2)&amp;"."&amp;RIGHT("0"&amp;MONTH(A544),2)&amp;"."&amp;YEAR(A544)&amp;": "&amp;INDEX('Zgłoszenia'!$H$5:$H$504,MATCH(H544,'Zgłoszenia'!$S$5:$S$504,0)),RIGHT("0"&amp;DAY((A544+1)),2)&amp;"."&amp;RIGHT("0"&amp;MONTH((A544+1)),2)&amp;"."&amp;YEAR((A544+1))&amp;": "&amp;INDEX('Zgłoszenia'!$H$5:$H$504,MATCH(F544&amp;"|"&amp;(A544+1),'Zgłoszenia'!$S$5:$S$504,0)))&amp;IF(K544&gt;1," (+"&amp;(K544-1)&amp;")",""))</f>
        <v/>
      </c>
      <c r="M544" s="63" t="n">
        <v>7</v>
      </c>
      <c r="N544" s="2" t="n"/>
      <c r="O544" s="2" t="n"/>
    </row>
    <row r="545">
      <c r="A545" s="62">
        <f>IF('7'!$C$1="","",'7'!$C$1)</f>
        <v/>
      </c>
      <c r="B545" s="63">
        <f>Ustawienia!$A$10&amp;""</f>
        <v/>
      </c>
      <c r="C545" s="63">
        <f>Ustawienia!$A$14&amp;""</f>
        <v/>
      </c>
      <c r="D545" s="63" t="n">
        <v>4</v>
      </c>
      <c r="E545" s="63">
        <f>IF('7'!J9="","",TRIM('7'!J9&amp;""))</f>
        <v/>
      </c>
      <c r="F545" s="63">
        <f>IF('7'!K9="","",'7'!K9)</f>
        <v/>
      </c>
      <c r="G545" s="63">
        <f>'7'!L9&amp;""</f>
        <v/>
      </c>
      <c r="H545" s="63">
        <f>IF(OR(A545="",F545=""),"",F545&amp;"|"&amp;A545)</f>
        <v/>
      </c>
      <c r="I545" s="63">
        <f>IF(AND(H545&lt;&gt;"",OR('Historia wózka'!$B$4="",F545='Historia wózka'!$B$4),A545&gt;='Historia wózka'!$B$5,A545&lt;='Historia wózka'!$B$6),A545+0.7+(5000-ROW())/10000000,0)</f>
        <v/>
      </c>
      <c r="J545" s="63">
        <f>Ustawienia!$B$10&amp;""</f>
        <v/>
      </c>
      <c r="K545" s="63">
        <f>IF(H545="","",COUNTIFS('Zgłoszenia'!$B$5:$B$504,F545,'Zgłoszenia'!$D$5:$D$504,"&gt;="&amp;A545,'Zgłoszenia'!$D$5:$D$504,"&lt;="&amp;(A545+1)))</f>
        <v/>
      </c>
      <c r="L545" s="63">
        <f>IF(OR(H545="",K545=0),"—",IF(ISNUMBER(MATCH(H545,'Zgłoszenia'!$S$5:$S$504,0)),RIGHT("0"&amp;DAY(A545),2)&amp;"."&amp;RIGHT("0"&amp;MONTH(A545),2)&amp;"."&amp;YEAR(A545)&amp;": "&amp;INDEX('Zgłoszenia'!$H$5:$H$504,MATCH(H545,'Zgłoszenia'!$S$5:$S$504,0)),RIGHT("0"&amp;DAY((A545+1)),2)&amp;"."&amp;RIGHT("0"&amp;MONTH((A545+1)),2)&amp;"."&amp;YEAR((A545+1))&amp;": "&amp;INDEX('Zgłoszenia'!$H$5:$H$504,MATCH(F545&amp;"|"&amp;(A545+1),'Zgłoszenia'!$S$5:$S$504,0)))&amp;IF(K545&gt;1," (+"&amp;(K545-1)&amp;")",""))</f>
        <v/>
      </c>
      <c r="M545" s="63" t="n">
        <v>7</v>
      </c>
      <c r="N545" s="2" t="n"/>
      <c r="O545" s="2" t="n"/>
    </row>
    <row r="546">
      <c r="A546" s="62">
        <f>IF('7'!$C$1="","",'7'!$C$1)</f>
        <v/>
      </c>
      <c r="B546" s="63">
        <f>Ustawienia!$A$10&amp;""</f>
        <v/>
      </c>
      <c r="C546" s="63">
        <f>Ustawienia!$A$14&amp;""</f>
        <v/>
      </c>
      <c r="D546" s="63" t="n">
        <v>5</v>
      </c>
      <c r="E546" s="63">
        <f>IF('7'!J10="","",TRIM('7'!J10&amp;""))</f>
        <v/>
      </c>
      <c r="F546" s="63">
        <f>IF('7'!K10="","",'7'!K10)</f>
        <v/>
      </c>
      <c r="G546" s="63">
        <f>'7'!L10&amp;""</f>
        <v/>
      </c>
      <c r="H546" s="63">
        <f>IF(OR(A546="",F546=""),"",F546&amp;"|"&amp;A546)</f>
        <v/>
      </c>
      <c r="I546" s="63">
        <f>IF(AND(H546&lt;&gt;"",OR('Historia wózka'!$B$4="",F546='Historia wózka'!$B$4),A546&gt;='Historia wózka'!$B$5,A546&lt;='Historia wózka'!$B$6),A546+0.7+(5000-ROW())/10000000,0)</f>
        <v/>
      </c>
      <c r="J546" s="63">
        <f>Ustawienia!$B$10&amp;""</f>
        <v/>
      </c>
      <c r="K546" s="63">
        <f>IF(H546="","",COUNTIFS('Zgłoszenia'!$B$5:$B$504,F546,'Zgłoszenia'!$D$5:$D$504,"&gt;="&amp;A546,'Zgłoszenia'!$D$5:$D$504,"&lt;="&amp;(A546+1)))</f>
        <v/>
      </c>
      <c r="L546" s="63">
        <f>IF(OR(H546="",K546=0),"—",IF(ISNUMBER(MATCH(H546,'Zgłoszenia'!$S$5:$S$504,0)),RIGHT("0"&amp;DAY(A546),2)&amp;"."&amp;RIGHT("0"&amp;MONTH(A546),2)&amp;"."&amp;YEAR(A546)&amp;": "&amp;INDEX('Zgłoszenia'!$H$5:$H$504,MATCH(H546,'Zgłoszenia'!$S$5:$S$504,0)),RIGHT("0"&amp;DAY((A546+1)),2)&amp;"."&amp;RIGHT("0"&amp;MONTH((A546+1)),2)&amp;"."&amp;YEAR((A546+1))&amp;": "&amp;INDEX('Zgłoszenia'!$H$5:$H$504,MATCH(F546&amp;"|"&amp;(A546+1),'Zgłoszenia'!$S$5:$S$504,0)))&amp;IF(K546&gt;1," (+"&amp;(K546-1)&amp;")",""))</f>
        <v/>
      </c>
      <c r="M546" s="63" t="n">
        <v>7</v>
      </c>
      <c r="N546" s="2" t="n"/>
      <c r="O546" s="2" t="n"/>
    </row>
    <row r="547">
      <c r="A547" s="62">
        <f>IF('7'!$C$1="","",'7'!$C$1)</f>
        <v/>
      </c>
      <c r="B547" s="63">
        <f>Ustawienia!$A$10&amp;""</f>
        <v/>
      </c>
      <c r="C547" s="63">
        <f>Ustawienia!$A$14&amp;""</f>
        <v/>
      </c>
      <c r="D547" s="63" t="n">
        <v>6</v>
      </c>
      <c r="E547" s="63">
        <f>IF('7'!J11="","",TRIM('7'!J11&amp;""))</f>
        <v/>
      </c>
      <c r="F547" s="63">
        <f>IF('7'!K11="","",'7'!K11)</f>
        <v/>
      </c>
      <c r="G547" s="63">
        <f>'7'!L11&amp;""</f>
        <v/>
      </c>
      <c r="H547" s="63">
        <f>IF(OR(A547="",F547=""),"",F547&amp;"|"&amp;A547)</f>
        <v/>
      </c>
      <c r="I547" s="63">
        <f>IF(AND(H547&lt;&gt;"",OR('Historia wózka'!$B$4="",F547='Historia wózka'!$B$4),A547&gt;='Historia wózka'!$B$5,A547&lt;='Historia wózka'!$B$6),A547+0.7+(5000-ROW())/10000000,0)</f>
        <v/>
      </c>
      <c r="J547" s="63">
        <f>Ustawienia!$B$10&amp;""</f>
        <v/>
      </c>
      <c r="K547" s="63">
        <f>IF(H547="","",COUNTIFS('Zgłoszenia'!$B$5:$B$504,F547,'Zgłoszenia'!$D$5:$D$504,"&gt;="&amp;A547,'Zgłoszenia'!$D$5:$D$504,"&lt;="&amp;(A547+1)))</f>
        <v/>
      </c>
      <c r="L547" s="63">
        <f>IF(OR(H547="",K547=0),"—",IF(ISNUMBER(MATCH(H547,'Zgłoszenia'!$S$5:$S$504,0)),RIGHT("0"&amp;DAY(A547),2)&amp;"."&amp;RIGHT("0"&amp;MONTH(A547),2)&amp;"."&amp;YEAR(A547)&amp;": "&amp;INDEX('Zgłoszenia'!$H$5:$H$504,MATCH(H547,'Zgłoszenia'!$S$5:$S$504,0)),RIGHT("0"&amp;DAY((A547+1)),2)&amp;"."&amp;RIGHT("0"&amp;MONTH((A547+1)),2)&amp;"."&amp;YEAR((A547+1))&amp;": "&amp;INDEX('Zgłoszenia'!$H$5:$H$504,MATCH(F547&amp;"|"&amp;(A547+1),'Zgłoszenia'!$S$5:$S$504,0)))&amp;IF(K547&gt;1," (+"&amp;(K547-1)&amp;")",""))</f>
        <v/>
      </c>
      <c r="M547" s="63" t="n">
        <v>7</v>
      </c>
      <c r="N547" s="2" t="n"/>
      <c r="O547" s="2" t="n"/>
    </row>
    <row r="548">
      <c r="A548" s="62">
        <f>IF('7'!$C$1="","",'7'!$C$1)</f>
        <v/>
      </c>
      <c r="B548" s="63">
        <f>Ustawienia!$A$10&amp;""</f>
        <v/>
      </c>
      <c r="C548" s="63">
        <f>Ustawienia!$A$15&amp;""</f>
        <v/>
      </c>
      <c r="D548" s="63" t="n">
        <v>1</v>
      </c>
      <c r="E548" s="63">
        <f>IF('7'!J13="","",TRIM('7'!J13&amp;""))</f>
        <v/>
      </c>
      <c r="F548" s="63">
        <f>IF('7'!K13="","",'7'!K13)</f>
        <v/>
      </c>
      <c r="G548" s="63">
        <f>'7'!L13&amp;""</f>
        <v/>
      </c>
      <c r="H548" s="63">
        <f>IF(OR(A548="",F548=""),"",F548&amp;"|"&amp;A548)</f>
        <v/>
      </c>
      <c r="I548" s="63">
        <f>IF(AND(H548&lt;&gt;"",OR('Historia wózka'!$B$4="",F548='Historia wózka'!$B$4),A548&gt;='Historia wózka'!$B$5,A548&lt;='Historia wózka'!$B$6),A548+0.7+(5000-ROW())/10000000,0)</f>
        <v/>
      </c>
      <c r="J548" s="63">
        <f>Ustawienia!$B$10&amp;""</f>
        <v/>
      </c>
      <c r="K548" s="63">
        <f>IF(H548="","",COUNTIFS('Zgłoszenia'!$B$5:$B$504,F548,'Zgłoszenia'!$D$5:$D$504,"&gt;="&amp;A548,'Zgłoszenia'!$D$5:$D$504,"&lt;="&amp;(A548+1)))</f>
        <v/>
      </c>
      <c r="L548" s="63">
        <f>IF(OR(H548="",K548=0),"—",IF(ISNUMBER(MATCH(H548,'Zgłoszenia'!$S$5:$S$504,0)),RIGHT("0"&amp;DAY(A548),2)&amp;"."&amp;RIGHT("0"&amp;MONTH(A548),2)&amp;"."&amp;YEAR(A548)&amp;": "&amp;INDEX('Zgłoszenia'!$H$5:$H$504,MATCH(H548,'Zgłoszenia'!$S$5:$S$504,0)),RIGHT("0"&amp;DAY((A548+1)),2)&amp;"."&amp;RIGHT("0"&amp;MONTH((A548+1)),2)&amp;"."&amp;YEAR((A548+1))&amp;": "&amp;INDEX('Zgłoszenia'!$H$5:$H$504,MATCH(F548&amp;"|"&amp;(A548+1),'Zgłoszenia'!$S$5:$S$504,0)))&amp;IF(K548&gt;1," (+"&amp;(K548-1)&amp;")",""))</f>
        <v/>
      </c>
      <c r="M548" s="63" t="n">
        <v>7</v>
      </c>
      <c r="N548" s="2" t="n"/>
      <c r="O548" s="2" t="n"/>
    </row>
    <row r="549">
      <c r="A549" s="62">
        <f>IF('7'!$C$1="","",'7'!$C$1)</f>
        <v/>
      </c>
      <c r="B549" s="63">
        <f>Ustawienia!$A$10&amp;""</f>
        <v/>
      </c>
      <c r="C549" s="63">
        <f>Ustawienia!$A$15&amp;""</f>
        <v/>
      </c>
      <c r="D549" s="63" t="n">
        <v>2</v>
      </c>
      <c r="E549" s="63">
        <f>IF('7'!J14="","",TRIM('7'!J14&amp;""))</f>
        <v/>
      </c>
      <c r="F549" s="63">
        <f>IF('7'!K14="","",'7'!K14)</f>
        <v/>
      </c>
      <c r="G549" s="63">
        <f>'7'!L14&amp;""</f>
        <v/>
      </c>
      <c r="H549" s="63">
        <f>IF(OR(A549="",F549=""),"",F549&amp;"|"&amp;A549)</f>
        <v/>
      </c>
      <c r="I549" s="63">
        <f>IF(AND(H549&lt;&gt;"",OR('Historia wózka'!$B$4="",F549='Historia wózka'!$B$4),A549&gt;='Historia wózka'!$B$5,A549&lt;='Historia wózka'!$B$6),A549+0.7+(5000-ROW())/10000000,0)</f>
        <v/>
      </c>
      <c r="J549" s="63">
        <f>Ustawienia!$B$10&amp;""</f>
        <v/>
      </c>
      <c r="K549" s="63">
        <f>IF(H549="","",COUNTIFS('Zgłoszenia'!$B$5:$B$504,F549,'Zgłoszenia'!$D$5:$D$504,"&gt;="&amp;A549,'Zgłoszenia'!$D$5:$D$504,"&lt;="&amp;(A549+1)))</f>
        <v/>
      </c>
      <c r="L549" s="63">
        <f>IF(OR(H549="",K549=0),"—",IF(ISNUMBER(MATCH(H549,'Zgłoszenia'!$S$5:$S$504,0)),RIGHT("0"&amp;DAY(A549),2)&amp;"."&amp;RIGHT("0"&amp;MONTH(A549),2)&amp;"."&amp;YEAR(A549)&amp;": "&amp;INDEX('Zgłoszenia'!$H$5:$H$504,MATCH(H549,'Zgłoszenia'!$S$5:$S$504,0)),RIGHT("0"&amp;DAY((A549+1)),2)&amp;"."&amp;RIGHT("0"&amp;MONTH((A549+1)),2)&amp;"."&amp;YEAR((A549+1))&amp;": "&amp;INDEX('Zgłoszenia'!$H$5:$H$504,MATCH(F549&amp;"|"&amp;(A549+1),'Zgłoszenia'!$S$5:$S$504,0)))&amp;IF(K549&gt;1," (+"&amp;(K549-1)&amp;")",""))</f>
        <v/>
      </c>
      <c r="M549" s="63" t="n">
        <v>7</v>
      </c>
      <c r="N549" s="2" t="n"/>
      <c r="O549" s="2" t="n"/>
    </row>
    <row r="550">
      <c r="A550" s="62">
        <f>IF('7'!$C$1="","",'7'!$C$1)</f>
        <v/>
      </c>
      <c r="B550" s="63">
        <f>Ustawienia!$A$10&amp;""</f>
        <v/>
      </c>
      <c r="C550" s="63">
        <f>Ustawienia!$A$15&amp;""</f>
        <v/>
      </c>
      <c r="D550" s="63" t="n">
        <v>3</v>
      </c>
      <c r="E550" s="63">
        <f>IF('7'!J15="","",TRIM('7'!J15&amp;""))</f>
        <v/>
      </c>
      <c r="F550" s="63">
        <f>IF('7'!K15="","",'7'!K15)</f>
        <v/>
      </c>
      <c r="G550" s="63">
        <f>'7'!L15&amp;""</f>
        <v/>
      </c>
      <c r="H550" s="63">
        <f>IF(OR(A550="",F550=""),"",F550&amp;"|"&amp;A550)</f>
        <v/>
      </c>
      <c r="I550" s="63">
        <f>IF(AND(H550&lt;&gt;"",OR('Historia wózka'!$B$4="",F550='Historia wózka'!$B$4),A550&gt;='Historia wózka'!$B$5,A550&lt;='Historia wózka'!$B$6),A550+0.7+(5000-ROW())/10000000,0)</f>
        <v/>
      </c>
      <c r="J550" s="63">
        <f>Ustawienia!$B$10&amp;""</f>
        <v/>
      </c>
      <c r="K550" s="63">
        <f>IF(H550="","",COUNTIFS('Zgłoszenia'!$B$5:$B$504,F550,'Zgłoszenia'!$D$5:$D$504,"&gt;="&amp;A550,'Zgłoszenia'!$D$5:$D$504,"&lt;="&amp;(A550+1)))</f>
        <v/>
      </c>
      <c r="L550" s="63">
        <f>IF(OR(H550="",K550=0),"—",IF(ISNUMBER(MATCH(H550,'Zgłoszenia'!$S$5:$S$504,0)),RIGHT("0"&amp;DAY(A550),2)&amp;"."&amp;RIGHT("0"&amp;MONTH(A550),2)&amp;"."&amp;YEAR(A550)&amp;": "&amp;INDEX('Zgłoszenia'!$H$5:$H$504,MATCH(H550,'Zgłoszenia'!$S$5:$S$504,0)),RIGHT("0"&amp;DAY((A550+1)),2)&amp;"."&amp;RIGHT("0"&amp;MONTH((A550+1)),2)&amp;"."&amp;YEAR((A550+1))&amp;": "&amp;INDEX('Zgłoszenia'!$H$5:$H$504,MATCH(F550&amp;"|"&amp;(A550+1),'Zgłoszenia'!$S$5:$S$504,0)))&amp;IF(K550&gt;1," (+"&amp;(K550-1)&amp;")",""))</f>
        <v/>
      </c>
      <c r="M550" s="63" t="n">
        <v>7</v>
      </c>
      <c r="N550" s="2" t="n"/>
      <c r="O550" s="2" t="n"/>
    </row>
    <row r="551">
      <c r="A551" s="62">
        <f>IF('7'!$C$1="","",'7'!$C$1)</f>
        <v/>
      </c>
      <c r="B551" s="63">
        <f>Ustawienia!$A$10&amp;""</f>
        <v/>
      </c>
      <c r="C551" s="63">
        <f>Ustawienia!$A$15&amp;""</f>
        <v/>
      </c>
      <c r="D551" s="63" t="n">
        <v>4</v>
      </c>
      <c r="E551" s="63">
        <f>IF('7'!J16="","",TRIM('7'!J16&amp;""))</f>
        <v/>
      </c>
      <c r="F551" s="63">
        <f>IF('7'!K16="","",'7'!K16)</f>
        <v/>
      </c>
      <c r="G551" s="63">
        <f>'7'!L16&amp;""</f>
        <v/>
      </c>
      <c r="H551" s="63">
        <f>IF(OR(A551="",F551=""),"",F551&amp;"|"&amp;A551)</f>
        <v/>
      </c>
      <c r="I551" s="63">
        <f>IF(AND(H551&lt;&gt;"",OR('Historia wózka'!$B$4="",F551='Historia wózka'!$B$4),A551&gt;='Historia wózka'!$B$5,A551&lt;='Historia wózka'!$B$6),A551+0.7+(5000-ROW())/10000000,0)</f>
        <v/>
      </c>
      <c r="J551" s="63">
        <f>Ustawienia!$B$10&amp;""</f>
        <v/>
      </c>
      <c r="K551" s="63">
        <f>IF(H551="","",COUNTIFS('Zgłoszenia'!$B$5:$B$504,F551,'Zgłoszenia'!$D$5:$D$504,"&gt;="&amp;A551,'Zgłoszenia'!$D$5:$D$504,"&lt;="&amp;(A551+1)))</f>
        <v/>
      </c>
      <c r="L551" s="63">
        <f>IF(OR(H551="",K551=0),"—",IF(ISNUMBER(MATCH(H551,'Zgłoszenia'!$S$5:$S$504,0)),RIGHT("0"&amp;DAY(A551),2)&amp;"."&amp;RIGHT("0"&amp;MONTH(A551),2)&amp;"."&amp;YEAR(A551)&amp;": "&amp;INDEX('Zgłoszenia'!$H$5:$H$504,MATCH(H551,'Zgłoszenia'!$S$5:$S$504,0)),RIGHT("0"&amp;DAY((A551+1)),2)&amp;"."&amp;RIGHT("0"&amp;MONTH((A551+1)),2)&amp;"."&amp;YEAR((A551+1))&amp;": "&amp;INDEX('Zgłoszenia'!$H$5:$H$504,MATCH(F551&amp;"|"&amp;(A551+1),'Zgłoszenia'!$S$5:$S$504,0)))&amp;IF(K551&gt;1," (+"&amp;(K551-1)&amp;")",""))</f>
        <v/>
      </c>
      <c r="M551" s="63" t="n">
        <v>7</v>
      </c>
      <c r="N551" s="2" t="n"/>
      <c r="O551" s="2" t="n"/>
    </row>
    <row r="552">
      <c r="A552" s="62">
        <f>IF('7'!$C$1="","",'7'!$C$1)</f>
        <v/>
      </c>
      <c r="B552" s="63">
        <f>Ustawienia!$A$10&amp;""</f>
        <v/>
      </c>
      <c r="C552" s="63">
        <f>Ustawienia!$A$15&amp;""</f>
        <v/>
      </c>
      <c r="D552" s="63" t="n">
        <v>5</v>
      </c>
      <c r="E552" s="63">
        <f>IF('7'!J17="","",TRIM('7'!J17&amp;""))</f>
        <v/>
      </c>
      <c r="F552" s="63">
        <f>IF('7'!K17="","",'7'!K17)</f>
        <v/>
      </c>
      <c r="G552" s="63">
        <f>'7'!L17&amp;""</f>
        <v/>
      </c>
      <c r="H552" s="63">
        <f>IF(OR(A552="",F552=""),"",F552&amp;"|"&amp;A552)</f>
        <v/>
      </c>
      <c r="I552" s="63">
        <f>IF(AND(H552&lt;&gt;"",OR('Historia wózka'!$B$4="",F552='Historia wózka'!$B$4),A552&gt;='Historia wózka'!$B$5,A552&lt;='Historia wózka'!$B$6),A552+0.7+(5000-ROW())/10000000,0)</f>
        <v/>
      </c>
      <c r="J552" s="63">
        <f>Ustawienia!$B$10&amp;""</f>
        <v/>
      </c>
      <c r="K552" s="63">
        <f>IF(H552="","",COUNTIFS('Zgłoszenia'!$B$5:$B$504,F552,'Zgłoszenia'!$D$5:$D$504,"&gt;="&amp;A552,'Zgłoszenia'!$D$5:$D$504,"&lt;="&amp;(A552+1)))</f>
        <v/>
      </c>
      <c r="L552" s="63">
        <f>IF(OR(H552="",K552=0),"—",IF(ISNUMBER(MATCH(H552,'Zgłoszenia'!$S$5:$S$504,0)),RIGHT("0"&amp;DAY(A552),2)&amp;"."&amp;RIGHT("0"&amp;MONTH(A552),2)&amp;"."&amp;YEAR(A552)&amp;": "&amp;INDEX('Zgłoszenia'!$H$5:$H$504,MATCH(H552,'Zgłoszenia'!$S$5:$S$504,0)),RIGHT("0"&amp;DAY((A552+1)),2)&amp;"."&amp;RIGHT("0"&amp;MONTH((A552+1)),2)&amp;"."&amp;YEAR((A552+1))&amp;": "&amp;INDEX('Zgłoszenia'!$H$5:$H$504,MATCH(F552&amp;"|"&amp;(A552+1),'Zgłoszenia'!$S$5:$S$504,0)))&amp;IF(K552&gt;1," (+"&amp;(K552-1)&amp;")",""))</f>
        <v/>
      </c>
      <c r="M552" s="63" t="n">
        <v>7</v>
      </c>
      <c r="N552" s="2" t="n"/>
      <c r="O552" s="2" t="n"/>
    </row>
    <row r="553">
      <c r="A553" s="62">
        <f>IF('7'!$C$1="","",'7'!$C$1)</f>
        <v/>
      </c>
      <c r="B553" s="63">
        <f>Ustawienia!$A$10&amp;""</f>
        <v/>
      </c>
      <c r="C553" s="63">
        <f>Ustawienia!$A$15&amp;""</f>
        <v/>
      </c>
      <c r="D553" s="63" t="n">
        <v>6</v>
      </c>
      <c r="E553" s="63">
        <f>IF('7'!J18="","",TRIM('7'!J18&amp;""))</f>
        <v/>
      </c>
      <c r="F553" s="63">
        <f>IF('7'!K18="","",'7'!K18)</f>
        <v/>
      </c>
      <c r="G553" s="63">
        <f>'7'!L18&amp;""</f>
        <v/>
      </c>
      <c r="H553" s="63">
        <f>IF(OR(A553="",F553=""),"",F553&amp;"|"&amp;A553)</f>
        <v/>
      </c>
      <c r="I553" s="63">
        <f>IF(AND(H553&lt;&gt;"",OR('Historia wózka'!$B$4="",F553='Historia wózka'!$B$4),A553&gt;='Historia wózka'!$B$5,A553&lt;='Historia wózka'!$B$6),A553+0.7+(5000-ROW())/10000000,0)</f>
        <v/>
      </c>
      <c r="J553" s="63">
        <f>Ustawienia!$B$10&amp;""</f>
        <v/>
      </c>
      <c r="K553" s="63">
        <f>IF(H553="","",COUNTIFS('Zgłoszenia'!$B$5:$B$504,F553,'Zgłoszenia'!$D$5:$D$504,"&gt;="&amp;A553,'Zgłoszenia'!$D$5:$D$504,"&lt;="&amp;(A553+1)))</f>
        <v/>
      </c>
      <c r="L553" s="63">
        <f>IF(OR(H553="",K553=0),"—",IF(ISNUMBER(MATCH(H553,'Zgłoszenia'!$S$5:$S$504,0)),RIGHT("0"&amp;DAY(A553),2)&amp;"."&amp;RIGHT("0"&amp;MONTH(A553),2)&amp;"."&amp;YEAR(A553)&amp;": "&amp;INDEX('Zgłoszenia'!$H$5:$H$504,MATCH(H553,'Zgłoszenia'!$S$5:$S$504,0)),RIGHT("0"&amp;DAY((A553+1)),2)&amp;"."&amp;RIGHT("0"&amp;MONTH((A553+1)),2)&amp;"."&amp;YEAR((A553+1))&amp;": "&amp;INDEX('Zgłoszenia'!$H$5:$H$504,MATCH(F553&amp;"|"&amp;(A553+1),'Zgłoszenia'!$S$5:$S$504,0)))&amp;IF(K553&gt;1," (+"&amp;(K553-1)&amp;")",""))</f>
        <v/>
      </c>
      <c r="M553" s="63" t="n">
        <v>7</v>
      </c>
      <c r="N553" s="2" t="n"/>
      <c r="O553" s="2" t="n"/>
    </row>
    <row r="554">
      <c r="A554" s="62">
        <f>IF('7'!$C$1="","",'7'!$C$1)</f>
        <v/>
      </c>
      <c r="B554" s="63">
        <f>Ustawienia!$A$10&amp;""</f>
        <v/>
      </c>
      <c r="C554" s="63">
        <f>Ustawienia!$A$15&amp;""</f>
        <v/>
      </c>
      <c r="D554" s="63" t="n">
        <v>7</v>
      </c>
      <c r="E554" s="63">
        <f>IF('7'!J19="","",TRIM('7'!J19&amp;""))</f>
        <v/>
      </c>
      <c r="F554" s="63">
        <f>IF('7'!K19="","",'7'!K19)</f>
        <v/>
      </c>
      <c r="G554" s="63">
        <f>'7'!L19&amp;""</f>
        <v/>
      </c>
      <c r="H554" s="63">
        <f>IF(OR(A554="",F554=""),"",F554&amp;"|"&amp;A554)</f>
        <v/>
      </c>
      <c r="I554" s="63">
        <f>IF(AND(H554&lt;&gt;"",OR('Historia wózka'!$B$4="",F554='Historia wózka'!$B$4),A554&gt;='Historia wózka'!$B$5,A554&lt;='Historia wózka'!$B$6),A554+0.7+(5000-ROW())/10000000,0)</f>
        <v/>
      </c>
      <c r="J554" s="63">
        <f>Ustawienia!$B$10&amp;""</f>
        <v/>
      </c>
      <c r="K554" s="63">
        <f>IF(H554="","",COUNTIFS('Zgłoszenia'!$B$5:$B$504,F554,'Zgłoszenia'!$D$5:$D$504,"&gt;="&amp;A554,'Zgłoszenia'!$D$5:$D$504,"&lt;="&amp;(A554+1)))</f>
        <v/>
      </c>
      <c r="L554" s="63">
        <f>IF(OR(H554="",K554=0),"—",IF(ISNUMBER(MATCH(H554,'Zgłoszenia'!$S$5:$S$504,0)),RIGHT("0"&amp;DAY(A554),2)&amp;"."&amp;RIGHT("0"&amp;MONTH(A554),2)&amp;"."&amp;YEAR(A554)&amp;": "&amp;INDEX('Zgłoszenia'!$H$5:$H$504,MATCH(H554,'Zgłoszenia'!$S$5:$S$504,0)),RIGHT("0"&amp;DAY((A554+1)),2)&amp;"."&amp;RIGHT("0"&amp;MONTH((A554+1)),2)&amp;"."&amp;YEAR((A554+1))&amp;": "&amp;INDEX('Zgłoszenia'!$H$5:$H$504,MATCH(F554&amp;"|"&amp;(A554+1),'Zgłoszenia'!$S$5:$S$504,0)))&amp;IF(K554&gt;1," (+"&amp;(K554-1)&amp;")",""))</f>
        <v/>
      </c>
      <c r="M554" s="63" t="n">
        <v>7</v>
      </c>
      <c r="N554" s="2" t="n"/>
      <c r="O554" s="2" t="n"/>
    </row>
    <row r="555">
      <c r="A555" s="62">
        <f>IF('7'!$C$1="","",'7'!$C$1)</f>
        <v/>
      </c>
      <c r="B555" s="63">
        <f>Ustawienia!$A$10&amp;""</f>
        <v/>
      </c>
      <c r="C555" s="63">
        <f>Ustawienia!$A$15&amp;""</f>
        <v/>
      </c>
      <c r="D555" s="63" t="n">
        <v>8</v>
      </c>
      <c r="E555" s="63">
        <f>IF('7'!J20="","",TRIM('7'!J20&amp;""))</f>
        <v/>
      </c>
      <c r="F555" s="63">
        <f>IF('7'!K20="","",'7'!K20)</f>
        <v/>
      </c>
      <c r="G555" s="63">
        <f>'7'!L20&amp;""</f>
        <v/>
      </c>
      <c r="H555" s="63">
        <f>IF(OR(A555="",F555=""),"",F555&amp;"|"&amp;A555)</f>
        <v/>
      </c>
      <c r="I555" s="63">
        <f>IF(AND(H555&lt;&gt;"",OR('Historia wózka'!$B$4="",F555='Historia wózka'!$B$4),A555&gt;='Historia wózka'!$B$5,A555&lt;='Historia wózka'!$B$6),A555+0.7+(5000-ROW())/10000000,0)</f>
        <v/>
      </c>
      <c r="J555" s="63">
        <f>Ustawienia!$B$10&amp;""</f>
        <v/>
      </c>
      <c r="K555" s="63">
        <f>IF(H555="","",COUNTIFS('Zgłoszenia'!$B$5:$B$504,F555,'Zgłoszenia'!$D$5:$D$504,"&gt;="&amp;A555,'Zgłoszenia'!$D$5:$D$504,"&lt;="&amp;(A555+1)))</f>
        <v/>
      </c>
      <c r="L555" s="63">
        <f>IF(OR(H555="",K555=0),"—",IF(ISNUMBER(MATCH(H555,'Zgłoszenia'!$S$5:$S$504,0)),RIGHT("0"&amp;DAY(A555),2)&amp;"."&amp;RIGHT("0"&amp;MONTH(A555),2)&amp;"."&amp;YEAR(A555)&amp;": "&amp;INDEX('Zgłoszenia'!$H$5:$H$504,MATCH(H555,'Zgłoszenia'!$S$5:$S$504,0)),RIGHT("0"&amp;DAY((A555+1)),2)&amp;"."&amp;RIGHT("0"&amp;MONTH((A555+1)),2)&amp;"."&amp;YEAR((A555+1))&amp;": "&amp;INDEX('Zgłoszenia'!$H$5:$H$504,MATCH(F555&amp;"|"&amp;(A555+1),'Zgłoszenia'!$S$5:$S$504,0)))&amp;IF(K555&gt;1," (+"&amp;(K555-1)&amp;")",""))</f>
        <v/>
      </c>
      <c r="M555" s="63" t="n">
        <v>7</v>
      </c>
      <c r="N555" s="2" t="n"/>
      <c r="O555" s="2" t="n"/>
    </row>
    <row r="556">
      <c r="A556" s="62">
        <f>IF('7'!$C$1="","",'7'!$C$1)</f>
        <v/>
      </c>
      <c r="B556" s="63">
        <f>Ustawienia!$A$10&amp;""</f>
        <v/>
      </c>
      <c r="C556" s="63">
        <f>Ustawienia!$A$16&amp;""</f>
        <v/>
      </c>
      <c r="D556" s="63" t="n">
        <v>1</v>
      </c>
      <c r="E556" s="63">
        <f>IF('7'!J22="","",TRIM('7'!J22&amp;""))</f>
        <v/>
      </c>
      <c r="F556" s="63">
        <f>IF('7'!K22="","",'7'!K22)</f>
        <v/>
      </c>
      <c r="G556" s="63">
        <f>'7'!L22&amp;""</f>
        <v/>
      </c>
      <c r="H556" s="63">
        <f>IF(OR(A556="",F556=""),"",F556&amp;"|"&amp;A556)</f>
        <v/>
      </c>
      <c r="I556" s="63">
        <f>IF(AND(H556&lt;&gt;"",OR('Historia wózka'!$B$4="",F556='Historia wózka'!$B$4),A556&gt;='Historia wózka'!$B$5,A556&lt;='Historia wózka'!$B$6),A556+0.7+(5000-ROW())/10000000,0)</f>
        <v/>
      </c>
      <c r="J556" s="63">
        <f>Ustawienia!$B$10&amp;""</f>
        <v/>
      </c>
      <c r="K556" s="63">
        <f>IF(H556="","",COUNTIFS('Zgłoszenia'!$B$5:$B$504,F556,'Zgłoszenia'!$D$5:$D$504,"&gt;="&amp;A556,'Zgłoszenia'!$D$5:$D$504,"&lt;="&amp;(A556+1)))</f>
        <v/>
      </c>
      <c r="L556" s="63">
        <f>IF(OR(H556="",K556=0),"—",IF(ISNUMBER(MATCH(H556,'Zgłoszenia'!$S$5:$S$504,0)),RIGHT("0"&amp;DAY(A556),2)&amp;"."&amp;RIGHT("0"&amp;MONTH(A556),2)&amp;"."&amp;YEAR(A556)&amp;": "&amp;INDEX('Zgłoszenia'!$H$5:$H$504,MATCH(H556,'Zgłoszenia'!$S$5:$S$504,0)),RIGHT("0"&amp;DAY((A556+1)),2)&amp;"."&amp;RIGHT("0"&amp;MONTH((A556+1)),2)&amp;"."&amp;YEAR((A556+1))&amp;": "&amp;INDEX('Zgłoszenia'!$H$5:$H$504,MATCH(F556&amp;"|"&amp;(A556+1),'Zgłoszenia'!$S$5:$S$504,0)))&amp;IF(K556&gt;1," (+"&amp;(K556-1)&amp;")",""))</f>
        <v/>
      </c>
      <c r="M556" s="63" t="n">
        <v>7</v>
      </c>
      <c r="N556" s="2" t="n"/>
      <c r="O556" s="2" t="n"/>
    </row>
    <row r="557">
      <c r="A557" s="62">
        <f>IF('7'!$C$1="","",'7'!$C$1)</f>
        <v/>
      </c>
      <c r="B557" s="63">
        <f>Ustawienia!$A$10&amp;""</f>
        <v/>
      </c>
      <c r="C557" s="63">
        <f>Ustawienia!$A$16&amp;""</f>
        <v/>
      </c>
      <c r="D557" s="63" t="n">
        <v>2</v>
      </c>
      <c r="E557" s="63">
        <f>IF('7'!J23="","",TRIM('7'!J23&amp;""))</f>
        <v/>
      </c>
      <c r="F557" s="63">
        <f>IF('7'!K23="","",'7'!K23)</f>
        <v/>
      </c>
      <c r="G557" s="63">
        <f>'7'!L23&amp;""</f>
        <v/>
      </c>
      <c r="H557" s="63">
        <f>IF(OR(A557="",F557=""),"",F557&amp;"|"&amp;A557)</f>
        <v/>
      </c>
      <c r="I557" s="63">
        <f>IF(AND(H557&lt;&gt;"",OR('Historia wózka'!$B$4="",F557='Historia wózka'!$B$4),A557&gt;='Historia wózka'!$B$5,A557&lt;='Historia wózka'!$B$6),A557+0.7+(5000-ROW())/10000000,0)</f>
        <v/>
      </c>
      <c r="J557" s="63">
        <f>Ustawienia!$B$10&amp;""</f>
        <v/>
      </c>
      <c r="K557" s="63">
        <f>IF(H557="","",COUNTIFS('Zgłoszenia'!$B$5:$B$504,F557,'Zgłoszenia'!$D$5:$D$504,"&gt;="&amp;A557,'Zgłoszenia'!$D$5:$D$504,"&lt;="&amp;(A557+1)))</f>
        <v/>
      </c>
      <c r="L557" s="63">
        <f>IF(OR(H557="",K557=0),"—",IF(ISNUMBER(MATCH(H557,'Zgłoszenia'!$S$5:$S$504,0)),RIGHT("0"&amp;DAY(A557),2)&amp;"."&amp;RIGHT("0"&amp;MONTH(A557),2)&amp;"."&amp;YEAR(A557)&amp;": "&amp;INDEX('Zgłoszenia'!$H$5:$H$504,MATCH(H557,'Zgłoszenia'!$S$5:$S$504,0)),RIGHT("0"&amp;DAY((A557+1)),2)&amp;"."&amp;RIGHT("0"&amp;MONTH((A557+1)),2)&amp;"."&amp;YEAR((A557+1))&amp;": "&amp;INDEX('Zgłoszenia'!$H$5:$H$504,MATCH(F557&amp;"|"&amp;(A557+1),'Zgłoszenia'!$S$5:$S$504,0)))&amp;IF(K557&gt;1," (+"&amp;(K557-1)&amp;")",""))</f>
        <v/>
      </c>
      <c r="M557" s="63" t="n">
        <v>7</v>
      </c>
      <c r="N557" s="2" t="n"/>
      <c r="O557" s="2" t="n"/>
    </row>
    <row r="558">
      <c r="A558" s="62">
        <f>IF('7'!$C$1="","",'7'!$C$1)</f>
        <v/>
      </c>
      <c r="B558" s="63">
        <f>Ustawienia!$A$10&amp;""</f>
        <v/>
      </c>
      <c r="C558" s="63">
        <f>Ustawienia!$A$16&amp;""</f>
        <v/>
      </c>
      <c r="D558" s="63" t="n">
        <v>3</v>
      </c>
      <c r="E558" s="63">
        <f>IF('7'!J24="","",TRIM('7'!J24&amp;""))</f>
        <v/>
      </c>
      <c r="F558" s="63">
        <f>IF('7'!K24="","",'7'!K24)</f>
        <v/>
      </c>
      <c r="G558" s="63">
        <f>'7'!L24&amp;""</f>
        <v/>
      </c>
      <c r="H558" s="63">
        <f>IF(OR(A558="",F558=""),"",F558&amp;"|"&amp;A558)</f>
        <v/>
      </c>
      <c r="I558" s="63">
        <f>IF(AND(H558&lt;&gt;"",OR('Historia wózka'!$B$4="",F558='Historia wózka'!$B$4),A558&gt;='Historia wózka'!$B$5,A558&lt;='Historia wózka'!$B$6),A558+0.7+(5000-ROW())/10000000,0)</f>
        <v/>
      </c>
      <c r="J558" s="63">
        <f>Ustawienia!$B$10&amp;""</f>
        <v/>
      </c>
      <c r="K558" s="63">
        <f>IF(H558="","",COUNTIFS('Zgłoszenia'!$B$5:$B$504,F558,'Zgłoszenia'!$D$5:$D$504,"&gt;="&amp;A558,'Zgłoszenia'!$D$5:$D$504,"&lt;="&amp;(A558+1)))</f>
        <v/>
      </c>
      <c r="L558" s="63">
        <f>IF(OR(H558="",K558=0),"—",IF(ISNUMBER(MATCH(H558,'Zgłoszenia'!$S$5:$S$504,0)),RIGHT("0"&amp;DAY(A558),2)&amp;"."&amp;RIGHT("0"&amp;MONTH(A558),2)&amp;"."&amp;YEAR(A558)&amp;": "&amp;INDEX('Zgłoszenia'!$H$5:$H$504,MATCH(H558,'Zgłoszenia'!$S$5:$S$504,0)),RIGHT("0"&amp;DAY((A558+1)),2)&amp;"."&amp;RIGHT("0"&amp;MONTH((A558+1)),2)&amp;"."&amp;YEAR((A558+1))&amp;": "&amp;INDEX('Zgłoszenia'!$H$5:$H$504,MATCH(F558&amp;"|"&amp;(A558+1),'Zgłoszenia'!$S$5:$S$504,0)))&amp;IF(K558&gt;1," (+"&amp;(K558-1)&amp;")",""))</f>
        <v/>
      </c>
      <c r="M558" s="63" t="n">
        <v>7</v>
      </c>
      <c r="N558" s="2" t="n"/>
      <c r="O558" s="2" t="n"/>
    </row>
    <row r="559">
      <c r="A559" s="62">
        <f>IF('7'!$C$1="","",'7'!$C$1)</f>
        <v/>
      </c>
      <c r="B559" s="63">
        <f>Ustawienia!$A$10&amp;""</f>
        <v/>
      </c>
      <c r="C559" s="63">
        <f>Ustawienia!$A$16&amp;""</f>
        <v/>
      </c>
      <c r="D559" s="63" t="n">
        <v>4</v>
      </c>
      <c r="E559" s="63">
        <f>IF('7'!J25="","",TRIM('7'!J25&amp;""))</f>
        <v/>
      </c>
      <c r="F559" s="63">
        <f>IF('7'!K25="","",'7'!K25)</f>
        <v/>
      </c>
      <c r="G559" s="63">
        <f>'7'!L25&amp;""</f>
        <v/>
      </c>
      <c r="H559" s="63">
        <f>IF(OR(A559="",F559=""),"",F559&amp;"|"&amp;A559)</f>
        <v/>
      </c>
      <c r="I559" s="63">
        <f>IF(AND(H559&lt;&gt;"",OR('Historia wózka'!$B$4="",F559='Historia wózka'!$B$4),A559&gt;='Historia wózka'!$B$5,A559&lt;='Historia wózka'!$B$6),A559+0.7+(5000-ROW())/10000000,0)</f>
        <v/>
      </c>
      <c r="J559" s="63">
        <f>Ustawienia!$B$10&amp;""</f>
        <v/>
      </c>
      <c r="K559" s="63">
        <f>IF(H559="","",COUNTIFS('Zgłoszenia'!$B$5:$B$504,F559,'Zgłoszenia'!$D$5:$D$504,"&gt;="&amp;A559,'Zgłoszenia'!$D$5:$D$504,"&lt;="&amp;(A559+1)))</f>
        <v/>
      </c>
      <c r="L559" s="63">
        <f>IF(OR(H559="",K559=0),"—",IF(ISNUMBER(MATCH(H559,'Zgłoszenia'!$S$5:$S$504,0)),RIGHT("0"&amp;DAY(A559),2)&amp;"."&amp;RIGHT("0"&amp;MONTH(A559),2)&amp;"."&amp;YEAR(A559)&amp;": "&amp;INDEX('Zgłoszenia'!$H$5:$H$504,MATCH(H559,'Zgłoszenia'!$S$5:$S$504,0)),RIGHT("0"&amp;DAY((A559+1)),2)&amp;"."&amp;RIGHT("0"&amp;MONTH((A559+1)),2)&amp;"."&amp;YEAR((A559+1))&amp;": "&amp;INDEX('Zgłoszenia'!$H$5:$H$504,MATCH(F559&amp;"|"&amp;(A559+1),'Zgłoszenia'!$S$5:$S$504,0)))&amp;IF(K559&gt;1," (+"&amp;(K559-1)&amp;")",""))</f>
        <v/>
      </c>
      <c r="M559" s="63" t="n">
        <v>7</v>
      </c>
      <c r="N559" s="2" t="n"/>
      <c r="O559" s="2" t="n"/>
    </row>
    <row r="560">
      <c r="A560" s="62">
        <f>IF('7'!$C$1="","",'7'!$C$1)</f>
        <v/>
      </c>
      <c r="B560" s="63">
        <f>Ustawienia!$A$10&amp;""</f>
        <v/>
      </c>
      <c r="C560" s="63">
        <f>Ustawienia!$A$17&amp;""</f>
        <v/>
      </c>
      <c r="D560" s="63" t="n">
        <v>1</v>
      </c>
      <c r="E560" s="63">
        <f>IF('7'!J27="","",TRIM('7'!J27&amp;""))</f>
        <v/>
      </c>
      <c r="F560" s="63">
        <f>IF('7'!K27="","",'7'!K27)</f>
        <v/>
      </c>
      <c r="G560" s="63">
        <f>'7'!L27&amp;""</f>
        <v/>
      </c>
      <c r="H560" s="63">
        <f>IF(OR(A560="",F560=""),"",F560&amp;"|"&amp;A560)</f>
        <v/>
      </c>
      <c r="I560" s="63">
        <f>IF(AND(H560&lt;&gt;"",OR('Historia wózka'!$B$4="",F560='Historia wózka'!$B$4),A560&gt;='Historia wózka'!$B$5,A560&lt;='Historia wózka'!$B$6),A560+0.7+(5000-ROW())/10000000,0)</f>
        <v/>
      </c>
      <c r="J560" s="63">
        <f>Ustawienia!$B$10&amp;""</f>
        <v/>
      </c>
      <c r="K560" s="63">
        <f>IF(H560="","",COUNTIFS('Zgłoszenia'!$B$5:$B$504,F560,'Zgłoszenia'!$D$5:$D$504,"&gt;="&amp;A560,'Zgłoszenia'!$D$5:$D$504,"&lt;="&amp;(A560+1)))</f>
        <v/>
      </c>
      <c r="L560" s="63">
        <f>IF(OR(H560="",K560=0),"—",IF(ISNUMBER(MATCH(H560,'Zgłoszenia'!$S$5:$S$504,0)),RIGHT("0"&amp;DAY(A560),2)&amp;"."&amp;RIGHT("0"&amp;MONTH(A560),2)&amp;"."&amp;YEAR(A560)&amp;": "&amp;INDEX('Zgłoszenia'!$H$5:$H$504,MATCH(H560,'Zgłoszenia'!$S$5:$S$504,0)),RIGHT("0"&amp;DAY((A560+1)),2)&amp;"."&amp;RIGHT("0"&amp;MONTH((A560+1)),2)&amp;"."&amp;YEAR((A560+1))&amp;": "&amp;INDEX('Zgłoszenia'!$H$5:$H$504,MATCH(F560&amp;"|"&amp;(A560+1),'Zgłoszenia'!$S$5:$S$504,0)))&amp;IF(K560&gt;1," (+"&amp;(K560-1)&amp;")",""))</f>
        <v/>
      </c>
      <c r="M560" s="63" t="n">
        <v>7</v>
      </c>
      <c r="N560" s="2" t="n"/>
      <c r="O560" s="2" t="n"/>
    </row>
    <row r="561">
      <c r="A561" s="62">
        <f>IF('7'!$C$1="","",'7'!$C$1)</f>
        <v/>
      </c>
      <c r="B561" s="63">
        <f>Ustawienia!$A$10&amp;""</f>
        <v/>
      </c>
      <c r="C561" s="63">
        <f>Ustawienia!$A$17&amp;""</f>
        <v/>
      </c>
      <c r="D561" s="63" t="n">
        <v>2</v>
      </c>
      <c r="E561" s="63">
        <f>IF('7'!J28="","",TRIM('7'!J28&amp;""))</f>
        <v/>
      </c>
      <c r="F561" s="63">
        <f>IF('7'!K28="","",'7'!K28)</f>
        <v/>
      </c>
      <c r="G561" s="63">
        <f>'7'!L28&amp;""</f>
        <v/>
      </c>
      <c r="H561" s="63">
        <f>IF(OR(A561="",F561=""),"",F561&amp;"|"&amp;A561)</f>
        <v/>
      </c>
      <c r="I561" s="63">
        <f>IF(AND(H561&lt;&gt;"",OR('Historia wózka'!$B$4="",F561='Historia wózka'!$B$4),A561&gt;='Historia wózka'!$B$5,A561&lt;='Historia wózka'!$B$6),A561+0.7+(5000-ROW())/10000000,0)</f>
        <v/>
      </c>
      <c r="J561" s="63">
        <f>Ustawienia!$B$10&amp;""</f>
        <v/>
      </c>
      <c r="K561" s="63">
        <f>IF(H561="","",COUNTIFS('Zgłoszenia'!$B$5:$B$504,F561,'Zgłoszenia'!$D$5:$D$504,"&gt;="&amp;A561,'Zgłoszenia'!$D$5:$D$504,"&lt;="&amp;(A561+1)))</f>
        <v/>
      </c>
      <c r="L561" s="63">
        <f>IF(OR(H561="",K561=0),"—",IF(ISNUMBER(MATCH(H561,'Zgłoszenia'!$S$5:$S$504,0)),RIGHT("0"&amp;DAY(A561),2)&amp;"."&amp;RIGHT("0"&amp;MONTH(A561),2)&amp;"."&amp;YEAR(A561)&amp;": "&amp;INDEX('Zgłoszenia'!$H$5:$H$504,MATCH(H561,'Zgłoszenia'!$S$5:$S$504,0)),RIGHT("0"&amp;DAY((A561+1)),2)&amp;"."&amp;RIGHT("0"&amp;MONTH((A561+1)),2)&amp;"."&amp;YEAR((A561+1))&amp;": "&amp;INDEX('Zgłoszenia'!$H$5:$H$504,MATCH(F561&amp;"|"&amp;(A561+1),'Zgłoszenia'!$S$5:$S$504,0)))&amp;IF(K561&gt;1," (+"&amp;(K561-1)&amp;")",""))</f>
        <v/>
      </c>
      <c r="M561" s="63" t="n">
        <v>7</v>
      </c>
      <c r="N561" s="2" t="n"/>
      <c r="O561" s="2" t="n"/>
    </row>
    <row r="562">
      <c r="A562" s="62">
        <f>IF('7'!$C$1="","",'7'!$C$1)</f>
        <v/>
      </c>
      <c r="B562" s="63">
        <f>Ustawienia!$A$10&amp;""</f>
        <v/>
      </c>
      <c r="C562" s="63">
        <f>Ustawienia!$A$17&amp;""</f>
        <v/>
      </c>
      <c r="D562" s="63" t="n">
        <v>3</v>
      </c>
      <c r="E562" s="63">
        <f>IF('7'!J29="","",TRIM('7'!J29&amp;""))</f>
        <v/>
      </c>
      <c r="F562" s="63">
        <f>IF('7'!K29="","",'7'!K29)</f>
        <v/>
      </c>
      <c r="G562" s="63">
        <f>'7'!L29&amp;""</f>
        <v/>
      </c>
      <c r="H562" s="63">
        <f>IF(OR(A562="",F562=""),"",F562&amp;"|"&amp;A562)</f>
        <v/>
      </c>
      <c r="I562" s="63">
        <f>IF(AND(H562&lt;&gt;"",OR('Historia wózka'!$B$4="",F562='Historia wózka'!$B$4),A562&gt;='Historia wózka'!$B$5,A562&lt;='Historia wózka'!$B$6),A562+0.7+(5000-ROW())/10000000,0)</f>
        <v/>
      </c>
      <c r="J562" s="63">
        <f>Ustawienia!$B$10&amp;""</f>
        <v/>
      </c>
      <c r="K562" s="63">
        <f>IF(H562="","",COUNTIFS('Zgłoszenia'!$B$5:$B$504,F562,'Zgłoszenia'!$D$5:$D$504,"&gt;="&amp;A562,'Zgłoszenia'!$D$5:$D$504,"&lt;="&amp;(A562+1)))</f>
        <v/>
      </c>
      <c r="L562" s="63">
        <f>IF(OR(H562="",K562=0),"—",IF(ISNUMBER(MATCH(H562,'Zgłoszenia'!$S$5:$S$504,0)),RIGHT("0"&amp;DAY(A562),2)&amp;"."&amp;RIGHT("0"&amp;MONTH(A562),2)&amp;"."&amp;YEAR(A562)&amp;": "&amp;INDEX('Zgłoszenia'!$H$5:$H$504,MATCH(H562,'Zgłoszenia'!$S$5:$S$504,0)),RIGHT("0"&amp;DAY((A562+1)),2)&amp;"."&amp;RIGHT("0"&amp;MONTH((A562+1)),2)&amp;"."&amp;YEAR((A562+1))&amp;": "&amp;INDEX('Zgłoszenia'!$H$5:$H$504,MATCH(F562&amp;"|"&amp;(A562+1),'Zgłoszenia'!$S$5:$S$504,0)))&amp;IF(K562&gt;1," (+"&amp;(K562-1)&amp;")",""))</f>
        <v/>
      </c>
      <c r="M562" s="63" t="n">
        <v>7</v>
      </c>
      <c r="N562" s="2" t="n"/>
      <c r="O562" s="2" t="n"/>
    </row>
    <row r="563">
      <c r="A563" s="62">
        <f>IF('7'!$C$1="","",'7'!$C$1)</f>
        <v/>
      </c>
      <c r="B563" s="63">
        <f>Ustawienia!$A$10&amp;""</f>
        <v/>
      </c>
      <c r="C563" s="63">
        <f>Ustawienia!$A$17&amp;""</f>
        <v/>
      </c>
      <c r="D563" s="63" t="n">
        <v>4</v>
      </c>
      <c r="E563" s="63">
        <f>IF('7'!J30="","",TRIM('7'!J30&amp;""))</f>
        <v/>
      </c>
      <c r="F563" s="63">
        <f>IF('7'!K30="","",'7'!K30)</f>
        <v/>
      </c>
      <c r="G563" s="63">
        <f>'7'!L30&amp;""</f>
        <v/>
      </c>
      <c r="H563" s="63">
        <f>IF(OR(A563="",F563=""),"",F563&amp;"|"&amp;A563)</f>
        <v/>
      </c>
      <c r="I563" s="63">
        <f>IF(AND(H563&lt;&gt;"",OR('Historia wózka'!$B$4="",F563='Historia wózka'!$B$4),A563&gt;='Historia wózka'!$B$5,A563&lt;='Historia wózka'!$B$6),A563+0.7+(5000-ROW())/10000000,0)</f>
        <v/>
      </c>
      <c r="J563" s="63">
        <f>Ustawienia!$B$10&amp;""</f>
        <v/>
      </c>
      <c r="K563" s="63">
        <f>IF(H563="","",COUNTIFS('Zgłoszenia'!$B$5:$B$504,F563,'Zgłoszenia'!$D$5:$D$504,"&gt;="&amp;A563,'Zgłoszenia'!$D$5:$D$504,"&lt;="&amp;(A563+1)))</f>
        <v/>
      </c>
      <c r="L563" s="63">
        <f>IF(OR(H563="",K563=0),"—",IF(ISNUMBER(MATCH(H563,'Zgłoszenia'!$S$5:$S$504,0)),RIGHT("0"&amp;DAY(A563),2)&amp;"."&amp;RIGHT("0"&amp;MONTH(A563),2)&amp;"."&amp;YEAR(A563)&amp;": "&amp;INDEX('Zgłoszenia'!$H$5:$H$504,MATCH(H563,'Zgłoszenia'!$S$5:$S$504,0)),RIGHT("0"&amp;DAY((A563+1)),2)&amp;"."&amp;RIGHT("0"&amp;MONTH((A563+1)),2)&amp;"."&amp;YEAR((A563+1))&amp;": "&amp;INDEX('Zgłoszenia'!$H$5:$H$504,MATCH(F563&amp;"|"&amp;(A563+1),'Zgłoszenia'!$S$5:$S$504,0)))&amp;IF(K563&gt;1," (+"&amp;(K563-1)&amp;")",""))</f>
        <v/>
      </c>
      <c r="M563" s="63" t="n">
        <v>7</v>
      </c>
      <c r="N563" s="2" t="n"/>
      <c r="O563" s="2" t="n"/>
    </row>
    <row r="564">
      <c r="A564" s="62">
        <f>IF('7'!$C$1="","",'7'!$C$1)</f>
        <v/>
      </c>
      <c r="B564" s="63">
        <f>Ustawienia!$A$10&amp;""</f>
        <v/>
      </c>
      <c r="C564" s="63">
        <f>Ustawienia!$A$18&amp;""</f>
        <v/>
      </c>
      <c r="D564" s="63" t="n">
        <v>1</v>
      </c>
      <c r="E564" s="63">
        <f>IF('7'!J32="","",TRIM('7'!J32&amp;""))</f>
        <v/>
      </c>
      <c r="F564" s="63">
        <f>IF('7'!K32="","",'7'!K32)</f>
        <v/>
      </c>
      <c r="G564" s="63">
        <f>'7'!L32&amp;""</f>
        <v/>
      </c>
      <c r="H564" s="63">
        <f>IF(OR(A564="",F564=""),"",F564&amp;"|"&amp;A564)</f>
        <v/>
      </c>
      <c r="I564" s="63">
        <f>IF(AND(H564&lt;&gt;"",OR('Historia wózka'!$B$4="",F564='Historia wózka'!$B$4),A564&gt;='Historia wózka'!$B$5,A564&lt;='Historia wózka'!$B$6),A564+0.7+(5000-ROW())/10000000,0)</f>
        <v/>
      </c>
      <c r="J564" s="63">
        <f>Ustawienia!$B$10&amp;""</f>
        <v/>
      </c>
      <c r="K564" s="63">
        <f>IF(H564="","",COUNTIFS('Zgłoszenia'!$B$5:$B$504,F564,'Zgłoszenia'!$D$5:$D$504,"&gt;="&amp;A564,'Zgłoszenia'!$D$5:$D$504,"&lt;="&amp;(A564+1)))</f>
        <v/>
      </c>
      <c r="L564" s="63">
        <f>IF(OR(H564="",K564=0),"—",IF(ISNUMBER(MATCH(H564,'Zgłoszenia'!$S$5:$S$504,0)),RIGHT("0"&amp;DAY(A564),2)&amp;"."&amp;RIGHT("0"&amp;MONTH(A564),2)&amp;"."&amp;YEAR(A564)&amp;": "&amp;INDEX('Zgłoszenia'!$H$5:$H$504,MATCH(H564,'Zgłoszenia'!$S$5:$S$504,0)),RIGHT("0"&amp;DAY((A564+1)),2)&amp;"."&amp;RIGHT("0"&amp;MONTH((A564+1)),2)&amp;"."&amp;YEAR((A564+1))&amp;": "&amp;INDEX('Zgłoszenia'!$H$5:$H$504,MATCH(F564&amp;"|"&amp;(A564+1),'Zgłoszenia'!$S$5:$S$504,0)))&amp;IF(K564&gt;1," (+"&amp;(K564-1)&amp;")",""))</f>
        <v/>
      </c>
      <c r="M564" s="63" t="n">
        <v>7</v>
      </c>
      <c r="N564" s="2" t="n"/>
      <c r="O564" s="2" t="n"/>
    </row>
    <row r="565">
      <c r="A565" s="62">
        <f>IF('7'!$C$1="","",'7'!$C$1)</f>
        <v/>
      </c>
      <c r="B565" s="63">
        <f>Ustawienia!$A$10&amp;""</f>
        <v/>
      </c>
      <c r="C565" s="63">
        <f>Ustawienia!$A$18&amp;""</f>
        <v/>
      </c>
      <c r="D565" s="63" t="n">
        <v>2</v>
      </c>
      <c r="E565" s="63">
        <f>IF('7'!J33="","",TRIM('7'!J33&amp;""))</f>
        <v/>
      </c>
      <c r="F565" s="63">
        <f>IF('7'!K33="","",'7'!K33)</f>
        <v/>
      </c>
      <c r="G565" s="63">
        <f>'7'!L33&amp;""</f>
        <v/>
      </c>
      <c r="H565" s="63">
        <f>IF(OR(A565="",F565=""),"",F565&amp;"|"&amp;A565)</f>
        <v/>
      </c>
      <c r="I565" s="63">
        <f>IF(AND(H565&lt;&gt;"",OR('Historia wózka'!$B$4="",F565='Historia wózka'!$B$4),A565&gt;='Historia wózka'!$B$5,A565&lt;='Historia wózka'!$B$6),A565+0.7+(5000-ROW())/10000000,0)</f>
        <v/>
      </c>
      <c r="J565" s="63">
        <f>Ustawienia!$B$10&amp;""</f>
        <v/>
      </c>
      <c r="K565" s="63">
        <f>IF(H565="","",COUNTIFS('Zgłoszenia'!$B$5:$B$504,F565,'Zgłoszenia'!$D$5:$D$504,"&gt;="&amp;A565,'Zgłoszenia'!$D$5:$D$504,"&lt;="&amp;(A565+1)))</f>
        <v/>
      </c>
      <c r="L565" s="63">
        <f>IF(OR(H565="",K565=0),"—",IF(ISNUMBER(MATCH(H565,'Zgłoszenia'!$S$5:$S$504,0)),RIGHT("0"&amp;DAY(A565),2)&amp;"."&amp;RIGHT("0"&amp;MONTH(A565),2)&amp;"."&amp;YEAR(A565)&amp;": "&amp;INDEX('Zgłoszenia'!$H$5:$H$504,MATCH(H565,'Zgłoszenia'!$S$5:$S$504,0)),RIGHT("0"&amp;DAY((A565+1)),2)&amp;"."&amp;RIGHT("0"&amp;MONTH((A565+1)),2)&amp;"."&amp;YEAR((A565+1))&amp;": "&amp;INDEX('Zgłoszenia'!$H$5:$H$504,MATCH(F565&amp;"|"&amp;(A565+1),'Zgłoszenia'!$S$5:$S$504,0)))&amp;IF(K565&gt;1," (+"&amp;(K565-1)&amp;")",""))</f>
        <v/>
      </c>
      <c r="M565" s="63" t="n">
        <v>7</v>
      </c>
      <c r="N565" s="2" t="n"/>
      <c r="O565" s="2" t="n"/>
    </row>
    <row r="566">
      <c r="A566" s="62">
        <f>IF('7'!$C$1="","",'7'!$C$1)</f>
        <v/>
      </c>
      <c r="B566" s="63">
        <f>Ustawienia!$A$10&amp;""</f>
        <v/>
      </c>
      <c r="C566" s="63">
        <f>Ustawienia!$A$18&amp;""</f>
        <v/>
      </c>
      <c r="D566" s="63" t="n">
        <v>3</v>
      </c>
      <c r="E566" s="63">
        <f>IF('7'!J34="","",TRIM('7'!J34&amp;""))</f>
        <v/>
      </c>
      <c r="F566" s="63">
        <f>IF('7'!K34="","",'7'!K34)</f>
        <v/>
      </c>
      <c r="G566" s="63">
        <f>'7'!L34&amp;""</f>
        <v/>
      </c>
      <c r="H566" s="63">
        <f>IF(OR(A566="",F566=""),"",F566&amp;"|"&amp;A566)</f>
        <v/>
      </c>
      <c r="I566" s="63">
        <f>IF(AND(H566&lt;&gt;"",OR('Historia wózka'!$B$4="",F566='Historia wózka'!$B$4),A566&gt;='Historia wózka'!$B$5,A566&lt;='Historia wózka'!$B$6),A566+0.7+(5000-ROW())/10000000,0)</f>
        <v/>
      </c>
      <c r="J566" s="63">
        <f>Ustawienia!$B$10&amp;""</f>
        <v/>
      </c>
      <c r="K566" s="63">
        <f>IF(H566="","",COUNTIFS('Zgłoszenia'!$B$5:$B$504,F566,'Zgłoszenia'!$D$5:$D$504,"&gt;="&amp;A566,'Zgłoszenia'!$D$5:$D$504,"&lt;="&amp;(A566+1)))</f>
        <v/>
      </c>
      <c r="L566" s="63">
        <f>IF(OR(H566="",K566=0),"—",IF(ISNUMBER(MATCH(H566,'Zgłoszenia'!$S$5:$S$504,0)),RIGHT("0"&amp;DAY(A566),2)&amp;"."&amp;RIGHT("0"&amp;MONTH(A566),2)&amp;"."&amp;YEAR(A566)&amp;": "&amp;INDEX('Zgłoszenia'!$H$5:$H$504,MATCH(H566,'Zgłoszenia'!$S$5:$S$504,0)),RIGHT("0"&amp;DAY((A566+1)),2)&amp;"."&amp;RIGHT("0"&amp;MONTH((A566+1)),2)&amp;"."&amp;YEAR((A566+1))&amp;": "&amp;INDEX('Zgłoszenia'!$H$5:$H$504,MATCH(F566&amp;"|"&amp;(A566+1),'Zgłoszenia'!$S$5:$S$504,0)))&amp;IF(K566&gt;1," (+"&amp;(K566-1)&amp;")",""))</f>
        <v/>
      </c>
      <c r="M566" s="63" t="n">
        <v>7</v>
      </c>
      <c r="N566" s="2" t="n"/>
      <c r="O566" s="2" t="n"/>
    </row>
    <row r="567">
      <c r="A567" s="62">
        <f>IF('7'!$C$1="","",'7'!$C$1)</f>
        <v/>
      </c>
      <c r="B567" s="63">
        <f>Ustawienia!$A$10&amp;""</f>
        <v/>
      </c>
      <c r="C567" s="63">
        <f>Ustawienia!$A$18&amp;""</f>
        <v/>
      </c>
      <c r="D567" s="63" t="n">
        <v>4</v>
      </c>
      <c r="E567" s="63">
        <f>IF('7'!J35="","",TRIM('7'!J35&amp;""))</f>
        <v/>
      </c>
      <c r="F567" s="63">
        <f>IF('7'!K35="","",'7'!K35)</f>
        <v/>
      </c>
      <c r="G567" s="63">
        <f>'7'!L35&amp;""</f>
        <v/>
      </c>
      <c r="H567" s="63">
        <f>IF(OR(A567="",F567=""),"",F567&amp;"|"&amp;A567)</f>
        <v/>
      </c>
      <c r="I567" s="63">
        <f>IF(AND(H567&lt;&gt;"",OR('Historia wózka'!$B$4="",F567='Historia wózka'!$B$4),A567&gt;='Historia wózka'!$B$5,A567&lt;='Historia wózka'!$B$6),A567+0.7+(5000-ROW())/10000000,0)</f>
        <v/>
      </c>
      <c r="J567" s="63">
        <f>Ustawienia!$B$10&amp;""</f>
        <v/>
      </c>
      <c r="K567" s="63">
        <f>IF(H567="","",COUNTIFS('Zgłoszenia'!$B$5:$B$504,F567,'Zgłoszenia'!$D$5:$D$504,"&gt;="&amp;A567,'Zgłoszenia'!$D$5:$D$504,"&lt;="&amp;(A567+1)))</f>
        <v/>
      </c>
      <c r="L567" s="63">
        <f>IF(OR(H567="",K567=0),"—",IF(ISNUMBER(MATCH(H567,'Zgłoszenia'!$S$5:$S$504,0)),RIGHT("0"&amp;DAY(A567),2)&amp;"."&amp;RIGHT("0"&amp;MONTH(A567),2)&amp;"."&amp;YEAR(A567)&amp;": "&amp;INDEX('Zgłoszenia'!$H$5:$H$504,MATCH(H567,'Zgłoszenia'!$S$5:$S$504,0)),RIGHT("0"&amp;DAY((A567+1)),2)&amp;"."&amp;RIGHT("0"&amp;MONTH((A567+1)),2)&amp;"."&amp;YEAR((A567+1))&amp;": "&amp;INDEX('Zgłoszenia'!$H$5:$H$504,MATCH(F567&amp;"|"&amp;(A567+1),'Zgłoszenia'!$S$5:$S$504,0)))&amp;IF(K567&gt;1," (+"&amp;(K567-1)&amp;")",""))</f>
        <v/>
      </c>
      <c r="M567" s="63" t="n">
        <v>7</v>
      </c>
      <c r="N567" s="2" t="n"/>
      <c r="O567" s="2" t="n"/>
    </row>
    <row r="568">
      <c r="A568" s="62">
        <f>IF('7'!$C$1="","",'7'!$C$1)</f>
        <v/>
      </c>
      <c r="B568" s="63">
        <f>Ustawienia!$A$10&amp;""</f>
        <v/>
      </c>
      <c r="C568" s="63">
        <f>Ustawienia!$A$18&amp;""</f>
        <v/>
      </c>
      <c r="D568" s="63" t="n">
        <v>5</v>
      </c>
      <c r="E568" s="63">
        <f>IF('7'!J36="","",TRIM('7'!J36&amp;""))</f>
        <v/>
      </c>
      <c r="F568" s="63">
        <f>IF('7'!K36="","",'7'!K36)</f>
        <v/>
      </c>
      <c r="G568" s="63">
        <f>'7'!L36&amp;""</f>
        <v/>
      </c>
      <c r="H568" s="63">
        <f>IF(OR(A568="",F568=""),"",F568&amp;"|"&amp;A568)</f>
        <v/>
      </c>
      <c r="I568" s="63">
        <f>IF(AND(H568&lt;&gt;"",OR('Historia wózka'!$B$4="",F568='Historia wózka'!$B$4),A568&gt;='Historia wózka'!$B$5,A568&lt;='Historia wózka'!$B$6),A568+0.7+(5000-ROW())/10000000,0)</f>
        <v/>
      </c>
      <c r="J568" s="63">
        <f>Ustawienia!$B$10&amp;""</f>
        <v/>
      </c>
      <c r="K568" s="63">
        <f>IF(H568="","",COUNTIFS('Zgłoszenia'!$B$5:$B$504,F568,'Zgłoszenia'!$D$5:$D$504,"&gt;="&amp;A568,'Zgłoszenia'!$D$5:$D$504,"&lt;="&amp;(A568+1)))</f>
        <v/>
      </c>
      <c r="L568" s="63">
        <f>IF(OR(H568="",K568=0),"—",IF(ISNUMBER(MATCH(H568,'Zgłoszenia'!$S$5:$S$504,0)),RIGHT("0"&amp;DAY(A568),2)&amp;"."&amp;RIGHT("0"&amp;MONTH(A568),2)&amp;"."&amp;YEAR(A568)&amp;": "&amp;INDEX('Zgłoszenia'!$H$5:$H$504,MATCH(H568,'Zgłoszenia'!$S$5:$S$504,0)),RIGHT("0"&amp;DAY((A568+1)),2)&amp;"."&amp;RIGHT("0"&amp;MONTH((A568+1)),2)&amp;"."&amp;YEAR((A568+1))&amp;": "&amp;INDEX('Zgłoszenia'!$H$5:$H$504,MATCH(F568&amp;"|"&amp;(A568+1),'Zgłoszenia'!$S$5:$S$504,0)))&amp;IF(K568&gt;1," (+"&amp;(K568-1)&amp;")",""))</f>
        <v/>
      </c>
      <c r="M568" s="63" t="n">
        <v>7</v>
      </c>
      <c r="N568" s="2" t="n"/>
      <c r="O568" s="2" t="n"/>
    </row>
    <row r="569">
      <c r="A569" s="62">
        <f>IF('8'!$C$1="","",'8'!$C$1)</f>
        <v/>
      </c>
      <c r="B569" s="63">
        <f>Ustawienia!$A$8&amp;""</f>
        <v/>
      </c>
      <c r="C569" s="63">
        <f>Ustawienia!$A$14&amp;""</f>
        <v/>
      </c>
      <c r="D569" s="63" t="n">
        <v>1</v>
      </c>
      <c r="E569" s="63">
        <f>IF('8'!B6="","",TRIM('8'!B6&amp;""))</f>
        <v/>
      </c>
      <c r="F569" s="63">
        <f>IF('8'!C6="","",'8'!C6)</f>
        <v/>
      </c>
      <c r="G569" s="63">
        <f>'8'!D6&amp;""</f>
        <v/>
      </c>
      <c r="H569" s="63">
        <f>IF(OR(A569="",F569=""),"",F569&amp;"|"&amp;A569)</f>
        <v/>
      </c>
      <c r="I569" s="63">
        <f>IF(AND(H569&lt;&gt;"",OR('Historia wózka'!$B$4="",F569='Historia wózka'!$B$4),A569&gt;='Historia wózka'!$B$5,A569&lt;='Historia wózka'!$B$6),A569+0.9+(5000-ROW())/10000000,0)</f>
        <v/>
      </c>
      <c r="J569" s="63">
        <f>Ustawienia!$B$8&amp;""</f>
        <v/>
      </c>
      <c r="K569" s="63">
        <f>IF(H569="","",COUNTIFS('Zgłoszenia'!$B$5:$B$504,F569,'Zgłoszenia'!$D$5:$D$504,"&gt;="&amp;A569,'Zgłoszenia'!$D$5:$D$504,"&lt;="&amp;(A569+1)))</f>
        <v/>
      </c>
      <c r="L569" s="63">
        <f>IF(OR(H569="",K569=0),"—",IF(ISNUMBER(MATCH(H569,'Zgłoszenia'!$S$5:$S$504,0)),RIGHT("0"&amp;DAY(A569),2)&amp;"."&amp;RIGHT("0"&amp;MONTH(A569),2)&amp;"."&amp;YEAR(A569)&amp;": "&amp;INDEX('Zgłoszenia'!$H$5:$H$504,MATCH(H569,'Zgłoszenia'!$S$5:$S$504,0)),RIGHT("0"&amp;DAY((A569+1)),2)&amp;"."&amp;RIGHT("0"&amp;MONTH((A569+1)),2)&amp;"."&amp;YEAR((A569+1))&amp;": "&amp;INDEX('Zgłoszenia'!$H$5:$H$504,MATCH(F569&amp;"|"&amp;(A569+1),'Zgłoszenia'!$S$5:$S$504,0)))&amp;IF(K569&gt;1," (+"&amp;(K569-1)&amp;")",""))</f>
        <v/>
      </c>
      <c r="M569" s="63" t="n">
        <v>8</v>
      </c>
      <c r="N569" s="2" t="n"/>
      <c r="O569" s="2" t="n"/>
    </row>
    <row r="570">
      <c r="A570" s="62">
        <f>IF('8'!$C$1="","",'8'!$C$1)</f>
        <v/>
      </c>
      <c r="B570" s="63">
        <f>Ustawienia!$A$8&amp;""</f>
        <v/>
      </c>
      <c r="C570" s="63">
        <f>Ustawienia!$A$14&amp;""</f>
        <v/>
      </c>
      <c r="D570" s="63" t="n">
        <v>2</v>
      </c>
      <c r="E570" s="63">
        <f>IF('8'!B7="","",TRIM('8'!B7&amp;""))</f>
        <v/>
      </c>
      <c r="F570" s="63">
        <f>IF('8'!C7="","",'8'!C7)</f>
        <v/>
      </c>
      <c r="G570" s="63">
        <f>'8'!D7&amp;""</f>
        <v/>
      </c>
      <c r="H570" s="63">
        <f>IF(OR(A570="",F570=""),"",F570&amp;"|"&amp;A570)</f>
        <v/>
      </c>
      <c r="I570" s="63">
        <f>IF(AND(H570&lt;&gt;"",OR('Historia wózka'!$B$4="",F570='Historia wózka'!$B$4),A570&gt;='Historia wózka'!$B$5,A570&lt;='Historia wózka'!$B$6),A570+0.9+(5000-ROW())/10000000,0)</f>
        <v/>
      </c>
      <c r="J570" s="63">
        <f>Ustawienia!$B$8&amp;""</f>
        <v/>
      </c>
      <c r="K570" s="63">
        <f>IF(H570="","",COUNTIFS('Zgłoszenia'!$B$5:$B$504,F570,'Zgłoszenia'!$D$5:$D$504,"&gt;="&amp;A570,'Zgłoszenia'!$D$5:$D$504,"&lt;="&amp;(A570+1)))</f>
        <v/>
      </c>
      <c r="L570" s="63">
        <f>IF(OR(H570="",K570=0),"—",IF(ISNUMBER(MATCH(H570,'Zgłoszenia'!$S$5:$S$504,0)),RIGHT("0"&amp;DAY(A570),2)&amp;"."&amp;RIGHT("0"&amp;MONTH(A570),2)&amp;"."&amp;YEAR(A570)&amp;": "&amp;INDEX('Zgłoszenia'!$H$5:$H$504,MATCH(H570,'Zgłoszenia'!$S$5:$S$504,0)),RIGHT("0"&amp;DAY((A570+1)),2)&amp;"."&amp;RIGHT("0"&amp;MONTH((A570+1)),2)&amp;"."&amp;YEAR((A570+1))&amp;": "&amp;INDEX('Zgłoszenia'!$H$5:$H$504,MATCH(F570&amp;"|"&amp;(A570+1),'Zgłoszenia'!$S$5:$S$504,0)))&amp;IF(K570&gt;1," (+"&amp;(K570-1)&amp;")",""))</f>
        <v/>
      </c>
      <c r="M570" s="63" t="n">
        <v>8</v>
      </c>
      <c r="N570" s="2" t="n"/>
      <c r="O570" s="2" t="n"/>
    </row>
    <row r="571">
      <c r="A571" s="62">
        <f>IF('8'!$C$1="","",'8'!$C$1)</f>
        <v/>
      </c>
      <c r="B571" s="63">
        <f>Ustawienia!$A$8&amp;""</f>
        <v/>
      </c>
      <c r="C571" s="63">
        <f>Ustawienia!$A$14&amp;""</f>
        <v/>
      </c>
      <c r="D571" s="63" t="n">
        <v>3</v>
      </c>
      <c r="E571" s="63">
        <f>IF('8'!B8="","",TRIM('8'!B8&amp;""))</f>
        <v/>
      </c>
      <c r="F571" s="63">
        <f>IF('8'!C8="","",'8'!C8)</f>
        <v/>
      </c>
      <c r="G571" s="63">
        <f>'8'!D8&amp;""</f>
        <v/>
      </c>
      <c r="H571" s="63">
        <f>IF(OR(A571="",F571=""),"",F571&amp;"|"&amp;A571)</f>
        <v/>
      </c>
      <c r="I571" s="63">
        <f>IF(AND(H571&lt;&gt;"",OR('Historia wózka'!$B$4="",F571='Historia wózka'!$B$4),A571&gt;='Historia wózka'!$B$5,A571&lt;='Historia wózka'!$B$6),A571+0.9+(5000-ROW())/10000000,0)</f>
        <v/>
      </c>
      <c r="J571" s="63">
        <f>Ustawienia!$B$8&amp;""</f>
        <v/>
      </c>
      <c r="K571" s="63">
        <f>IF(H571="","",COUNTIFS('Zgłoszenia'!$B$5:$B$504,F571,'Zgłoszenia'!$D$5:$D$504,"&gt;="&amp;A571,'Zgłoszenia'!$D$5:$D$504,"&lt;="&amp;(A571+1)))</f>
        <v/>
      </c>
      <c r="L571" s="63">
        <f>IF(OR(H571="",K571=0),"—",IF(ISNUMBER(MATCH(H571,'Zgłoszenia'!$S$5:$S$504,0)),RIGHT("0"&amp;DAY(A571),2)&amp;"."&amp;RIGHT("0"&amp;MONTH(A571),2)&amp;"."&amp;YEAR(A571)&amp;": "&amp;INDEX('Zgłoszenia'!$H$5:$H$504,MATCH(H571,'Zgłoszenia'!$S$5:$S$504,0)),RIGHT("0"&amp;DAY((A571+1)),2)&amp;"."&amp;RIGHT("0"&amp;MONTH((A571+1)),2)&amp;"."&amp;YEAR((A571+1))&amp;": "&amp;INDEX('Zgłoszenia'!$H$5:$H$504,MATCH(F571&amp;"|"&amp;(A571+1),'Zgłoszenia'!$S$5:$S$504,0)))&amp;IF(K571&gt;1," (+"&amp;(K571-1)&amp;")",""))</f>
        <v/>
      </c>
      <c r="M571" s="63" t="n">
        <v>8</v>
      </c>
      <c r="N571" s="2" t="n"/>
      <c r="O571" s="2" t="n"/>
    </row>
    <row r="572">
      <c r="A572" s="62">
        <f>IF('8'!$C$1="","",'8'!$C$1)</f>
        <v/>
      </c>
      <c r="B572" s="63">
        <f>Ustawienia!$A$8&amp;""</f>
        <v/>
      </c>
      <c r="C572" s="63">
        <f>Ustawienia!$A$14&amp;""</f>
        <v/>
      </c>
      <c r="D572" s="63" t="n">
        <v>4</v>
      </c>
      <c r="E572" s="63">
        <f>IF('8'!B9="","",TRIM('8'!B9&amp;""))</f>
        <v/>
      </c>
      <c r="F572" s="63">
        <f>IF('8'!C9="","",'8'!C9)</f>
        <v/>
      </c>
      <c r="G572" s="63">
        <f>'8'!D9&amp;""</f>
        <v/>
      </c>
      <c r="H572" s="63">
        <f>IF(OR(A572="",F572=""),"",F572&amp;"|"&amp;A572)</f>
        <v/>
      </c>
      <c r="I572" s="63">
        <f>IF(AND(H572&lt;&gt;"",OR('Historia wózka'!$B$4="",F572='Historia wózka'!$B$4),A572&gt;='Historia wózka'!$B$5,A572&lt;='Historia wózka'!$B$6),A572+0.9+(5000-ROW())/10000000,0)</f>
        <v/>
      </c>
      <c r="J572" s="63">
        <f>Ustawienia!$B$8&amp;""</f>
        <v/>
      </c>
      <c r="K572" s="63">
        <f>IF(H572="","",COUNTIFS('Zgłoszenia'!$B$5:$B$504,F572,'Zgłoszenia'!$D$5:$D$504,"&gt;="&amp;A572,'Zgłoszenia'!$D$5:$D$504,"&lt;="&amp;(A572+1)))</f>
        <v/>
      </c>
      <c r="L572" s="63">
        <f>IF(OR(H572="",K572=0),"—",IF(ISNUMBER(MATCH(H572,'Zgłoszenia'!$S$5:$S$504,0)),RIGHT("0"&amp;DAY(A572),2)&amp;"."&amp;RIGHT("0"&amp;MONTH(A572),2)&amp;"."&amp;YEAR(A572)&amp;": "&amp;INDEX('Zgłoszenia'!$H$5:$H$504,MATCH(H572,'Zgłoszenia'!$S$5:$S$504,0)),RIGHT("0"&amp;DAY((A572+1)),2)&amp;"."&amp;RIGHT("0"&amp;MONTH((A572+1)),2)&amp;"."&amp;YEAR((A572+1))&amp;": "&amp;INDEX('Zgłoszenia'!$H$5:$H$504,MATCH(F572&amp;"|"&amp;(A572+1),'Zgłoszenia'!$S$5:$S$504,0)))&amp;IF(K572&gt;1," (+"&amp;(K572-1)&amp;")",""))</f>
        <v/>
      </c>
      <c r="M572" s="63" t="n">
        <v>8</v>
      </c>
      <c r="N572" s="2" t="n"/>
      <c r="O572" s="2" t="n"/>
    </row>
    <row r="573">
      <c r="A573" s="62">
        <f>IF('8'!$C$1="","",'8'!$C$1)</f>
        <v/>
      </c>
      <c r="B573" s="63">
        <f>Ustawienia!$A$8&amp;""</f>
        <v/>
      </c>
      <c r="C573" s="63">
        <f>Ustawienia!$A$14&amp;""</f>
        <v/>
      </c>
      <c r="D573" s="63" t="n">
        <v>5</v>
      </c>
      <c r="E573" s="63">
        <f>IF('8'!B10="","",TRIM('8'!B10&amp;""))</f>
        <v/>
      </c>
      <c r="F573" s="63">
        <f>IF('8'!C10="","",'8'!C10)</f>
        <v/>
      </c>
      <c r="G573" s="63">
        <f>'8'!D10&amp;""</f>
        <v/>
      </c>
      <c r="H573" s="63">
        <f>IF(OR(A573="",F573=""),"",F573&amp;"|"&amp;A573)</f>
        <v/>
      </c>
      <c r="I573" s="63">
        <f>IF(AND(H573&lt;&gt;"",OR('Historia wózka'!$B$4="",F573='Historia wózka'!$B$4),A573&gt;='Historia wózka'!$B$5,A573&lt;='Historia wózka'!$B$6),A573+0.9+(5000-ROW())/10000000,0)</f>
        <v/>
      </c>
      <c r="J573" s="63">
        <f>Ustawienia!$B$8&amp;""</f>
        <v/>
      </c>
      <c r="K573" s="63">
        <f>IF(H573="","",COUNTIFS('Zgłoszenia'!$B$5:$B$504,F573,'Zgłoszenia'!$D$5:$D$504,"&gt;="&amp;A573,'Zgłoszenia'!$D$5:$D$504,"&lt;="&amp;(A573+1)))</f>
        <v/>
      </c>
      <c r="L573" s="63">
        <f>IF(OR(H573="",K573=0),"—",IF(ISNUMBER(MATCH(H573,'Zgłoszenia'!$S$5:$S$504,0)),RIGHT("0"&amp;DAY(A573),2)&amp;"."&amp;RIGHT("0"&amp;MONTH(A573),2)&amp;"."&amp;YEAR(A573)&amp;": "&amp;INDEX('Zgłoszenia'!$H$5:$H$504,MATCH(H573,'Zgłoszenia'!$S$5:$S$504,0)),RIGHT("0"&amp;DAY((A573+1)),2)&amp;"."&amp;RIGHT("0"&amp;MONTH((A573+1)),2)&amp;"."&amp;YEAR((A573+1))&amp;": "&amp;INDEX('Zgłoszenia'!$H$5:$H$504,MATCH(F573&amp;"|"&amp;(A573+1),'Zgłoszenia'!$S$5:$S$504,0)))&amp;IF(K573&gt;1," (+"&amp;(K573-1)&amp;")",""))</f>
        <v/>
      </c>
      <c r="M573" s="63" t="n">
        <v>8</v>
      </c>
      <c r="N573" s="2" t="n"/>
      <c r="O573" s="2" t="n"/>
    </row>
    <row r="574">
      <c r="A574" s="62">
        <f>IF('8'!$C$1="","",'8'!$C$1)</f>
        <v/>
      </c>
      <c r="B574" s="63">
        <f>Ustawienia!$A$8&amp;""</f>
        <v/>
      </c>
      <c r="C574" s="63">
        <f>Ustawienia!$A$14&amp;""</f>
        <v/>
      </c>
      <c r="D574" s="63" t="n">
        <v>6</v>
      </c>
      <c r="E574" s="63">
        <f>IF('8'!B11="","",TRIM('8'!B11&amp;""))</f>
        <v/>
      </c>
      <c r="F574" s="63">
        <f>IF('8'!C11="","",'8'!C11)</f>
        <v/>
      </c>
      <c r="G574" s="63">
        <f>'8'!D11&amp;""</f>
        <v/>
      </c>
      <c r="H574" s="63">
        <f>IF(OR(A574="",F574=""),"",F574&amp;"|"&amp;A574)</f>
        <v/>
      </c>
      <c r="I574" s="63">
        <f>IF(AND(H574&lt;&gt;"",OR('Historia wózka'!$B$4="",F574='Historia wózka'!$B$4),A574&gt;='Historia wózka'!$B$5,A574&lt;='Historia wózka'!$B$6),A574+0.9+(5000-ROW())/10000000,0)</f>
        <v/>
      </c>
      <c r="J574" s="63">
        <f>Ustawienia!$B$8&amp;""</f>
        <v/>
      </c>
      <c r="K574" s="63">
        <f>IF(H574="","",COUNTIFS('Zgłoszenia'!$B$5:$B$504,F574,'Zgłoszenia'!$D$5:$D$504,"&gt;="&amp;A574,'Zgłoszenia'!$D$5:$D$504,"&lt;="&amp;(A574+1)))</f>
        <v/>
      </c>
      <c r="L574" s="63">
        <f>IF(OR(H574="",K574=0),"—",IF(ISNUMBER(MATCH(H574,'Zgłoszenia'!$S$5:$S$504,0)),RIGHT("0"&amp;DAY(A574),2)&amp;"."&amp;RIGHT("0"&amp;MONTH(A574),2)&amp;"."&amp;YEAR(A574)&amp;": "&amp;INDEX('Zgłoszenia'!$H$5:$H$504,MATCH(H574,'Zgłoszenia'!$S$5:$S$504,0)),RIGHT("0"&amp;DAY((A574+1)),2)&amp;"."&amp;RIGHT("0"&amp;MONTH((A574+1)),2)&amp;"."&amp;YEAR((A574+1))&amp;": "&amp;INDEX('Zgłoszenia'!$H$5:$H$504,MATCH(F574&amp;"|"&amp;(A574+1),'Zgłoszenia'!$S$5:$S$504,0)))&amp;IF(K574&gt;1," (+"&amp;(K574-1)&amp;")",""))</f>
        <v/>
      </c>
      <c r="M574" s="63" t="n">
        <v>8</v>
      </c>
      <c r="N574" s="2" t="n"/>
      <c r="O574" s="2" t="n"/>
    </row>
    <row r="575">
      <c r="A575" s="62">
        <f>IF('8'!$C$1="","",'8'!$C$1)</f>
        <v/>
      </c>
      <c r="B575" s="63">
        <f>Ustawienia!$A$8&amp;""</f>
        <v/>
      </c>
      <c r="C575" s="63">
        <f>Ustawienia!$A$15&amp;""</f>
        <v/>
      </c>
      <c r="D575" s="63" t="n">
        <v>1</v>
      </c>
      <c r="E575" s="63">
        <f>IF('8'!B13="","",TRIM('8'!B13&amp;""))</f>
        <v/>
      </c>
      <c r="F575" s="63">
        <f>IF('8'!C13="","",'8'!C13)</f>
        <v/>
      </c>
      <c r="G575" s="63">
        <f>'8'!D13&amp;""</f>
        <v/>
      </c>
      <c r="H575" s="63">
        <f>IF(OR(A575="",F575=""),"",F575&amp;"|"&amp;A575)</f>
        <v/>
      </c>
      <c r="I575" s="63">
        <f>IF(AND(H575&lt;&gt;"",OR('Historia wózka'!$B$4="",F575='Historia wózka'!$B$4),A575&gt;='Historia wózka'!$B$5,A575&lt;='Historia wózka'!$B$6),A575+0.9+(5000-ROW())/10000000,0)</f>
        <v/>
      </c>
      <c r="J575" s="63">
        <f>Ustawienia!$B$8&amp;""</f>
        <v/>
      </c>
      <c r="K575" s="63">
        <f>IF(H575="","",COUNTIFS('Zgłoszenia'!$B$5:$B$504,F575,'Zgłoszenia'!$D$5:$D$504,"&gt;="&amp;A575,'Zgłoszenia'!$D$5:$D$504,"&lt;="&amp;(A575+1)))</f>
        <v/>
      </c>
      <c r="L575" s="63">
        <f>IF(OR(H575="",K575=0),"—",IF(ISNUMBER(MATCH(H575,'Zgłoszenia'!$S$5:$S$504,0)),RIGHT("0"&amp;DAY(A575),2)&amp;"."&amp;RIGHT("0"&amp;MONTH(A575),2)&amp;"."&amp;YEAR(A575)&amp;": "&amp;INDEX('Zgłoszenia'!$H$5:$H$504,MATCH(H575,'Zgłoszenia'!$S$5:$S$504,0)),RIGHT("0"&amp;DAY((A575+1)),2)&amp;"."&amp;RIGHT("0"&amp;MONTH((A575+1)),2)&amp;"."&amp;YEAR((A575+1))&amp;": "&amp;INDEX('Zgłoszenia'!$H$5:$H$504,MATCH(F575&amp;"|"&amp;(A575+1),'Zgłoszenia'!$S$5:$S$504,0)))&amp;IF(K575&gt;1," (+"&amp;(K575-1)&amp;")",""))</f>
        <v/>
      </c>
      <c r="M575" s="63" t="n">
        <v>8</v>
      </c>
      <c r="N575" s="2" t="n"/>
      <c r="O575" s="2" t="n"/>
    </row>
    <row r="576">
      <c r="A576" s="62">
        <f>IF('8'!$C$1="","",'8'!$C$1)</f>
        <v/>
      </c>
      <c r="B576" s="63">
        <f>Ustawienia!$A$8&amp;""</f>
        <v/>
      </c>
      <c r="C576" s="63">
        <f>Ustawienia!$A$15&amp;""</f>
        <v/>
      </c>
      <c r="D576" s="63" t="n">
        <v>2</v>
      </c>
      <c r="E576" s="63">
        <f>IF('8'!B14="","",TRIM('8'!B14&amp;""))</f>
        <v/>
      </c>
      <c r="F576" s="63">
        <f>IF('8'!C14="","",'8'!C14)</f>
        <v/>
      </c>
      <c r="G576" s="63">
        <f>'8'!D14&amp;""</f>
        <v/>
      </c>
      <c r="H576" s="63">
        <f>IF(OR(A576="",F576=""),"",F576&amp;"|"&amp;A576)</f>
        <v/>
      </c>
      <c r="I576" s="63">
        <f>IF(AND(H576&lt;&gt;"",OR('Historia wózka'!$B$4="",F576='Historia wózka'!$B$4),A576&gt;='Historia wózka'!$B$5,A576&lt;='Historia wózka'!$B$6),A576+0.9+(5000-ROW())/10000000,0)</f>
        <v/>
      </c>
      <c r="J576" s="63">
        <f>Ustawienia!$B$8&amp;""</f>
        <v/>
      </c>
      <c r="K576" s="63">
        <f>IF(H576="","",COUNTIFS('Zgłoszenia'!$B$5:$B$504,F576,'Zgłoszenia'!$D$5:$D$504,"&gt;="&amp;A576,'Zgłoszenia'!$D$5:$D$504,"&lt;="&amp;(A576+1)))</f>
        <v/>
      </c>
      <c r="L576" s="63">
        <f>IF(OR(H576="",K576=0),"—",IF(ISNUMBER(MATCH(H576,'Zgłoszenia'!$S$5:$S$504,0)),RIGHT("0"&amp;DAY(A576),2)&amp;"."&amp;RIGHT("0"&amp;MONTH(A576),2)&amp;"."&amp;YEAR(A576)&amp;": "&amp;INDEX('Zgłoszenia'!$H$5:$H$504,MATCH(H576,'Zgłoszenia'!$S$5:$S$504,0)),RIGHT("0"&amp;DAY((A576+1)),2)&amp;"."&amp;RIGHT("0"&amp;MONTH((A576+1)),2)&amp;"."&amp;YEAR((A576+1))&amp;": "&amp;INDEX('Zgłoszenia'!$H$5:$H$504,MATCH(F576&amp;"|"&amp;(A576+1),'Zgłoszenia'!$S$5:$S$504,0)))&amp;IF(K576&gt;1," (+"&amp;(K576-1)&amp;")",""))</f>
        <v/>
      </c>
      <c r="M576" s="63" t="n">
        <v>8</v>
      </c>
      <c r="N576" s="2" t="n"/>
      <c r="O576" s="2" t="n"/>
    </row>
    <row r="577">
      <c r="A577" s="62">
        <f>IF('8'!$C$1="","",'8'!$C$1)</f>
        <v/>
      </c>
      <c r="B577" s="63">
        <f>Ustawienia!$A$8&amp;""</f>
        <v/>
      </c>
      <c r="C577" s="63">
        <f>Ustawienia!$A$15&amp;""</f>
        <v/>
      </c>
      <c r="D577" s="63" t="n">
        <v>3</v>
      </c>
      <c r="E577" s="63">
        <f>IF('8'!B15="","",TRIM('8'!B15&amp;""))</f>
        <v/>
      </c>
      <c r="F577" s="63">
        <f>IF('8'!C15="","",'8'!C15)</f>
        <v/>
      </c>
      <c r="G577" s="63">
        <f>'8'!D15&amp;""</f>
        <v/>
      </c>
      <c r="H577" s="63">
        <f>IF(OR(A577="",F577=""),"",F577&amp;"|"&amp;A577)</f>
        <v/>
      </c>
      <c r="I577" s="63">
        <f>IF(AND(H577&lt;&gt;"",OR('Historia wózka'!$B$4="",F577='Historia wózka'!$B$4),A577&gt;='Historia wózka'!$B$5,A577&lt;='Historia wózka'!$B$6),A577+0.9+(5000-ROW())/10000000,0)</f>
        <v/>
      </c>
      <c r="J577" s="63">
        <f>Ustawienia!$B$8&amp;""</f>
        <v/>
      </c>
      <c r="K577" s="63">
        <f>IF(H577="","",COUNTIFS('Zgłoszenia'!$B$5:$B$504,F577,'Zgłoszenia'!$D$5:$D$504,"&gt;="&amp;A577,'Zgłoszenia'!$D$5:$D$504,"&lt;="&amp;(A577+1)))</f>
        <v/>
      </c>
      <c r="L577" s="63">
        <f>IF(OR(H577="",K577=0),"—",IF(ISNUMBER(MATCH(H577,'Zgłoszenia'!$S$5:$S$504,0)),RIGHT("0"&amp;DAY(A577),2)&amp;"."&amp;RIGHT("0"&amp;MONTH(A577),2)&amp;"."&amp;YEAR(A577)&amp;": "&amp;INDEX('Zgłoszenia'!$H$5:$H$504,MATCH(H577,'Zgłoszenia'!$S$5:$S$504,0)),RIGHT("0"&amp;DAY((A577+1)),2)&amp;"."&amp;RIGHT("0"&amp;MONTH((A577+1)),2)&amp;"."&amp;YEAR((A577+1))&amp;": "&amp;INDEX('Zgłoszenia'!$H$5:$H$504,MATCH(F577&amp;"|"&amp;(A577+1),'Zgłoszenia'!$S$5:$S$504,0)))&amp;IF(K577&gt;1," (+"&amp;(K577-1)&amp;")",""))</f>
        <v/>
      </c>
      <c r="M577" s="63" t="n">
        <v>8</v>
      </c>
      <c r="N577" s="2" t="n"/>
      <c r="O577" s="2" t="n"/>
    </row>
    <row r="578">
      <c r="A578" s="62">
        <f>IF('8'!$C$1="","",'8'!$C$1)</f>
        <v/>
      </c>
      <c r="B578" s="63">
        <f>Ustawienia!$A$8&amp;""</f>
        <v/>
      </c>
      <c r="C578" s="63">
        <f>Ustawienia!$A$15&amp;""</f>
        <v/>
      </c>
      <c r="D578" s="63" t="n">
        <v>4</v>
      </c>
      <c r="E578" s="63">
        <f>IF('8'!B16="","",TRIM('8'!B16&amp;""))</f>
        <v/>
      </c>
      <c r="F578" s="63">
        <f>IF('8'!C16="","",'8'!C16)</f>
        <v/>
      </c>
      <c r="G578" s="63">
        <f>'8'!D16&amp;""</f>
        <v/>
      </c>
      <c r="H578" s="63">
        <f>IF(OR(A578="",F578=""),"",F578&amp;"|"&amp;A578)</f>
        <v/>
      </c>
      <c r="I578" s="63">
        <f>IF(AND(H578&lt;&gt;"",OR('Historia wózka'!$B$4="",F578='Historia wózka'!$B$4),A578&gt;='Historia wózka'!$B$5,A578&lt;='Historia wózka'!$B$6),A578+0.9+(5000-ROW())/10000000,0)</f>
        <v/>
      </c>
      <c r="J578" s="63">
        <f>Ustawienia!$B$8&amp;""</f>
        <v/>
      </c>
      <c r="K578" s="63">
        <f>IF(H578="","",COUNTIFS('Zgłoszenia'!$B$5:$B$504,F578,'Zgłoszenia'!$D$5:$D$504,"&gt;="&amp;A578,'Zgłoszenia'!$D$5:$D$504,"&lt;="&amp;(A578+1)))</f>
        <v/>
      </c>
      <c r="L578" s="63">
        <f>IF(OR(H578="",K578=0),"—",IF(ISNUMBER(MATCH(H578,'Zgłoszenia'!$S$5:$S$504,0)),RIGHT("0"&amp;DAY(A578),2)&amp;"."&amp;RIGHT("0"&amp;MONTH(A578),2)&amp;"."&amp;YEAR(A578)&amp;": "&amp;INDEX('Zgłoszenia'!$H$5:$H$504,MATCH(H578,'Zgłoszenia'!$S$5:$S$504,0)),RIGHT("0"&amp;DAY((A578+1)),2)&amp;"."&amp;RIGHT("0"&amp;MONTH((A578+1)),2)&amp;"."&amp;YEAR((A578+1))&amp;": "&amp;INDEX('Zgłoszenia'!$H$5:$H$504,MATCH(F578&amp;"|"&amp;(A578+1),'Zgłoszenia'!$S$5:$S$504,0)))&amp;IF(K578&gt;1," (+"&amp;(K578-1)&amp;")",""))</f>
        <v/>
      </c>
      <c r="M578" s="63" t="n">
        <v>8</v>
      </c>
      <c r="N578" s="2" t="n"/>
      <c r="O578" s="2" t="n"/>
    </row>
    <row r="579">
      <c r="A579" s="62">
        <f>IF('8'!$C$1="","",'8'!$C$1)</f>
        <v/>
      </c>
      <c r="B579" s="63">
        <f>Ustawienia!$A$8&amp;""</f>
        <v/>
      </c>
      <c r="C579" s="63">
        <f>Ustawienia!$A$15&amp;""</f>
        <v/>
      </c>
      <c r="D579" s="63" t="n">
        <v>5</v>
      </c>
      <c r="E579" s="63">
        <f>IF('8'!B17="","",TRIM('8'!B17&amp;""))</f>
        <v/>
      </c>
      <c r="F579" s="63">
        <f>IF('8'!C17="","",'8'!C17)</f>
        <v/>
      </c>
      <c r="G579" s="63">
        <f>'8'!D17&amp;""</f>
        <v/>
      </c>
      <c r="H579" s="63">
        <f>IF(OR(A579="",F579=""),"",F579&amp;"|"&amp;A579)</f>
        <v/>
      </c>
      <c r="I579" s="63">
        <f>IF(AND(H579&lt;&gt;"",OR('Historia wózka'!$B$4="",F579='Historia wózka'!$B$4),A579&gt;='Historia wózka'!$B$5,A579&lt;='Historia wózka'!$B$6),A579+0.9+(5000-ROW())/10000000,0)</f>
        <v/>
      </c>
      <c r="J579" s="63">
        <f>Ustawienia!$B$8&amp;""</f>
        <v/>
      </c>
      <c r="K579" s="63">
        <f>IF(H579="","",COUNTIFS('Zgłoszenia'!$B$5:$B$504,F579,'Zgłoszenia'!$D$5:$D$504,"&gt;="&amp;A579,'Zgłoszenia'!$D$5:$D$504,"&lt;="&amp;(A579+1)))</f>
        <v/>
      </c>
      <c r="L579" s="63">
        <f>IF(OR(H579="",K579=0),"—",IF(ISNUMBER(MATCH(H579,'Zgłoszenia'!$S$5:$S$504,0)),RIGHT("0"&amp;DAY(A579),2)&amp;"."&amp;RIGHT("0"&amp;MONTH(A579),2)&amp;"."&amp;YEAR(A579)&amp;": "&amp;INDEX('Zgłoszenia'!$H$5:$H$504,MATCH(H579,'Zgłoszenia'!$S$5:$S$504,0)),RIGHT("0"&amp;DAY((A579+1)),2)&amp;"."&amp;RIGHT("0"&amp;MONTH((A579+1)),2)&amp;"."&amp;YEAR((A579+1))&amp;": "&amp;INDEX('Zgłoszenia'!$H$5:$H$504,MATCH(F579&amp;"|"&amp;(A579+1),'Zgłoszenia'!$S$5:$S$504,0)))&amp;IF(K579&gt;1," (+"&amp;(K579-1)&amp;")",""))</f>
        <v/>
      </c>
      <c r="M579" s="63" t="n">
        <v>8</v>
      </c>
      <c r="N579" s="2" t="n"/>
      <c r="O579" s="2" t="n"/>
    </row>
    <row r="580">
      <c r="A580" s="62">
        <f>IF('8'!$C$1="","",'8'!$C$1)</f>
        <v/>
      </c>
      <c r="B580" s="63">
        <f>Ustawienia!$A$8&amp;""</f>
        <v/>
      </c>
      <c r="C580" s="63">
        <f>Ustawienia!$A$15&amp;""</f>
        <v/>
      </c>
      <c r="D580" s="63" t="n">
        <v>6</v>
      </c>
      <c r="E580" s="63">
        <f>IF('8'!B18="","",TRIM('8'!B18&amp;""))</f>
        <v/>
      </c>
      <c r="F580" s="63">
        <f>IF('8'!C18="","",'8'!C18)</f>
        <v/>
      </c>
      <c r="G580" s="63">
        <f>'8'!D18&amp;""</f>
        <v/>
      </c>
      <c r="H580" s="63">
        <f>IF(OR(A580="",F580=""),"",F580&amp;"|"&amp;A580)</f>
        <v/>
      </c>
      <c r="I580" s="63">
        <f>IF(AND(H580&lt;&gt;"",OR('Historia wózka'!$B$4="",F580='Historia wózka'!$B$4),A580&gt;='Historia wózka'!$B$5,A580&lt;='Historia wózka'!$B$6),A580+0.9+(5000-ROW())/10000000,0)</f>
        <v/>
      </c>
      <c r="J580" s="63">
        <f>Ustawienia!$B$8&amp;""</f>
        <v/>
      </c>
      <c r="K580" s="63">
        <f>IF(H580="","",COUNTIFS('Zgłoszenia'!$B$5:$B$504,F580,'Zgłoszenia'!$D$5:$D$504,"&gt;="&amp;A580,'Zgłoszenia'!$D$5:$D$504,"&lt;="&amp;(A580+1)))</f>
        <v/>
      </c>
      <c r="L580" s="63">
        <f>IF(OR(H580="",K580=0),"—",IF(ISNUMBER(MATCH(H580,'Zgłoszenia'!$S$5:$S$504,0)),RIGHT("0"&amp;DAY(A580),2)&amp;"."&amp;RIGHT("0"&amp;MONTH(A580),2)&amp;"."&amp;YEAR(A580)&amp;": "&amp;INDEX('Zgłoszenia'!$H$5:$H$504,MATCH(H580,'Zgłoszenia'!$S$5:$S$504,0)),RIGHT("0"&amp;DAY((A580+1)),2)&amp;"."&amp;RIGHT("0"&amp;MONTH((A580+1)),2)&amp;"."&amp;YEAR((A580+1))&amp;": "&amp;INDEX('Zgłoszenia'!$H$5:$H$504,MATCH(F580&amp;"|"&amp;(A580+1),'Zgłoszenia'!$S$5:$S$504,0)))&amp;IF(K580&gt;1," (+"&amp;(K580-1)&amp;")",""))</f>
        <v/>
      </c>
      <c r="M580" s="63" t="n">
        <v>8</v>
      </c>
      <c r="N580" s="2" t="n"/>
      <c r="O580" s="2" t="n"/>
    </row>
    <row r="581">
      <c r="A581" s="62">
        <f>IF('8'!$C$1="","",'8'!$C$1)</f>
        <v/>
      </c>
      <c r="B581" s="63">
        <f>Ustawienia!$A$8&amp;""</f>
        <v/>
      </c>
      <c r="C581" s="63">
        <f>Ustawienia!$A$15&amp;""</f>
        <v/>
      </c>
      <c r="D581" s="63" t="n">
        <v>7</v>
      </c>
      <c r="E581" s="63">
        <f>IF('8'!B19="","",TRIM('8'!B19&amp;""))</f>
        <v/>
      </c>
      <c r="F581" s="63">
        <f>IF('8'!C19="","",'8'!C19)</f>
        <v/>
      </c>
      <c r="G581" s="63">
        <f>'8'!D19&amp;""</f>
        <v/>
      </c>
      <c r="H581" s="63">
        <f>IF(OR(A581="",F581=""),"",F581&amp;"|"&amp;A581)</f>
        <v/>
      </c>
      <c r="I581" s="63">
        <f>IF(AND(H581&lt;&gt;"",OR('Historia wózka'!$B$4="",F581='Historia wózka'!$B$4),A581&gt;='Historia wózka'!$B$5,A581&lt;='Historia wózka'!$B$6),A581+0.9+(5000-ROW())/10000000,0)</f>
        <v/>
      </c>
      <c r="J581" s="63">
        <f>Ustawienia!$B$8&amp;""</f>
        <v/>
      </c>
      <c r="K581" s="63">
        <f>IF(H581="","",COUNTIFS('Zgłoszenia'!$B$5:$B$504,F581,'Zgłoszenia'!$D$5:$D$504,"&gt;="&amp;A581,'Zgłoszenia'!$D$5:$D$504,"&lt;="&amp;(A581+1)))</f>
        <v/>
      </c>
      <c r="L581" s="63">
        <f>IF(OR(H581="",K581=0),"—",IF(ISNUMBER(MATCH(H581,'Zgłoszenia'!$S$5:$S$504,0)),RIGHT("0"&amp;DAY(A581),2)&amp;"."&amp;RIGHT("0"&amp;MONTH(A581),2)&amp;"."&amp;YEAR(A581)&amp;": "&amp;INDEX('Zgłoszenia'!$H$5:$H$504,MATCH(H581,'Zgłoszenia'!$S$5:$S$504,0)),RIGHT("0"&amp;DAY((A581+1)),2)&amp;"."&amp;RIGHT("0"&amp;MONTH((A581+1)),2)&amp;"."&amp;YEAR((A581+1))&amp;": "&amp;INDEX('Zgłoszenia'!$H$5:$H$504,MATCH(F581&amp;"|"&amp;(A581+1),'Zgłoszenia'!$S$5:$S$504,0)))&amp;IF(K581&gt;1," (+"&amp;(K581-1)&amp;")",""))</f>
        <v/>
      </c>
      <c r="M581" s="63" t="n">
        <v>8</v>
      </c>
      <c r="N581" s="2" t="n"/>
      <c r="O581" s="2" t="n"/>
    </row>
    <row r="582">
      <c r="A582" s="62">
        <f>IF('8'!$C$1="","",'8'!$C$1)</f>
        <v/>
      </c>
      <c r="B582" s="63">
        <f>Ustawienia!$A$8&amp;""</f>
        <v/>
      </c>
      <c r="C582" s="63">
        <f>Ustawienia!$A$15&amp;""</f>
        <v/>
      </c>
      <c r="D582" s="63" t="n">
        <v>8</v>
      </c>
      <c r="E582" s="63">
        <f>IF('8'!B20="","",TRIM('8'!B20&amp;""))</f>
        <v/>
      </c>
      <c r="F582" s="63">
        <f>IF('8'!C20="","",'8'!C20)</f>
        <v/>
      </c>
      <c r="G582" s="63">
        <f>'8'!D20&amp;""</f>
        <v/>
      </c>
      <c r="H582" s="63">
        <f>IF(OR(A582="",F582=""),"",F582&amp;"|"&amp;A582)</f>
        <v/>
      </c>
      <c r="I582" s="63">
        <f>IF(AND(H582&lt;&gt;"",OR('Historia wózka'!$B$4="",F582='Historia wózka'!$B$4),A582&gt;='Historia wózka'!$B$5,A582&lt;='Historia wózka'!$B$6),A582+0.9+(5000-ROW())/10000000,0)</f>
        <v/>
      </c>
      <c r="J582" s="63">
        <f>Ustawienia!$B$8&amp;""</f>
        <v/>
      </c>
      <c r="K582" s="63">
        <f>IF(H582="","",COUNTIFS('Zgłoszenia'!$B$5:$B$504,F582,'Zgłoszenia'!$D$5:$D$504,"&gt;="&amp;A582,'Zgłoszenia'!$D$5:$D$504,"&lt;="&amp;(A582+1)))</f>
        <v/>
      </c>
      <c r="L582" s="63">
        <f>IF(OR(H582="",K582=0),"—",IF(ISNUMBER(MATCH(H582,'Zgłoszenia'!$S$5:$S$504,0)),RIGHT("0"&amp;DAY(A582),2)&amp;"."&amp;RIGHT("0"&amp;MONTH(A582),2)&amp;"."&amp;YEAR(A582)&amp;": "&amp;INDEX('Zgłoszenia'!$H$5:$H$504,MATCH(H582,'Zgłoszenia'!$S$5:$S$504,0)),RIGHT("0"&amp;DAY((A582+1)),2)&amp;"."&amp;RIGHT("0"&amp;MONTH((A582+1)),2)&amp;"."&amp;YEAR((A582+1))&amp;": "&amp;INDEX('Zgłoszenia'!$H$5:$H$504,MATCH(F582&amp;"|"&amp;(A582+1),'Zgłoszenia'!$S$5:$S$504,0)))&amp;IF(K582&gt;1," (+"&amp;(K582-1)&amp;")",""))</f>
        <v/>
      </c>
      <c r="M582" s="63" t="n">
        <v>8</v>
      </c>
      <c r="N582" s="2" t="n"/>
      <c r="O582" s="2" t="n"/>
    </row>
    <row r="583">
      <c r="A583" s="62">
        <f>IF('8'!$C$1="","",'8'!$C$1)</f>
        <v/>
      </c>
      <c r="B583" s="63">
        <f>Ustawienia!$A$8&amp;""</f>
        <v/>
      </c>
      <c r="C583" s="63">
        <f>Ustawienia!$A$16&amp;""</f>
        <v/>
      </c>
      <c r="D583" s="63" t="n">
        <v>1</v>
      </c>
      <c r="E583" s="63">
        <f>IF('8'!B22="","",TRIM('8'!B22&amp;""))</f>
        <v/>
      </c>
      <c r="F583" s="63">
        <f>IF('8'!C22="","",'8'!C22)</f>
        <v/>
      </c>
      <c r="G583" s="63">
        <f>'8'!D22&amp;""</f>
        <v/>
      </c>
      <c r="H583" s="63">
        <f>IF(OR(A583="",F583=""),"",F583&amp;"|"&amp;A583)</f>
        <v/>
      </c>
      <c r="I583" s="63">
        <f>IF(AND(H583&lt;&gt;"",OR('Historia wózka'!$B$4="",F583='Historia wózka'!$B$4),A583&gt;='Historia wózka'!$B$5,A583&lt;='Historia wózka'!$B$6),A583+0.9+(5000-ROW())/10000000,0)</f>
        <v/>
      </c>
      <c r="J583" s="63">
        <f>Ustawienia!$B$8&amp;""</f>
        <v/>
      </c>
      <c r="K583" s="63">
        <f>IF(H583="","",COUNTIFS('Zgłoszenia'!$B$5:$B$504,F583,'Zgłoszenia'!$D$5:$D$504,"&gt;="&amp;A583,'Zgłoszenia'!$D$5:$D$504,"&lt;="&amp;(A583+1)))</f>
        <v/>
      </c>
      <c r="L583" s="63">
        <f>IF(OR(H583="",K583=0),"—",IF(ISNUMBER(MATCH(H583,'Zgłoszenia'!$S$5:$S$504,0)),RIGHT("0"&amp;DAY(A583),2)&amp;"."&amp;RIGHT("0"&amp;MONTH(A583),2)&amp;"."&amp;YEAR(A583)&amp;": "&amp;INDEX('Zgłoszenia'!$H$5:$H$504,MATCH(H583,'Zgłoszenia'!$S$5:$S$504,0)),RIGHT("0"&amp;DAY((A583+1)),2)&amp;"."&amp;RIGHT("0"&amp;MONTH((A583+1)),2)&amp;"."&amp;YEAR((A583+1))&amp;": "&amp;INDEX('Zgłoszenia'!$H$5:$H$504,MATCH(F583&amp;"|"&amp;(A583+1),'Zgłoszenia'!$S$5:$S$504,0)))&amp;IF(K583&gt;1," (+"&amp;(K583-1)&amp;")",""))</f>
        <v/>
      </c>
      <c r="M583" s="63" t="n">
        <v>8</v>
      </c>
      <c r="N583" s="2" t="n"/>
      <c r="O583" s="2" t="n"/>
    </row>
    <row r="584">
      <c r="A584" s="62">
        <f>IF('8'!$C$1="","",'8'!$C$1)</f>
        <v/>
      </c>
      <c r="B584" s="63">
        <f>Ustawienia!$A$8&amp;""</f>
        <v/>
      </c>
      <c r="C584" s="63">
        <f>Ustawienia!$A$16&amp;""</f>
        <v/>
      </c>
      <c r="D584" s="63" t="n">
        <v>2</v>
      </c>
      <c r="E584" s="63">
        <f>IF('8'!B23="","",TRIM('8'!B23&amp;""))</f>
        <v/>
      </c>
      <c r="F584" s="63">
        <f>IF('8'!C23="","",'8'!C23)</f>
        <v/>
      </c>
      <c r="G584" s="63">
        <f>'8'!D23&amp;""</f>
        <v/>
      </c>
      <c r="H584" s="63">
        <f>IF(OR(A584="",F584=""),"",F584&amp;"|"&amp;A584)</f>
        <v/>
      </c>
      <c r="I584" s="63">
        <f>IF(AND(H584&lt;&gt;"",OR('Historia wózka'!$B$4="",F584='Historia wózka'!$B$4),A584&gt;='Historia wózka'!$B$5,A584&lt;='Historia wózka'!$B$6),A584+0.9+(5000-ROW())/10000000,0)</f>
        <v/>
      </c>
      <c r="J584" s="63">
        <f>Ustawienia!$B$8&amp;""</f>
        <v/>
      </c>
      <c r="K584" s="63">
        <f>IF(H584="","",COUNTIFS('Zgłoszenia'!$B$5:$B$504,F584,'Zgłoszenia'!$D$5:$D$504,"&gt;="&amp;A584,'Zgłoszenia'!$D$5:$D$504,"&lt;="&amp;(A584+1)))</f>
        <v/>
      </c>
      <c r="L584" s="63">
        <f>IF(OR(H584="",K584=0),"—",IF(ISNUMBER(MATCH(H584,'Zgłoszenia'!$S$5:$S$504,0)),RIGHT("0"&amp;DAY(A584),2)&amp;"."&amp;RIGHT("0"&amp;MONTH(A584),2)&amp;"."&amp;YEAR(A584)&amp;": "&amp;INDEX('Zgłoszenia'!$H$5:$H$504,MATCH(H584,'Zgłoszenia'!$S$5:$S$504,0)),RIGHT("0"&amp;DAY((A584+1)),2)&amp;"."&amp;RIGHT("0"&amp;MONTH((A584+1)),2)&amp;"."&amp;YEAR((A584+1))&amp;": "&amp;INDEX('Zgłoszenia'!$H$5:$H$504,MATCH(F584&amp;"|"&amp;(A584+1),'Zgłoszenia'!$S$5:$S$504,0)))&amp;IF(K584&gt;1," (+"&amp;(K584-1)&amp;")",""))</f>
        <v/>
      </c>
      <c r="M584" s="63" t="n">
        <v>8</v>
      </c>
      <c r="N584" s="2" t="n"/>
      <c r="O584" s="2" t="n"/>
    </row>
    <row r="585">
      <c r="A585" s="62">
        <f>IF('8'!$C$1="","",'8'!$C$1)</f>
        <v/>
      </c>
      <c r="B585" s="63">
        <f>Ustawienia!$A$8&amp;""</f>
        <v/>
      </c>
      <c r="C585" s="63">
        <f>Ustawienia!$A$16&amp;""</f>
        <v/>
      </c>
      <c r="D585" s="63" t="n">
        <v>3</v>
      </c>
      <c r="E585" s="63">
        <f>IF('8'!B24="","",TRIM('8'!B24&amp;""))</f>
        <v/>
      </c>
      <c r="F585" s="63">
        <f>IF('8'!C24="","",'8'!C24)</f>
        <v/>
      </c>
      <c r="G585" s="63">
        <f>'8'!D24&amp;""</f>
        <v/>
      </c>
      <c r="H585" s="63">
        <f>IF(OR(A585="",F585=""),"",F585&amp;"|"&amp;A585)</f>
        <v/>
      </c>
      <c r="I585" s="63">
        <f>IF(AND(H585&lt;&gt;"",OR('Historia wózka'!$B$4="",F585='Historia wózka'!$B$4),A585&gt;='Historia wózka'!$B$5,A585&lt;='Historia wózka'!$B$6),A585+0.9+(5000-ROW())/10000000,0)</f>
        <v/>
      </c>
      <c r="J585" s="63">
        <f>Ustawienia!$B$8&amp;""</f>
        <v/>
      </c>
      <c r="K585" s="63">
        <f>IF(H585="","",COUNTIFS('Zgłoszenia'!$B$5:$B$504,F585,'Zgłoszenia'!$D$5:$D$504,"&gt;="&amp;A585,'Zgłoszenia'!$D$5:$D$504,"&lt;="&amp;(A585+1)))</f>
        <v/>
      </c>
      <c r="L585" s="63">
        <f>IF(OR(H585="",K585=0),"—",IF(ISNUMBER(MATCH(H585,'Zgłoszenia'!$S$5:$S$504,0)),RIGHT("0"&amp;DAY(A585),2)&amp;"."&amp;RIGHT("0"&amp;MONTH(A585),2)&amp;"."&amp;YEAR(A585)&amp;": "&amp;INDEX('Zgłoszenia'!$H$5:$H$504,MATCH(H585,'Zgłoszenia'!$S$5:$S$504,0)),RIGHT("0"&amp;DAY((A585+1)),2)&amp;"."&amp;RIGHT("0"&amp;MONTH((A585+1)),2)&amp;"."&amp;YEAR((A585+1))&amp;": "&amp;INDEX('Zgłoszenia'!$H$5:$H$504,MATCH(F585&amp;"|"&amp;(A585+1),'Zgłoszenia'!$S$5:$S$504,0)))&amp;IF(K585&gt;1," (+"&amp;(K585-1)&amp;")",""))</f>
        <v/>
      </c>
      <c r="M585" s="63" t="n">
        <v>8</v>
      </c>
      <c r="N585" s="2" t="n"/>
      <c r="O585" s="2" t="n"/>
    </row>
    <row r="586">
      <c r="A586" s="62">
        <f>IF('8'!$C$1="","",'8'!$C$1)</f>
        <v/>
      </c>
      <c r="B586" s="63">
        <f>Ustawienia!$A$8&amp;""</f>
        <v/>
      </c>
      <c r="C586" s="63">
        <f>Ustawienia!$A$16&amp;""</f>
        <v/>
      </c>
      <c r="D586" s="63" t="n">
        <v>4</v>
      </c>
      <c r="E586" s="63">
        <f>IF('8'!B25="","",TRIM('8'!B25&amp;""))</f>
        <v/>
      </c>
      <c r="F586" s="63">
        <f>IF('8'!C25="","",'8'!C25)</f>
        <v/>
      </c>
      <c r="G586" s="63">
        <f>'8'!D25&amp;""</f>
        <v/>
      </c>
      <c r="H586" s="63">
        <f>IF(OR(A586="",F586=""),"",F586&amp;"|"&amp;A586)</f>
        <v/>
      </c>
      <c r="I586" s="63">
        <f>IF(AND(H586&lt;&gt;"",OR('Historia wózka'!$B$4="",F586='Historia wózka'!$B$4),A586&gt;='Historia wózka'!$B$5,A586&lt;='Historia wózka'!$B$6),A586+0.9+(5000-ROW())/10000000,0)</f>
        <v/>
      </c>
      <c r="J586" s="63">
        <f>Ustawienia!$B$8&amp;""</f>
        <v/>
      </c>
      <c r="K586" s="63">
        <f>IF(H586="","",COUNTIFS('Zgłoszenia'!$B$5:$B$504,F586,'Zgłoszenia'!$D$5:$D$504,"&gt;="&amp;A586,'Zgłoszenia'!$D$5:$D$504,"&lt;="&amp;(A586+1)))</f>
        <v/>
      </c>
      <c r="L586" s="63">
        <f>IF(OR(H586="",K586=0),"—",IF(ISNUMBER(MATCH(H586,'Zgłoszenia'!$S$5:$S$504,0)),RIGHT("0"&amp;DAY(A586),2)&amp;"."&amp;RIGHT("0"&amp;MONTH(A586),2)&amp;"."&amp;YEAR(A586)&amp;": "&amp;INDEX('Zgłoszenia'!$H$5:$H$504,MATCH(H586,'Zgłoszenia'!$S$5:$S$504,0)),RIGHT("0"&amp;DAY((A586+1)),2)&amp;"."&amp;RIGHT("0"&amp;MONTH((A586+1)),2)&amp;"."&amp;YEAR((A586+1))&amp;": "&amp;INDEX('Zgłoszenia'!$H$5:$H$504,MATCH(F586&amp;"|"&amp;(A586+1),'Zgłoszenia'!$S$5:$S$504,0)))&amp;IF(K586&gt;1," (+"&amp;(K586-1)&amp;")",""))</f>
        <v/>
      </c>
      <c r="M586" s="63" t="n">
        <v>8</v>
      </c>
      <c r="N586" s="2" t="n"/>
      <c r="O586" s="2" t="n"/>
    </row>
    <row r="587">
      <c r="A587" s="62">
        <f>IF('8'!$C$1="","",'8'!$C$1)</f>
        <v/>
      </c>
      <c r="B587" s="63">
        <f>Ustawienia!$A$8&amp;""</f>
        <v/>
      </c>
      <c r="C587" s="63">
        <f>Ustawienia!$A$17&amp;""</f>
        <v/>
      </c>
      <c r="D587" s="63" t="n">
        <v>1</v>
      </c>
      <c r="E587" s="63">
        <f>IF('8'!B27="","",TRIM('8'!B27&amp;""))</f>
        <v/>
      </c>
      <c r="F587" s="63">
        <f>IF('8'!C27="","",'8'!C27)</f>
        <v/>
      </c>
      <c r="G587" s="63">
        <f>'8'!D27&amp;""</f>
        <v/>
      </c>
      <c r="H587" s="63">
        <f>IF(OR(A587="",F587=""),"",F587&amp;"|"&amp;A587)</f>
        <v/>
      </c>
      <c r="I587" s="63">
        <f>IF(AND(H587&lt;&gt;"",OR('Historia wózka'!$B$4="",F587='Historia wózka'!$B$4),A587&gt;='Historia wózka'!$B$5,A587&lt;='Historia wózka'!$B$6),A587+0.9+(5000-ROW())/10000000,0)</f>
        <v/>
      </c>
      <c r="J587" s="63">
        <f>Ustawienia!$B$8&amp;""</f>
        <v/>
      </c>
      <c r="K587" s="63">
        <f>IF(H587="","",COUNTIFS('Zgłoszenia'!$B$5:$B$504,F587,'Zgłoszenia'!$D$5:$D$504,"&gt;="&amp;A587,'Zgłoszenia'!$D$5:$D$504,"&lt;="&amp;(A587+1)))</f>
        <v/>
      </c>
      <c r="L587" s="63">
        <f>IF(OR(H587="",K587=0),"—",IF(ISNUMBER(MATCH(H587,'Zgłoszenia'!$S$5:$S$504,0)),RIGHT("0"&amp;DAY(A587),2)&amp;"."&amp;RIGHT("0"&amp;MONTH(A587),2)&amp;"."&amp;YEAR(A587)&amp;": "&amp;INDEX('Zgłoszenia'!$H$5:$H$504,MATCH(H587,'Zgłoszenia'!$S$5:$S$504,0)),RIGHT("0"&amp;DAY((A587+1)),2)&amp;"."&amp;RIGHT("0"&amp;MONTH((A587+1)),2)&amp;"."&amp;YEAR((A587+1))&amp;": "&amp;INDEX('Zgłoszenia'!$H$5:$H$504,MATCH(F587&amp;"|"&amp;(A587+1),'Zgłoszenia'!$S$5:$S$504,0)))&amp;IF(K587&gt;1," (+"&amp;(K587-1)&amp;")",""))</f>
        <v/>
      </c>
      <c r="M587" s="63" t="n">
        <v>8</v>
      </c>
      <c r="N587" s="2" t="n"/>
      <c r="O587" s="2" t="n"/>
    </row>
    <row r="588">
      <c r="A588" s="62">
        <f>IF('8'!$C$1="","",'8'!$C$1)</f>
        <v/>
      </c>
      <c r="B588" s="63">
        <f>Ustawienia!$A$8&amp;""</f>
        <v/>
      </c>
      <c r="C588" s="63">
        <f>Ustawienia!$A$17&amp;""</f>
        <v/>
      </c>
      <c r="D588" s="63" t="n">
        <v>2</v>
      </c>
      <c r="E588" s="63">
        <f>IF('8'!B28="","",TRIM('8'!B28&amp;""))</f>
        <v/>
      </c>
      <c r="F588" s="63">
        <f>IF('8'!C28="","",'8'!C28)</f>
        <v/>
      </c>
      <c r="G588" s="63">
        <f>'8'!D28&amp;""</f>
        <v/>
      </c>
      <c r="H588" s="63">
        <f>IF(OR(A588="",F588=""),"",F588&amp;"|"&amp;A588)</f>
        <v/>
      </c>
      <c r="I588" s="63">
        <f>IF(AND(H588&lt;&gt;"",OR('Historia wózka'!$B$4="",F588='Historia wózka'!$B$4),A588&gt;='Historia wózka'!$B$5,A588&lt;='Historia wózka'!$B$6),A588+0.9+(5000-ROW())/10000000,0)</f>
        <v/>
      </c>
      <c r="J588" s="63">
        <f>Ustawienia!$B$8&amp;""</f>
        <v/>
      </c>
      <c r="K588" s="63">
        <f>IF(H588="","",COUNTIFS('Zgłoszenia'!$B$5:$B$504,F588,'Zgłoszenia'!$D$5:$D$504,"&gt;="&amp;A588,'Zgłoszenia'!$D$5:$D$504,"&lt;="&amp;(A588+1)))</f>
        <v/>
      </c>
      <c r="L588" s="63">
        <f>IF(OR(H588="",K588=0),"—",IF(ISNUMBER(MATCH(H588,'Zgłoszenia'!$S$5:$S$504,0)),RIGHT("0"&amp;DAY(A588),2)&amp;"."&amp;RIGHT("0"&amp;MONTH(A588),2)&amp;"."&amp;YEAR(A588)&amp;": "&amp;INDEX('Zgłoszenia'!$H$5:$H$504,MATCH(H588,'Zgłoszenia'!$S$5:$S$504,0)),RIGHT("0"&amp;DAY((A588+1)),2)&amp;"."&amp;RIGHT("0"&amp;MONTH((A588+1)),2)&amp;"."&amp;YEAR((A588+1))&amp;": "&amp;INDEX('Zgłoszenia'!$H$5:$H$504,MATCH(F588&amp;"|"&amp;(A588+1),'Zgłoszenia'!$S$5:$S$504,0)))&amp;IF(K588&gt;1," (+"&amp;(K588-1)&amp;")",""))</f>
        <v/>
      </c>
      <c r="M588" s="63" t="n">
        <v>8</v>
      </c>
      <c r="N588" s="2" t="n"/>
      <c r="O588" s="2" t="n"/>
    </row>
    <row r="589">
      <c r="A589" s="62">
        <f>IF('8'!$C$1="","",'8'!$C$1)</f>
        <v/>
      </c>
      <c r="B589" s="63">
        <f>Ustawienia!$A$8&amp;""</f>
        <v/>
      </c>
      <c r="C589" s="63">
        <f>Ustawienia!$A$17&amp;""</f>
        <v/>
      </c>
      <c r="D589" s="63" t="n">
        <v>3</v>
      </c>
      <c r="E589" s="63">
        <f>IF('8'!B29="","",TRIM('8'!B29&amp;""))</f>
        <v/>
      </c>
      <c r="F589" s="63">
        <f>IF('8'!C29="","",'8'!C29)</f>
        <v/>
      </c>
      <c r="G589" s="63">
        <f>'8'!D29&amp;""</f>
        <v/>
      </c>
      <c r="H589" s="63">
        <f>IF(OR(A589="",F589=""),"",F589&amp;"|"&amp;A589)</f>
        <v/>
      </c>
      <c r="I589" s="63">
        <f>IF(AND(H589&lt;&gt;"",OR('Historia wózka'!$B$4="",F589='Historia wózka'!$B$4),A589&gt;='Historia wózka'!$B$5,A589&lt;='Historia wózka'!$B$6),A589+0.9+(5000-ROW())/10000000,0)</f>
        <v/>
      </c>
      <c r="J589" s="63">
        <f>Ustawienia!$B$8&amp;""</f>
        <v/>
      </c>
      <c r="K589" s="63">
        <f>IF(H589="","",COUNTIFS('Zgłoszenia'!$B$5:$B$504,F589,'Zgłoszenia'!$D$5:$D$504,"&gt;="&amp;A589,'Zgłoszenia'!$D$5:$D$504,"&lt;="&amp;(A589+1)))</f>
        <v/>
      </c>
      <c r="L589" s="63">
        <f>IF(OR(H589="",K589=0),"—",IF(ISNUMBER(MATCH(H589,'Zgłoszenia'!$S$5:$S$504,0)),RIGHT("0"&amp;DAY(A589),2)&amp;"."&amp;RIGHT("0"&amp;MONTH(A589),2)&amp;"."&amp;YEAR(A589)&amp;": "&amp;INDEX('Zgłoszenia'!$H$5:$H$504,MATCH(H589,'Zgłoszenia'!$S$5:$S$504,0)),RIGHT("0"&amp;DAY((A589+1)),2)&amp;"."&amp;RIGHT("0"&amp;MONTH((A589+1)),2)&amp;"."&amp;YEAR((A589+1))&amp;": "&amp;INDEX('Zgłoszenia'!$H$5:$H$504,MATCH(F589&amp;"|"&amp;(A589+1),'Zgłoszenia'!$S$5:$S$504,0)))&amp;IF(K589&gt;1," (+"&amp;(K589-1)&amp;")",""))</f>
        <v/>
      </c>
      <c r="M589" s="63" t="n">
        <v>8</v>
      </c>
      <c r="N589" s="2" t="n"/>
      <c r="O589" s="2" t="n"/>
    </row>
    <row r="590">
      <c r="A590" s="62">
        <f>IF('8'!$C$1="","",'8'!$C$1)</f>
        <v/>
      </c>
      <c r="B590" s="63">
        <f>Ustawienia!$A$8&amp;""</f>
        <v/>
      </c>
      <c r="C590" s="63">
        <f>Ustawienia!$A$17&amp;""</f>
        <v/>
      </c>
      <c r="D590" s="63" t="n">
        <v>4</v>
      </c>
      <c r="E590" s="63">
        <f>IF('8'!B30="","",TRIM('8'!B30&amp;""))</f>
        <v/>
      </c>
      <c r="F590" s="63">
        <f>IF('8'!C30="","",'8'!C30)</f>
        <v/>
      </c>
      <c r="G590" s="63">
        <f>'8'!D30&amp;""</f>
        <v/>
      </c>
      <c r="H590" s="63">
        <f>IF(OR(A590="",F590=""),"",F590&amp;"|"&amp;A590)</f>
        <v/>
      </c>
      <c r="I590" s="63">
        <f>IF(AND(H590&lt;&gt;"",OR('Historia wózka'!$B$4="",F590='Historia wózka'!$B$4),A590&gt;='Historia wózka'!$B$5,A590&lt;='Historia wózka'!$B$6),A590+0.9+(5000-ROW())/10000000,0)</f>
        <v/>
      </c>
      <c r="J590" s="63">
        <f>Ustawienia!$B$8&amp;""</f>
        <v/>
      </c>
      <c r="K590" s="63">
        <f>IF(H590="","",COUNTIFS('Zgłoszenia'!$B$5:$B$504,F590,'Zgłoszenia'!$D$5:$D$504,"&gt;="&amp;A590,'Zgłoszenia'!$D$5:$D$504,"&lt;="&amp;(A590+1)))</f>
        <v/>
      </c>
      <c r="L590" s="63">
        <f>IF(OR(H590="",K590=0),"—",IF(ISNUMBER(MATCH(H590,'Zgłoszenia'!$S$5:$S$504,0)),RIGHT("0"&amp;DAY(A590),2)&amp;"."&amp;RIGHT("0"&amp;MONTH(A590),2)&amp;"."&amp;YEAR(A590)&amp;": "&amp;INDEX('Zgłoszenia'!$H$5:$H$504,MATCH(H590,'Zgłoszenia'!$S$5:$S$504,0)),RIGHT("0"&amp;DAY((A590+1)),2)&amp;"."&amp;RIGHT("0"&amp;MONTH((A590+1)),2)&amp;"."&amp;YEAR((A590+1))&amp;": "&amp;INDEX('Zgłoszenia'!$H$5:$H$504,MATCH(F590&amp;"|"&amp;(A590+1),'Zgłoszenia'!$S$5:$S$504,0)))&amp;IF(K590&gt;1," (+"&amp;(K590-1)&amp;")",""))</f>
        <v/>
      </c>
      <c r="M590" s="63" t="n">
        <v>8</v>
      </c>
      <c r="N590" s="2" t="n"/>
      <c r="O590" s="2" t="n"/>
    </row>
    <row r="591">
      <c r="A591" s="62">
        <f>IF('8'!$C$1="","",'8'!$C$1)</f>
        <v/>
      </c>
      <c r="B591" s="63">
        <f>Ustawienia!$A$8&amp;""</f>
        <v/>
      </c>
      <c r="C591" s="63">
        <f>Ustawienia!$A$18&amp;""</f>
        <v/>
      </c>
      <c r="D591" s="63" t="n">
        <v>1</v>
      </c>
      <c r="E591" s="63">
        <f>IF('8'!B32="","",TRIM('8'!B32&amp;""))</f>
        <v/>
      </c>
      <c r="F591" s="63">
        <f>IF('8'!C32="","",'8'!C32)</f>
        <v/>
      </c>
      <c r="G591" s="63">
        <f>'8'!D32&amp;""</f>
        <v/>
      </c>
      <c r="H591" s="63">
        <f>IF(OR(A591="",F591=""),"",F591&amp;"|"&amp;A591)</f>
        <v/>
      </c>
      <c r="I591" s="63">
        <f>IF(AND(H591&lt;&gt;"",OR('Historia wózka'!$B$4="",F591='Historia wózka'!$B$4),A591&gt;='Historia wózka'!$B$5,A591&lt;='Historia wózka'!$B$6),A591+0.9+(5000-ROW())/10000000,0)</f>
        <v/>
      </c>
      <c r="J591" s="63">
        <f>Ustawienia!$B$8&amp;""</f>
        <v/>
      </c>
      <c r="K591" s="63">
        <f>IF(H591="","",COUNTIFS('Zgłoszenia'!$B$5:$B$504,F591,'Zgłoszenia'!$D$5:$D$504,"&gt;="&amp;A591,'Zgłoszenia'!$D$5:$D$504,"&lt;="&amp;(A591+1)))</f>
        <v/>
      </c>
      <c r="L591" s="63">
        <f>IF(OR(H591="",K591=0),"—",IF(ISNUMBER(MATCH(H591,'Zgłoszenia'!$S$5:$S$504,0)),RIGHT("0"&amp;DAY(A591),2)&amp;"."&amp;RIGHT("0"&amp;MONTH(A591),2)&amp;"."&amp;YEAR(A591)&amp;": "&amp;INDEX('Zgłoszenia'!$H$5:$H$504,MATCH(H591,'Zgłoszenia'!$S$5:$S$504,0)),RIGHT("0"&amp;DAY((A591+1)),2)&amp;"."&amp;RIGHT("0"&amp;MONTH((A591+1)),2)&amp;"."&amp;YEAR((A591+1))&amp;": "&amp;INDEX('Zgłoszenia'!$H$5:$H$504,MATCH(F591&amp;"|"&amp;(A591+1),'Zgłoszenia'!$S$5:$S$504,0)))&amp;IF(K591&gt;1," (+"&amp;(K591-1)&amp;")",""))</f>
        <v/>
      </c>
      <c r="M591" s="63" t="n">
        <v>8</v>
      </c>
      <c r="N591" s="2" t="n"/>
      <c r="O591" s="2" t="n"/>
    </row>
    <row r="592">
      <c r="A592" s="62">
        <f>IF('8'!$C$1="","",'8'!$C$1)</f>
        <v/>
      </c>
      <c r="B592" s="63">
        <f>Ustawienia!$A$8&amp;""</f>
        <v/>
      </c>
      <c r="C592" s="63">
        <f>Ustawienia!$A$18&amp;""</f>
        <v/>
      </c>
      <c r="D592" s="63" t="n">
        <v>2</v>
      </c>
      <c r="E592" s="63">
        <f>IF('8'!B33="","",TRIM('8'!B33&amp;""))</f>
        <v/>
      </c>
      <c r="F592" s="63">
        <f>IF('8'!C33="","",'8'!C33)</f>
        <v/>
      </c>
      <c r="G592" s="63">
        <f>'8'!D33&amp;""</f>
        <v/>
      </c>
      <c r="H592" s="63">
        <f>IF(OR(A592="",F592=""),"",F592&amp;"|"&amp;A592)</f>
        <v/>
      </c>
      <c r="I592" s="63">
        <f>IF(AND(H592&lt;&gt;"",OR('Historia wózka'!$B$4="",F592='Historia wózka'!$B$4),A592&gt;='Historia wózka'!$B$5,A592&lt;='Historia wózka'!$B$6),A592+0.9+(5000-ROW())/10000000,0)</f>
        <v/>
      </c>
      <c r="J592" s="63">
        <f>Ustawienia!$B$8&amp;""</f>
        <v/>
      </c>
      <c r="K592" s="63">
        <f>IF(H592="","",COUNTIFS('Zgłoszenia'!$B$5:$B$504,F592,'Zgłoszenia'!$D$5:$D$504,"&gt;="&amp;A592,'Zgłoszenia'!$D$5:$D$504,"&lt;="&amp;(A592+1)))</f>
        <v/>
      </c>
      <c r="L592" s="63">
        <f>IF(OR(H592="",K592=0),"—",IF(ISNUMBER(MATCH(H592,'Zgłoszenia'!$S$5:$S$504,0)),RIGHT("0"&amp;DAY(A592),2)&amp;"."&amp;RIGHT("0"&amp;MONTH(A592),2)&amp;"."&amp;YEAR(A592)&amp;": "&amp;INDEX('Zgłoszenia'!$H$5:$H$504,MATCH(H592,'Zgłoszenia'!$S$5:$S$504,0)),RIGHT("0"&amp;DAY((A592+1)),2)&amp;"."&amp;RIGHT("0"&amp;MONTH((A592+1)),2)&amp;"."&amp;YEAR((A592+1))&amp;": "&amp;INDEX('Zgłoszenia'!$H$5:$H$504,MATCH(F592&amp;"|"&amp;(A592+1),'Zgłoszenia'!$S$5:$S$504,0)))&amp;IF(K592&gt;1," (+"&amp;(K592-1)&amp;")",""))</f>
        <v/>
      </c>
      <c r="M592" s="63" t="n">
        <v>8</v>
      </c>
      <c r="N592" s="2" t="n"/>
      <c r="O592" s="2" t="n"/>
    </row>
    <row r="593">
      <c r="A593" s="62">
        <f>IF('8'!$C$1="","",'8'!$C$1)</f>
        <v/>
      </c>
      <c r="B593" s="63">
        <f>Ustawienia!$A$8&amp;""</f>
        <v/>
      </c>
      <c r="C593" s="63">
        <f>Ustawienia!$A$18&amp;""</f>
        <v/>
      </c>
      <c r="D593" s="63" t="n">
        <v>3</v>
      </c>
      <c r="E593" s="63">
        <f>IF('8'!B34="","",TRIM('8'!B34&amp;""))</f>
        <v/>
      </c>
      <c r="F593" s="63">
        <f>IF('8'!C34="","",'8'!C34)</f>
        <v/>
      </c>
      <c r="G593" s="63">
        <f>'8'!D34&amp;""</f>
        <v/>
      </c>
      <c r="H593" s="63">
        <f>IF(OR(A593="",F593=""),"",F593&amp;"|"&amp;A593)</f>
        <v/>
      </c>
      <c r="I593" s="63">
        <f>IF(AND(H593&lt;&gt;"",OR('Historia wózka'!$B$4="",F593='Historia wózka'!$B$4),A593&gt;='Historia wózka'!$B$5,A593&lt;='Historia wózka'!$B$6),A593+0.9+(5000-ROW())/10000000,0)</f>
        <v/>
      </c>
      <c r="J593" s="63">
        <f>Ustawienia!$B$8&amp;""</f>
        <v/>
      </c>
      <c r="K593" s="63">
        <f>IF(H593="","",COUNTIFS('Zgłoszenia'!$B$5:$B$504,F593,'Zgłoszenia'!$D$5:$D$504,"&gt;="&amp;A593,'Zgłoszenia'!$D$5:$D$504,"&lt;="&amp;(A593+1)))</f>
        <v/>
      </c>
      <c r="L593" s="63">
        <f>IF(OR(H593="",K593=0),"—",IF(ISNUMBER(MATCH(H593,'Zgłoszenia'!$S$5:$S$504,0)),RIGHT("0"&amp;DAY(A593),2)&amp;"."&amp;RIGHT("0"&amp;MONTH(A593),2)&amp;"."&amp;YEAR(A593)&amp;": "&amp;INDEX('Zgłoszenia'!$H$5:$H$504,MATCH(H593,'Zgłoszenia'!$S$5:$S$504,0)),RIGHT("0"&amp;DAY((A593+1)),2)&amp;"."&amp;RIGHT("0"&amp;MONTH((A593+1)),2)&amp;"."&amp;YEAR((A593+1))&amp;": "&amp;INDEX('Zgłoszenia'!$H$5:$H$504,MATCH(F593&amp;"|"&amp;(A593+1),'Zgłoszenia'!$S$5:$S$504,0)))&amp;IF(K593&gt;1," (+"&amp;(K593-1)&amp;")",""))</f>
        <v/>
      </c>
      <c r="M593" s="63" t="n">
        <v>8</v>
      </c>
      <c r="N593" s="2" t="n"/>
      <c r="O593" s="2" t="n"/>
    </row>
    <row r="594">
      <c r="A594" s="62">
        <f>IF('8'!$C$1="","",'8'!$C$1)</f>
        <v/>
      </c>
      <c r="B594" s="63">
        <f>Ustawienia!$A$8&amp;""</f>
        <v/>
      </c>
      <c r="C594" s="63">
        <f>Ustawienia!$A$18&amp;""</f>
        <v/>
      </c>
      <c r="D594" s="63" t="n">
        <v>4</v>
      </c>
      <c r="E594" s="63">
        <f>IF('8'!B35="","",TRIM('8'!B35&amp;""))</f>
        <v/>
      </c>
      <c r="F594" s="63">
        <f>IF('8'!C35="","",'8'!C35)</f>
        <v/>
      </c>
      <c r="G594" s="63">
        <f>'8'!D35&amp;""</f>
        <v/>
      </c>
      <c r="H594" s="63">
        <f>IF(OR(A594="",F594=""),"",F594&amp;"|"&amp;A594)</f>
        <v/>
      </c>
      <c r="I594" s="63">
        <f>IF(AND(H594&lt;&gt;"",OR('Historia wózka'!$B$4="",F594='Historia wózka'!$B$4),A594&gt;='Historia wózka'!$B$5,A594&lt;='Historia wózka'!$B$6),A594+0.9+(5000-ROW())/10000000,0)</f>
        <v/>
      </c>
      <c r="J594" s="63">
        <f>Ustawienia!$B$8&amp;""</f>
        <v/>
      </c>
      <c r="K594" s="63">
        <f>IF(H594="","",COUNTIFS('Zgłoszenia'!$B$5:$B$504,F594,'Zgłoszenia'!$D$5:$D$504,"&gt;="&amp;A594,'Zgłoszenia'!$D$5:$D$504,"&lt;="&amp;(A594+1)))</f>
        <v/>
      </c>
      <c r="L594" s="63">
        <f>IF(OR(H594="",K594=0),"—",IF(ISNUMBER(MATCH(H594,'Zgłoszenia'!$S$5:$S$504,0)),RIGHT("0"&amp;DAY(A594),2)&amp;"."&amp;RIGHT("0"&amp;MONTH(A594),2)&amp;"."&amp;YEAR(A594)&amp;": "&amp;INDEX('Zgłoszenia'!$H$5:$H$504,MATCH(H594,'Zgłoszenia'!$S$5:$S$504,0)),RIGHT("0"&amp;DAY((A594+1)),2)&amp;"."&amp;RIGHT("0"&amp;MONTH((A594+1)),2)&amp;"."&amp;YEAR((A594+1))&amp;": "&amp;INDEX('Zgłoszenia'!$H$5:$H$504,MATCH(F594&amp;"|"&amp;(A594+1),'Zgłoszenia'!$S$5:$S$504,0)))&amp;IF(K594&gt;1," (+"&amp;(K594-1)&amp;")",""))</f>
        <v/>
      </c>
      <c r="M594" s="63" t="n">
        <v>8</v>
      </c>
      <c r="N594" s="2" t="n"/>
      <c r="O594" s="2" t="n"/>
    </row>
    <row r="595">
      <c r="A595" s="62">
        <f>IF('8'!$C$1="","",'8'!$C$1)</f>
        <v/>
      </c>
      <c r="B595" s="63">
        <f>Ustawienia!$A$8&amp;""</f>
        <v/>
      </c>
      <c r="C595" s="63">
        <f>Ustawienia!$A$18&amp;""</f>
        <v/>
      </c>
      <c r="D595" s="63" t="n">
        <v>5</v>
      </c>
      <c r="E595" s="63">
        <f>IF('8'!B36="","",TRIM('8'!B36&amp;""))</f>
        <v/>
      </c>
      <c r="F595" s="63">
        <f>IF('8'!C36="","",'8'!C36)</f>
        <v/>
      </c>
      <c r="G595" s="63">
        <f>'8'!D36&amp;""</f>
        <v/>
      </c>
      <c r="H595" s="63">
        <f>IF(OR(A595="",F595=""),"",F595&amp;"|"&amp;A595)</f>
        <v/>
      </c>
      <c r="I595" s="63">
        <f>IF(AND(H595&lt;&gt;"",OR('Historia wózka'!$B$4="",F595='Historia wózka'!$B$4),A595&gt;='Historia wózka'!$B$5,A595&lt;='Historia wózka'!$B$6),A595+0.9+(5000-ROW())/10000000,0)</f>
        <v/>
      </c>
      <c r="J595" s="63">
        <f>Ustawienia!$B$8&amp;""</f>
        <v/>
      </c>
      <c r="K595" s="63">
        <f>IF(H595="","",COUNTIFS('Zgłoszenia'!$B$5:$B$504,F595,'Zgłoszenia'!$D$5:$D$504,"&gt;="&amp;A595,'Zgłoszenia'!$D$5:$D$504,"&lt;="&amp;(A595+1)))</f>
        <v/>
      </c>
      <c r="L595" s="63">
        <f>IF(OR(H595="",K595=0),"—",IF(ISNUMBER(MATCH(H595,'Zgłoszenia'!$S$5:$S$504,0)),RIGHT("0"&amp;DAY(A595),2)&amp;"."&amp;RIGHT("0"&amp;MONTH(A595),2)&amp;"."&amp;YEAR(A595)&amp;": "&amp;INDEX('Zgłoszenia'!$H$5:$H$504,MATCH(H595,'Zgłoszenia'!$S$5:$S$504,0)),RIGHT("0"&amp;DAY((A595+1)),2)&amp;"."&amp;RIGHT("0"&amp;MONTH((A595+1)),2)&amp;"."&amp;YEAR((A595+1))&amp;": "&amp;INDEX('Zgłoszenia'!$H$5:$H$504,MATCH(F595&amp;"|"&amp;(A595+1),'Zgłoszenia'!$S$5:$S$504,0)))&amp;IF(K595&gt;1," (+"&amp;(K595-1)&amp;")",""))</f>
        <v/>
      </c>
      <c r="M595" s="63" t="n">
        <v>8</v>
      </c>
      <c r="N595" s="2" t="n"/>
      <c r="O595" s="2" t="n"/>
    </row>
    <row r="596">
      <c r="A596" s="62">
        <f>IF('8'!$C$1="","",'8'!$C$1)</f>
        <v/>
      </c>
      <c r="B596" s="63">
        <f>Ustawienia!$A$9&amp;""</f>
        <v/>
      </c>
      <c r="C596" s="63">
        <f>Ustawienia!$A$14&amp;""</f>
        <v/>
      </c>
      <c r="D596" s="63" t="n">
        <v>1</v>
      </c>
      <c r="E596" s="63">
        <f>IF('8'!F6="","",TRIM('8'!F6&amp;""))</f>
        <v/>
      </c>
      <c r="F596" s="63">
        <f>IF('8'!G6="","",'8'!G6)</f>
        <v/>
      </c>
      <c r="G596" s="63">
        <f>'8'!H6&amp;""</f>
        <v/>
      </c>
      <c r="H596" s="63">
        <f>IF(OR(A596="",F596=""),"",F596&amp;"|"&amp;A596)</f>
        <v/>
      </c>
      <c r="I596" s="63">
        <f>IF(AND(H596&lt;&gt;"",OR('Historia wózka'!$B$4="",F596='Historia wózka'!$B$4),A596&gt;='Historia wózka'!$B$5,A596&lt;='Historia wózka'!$B$6),A596+0.8+(5000-ROW())/10000000,0)</f>
        <v/>
      </c>
      <c r="J596" s="63">
        <f>Ustawienia!$B$9&amp;""</f>
        <v/>
      </c>
      <c r="K596" s="63">
        <f>IF(H596="","",COUNTIFS('Zgłoszenia'!$B$5:$B$504,F596,'Zgłoszenia'!$D$5:$D$504,"&gt;="&amp;A596,'Zgłoszenia'!$D$5:$D$504,"&lt;="&amp;(A596+1)))</f>
        <v/>
      </c>
      <c r="L596" s="63">
        <f>IF(OR(H596="",K596=0),"—",IF(ISNUMBER(MATCH(H596,'Zgłoszenia'!$S$5:$S$504,0)),RIGHT("0"&amp;DAY(A596),2)&amp;"."&amp;RIGHT("0"&amp;MONTH(A596),2)&amp;"."&amp;YEAR(A596)&amp;": "&amp;INDEX('Zgłoszenia'!$H$5:$H$504,MATCH(H596,'Zgłoszenia'!$S$5:$S$504,0)),RIGHT("0"&amp;DAY((A596+1)),2)&amp;"."&amp;RIGHT("0"&amp;MONTH((A596+1)),2)&amp;"."&amp;YEAR((A596+1))&amp;": "&amp;INDEX('Zgłoszenia'!$H$5:$H$504,MATCH(F596&amp;"|"&amp;(A596+1),'Zgłoszenia'!$S$5:$S$504,0)))&amp;IF(K596&gt;1," (+"&amp;(K596-1)&amp;")",""))</f>
        <v/>
      </c>
      <c r="M596" s="63" t="n">
        <v>8</v>
      </c>
      <c r="N596" s="2" t="n"/>
      <c r="O596" s="2" t="n"/>
    </row>
    <row r="597">
      <c r="A597" s="62">
        <f>IF('8'!$C$1="","",'8'!$C$1)</f>
        <v/>
      </c>
      <c r="B597" s="63">
        <f>Ustawienia!$A$9&amp;""</f>
        <v/>
      </c>
      <c r="C597" s="63">
        <f>Ustawienia!$A$14&amp;""</f>
        <v/>
      </c>
      <c r="D597" s="63" t="n">
        <v>2</v>
      </c>
      <c r="E597" s="63">
        <f>IF('8'!F7="","",TRIM('8'!F7&amp;""))</f>
        <v/>
      </c>
      <c r="F597" s="63">
        <f>IF('8'!G7="","",'8'!G7)</f>
        <v/>
      </c>
      <c r="G597" s="63">
        <f>'8'!H7&amp;""</f>
        <v/>
      </c>
      <c r="H597" s="63">
        <f>IF(OR(A597="",F597=""),"",F597&amp;"|"&amp;A597)</f>
        <v/>
      </c>
      <c r="I597" s="63">
        <f>IF(AND(H597&lt;&gt;"",OR('Historia wózka'!$B$4="",F597='Historia wózka'!$B$4),A597&gt;='Historia wózka'!$B$5,A597&lt;='Historia wózka'!$B$6),A597+0.8+(5000-ROW())/10000000,0)</f>
        <v/>
      </c>
      <c r="J597" s="63">
        <f>Ustawienia!$B$9&amp;""</f>
        <v/>
      </c>
      <c r="K597" s="63">
        <f>IF(H597="","",COUNTIFS('Zgłoszenia'!$B$5:$B$504,F597,'Zgłoszenia'!$D$5:$D$504,"&gt;="&amp;A597,'Zgłoszenia'!$D$5:$D$504,"&lt;="&amp;(A597+1)))</f>
        <v/>
      </c>
      <c r="L597" s="63">
        <f>IF(OR(H597="",K597=0),"—",IF(ISNUMBER(MATCH(H597,'Zgłoszenia'!$S$5:$S$504,0)),RIGHT("0"&amp;DAY(A597),2)&amp;"."&amp;RIGHT("0"&amp;MONTH(A597),2)&amp;"."&amp;YEAR(A597)&amp;": "&amp;INDEX('Zgłoszenia'!$H$5:$H$504,MATCH(H597,'Zgłoszenia'!$S$5:$S$504,0)),RIGHT("0"&amp;DAY((A597+1)),2)&amp;"."&amp;RIGHT("0"&amp;MONTH((A597+1)),2)&amp;"."&amp;YEAR((A597+1))&amp;": "&amp;INDEX('Zgłoszenia'!$H$5:$H$504,MATCH(F597&amp;"|"&amp;(A597+1),'Zgłoszenia'!$S$5:$S$504,0)))&amp;IF(K597&gt;1," (+"&amp;(K597-1)&amp;")",""))</f>
        <v/>
      </c>
      <c r="M597" s="63" t="n">
        <v>8</v>
      </c>
      <c r="N597" s="2" t="n"/>
      <c r="O597" s="2" t="n"/>
    </row>
    <row r="598">
      <c r="A598" s="62">
        <f>IF('8'!$C$1="","",'8'!$C$1)</f>
        <v/>
      </c>
      <c r="B598" s="63">
        <f>Ustawienia!$A$9&amp;""</f>
        <v/>
      </c>
      <c r="C598" s="63">
        <f>Ustawienia!$A$14&amp;""</f>
        <v/>
      </c>
      <c r="D598" s="63" t="n">
        <v>3</v>
      </c>
      <c r="E598" s="63">
        <f>IF('8'!F8="","",TRIM('8'!F8&amp;""))</f>
        <v/>
      </c>
      <c r="F598" s="63">
        <f>IF('8'!G8="","",'8'!G8)</f>
        <v/>
      </c>
      <c r="G598" s="63">
        <f>'8'!H8&amp;""</f>
        <v/>
      </c>
      <c r="H598" s="63">
        <f>IF(OR(A598="",F598=""),"",F598&amp;"|"&amp;A598)</f>
        <v/>
      </c>
      <c r="I598" s="63">
        <f>IF(AND(H598&lt;&gt;"",OR('Historia wózka'!$B$4="",F598='Historia wózka'!$B$4),A598&gt;='Historia wózka'!$B$5,A598&lt;='Historia wózka'!$B$6),A598+0.8+(5000-ROW())/10000000,0)</f>
        <v/>
      </c>
      <c r="J598" s="63">
        <f>Ustawienia!$B$9&amp;""</f>
        <v/>
      </c>
      <c r="K598" s="63">
        <f>IF(H598="","",COUNTIFS('Zgłoszenia'!$B$5:$B$504,F598,'Zgłoszenia'!$D$5:$D$504,"&gt;="&amp;A598,'Zgłoszenia'!$D$5:$D$504,"&lt;="&amp;(A598+1)))</f>
        <v/>
      </c>
      <c r="L598" s="63">
        <f>IF(OR(H598="",K598=0),"—",IF(ISNUMBER(MATCH(H598,'Zgłoszenia'!$S$5:$S$504,0)),RIGHT("0"&amp;DAY(A598),2)&amp;"."&amp;RIGHT("0"&amp;MONTH(A598),2)&amp;"."&amp;YEAR(A598)&amp;": "&amp;INDEX('Zgłoszenia'!$H$5:$H$504,MATCH(H598,'Zgłoszenia'!$S$5:$S$504,0)),RIGHT("0"&amp;DAY((A598+1)),2)&amp;"."&amp;RIGHT("0"&amp;MONTH((A598+1)),2)&amp;"."&amp;YEAR((A598+1))&amp;": "&amp;INDEX('Zgłoszenia'!$H$5:$H$504,MATCH(F598&amp;"|"&amp;(A598+1),'Zgłoszenia'!$S$5:$S$504,0)))&amp;IF(K598&gt;1," (+"&amp;(K598-1)&amp;")",""))</f>
        <v/>
      </c>
      <c r="M598" s="63" t="n">
        <v>8</v>
      </c>
      <c r="N598" s="2" t="n"/>
      <c r="O598" s="2" t="n"/>
    </row>
    <row r="599">
      <c r="A599" s="62">
        <f>IF('8'!$C$1="","",'8'!$C$1)</f>
        <v/>
      </c>
      <c r="B599" s="63">
        <f>Ustawienia!$A$9&amp;""</f>
        <v/>
      </c>
      <c r="C599" s="63">
        <f>Ustawienia!$A$14&amp;""</f>
        <v/>
      </c>
      <c r="D599" s="63" t="n">
        <v>4</v>
      </c>
      <c r="E599" s="63">
        <f>IF('8'!F9="","",TRIM('8'!F9&amp;""))</f>
        <v/>
      </c>
      <c r="F599" s="63">
        <f>IF('8'!G9="","",'8'!G9)</f>
        <v/>
      </c>
      <c r="G599" s="63">
        <f>'8'!H9&amp;""</f>
        <v/>
      </c>
      <c r="H599" s="63">
        <f>IF(OR(A599="",F599=""),"",F599&amp;"|"&amp;A599)</f>
        <v/>
      </c>
      <c r="I599" s="63">
        <f>IF(AND(H599&lt;&gt;"",OR('Historia wózka'!$B$4="",F599='Historia wózka'!$B$4),A599&gt;='Historia wózka'!$B$5,A599&lt;='Historia wózka'!$B$6),A599+0.8+(5000-ROW())/10000000,0)</f>
        <v/>
      </c>
      <c r="J599" s="63">
        <f>Ustawienia!$B$9&amp;""</f>
        <v/>
      </c>
      <c r="K599" s="63">
        <f>IF(H599="","",COUNTIFS('Zgłoszenia'!$B$5:$B$504,F599,'Zgłoszenia'!$D$5:$D$504,"&gt;="&amp;A599,'Zgłoszenia'!$D$5:$D$504,"&lt;="&amp;(A599+1)))</f>
        <v/>
      </c>
      <c r="L599" s="63">
        <f>IF(OR(H599="",K599=0),"—",IF(ISNUMBER(MATCH(H599,'Zgłoszenia'!$S$5:$S$504,0)),RIGHT("0"&amp;DAY(A599),2)&amp;"."&amp;RIGHT("0"&amp;MONTH(A599),2)&amp;"."&amp;YEAR(A599)&amp;": "&amp;INDEX('Zgłoszenia'!$H$5:$H$504,MATCH(H599,'Zgłoszenia'!$S$5:$S$504,0)),RIGHT("0"&amp;DAY((A599+1)),2)&amp;"."&amp;RIGHT("0"&amp;MONTH((A599+1)),2)&amp;"."&amp;YEAR((A599+1))&amp;": "&amp;INDEX('Zgłoszenia'!$H$5:$H$504,MATCH(F599&amp;"|"&amp;(A599+1),'Zgłoszenia'!$S$5:$S$504,0)))&amp;IF(K599&gt;1," (+"&amp;(K599-1)&amp;")",""))</f>
        <v/>
      </c>
      <c r="M599" s="63" t="n">
        <v>8</v>
      </c>
      <c r="N599" s="2" t="n"/>
      <c r="O599" s="2" t="n"/>
    </row>
    <row r="600">
      <c r="A600" s="62">
        <f>IF('8'!$C$1="","",'8'!$C$1)</f>
        <v/>
      </c>
      <c r="B600" s="63">
        <f>Ustawienia!$A$9&amp;""</f>
        <v/>
      </c>
      <c r="C600" s="63">
        <f>Ustawienia!$A$14&amp;""</f>
        <v/>
      </c>
      <c r="D600" s="63" t="n">
        <v>5</v>
      </c>
      <c r="E600" s="63">
        <f>IF('8'!F10="","",TRIM('8'!F10&amp;""))</f>
        <v/>
      </c>
      <c r="F600" s="63">
        <f>IF('8'!G10="","",'8'!G10)</f>
        <v/>
      </c>
      <c r="G600" s="63">
        <f>'8'!H10&amp;""</f>
        <v/>
      </c>
      <c r="H600" s="63">
        <f>IF(OR(A600="",F600=""),"",F600&amp;"|"&amp;A600)</f>
        <v/>
      </c>
      <c r="I600" s="63">
        <f>IF(AND(H600&lt;&gt;"",OR('Historia wózka'!$B$4="",F600='Historia wózka'!$B$4),A600&gt;='Historia wózka'!$B$5,A600&lt;='Historia wózka'!$B$6),A600+0.8+(5000-ROW())/10000000,0)</f>
        <v/>
      </c>
      <c r="J600" s="63">
        <f>Ustawienia!$B$9&amp;""</f>
        <v/>
      </c>
      <c r="K600" s="63">
        <f>IF(H600="","",COUNTIFS('Zgłoszenia'!$B$5:$B$504,F600,'Zgłoszenia'!$D$5:$D$504,"&gt;="&amp;A600,'Zgłoszenia'!$D$5:$D$504,"&lt;="&amp;(A600+1)))</f>
        <v/>
      </c>
      <c r="L600" s="63">
        <f>IF(OR(H600="",K600=0),"—",IF(ISNUMBER(MATCH(H600,'Zgłoszenia'!$S$5:$S$504,0)),RIGHT("0"&amp;DAY(A600),2)&amp;"."&amp;RIGHT("0"&amp;MONTH(A600),2)&amp;"."&amp;YEAR(A600)&amp;": "&amp;INDEX('Zgłoszenia'!$H$5:$H$504,MATCH(H600,'Zgłoszenia'!$S$5:$S$504,0)),RIGHT("0"&amp;DAY((A600+1)),2)&amp;"."&amp;RIGHT("0"&amp;MONTH((A600+1)),2)&amp;"."&amp;YEAR((A600+1))&amp;": "&amp;INDEX('Zgłoszenia'!$H$5:$H$504,MATCH(F600&amp;"|"&amp;(A600+1),'Zgłoszenia'!$S$5:$S$504,0)))&amp;IF(K600&gt;1," (+"&amp;(K600-1)&amp;")",""))</f>
        <v/>
      </c>
      <c r="M600" s="63" t="n">
        <v>8</v>
      </c>
      <c r="N600" s="2" t="n"/>
      <c r="O600" s="2" t="n"/>
    </row>
    <row r="601">
      <c r="A601" s="62">
        <f>IF('8'!$C$1="","",'8'!$C$1)</f>
        <v/>
      </c>
      <c r="B601" s="63">
        <f>Ustawienia!$A$9&amp;""</f>
        <v/>
      </c>
      <c r="C601" s="63">
        <f>Ustawienia!$A$14&amp;""</f>
        <v/>
      </c>
      <c r="D601" s="63" t="n">
        <v>6</v>
      </c>
      <c r="E601" s="63">
        <f>IF('8'!F11="","",TRIM('8'!F11&amp;""))</f>
        <v/>
      </c>
      <c r="F601" s="63">
        <f>IF('8'!G11="","",'8'!G11)</f>
        <v/>
      </c>
      <c r="G601" s="63">
        <f>'8'!H11&amp;""</f>
        <v/>
      </c>
      <c r="H601" s="63">
        <f>IF(OR(A601="",F601=""),"",F601&amp;"|"&amp;A601)</f>
        <v/>
      </c>
      <c r="I601" s="63">
        <f>IF(AND(H601&lt;&gt;"",OR('Historia wózka'!$B$4="",F601='Historia wózka'!$B$4),A601&gt;='Historia wózka'!$B$5,A601&lt;='Historia wózka'!$B$6),A601+0.8+(5000-ROW())/10000000,0)</f>
        <v/>
      </c>
      <c r="J601" s="63">
        <f>Ustawienia!$B$9&amp;""</f>
        <v/>
      </c>
      <c r="K601" s="63">
        <f>IF(H601="","",COUNTIFS('Zgłoszenia'!$B$5:$B$504,F601,'Zgłoszenia'!$D$5:$D$504,"&gt;="&amp;A601,'Zgłoszenia'!$D$5:$D$504,"&lt;="&amp;(A601+1)))</f>
        <v/>
      </c>
      <c r="L601" s="63">
        <f>IF(OR(H601="",K601=0),"—",IF(ISNUMBER(MATCH(H601,'Zgłoszenia'!$S$5:$S$504,0)),RIGHT("0"&amp;DAY(A601),2)&amp;"."&amp;RIGHT("0"&amp;MONTH(A601),2)&amp;"."&amp;YEAR(A601)&amp;": "&amp;INDEX('Zgłoszenia'!$H$5:$H$504,MATCH(H601,'Zgłoszenia'!$S$5:$S$504,0)),RIGHT("0"&amp;DAY((A601+1)),2)&amp;"."&amp;RIGHT("0"&amp;MONTH((A601+1)),2)&amp;"."&amp;YEAR((A601+1))&amp;": "&amp;INDEX('Zgłoszenia'!$H$5:$H$504,MATCH(F601&amp;"|"&amp;(A601+1),'Zgłoszenia'!$S$5:$S$504,0)))&amp;IF(K601&gt;1," (+"&amp;(K601-1)&amp;")",""))</f>
        <v/>
      </c>
      <c r="M601" s="63" t="n">
        <v>8</v>
      </c>
      <c r="N601" s="2" t="n"/>
      <c r="O601" s="2" t="n"/>
    </row>
    <row r="602">
      <c r="A602" s="62">
        <f>IF('8'!$C$1="","",'8'!$C$1)</f>
        <v/>
      </c>
      <c r="B602" s="63">
        <f>Ustawienia!$A$9&amp;""</f>
        <v/>
      </c>
      <c r="C602" s="63">
        <f>Ustawienia!$A$15&amp;""</f>
        <v/>
      </c>
      <c r="D602" s="63" t="n">
        <v>1</v>
      </c>
      <c r="E602" s="63">
        <f>IF('8'!F13="","",TRIM('8'!F13&amp;""))</f>
        <v/>
      </c>
      <c r="F602" s="63">
        <f>IF('8'!G13="","",'8'!G13)</f>
        <v/>
      </c>
      <c r="G602" s="63">
        <f>'8'!H13&amp;""</f>
        <v/>
      </c>
      <c r="H602" s="63">
        <f>IF(OR(A602="",F602=""),"",F602&amp;"|"&amp;A602)</f>
        <v/>
      </c>
      <c r="I602" s="63">
        <f>IF(AND(H602&lt;&gt;"",OR('Historia wózka'!$B$4="",F602='Historia wózka'!$B$4),A602&gt;='Historia wózka'!$B$5,A602&lt;='Historia wózka'!$B$6),A602+0.8+(5000-ROW())/10000000,0)</f>
        <v/>
      </c>
      <c r="J602" s="63">
        <f>Ustawienia!$B$9&amp;""</f>
        <v/>
      </c>
      <c r="K602" s="63">
        <f>IF(H602="","",COUNTIFS('Zgłoszenia'!$B$5:$B$504,F602,'Zgłoszenia'!$D$5:$D$504,"&gt;="&amp;A602,'Zgłoszenia'!$D$5:$D$504,"&lt;="&amp;(A602+1)))</f>
        <v/>
      </c>
      <c r="L602" s="63">
        <f>IF(OR(H602="",K602=0),"—",IF(ISNUMBER(MATCH(H602,'Zgłoszenia'!$S$5:$S$504,0)),RIGHT("0"&amp;DAY(A602),2)&amp;"."&amp;RIGHT("0"&amp;MONTH(A602),2)&amp;"."&amp;YEAR(A602)&amp;": "&amp;INDEX('Zgłoszenia'!$H$5:$H$504,MATCH(H602,'Zgłoszenia'!$S$5:$S$504,0)),RIGHT("0"&amp;DAY((A602+1)),2)&amp;"."&amp;RIGHT("0"&amp;MONTH((A602+1)),2)&amp;"."&amp;YEAR((A602+1))&amp;": "&amp;INDEX('Zgłoszenia'!$H$5:$H$504,MATCH(F602&amp;"|"&amp;(A602+1),'Zgłoszenia'!$S$5:$S$504,0)))&amp;IF(K602&gt;1," (+"&amp;(K602-1)&amp;")",""))</f>
        <v/>
      </c>
      <c r="M602" s="63" t="n">
        <v>8</v>
      </c>
      <c r="N602" s="2" t="n"/>
      <c r="O602" s="2" t="n"/>
    </row>
    <row r="603">
      <c r="A603" s="62">
        <f>IF('8'!$C$1="","",'8'!$C$1)</f>
        <v/>
      </c>
      <c r="B603" s="63">
        <f>Ustawienia!$A$9&amp;""</f>
        <v/>
      </c>
      <c r="C603" s="63">
        <f>Ustawienia!$A$15&amp;""</f>
        <v/>
      </c>
      <c r="D603" s="63" t="n">
        <v>2</v>
      </c>
      <c r="E603" s="63">
        <f>IF('8'!F14="","",TRIM('8'!F14&amp;""))</f>
        <v/>
      </c>
      <c r="F603" s="63">
        <f>IF('8'!G14="","",'8'!G14)</f>
        <v/>
      </c>
      <c r="G603" s="63">
        <f>'8'!H14&amp;""</f>
        <v/>
      </c>
      <c r="H603" s="63">
        <f>IF(OR(A603="",F603=""),"",F603&amp;"|"&amp;A603)</f>
        <v/>
      </c>
      <c r="I603" s="63">
        <f>IF(AND(H603&lt;&gt;"",OR('Historia wózka'!$B$4="",F603='Historia wózka'!$B$4),A603&gt;='Historia wózka'!$B$5,A603&lt;='Historia wózka'!$B$6),A603+0.8+(5000-ROW())/10000000,0)</f>
        <v/>
      </c>
      <c r="J603" s="63">
        <f>Ustawienia!$B$9&amp;""</f>
        <v/>
      </c>
      <c r="K603" s="63">
        <f>IF(H603="","",COUNTIFS('Zgłoszenia'!$B$5:$B$504,F603,'Zgłoszenia'!$D$5:$D$504,"&gt;="&amp;A603,'Zgłoszenia'!$D$5:$D$504,"&lt;="&amp;(A603+1)))</f>
        <v/>
      </c>
      <c r="L603" s="63">
        <f>IF(OR(H603="",K603=0),"—",IF(ISNUMBER(MATCH(H603,'Zgłoszenia'!$S$5:$S$504,0)),RIGHT("0"&amp;DAY(A603),2)&amp;"."&amp;RIGHT("0"&amp;MONTH(A603),2)&amp;"."&amp;YEAR(A603)&amp;": "&amp;INDEX('Zgłoszenia'!$H$5:$H$504,MATCH(H603,'Zgłoszenia'!$S$5:$S$504,0)),RIGHT("0"&amp;DAY((A603+1)),2)&amp;"."&amp;RIGHT("0"&amp;MONTH((A603+1)),2)&amp;"."&amp;YEAR((A603+1))&amp;": "&amp;INDEX('Zgłoszenia'!$H$5:$H$504,MATCH(F603&amp;"|"&amp;(A603+1),'Zgłoszenia'!$S$5:$S$504,0)))&amp;IF(K603&gt;1," (+"&amp;(K603-1)&amp;")",""))</f>
        <v/>
      </c>
      <c r="M603" s="63" t="n">
        <v>8</v>
      </c>
      <c r="N603" s="2" t="n"/>
      <c r="O603" s="2" t="n"/>
    </row>
    <row r="604">
      <c r="A604" s="62">
        <f>IF('8'!$C$1="","",'8'!$C$1)</f>
        <v/>
      </c>
      <c r="B604" s="63">
        <f>Ustawienia!$A$9&amp;""</f>
        <v/>
      </c>
      <c r="C604" s="63">
        <f>Ustawienia!$A$15&amp;""</f>
        <v/>
      </c>
      <c r="D604" s="63" t="n">
        <v>3</v>
      </c>
      <c r="E604" s="63">
        <f>IF('8'!F15="","",TRIM('8'!F15&amp;""))</f>
        <v/>
      </c>
      <c r="F604" s="63">
        <f>IF('8'!G15="","",'8'!G15)</f>
        <v/>
      </c>
      <c r="G604" s="63">
        <f>'8'!H15&amp;""</f>
        <v/>
      </c>
      <c r="H604" s="63">
        <f>IF(OR(A604="",F604=""),"",F604&amp;"|"&amp;A604)</f>
        <v/>
      </c>
      <c r="I604" s="63">
        <f>IF(AND(H604&lt;&gt;"",OR('Historia wózka'!$B$4="",F604='Historia wózka'!$B$4),A604&gt;='Historia wózka'!$B$5,A604&lt;='Historia wózka'!$B$6),A604+0.8+(5000-ROW())/10000000,0)</f>
        <v/>
      </c>
      <c r="J604" s="63">
        <f>Ustawienia!$B$9&amp;""</f>
        <v/>
      </c>
      <c r="K604" s="63">
        <f>IF(H604="","",COUNTIFS('Zgłoszenia'!$B$5:$B$504,F604,'Zgłoszenia'!$D$5:$D$504,"&gt;="&amp;A604,'Zgłoszenia'!$D$5:$D$504,"&lt;="&amp;(A604+1)))</f>
        <v/>
      </c>
      <c r="L604" s="63">
        <f>IF(OR(H604="",K604=0),"—",IF(ISNUMBER(MATCH(H604,'Zgłoszenia'!$S$5:$S$504,0)),RIGHT("0"&amp;DAY(A604),2)&amp;"."&amp;RIGHT("0"&amp;MONTH(A604),2)&amp;"."&amp;YEAR(A604)&amp;": "&amp;INDEX('Zgłoszenia'!$H$5:$H$504,MATCH(H604,'Zgłoszenia'!$S$5:$S$504,0)),RIGHT("0"&amp;DAY((A604+1)),2)&amp;"."&amp;RIGHT("0"&amp;MONTH((A604+1)),2)&amp;"."&amp;YEAR((A604+1))&amp;": "&amp;INDEX('Zgłoszenia'!$H$5:$H$504,MATCH(F604&amp;"|"&amp;(A604+1),'Zgłoszenia'!$S$5:$S$504,0)))&amp;IF(K604&gt;1," (+"&amp;(K604-1)&amp;")",""))</f>
        <v/>
      </c>
      <c r="M604" s="63" t="n">
        <v>8</v>
      </c>
      <c r="N604" s="2" t="n"/>
      <c r="O604" s="2" t="n"/>
    </row>
    <row r="605">
      <c r="A605" s="62">
        <f>IF('8'!$C$1="","",'8'!$C$1)</f>
        <v/>
      </c>
      <c r="B605" s="63">
        <f>Ustawienia!$A$9&amp;""</f>
        <v/>
      </c>
      <c r="C605" s="63">
        <f>Ustawienia!$A$15&amp;""</f>
        <v/>
      </c>
      <c r="D605" s="63" t="n">
        <v>4</v>
      </c>
      <c r="E605" s="63">
        <f>IF('8'!F16="","",TRIM('8'!F16&amp;""))</f>
        <v/>
      </c>
      <c r="F605" s="63">
        <f>IF('8'!G16="","",'8'!G16)</f>
        <v/>
      </c>
      <c r="G605" s="63">
        <f>'8'!H16&amp;""</f>
        <v/>
      </c>
      <c r="H605" s="63">
        <f>IF(OR(A605="",F605=""),"",F605&amp;"|"&amp;A605)</f>
        <v/>
      </c>
      <c r="I605" s="63">
        <f>IF(AND(H605&lt;&gt;"",OR('Historia wózka'!$B$4="",F605='Historia wózka'!$B$4),A605&gt;='Historia wózka'!$B$5,A605&lt;='Historia wózka'!$B$6),A605+0.8+(5000-ROW())/10000000,0)</f>
        <v/>
      </c>
      <c r="J605" s="63">
        <f>Ustawienia!$B$9&amp;""</f>
        <v/>
      </c>
      <c r="K605" s="63">
        <f>IF(H605="","",COUNTIFS('Zgłoszenia'!$B$5:$B$504,F605,'Zgłoszenia'!$D$5:$D$504,"&gt;="&amp;A605,'Zgłoszenia'!$D$5:$D$504,"&lt;="&amp;(A605+1)))</f>
        <v/>
      </c>
      <c r="L605" s="63">
        <f>IF(OR(H605="",K605=0),"—",IF(ISNUMBER(MATCH(H605,'Zgłoszenia'!$S$5:$S$504,0)),RIGHT("0"&amp;DAY(A605),2)&amp;"."&amp;RIGHT("0"&amp;MONTH(A605),2)&amp;"."&amp;YEAR(A605)&amp;": "&amp;INDEX('Zgłoszenia'!$H$5:$H$504,MATCH(H605,'Zgłoszenia'!$S$5:$S$504,0)),RIGHT("0"&amp;DAY((A605+1)),2)&amp;"."&amp;RIGHT("0"&amp;MONTH((A605+1)),2)&amp;"."&amp;YEAR((A605+1))&amp;": "&amp;INDEX('Zgłoszenia'!$H$5:$H$504,MATCH(F605&amp;"|"&amp;(A605+1),'Zgłoszenia'!$S$5:$S$504,0)))&amp;IF(K605&gt;1," (+"&amp;(K605-1)&amp;")",""))</f>
        <v/>
      </c>
      <c r="M605" s="63" t="n">
        <v>8</v>
      </c>
      <c r="N605" s="2" t="n"/>
      <c r="O605" s="2" t="n"/>
    </row>
    <row r="606">
      <c r="A606" s="62">
        <f>IF('8'!$C$1="","",'8'!$C$1)</f>
        <v/>
      </c>
      <c r="B606" s="63">
        <f>Ustawienia!$A$9&amp;""</f>
        <v/>
      </c>
      <c r="C606" s="63">
        <f>Ustawienia!$A$15&amp;""</f>
        <v/>
      </c>
      <c r="D606" s="63" t="n">
        <v>5</v>
      </c>
      <c r="E606" s="63">
        <f>IF('8'!F17="","",TRIM('8'!F17&amp;""))</f>
        <v/>
      </c>
      <c r="F606" s="63">
        <f>IF('8'!G17="","",'8'!G17)</f>
        <v/>
      </c>
      <c r="G606" s="63">
        <f>'8'!H17&amp;""</f>
        <v/>
      </c>
      <c r="H606" s="63">
        <f>IF(OR(A606="",F606=""),"",F606&amp;"|"&amp;A606)</f>
        <v/>
      </c>
      <c r="I606" s="63">
        <f>IF(AND(H606&lt;&gt;"",OR('Historia wózka'!$B$4="",F606='Historia wózka'!$B$4),A606&gt;='Historia wózka'!$B$5,A606&lt;='Historia wózka'!$B$6),A606+0.8+(5000-ROW())/10000000,0)</f>
        <v/>
      </c>
      <c r="J606" s="63">
        <f>Ustawienia!$B$9&amp;""</f>
        <v/>
      </c>
      <c r="K606" s="63">
        <f>IF(H606="","",COUNTIFS('Zgłoszenia'!$B$5:$B$504,F606,'Zgłoszenia'!$D$5:$D$504,"&gt;="&amp;A606,'Zgłoszenia'!$D$5:$D$504,"&lt;="&amp;(A606+1)))</f>
        <v/>
      </c>
      <c r="L606" s="63">
        <f>IF(OR(H606="",K606=0),"—",IF(ISNUMBER(MATCH(H606,'Zgłoszenia'!$S$5:$S$504,0)),RIGHT("0"&amp;DAY(A606),2)&amp;"."&amp;RIGHT("0"&amp;MONTH(A606),2)&amp;"."&amp;YEAR(A606)&amp;": "&amp;INDEX('Zgłoszenia'!$H$5:$H$504,MATCH(H606,'Zgłoszenia'!$S$5:$S$504,0)),RIGHT("0"&amp;DAY((A606+1)),2)&amp;"."&amp;RIGHT("0"&amp;MONTH((A606+1)),2)&amp;"."&amp;YEAR((A606+1))&amp;": "&amp;INDEX('Zgłoszenia'!$H$5:$H$504,MATCH(F606&amp;"|"&amp;(A606+1),'Zgłoszenia'!$S$5:$S$504,0)))&amp;IF(K606&gt;1," (+"&amp;(K606-1)&amp;")",""))</f>
        <v/>
      </c>
      <c r="M606" s="63" t="n">
        <v>8</v>
      </c>
      <c r="N606" s="2" t="n"/>
      <c r="O606" s="2" t="n"/>
    </row>
    <row r="607">
      <c r="A607" s="62">
        <f>IF('8'!$C$1="","",'8'!$C$1)</f>
        <v/>
      </c>
      <c r="B607" s="63">
        <f>Ustawienia!$A$9&amp;""</f>
        <v/>
      </c>
      <c r="C607" s="63">
        <f>Ustawienia!$A$15&amp;""</f>
        <v/>
      </c>
      <c r="D607" s="63" t="n">
        <v>6</v>
      </c>
      <c r="E607" s="63">
        <f>IF('8'!F18="","",TRIM('8'!F18&amp;""))</f>
        <v/>
      </c>
      <c r="F607" s="63">
        <f>IF('8'!G18="","",'8'!G18)</f>
        <v/>
      </c>
      <c r="G607" s="63">
        <f>'8'!H18&amp;""</f>
        <v/>
      </c>
      <c r="H607" s="63">
        <f>IF(OR(A607="",F607=""),"",F607&amp;"|"&amp;A607)</f>
        <v/>
      </c>
      <c r="I607" s="63">
        <f>IF(AND(H607&lt;&gt;"",OR('Historia wózka'!$B$4="",F607='Historia wózka'!$B$4),A607&gt;='Historia wózka'!$B$5,A607&lt;='Historia wózka'!$B$6),A607+0.8+(5000-ROW())/10000000,0)</f>
        <v/>
      </c>
      <c r="J607" s="63">
        <f>Ustawienia!$B$9&amp;""</f>
        <v/>
      </c>
      <c r="K607" s="63">
        <f>IF(H607="","",COUNTIFS('Zgłoszenia'!$B$5:$B$504,F607,'Zgłoszenia'!$D$5:$D$504,"&gt;="&amp;A607,'Zgłoszenia'!$D$5:$D$504,"&lt;="&amp;(A607+1)))</f>
        <v/>
      </c>
      <c r="L607" s="63">
        <f>IF(OR(H607="",K607=0),"—",IF(ISNUMBER(MATCH(H607,'Zgłoszenia'!$S$5:$S$504,0)),RIGHT("0"&amp;DAY(A607),2)&amp;"."&amp;RIGHT("0"&amp;MONTH(A607),2)&amp;"."&amp;YEAR(A607)&amp;": "&amp;INDEX('Zgłoszenia'!$H$5:$H$504,MATCH(H607,'Zgłoszenia'!$S$5:$S$504,0)),RIGHT("0"&amp;DAY((A607+1)),2)&amp;"."&amp;RIGHT("0"&amp;MONTH((A607+1)),2)&amp;"."&amp;YEAR((A607+1))&amp;": "&amp;INDEX('Zgłoszenia'!$H$5:$H$504,MATCH(F607&amp;"|"&amp;(A607+1),'Zgłoszenia'!$S$5:$S$504,0)))&amp;IF(K607&gt;1," (+"&amp;(K607-1)&amp;")",""))</f>
        <v/>
      </c>
      <c r="M607" s="63" t="n">
        <v>8</v>
      </c>
      <c r="N607" s="2" t="n"/>
      <c r="O607" s="2" t="n"/>
    </row>
    <row r="608">
      <c r="A608" s="62">
        <f>IF('8'!$C$1="","",'8'!$C$1)</f>
        <v/>
      </c>
      <c r="B608" s="63">
        <f>Ustawienia!$A$9&amp;""</f>
        <v/>
      </c>
      <c r="C608" s="63">
        <f>Ustawienia!$A$15&amp;""</f>
        <v/>
      </c>
      <c r="D608" s="63" t="n">
        <v>7</v>
      </c>
      <c r="E608" s="63">
        <f>IF('8'!F19="","",TRIM('8'!F19&amp;""))</f>
        <v/>
      </c>
      <c r="F608" s="63">
        <f>IF('8'!G19="","",'8'!G19)</f>
        <v/>
      </c>
      <c r="G608" s="63">
        <f>'8'!H19&amp;""</f>
        <v/>
      </c>
      <c r="H608" s="63">
        <f>IF(OR(A608="",F608=""),"",F608&amp;"|"&amp;A608)</f>
        <v/>
      </c>
      <c r="I608" s="63">
        <f>IF(AND(H608&lt;&gt;"",OR('Historia wózka'!$B$4="",F608='Historia wózka'!$B$4),A608&gt;='Historia wózka'!$B$5,A608&lt;='Historia wózka'!$B$6),A608+0.8+(5000-ROW())/10000000,0)</f>
        <v/>
      </c>
      <c r="J608" s="63">
        <f>Ustawienia!$B$9&amp;""</f>
        <v/>
      </c>
      <c r="K608" s="63">
        <f>IF(H608="","",COUNTIFS('Zgłoszenia'!$B$5:$B$504,F608,'Zgłoszenia'!$D$5:$D$504,"&gt;="&amp;A608,'Zgłoszenia'!$D$5:$D$504,"&lt;="&amp;(A608+1)))</f>
        <v/>
      </c>
      <c r="L608" s="63">
        <f>IF(OR(H608="",K608=0),"—",IF(ISNUMBER(MATCH(H608,'Zgłoszenia'!$S$5:$S$504,0)),RIGHT("0"&amp;DAY(A608),2)&amp;"."&amp;RIGHT("0"&amp;MONTH(A608),2)&amp;"."&amp;YEAR(A608)&amp;": "&amp;INDEX('Zgłoszenia'!$H$5:$H$504,MATCH(H608,'Zgłoszenia'!$S$5:$S$504,0)),RIGHT("0"&amp;DAY((A608+1)),2)&amp;"."&amp;RIGHT("0"&amp;MONTH((A608+1)),2)&amp;"."&amp;YEAR((A608+1))&amp;": "&amp;INDEX('Zgłoszenia'!$H$5:$H$504,MATCH(F608&amp;"|"&amp;(A608+1),'Zgłoszenia'!$S$5:$S$504,0)))&amp;IF(K608&gt;1," (+"&amp;(K608-1)&amp;")",""))</f>
        <v/>
      </c>
      <c r="M608" s="63" t="n">
        <v>8</v>
      </c>
      <c r="N608" s="2" t="n"/>
      <c r="O608" s="2" t="n"/>
    </row>
    <row r="609">
      <c r="A609" s="62">
        <f>IF('8'!$C$1="","",'8'!$C$1)</f>
        <v/>
      </c>
      <c r="B609" s="63">
        <f>Ustawienia!$A$9&amp;""</f>
        <v/>
      </c>
      <c r="C609" s="63">
        <f>Ustawienia!$A$15&amp;""</f>
        <v/>
      </c>
      <c r="D609" s="63" t="n">
        <v>8</v>
      </c>
      <c r="E609" s="63">
        <f>IF('8'!F20="","",TRIM('8'!F20&amp;""))</f>
        <v/>
      </c>
      <c r="F609" s="63">
        <f>IF('8'!G20="","",'8'!G20)</f>
        <v/>
      </c>
      <c r="G609" s="63">
        <f>'8'!H20&amp;""</f>
        <v/>
      </c>
      <c r="H609" s="63">
        <f>IF(OR(A609="",F609=""),"",F609&amp;"|"&amp;A609)</f>
        <v/>
      </c>
      <c r="I609" s="63">
        <f>IF(AND(H609&lt;&gt;"",OR('Historia wózka'!$B$4="",F609='Historia wózka'!$B$4),A609&gt;='Historia wózka'!$B$5,A609&lt;='Historia wózka'!$B$6),A609+0.8+(5000-ROW())/10000000,0)</f>
        <v/>
      </c>
      <c r="J609" s="63">
        <f>Ustawienia!$B$9&amp;""</f>
        <v/>
      </c>
      <c r="K609" s="63">
        <f>IF(H609="","",COUNTIFS('Zgłoszenia'!$B$5:$B$504,F609,'Zgłoszenia'!$D$5:$D$504,"&gt;="&amp;A609,'Zgłoszenia'!$D$5:$D$504,"&lt;="&amp;(A609+1)))</f>
        <v/>
      </c>
      <c r="L609" s="63">
        <f>IF(OR(H609="",K609=0),"—",IF(ISNUMBER(MATCH(H609,'Zgłoszenia'!$S$5:$S$504,0)),RIGHT("0"&amp;DAY(A609),2)&amp;"."&amp;RIGHT("0"&amp;MONTH(A609),2)&amp;"."&amp;YEAR(A609)&amp;": "&amp;INDEX('Zgłoszenia'!$H$5:$H$504,MATCH(H609,'Zgłoszenia'!$S$5:$S$504,0)),RIGHT("0"&amp;DAY((A609+1)),2)&amp;"."&amp;RIGHT("0"&amp;MONTH((A609+1)),2)&amp;"."&amp;YEAR((A609+1))&amp;": "&amp;INDEX('Zgłoszenia'!$H$5:$H$504,MATCH(F609&amp;"|"&amp;(A609+1),'Zgłoszenia'!$S$5:$S$504,0)))&amp;IF(K609&gt;1," (+"&amp;(K609-1)&amp;")",""))</f>
        <v/>
      </c>
      <c r="M609" s="63" t="n">
        <v>8</v>
      </c>
      <c r="N609" s="2" t="n"/>
      <c r="O609" s="2" t="n"/>
    </row>
    <row r="610">
      <c r="A610" s="62">
        <f>IF('8'!$C$1="","",'8'!$C$1)</f>
        <v/>
      </c>
      <c r="B610" s="63">
        <f>Ustawienia!$A$9&amp;""</f>
        <v/>
      </c>
      <c r="C610" s="63">
        <f>Ustawienia!$A$16&amp;""</f>
        <v/>
      </c>
      <c r="D610" s="63" t="n">
        <v>1</v>
      </c>
      <c r="E610" s="63">
        <f>IF('8'!F22="","",TRIM('8'!F22&amp;""))</f>
        <v/>
      </c>
      <c r="F610" s="63">
        <f>IF('8'!G22="","",'8'!G22)</f>
        <v/>
      </c>
      <c r="G610" s="63">
        <f>'8'!H22&amp;""</f>
        <v/>
      </c>
      <c r="H610" s="63">
        <f>IF(OR(A610="",F610=""),"",F610&amp;"|"&amp;A610)</f>
        <v/>
      </c>
      <c r="I610" s="63">
        <f>IF(AND(H610&lt;&gt;"",OR('Historia wózka'!$B$4="",F610='Historia wózka'!$B$4),A610&gt;='Historia wózka'!$B$5,A610&lt;='Historia wózka'!$B$6),A610+0.8+(5000-ROW())/10000000,0)</f>
        <v/>
      </c>
      <c r="J610" s="63">
        <f>Ustawienia!$B$9&amp;""</f>
        <v/>
      </c>
      <c r="K610" s="63">
        <f>IF(H610="","",COUNTIFS('Zgłoszenia'!$B$5:$B$504,F610,'Zgłoszenia'!$D$5:$D$504,"&gt;="&amp;A610,'Zgłoszenia'!$D$5:$D$504,"&lt;="&amp;(A610+1)))</f>
        <v/>
      </c>
      <c r="L610" s="63">
        <f>IF(OR(H610="",K610=0),"—",IF(ISNUMBER(MATCH(H610,'Zgłoszenia'!$S$5:$S$504,0)),RIGHT("0"&amp;DAY(A610),2)&amp;"."&amp;RIGHT("0"&amp;MONTH(A610),2)&amp;"."&amp;YEAR(A610)&amp;": "&amp;INDEX('Zgłoszenia'!$H$5:$H$504,MATCH(H610,'Zgłoszenia'!$S$5:$S$504,0)),RIGHT("0"&amp;DAY((A610+1)),2)&amp;"."&amp;RIGHT("0"&amp;MONTH((A610+1)),2)&amp;"."&amp;YEAR((A610+1))&amp;": "&amp;INDEX('Zgłoszenia'!$H$5:$H$504,MATCH(F610&amp;"|"&amp;(A610+1),'Zgłoszenia'!$S$5:$S$504,0)))&amp;IF(K610&gt;1," (+"&amp;(K610-1)&amp;")",""))</f>
        <v/>
      </c>
      <c r="M610" s="63" t="n">
        <v>8</v>
      </c>
      <c r="N610" s="2" t="n"/>
      <c r="O610" s="2" t="n"/>
    </row>
    <row r="611">
      <c r="A611" s="62">
        <f>IF('8'!$C$1="","",'8'!$C$1)</f>
        <v/>
      </c>
      <c r="B611" s="63">
        <f>Ustawienia!$A$9&amp;""</f>
        <v/>
      </c>
      <c r="C611" s="63">
        <f>Ustawienia!$A$16&amp;""</f>
        <v/>
      </c>
      <c r="D611" s="63" t="n">
        <v>2</v>
      </c>
      <c r="E611" s="63">
        <f>IF('8'!F23="","",TRIM('8'!F23&amp;""))</f>
        <v/>
      </c>
      <c r="F611" s="63">
        <f>IF('8'!G23="","",'8'!G23)</f>
        <v/>
      </c>
      <c r="G611" s="63">
        <f>'8'!H23&amp;""</f>
        <v/>
      </c>
      <c r="H611" s="63">
        <f>IF(OR(A611="",F611=""),"",F611&amp;"|"&amp;A611)</f>
        <v/>
      </c>
      <c r="I611" s="63">
        <f>IF(AND(H611&lt;&gt;"",OR('Historia wózka'!$B$4="",F611='Historia wózka'!$B$4),A611&gt;='Historia wózka'!$B$5,A611&lt;='Historia wózka'!$B$6),A611+0.8+(5000-ROW())/10000000,0)</f>
        <v/>
      </c>
      <c r="J611" s="63">
        <f>Ustawienia!$B$9&amp;""</f>
        <v/>
      </c>
      <c r="K611" s="63">
        <f>IF(H611="","",COUNTIFS('Zgłoszenia'!$B$5:$B$504,F611,'Zgłoszenia'!$D$5:$D$504,"&gt;="&amp;A611,'Zgłoszenia'!$D$5:$D$504,"&lt;="&amp;(A611+1)))</f>
        <v/>
      </c>
      <c r="L611" s="63">
        <f>IF(OR(H611="",K611=0),"—",IF(ISNUMBER(MATCH(H611,'Zgłoszenia'!$S$5:$S$504,0)),RIGHT("0"&amp;DAY(A611),2)&amp;"."&amp;RIGHT("0"&amp;MONTH(A611),2)&amp;"."&amp;YEAR(A611)&amp;": "&amp;INDEX('Zgłoszenia'!$H$5:$H$504,MATCH(H611,'Zgłoszenia'!$S$5:$S$504,0)),RIGHT("0"&amp;DAY((A611+1)),2)&amp;"."&amp;RIGHT("0"&amp;MONTH((A611+1)),2)&amp;"."&amp;YEAR((A611+1))&amp;": "&amp;INDEX('Zgłoszenia'!$H$5:$H$504,MATCH(F611&amp;"|"&amp;(A611+1),'Zgłoszenia'!$S$5:$S$504,0)))&amp;IF(K611&gt;1," (+"&amp;(K611-1)&amp;")",""))</f>
        <v/>
      </c>
      <c r="M611" s="63" t="n">
        <v>8</v>
      </c>
      <c r="N611" s="2" t="n"/>
      <c r="O611" s="2" t="n"/>
    </row>
    <row r="612">
      <c r="A612" s="62">
        <f>IF('8'!$C$1="","",'8'!$C$1)</f>
        <v/>
      </c>
      <c r="B612" s="63">
        <f>Ustawienia!$A$9&amp;""</f>
        <v/>
      </c>
      <c r="C612" s="63">
        <f>Ustawienia!$A$16&amp;""</f>
        <v/>
      </c>
      <c r="D612" s="63" t="n">
        <v>3</v>
      </c>
      <c r="E612" s="63">
        <f>IF('8'!F24="","",TRIM('8'!F24&amp;""))</f>
        <v/>
      </c>
      <c r="F612" s="63">
        <f>IF('8'!G24="","",'8'!G24)</f>
        <v/>
      </c>
      <c r="G612" s="63">
        <f>'8'!H24&amp;""</f>
        <v/>
      </c>
      <c r="H612" s="63">
        <f>IF(OR(A612="",F612=""),"",F612&amp;"|"&amp;A612)</f>
        <v/>
      </c>
      <c r="I612" s="63">
        <f>IF(AND(H612&lt;&gt;"",OR('Historia wózka'!$B$4="",F612='Historia wózka'!$B$4),A612&gt;='Historia wózka'!$B$5,A612&lt;='Historia wózka'!$B$6),A612+0.8+(5000-ROW())/10000000,0)</f>
        <v/>
      </c>
      <c r="J612" s="63">
        <f>Ustawienia!$B$9&amp;""</f>
        <v/>
      </c>
      <c r="K612" s="63">
        <f>IF(H612="","",COUNTIFS('Zgłoszenia'!$B$5:$B$504,F612,'Zgłoszenia'!$D$5:$D$504,"&gt;="&amp;A612,'Zgłoszenia'!$D$5:$D$504,"&lt;="&amp;(A612+1)))</f>
        <v/>
      </c>
      <c r="L612" s="63">
        <f>IF(OR(H612="",K612=0),"—",IF(ISNUMBER(MATCH(H612,'Zgłoszenia'!$S$5:$S$504,0)),RIGHT("0"&amp;DAY(A612),2)&amp;"."&amp;RIGHT("0"&amp;MONTH(A612),2)&amp;"."&amp;YEAR(A612)&amp;": "&amp;INDEX('Zgłoszenia'!$H$5:$H$504,MATCH(H612,'Zgłoszenia'!$S$5:$S$504,0)),RIGHT("0"&amp;DAY((A612+1)),2)&amp;"."&amp;RIGHT("0"&amp;MONTH((A612+1)),2)&amp;"."&amp;YEAR((A612+1))&amp;": "&amp;INDEX('Zgłoszenia'!$H$5:$H$504,MATCH(F612&amp;"|"&amp;(A612+1),'Zgłoszenia'!$S$5:$S$504,0)))&amp;IF(K612&gt;1," (+"&amp;(K612-1)&amp;")",""))</f>
        <v/>
      </c>
      <c r="M612" s="63" t="n">
        <v>8</v>
      </c>
      <c r="N612" s="2" t="n"/>
      <c r="O612" s="2" t="n"/>
    </row>
    <row r="613">
      <c r="A613" s="62">
        <f>IF('8'!$C$1="","",'8'!$C$1)</f>
        <v/>
      </c>
      <c r="B613" s="63">
        <f>Ustawienia!$A$9&amp;""</f>
        <v/>
      </c>
      <c r="C613" s="63">
        <f>Ustawienia!$A$16&amp;""</f>
        <v/>
      </c>
      <c r="D613" s="63" t="n">
        <v>4</v>
      </c>
      <c r="E613" s="63">
        <f>IF('8'!F25="","",TRIM('8'!F25&amp;""))</f>
        <v/>
      </c>
      <c r="F613" s="63">
        <f>IF('8'!G25="","",'8'!G25)</f>
        <v/>
      </c>
      <c r="G613" s="63">
        <f>'8'!H25&amp;""</f>
        <v/>
      </c>
      <c r="H613" s="63">
        <f>IF(OR(A613="",F613=""),"",F613&amp;"|"&amp;A613)</f>
        <v/>
      </c>
      <c r="I613" s="63">
        <f>IF(AND(H613&lt;&gt;"",OR('Historia wózka'!$B$4="",F613='Historia wózka'!$B$4),A613&gt;='Historia wózka'!$B$5,A613&lt;='Historia wózka'!$B$6),A613+0.8+(5000-ROW())/10000000,0)</f>
        <v/>
      </c>
      <c r="J613" s="63">
        <f>Ustawienia!$B$9&amp;""</f>
        <v/>
      </c>
      <c r="K613" s="63">
        <f>IF(H613="","",COUNTIFS('Zgłoszenia'!$B$5:$B$504,F613,'Zgłoszenia'!$D$5:$D$504,"&gt;="&amp;A613,'Zgłoszenia'!$D$5:$D$504,"&lt;="&amp;(A613+1)))</f>
        <v/>
      </c>
      <c r="L613" s="63">
        <f>IF(OR(H613="",K613=0),"—",IF(ISNUMBER(MATCH(H613,'Zgłoszenia'!$S$5:$S$504,0)),RIGHT("0"&amp;DAY(A613),2)&amp;"."&amp;RIGHT("0"&amp;MONTH(A613),2)&amp;"."&amp;YEAR(A613)&amp;": "&amp;INDEX('Zgłoszenia'!$H$5:$H$504,MATCH(H613,'Zgłoszenia'!$S$5:$S$504,0)),RIGHT("0"&amp;DAY((A613+1)),2)&amp;"."&amp;RIGHT("0"&amp;MONTH((A613+1)),2)&amp;"."&amp;YEAR((A613+1))&amp;": "&amp;INDEX('Zgłoszenia'!$H$5:$H$504,MATCH(F613&amp;"|"&amp;(A613+1),'Zgłoszenia'!$S$5:$S$504,0)))&amp;IF(K613&gt;1," (+"&amp;(K613-1)&amp;")",""))</f>
        <v/>
      </c>
      <c r="M613" s="63" t="n">
        <v>8</v>
      </c>
      <c r="N613" s="2" t="n"/>
      <c r="O613" s="2" t="n"/>
    </row>
    <row r="614">
      <c r="A614" s="62">
        <f>IF('8'!$C$1="","",'8'!$C$1)</f>
        <v/>
      </c>
      <c r="B614" s="63">
        <f>Ustawienia!$A$9&amp;""</f>
        <v/>
      </c>
      <c r="C614" s="63">
        <f>Ustawienia!$A$17&amp;""</f>
        <v/>
      </c>
      <c r="D614" s="63" t="n">
        <v>1</v>
      </c>
      <c r="E614" s="63">
        <f>IF('8'!F27="","",TRIM('8'!F27&amp;""))</f>
        <v/>
      </c>
      <c r="F614" s="63">
        <f>IF('8'!G27="","",'8'!G27)</f>
        <v/>
      </c>
      <c r="G614" s="63">
        <f>'8'!H27&amp;""</f>
        <v/>
      </c>
      <c r="H614" s="63">
        <f>IF(OR(A614="",F614=""),"",F614&amp;"|"&amp;A614)</f>
        <v/>
      </c>
      <c r="I614" s="63">
        <f>IF(AND(H614&lt;&gt;"",OR('Historia wózka'!$B$4="",F614='Historia wózka'!$B$4),A614&gt;='Historia wózka'!$B$5,A614&lt;='Historia wózka'!$B$6),A614+0.8+(5000-ROW())/10000000,0)</f>
        <v/>
      </c>
      <c r="J614" s="63">
        <f>Ustawienia!$B$9&amp;""</f>
        <v/>
      </c>
      <c r="K614" s="63">
        <f>IF(H614="","",COUNTIFS('Zgłoszenia'!$B$5:$B$504,F614,'Zgłoszenia'!$D$5:$D$504,"&gt;="&amp;A614,'Zgłoszenia'!$D$5:$D$504,"&lt;="&amp;(A614+1)))</f>
        <v/>
      </c>
      <c r="L614" s="63">
        <f>IF(OR(H614="",K614=0),"—",IF(ISNUMBER(MATCH(H614,'Zgłoszenia'!$S$5:$S$504,0)),RIGHT("0"&amp;DAY(A614),2)&amp;"."&amp;RIGHT("0"&amp;MONTH(A614),2)&amp;"."&amp;YEAR(A614)&amp;": "&amp;INDEX('Zgłoszenia'!$H$5:$H$504,MATCH(H614,'Zgłoszenia'!$S$5:$S$504,0)),RIGHT("0"&amp;DAY((A614+1)),2)&amp;"."&amp;RIGHT("0"&amp;MONTH((A614+1)),2)&amp;"."&amp;YEAR((A614+1))&amp;": "&amp;INDEX('Zgłoszenia'!$H$5:$H$504,MATCH(F614&amp;"|"&amp;(A614+1),'Zgłoszenia'!$S$5:$S$504,0)))&amp;IF(K614&gt;1," (+"&amp;(K614-1)&amp;")",""))</f>
        <v/>
      </c>
      <c r="M614" s="63" t="n">
        <v>8</v>
      </c>
      <c r="N614" s="2" t="n"/>
      <c r="O614" s="2" t="n"/>
    </row>
    <row r="615">
      <c r="A615" s="62">
        <f>IF('8'!$C$1="","",'8'!$C$1)</f>
        <v/>
      </c>
      <c r="B615" s="63">
        <f>Ustawienia!$A$9&amp;""</f>
        <v/>
      </c>
      <c r="C615" s="63">
        <f>Ustawienia!$A$17&amp;""</f>
        <v/>
      </c>
      <c r="D615" s="63" t="n">
        <v>2</v>
      </c>
      <c r="E615" s="63">
        <f>IF('8'!F28="","",TRIM('8'!F28&amp;""))</f>
        <v/>
      </c>
      <c r="F615" s="63">
        <f>IF('8'!G28="","",'8'!G28)</f>
        <v/>
      </c>
      <c r="G615" s="63">
        <f>'8'!H28&amp;""</f>
        <v/>
      </c>
      <c r="H615" s="63">
        <f>IF(OR(A615="",F615=""),"",F615&amp;"|"&amp;A615)</f>
        <v/>
      </c>
      <c r="I615" s="63">
        <f>IF(AND(H615&lt;&gt;"",OR('Historia wózka'!$B$4="",F615='Historia wózka'!$B$4),A615&gt;='Historia wózka'!$B$5,A615&lt;='Historia wózka'!$B$6),A615+0.8+(5000-ROW())/10000000,0)</f>
        <v/>
      </c>
      <c r="J615" s="63">
        <f>Ustawienia!$B$9&amp;""</f>
        <v/>
      </c>
      <c r="K615" s="63">
        <f>IF(H615="","",COUNTIFS('Zgłoszenia'!$B$5:$B$504,F615,'Zgłoszenia'!$D$5:$D$504,"&gt;="&amp;A615,'Zgłoszenia'!$D$5:$D$504,"&lt;="&amp;(A615+1)))</f>
        <v/>
      </c>
      <c r="L615" s="63">
        <f>IF(OR(H615="",K615=0),"—",IF(ISNUMBER(MATCH(H615,'Zgłoszenia'!$S$5:$S$504,0)),RIGHT("0"&amp;DAY(A615),2)&amp;"."&amp;RIGHT("0"&amp;MONTH(A615),2)&amp;"."&amp;YEAR(A615)&amp;": "&amp;INDEX('Zgłoszenia'!$H$5:$H$504,MATCH(H615,'Zgłoszenia'!$S$5:$S$504,0)),RIGHT("0"&amp;DAY((A615+1)),2)&amp;"."&amp;RIGHT("0"&amp;MONTH((A615+1)),2)&amp;"."&amp;YEAR((A615+1))&amp;": "&amp;INDEX('Zgłoszenia'!$H$5:$H$504,MATCH(F615&amp;"|"&amp;(A615+1),'Zgłoszenia'!$S$5:$S$504,0)))&amp;IF(K615&gt;1," (+"&amp;(K615-1)&amp;")",""))</f>
        <v/>
      </c>
      <c r="M615" s="63" t="n">
        <v>8</v>
      </c>
      <c r="N615" s="2" t="n"/>
      <c r="O615" s="2" t="n"/>
    </row>
    <row r="616">
      <c r="A616" s="62">
        <f>IF('8'!$C$1="","",'8'!$C$1)</f>
        <v/>
      </c>
      <c r="B616" s="63">
        <f>Ustawienia!$A$9&amp;""</f>
        <v/>
      </c>
      <c r="C616" s="63">
        <f>Ustawienia!$A$17&amp;""</f>
        <v/>
      </c>
      <c r="D616" s="63" t="n">
        <v>3</v>
      </c>
      <c r="E616" s="63">
        <f>IF('8'!F29="","",TRIM('8'!F29&amp;""))</f>
        <v/>
      </c>
      <c r="F616" s="63">
        <f>IF('8'!G29="","",'8'!G29)</f>
        <v/>
      </c>
      <c r="G616" s="63">
        <f>'8'!H29&amp;""</f>
        <v/>
      </c>
      <c r="H616" s="63">
        <f>IF(OR(A616="",F616=""),"",F616&amp;"|"&amp;A616)</f>
        <v/>
      </c>
      <c r="I616" s="63">
        <f>IF(AND(H616&lt;&gt;"",OR('Historia wózka'!$B$4="",F616='Historia wózka'!$B$4),A616&gt;='Historia wózka'!$B$5,A616&lt;='Historia wózka'!$B$6),A616+0.8+(5000-ROW())/10000000,0)</f>
        <v/>
      </c>
      <c r="J616" s="63">
        <f>Ustawienia!$B$9&amp;""</f>
        <v/>
      </c>
      <c r="K616" s="63">
        <f>IF(H616="","",COUNTIFS('Zgłoszenia'!$B$5:$B$504,F616,'Zgłoszenia'!$D$5:$D$504,"&gt;="&amp;A616,'Zgłoszenia'!$D$5:$D$504,"&lt;="&amp;(A616+1)))</f>
        <v/>
      </c>
      <c r="L616" s="63">
        <f>IF(OR(H616="",K616=0),"—",IF(ISNUMBER(MATCH(H616,'Zgłoszenia'!$S$5:$S$504,0)),RIGHT("0"&amp;DAY(A616),2)&amp;"."&amp;RIGHT("0"&amp;MONTH(A616),2)&amp;"."&amp;YEAR(A616)&amp;": "&amp;INDEX('Zgłoszenia'!$H$5:$H$504,MATCH(H616,'Zgłoszenia'!$S$5:$S$504,0)),RIGHT("0"&amp;DAY((A616+1)),2)&amp;"."&amp;RIGHT("0"&amp;MONTH((A616+1)),2)&amp;"."&amp;YEAR((A616+1))&amp;": "&amp;INDEX('Zgłoszenia'!$H$5:$H$504,MATCH(F616&amp;"|"&amp;(A616+1),'Zgłoszenia'!$S$5:$S$504,0)))&amp;IF(K616&gt;1," (+"&amp;(K616-1)&amp;")",""))</f>
        <v/>
      </c>
      <c r="M616" s="63" t="n">
        <v>8</v>
      </c>
      <c r="N616" s="2" t="n"/>
      <c r="O616" s="2" t="n"/>
    </row>
    <row r="617">
      <c r="A617" s="62">
        <f>IF('8'!$C$1="","",'8'!$C$1)</f>
        <v/>
      </c>
      <c r="B617" s="63">
        <f>Ustawienia!$A$9&amp;""</f>
        <v/>
      </c>
      <c r="C617" s="63">
        <f>Ustawienia!$A$17&amp;""</f>
        <v/>
      </c>
      <c r="D617" s="63" t="n">
        <v>4</v>
      </c>
      <c r="E617" s="63">
        <f>IF('8'!F30="","",TRIM('8'!F30&amp;""))</f>
        <v/>
      </c>
      <c r="F617" s="63">
        <f>IF('8'!G30="","",'8'!G30)</f>
        <v/>
      </c>
      <c r="G617" s="63">
        <f>'8'!H30&amp;""</f>
        <v/>
      </c>
      <c r="H617" s="63">
        <f>IF(OR(A617="",F617=""),"",F617&amp;"|"&amp;A617)</f>
        <v/>
      </c>
      <c r="I617" s="63">
        <f>IF(AND(H617&lt;&gt;"",OR('Historia wózka'!$B$4="",F617='Historia wózka'!$B$4),A617&gt;='Historia wózka'!$B$5,A617&lt;='Historia wózka'!$B$6),A617+0.8+(5000-ROW())/10000000,0)</f>
        <v/>
      </c>
      <c r="J617" s="63">
        <f>Ustawienia!$B$9&amp;""</f>
        <v/>
      </c>
      <c r="K617" s="63">
        <f>IF(H617="","",COUNTIFS('Zgłoszenia'!$B$5:$B$504,F617,'Zgłoszenia'!$D$5:$D$504,"&gt;="&amp;A617,'Zgłoszenia'!$D$5:$D$504,"&lt;="&amp;(A617+1)))</f>
        <v/>
      </c>
      <c r="L617" s="63">
        <f>IF(OR(H617="",K617=0),"—",IF(ISNUMBER(MATCH(H617,'Zgłoszenia'!$S$5:$S$504,0)),RIGHT("0"&amp;DAY(A617),2)&amp;"."&amp;RIGHT("0"&amp;MONTH(A617),2)&amp;"."&amp;YEAR(A617)&amp;": "&amp;INDEX('Zgłoszenia'!$H$5:$H$504,MATCH(H617,'Zgłoszenia'!$S$5:$S$504,0)),RIGHT("0"&amp;DAY((A617+1)),2)&amp;"."&amp;RIGHT("0"&amp;MONTH((A617+1)),2)&amp;"."&amp;YEAR((A617+1))&amp;": "&amp;INDEX('Zgłoszenia'!$H$5:$H$504,MATCH(F617&amp;"|"&amp;(A617+1),'Zgłoszenia'!$S$5:$S$504,0)))&amp;IF(K617&gt;1," (+"&amp;(K617-1)&amp;")",""))</f>
        <v/>
      </c>
      <c r="M617" s="63" t="n">
        <v>8</v>
      </c>
      <c r="N617" s="2" t="n"/>
      <c r="O617" s="2" t="n"/>
    </row>
    <row r="618">
      <c r="A618" s="62">
        <f>IF('8'!$C$1="","",'8'!$C$1)</f>
        <v/>
      </c>
      <c r="B618" s="63">
        <f>Ustawienia!$A$9&amp;""</f>
        <v/>
      </c>
      <c r="C618" s="63">
        <f>Ustawienia!$A$18&amp;""</f>
        <v/>
      </c>
      <c r="D618" s="63" t="n">
        <v>1</v>
      </c>
      <c r="E618" s="63">
        <f>IF('8'!F32="","",TRIM('8'!F32&amp;""))</f>
        <v/>
      </c>
      <c r="F618" s="63">
        <f>IF('8'!G32="","",'8'!G32)</f>
        <v/>
      </c>
      <c r="G618" s="63">
        <f>'8'!H32&amp;""</f>
        <v/>
      </c>
      <c r="H618" s="63">
        <f>IF(OR(A618="",F618=""),"",F618&amp;"|"&amp;A618)</f>
        <v/>
      </c>
      <c r="I618" s="63">
        <f>IF(AND(H618&lt;&gt;"",OR('Historia wózka'!$B$4="",F618='Historia wózka'!$B$4),A618&gt;='Historia wózka'!$B$5,A618&lt;='Historia wózka'!$B$6),A618+0.8+(5000-ROW())/10000000,0)</f>
        <v/>
      </c>
      <c r="J618" s="63">
        <f>Ustawienia!$B$9&amp;""</f>
        <v/>
      </c>
      <c r="K618" s="63">
        <f>IF(H618="","",COUNTIFS('Zgłoszenia'!$B$5:$B$504,F618,'Zgłoszenia'!$D$5:$D$504,"&gt;="&amp;A618,'Zgłoszenia'!$D$5:$D$504,"&lt;="&amp;(A618+1)))</f>
        <v/>
      </c>
      <c r="L618" s="63">
        <f>IF(OR(H618="",K618=0),"—",IF(ISNUMBER(MATCH(H618,'Zgłoszenia'!$S$5:$S$504,0)),RIGHT("0"&amp;DAY(A618),2)&amp;"."&amp;RIGHT("0"&amp;MONTH(A618),2)&amp;"."&amp;YEAR(A618)&amp;": "&amp;INDEX('Zgłoszenia'!$H$5:$H$504,MATCH(H618,'Zgłoszenia'!$S$5:$S$504,0)),RIGHT("0"&amp;DAY((A618+1)),2)&amp;"."&amp;RIGHT("0"&amp;MONTH((A618+1)),2)&amp;"."&amp;YEAR((A618+1))&amp;": "&amp;INDEX('Zgłoszenia'!$H$5:$H$504,MATCH(F618&amp;"|"&amp;(A618+1),'Zgłoszenia'!$S$5:$S$504,0)))&amp;IF(K618&gt;1," (+"&amp;(K618-1)&amp;")",""))</f>
        <v/>
      </c>
      <c r="M618" s="63" t="n">
        <v>8</v>
      </c>
      <c r="N618" s="2" t="n"/>
      <c r="O618" s="2" t="n"/>
    </row>
    <row r="619">
      <c r="A619" s="62">
        <f>IF('8'!$C$1="","",'8'!$C$1)</f>
        <v/>
      </c>
      <c r="B619" s="63">
        <f>Ustawienia!$A$9&amp;""</f>
        <v/>
      </c>
      <c r="C619" s="63">
        <f>Ustawienia!$A$18&amp;""</f>
        <v/>
      </c>
      <c r="D619" s="63" t="n">
        <v>2</v>
      </c>
      <c r="E619" s="63">
        <f>IF('8'!F33="","",TRIM('8'!F33&amp;""))</f>
        <v/>
      </c>
      <c r="F619" s="63">
        <f>IF('8'!G33="","",'8'!G33)</f>
        <v/>
      </c>
      <c r="G619" s="63">
        <f>'8'!H33&amp;""</f>
        <v/>
      </c>
      <c r="H619" s="63">
        <f>IF(OR(A619="",F619=""),"",F619&amp;"|"&amp;A619)</f>
        <v/>
      </c>
      <c r="I619" s="63">
        <f>IF(AND(H619&lt;&gt;"",OR('Historia wózka'!$B$4="",F619='Historia wózka'!$B$4),A619&gt;='Historia wózka'!$B$5,A619&lt;='Historia wózka'!$B$6),A619+0.8+(5000-ROW())/10000000,0)</f>
        <v/>
      </c>
      <c r="J619" s="63">
        <f>Ustawienia!$B$9&amp;""</f>
        <v/>
      </c>
      <c r="K619" s="63">
        <f>IF(H619="","",COUNTIFS('Zgłoszenia'!$B$5:$B$504,F619,'Zgłoszenia'!$D$5:$D$504,"&gt;="&amp;A619,'Zgłoszenia'!$D$5:$D$504,"&lt;="&amp;(A619+1)))</f>
        <v/>
      </c>
      <c r="L619" s="63">
        <f>IF(OR(H619="",K619=0),"—",IF(ISNUMBER(MATCH(H619,'Zgłoszenia'!$S$5:$S$504,0)),RIGHT("0"&amp;DAY(A619),2)&amp;"."&amp;RIGHT("0"&amp;MONTH(A619),2)&amp;"."&amp;YEAR(A619)&amp;": "&amp;INDEX('Zgłoszenia'!$H$5:$H$504,MATCH(H619,'Zgłoszenia'!$S$5:$S$504,0)),RIGHT("0"&amp;DAY((A619+1)),2)&amp;"."&amp;RIGHT("0"&amp;MONTH((A619+1)),2)&amp;"."&amp;YEAR((A619+1))&amp;": "&amp;INDEX('Zgłoszenia'!$H$5:$H$504,MATCH(F619&amp;"|"&amp;(A619+1),'Zgłoszenia'!$S$5:$S$504,0)))&amp;IF(K619&gt;1," (+"&amp;(K619-1)&amp;")",""))</f>
        <v/>
      </c>
      <c r="M619" s="63" t="n">
        <v>8</v>
      </c>
      <c r="N619" s="2" t="n"/>
      <c r="O619" s="2" t="n"/>
    </row>
    <row r="620">
      <c r="A620" s="62">
        <f>IF('8'!$C$1="","",'8'!$C$1)</f>
        <v/>
      </c>
      <c r="B620" s="63">
        <f>Ustawienia!$A$9&amp;""</f>
        <v/>
      </c>
      <c r="C620" s="63">
        <f>Ustawienia!$A$18&amp;""</f>
        <v/>
      </c>
      <c r="D620" s="63" t="n">
        <v>3</v>
      </c>
      <c r="E620" s="63">
        <f>IF('8'!F34="","",TRIM('8'!F34&amp;""))</f>
        <v/>
      </c>
      <c r="F620" s="63">
        <f>IF('8'!G34="","",'8'!G34)</f>
        <v/>
      </c>
      <c r="G620" s="63">
        <f>'8'!H34&amp;""</f>
        <v/>
      </c>
      <c r="H620" s="63">
        <f>IF(OR(A620="",F620=""),"",F620&amp;"|"&amp;A620)</f>
        <v/>
      </c>
      <c r="I620" s="63">
        <f>IF(AND(H620&lt;&gt;"",OR('Historia wózka'!$B$4="",F620='Historia wózka'!$B$4),A620&gt;='Historia wózka'!$B$5,A620&lt;='Historia wózka'!$B$6),A620+0.8+(5000-ROW())/10000000,0)</f>
        <v/>
      </c>
      <c r="J620" s="63">
        <f>Ustawienia!$B$9&amp;""</f>
        <v/>
      </c>
      <c r="K620" s="63">
        <f>IF(H620="","",COUNTIFS('Zgłoszenia'!$B$5:$B$504,F620,'Zgłoszenia'!$D$5:$D$504,"&gt;="&amp;A620,'Zgłoszenia'!$D$5:$D$504,"&lt;="&amp;(A620+1)))</f>
        <v/>
      </c>
      <c r="L620" s="63">
        <f>IF(OR(H620="",K620=0),"—",IF(ISNUMBER(MATCH(H620,'Zgłoszenia'!$S$5:$S$504,0)),RIGHT("0"&amp;DAY(A620),2)&amp;"."&amp;RIGHT("0"&amp;MONTH(A620),2)&amp;"."&amp;YEAR(A620)&amp;": "&amp;INDEX('Zgłoszenia'!$H$5:$H$504,MATCH(H620,'Zgłoszenia'!$S$5:$S$504,0)),RIGHT("0"&amp;DAY((A620+1)),2)&amp;"."&amp;RIGHT("0"&amp;MONTH((A620+1)),2)&amp;"."&amp;YEAR((A620+1))&amp;": "&amp;INDEX('Zgłoszenia'!$H$5:$H$504,MATCH(F620&amp;"|"&amp;(A620+1),'Zgłoszenia'!$S$5:$S$504,0)))&amp;IF(K620&gt;1," (+"&amp;(K620-1)&amp;")",""))</f>
        <v/>
      </c>
      <c r="M620" s="63" t="n">
        <v>8</v>
      </c>
      <c r="N620" s="2" t="n"/>
      <c r="O620" s="2" t="n"/>
    </row>
    <row r="621">
      <c r="A621" s="62">
        <f>IF('8'!$C$1="","",'8'!$C$1)</f>
        <v/>
      </c>
      <c r="B621" s="63">
        <f>Ustawienia!$A$9&amp;""</f>
        <v/>
      </c>
      <c r="C621" s="63">
        <f>Ustawienia!$A$18&amp;""</f>
        <v/>
      </c>
      <c r="D621" s="63" t="n">
        <v>4</v>
      </c>
      <c r="E621" s="63">
        <f>IF('8'!F35="","",TRIM('8'!F35&amp;""))</f>
        <v/>
      </c>
      <c r="F621" s="63">
        <f>IF('8'!G35="","",'8'!G35)</f>
        <v/>
      </c>
      <c r="G621" s="63">
        <f>'8'!H35&amp;""</f>
        <v/>
      </c>
      <c r="H621" s="63">
        <f>IF(OR(A621="",F621=""),"",F621&amp;"|"&amp;A621)</f>
        <v/>
      </c>
      <c r="I621" s="63">
        <f>IF(AND(H621&lt;&gt;"",OR('Historia wózka'!$B$4="",F621='Historia wózka'!$B$4),A621&gt;='Historia wózka'!$B$5,A621&lt;='Historia wózka'!$B$6),A621+0.8+(5000-ROW())/10000000,0)</f>
        <v/>
      </c>
      <c r="J621" s="63">
        <f>Ustawienia!$B$9&amp;""</f>
        <v/>
      </c>
      <c r="K621" s="63">
        <f>IF(H621="","",COUNTIFS('Zgłoszenia'!$B$5:$B$504,F621,'Zgłoszenia'!$D$5:$D$504,"&gt;="&amp;A621,'Zgłoszenia'!$D$5:$D$504,"&lt;="&amp;(A621+1)))</f>
        <v/>
      </c>
      <c r="L621" s="63">
        <f>IF(OR(H621="",K621=0),"—",IF(ISNUMBER(MATCH(H621,'Zgłoszenia'!$S$5:$S$504,0)),RIGHT("0"&amp;DAY(A621),2)&amp;"."&amp;RIGHT("0"&amp;MONTH(A621),2)&amp;"."&amp;YEAR(A621)&amp;": "&amp;INDEX('Zgłoszenia'!$H$5:$H$504,MATCH(H621,'Zgłoszenia'!$S$5:$S$504,0)),RIGHT("0"&amp;DAY((A621+1)),2)&amp;"."&amp;RIGHT("0"&amp;MONTH((A621+1)),2)&amp;"."&amp;YEAR((A621+1))&amp;": "&amp;INDEX('Zgłoszenia'!$H$5:$H$504,MATCH(F621&amp;"|"&amp;(A621+1),'Zgłoszenia'!$S$5:$S$504,0)))&amp;IF(K621&gt;1," (+"&amp;(K621-1)&amp;")",""))</f>
        <v/>
      </c>
      <c r="M621" s="63" t="n">
        <v>8</v>
      </c>
      <c r="N621" s="2" t="n"/>
      <c r="O621" s="2" t="n"/>
    </row>
    <row r="622">
      <c r="A622" s="62">
        <f>IF('8'!$C$1="","",'8'!$C$1)</f>
        <v/>
      </c>
      <c r="B622" s="63">
        <f>Ustawienia!$A$9&amp;""</f>
        <v/>
      </c>
      <c r="C622" s="63">
        <f>Ustawienia!$A$18&amp;""</f>
        <v/>
      </c>
      <c r="D622" s="63" t="n">
        <v>5</v>
      </c>
      <c r="E622" s="63">
        <f>IF('8'!F36="","",TRIM('8'!F36&amp;""))</f>
        <v/>
      </c>
      <c r="F622" s="63">
        <f>IF('8'!G36="","",'8'!G36)</f>
        <v/>
      </c>
      <c r="G622" s="63">
        <f>'8'!H36&amp;""</f>
        <v/>
      </c>
      <c r="H622" s="63">
        <f>IF(OR(A622="",F622=""),"",F622&amp;"|"&amp;A622)</f>
        <v/>
      </c>
      <c r="I622" s="63">
        <f>IF(AND(H622&lt;&gt;"",OR('Historia wózka'!$B$4="",F622='Historia wózka'!$B$4),A622&gt;='Historia wózka'!$B$5,A622&lt;='Historia wózka'!$B$6),A622+0.8+(5000-ROW())/10000000,0)</f>
        <v/>
      </c>
      <c r="J622" s="63">
        <f>Ustawienia!$B$9&amp;""</f>
        <v/>
      </c>
      <c r="K622" s="63">
        <f>IF(H622="","",COUNTIFS('Zgłoszenia'!$B$5:$B$504,F622,'Zgłoszenia'!$D$5:$D$504,"&gt;="&amp;A622,'Zgłoszenia'!$D$5:$D$504,"&lt;="&amp;(A622+1)))</f>
        <v/>
      </c>
      <c r="L622" s="63">
        <f>IF(OR(H622="",K622=0),"—",IF(ISNUMBER(MATCH(H622,'Zgłoszenia'!$S$5:$S$504,0)),RIGHT("0"&amp;DAY(A622),2)&amp;"."&amp;RIGHT("0"&amp;MONTH(A622),2)&amp;"."&amp;YEAR(A622)&amp;": "&amp;INDEX('Zgłoszenia'!$H$5:$H$504,MATCH(H622,'Zgłoszenia'!$S$5:$S$504,0)),RIGHT("0"&amp;DAY((A622+1)),2)&amp;"."&amp;RIGHT("0"&amp;MONTH((A622+1)),2)&amp;"."&amp;YEAR((A622+1))&amp;": "&amp;INDEX('Zgłoszenia'!$H$5:$H$504,MATCH(F622&amp;"|"&amp;(A622+1),'Zgłoszenia'!$S$5:$S$504,0)))&amp;IF(K622&gt;1," (+"&amp;(K622-1)&amp;")",""))</f>
        <v/>
      </c>
      <c r="M622" s="63" t="n">
        <v>8</v>
      </c>
      <c r="N622" s="2" t="n"/>
      <c r="O622" s="2" t="n"/>
    </row>
    <row r="623">
      <c r="A623" s="62">
        <f>IF('8'!$C$1="","",'8'!$C$1)</f>
        <v/>
      </c>
      <c r="B623" s="63">
        <f>Ustawienia!$A$10&amp;""</f>
        <v/>
      </c>
      <c r="C623" s="63">
        <f>Ustawienia!$A$14&amp;""</f>
        <v/>
      </c>
      <c r="D623" s="63" t="n">
        <v>1</v>
      </c>
      <c r="E623" s="63">
        <f>IF('8'!J6="","",TRIM('8'!J6&amp;""))</f>
        <v/>
      </c>
      <c r="F623" s="63">
        <f>IF('8'!K6="","",'8'!K6)</f>
        <v/>
      </c>
      <c r="G623" s="63">
        <f>'8'!L6&amp;""</f>
        <v/>
      </c>
      <c r="H623" s="63">
        <f>IF(OR(A623="",F623=""),"",F623&amp;"|"&amp;A623)</f>
        <v/>
      </c>
      <c r="I623" s="63">
        <f>IF(AND(H623&lt;&gt;"",OR('Historia wózka'!$B$4="",F623='Historia wózka'!$B$4),A623&gt;='Historia wózka'!$B$5,A623&lt;='Historia wózka'!$B$6),A623+0.7+(5000-ROW())/10000000,0)</f>
        <v/>
      </c>
      <c r="J623" s="63">
        <f>Ustawienia!$B$10&amp;""</f>
        <v/>
      </c>
      <c r="K623" s="63">
        <f>IF(H623="","",COUNTIFS('Zgłoszenia'!$B$5:$B$504,F623,'Zgłoszenia'!$D$5:$D$504,"&gt;="&amp;A623,'Zgłoszenia'!$D$5:$D$504,"&lt;="&amp;(A623+1)))</f>
        <v/>
      </c>
      <c r="L623" s="63">
        <f>IF(OR(H623="",K623=0),"—",IF(ISNUMBER(MATCH(H623,'Zgłoszenia'!$S$5:$S$504,0)),RIGHT("0"&amp;DAY(A623),2)&amp;"."&amp;RIGHT("0"&amp;MONTH(A623),2)&amp;"."&amp;YEAR(A623)&amp;": "&amp;INDEX('Zgłoszenia'!$H$5:$H$504,MATCH(H623,'Zgłoszenia'!$S$5:$S$504,0)),RIGHT("0"&amp;DAY((A623+1)),2)&amp;"."&amp;RIGHT("0"&amp;MONTH((A623+1)),2)&amp;"."&amp;YEAR((A623+1))&amp;": "&amp;INDEX('Zgłoszenia'!$H$5:$H$504,MATCH(F623&amp;"|"&amp;(A623+1),'Zgłoszenia'!$S$5:$S$504,0)))&amp;IF(K623&gt;1," (+"&amp;(K623-1)&amp;")",""))</f>
        <v/>
      </c>
      <c r="M623" s="63" t="n">
        <v>8</v>
      </c>
      <c r="N623" s="2" t="n"/>
      <c r="O623" s="2" t="n"/>
    </row>
    <row r="624">
      <c r="A624" s="62">
        <f>IF('8'!$C$1="","",'8'!$C$1)</f>
        <v/>
      </c>
      <c r="B624" s="63">
        <f>Ustawienia!$A$10&amp;""</f>
        <v/>
      </c>
      <c r="C624" s="63">
        <f>Ustawienia!$A$14&amp;""</f>
        <v/>
      </c>
      <c r="D624" s="63" t="n">
        <v>2</v>
      </c>
      <c r="E624" s="63">
        <f>IF('8'!J7="","",TRIM('8'!J7&amp;""))</f>
        <v/>
      </c>
      <c r="F624" s="63">
        <f>IF('8'!K7="","",'8'!K7)</f>
        <v/>
      </c>
      <c r="G624" s="63">
        <f>'8'!L7&amp;""</f>
        <v/>
      </c>
      <c r="H624" s="63">
        <f>IF(OR(A624="",F624=""),"",F624&amp;"|"&amp;A624)</f>
        <v/>
      </c>
      <c r="I624" s="63">
        <f>IF(AND(H624&lt;&gt;"",OR('Historia wózka'!$B$4="",F624='Historia wózka'!$B$4),A624&gt;='Historia wózka'!$B$5,A624&lt;='Historia wózka'!$B$6),A624+0.7+(5000-ROW())/10000000,0)</f>
        <v/>
      </c>
      <c r="J624" s="63">
        <f>Ustawienia!$B$10&amp;""</f>
        <v/>
      </c>
      <c r="K624" s="63">
        <f>IF(H624="","",COUNTIFS('Zgłoszenia'!$B$5:$B$504,F624,'Zgłoszenia'!$D$5:$D$504,"&gt;="&amp;A624,'Zgłoszenia'!$D$5:$D$504,"&lt;="&amp;(A624+1)))</f>
        <v/>
      </c>
      <c r="L624" s="63">
        <f>IF(OR(H624="",K624=0),"—",IF(ISNUMBER(MATCH(H624,'Zgłoszenia'!$S$5:$S$504,0)),RIGHT("0"&amp;DAY(A624),2)&amp;"."&amp;RIGHT("0"&amp;MONTH(A624),2)&amp;"."&amp;YEAR(A624)&amp;": "&amp;INDEX('Zgłoszenia'!$H$5:$H$504,MATCH(H624,'Zgłoszenia'!$S$5:$S$504,0)),RIGHT("0"&amp;DAY((A624+1)),2)&amp;"."&amp;RIGHT("0"&amp;MONTH((A624+1)),2)&amp;"."&amp;YEAR((A624+1))&amp;": "&amp;INDEX('Zgłoszenia'!$H$5:$H$504,MATCH(F624&amp;"|"&amp;(A624+1),'Zgłoszenia'!$S$5:$S$504,0)))&amp;IF(K624&gt;1," (+"&amp;(K624-1)&amp;")",""))</f>
        <v/>
      </c>
      <c r="M624" s="63" t="n">
        <v>8</v>
      </c>
      <c r="N624" s="2" t="n"/>
      <c r="O624" s="2" t="n"/>
    </row>
    <row r="625">
      <c r="A625" s="62">
        <f>IF('8'!$C$1="","",'8'!$C$1)</f>
        <v/>
      </c>
      <c r="B625" s="63">
        <f>Ustawienia!$A$10&amp;""</f>
        <v/>
      </c>
      <c r="C625" s="63">
        <f>Ustawienia!$A$14&amp;""</f>
        <v/>
      </c>
      <c r="D625" s="63" t="n">
        <v>3</v>
      </c>
      <c r="E625" s="63">
        <f>IF('8'!J8="","",TRIM('8'!J8&amp;""))</f>
        <v/>
      </c>
      <c r="F625" s="63">
        <f>IF('8'!K8="","",'8'!K8)</f>
        <v/>
      </c>
      <c r="G625" s="63">
        <f>'8'!L8&amp;""</f>
        <v/>
      </c>
      <c r="H625" s="63">
        <f>IF(OR(A625="",F625=""),"",F625&amp;"|"&amp;A625)</f>
        <v/>
      </c>
      <c r="I625" s="63">
        <f>IF(AND(H625&lt;&gt;"",OR('Historia wózka'!$B$4="",F625='Historia wózka'!$B$4),A625&gt;='Historia wózka'!$B$5,A625&lt;='Historia wózka'!$B$6),A625+0.7+(5000-ROW())/10000000,0)</f>
        <v/>
      </c>
      <c r="J625" s="63">
        <f>Ustawienia!$B$10&amp;""</f>
        <v/>
      </c>
      <c r="K625" s="63">
        <f>IF(H625="","",COUNTIFS('Zgłoszenia'!$B$5:$B$504,F625,'Zgłoszenia'!$D$5:$D$504,"&gt;="&amp;A625,'Zgłoszenia'!$D$5:$D$504,"&lt;="&amp;(A625+1)))</f>
        <v/>
      </c>
      <c r="L625" s="63">
        <f>IF(OR(H625="",K625=0),"—",IF(ISNUMBER(MATCH(H625,'Zgłoszenia'!$S$5:$S$504,0)),RIGHT("0"&amp;DAY(A625),2)&amp;"."&amp;RIGHT("0"&amp;MONTH(A625),2)&amp;"."&amp;YEAR(A625)&amp;": "&amp;INDEX('Zgłoszenia'!$H$5:$H$504,MATCH(H625,'Zgłoszenia'!$S$5:$S$504,0)),RIGHT("0"&amp;DAY((A625+1)),2)&amp;"."&amp;RIGHT("0"&amp;MONTH((A625+1)),2)&amp;"."&amp;YEAR((A625+1))&amp;": "&amp;INDEX('Zgłoszenia'!$H$5:$H$504,MATCH(F625&amp;"|"&amp;(A625+1),'Zgłoszenia'!$S$5:$S$504,0)))&amp;IF(K625&gt;1," (+"&amp;(K625-1)&amp;")",""))</f>
        <v/>
      </c>
      <c r="M625" s="63" t="n">
        <v>8</v>
      </c>
      <c r="N625" s="2" t="n"/>
      <c r="O625" s="2" t="n"/>
    </row>
    <row r="626">
      <c r="A626" s="62">
        <f>IF('8'!$C$1="","",'8'!$C$1)</f>
        <v/>
      </c>
      <c r="B626" s="63">
        <f>Ustawienia!$A$10&amp;""</f>
        <v/>
      </c>
      <c r="C626" s="63">
        <f>Ustawienia!$A$14&amp;""</f>
        <v/>
      </c>
      <c r="D626" s="63" t="n">
        <v>4</v>
      </c>
      <c r="E626" s="63">
        <f>IF('8'!J9="","",TRIM('8'!J9&amp;""))</f>
        <v/>
      </c>
      <c r="F626" s="63">
        <f>IF('8'!K9="","",'8'!K9)</f>
        <v/>
      </c>
      <c r="G626" s="63">
        <f>'8'!L9&amp;""</f>
        <v/>
      </c>
      <c r="H626" s="63">
        <f>IF(OR(A626="",F626=""),"",F626&amp;"|"&amp;A626)</f>
        <v/>
      </c>
      <c r="I626" s="63">
        <f>IF(AND(H626&lt;&gt;"",OR('Historia wózka'!$B$4="",F626='Historia wózka'!$B$4),A626&gt;='Historia wózka'!$B$5,A626&lt;='Historia wózka'!$B$6),A626+0.7+(5000-ROW())/10000000,0)</f>
        <v/>
      </c>
      <c r="J626" s="63">
        <f>Ustawienia!$B$10&amp;""</f>
        <v/>
      </c>
      <c r="K626" s="63">
        <f>IF(H626="","",COUNTIFS('Zgłoszenia'!$B$5:$B$504,F626,'Zgłoszenia'!$D$5:$D$504,"&gt;="&amp;A626,'Zgłoszenia'!$D$5:$D$504,"&lt;="&amp;(A626+1)))</f>
        <v/>
      </c>
      <c r="L626" s="63">
        <f>IF(OR(H626="",K626=0),"—",IF(ISNUMBER(MATCH(H626,'Zgłoszenia'!$S$5:$S$504,0)),RIGHT("0"&amp;DAY(A626),2)&amp;"."&amp;RIGHT("0"&amp;MONTH(A626),2)&amp;"."&amp;YEAR(A626)&amp;": "&amp;INDEX('Zgłoszenia'!$H$5:$H$504,MATCH(H626,'Zgłoszenia'!$S$5:$S$504,0)),RIGHT("0"&amp;DAY((A626+1)),2)&amp;"."&amp;RIGHT("0"&amp;MONTH((A626+1)),2)&amp;"."&amp;YEAR((A626+1))&amp;": "&amp;INDEX('Zgłoszenia'!$H$5:$H$504,MATCH(F626&amp;"|"&amp;(A626+1),'Zgłoszenia'!$S$5:$S$504,0)))&amp;IF(K626&gt;1," (+"&amp;(K626-1)&amp;")",""))</f>
        <v/>
      </c>
      <c r="M626" s="63" t="n">
        <v>8</v>
      </c>
      <c r="N626" s="2" t="n"/>
      <c r="O626" s="2" t="n"/>
    </row>
    <row r="627">
      <c r="A627" s="62">
        <f>IF('8'!$C$1="","",'8'!$C$1)</f>
        <v/>
      </c>
      <c r="B627" s="63">
        <f>Ustawienia!$A$10&amp;""</f>
        <v/>
      </c>
      <c r="C627" s="63">
        <f>Ustawienia!$A$14&amp;""</f>
        <v/>
      </c>
      <c r="D627" s="63" t="n">
        <v>5</v>
      </c>
      <c r="E627" s="63">
        <f>IF('8'!J10="","",TRIM('8'!J10&amp;""))</f>
        <v/>
      </c>
      <c r="F627" s="63">
        <f>IF('8'!K10="","",'8'!K10)</f>
        <v/>
      </c>
      <c r="G627" s="63">
        <f>'8'!L10&amp;""</f>
        <v/>
      </c>
      <c r="H627" s="63">
        <f>IF(OR(A627="",F627=""),"",F627&amp;"|"&amp;A627)</f>
        <v/>
      </c>
      <c r="I627" s="63">
        <f>IF(AND(H627&lt;&gt;"",OR('Historia wózka'!$B$4="",F627='Historia wózka'!$B$4),A627&gt;='Historia wózka'!$B$5,A627&lt;='Historia wózka'!$B$6),A627+0.7+(5000-ROW())/10000000,0)</f>
        <v/>
      </c>
      <c r="J627" s="63">
        <f>Ustawienia!$B$10&amp;""</f>
        <v/>
      </c>
      <c r="K627" s="63">
        <f>IF(H627="","",COUNTIFS('Zgłoszenia'!$B$5:$B$504,F627,'Zgłoszenia'!$D$5:$D$504,"&gt;="&amp;A627,'Zgłoszenia'!$D$5:$D$504,"&lt;="&amp;(A627+1)))</f>
        <v/>
      </c>
      <c r="L627" s="63">
        <f>IF(OR(H627="",K627=0),"—",IF(ISNUMBER(MATCH(H627,'Zgłoszenia'!$S$5:$S$504,0)),RIGHT("0"&amp;DAY(A627),2)&amp;"."&amp;RIGHT("0"&amp;MONTH(A627),2)&amp;"."&amp;YEAR(A627)&amp;": "&amp;INDEX('Zgłoszenia'!$H$5:$H$504,MATCH(H627,'Zgłoszenia'!$S$5:$S$504,0)),RIGHT("0"&amp;DAY((A627+1)),2)&amp;"."&amp;RIGHT("0"&amp;MONTH((A627+1)),2)&amp;"."&amp;YEAR((A627+1))&amp;": "&amp;INDEX('Zgłoszenia'!$H$5:$H$504,MATCH(F627&amp;"|"&amp;(A627+1),'Zgłoszenia'!$S$5:$S$504,0)))&amp;IF(K627&gt;1," (+"&amp;(K627-1)&amp;")",""))</f>
        <v/>
      </c>
      <c r="M627" s="63" t="n">
        <v>8</v>
      </c>
      <c r="N627" s="2" t="n"/>
      <c r="O627" s="2" t="n"/>
    </row>
    <row r="628">
      <c r="A628" s="62">
        <f>IF('8'!$C$1="","",'8'!$C$1)</f>
        <v/>
      </c>
      <c r="B628" s="63">
        <f>Ustawienia!$A$10&amp;""</f>
        <v/>
      </c>
      <c r="C628" s="63">
        <f>Ustawienia!$A$14&amp;""</f>
        <v/>
      </c>
      <c r="D628" s="63" t="n">
        <v>6</v>
      </c>
      <c r="E628" s="63">
        <f>IF('8'!J11="","",TRIM('8'!J11&amp;""))</f>
        <v/>
      </c>
      <c r="F628" s="63">
        <f>IF('8'!K11="","",'8'!K11)</f>
        <v/>
      </c>
      <c r="G628" s="63">
        <f>'8'!L11&amp;""</f>
        <v/>
      </c>
      <c r="H628" s="63">
        <f>IF(OR(A628="",F628=""),"",F628&amp;"|"&amp;A628)</f>
        <v/>
      </c>
      <c r="I628" s="63">
        <f>IF(AND(H628&lt;&gt;"",OR('Historia wózka'!$B$4="",F628='Historia wózka'!$B$4),A628&gt;='Historia wózka'!$B$5,A628&lt;='Historia wózka'!$B$6),A628+0.7+(5000-ROW())/10000000,0)</f>
        <v/>
      </c>
      <c r="J628" s="63">
        <f>Ustawienia!$B$10&amp;""</f>
        <v/>
      </c>
      <c r="K628" s="63">
        <f>IF(H628="","",COUNTIFS('Zgłoszenia'!$B$5:$B$504,F628,'Zgłoszenia'!$D$5:$D$504,"&gt;="&amp;A628,'Zgłoszenia'!$D$5:$D$504,"&lt;="&amp;(A628+1)))</f>
        <v/>
      </c>
      <c r="L628" s="63">
        <f>IF(OR(H628="",K628=0),"—",IF(ISNUMBER(MATCH(H628,'Zgłoszenia'!$S$5:$S$504,0)),RIGHT("0"&amp;DAY(A628),2)&amp;"."&amp;RIGHT("0"&amp;MONTH(A628),2)&amp;"."&amp;YEAR(A628)&amp;": "&amp;INDEX('Zgłoszenia'!$H$5:$H$504,MATCH(H628,'Zgłoszenia'!$S$5:$S$504,0)),RIGHT("0"&amp;DAY((A628+1)),2)&amp;"."&amp;RIGHT("0"&amp;MONTH((A628+1)),2)&amp;"."&amp;YEAR((A628+1))&amp;": "&amp;INDEX('Zgłoszenia'!$H$5:$H$504,MATCH(F628&amp;"|"&amp;(A628+1),'Zgłoszenia'!$S$5:$S$504,0)))&amp;IF(K628&gt;1," (+"&amp;(K628-1)&amp;")",""))</f>
        <v/>
      </c>
      <c r="M628" s="63" t="n">
        <v>8</v>
      </c>
      <c r="N628" s="2" t="n"/>
      <c r="O628" s="2" t="n"/>
    </row>
    <row r="629">
      <c r="A629" s="62">
        <f>IF('8'!$C$1="","",'8'!$C$1)</f>
        <v/>
      </c>
      <c r="B629" s="63">
        <f>Ustawienia!$A$10&amp;""</f>
        <v/>
      </c>
      <c r="C629" s="63">
        <f>Ustawienia!$A$15&amp;""</f>
        <v/>
      </c>
      <c r="D629" s="63" t="n">
        <v>1</v>
      </c>
      <c r="E629" s="63">
        <f>IF('8'!J13="","",TRIM('8'!J13&amp;""))</f>
        <v/>
      </c>
      <c r="F629" s="63">
        <f>IF('8'!K13="","",'8'!K13)</f>
        <v/>
      </c>
      <c r="G629" s="63">
        <f>'8'!L13&amp;""</f>
        <v/>
      </c>
      <c r="H629" s="63">
        <f>IF(OR(A629="",F629=""),"",F629&amp;"|"&amp;A629)</f>
        <v/>
      </c>
      <c r="I629" s="63">
        <f>IF(AND(H629&lt;&gt;"",OR('Historia wózka'!$B$4="",F629='Historia wózka'!$B$4),A629&gt;='Historia wózka'!$B$5,A629&lt;='Historia wózka'!$B$6),A629+0.7+(5000-ROW())/10000000,0)</f>
        <v/>
      </c>
      <c r="J629" s="63">
        <f>Ustawienia!$B$10&amp;""</f>
        <v/>
      </c>
      <c r="K629" s="63">
        <f>IF(H629="","",COUNTIFS('Zgłoszenia'!$B$5:$B$504,F629,'Zgłoszenia'!$D$5:$D$504,"&gt;="&amp;A629,'Zgłoszenia'!$D$5:$D$504,"&lt;="&amp;(A629+1)))</f>
        <v/>
      </c>
      <c r="L629" s="63">
        <f>IF(OR(H629="",K629=0),"—",IF(ISNUMBER(MATCH(H629,'Zgłoszenia'!$S$5:$S$504,0)),RIGHT("0"&amp;DAY(A629),2)&amp;"."&amp;RIGHT("0"&amp;MONTH(A629),2)&amp;"."&amp;YEAR(A629)&amp;": "&amp;INDEX('Zgłoszenia'!$H$5:$H$504,MATCH(H629,'Zgłoszenia'!$S$5:$S$504,0)),RIGHT("0"&amp;DAY((A629+1)),2)&amp;"."&amp;RIGHT("0"&amp;MONTH((A629+1)),2)&amp;"."&amp;YEAR((A629+1))&amp;": "&amp;INDEX('Zgłoszenia'!$H$5:$H$504,MATCH(F629&amp;"|"&amp;(A629+1),'Zgłoszenia'!$S$5:$S$504,0)))&amp;IF(K629&gt;1," (+"&amp;(K629-1)&amp;")",""))</f>
        <v/>
      </c>
      <c r="M629" s="63" t="n">
        <v>8</v>
      </c>
      <c r="N629" s="2" t="n"/>
      <c r="O629" s="2" t="n"/>
    </row>
    <row r="630">
      <c r="A630" s="62">
        <f>IF('8'!$C$1="","",'8'!$C$1)</f>
        <v/>
      </c>
      <c r="B630" s="63">
        <f>Ustawienia!$A$10&amp;""</f>
        <v/>
      </c>
      <c r="C630" s="63">
        <f>Ustawienia!$A$15&amp;""</f>
        <v/>
      </c>
      <c r="D630" s="63" t="n">
        <v>2</v>
      </c>
      <c r="E630" s="63">
        <f>IF('8'!J14="","",TRIM('8'!J14&amp;""))</f>
        <v/>
      </c>
      <c r="F630" s="63">
        <f>IF('8'!K14="","",'8'!K14)</f>
        <v/>
      </c>
      <c r="G630" s="63">
        <f>'8'!L14&amp;""</f>
        <v/>
      </c>
      <c r="H630" s="63">
        <f>IF(OR(A630="",F630=""),"",F630&amp;"|"&amp;A630)</f>
        <v/>
      </c>
      <c r="I630" s="63">
        <f>IF(AND(H630&lt;&gt;"",OR('Historia wózka'!$B$4="",F630='Historia wózka'!$B$4),A630&gt;='Historia wózka'!$B$5,A630&lt;='Historia wózka'!$B$6),A630+0.7+(5000-ROW())/10000000,0)</f>
        <v/>
      </c>
      <c r="J630" s="63">
        <f>Ustawienia!$B$10&amp;""</f>
        <v/>
      </c>
      <c r="K630" s="63">
        <f>IF(H630="","",COUNTIFS('Zgłoszenia'!$B$5:$B$504,F630,'Zgłoszenia'!$D$5:$D$504,"&gt;="&amp;A630,'Zgłoszenia'!$D$5:$D$504,"&lt;="&amp;(A630+1)))</f>
        <v/>
      </c>
      <c r="L630" s="63">
        <f>IF(OR(H630="",K630=0),"—",IF(ISNUMBER(MATCH(H630,'Zgłoszenia'!$S$5:$S$504,0)),RIGHT("0"&amp;DAY(A630),2)&amp;"."&amp;RIGHT("0"&amp;MONTH(A630),2)&amp;"."&amp;YEAR(A630)&amp;": "&amp;INDEX('Zgłoszenia'!$H$5:$H$504,MATCH(H630,'Zgłoszenia'!$S$5:$S$504,0)),RIGHT("0"&amp;DAY((A630+1)),2)&amp;"."&amp;RIGHT("0"&amp;MONTH((A630+1)),2)&amp;"."&amp;YEAR((A630+1))&amp;": "&amp;INDEX('Zgłoszenia'!$H$5:$H$504,MATCH(F630&amp;"|"&amp;(A630+1),'Zgłoszenia'!$S$5:$S$504,0)))&amp;IF(K630&gt;1," (+"&amp;(K630-1)&amp;")",""))</f>
        <v/>
      </c>
      <c r="M630" s="63" t="n">
        <v>8</v>
      </c>
      <c r="N630" s="2" t="n"/>
      <c r="O630" s="2" t="n"/>
    </row>
    <row r="631">
      <c r="A631" s="62">
        <f>IF('8'!$C$1="","",'8'!$C$1)</f>
        <v/>
      </c>
      <c r="B631" s="63">
        <f>Ustawienia!$A$10&amp;""</f>
        <v/>
      </c>
      <c r="C631" s="63">
        <f>Ustawienia!$A$15&amp;""</f>
        <v/>
      </c>
      <c r="D631" s="63" t="n">
        <v>3</v>
      </c>
      <c r="E631" s="63">
        <f>IF('8'!J15="","",TRIM('8'!J15&amp;""))</f>
        <v/>
      </c>
      <c r="F631" s="63">
        <f>IF('8'!K15="","",'8'!K15)</f>
        <v/>
      </c>
      <c r="G631" s="63">
        <f>'8'!L15&amp;""</f>
        <v/>
      </c>
      <c r="H631" s="63">
        <f>IF(OR(A631="",F631=""),"",F631&amp;"|"&amp;A631)</f>
        <v/>
      </c>
      <c r="I631" s="63">
        <f>IF(AND(H631&lt;&gt;"",OR('Historia wózka'!$B$4="",F631='Historia wózka'!$B$4),A631&gt;='Historia wózka'!$B$5,A631&lt;='Historia wózka'!$B$6),A631+0.7+(5000-ROW())/10000000,0)</f>
        <v/>
      </c>
      <c r="J631" s="63">
        <f>Ustawienia!$B$10&amp;""</f>
        <v/>
      </c>
      <c r="K631" s="63">
        <f>IF(H631="","",COUNTIFS('Zgłoszenia'!$B$5:$B$504,F631,'Zgłoszenia'!$D$5:$D$504,"&gt;="&amp;A631,'Zgłoszenia'!$D$5:$D$504,"&lt;="&amp;(A631+1)))</f>
        <v/>
      </c>
      <c r="L631" s="63">
        <f>IF(OR(H631="",K631=0),"—",IF(ISNUMBER(MATCH(H631,'Zgłoszenia'!$S$5:$S$504,0)),RIGHT("0"&amp;DAY(A631),2)&amp;"."&amp;RIGHT("0"&amp;MONTH(A631),2)&amp;"."&amp;YEAR(A631)&amp;": "&amp;INDEX('Zgłoszenia'!$H$5:$H$504,MATCH(H631,'Zgłoszenia'!$S$5:$S$504,0)),RIGHT("0"&amp;DAY((A631+1)),2)&amp;"."&amp;RIGHT("0"&amp;MONTH((A631+1)),2)&amp;"."&amp;YEAR((A631+1))&amp;": "&amp;INDEX('Zgłoszenia'!$H$5:$H$504,MATCH(F631&amp;"|"&amp;(A631+1),'Zgłoszenia'!$S$5:$S$504,0)))&amp;IF(K631&gt;1," (+"&amp;(K631-1)&amp;")",""))</f>
        <v/>
      </c>
      <c r="M631" s="63" t="n">
        <v>8</v>
      </c>
      <c r="N631" s="2" t="n"/>
      <c r="O631" s="2" t="n"/>
    </row>
    <row r="632">
      <c r="A632" s="62">
        <f>IF('8'!$C$1="","",'8'!$C$1)</f>
        <v/>
      </c>
      <c r="B632" s="63">
        <f>Ustawienia!$A$10&amp;""</f>
        <v/>
      </c>
      <c r="C632" s="63">
        <f>Ustawienia!$A$15&amp;""</f>
        <v/>
      </c>
      <c r="D632" s="63" t="n">
        <v>4</v>
      </c>
      <c r="E632" s="63">
        <f>IF('8'!J16="","",TRIM('8'!J16&amp;""))</f>
        <v/>
      </c>
      <c r="F632" s="63">
        <f>IF('8'!K16="","",'8'!K16)</f>
        <v/>
      </c>
      <c r="G632" s="63">
        <f>'8'!L16&amp;""</f>
        <v/>
      </c>
      <c r="H632" s="63">
        <f>IF(OR(A632="",F632=""),"",F632&amp;"|"&amp;A632)</f>
        <v/>
      </c>
      <c r="I632" s="63">
        <f>IF(AND(H632&lt;&gt;"",OR('Historia wózka'!$B$4="",F632='Historia wózka'!$B$4),A632&gt;='Historia wózka'!$B$5,A632&lt;='Historia wózka'!$B$6),A632+0.7+(5000-ROW())/10000000,0)</f>
        <v/>
      </c>
      <c r="J632" s="63">
        <f>Ustawienia!$B$10&amp;""</f>
        <v/>
      </c>
      <c r="K632" s="63">
        <f>IF(H632="","",COUNTIFS('Zgłoszenia'!$B$5:$B$504,F632,'Zgłoszenia'!$D$5:$D$504,"&gt;="&amp;A632,'Zgłoszenia'!$D$5:$D$504,"&lt;="&amp;(A632+1)))</f>
        <v/>
      </c>
      <c r="L632" s="63">
        <f>IF(OR(H632="",K632=0),"—",IF(ISNUMBER(MATCH(H632,'Zgłoszenia'!$S$5:$S$504,0)),RIGHT("0"&amp;DAY(A632),2)&amp;"."&amp;RIGHT("0"&amp;MONTH(A632),2)&amp;"."&amp;YEAR(A632)&amp;": "&amp;INDEX('Zgłoszenia'!$H$5:$H$504,MATCH(H632,'Zgłoszenia'!$S$5:$S$504,0)),RIGHT("0"&amp;DAY((A632+1)),2)&amp;"."&amp;RIGHT("0"&amp;MONTH((A632+1)),2)&amp;"."&amp;YEAR((A632+1))&amp;": "&amp;INDEX('Zgłoszenia'!$H$5:$H$504,MATCH(F632&amp;"|"&amp;(A632+1),'Zgłoszenia'!$S$5:$S$504,0)))&amp;IF(K632&gt;1," (+"&amp;(K632-1)&amp;")",""))</f>
        <v/>
      </c>
      <c r="M632" s="63" t="n">
        <v>8</v>
      </c>
      <c r="N632" s="2" t="n"/>
      <c r="O632" s="2" t="n"/>
    </row>
    <row r="633">
      <c r="A633" s="62">
        <f>IF('8'!$C$1="","",'8'!$C$1)</f>
        <v/>
      </c>
      <c r="B633" s="63">
        <f>Ustawienia!$A$10&amp;""</f>
        <v/>
      </c>
      <c r="C633" s="63">
        <f>Ustawienia!$A$15&amp;""</f>
        <v/>
      </c>
      <c r="D633" s="63" t="n">
        <v>5</v>
      </c>
      <c r="E633" s="63">
        <f>IF('8'!J17="","",TRIM('8'!J17&amp;""))</f>
        <v/>
      </c>
      <c r="F633" s="63">
        <f>IF('8'!K17="","",'8'!K17)</f>
        <v/>
      </c>
      <c r="G633" s="63">
        <f>'8'!L17&amp;""</f>
        <v/>
      </c>
      <c r="H633" s="63">
        <f>IF(OR(A633="",F633=""),"",F633&amp;"|"&amp;A633)</f>
        <v/>
      </c>
      <c r="I633" s="63">
        <f>IF(AND(H633&lt;&gt;"",OR('Historia wózka'!$B$4="",F633='Historia wózka'!$B$4),A633&gt;='Historia wózka'!$B$5,A633&lt;='Historia wózka'!$B$6),A633+0.7+(5000-ROW())/10000000,0)</f>
        <v/>
      </c>
      <c r="J633" s="63">
        <f>Ustawienia!$B$10&amp;""</f>
        <v/>
      </c>
      <c r="K633" s="63">
        <f>IF(H633="","",COUNTIFS('Zgłoszenia'!$B$5:$B$504,F633,'Zgłoszenia'!$D$5:$D$504,"&gt;="&amp;A633,'Zgłoszenia'!$D$5:$D$504,"&lt;="&amp;(A633+1)))</f>
        <v/>
      </c>
      <c r="L633" s="63">
        <f>IF(OR(H633="",K633=0),"—",IF(ISNUMBER(MATCH(H633,'Zgłoszenia'!$S$5:$S$504,0)),RIGHT("0"&amp;DAY(A633),2)&amp;"."&amp;RIGHT("0"&amp;MONTH(A633),2)&amp;"."&amp;YEAR(A633)&amp;": "&amp;INDEX('Zgłoszenia'!$H$5:$H$504,MATCH(H633,'Zgłoszenia'!$S$5:$S$504,0)),RIGHT("0"&amp;DAY((A633+1)),2)&amp;"."&amp;RIGHT("0"&amp;MONTH((A633+1)),2)&amp;"."&amp;YEAR((A633+1))&amp;": "&amp;INDEX('Zgłoszenia'!$H$5:$H$504,MATCH(F633&amp;"|"&amp;(A633+1),'Zgłoszenia'!$S$5:$S$504,0)))&amp;IF(K633&gt;1," (+"&amp;(K633-1)&amp;")",""))</f>
        <v/>
      </c>
      <c r="M633" s="63" t="n">
        <v>8</v>
      </c>
      <c r="N633" s="2" t="n"/>
      <c r="O633" s="2" t="n"/>
    </row>
    <row r="634">
      <c r="A634" s="62">
        <f>IF('8'!$C$1="","",'8'!$C$1)</f>
        <v/>
      </c>
      <c r="B634" s="63">
        <f>Ustawienia!$A$10&amp;""</f>
        <v/>
      </c>
      <c r="C634" s="63">
        <f>Ustawienia!$A$15&amp;""</f>
        <v/>
      </c>
      <c r="D634" s="63" t="n">
        <v>6</v>
      </c>
      <c r="E634" s="63">
        <f>IF('8'!J18="","",TRIM('8'!J18&amp;""))</f>
        <v/>
      </c>
      <c r="F634" s="63">
        <f>IF('8'!K18="","",'8'!K18)</f>
        <v/>
      </c>
      <c r="G634" s="63">
        <f>'8'!L18&amp;""</f>
        <v/>
      </c>
      <c r="H634" s="63">
        <f>IF(OR(A634="",F634=""),"",F634&amp;"|"&amp;A634)</f>
        <v/>
      </c>
      <c r="I634" s="63">
        <f>IF(AND(H634&lt;&gt;"",OR('Historia wózka'!$B$4="",F634='Historia wózka'!$B$4),A634&gt;='Historia wózka'!$B$5,A634&lt;='Historia wózka'!$B$6),A634+0.7+(5000-ROW())/10000000,0)</f>
        <v/>
      </c>
      <c r="J634" s="63">
        <f>Ustawienia!$B$10&amp;""</f>
        <v/>
      </c>
      <c r="K634" s="63">
        <f>IF(H634="","",COUNTIFS('Zgłoszenia'!$B$5:$B$504,F634,'Zgłoszenia'!$D$5:$D$504,"&gt;="&amp;A634,'Zgłoszenia'!$D$5:$D$504,"&lt;="&amp;(A634+1)))</f>
        <v/>
      </c>
      <c r="L634" s="63">
        <f>IF(OR(H634="",K634=0),"—",IF(ISNUMBER(MATCH(H634,'Zgłoszenia'!$S$5:$S$504,0)),RIGHT("0"&amp;DAY(A634),2)&amp;"."&amp;RIGHT("0"&amp;MONTH(A634),2)&amp;"."&amp;YEAR(A634)&amp;": "&amp;INDEX('Zgłoszenia'!$H$5:$H$504,MATCH(H634,'Zgłoszenia'!$S$5:$S$504,0)),RIGHT("0"&amp;DAY((A634+1)),2)&amp;"."&amp;RIGHT("0"&amp;MONTH((A634+1)),2)&amp;"."&amp;YEAR((A634+1))&amp;": "&amp;INDEX('Zgłoszenia'!$H$5:$H$504,MATCH(F634&amp;"|"&amp;(A634+1),'Zgłoszenia'!$S$5:$S$504,0)))&amp;IF(K634&gt;1," (+"&amp;(K634-1)&amp;")",""))</f>
        <v/>
      </c>
      <c r="M634" s="63" t="n">
        <v>8</v>
      </c>
      <c r="N634" s="2" t="n"/>
      <c r="O634" s="2" t="n"/>
    </row>
    <row r="635">
      <c r="A635" s="62">
        <f>IF('8'!$C$1="","",'8'!$C$1)</f>
        <v/>
      </c>
      <c r="B635" s="63">
        <f>Ustawienia!$A$10&amp;""</f>
        <v/>
      </c>
      <c r="C635" s="63">
        <f>Ustawienia!$A$15&amp;""</f>
        <v/>
      </c>
      <c r="D635" s="63" t="n">
        <v>7</v>
      </c>
      <c r="E635" s="63">
        <f>IF('8'!J19="","",TRIM('8'!J19&amp;""))</f>
        <v/>
      </c>
      <c r="F635" s="63">
        <f>IF('8'!K19="","",'8'!K19)</f>
        <v/>
      </c>
      <c r="G635" s="63">
        <f>'8'!L19&amp;""</f>
        <v/>
      </c>
      <c r="H635" s="63">
        <f>IF(OR(A635="",F635=""),"",F635&amp;"|"&amp;A635)</f>
        <v/>
      </c>
      <c r="I635" s="63">
        <f>IF(AND(H635&lt;&gt;"",OR('Historia wózka'!$B$4="",F635='Historia wózka'!$B$4),A635&gt;='Historia wózka'!$B$5,A635&lt;='Historia wózka'!$B$6),A635+0.7+(5000-ROW())/10000000,0)</f>
        <v/>
      </c>
      <c r="J635" s="63">
        <f>Ustawienia!$B$10&amp;""</f>
        <v/>
      </c>
      <c r="K635" s="63">
        <f>IF(H635="","",COUNTIFS('Zgłoszenia'!$B$5:$B$504,F635,'Zgłoszenia'!$D$5:$D$504,"&gt;="&amp;A635,'Zgłoszenia'!$D$5:$D$504,"&lt;="&amp;(A635+1)))</f>
        <v/>
      </c>
      <c r="L635" s="63">
        <f>IF(OR(H635="",K635=0),"—",IF(ISNUMBER(MATCH(H635,'Zgłoszenia'!$S$5:$S$504,0)),RIGHT("0"&amp;DAY(A635),2)&amp;"."&amp;RIGHT("0"&amp;MONTH(A635),2)&amp;"."&amp;YEAR(A635)&amp;": "&amp;INDEX('Zgłoszenia'!$H$5:$H$504,MATCH(H635,'Zgłoszenia'!$S$5:$S$504,0)),RIGHT("0"&amp;DAY((A635+1)),2)&amp;"."&amp;RIGHT("0"&amp;MONTH((A635+1)),2)&amp;"."&amp;YEAR((A635+1))&amp;": "&amp;INDEX('Zgłoszenia'!$H$5:$H$504,MATCH(F635&amp;"|"&amp;(A635+1),'Zgłoszenia'!$S$5:$S$504,0)))&amp;IF(K635&gt;1," (+"&amp;(K635-1)&amp;")",""))</f>
        <v/>
      </c>
      <c r="M635" s="63" t="n">
        <v>8</v>
      </c>
      <c r="N635" s="2" t="n"/>
      <c r="O635" s="2" t="n"/>
    </row>
    <row r="636">
      <c r="A636" s="62">
        <f>IF('8'!$C$1="","",'8'!$C$1)</f>
        <v/>
      </c>
      <c r="B636" s="63">
        <f>Ustawienia!$A$10&amp;""</f>
        <v/>
      </c>
      <c r="C636" s="63">
        <f>Ustawienia!$A$15&amp;""</f>
        <v/>
      </c>
      <c r="D636" s="63" t="n">
        <v>8</v>
      </c>
      <c r="E636" s="63">
        <f>IF('8'!J20="","",TRIM('8'!J20&amp;""))</f>
        <v/>
      </c>
      <c r="F636" s="63">
        <f>IF('8'!K20="","",'8'!K20)</f>
        <v/>
      </c>
      <c r="G636" s="63">
        <f>'8'!L20&amp;""</f>
        <v/>
      </c>
      <c r="H636" s="63">
        <f>IF(OR(A636="",F636=""),"",F636&amp;"|"&amp;A636)</f>
        <v/>
      </c>
      <c r="I636" s="63">
        <f>IF(AND(H636&lt;&gt;"",OR('Historia wózka'!$B$4="",F636='Historia wózka'!$B$4),A636&gt;='Historia wózka'!$B$5,A636&lt;='Historia wózka'!$B$6),A636+0.7+(5000-ROW())/10000000,0)</f>
        <v/>
      </c>
      <c r="J636" s="63">
        <f>Ustawienia!$B$10&amp;""</f>
        <v/>
      </c>
      <c r="K636" s="63">
        <f>IF(H636="","",COUNTIFS('Zgłoszenia'!$B$5:$B$504,F636,'Zgłoszenia'!$D$5:$D$504,"&gt;="&amp;A636,'Zgłoszenia'!$D$5:$D$504,"&lt;="&amp;(A636+1)))</f>
        <v/>
      </c>
      <c r="L636" s="63">
        <f>IF(OR(H636="",K636=0),"—",IF(ISNUMBER(MATCH(H636,'Zgłoszenia'!$S$5:$S$504,0)),RIGHT("0"&amp;DAY(A636),2)&amp;"."&amp;RIGHT("0"&amp;MONTH(A636),2)&amp;"."&amp;YEAR(A636)&amp;": "&amp;INDEX('Zgłoszenia'!$H$5:$H$504,MATCH(H636,'Zgłoszenia'!$S$5:$S$504,0)),RIGHT("0"&amp;DAY((A636+1)),2)&amp;"."&amp;RIGHT("0"&amp;MONTH((A636+1)),2)&amp;"."&amp;YEAR((A636+1))&amp;": "&amp;INDEX('Zgłoszenia'!$H$5:$H$504,MATCH(F636&amp;"|"&amp;(A636+1),'Zgłoszenia'!$S$5:$S$504,0)))&amp;IF(K636&gt;1," (+"&amp;(K636-1)&amp;")",""))</f>
        <v/>
      </c>
      <c r="M636" s="63" t="n">
        <v>8</v>
      </c>
      <c r="N636" s="2" t="n"/>
      <c r="O636" s="2" t="n"/>
    </row>
    <row r="637">
      <c r="A637" s="62">
        <f>IF('8'!$C$1="","",'8'!$C$1)</f>
        <v/>
      </c>
      <c r="B637" s="63">
        <f>Ustawienia!$A$10&amp;""</f>
        <v/>
      </c>
      <c r="C637" s="63">
        <f>Ustawienia!$A$16&amp;""</f>
        <v/>
      </c>
      <c r="D637" s="63" t="n">
        <v>1</v>
      </c>
      <c r="E637" s="63">
        <f>IF('8'!J22="","",TRIM('8'!J22&amp;""))</f>
        <v/>
      </c>
      <c r="F637" s="63">
        <f>IF('8'!K22="","",'8'!K22)</f>
        <v/>
      </c>
      <c r="G637" s="63">
        <f>'8'!L22&amp;""</f>
        <v/>
      </c>
      <c r="H637" s="63">
        <f>IF(OR(A637="",F637=""),"",F637&amp;"|"&amp;A637)</f>
        <v/>
      </c>
      <c r="I637" s="63">
        <f>IF(AND(H637&lt;&gt;"",OR('Historia wózka'!$B$4="",F637='Historia wózka'!$B$4),A637&gt;='Historia wózka'!$B$5,A637&lt;='Historia wózka'!$B$6),A637+0.7+(5000-ROW())/10000000,0)</f>
        <v/>
      </c>
      <c r="J637" s="63">
        <f>Ustawienia!$B$10&amp;""</f>
        <v/>
      </c>
      <c r="K637" s="63">
        <f>IF(H637="","",COUNTIFS('Zgłoszenia'!$B$5:$B$504,F637,'Zgłoszenia'!$D$5:$D$504,"&gt;="&amp;A637,'Zgłoszenia'!$D$5:$D$504,"&lt;="&amp;(A637+1)))</f>
        <v/>
      </c>
      <c r="L637" s="63">
        <f>IF(OR(H637="",K637=0),"—",IF(ISNUMBER(MATCH(H637,'Zgłoszenia'!$S$5:$S$504,0)),RIGHT("0"&amp;DAY(A637),2)&amp;"."&amp;RIGHT("0"&amp;MONTH(A637),2)&amp;"."&amp;YEAR(A637)&amp;": "&amp;INDEX('Zgłoszenia'!$H$5:$H$504,MATCH(H637,'Zgłoszenia'!$S$5:$S$504,0)),RIGHT("0"&amp;DAY((A637+1)),2)&amp;"."&amp;RIGHT("0"&amp;MONTH((A637+1)),2)&amp;"."&amp;YEAR((A637+1))&amp;": "&amp;INDEX('Zgłoszenia'!$H$5:$H$504,MATCH(F637&amp;"|"&amp;(A637+1),'Zgłoszenia'!$S$5:$S$504,0)))&amp;IF(K637&gt;1," (+"&amp;(K637-1)&amp;")",""))</f>
        <v/>
      </c>
      <c r="M637" s="63" t="n">
        <v>8</v>
      </c>
      <c r="N637" s="2" t="n"/>
      <c r="O637" s="2" t="n"/>
    </row>
    <row r="638">
      <c r="A638" s="62">
        <f>IF('8'!$C$1="","",'8'!$C$1)</f>
        <v/>
      </c>
      <c r="B638" s="63">
        <f>Ustawienia!$A$10&amp;""</f>
        <v/>
      </c>
      <c r="C638" s="63">
        <f>Ustawienia!$A$16&amp;""</f>
        <v/>
      </c>
      <c r="D638" s="63" t="n">
        <v>2</v>
      </c>
      <c r="E638" s="63">
        <f>IF('8'!J23="","",TRIM('8'!J23&amp;""))</f>
        <v/>
      </c>
      <c r="F638" s="63">
        <f>IF('8'!K23="","",'8'!K23)</f>
        <v/>
      </c>
      <c r="G638" s="63">
        <f>'8'!L23&amp;""</f>
        <v/>
      </c>
      <c r="H638" s="63">
        <f>IF(OR(A638="",F638=""),"",F638&amp;"|"&amp;A638)</f>
        <v/>
      </c>
      <c r="I638" s="63">
        <f>IF(AND(H638&lt;&gt;"",OR('Historia wózka'!$B$4="",F638='Historia wózka'!$B$4),A638&gt;='Historia wózka'!$B$5,A638&lt;='Historia wózka'!$B$6),A638+0.7+(5000-ROW())/10000000,0)</f>
        <v/>
      </c>
      <c r="J638" s="63">
        <f>Ustawienia!$B$10&amp;""</f>
        <v/>
      </c>
      <c r="K638" s="63">
        <f>IF(H638="","",COUNTIFS('Zgłoszenia'!$B$5:$B$504,F638,'Zgłoszenia'!$D$5:$D$504,"&gt;="&amp;A638,'Zgłoszenia'!$D$5:$D$504,"&lt;="&amp;(A638+1)))</f>
        <v/>
      </c>
      <c r="L638" s="63">
        <f>IF(OR(H638="",K638=0),"—",IF(ISNUMBER(MATCH(H638,'Zgłoszenia'!$S$5:$S$504,0)),RIGHT("0"&amp;DAY(A638),2)&amp;"."&amp;RIGHT("0"&amp;MONTH(A638),2)&amp;"."&amp;YEAR(A638)&amp;": "&amp;INDEX('Zgłoszenia'!$H$5:$H$504,MATCH(H638,'Zgłoszenia'!$S$5:$S$504,0)),RIGHT("0"&amp;DAY((A638+1)),2)&amp;"."&amp;RIGHT("0"&amp;MONTH((A638+1)),2)&amp;"."&amp;YEAR((A638+1))&amp;": "&amp;INDEX('Zgłoszenia'!$H$5:$H$504,MATCH(F638&amp;"|"&amp;(A638+1),'Zgłoszenia'!$S$5:$S$504,0)))&amp;IF(K638&gt;1," (+"&amp;(K638-1)&amp;")",""))</f>
        <v/>
      </c>
      <c r="M638" s="63" t="n">
        <v>8</v>
      </c>
      <c r="N638" s="2" t="n"/>
      <c r="O638" s="2" t="n"/>
    </row>
    <row r="639">
      <c r="A639" s="62">
        <f>IF('8'!$C$1="","",'8'!$C$1)</f>
        <v/>
      </c>
      <c r="B639" s="63">
        <f>Ustawienia!$A$10&amp;""</f>
        <v/>
      </c>
      <c r="C639" s="63">
        <f>Ustawienia!$A$16&amp;""</f>
        <v/>
      </c>
      <c r="D639" s="63" t="n">
        <v>3</v>
      </c>
      <c r="E639" s="63">
        <f>IF('8'!J24="","",TRIM('8'!J24&amp;""))</f>
        <v/>
      </c>
      <c r="F639" s="63">
        <f>IF('8'!K24="","",'8'!K24)</f>
        <v/>
      </c>
      <c r="G639" s="63">
        <f>'8'!L24&amp;""</f>
        <v/>
      </c>
      <c r="H639" s="63">
        <f>IF(OR(A639="",F639=""),"",F639&amp;"|"&amp;A639)</f>
        <v/>
      </c>
      <c r="I639" s="63">
        <f>IF(AND(H639&lt;&gt;"",OR('Historia wózka'!$B$4="",F639='Historia wózka'!$B$4),A639&gt;='Historia wózka'!$B$5,A639&lt;='Historia wózka'!$B$6),A639+0.7+(5000-ROW())/10000000,0)</f>
        <v/>
      </c>
      <c r="J639" s="63">
        <f>Ustawienia!$B$10&amp;""</f>
        <v/>
      </c>
      <c r="K639" s="63">
        <f>IF(H639="","",COUNTIFS('Zgłoszenia'!$B$5:$B$504,F639,'Zgłoszenia'!$D$5:$D$504,"&gt;="&amp;A639,'Zgłoszenia'!$D$5:$D$504,"&lt;="&amp;(A639+1)))</f>
        <v/>
      </c>
      <c r="L639" s="63">
        <f>IF(OR(H639="",K639=0),"—",IF(ISNUMBER(MATCH(H639,'Zgłoszenia'!$S$5:$S$504,0)),RIGHT("0"&amp;DAY(A639),2)&amp;"."&amp;RIGHT("0"&amp;MONTH(A639),2)&amp;"."&amp;YEAR(A639)&amp;": "&amp;INDEX('Zgłoszenia'!$H$5:$H$504,MATCH(H639,'Zgłoszenia'!$S$5:$S$504,0)),RIGHT("0"&amp;DAY((A639+1)),2)&amp;"."&amp;RIGHT("0"&amp;MONTH((A639+1)),2)&amp;"."&amp;YEAR((A639+1))&amp;": "&amp;INDEX('Zgłoszenia'!$H$5:$H$504,MATCH(F639&amp;"|"&amp;(A639+1),'Zgłoszenia'!$S$5:$S$504,0)))&amp;IF(K639&gt;1," (+"&amp;(K639-1)&amp;")",""))</f>
        <v/>
      </c>
      <c r="M639" s="63" t="n">
        <v>8</v>
      </c>
      <c r="N639" s="2" t="n"/>
      <c r="O639" s="2" t="n"/>
    </row>
    <row r="640">
      <c r="A640" s="62">
        <f>IF('8'!$C$1="","",'8'!$C$1)</f>
        <v/>
      </c>
      <c r="B640" s="63">
        <f>Ustawienia!$A$10&amp;""</f>
        <v/>
      </c>
      <c r="C640" s="63">
        <f>Ustawienia!$A$16&amp;""</f>
        <v/>
      </c>
      <c r="D640" s="63" t="n">
        <v>4</v>
      </c>
      <c r="E640" s="63">
        <f>IF('8'!J25="","",TRIM('8'!J25&amp;""))</f>
        <v/>
      </c>
      <c r="F640" s="63">
        <f>IF('8'!K25="","",'8'!K25)</f>
        <v/>
      </c>
      <c r="G640" s="63">
        <f>'8'!L25&amp;""</f>
        <v/>
      </c>
      <c r="H640" s="63">
        <f>IF(OR(A640="",F640=""),"",F640&amp;"|"&amp;A640)</f>
        <v/>
      </c>
      <c r="I640" s="63">
        <f>IF(AND(H640&lt;&gt;"",OR('Historia wózka'!$B$4="",F640='Historia wózka'!$B$4),A640&gt;='Historia wózka'!$B$5,A640&lt;='Historia wózka'!$B$6),A640+0.7+(5000-ROW())/10000000,0)</f>
        <v/>
      </c>
      <c r="J640" s="63">
        <f>Ustawienia!$B$10&amp;""</f>
        <v/>
      </c>
      <c r="K640" s="63">
        <f>IF(H640="","",COUNTIFS('Zgłoszenia'!$B$5:$B$504,F640,'Zgłoszenia'!$D$5:$D$504,"&gt;="&amp;A640,'Zgłoszenia'!$D$5:$D$504,"&lt;="&amp;(A640+1)))</f>
        <v/>
      </c>
      <c r="L640" s="63">
        <f>IF(OR(H640="",K640=0),"—",IF(ISNUMBER(MATCH(H640,'Zgłoszenia'!$S$5:$S$504,0)),RIGHT("0"&amp;DAY(A640),2)&amp;"."&amp;RIGHT("0"&amp;MONTH(A640),2)&amp;"."&amp;YEAR(A640)&amp;": "&amp;INDEX('Zgłoszenia'!$H$5:$H$504,MATCH(H640,'Zgłoszenia'!$S$5:$S$504,0)),RIGHT("0"&amp;DAY((A640+1)),2)&amp;"."&amp;RIGHT("0"&amp;MONTH((A640+1)),2)&amp;"."&amp;YEAR((A640+1))&amp;": "&amp;INDEX('Zgłoszenia'!$H$5:$H$504,MATCH(F640&amp;"|"&amp;(A640+1),'Zgłoszenia'!$S$5:$S$504,0)))&amp;IF(K640&gt;1," (+"&amp;(K640-1)&amp;")",""))</f>
        <v/>
      </c>
      <c r="M640" s="63" t="n">
        <v>8</v>
      </c>
      <c r="N640" s="2" t="n"/>
      <c r="O640" s="2" t="n"/>
    </row>
    <row r="641">
      <c r="A641" s="62">
        <f>IF('8'!$C$1="","",'8'!$C$1)</f>
        <v/>
      </c>
      <c r="B641" s="63">
        <f>Ustawienia!$A$10&amp;""</f>
        <v/>
      </c>
      <c r="C641" s="63">
        <f>Ustawienia!$A$17&amp;""</f>
        <v/>
      </c>
      <c r="D641" s="63" t="n">
        <v>1</v>
      </c>
      <c r="E641" s="63">
        <f>IF('8'!J27="","",TRIM('8'!J27&amp;""))</f>
        <v/>
      </c>
      <c r="F641" s="63">
        <f>IF('8'!K27="","",'8'!K27)</f>
        <v/>
      </c>
      <c r="G641" s="63">
        <f>'8'!L27&amp;""</f>
        <v/>
      </c>
      <c r="H641" s="63">
        <f>IF(OR(A641="",F641=""),"",F641&amp;"|"&amp;A641)</f>
        <v/>
      </c>
      <c r="I641" s="63">
        <f>IF(AND(H641&lt;&gt;"",OR('Historia wózka'!$B$4="",F641='Historia wózka'!$B$4),A641&gt;='Historia wózka'!$B$5,A641&lt;='Historia wózka'!$B$6),A641+0.7+(5000-ROW())/10000000,0)</f>
        <v/>
      </c>
      <c r="J641" s="63">
        <f>Ustawienia!$B$10&amp;""</f>
        <v/>
      </c>
      <c r="K641" s="63">
        <f>IF(H641="","",COUNTIFS('Zgłoszenia'!$B$5:$B$504,F641,'Zgłoszenia'!$D$5:$D$504,"&gt;="&amp;A641,'Zgłoszenia'!$D$5:$D$504,"&lt;="&amp;(A641+1)))</f>
        <v/>
      </c>
      <c r="L641" s="63">
        <f>IF(OR(H641="",K641=0),"—",IF(ISNUMBER(MATCH(H641,'Zgłoszenia'!$S$5:$S$504,0)),RIGHT("0"&amp;DAY(A641),2)&amp;"."&amp;RIGHT("0"&amp;MONTH(A641),2)&amp;"."&amp;YEAR(A641)&amp;": "&amp;INDEX('Zgłoszenia'!$H$5:$H$504,MATCH(H641,'Zgłoszenia'!$S$5:$S$504,0)),RIGHT("0"&amp;DAY((A641+1)),2)&amp;"."&amp;RIGHT("0"&amp;MONTH((A641+1)),2)&amp;"."&amp;YEAR((A641+1))&amp;": "&amp;INDEX('Zgłoszenia'!$H$5:$H$504,MATCH(F641&amp;"|"&amp;(A641+1),'Zgłoszenia'!$S$5:$S$504,0)))&amp;IF(K641&gt;1," (+"&amp;(K641-1)&amp;")",""))</f>
        <v/>
      </c>
      <c r="M641" s="63" t="n">
        <v>8</v>
      </c>
      <c r="N641" s="2" t="n"/>
      <c r="O641" s="2" t="n"/>
    </row>
    <row r="642">
      <c r="A642" s="62">
        <f>IF('8'!$C$1="","",'8'!$C$1)</f>
        <v/>
      </c>
      <c r="B642" s="63">
        <f>Ustawienia!$A$10&amp;""</f>
        <v/>
      </c>
      <c r="C642" s="63">
        <f>Ustawienia!$A$17&amp;""</f>
        <v/>
      </c>
      <c r="D642" s="63" t="n">
        <v>2</v>
      </c>
      <c r="E642" s="63">
        <f>IF('8'!J28="","",TRIM('8'!J28&amp;""))</f>
        <v/>
      </c>
      <c r="F642" s="63">
        <f>IF('8'!K28="","",'8'!K28)</f>
        <v/>
      </c>
      <c r="G642" s="63">
        <f>'8'!L28&amp;""</f>
        <v/>
      </c>
      <c r="H642" s="63">
        <f>IF(OR(A642="",F642=""),"",F642&amp;"|"&amp;A642)</f>
        <v/>
      </c>
      <c r="I642" s="63">
        <f>IF(AND(H642&lt;&gt;"",OR('Historia wózka'!$B$4="",F642='Historia wózka'!$B$4),A642&gt;='Historia wózka'!$B$5,A642&lt;='Historia wózka'!$B$6),A642+0.7+(5000-ROW())/10000000,0)</f>
        <v/>
      </c>
      <c r="J642" s="63">
        <f>Ustawienia!$B$10&amp;""</f>
        <v/>
      </c>
      <c r="K642" s="63">
        <f>IF(H642="","",COUNTIFS('Zgłoszenia'!$B$5:$B$504,F642,'Zgłoszenia'!$D$5:$D$504,"&gt;="&amp;A642,'Zgłoszenia'!$D$5:$D$504,"&lt;="&amp;(A642+1)))</f>
        <v/>
      </c>
      <c r="L642" s="63">
        <f>IF(OR(H642="",K642=0),"—",IF(ISNUMBER(MATCH(H642,'Zgłoszenia'!$S$5:$S$504,0)),RIGHT("0"&amp;DAY(A642),2)&amp;"."&amp;RIGHT("0"&amp;MONTH(A642),2)&amp;"."&amp;YEAR(A642)&amp;": "&amp;INDEX('Zgłoszenia'!$H$5:$H$504,MATCH(H642,'Zgłoszenia'!$S$5:$S$504,0)),RIGHT("0"&amp;DAY((A642+1)),2)&amp;"."&amp;RIGHT("0"&amp;MONTH((A642+1)),2)&amp;"."&amp;YEAR((A642+1))&amp;": "&amp;INDEX('Zgłoszenia'!$H$5:$H$504,MATCH(F642&amp;"|"&amp;(A642+1),'Zgłoszenia'!$S$5:$S$504,0)))&amp;IF(K642&gt;1," (+"&amp;(K642-1)&amp;")",""))</f>
        <v/>
      </c>
      <c r="M642" s="63" t="n">
        <v>8</v>
      </c>
      <c r="N642" s="2" t="n"/>
      <c r="O642" s="2" t="n"/>
    </row>
    <row r="643">
      <c r="A643" s="62">
        <f>IF('8'!$C$1="","",'8'!$C$1)</f>
        <v/>
      </c>
      <c r="B643" s="63">
        <f>Ustawienia!$A$10&amp;""</f>
        <v/>
      </c>
      <c r="C643" s="63">
        <f>Ustawienia!$A$17&amp;""</f>
        <v/>
      </c>
      <c r="D643" s="63" t="n">
        <v>3</v>
      </c>
      <c r="E643" s="63">
        <f>IF('8'!J29="","",TRIM('8'!J29&amp;""))</f>
        <v/>
      </c>
      <c r="F643" s="63">
        <f>IF('8'!K29="","",'8'!K29)</f>
        <v/>
      </c>
      <c r="G643" s="63">
        <f>'8'!L29&amp;""</f>
        <v/>
      </c>
      <c r="H643" s="63">
        <f>IF(OR(A643="",F643=""),"",F643&amp;"|"&amp;A643)</f>
        <v/>
      </c>
      <c r="I643" s="63">
        <f>IF(AND(H643&lt;&gt;"",OR('Historia wózka'!$B$4="",F643='Historia wózka'!$B$4),A643&gt;='Historia wózka'!$B$5,A643&lt;='Historia wózka'!$B$6),A643+0.7+(5000-ROW())/10000000,0)</f>
        <v/>
      </c>
      <c r="J643" s="63">
        <f>Ustawienia!$B$10&amp;""</f>
        <v/>
      </c>
      <c r="K643" s="63">
        <f>IF(H643="","",COUNTIFS('Zgłoszenia'!$B$5:$B$504,F643,'Zgłoszenia'!$D$5:$D$504,"&gt;="&amp;A643,'Zgłoszenia'!$D$5:$D$504,"&lt;="&amp;(A643+1)))</f>
        <v/>
      </c>
      <c r="L643" s="63">
        <f>IF(OR(H643="",K643=0),"—",IF(ISNUMBER(MATCH(H643,'Zgłoszenia'!$S$5:$S$504,0)),RIGHT("0"&amp;DAY(A643),2)&amp;"."&amp;RIGHT("0"&amp;MONTH(A643),2)&amp;"."&amp;YEAR(A643)&amp;": "&amp;INDEX('Zgłoszenia'!$H$5:$H$504,MATCH(H643,'Zgłoszenia'!$S$5:$S$504,0)),RIGHT("0"&amp;DAY((A643+1)),2)&amp;"."&amp;RIGHT("0"&amp;MONTH((A643+1)),2)&amp;"."&amp;YEAR((A643+1))&amp;": "&amp;INDEX('Zgłoszenia'!$H$5:$H$504,MATCH(F643&amp;"|"&amp;(A643+1),'Zgłoszenia'!$S$5:$S$504,0)))&amp;IF(K643&gt;1," (+"&amp;(K643-1)&amp;")",""))</f>
        <v/>
      </c>
      <c r="M643" s="63" t="n">
        <v>8</v>
      </c>
      <c r="N643" s="2" t="n"/>
      <c r="O643" s="2" t="n"/>
    </row>
    <row r="644">
      <c r="A644" s="62">
        <f>IF('8'!$C$1="","",'8'!$C$1)</f>
        <v/>
      </c>
      <c r="B644" s="63">
        <f>Ustawienia!$A$10&amp;""</f>
        <v/>
      </c>
      <c r="C644" s="63">
        <f>Ustawienia!$A$17&amp;""</f>
        <v/>
      </c>
      <c r="D644" s="63" t="n">
        <v>4</v>
      </c>
      <c r="E644" s="63">
        <f>IF('8'!J30="","",TRIM('8'!J30&amp;""))</f>
        <v/>
      </c>
      <c r="F644" s="63">
        <f>IF('8'!K30="","",'8'!K30)</f>
        <v/>
      </c>
      <c r="G644" s="63">
        <f>'8'!L30&amp;""</f>
        <v/>
      </c>
      <c r="H644" s="63">
        <f>IF(OR(A644="",F644=""),"",F644&amp;"|"&amp;A644)</f>
        <v/>
      </c>
      <c r="I644" s="63">
        <f>IF(AND(H644&lt;&gt;"",OR('Historia wózka'!$B$4="",F644='Historia wózka'!$B$4),A644&gt;='Historia wózka'!$B$5,A644&lt;='Historia wózka'!$B$6),A644+0.7+(5000-ROW())/10000000,0)</f>
        <v/>
      </c>
      <c r="J644" s="63">
        <f>Ustawienia!$B$10&amp;""</f>
        <v/>
      </c>
      <c r="K644" s="63">
        <f>IF(H644="","",COUNTIFS('Zgłoszenia'!$B$5:$B$504,F644,'Zgłoszenia'!$D$5:$D$504,"&gt;="&amp;A644,'Zgłoszenia'!$D$5:$D$504,"&lt;="&amp;(A644+1)))</f>
        <v/>
      </c>
      <c r="L644" s="63">
        <f>IF(OR(H644="",K644=0),"—",IF(ISNUMBER(MATCH(H644,'Zgłoszenia'!$S$5:$S$504,0)),RIGHT("0"&amp;DAY(A644),2)&amp;"."&amp;RIGHT("0"&amp;MONTH(A644),2)&amp;"."&amp;YEAR(A644)&amp;": "&amp;INDEX('Zgłoszenia'!$H$5:$H$504,MATCH(H644,'Zgłoszenia'!$S$5:$S$504,0)),RIGHT("0"&amp;DAY((A644+1)),2)&amp;"."&amp;RIGHT("0"&amp;MONTH((A644+1)),2)&amp;"."&amp;YEAR((A644+1))&amp;": "&amp;INDEX('Zgłoszenia'!$H$5:$H$504,MATCH(F644&amp;"|"&amp;(A644+1),'Zgłoszenia'!$S$5:$S$504,0)))&amp;IF(K644&gt;1," (+"&amp;(K644-1)&amp;")",""))</f>
        <v/>
      </c>
      <c r="M644" s="63" t="n">
        <v>8</v>
      </c>
      <c r="N644" s="2" t="n"/>
      <c r="O644" s="2" t="n"/>
    </row>
    <row r="645">
      <c r="A645" s="62">
        <f>IF('8'!$C$1="","",'8'!$C$1)</f>
        <v/>
      </c>
      <c r="B645" s="63">
        <f>Ustawienia!$A$10&amp;""</f>
        <v/>
      </c>
      <c r="C645" s="63">
        <f>Ustawienia!$A$18&amp;""</f>
        <v/>
      </c>
      <c r="D645" s="63" t="n">
        <v>1</v>
      </c>
      <c r="E645" s="63">
        <f>IF('8'!J32="","",TRIM('8'!J32&amp;""))</f>
        <v/>
      </c>
      <c r="F645" s="63">
        <f>IF('8'!K32="","",'8'!K32)</f>
        <v/>
      </c>
      <c r="G645" s="63">
        <f>'8'!L32&amp;""</f>
        <v/>
      </c>
      <c r="H645" s="63">
        <f>IF(OR(A645="",F645=""),"",F645&amp;"|"&amp;A645)</f>
        <v/>
      </c>
      <c r="I645" s="63">
        <f>IF(AND(H645&lt;&gt;"",OR('Historia wózka'!$B$4="",F645='Historia wózka'!$B$4),A645&gt;='Historia wózka'!$B$5,A645&lt;='Historia wózka'!$B$6),A645+0.7+(5000-ROW())/10000000,0)</f>
        <v/>
      </c>
      <c r="J645" s="63">
        <f>Ustawienia!$B$10&amp;""</f>
        <v/>
      </c>
      <c r="K645" s="63">
        <f>IF(H645="","",COUNTIFS('Zgłoszenia'!$B$5:$B$504,F645,'Zgłoszenia'!$D$5:$D$504,"&gt;="&amp;A645,'Zgłoszenia'!$D$5:$D$504,"&lt;="&amp;(A645+1)))</f>
        <v/>
      </c>
      <c r="L645" s="63">
        <f>IF(OR(H645="",K645=0),"—",IF(ISNUMBER(MATCH(H645,'Zgłoszenia'!$S$5:$S$504,0)),RIGHT("0"&amp;DAY(A645),2)&amp;"."&amp;RIGHT("0"&amp;MONTH(A645),2)&amp;"."&amp;YEAR(A645)&amp;": "&amp;INDEX('Zgłoszenia'!$H$5:$H$504,MATCH(H645,'Zgłoszenia'!$S$5:$S$504,0)),RIGHT("0"&amp;DAY((A645+1)),2)&amp;"."&amp;RIGHT("0"&amp;MONTH((A645+1)),2)&amp;"."&amp;YEAR((A645+1))&amp;": "&amp;INDEX('Zgłoszenia'!$H$5:$H$504,MATCH(F645&amp;"|"&amp;(A645+1),'Zgłoszenia'!$S$5:$S$504,0)))&amp;IF(K645&gt;1," (+"&amp;(K645-1)&amp;")",""))</f>
        <v/>
      </c>
      <c r="M645" s="63" t="n">
        <v>8</v>
      </c>
      <c r="N645" s="2" t="n"/>
      <c r="O645" s="2" t="n"/>
    </row>
    <row r="646">
      <c r="A646" s="62">
        <f>IF('8'!$C$1="","",'8'!$C$1)</f>
        <v/>
      </c>
      <c r="B646" s="63">
        <f>Ustawienia!$A$10&amp;""</f>
        <v/>
      </c>
      <c r="C646" s="63">
        <f>Ustawienia!$A$18&amp;""</f>
        <v/>
      </c>
      <c r="D646" s="63" t="n">
        <v>2</v>
      </c>
      <c r="E646" s="63">
        <f>IF('8'!J33="","",TRIM('8'!J33&amp;""))</f>
        <v/>
      </c>
      <c r="F646" s="63">
        <f>IF('8'!K33="","",'8'!K33)</f>
        <v/>
      </c>
      <c r="G646" s="63">
        <f>'8'!L33&amp;""</f>
        <v/>
      </c>
      <c r="H646" s="63">
        <f>IF(OR(A646="",F646=""),"",F646&amp;"|"&amp;A646)</f>
        <v/>
      </c>
      <c r="I646" s="63">
        <f>IF(AND(H646&lt;&gt;"",OR('Historia wózka'!$B$4="",F646='Historia wózka'!$B$4),A646&gt;='Historia wózka'!$B$5,A646&lt;='Historia wózka'!$B$6),A646+0.7+(5000-ROW())/10000000,0)</f>
        <v/>
      </c>
      <c r="J646" s="63">
        <f>Ustawienia!$B$10&amp;""</f>
        <v/>
      </c>
      <c r="K646" s="63">
        <f>IF(H646="","",COUNTIFS('Zgłoszenia'!$B$5:$B$504,F646,'Zgłoszenia'!$D$5:$D$504,"&gt;="&amp;A646,'Zgłoszenia'!$D$5:$D$504,"&lt;="&amp;(A646+1)))</f>
        <v/>
      </c>
      <c r="L646" s="63">
        <f>IF(OR(H646="",K646=0),"—",IF(ISNUMBER(MATCH(H646,'Zgłoszenia'!$S$5:$S$504,0)),RIGHT("0"&amp;DAY(A646),2)&amp;"."&amp;RIGHT("0"&amp;MONTH(A646),2)&amp;"."&amp;YEAR(A646)&amp;": "&amp;INDEX('Zgłoszenia'!$H$5:$H$504,MATCH(H646,'Zgłoszenia'!$S$5:$S$504,0)),RIGHT("0"&amp;DAY((A646+1)),2)&amp;"."&amp;RIGHT("0"&amp;MONTH((A646+1)),2)&amp;"."&amp;YEAR((A646+1))&amp;": "&amp;INDEX('Zgłoszenia'!$H$5:$H$504,MATCH(F646&amp;"|"&amp;(A646+1),'Zgłoszenia'!$S$5:$S$504,0)))&amp;IF(K646&gt;1," (+"&amp;(K646-1)&amp;")",""))</f>
        <v/>
      </c>
      <c r="M646" s="63" t="n">
        <v>8</v>
      </c>
      <c r="N646" s="2" t="n"/>
      <c r="O646" s="2" t="n"/>
    </row>
    <row r="647">
      <c r="A647" s="62">
        <f>IF('8'!$C$1="","",'8'!$C$1)</f>
        <v/>
      </c>
      <c r="B647" s="63">
        <f>Ustawienia!$A$10&amp;""</f>
        <v/>
      </c>
      <c r="C647" s="63">
        <f>Ustawienia!$A$18&amp;""</f>
        <v/>
      </c>
      <c r="D647" s="63" t="n">
        <v>3</v>
      </c>
      <c r="E647" s="63">
        <f>IF('8'!J34="","",TRIM('8'!J34&amp;""))</f>
        <v/>
      </c>
      <c r="F647" s="63">
        <f>IF('8'!K34="","",'8'!K34)</f>
        <v/>
      </c>
      <c r="G647" s="63">
        <f>'8'!L34&amp;""</f>
        <v/>
      </c>
      <c r="H647" s="63">
        <f>IF(OR(A647="",F647=""),"",F647&amp;"|"&amp;A647)</f>
        <v/>
      </c>
      <c r="I647" s="63">
        <f>IF(AND(H647&lt;&gt;"",OR('Historia wózka'!$B$4="",F647='Historia wózka'!$B$4),A647&gt;='Historia wózka'!$B$5,A647&lt;='Historia wózka'!$B$6),A647+0.7+(5000-ROW())/10000000,0)</f>
        <v/>
      </c>
      <c r="J647" s="63">
        <f>Ustawienia!$B$10&amp;""</f>
        <v/>
      </c>
      <c r="K647" s="63">
        <f>IF(H647="","",COUNTIFS('Zgłoszenia'!$B$5:$B$504,F647,'Zgłoszenia'!$D$5:$D$504,"&gt;="&amp;A647,'Zgłoszenia'!$D$5:$D$504,"&lt;="&amp;(A647+1)))</f>
        <v/>
      </c>
      <c r="L647" s="63">
        <f>IF(OR(H647="",K647=0),"—",IF(ISNUMBER(MATCH(H647,'Zgłoszenia'!$S$5:$S$504,0)),RIGHT("0"&amp;DAY(A647),2)&amp;"."&amp;RIGHT("0"&amp;MONTH(A647),2)&amp;"."&amp;YEAR(A647)&amp;": "&amp;INDEX('Zgłoszenia'!$H$5:$H$504,MATCH(H647,'Zgłoszenia'!$S$5:$S$504,0)),RIGHT("0"&amp;DAY((A647+1)),2)&amp;"."&amp;RIGHT("0"&amp;MONTH((A647+1)),2)&amp;"."&amp;YEAR((A647+1))&amp;": "&amp;INDEX('Zgłoszenia'!$H$5:$H$504,MATCH(F647&amp;"|"&amp;(A647+1),'Zgłoszenia'!$S$5:$S$504,0)))&amp;IF(K647&gt;1," (+"&amp;(K647-1)&amp;")",""))</f>
        <v/>
      </c>
      <c r="M647" s="63" t="n">
        <v>8</v>
      </c>
      <c r="N647" s="2" t="n"/>
      <c r="O647" s="2" t="n"/>
    </row>
    <row r="648">
      <c r="A648" s="62">
        <f>IF('8'!$C$1="","",'8'!$C$1)</f>
        <v/>
      </c>
      <c r="B648" s="63">
        <f>Ustawienia!$A$10&amp;""</f>
        <v/>
      </c>
      <c r="C648" s="63">
        <f>Ustawienia!$A$18&amp;""</f>
        <v/>
      </c>
      <c r="D648" s="63" t="n">
        <v>4</v>
      </c>
      <c r="E648" s="63">
        <f>IF('8'!J35="","",TRIM('8'!J35&amp;""))</f>
        <v/>
      </c>
      <c r="F648" s="63">
        <f>IF('8'!K35="","",'8'!K35)</f>
        <v/>
      </c>
      <c r="G648" s="63">
        <f>'8'!L35&amp;""</f>
        <v/>
      </c>
      <c r="H648" s="63">
        <f>IF(OR(A648="",F648=""),"",F648&amp;"|"&amp;A648)</f>
        <v/>
      </c>
      <c r="I648" s="63">
        <f>IF(AND(H648&lt;&gt;"",OR('Historia wózka'!$B$4="",F648='Historia wózka'!$B$4),A648&gt;='Historia wózka'!$B$5,A648&lt;='Historia wózka'!$B$6),A648+0.7+(5000-ROW())/10000000,0)</f>
        <v/>
      </c>
      <c r="J648" s="63">
        <f>Ustawienia!$B$10&amp;""</f>
        <v/>
      </c>
      <c r="K648" s="63">
        <f>IF(H648="","",COUNTIFS('Zgłoszenia'!$B$5:$B$504,F648,'Zgłoszenia'!$D$5:$D$504,"&gt;="&amp;A648,'Zgłoszenia'!$D$5:$D$504,"&lt;="&amp;(A648+1)))</f>
        <v/>
      </c>
      <c r="L648" s="63">
        <f>IF(OR(H648="",K648=0),"—",IF(ISNUMBER(MATCH(H648,'Zgłoszenia'!$S$5:$S$504,0)),RIGHT("0"&amp;DAY(A648),2)&amp;"."&amp;RIGHT("0"&amp;MONTH(A648),2)&amp;"."&amp;YEAR(A648)&amp;": "&amp;INDEX('Zgłoszenia'!$H$5:$H$504,MATCH(H648,'Zgłoszenia'!$S$5:$S$504,0)),RIGHT("0"&amp;DAY((A648+1)),2)&amp;"."&amp;RIGHT("0"&amp;MONTH((A648+1)),2)&amp;"."&amp;YEAR((A648+1))&amp;": "&amp;INDEX('Zgłoszenia'!$H$5:$H$504,MATCH(F648&amp;"|"&amp;(A648+1),'Zgłoszenia'!$S$5:$S$504,0)))&amp;IF(K648&gt;1," (+"&amp;(K648-1)&amp;")",""))</f>
        <v/>
      </c>
      <c r="M648" s="63" t="n">
        <v>8</v>
      </c>
      <c r="N648" s="2" t="n"/>
      <c r="O648" s="2" t="n"/>
    </row>
    <row r="649">
      <c r="A649" s="62">
        <f>IF('8'!$C$1="","",'8'!$C$1)</f>
        <v/>
      </c>
      <c r="B649" s="63">
        <f>Ustawienia!$A$10&amp;""</f>
        <v/>
      </c>
      <c r="C649" s="63">
        <f>Ustawienia!$A$18&amp;""</f>
        <v/>
      </c>
      <c r="D649" s="63" t="n">
        <v>5</v>
      </c>
      <c r="E649" s="63">
        <f>IF('8'!J36="","",TRIM('8'!J36&amp;""))</f>
        <v/>
      </c>
      <c r="F649" s="63">
        <f>IF('8'!K36="","",'8'!K36)</f>
        <v/>
      </c>
      <c r="G649" s="63">
        <f>'8'!L36&amp;""</f>
        <v/>
      </c>
      <c r="H649" s="63">
        <f>IF(OR(A649="",F649=""),"",F649&amp;"|"&amp;A649)</f>
        <v/>
      </c>
      <c r="I649" s="63">
        <f>IF(AND(H649&lt;&gt;"",OR('Historia wózka'!$B$4="",F649='Historia wózka'!$B$4),A649&gt;='Historia wózka'!$B$5,A649&lt;='Historia wózka'!$B$6),A649+0.7+(5000-ROW())/10000000,0)</f>
        <v/>
      </c>
      <c r="J649" s="63">
        <f>Ustawienia!$B$10&amp;""</f>
        <v/>
      </c>
      <c r="K649" s="63">
        <f>IF(H649="","",COUNTIFS('Zgłoszenia'!$B$5:$B$504,F649,'Zgłoszenia'!$D$5:$D$504,"&gt;="&amp;A649,'Zgłoszenia'!$D$5:$D$504,"&lt;="&amp;(A649+1)))</f>
        <v/>
      </c>
      <c r="L649" s="63">
        <f>IF(OR(H649="",K649=0),"—",IF(ISNUMBER(MATCH(H649,'Zgłoszenia'!$S$5:$S$504,0)),RIGHT("0"&amp;DAY(A649),2)&amp;"."&amp;RIGHT("0"&amp;MONTH(A649),2)&amp;"."&amp;YEAR(A649)&amp;": "&amp;INDEX('Zgłoszenia'!$H$5:$H$504,MATCH(H649,'Zgłoszenia'!$S$5:$S$504,0)),RIGHT("0"&amp;DAY((A649+1)),2)&amp;"."&amp;RIGHT("0"&amp;MONTH((A649+1)),2)&amp;"."&amp;YEAR((A649+1))&amp;": "&amp;INDEX('Zgłoszenia'!$H$5:$H$504,MATCH(F649&amp;"|"&amp;(A649+1),'Zgłoszenia'!$S$5:$S$504,0)))&amp;IF(K649&gt;1," (+"&amp;(K649-1)&amp;")",""))</f>
        <v/>
      </c>
      <c r="M649" s="63" t="n">
        <v>8</v>
      </c>
      <c r="N649" s="2" t="n"/>
      <c r="O649" s="2" t="n"/>
    </row>
    <row r="650">
      <c r="A650" s="62">
        <f>IF('9'!$C$1="","",'9'!$C$1)</f>
        <v/>
      </c>
      <c r="B650" s="63">
        <f>Ustawienia!$A$8&amp;""</f>
        <v/>
      </c>
      <c r="C650" s="63">
        <f>Ustawienia!$A$14&amp;""</f>
        <v/>
      </c>
      <c r="D650" s="63" t="n">
        <v>1</v>
      </c>
      <c r="E650" s="63">
        <f>IF('9'!B6="","",TRIM('9'!B6&amp;""))</f>
        <v/>
      </c>
      <c r="F650" s="63">
        <f>IF('9'!C6="","",'9'!C6)</f>
        <v/>
      </c>
      <c r="G650" s="63">
        <f>'9'!D6&amp;""</f>
        <v/>
      </c>
      <c r="H650" s="63">
        <f>IF(OR(A650="",F650=""),"",F650&amp;"|"&amp;A650)</f>
        <v/>
      </c>
      <c r="I650" s="63">
        <f>IF(AND(H650&lt;&gt;"",OR('Historia wózka'!$B$4="",F650='Historia wózka'!$B$4),A650&gt;='Historia wózka'!$B$5,A650&lt;='Historia wózka'!$B$6),A650+0.9+(5000-ROW())/10000000,0)</f>
        <v/>
      </c>
      <c r="J650" s="63">
        <f>Ustawienia!$B$8&amp;""</f>
        <v/>
      </c>
      <c r="K650" s="63">
        <f>IF(H650="","",COUNTIFS('Zgłoszenia'!$B$5:$B$504,F650,'Zgłoszenia'!$D$5:$D$504,"&gt;="&amp;A650,'Zgłoszenia'!$D$5:$D$504,"&lt;="&amp;(A650+1)))</f>
        <v/>
      </c>
      <c r="L650" s="63">
        <f>IF(OR(H650="",K650=0),"—",IF(ISNUMBER(MATCH(H650,'Zgłoszenia'!$S$5:$S$504,0)),RIGHT("0"&amp;DAY(A650),2)&amp;"."&amp;RIGHT("0"&amp;MONTH(A650),2)&amp;"."&amp;YEAR(A650)&amp;": "&amp;INDEX('Zgłoszenia'!$H$5:$H$504,MATCH(H650,'Zgłoszenia'!$S$5:$S$504,0)),RIGHT("0"&amp;DAY((A650+1)),2)&amp;"."&amp;RIGHT("0"&amp;MONTH((A650+1)),2)&amp;"."&amp;YEAR((A650+1))&amp;": "&amp;INDEX('Zgłoszenia'!$H$5:$H$504,MATCH(F650&amp;"|"&amp;(A650+1),'Zgłoszenia'!$S$5:$S$504,0)))&amp;IF(K650&gt;1," (+"&amp;(K650-1)&amp;")",""))</f>
        <v/>
      </c>
      <c r="M650" s="63" t="n">
        <v>9</v>
      </c>
      <c r="N650" s="2" t="n"/>
      <c r="O650" s="2" t="n"/>
    </row>
    <row r="651">
      <c r="A651" s="62">
        <f>IF('9'!$C$1="","",'9'!$C$1)</f>
        <v/>
      </c>
      <c r="B651" s="63">
        <f>Ustawienia!$A$8&amp;""</f>
        <v/>
      </c>
      <c r="C651" s="63">
        <f>Ustawienia!$A$14&amp;""</f>
        <v/>
      </c>
      <c r="D651" s="63" t="n">
        <v>2</v>
      </c>
      <c r="E651" s="63">
        <f>IF('9'!B7="","",TRIM('9'!B7&amp;""))</f>
        <v/>
      </c>
      <c r="F651" s="63">
        <f>IF('9'!C7="","",'9'!C7)</f>
        <v/>
      </c>
      <c r="G651" s="63">
        <f>'9'!D7&amp;""</f>
        <v/>
      </c>
      <c r="H651" s="63">
        <f>IF(OR(A651="",F651=""),"",F651&amp;"|"&amp;A651)</f>
        <v/>
      </c>
      <c r="I651" s="63">
        <f>IF(AND(H651&lt;&gt;"",OR('Historia wózka'!$B$4="",F651='Historia wózka'!$B$4),A651&gt;='Historia wózka'!$B$5,A651&lt;='Historia wózka'!$B$6),A651+0.9+(5000-ROW())/10000000,0)</f>
        <v/>
      </c>
      <c r="J651" s="63">
        <f>Ustawienia!$B$8&amp;""</f>
        <v/>
      </c>
      <c r="K651" s="63">
        <f>IF(H651="","",COUNTIFS('Zgłoszenia'!$B$5:$B$504,F651,'Zgłoszenia'!$D$5:$D$504,"&gt;="&amp;A651,'Zgłoszenia'!$D$5:$D$504,"&lt;="&amp;(A651+1)))</f>
        <v/>
      </c>
      <c r="L651" s="63">
        <f>IF(OR(H651="",K651=0),"—",IF(ISNUMBER(MATCH(H651,'Zgłoszenia'!$S$5:$S$504,0)),RIGHT("0"&amp;DAY(A651),2)&amp;"."&amp;RIGHT("0"&amp;MONTH(A651),2)&amp;"."&amp;YEAR(A651)&amp;": "&amp;INDEX('Zgłoszenia'!$H$5:$H$504,MATCH(H651,'Zgłoszenia'!$S$5:$S$504,0)),RIGHT("0"&amp;DAY((A651+1)),2)&amp;"."&amp;RIGHT("0"&amp;MONTH((A651+1)),2)&amp;"."&amp;YEAR((A651+1))&amp;": "&amp;INDEX('Zgłoszenia'!$H$5:$H$504,MATCH(F651&amp;"|"&amp;(A651+1),'Zgłoszenia'!$S$5:$S$504,0)))&amp;IF(K651&gt;1," (+"&amp;(K651-1)&amp;")",""))</f>
        <v/>
      </c>
      <c r="M651" s="63" t="n">
        <v>9</v>
      </c>
      <c r="N651" s="2" t="n"/>
      <c r="O651" s="2" t="n"/>
    </row>
    <row r="652">
      <c r="A652" s="62">
        <f>IF('9'!$C$1="","",'9'!$C$1)</f>
        <v/>
      </c>
      <c r="B652" s="63">
        <f>Ustawienia!$A$8&amp;""</f>
        <v/>
      </c>
      <c r="C652" s="63">
        <f>Ustawienia!$A$14&amp;""</f>
        <v/>
      </c>
      <c r="D652" s="63" t="n">
        <v>3</v>
      </c>
      <c r="E652" s="63">
        <f>IF('9'!B8="","",TRIM('9'!B8&amp;""))</f>
        <v/>
      </c>
      <c r="F652" s="63">
        <f>IF('9'!C8="","",'9'!C8)</f>
        <v/>
      </c>
      <c r="G652" s="63">
        <f>'9'!D8&amp;""</f>
        <v/>
      </c>
      <c r="H652" s="63">
        <f>IF(OR(A652="",F652=""),"",F652&amp;"|"&amp;A652)</f>
        <v/>
      </c>
      <c r="I652" s="63">
        <f>IF(AND(H652&lt;&gt;"",OR('Historia wózka'!$B$4="",F652='Historia wózka'!$B$4),A652&gt;='Historia wózka'!$B$5,A652&lt;='Historia wózka'!$B$6),A652+0.9+(5000-ROW())/10000000,0)</f>
        <v/>
      </c>
      <c r="J652" s="63">
        <f>Ustawienia!$B$8&amp;""</f>
        <v/>
      </c>
      <c r="K652" s="63">
        <f>IF(H652="","",COUNTIFS('Zgłoszenia'!$B$5:$B$504,F652,'Zgłoszenia'!$D$5:$D$504,"&gt;="&amp;A652,'Zgłoszenia'!$D$5:$D$504,"&lt;="&amp;(A652+1)))</f>
        <v/>
      </c>
      <c r="L652" s="63">
        <f>IF(OR(H652="",K652=0),"—",IF(ISNUMBER(MATCH(H652,'Zgłoszenia'!$S$5:$S$504,0)),RIGHT("0"&amp;DAY(A652),2)&amp;"."&amp;RIGHT("0"&amp;MONTH(A652),2)&amp;"."&amp;YEAR(A652)&amp;": "&amp;INDEX('Zgłoszenia'!$H$5:$H$504,MATCH(H652,'Zgłoszenia'!$S$5:$S$504,0)),RIGHT("0"&amp;DAY((A652+1)),2)&amp;"."&amp;RIGHT("0"&amp;MONTH((A652+1)),2)&amp;"."&amp;YEAR((A652+1))&amp;": "&amp;INDEX('Zgłoszenia'!$H$5:$H$504,MATCH(F652&amp;"|"&amp;(A652+1),'Zgłoszenia'!$S$5:$S$504,0)))&amp;IF(K652&gt;1," (+"&amp;(K652-1)&amp;")",""))</f>
        <v/>
      </c>
      <c r="M652" s="63" t="n">
        <v>9</v>
      </c>
      <c r="N652" s="2" t="n"/>
      <c r="O652" s="2" t="n"/>
    </row>
    <row r="653">
      <c r="A653" s="62">
        <f>IF('9'!$C$1="","",'9'!$C$1)</f>
        <v/>
      </c>
      <c r="B653" s="63">
        <f>Ustawienia!$A$8&amp;""</f>
        <v/>
      </c>
      <c r="C653" s="63">
        <f>Ustawienia!$A$14&amp;""</f>
        <v/>
      </c>
      <c r="D653" s="63" t="n">
        <v>4</v>
      </c>
      <c r="E653" s="63">
        <f>IF('9'!B9="","",TRIM('9'!B9&amp;""))</f>
        <v/>
      </c>
      <c r="F653" s="63">
        <f>IF('9'!C9="","",'9'!C9)</f>
        <v/>
      </c>
      <c r="G653" s="63">
        <f>'9'!D9&amp;""</f>
        <v/>
      </c>
      <c r="H653" s="63">
        <f>IF(OR(A653="",F653=""),"",F653&amp;"|"&amp;A653)</f>
        <v/>
      </c>
      <c r="I653" s="63">
        <f>IF(AND(H653&lt;&gt;"",OR('Historia wózka'!$B$4="",F653='Historia wózka'!$B$4),A653&gt;='Historia wózka'!$B$5,A653&lt;='Historia wózka'!$B$6),A653+0.9+(5000-ROW())/10000000,0)</f>
        <v/>
      </c>
      <c r="J653" s="63">
        <f>Ustawienia!$B$8&amp;""</f>
        <v/>
      </c>
      <c r="K653" s="63">
        <f>IF(H653="","",COUNTIFS('Zgłoszenia'!$B$5:$B$504,F653,'Zgłoszenia'!$D$5:$D$504,"&gt;="&amp;A653,'Zgłoszenia'!$D$5:$D$504,"&lt;="&amp;(A653+1)))</f>
        <v/>
      </c>
      <c r="L653" s="63">
        <f>IF(OR(H653="",K653=0),"—",IF(ISNUMBER(MATCH(H653,'Zgłoszenia'!$S$5:$S$504,0)),RIGHT("0"&amp;DAY(A653),2)&amp;"."&amp;RIGHT("0"&amp;MONTH(A653),2)&amp;"."&amp;YEAR(A653)&amp;": "&amp;INDEX('Zgłoszenia'!$H$5:$H$504,MATCH(H653,'Zgłoszenia'!$S$5:$S$504,0)),RIGHT("0"&amp;DAY((A653+1)),2)&amp;"."&amp;RIGHT("0"&amp;MONTH((A653+1)),2)&amp;"."&amp;YEAR((A653+1))&amp;": "&amp;INDEX('Zgłoszenia'!$H$5:$H$504,MATCH(F653&amp;"|"&amp;(A653+1),'Zgłoszenia'!$S$5:$S$504,0)))&amp;IF(K653&gt;1," (+"&amp;(K653-1)&amp;")",""))</f>
        <v/>
      </c>
      <c r="M653" s="63" t="n">
        <v>9</v>
      </c>
      <c r="N653" s="2" t="n"/>
      <c r="O653" s="2" t="n"/>
    </row>
    <row r="654">
      <c r="A654" s="62">
        <f>IF('9'!$C$1="","",'9'!$C$1)</f>
        <v/>
      </c>
      <c r="B654" s="63">
        <f>Ustawienia!$A$8&amp;""</f>
        <v/>
      </c>
      <c r="C654" s="63">
        <f>Ustawienia!$A$14&amp;""</f>
        <v/>
      </c>
      <c r="D654" s="63" t="n">
        <v>5</v>
      </c>
      <c r="E654" s="63">
        <f>IF('9'!B10="","",TRIM('9'!B10&amp;""))</f>
        <v/>
      </c>
      <c r="F654" s="63">
        <f>IF('9'!C10="","",'9'!C10)</f>
        <v/>
      </c>
      <c r="G654" s="63">
        <f>'9'!D10&amp;""</f>
        <v/>
      </c>
      <c r="H654" s="63">
        <f>IF(OR(A654="",F654=""),"",F654&amp;"|"&amp;A654)</f>
        <v/>
      </c>
      <c r="I654" s="63">
        <f>IF(AND(H654&lt;&gt;"",OR('Historia wózka'!$B$4="",F654='Historia wózka'!$B$4),A654&gt;='Historia wózka'!$B$5,A654&lt;='Historia wózka'!$B$6),A654+0.9+(5000-ROW())/10000000,0)</f>
        <v/>
      </c>
      <c r="J654" s="63">
        <f>Ustawienia!$B$8&amp;""</f>
        <v/>
      </c>
      <c r="K654" s="63">
        <f>IF(H654="","",COUNTIFS('Zgłoszenia'!$B$5:$B$504,F654,'Zgłoszenia'!$D$5:$D$504,"&gt;="&amp;A654,'Zgłoszenia'!$D$5:$D$504,"&lt;="&amp;(A654+1)))</f>
        <v/>
      </c>
      <c r="L654" s="63">
        <f>IF(OR(H654="",K654=0),"—",IF(ISNUMBER(MATCH(H654,'Zgłoszenia'!$S$5:$S$504,0)),RIGHT("0"&amp;DAY(A654),2)&amp;"."&amp;RIGHT("0"&amp;MONTH(A654),2)&amp;"."&amp;YEAR(A654)&amp;": "&amp;INDEX('Zgłoszenia'!$H$5:$H$504,MATCH(H654,'Zgłoszenia'!$S$5:$S$504,0)),RIGHT("0"&amp;DAY((A654+1)),2)&amp;"."&amp;RIGHT("0"&amp;MONTH((A654+1)),2)&amp;"."&amp;YEAR((A654+1))&amp;": "&amp;INDEX('Zgłoszenia'!$H$5:$H$504,MATCH(F654&amp;"|"&amp;(A654+1),'Zgłoszenia'!$S$5:$S$504,0)))&amp;IF(K654&gt;1," (+"&amp;(K654-1)&amp;")",""))</f>
        <v/>
      </c>
      <c r="M654" s="63" t="n">
        <v>9</v>
      </c>
      <c r="N654" s="2" t="n"/>
      <c r="O654" s="2" t="n"/>
    </row>
    <row r="655">
      <c r="A655" s="62">
        <f>IF('9'!$C$1="","",'9'!$C$1)</f>
        <v/>
      </c>
      <c r="B655" s="63">
        <f>Ustawienia!$A$8&amp;""</f>
        <v/>
      </c>
      <c r="C655" s="63">
        <f>Ustawienia!$A$14&amp;""</f>
        <v/>
      </c>
      <c r="D655" s="63" t="n">
        <v>6</v>
      </c>
      <c r="E655" s="63">
        <f>IF('9'!B11="","",TRIM('9'!B11&amp;""))</f>
        <v/>
      </c>
      <c r="F655" s="63">
        <f>IF('9'!C11="","",'9'!C11)</f>
        <v/>
      </c>
      <c r="G655" s="63">
        <f>'9'!D11&amp;""</f>
        <v/>
      </c>
      <c r="H655" s="63">
        <f>IF(OR(A655="",F655=""),"",F655&amp;"|"&amp;A655)</f>
        <v/>
      </c>
      <c r="I655" s="63">
        <f>IF(AND(H655&lt;&gt;"",OR('Historia wózka'!$B$4="",F655='Historia wózka'!$B$4),A655&gt;='Historia wózka'!$B$5,A655&lt;='Historia wózka'!$B$6),A655+0.9+(5000-ROW())/10000000,0)</f>
        <v/>
      </c>
      <c r="J655" s="63">
        <f>Ustawienia!$B$8&amp;""</f>
        <v/>
      </c>
      <c r="K655" s="63">
        <f>IF(H655="","",COUNTIFS('Zgłoszenia'!$B$5:$B$504,F655,'Zgłoszenia'!$D$5:$D$504,"&gt;="&amp;A655,'Zgłoszenia'!$D$5:$D$504,"&lt;="&amp;(A655+1)))</f>
        <v/>
      </c>
      <c r="L655" s="63">
        <f>IF(OR(H655="",K655=0),"—",IF(ISNUMBER(MATCH(H655,'Zgłoszenia'!$S$5:$S$504,0)),RIGHT("0"&amp;DAY(A655),2)&amp;"."&amp;RIGHT("0"&amp;MONTH(A655),2)&amp;"."&amp;YEAR(A655)&amp;": "&amp;INDEX('Zgłoszenia'!$H$5:$H$504,MATCH(H655,'Zgłoszenia'!$S$5:$S$504,0)),RIGHT("0"&amp;DAY((A655+1)),2)&amp;"."&amp;RIGHT("0"&amp;MONTH((A655+1)),2)&amp;"."&amp;YEAR((A655+1))&amp;": "&amp;INDEX('Zgłoszenia'!$H$5:$H$504,MATCH(F655&amp;"|"&amp;(A655+1),'Zgłoszenia'!$S$5:$S$504,0)))&amp;IF(K655&gt;1," (+"&amp;(K655-1)&amp;")",""))</f>
        <v/>
      </c>
      <c r="M655" s="63" t="n">
        <v>9</v>
      </c>
      <c r="N655" s="2" t="n"/>
      <c r="O655" s="2" t="n"/>
    </row>
    <row r="656">
      <c r="A656" s="62">
        <f>IF('9'!$C$1="","",'9'!$C$1)</f>
        <v/>
      </c>
      <c r="B656" s="63">
        <f>Ustawienia!$A$8&amp;""</f>
        <v/>
      </c>
      <c r="C656" s="63">
        <f>Ustawienia!$A$15&amp;""</f>
        <v/>
      </c>
      <c r="D656" s="63" t="n">
        <v>1</v>
      </c>
      <c r="E656" s="63">
        <f>IF('9'!B13="","",TRIM('9'!B13&amp;""))</f>
        <v/>
      </c>
      <c r="F656" s="63">
        <f>IF('9'!C13="","",'9'!C13)</f>
        <v/>
      </c>
      <c r="G656" s="63">
        <f>'9'!D13&amp;""</f>
        <v/>
      </c>
      <c r="H656" s="63">
        <f>IF(OR(A656="",F656=""),"",F656&amp;"|"&amp;A656)</f>
        <v/>
      </c>
      <c r="I656" s="63">
        <f>IF(AND(H656&lt;&gt;"",OR('Historia wózka'!$B$4="",F656='Historia wózka'!$B$4),A656&gt;='Historia wózka'!$B$5,A656&lt;='Historia wózka'!$B$6),A656+0.9+(5000-ROW())/10000000,0)</f>
        <v/>
      </c>
      <c r="J656" s="63">
        <f>Ustawienia!$B$8&amp;""</f>
        <v/>
      </c>
      <c r="K656" s="63">
        <f>IF(H656="","",COUNTIFS('Zgłoszenia'!$B$5:$B$504,F656,'Zgłoszenia'!$D$5:$D$504,"&gt;="&amp;A656,'Zgłoszenia'!$D$5:$D$504,"&lt;="&amp;(A656+1)))</f>
        <v/>
      </c>
      <c r="L656" s="63">
        <f>IF(OR(H656="",K656=0),"—",IF(ISNUMBER(MATCH(H656,'Zgłoszenia'!$S$5:$S$504,0)),RIGHT("0"&amp;DAY(A656),2)&amp;"."&amp;RIGHT("0"&amp;MONTH(A656),2)&amp;"."&amp;YEAR(A656)&amp;": "&amp;INDEX('Zgłoszenia'!$H$5:$H$504,MATCH(H656,'Zgłoszenia'!$S$5:$S$504,0)),RIGHT("0"&amp;DAY((A656+1)),2)&amp;"."&amp;RIGHT("0"&amp;MONTH((A656+1)),2)&amp;"."&amp;YEAR((A656+1))&amp;": "&amp;INDEX('Zgłoszenia'!$H$5:$H$504,MATCH(F656&amp;"|"&amp;(A656+1),'Zgłoszenia'!$S$5:$S$504,0)))&amp;IF(K656&gt;1," (+"&amp;(K656-1)&amp;")",""))</f>
        <v/>
      </c>
      <c r="M656" s="63" t="n">
        <v>9</v>
      </c>
      <c r="N656" s="2" t="n"/>
      <c r="O656" s="2" t="n"/>
    </row>
    <row r="657">
      <c r="A657" s="62">
        <f>IF('9'!$C$1="","",'9'!$C$1)</f>
        <v/>
      </c>
      <c r="B657" s="63">
        <f>Ustawienia!$A$8&amp;""</f>
        <v/>
      </c>
      <c r="C657" s="63">
        <f>Ustawienia!$A$15&amp;""</f>
        <v/>
      </c>
      <c r="D657" s="63" t="n">
        <v>2</v>
      </c>
      <c r="E657" s="63">
        <f>IF('9'!B14="","",TRIM('9'!B14&amp;""))</f>
        <v/>
      </c>
      <c r="F657" s="63">
        <f>IF('9'!C14="","",'9'!C14)</f>
        <v/>
      </c>
      <c r="G657" s="63">
        <f>'9'!D14&amp;""</f>
        <v/>
      </c>
      <c r="H657" s="63">
        <f>IF(OR(A657="",F657=""),"",F657&amp;"|"&amp;A657)</f>
        <v/>
      </c>
      <c r="I657" s="63">
        <f>IF(AND(H657&lt;&gt;"",OR('Historia wózka'!$B$4="",F657='Historia wózka'!$B$4),A657&gt;='Historia wózka'!$B$5,A657&lt;='Historia wózka'!$B$6),A657+0.9+(5000-ROW())/10000000,0)</f>
        <v/>
      </c>
      <c r="J657" s="63">
        <f>Ustawienia!$B$8&amp;""</f>
        <v/>
      </c>
      <c r="K657" s="63">
        <f>IF(H657="","",COUNTIFS('Zgłoszenia'!$B$5:$B$504,F657,'Zgłoszenia'!$D$5:$D$504,"&gt;="&amp;A657,'Zgłoszenia'!$D$5:$D$504,"&lt;="&amp;(A657+1)))</f>
        <v/>
      </c>
      <c r="L657" s="63">
        <f>IF(OR(H657="",K657=0),"—",IF(ISNUMBER(MATCH(H657,'Zgłoszenia'!$S$5:$S$504,0)),RIGHT("0"&amp;DAY(A657),2)&amp;"."&amp;RIGHT("0"&amp;MONTH(A657),2)&amp;"."&amp;YEAR(A657)&amp;": "&amp;INDEX('Zgłoszenia'!$H$5:$H$504,MATCH(H657,'Zgłoszenia'!$S$5:$S$504,0)),RIGHT("0"&amp;DAY((A657+1)),2)&amp;"."&amp;RIGHT("0"&amp;MONTH((A657+1)),2)&amp;"."&amp;YEAR((A657+1))&amp;": "&amp;INDEX('Zgłoszenia'!$H$5:$H$504,MATCH(F657&amp;"|"&amp;(A657+1),'Zgłoszenia'!$S$5:$S$504,0)))&amp;IF(K657&gt;1," (+"&amp;(K657-1)&amp;")",""))</f>
        <v/>
      </c>
      <c r="M657" s="63" t="n">
        <v>9</v>
      </c>
      <c r="N657" s="2" t="n"/>
      <c r="O657" s="2" t="n"/>
    </row>
    <row r="658">
      <c r="A658" s="62">
        <f>IF('9'!$C$1="","",'9'!$C$1)</f>
        <v/>
      </c>
      <c r="B658" s="63">
        <f>Ustawienia!$A$8&amp;""</f>
        <v/>
      </c>
      <c r="C658" s="63">
        <f>Ustawienia!$A$15&amp;""</f>
        <v/>
      </c>
      <c r="D658" s="63" t="n">
        <v>3</v>
      </c>
      <c r="E658" s="63">
        <f>IF('9'!B15="","",TRIM('9'!B15&amp;""))</f>
        <v/>
      </c>
      <c r="F658" s="63">
        <f>IF('9'!C15="","",'9'!C15)</f>
        <v/>
      </c>
      <c r="G658" s="63">
        <f>'9'!D15&amp;""</f>
        <v/>
      </c>
      <c r="H658" s="63">
        <f>IF(OR(A658="",F658=""),"",F658&amp;"|"&amp;A658)</f>
        <v/>
      </c>
      <c r="I658" s="63">
        <f>IF(AND(H658&lt;&gt;"",OR('Historia wózka'!$B$4="",F658='Historia wózka'!$B$4),A658&gt;='Historia wózka'!$B$5,A658&lt;='Historia wózka'!$B$6),A658+0.9+(5000-ROW())/10000000,0)</f>
        <v/>
      </c>
      <c r="J658" s="63">
        <f>Ustawienia!$B$8&amp;""</f>
        <v/>
      </c>
      <c r="K658" s="63">
        <f>IF(H658="","",COUNTIFS('Zgłoszenia'!$B$5:$B$504,F658,'Zgłoszenia'!$D$5:$D$504,"&gt;="&amp;A658,'Zgłoszenia'!$D$5:$D$504,"&lt;="&amp;(A658+1)))</f>
        <v/>
      </c>
      <c r="L658" s="63">
        <f>IF(OR(H658="",K658=0),"—",IF(ISNUMBER(MATCH(H658,'Zgłoszenia'!$S$5:$S$504,0)),RIGHT("0"&amp;DAY(A658),2)&amp;"."&amp;RIGHT("0"&amp;MONTH(A658),2)&amp;"."&amp;YEAR(A658)&amp;": "&amp;INDEX('Zgłoszenia'!$H$5:$H$504,MATCH(H658,'Zgłoszenia'!$S$5:$S$504,0)),RIGHT("0"&amp;DAY((A658+1)),2)&amp;"."&amp;RIGHT("0"&amp;MONTH((A658+1)),2)&amp;"."&amp;YEAR((A658+1))&amp;": "&amp;INDEX('Zgłoszenia'!$H$5:$H$504,MATCH(F658&amp;"|"&amp;(A658+1),'Zgłoszenia'!$S$5:$S$504,0)))&amp;IF(K658&gt;1," (+"&amp;(K658-1)&amp;")",""))</f>
        <v/>
      </c>
      <c r="M658" s="63" t="n">
        <v>9</v>
      </c>
      <c r="N658" s="2" t="n"/>
      <c r="O658" s="2" t="n"/>
    </row>
    <row r="659">
      <c r="A659" s="62">
        <f>IF('9'!$C$1="","",'9'!$C$1)</f>
        <v/>
      </c>
      <c r="B659" s="63">
        <f>Ustawienia!$A$8&amp;""</f>
        <v/>
      </c>
      <c r="C659" s="63">
        <f>Ustawienia!$A$15&amp;""</f>
        <v/>
      </c>
      <c r="D659" s="63" t="n">
        <v>4</v>
      </c>
      <c r="E659" s="63">
        <f>IF('9'!B16="","",TRIM('9'!B16&amp;""))</f>
        <v/>
      </c>
      <c r="F659" s="63">
        <f>IF('9'!C16="","",'9'!C16)</f>
        <v/>
      </c>
      <c r="G659" s="63">
        <f>'9'!D16&amp;""</f>
        <v/>
      </c>
      <c r="H659" s="63">
        <f>IF(OR(A659="",F659=""),"",F659&amp;"|"&amp;A659)</f>
        <v/>
      </c>
      <c r="I659" s="63">
        <f>IF(AND(H659&lt;&gt;"",OR('Historia wózka'!$B$4="",F659='Historia wózka'!$B$4),A659&gt;='Historia wózka'!$B$5,A659&lt;='Historia wózka'!$B$6),A659+0.9+(5000-ROW())/10000000,0)</f>
        <v/>
      </c>
      <c r="J659" s="63">
        <f>Ustawienia!$B$8&amp;""</f>
        <v/>
      </c>
      <c r="K659" s="63">
        <f>IF(H659="","",COUNTIFS('Zgłoszenia'!$B$5:$B$504,F659,'Zgłoszenia'!$D$5:$D$504,"&gt;="&amp;A659,'Zgłoszenia'!$D$5:$D$504,"&lt;="&amp;(A659+1)))</f>
        <v/>
      </c>
      <c r="L659" s="63">
        <f>IF(OR(H659="",K659=0),"—",IF(ISNUMBER(MATCH(H659,'Zgłoszenia'!$S$5:$S$504,0)),RIGHT("0"&amp;DAY(A659),2)&amp;"."&amp;RIGHT("0"&amp;MONTH(A659),2)&amp;"."&amp;YEAR(A659)&amp;": "&amp;INDEX('Zgłoszenia'!$H$5:$H$504,MATCH(H659,'Zgłoszenia'!$S$5:$S$504,0)),RIGHT("0"&amp;DAY((A659+1)),2)&amp;"."&amp;RIGHT("0"&amp;MONTH((A659+1)),2)&amp;"."&amp;YEAR((A659+1))&amp;": "&amp;INDEX('Zgłoszenia'!$H$5:$H$504,MATCH(F659&amp;"|"&amp;(A659+1),'Zgłoszenia'!$S$5:$S$504,0)))&amp;IF(K659&gt;1," (+"&amp;(K659-1)&amp;")",""))</f>
        <v/>
      </c>
      <c r="M659" s="63" t="n">
        <v>9</v>
      </c>
      <c r="N659" s="2" t="n"/>
      <c r="O659" s="2" t="n"/>
    </row>
    <row r="660">
      <c r="A660" s="62">
        <f>IF('9'!$C$1="","",'9'!$C$1)</f>
        <v/>
      </c>
      <c r="B660" s="63">
        <f>Ustawienia!$A$8&amp;""</f>
        <v/>
      </c>
      <c r="C660" s="63">
        <f>Ustawienia!$A$15&amp;""</f>
        <v/>
      </c>
      <c r="D660" s="63" t="n">
        <v>5</v>
      </c>
      <c r="E660" s="63">
        <f>IF('9'!B17="","",TRIM('9'!B17&amp;""))</f>
        <v/>
      </c>
      <c r="F660" s="63">
        <f>IF('9'!C17="","",'9'!C17)</f>
        <v/>
      </c>
      <c r="G660" s="63">
        <f>'9'!D17&amp;""</f>
        <v/>
      </c>
      <c r="H660" s="63">
        <f>IF(OR(A660="",F660=""),"",F660&amp;"|"&amp;A660)</f>
        <v/>
      </c>
      <c r="I660" s="63">
        <f>IF(AND(H660&lt;&gt;"",OR('Historia wózka'!$B$4="",F660='Historia wózka'!$B$4),A660&gt;='Historia wózka'!$B$5,A660&lt;='Historia wózka'!$B$6),A660+0.9+(5000-ROW())/10000000,0)</f>
        <v/>
      </c>
      <c r="J660" s="63">
        <f>Ustawienia!$B$8&amp;""</f>
        <v/>
      </c>
      <c r="K660" s="63">
        <f>IF(H660="","",COUNTIFS('Zgłoszenia'!$B$5:$B$504,F660,'Zgłoszenia'!$D$5:$D$504,"&gt;="&amp;A660,'Zgłoszenia'!$D$5:$D$504,"&lt;="&amp;(A660+1)))</f>
        <v/>
      </c>
      <c r="L660" s="63">
        <f>IF(OR(H660="",K660=0),"—",IF(ISNUMBER(MATCH(H660,'Zgłoszenia'!$S$5:$S$504,0)),RIGHT("0"&amp;DAY(A660),2)&amp;"."&amp;RIGHT("0"&amp;MONTH(A660),2)&amp;"."&amp;YEAR(A660)&amp;": "&amp;INDEX('Zgłoszenia'!$H$5:$H$504,MATCH(H660,'Zgłoszenia'!$S$5:$S$504,0)),RIGHT("0"&amp;DAY((A660+1)),2)&amp;"."&amp;RIGHT("0"&amp;MONTH((A660+1)),2)&amp;"."&amp;YEAR((A660+1))&amp;": "&amp;INDEX('Zgłoszenia'!$H$5:$H$504,MATCH(F660&amp;"|"&amp;(A660+1),'Zgłoszenia'!$S$5:$S$504,0)))&amp;IF(K660&gt;1," (+"&amp;(K660-1)&amp;")",""))</f>
        <v/>
      </c>
      <c r="M660" s="63" t="n">
        <v>9</v>
      </c>
      <c r="N660" s="2" t="n"/>
      <c r="O660" s="2" t="n"/>
    </row>
    <row r="661">
      <c r="A661" s="62">
        <f>IF('9'!$C$1="","",'9'!$C$1)</f>
        <v/>
      </c>
      <c r="B661" s="63">
        <f>Ustawienia!$A$8&amp;""</f>
        <v/>
      </c>
      <c r="C661" s="63">
        <f>Ustawienia!$A$15&amp;""</f>
        <v/>
      </c>
      <c r="D661" s="63" t="n">
        <v>6</v>
      </c>
      <c r="E661" s="63">
        <f>IF('9'!B18="","",TRIM('9'!B18&amp;""))</f>
        <v/>
      </c>
      <c r="F661" s="63">
        <f>IF('9'!C18="","",'9'!C18)</f>
        <v/>
      </c>
      <c r="G661" s="63">
        <f>'9'!D18&amp;""</f>
        <v/>
      </c>
      <c r="H661" s="63">
        <f>IF(OR(A661="",F661=""),"",F661&amp;"|"&amp;A661)</f>
        <v/>
      </c>
      <c r="I661" s="63">
        <f>IF(AND(H661&lt;&gt;"",OR('Historia wózka'!$B$4="",F661='Historia wózka'!$B$4),A661&gt;='Historia wózka'!$B$5,A661&lt;='Historia wózka'!$B$6),A661+0.9+(5000-ROW())/10000000,0)</f>
        <v/>
      </c>
      <c r="J661" s="63">
        <f>Ustawienia!$B$8&amp;""</f>
        <v/>
      </c>
      <c r="K661" s="63">
        <f>IF(H661="","",COUNTIFS('Zgłoszenia'!$B$5:$B$504,F661,'Zgłoszenia'!$D$5:$D$504,"&gt;="&amp;A661,'Zgłoszenia'!$D$5:$D$504,"&lt;="&amp;(A661+1)))</f>
        <v/>
      </c>
      <c r="L661" s="63">
        <f>IF(OR(H661="",K661=0),"—",IF(ISNUMBER(MATCH(H661,'Zgłoszenia'!$S$5:$S$504,0)),RIGHT("0"&amp;DAY(A661),2)&amp;"."&amp;RIGHT("0"&amp;MONTH(A661),2)&amp;"."&amp;YEAR(A661)&amp;": "&amp;INDEX('Zgłoszenia'!$H$5:$H$504,MATCH(H661,'Zgłoszenia'!$S$5:$S$504,0)),RIGHT("0"&amp;DAY((A661+1)),2)&amp;"."&amp;RIGHT("0"&amp;MONTH((A661+1)),2)&amp;"."&amp;YEAR((A661+1))&amp;": "&amp;INDEX('Zgłoszenia'!$H$5:$H$504,MATCH(F661&amp;"|"&amp;(A661+1),'Zgłoszenia'!$S$5:$S$504,0)))&amp;IF(K661&gt;1," (+"&amp;(K661-1)&amp;")",""))</f>
        <v/>
      </c>
      <c r="M661" s="63" t="n">
        <v>9</v>
      </c>
      <c r="N661" s="2" t="n"/>
      <c r="O661" s="2" t="n"/>
    </row>
    <row r="662">
      <c r="A662" s="62">
        <f>IF('9'!$C$1="","",'9'!$C$1)</f>
        <v/>
      </c>
      <c r="B662" s="63">
        <f>Ustawienia!$A$8&amp;""</f>
        <v/>
      </c>
      <c r="C662" s="63">
        <f>Ustawienia!$A$15&amp;""</f>
        <v/>
      </c>
      <c r="D662" s="63" t="n">
        <v>7</v>
      </c>
      <c r="E662" s="63">
        <f>IF('9'!B19="","",TRIM('9'!B19&amp;""))</f>
        <v/>
      </c>
      <c r="F662" s="63">
        <f>IF('9'!C19="","",'9'!C19)</f>
        <v/>
      </c>
      <c r="G662" s="63">
        <f>'9'!D19&amp;""</f>
        <v/>
      </c>
      <c r="H662" s="63">
        <f>IF(OR(A662="",F662=""),"",F662&amp;"|"&amp;A662)</f>
        <v/>
      </c>
      <c r="I662" s="63">
        <f>IF(AND(H662&lt;&gt;"",OR('Historia wózka'!$B$4="",F662='Historia wózka'!$B$4),A662&gt;='Historia wózka'!$B$5,A662&lt;='Historia wózka'!$B$6),A662+0.9+(5000-ROW())/10000000,0)</f>
        <v/>
      </c>
      <c r="J662" s="63">
        <f>Ustawienia!$B$8&amp;""</f>
        <v/>
      </c>
      <c r="K662" s="63">
        <f>IF(H662="","",COUNTIFS('Zgłoszenia'!$B$5:$B$504,F662,'Zgłoszenia'!$D$5:$D$504,"&gt;="&amp;A662,'Zgłoszenia'!$D$5:$D$504,"&lt;="&amp;(A662+1)))</f>
        <v/>
      </c>
      <c r="L662" s="63">
        <f>IF(OR(H662="",K662=0),"—",IF(ISNUMBER(MATCH(H662,'Zgłoszenia'!$S$5:$S$504,0)),RIGHT("0"&amp;DAY(A662),2)&amp;"."&amp;RIGHT("0"&amp;MONTH(A662),2)&amp;"."&amp;YEAR(A662)&amp;": "&amp;INDEX('Zgłoszenia'!$H$5:$H$504,MATCH(H662,'Zgłoszenia'!$S$5:$S$504,0)),RIGHT("0"&amp;DAY((A662+1)),2)&amp;"."&amp;RIGHT("0"&amp;MONTH((A662+1)),2)&amp;"."&amp;YEAR((A662+1))&amp;": "&amp;INDEX('Zgłoszenia'!$H$5:$H$504,MATCH(F662&amp;"|"&amp;(A662+1),'Zgłoszenia'!$S$5:$S$504,0)))&amp;IF(K662&gt;1," (+"&amp;(K662-1)&amp;")",""))</f>
        <v/>
      </c>
      <c r="M662" s="63" t="n">
        <v>9</v>
      </c>
      <c r="N662" s="2" t="n"/>
      <c r="O662" s="2" t="n"/>
    </row>
    <row r="663">
      <c r="A663" s="62">
        <f>IF('9'!$C$1="","",'9'!$C$1)</f>
        <v/>
      </c>
      <c r="B663" s="63">
        <f>Ustawienia!$A$8&amp;""</f>
        <v/>
      </c>
      <c r="C663" s="63">
        <f>Ustawienia!$A$15&amp;""</f>
        <v/>
      </c>
      <c r="D663" s="63" t="n">
        <v>8</v>
      </c>
      <c r="E663" s="63">
        <f>IF('9'!B20="","",TRIM('9'!B20&amp;""))</f>
        <v/>
      </c>
      <c r="F663" s="63">
        <f>IF('9'!C20="","",'9'!C20)</f>
        <v/>
      </c>
      <c r="G663" s="63">
        <f>'9'!D20&amp;""</f>
        <v/>
      </c>
      <c r="H663" s="63">
        <f>IF(OR(A663="",F663=""),"",F663&amp;"|"&amp;A663)</f>
        <v/>
      </c>
      <c r="I663" s="63">
        <f>IF(AND(H663&lt;&gt;"",OR('Historia wózka'!$B$4="",F663='Historia wózka'!$B$4),A663&gt;='Historia wózka'!$B$5,A663&lt;='Historia wózka'!$B$6),A663+0.9+(5000-ROW())/10000000,0)</f>
        <v/>
      </c>
      <c r="J663" s="63">
        <f>Ustawienia!$B$8&amp;""</f>
        <v/>
      </c>
      <c r="K663" s="63">
        <f>IF(H663="","",COUNTIFS('Zgłoszenia'!$B$5:$B$504,F663,'Zgłoszenia'!$D$5:$D$504,"&gt;="&amp;A663,'Zgłoszenia'!$D$5:$D$504,"&lt;="&amp;(A663+1)))</f>
        <v/>
      </c>
      <c r="L663" s="63">
        <f>IF(OR(H663="",K663=0),"—",IF(ISNUMBER(MATCH(H663,'Zgłoszenia'!$S$5:$S$504,0)),RIGHT("0"&amp;DAY(A663),2)&amp;"."&amp;RIGHT("0"&amp;MONTH(A663),2)&amp;"."&amp;YEAR(A663)&amp;": "&amp;INDEX('Zgłoszenia'!$H$5:$H$504,MATCH(H663,'Zgłoszenia'!$S$5:$S$504,0)),RIGHT("0"&amp;DAY((A663+1)),2)&amp;"."&amp;RIGHT("0"&amp;MONTH((A663+1)),2)&amp;"."&amp;YEAR((A663+1))&amp;": "&amp;INDEX('Zgłoszenia'!$H$5:$H$504,MATCH(F663&amp;"|"&amp;(A663+1),'Zgłoszenia'!$S$5:$S$504,0)))&amp;IF(K663&gt;1," (+"&amp;(K663-1)&amp;")",""))</f>
        <v/>
      </c>
      <c r="M663" s="63" t="n">
        <v>9</v>
      </c>
      <c r="N663" s="2" t="n"/>
      <c r="O663" s="2" t="n"/>
    </row>
    <row r="664">
      <c r="A664" s="62">
        <f>IF('9'!$C$1="","",'9'!$C$1)</f>
        <v/>
      </c>
      <c r="B664" s="63">
        <f>Ustawienia!$A$8&amp;""</f>
        <v/>
      </c>
      <c r="C664" s="63">
        <f>Ustawienia!$A$16&amp;""</f>
        <v/>
      </c>
      <c r="D664" s="63" t="n">
        <v>1</v>
      </c>
      <c r="E664" s="63">
        <f>IF('9'!B22="","",TRIM('9'!B22&amp;""))</f>
        <v/>
      </c>
      <c r="F664" s="63">
        <f>IF('9'!C22="","",'9'!C22)</f>
        <v/>
      </c>
      <c r="G664" s="63">
        <f>'9'!D22&amp;""</f>
        <v/>
      </c>
      <c r="H664" s="63">
        <f>IF(OR(A664="",F664=""),"",F664&amp;"|"&amp;A664)</f>
        <v/>
      </c>
      <c r="I664" s="63">
        <f>IF(AND(H664&lt;&gt;"",OR('Historia wózka'!$B$4="",F664='Historia wózka'!$B$4),A664&gt;='Historia wózka'!$B$5,A664&lt;='Historia wózka'!$B$6),A664+0.9+(5000-ROW())/10000000,0)</f>
        <v/>
      </c>
      <c r="J664" s="63">
        <f>Ustawienia!$B$8&amp;""</f>
        <v/>
      </c>
      <c r="K664" s="63">
        <f>IF(H664="","",COUNTIFS('Zgłoszenia'!$B$5:$B$504,F664,'Zgłoszenia'!$D$5:$D$504,"&gt;="&amp;A664,'Zgłoszenia'!$D$5:$D$504,"&lt;="&amp;(A664+1)))</f>
        <v/>
      </c>
      <c r="L664" s="63">
        <f>IF(OR(H664="",K664=0),"—",IF(ISNUMBER(MATCH(H664,'Zgłoszenia'!$S$5:$S$504,0)),RIGHT("0"&amp;DAY(A664),2)&amp;"."&amp;RIGHT("0"&amp;MONTH(A664),2)&amp;"."&amp;YEAR(A664)&amp;": "&amp;INDEX('Zgłoszenia'!$H$5:$H$504,MATCH(H664,'Zgłoszenia'!$S$5:$S$504,0)),RIGHT("0"&amp;DAY((A664+1)),2)&amp;"."&amp;RIGHT("0"&amp;MONTH((A664+1)),2)&amp;"."&amp;YEAR((A664+1))&amp;": "&amp;INDEX('Zgłoszenia'!$H$5:$H$504,MATCH(F664&amp;"|"&amp;(A664+1),'Zgłoszenia'!$S$5:$S$504,0)))&amp;IF(K664&gt;1," (+"&amp;(K664-1)&amp;")",""))</f>
        <v/>
      </c>
      <c r="M664" s="63" t="n">
        <v>9</v>
      </c>
      <c r="N664" s="2" t="n"/>
      <c r="O664" s="2" t="n"/>
    </row>
    <row r="665">
      <c r="A665" s="62">
        <f>IF('9'!$C$1="","",'9'!$C$1)</f>
        <v/>
      </c>
      <c r="B665" s="63">
        <f>Ustawienia!$A$8&amp;""</f>
        <v/>
      </c>
      <c r="C665" s="63">
        <f>Ustawienia!$A$16&amp;""</f>
        <v/>
      </c>
      <c r="D665" s="63" t="n">
        <v>2</v>
      </c>
      <c r="E665" s="63">
        <f>IF('9'!B23="","",TRIM('9'!B23&amp;""))</f>
        <v/>
      </c>
      <c r="F665" s="63">
        <f>IF('9'!C23="","",'9'!C23)</f>
        <v/>
      </c>
      <c r="G665" s="63">
        <f>'9'!D23&amp;""</f>
        <v/>
      </c>
      <c r="H665" s="63">
        <f>IF(OR(A665="",F665=""),"",F665&amp;"|"&amp;A665)</f>
        <v/>
      </c>
      <c r="I665" s="63">
        <f>IF(AND(H665&lt;&gt;"",OR('Historia wózka'!$B$4="",F665='Historia wózka'!$B$4),A665&gt;='Historia wózka'!$B$5,A665&lt;='Historia wózka'!$B$6),A665+0.9+(5000-ROW())/10000000,0)</f>
        <v/>
      </c>
      <c r="J665" s="63">
        <f>Ustawienia!$B$8&amp;""</f>
        <v/>
      </c>
      <c r="K665" s="63">
        <f>IF(H665="","",COUNTIFS('Zgłoszenia'!$B$5:$B$504,F665,'Zgłoszenia'!$D$5:$D$504,"&gt;="&amp;A665,'Zgłoszenia'!$D$5:$D$504,"&lt;="&amp;(A665+1)))</f>
        <v/>
      </c>
      <c r="L665" s="63">
        <f>IF(OR(H665="",K665=0),"—",IF(ISNUMBER(MATCH(H665,'Zgłoszenia'!$S$5:$S$504,0)),RIGHT("0"&amp;DAY(A665),2)&amp;"."&amp;RIGHT("0"&amp;MONTH(A665),2)&amp;"."&amp;YEAR(A665)&amp;": "&amp;INDEX('Zgłoszenia'!$H$5:$H$504,MATCH(H665,'Zgłoszenia'!$S$5:$S$504,0)),RIGHT("0"&amp;DAY((A665+1)),2)&amp;"."&amp;RIGHT("0"&amp;MONTH((A665+1)),2)&amp;"."&amp;YEAR((A665+1))&amp;": "&amp;INDEX('Zgłoszenia'!$H$5:$H$504,MATCH(F665&amp;"|"&amp;(A665+1),'Zgłoszenia'!$S$5:$S$504,0)))&amp;IF(K665&gt;1," (+"&amp;(K665-1)&amp;")",""))</f>
        <v/>
      </c>
      <c r="M665" s="63" t="n">
        <v>9</v>
      </c>
      <c r="N665" s="2" t="n"/>
      <c r="O665" s="2" t="n"/>
    </row>
    <row r="666">
      <c r="A666" s="62">
        <f>IF('9'!$C$1="","",'9'!$C$1)</f>
        <v/>
      </c>
      <c r="B666" s="63">
        <f>Ustawienia!$A$8&amp;""</f>
        <v/>
      </c>
      <c r="C666" s="63">
        <f>Ustawienia!$A$16&amp;""</f>
        <v/>
      </c>
      <c r="D666" s="63" t="n">
        <v>3</v>
      </c>
      <c r="E666" s="63">
        <f>IF('9'!B24="","",TRIM('9'!B24&amp;""))</f>
        <v/>
      </c>
      <c r="F666" s="63">
        <f>IF('9'!C24="","",'9'!C24)</f>
        <v/>
      </c>
      <c r="G666" s="63">
        <f>'9'!D24&amp;""</f>
        <v/>
      </c>
      <c r="H666" s="63">
        <f>IF(OR(A666="",F666=""),"",F666&amp;"|"&amp;A666)</f>
        <v/>
      </c>
      <c r="I666" s="63">
        <f>IF(AND(H666&lt;&gt;"",OR('Historia wózka'!$B$4="",F666='Historia wózka'!$B$4),A666&gt;='Historia wózka'!$B$5,A666&lt;='Historia wózka'!$B$6),A666+0.9+(5000-ROW())/10000000,0)</f>
        <v/>
      </c>
      <c r="J666" s="63">
        <f>Ustawienia!$B$8&amp;""</f>
        <v/>
      </c>
      <c r="K666" s="63">
        <f>IF(H666="","",COUNTIFS('Zgłoszenia'!$B$5:$B$504,F666,'Zgłoszenia'!$D$5:$D$504,"&gt;="&amp;A666,'Zgłoszenia'!$D$5:$D$504,"&lt;="&amp;(A666+1)))</f>
        <v/>
      </c>
      <c r="L666" s="63">
        <f>IF(OR(H666="",K666=0),"—",IF(ISNUMBER(MATCH(H666,'Zgłoszenia'!$S$5:$S$504,0)),RIGHT("0"&amp;DAY(A666),2)&amp;"."&amp;RIGHT("0"&amp;MONTH(A666),2)&amp;"."&amp;YEAR(A666)&amp;": "&amp;INDEX('Zgłoszenia'!$H$5:$H$504,MATCH(H666,'Zgłoszenia'!$S$5:$S$504,0)),RIGHT("0"&amp;DAY((A666+1)),2)&amp;"."&amp;RIGHT("0"&amp;MONTH((A666+1)),2)&amp;"."&amp;YEAR((A666+1))&amp;": "&amp;INDEX('Zgłoszenia'!$H$5:$H$504,MATCH(F666&amp;"|"&amp;(A666+1),'Zgłoszenia'!$S$5:$S$504,0)))&amp;IF(K666&gt;1," (+"&amp;(K666-1)&amp;")",""))</f>
        <v/>
      </c>
      <c r="M666" s="63" t="n">
        <v>9</v>
      </c>
      <c r="N666" s="2" t="n"/>
      <c r="O666" s="2" t="n"/>
    </row>
    <row r="667">
      <c r="A667" s="62">
        <f>IF('9'!$C$1="","",'9'!$C$1)</f>
        <v/>
      </c>
      <c r="B667" s="63">
        <f>Ustawienia!$A$8&amp;""</f>
        <v/>
      </c>
      <c r="C667" s="63">
        <f>Ustawienia!$A$16&amp;""</f>
        <v/>
      </c>
      <c r="D667" s="63" t="n">
        <v>4</v>
      </c>
      <c r="E667" s="63">
        <f>IF('9'!B25="","",TRIM('9'!B25&amp;""))</f>
        <v/>
      </c>
      <c r="F667" s="63">
        <f>IF('9'!C25="","",'9'!C25)</f>
        <v/>
      </c>
      <c r="G667" s="63">
        <f>'9'!D25&amp;""</f>
        <v/>
      </c>
      <c r="H667" s="63">
        <f>IF(OR(A667="",F667=""),"",F667&amp;"|"&amp;A667)</f>
        <v/>
      </c>
      <c r="I667" s="63">
        <f>IF(AND(H667&lt;&gt;"",OR('Historia wózka'!$B$4="",F667='Historia wózka'!$B$4),A667&gt;='Historia wózka'!$B$5,A667&lt;='Historia wózka'!$B$6),A667+0.9+(5000-ROW())/10000000,0)</f>
        <v/>
      </c>
      <c r="J667" s="63">
        <f>Ustawienia!$B$8&amp;""</f>
        <v/>
      </c>
      <c r="K667" s="63">
        <f>IF(H667="","",COUNTIFS('Zgłoszenia'!$B$5:$B$504,F667,'Zgłoszenia'!$D$5:$D$504,"&gt;="&amp;A667,'Zgłoszenia'!$D$5:$D$504,"&lt;="&amp;(A667+1)))</f>
        <v/>
      </c>
      <c r="L667" s="63">
        <f>IF(OR(H667="",K667=0),"—",IF(ISNUMBER(MATCH(H667,'Zgłoszenia'!$S$5:$S$504,0)),RIGHT("0"&amp;DAY(A667),2)&amp;"."&amp;RIGHT("0"&amp;MONTH(A667),2)&amp;"."&amp;YEAR(A667)&amp;": "&amp;INDEX('Zgłoszenia'!$H$5:$H$504,MATCH(H667,'Zgłoszenia'!$S$5:$S$504,0)),RIGHT("0"&amp;DAY((A667+1)),2)&amp;"."&amp;RIGHT("0"&amp;MONTH((A667+1)),2)&amp;"."&amp;YEAR((A667+1))&amp;": "&amp;INDEX('Zgłoszenia'!$H$5:$H$504,MATCH(F667&amp;"|"&amp;(A667+1),'Zgłoszenia'!$S$5:$S$504,0)))&amp;IF(K667&gt;1," (+"&amp;(K667-1)&amp;")",""))</f>
        <v/>
      </c>
      <c r="M667" s="63" t="n">
        <v>9</v>
      </c>
      <c r="N667" s="2" t="n"/>
      <c r="O667" s="2" t="n"/>
    </row>
    <row r="668">
      <c r="A668" s="62">
        <f>IF('9'!$C$1="","",'9'!$C$1)</f>
        <v/>
      </c>
      <c r="B668" s="63">
        <f>Ustawienia!$A$8&amp;""</f>
        <v/>
      </c>
      <c r="C668" s="63">
        <f>Ustawienia!$A$17&amp;""</f>
        <v/>
      </c>
      <c r="D668" s="63" t="n">
        <v>1</v>
      </c>
      <c r="E668" s="63">
        <f>IF('9'!B27="","",TRIM('9'!B27&amp;""))</f>
        <v/>
      </c>
      <c r="F668" s="63">
        <f>IF('9'!C27="","",'9'!C27)</f>
        <v/>
      </c>
      <c r="G668" s="63">
        <f>'9'!D27&amp;""</f>
        <v/>
      </c>
      <c r="H668" s="63">
        <f>IF(OR(A668="",F668=""),"",F668&amp;"|"&amp;A668)</f>
        <v/>
      </c>
      <c r="I668" s="63">
        <f>IF(AND(H668&lt;&gt;"",OR('Historia wózka'!$B$4="",F668='Historia wózka'!$B$4),A668&gt;='Historia wózka'!$B$5,A668&lt;='Historia wózka'!$B$6),A668+0.9+(5000-ROW())/10000000,0)</f>
        <v/>
      </c>
      <c r="J668" s="63">
        <f>Ustawienia!$B$8&amp;""</f>
        <v/>
      </c>
      <c r="K668" s="63">
        <f>IF(H668="","",COUNTIFS('Zgłoszenia'!$B$5:$B$504,F668,'Zgłoszenia'!$D$5:$D$504,"&gt;="&amp;A668,'Zgłoszenia'!$D$5:$D$504,"&lt;="&amp;(A668+1)))</f>
        <v/>
      </c>
      <c r="L668" s="63">
        <f>IF(OR(H668="",K668=0),"—",IF(ISNUMBER(MATCH(H668,'Zgłoszenia'!$S$5:$S$504,0)),RIGHT("0"&amp;DAY(A668),2)&amp;"."&amp;RIGHT("0"&amp;MONTH(A668),2)&amp;"."&amp;YEAR(A668)&amp;": "&amp;INDEX('Zgłoszenia'!$H$5:$H$504,MATCH(H668,'Zgłoszenia'!$S$5:$S$504,0)),RIGHT("0"&amp;DAY((A668+1)),2)&amp;"."&amp;RIGHT("0"&amp;MONTH((A668+1)),2)&amp;"."&amp;YEAR((A668+1))&amp;": "&amp;INDEX('Zgłoszenia'!$H$5:$H$504,MATCH(F668&amp;"|"&amp;(A668+1),'Zgłoszenia'!$S$5:$S$504,0)))&amp;IF(K668&gt;1," (+"&amp;(K668-1)&amp;")",""))</f>
        <v/>
      </c>
      <c r="M668" s="63" t="n">
        <v>9</v>
      </c>
      <c r="N668" s="2" t="n"/>
      <c r="O668" s="2" t="n"/>
    </row>
    <row r="669">
      <c r="A669" s="62">
        <f>IF('9'!$C$1="","",'9'!$C$1)</f>
        <v/>
      </c>
      <c r="B669" s="63">
        <f>Ustawienia!$A$8&amp;""</f>
        <v/>
      </c>
      <c r="C669" s="63">
        <f>Ustawienia!$A$17&amp;""</f>
        <v/>
      </c>
      <c r="D669" s="63" t="n">
        <v>2</v>
      </c>
      <c r="E669" s="63">
        <f>IF('9'!B28="","",TRIM('9'!B28&amp;""))</f>
        <v/>
      </c>
      <c r="F669" s="63">
        <f>IF('9'!C28="","",'9'!C28)</f>
        <v/>
      </c>
      <c r="G669" s="63">
        <f>'9'!D28&amp;""</f>
        <v/>
      </c>
      <c r="H669" s="63">
        <f>IF(OR(A669="",F669=""),"",F669&amp;"|"&amp;A669)</f>
        <v/>
      </c>
      <c r="I669" s="63">
        <f>IF(AND(H669&lt;&gt;"",OR('Historia wózka'!$B$4="",F669='Historia wózka'!$B$4),A669&gt;='Historia wózka'!$B$5,A669&lt;='Historia wózka'!$B$6),A669+0.9+(5000-ROW())/10000000,0)</f>
        <v/>
      </c>
      <c r="J669" s="63">
        <f>Ustawienia!$B$8&amp;""</f>
        <v/>
      </c>
      <c r="K669" s="63">
        <f>IF(H669="","",COUNTIFS('Zgłoszenia'!$B$5:$B$504,F669,'Zgłoszenia'!$D$5:$D$504,"&gt;="&amp;A669,'Zgłoszenia'!$D$5:$D$504,"&lt;="&amp;(A669+1)))</f>
        <v/>
      </c>
      <c r="L669" s="63">
        <f>IF(OR(H669="",K669=0),"—",IF(ISNUMBER(MATCH(H669,'Zgłoszenia'!$S$5:$S$504,0)),RIGHT("0"&amp;DAY(A669),2)&amp;"."&amp;RIGHT("0"&amp;MONTH(A669),2)&amp;"."&amp;YEAR(A669)&amp;": "&amp;INDEX('Zgłoszenia'!$H$5:$H$504,MATCH(H669,'Zgłoszenia'!$S$5:$S$504,0)),RIGHT("0"&amp;DAY((A669+1)),2)&amp;"."&amp;RIGHT("0"&amp;MONTH((A669+1)),2)&amp;"."&amp;YEAR((A669+1))&amp;": "&amp;INDEX('Zgłoszenia'!$H$5:$H$504,MATCH(F669&amp;"|"&amp;(A669+1),'Zgłoszenia'!$S$5:$S$504,0)))&amp;IF(K669&gt;1," (+"&amp;(K669-1)&amp;")",""))</f>
        <v/>
      </c>
      <c r="M669" s="63" t="n">
        <v>9</v>
      </c>
      <c r="N669" s="2" t="n"/>
      <c r="O669" s="2" t="n"/>
    </row>
    <row r="670">
      <c r="A670" s="62">
        <f>IF('9'!$C$1="","",'9'!$C$1)</f>
        <v/>
      </c>
      <c r="B670" s="63">
        <f>Ustawienia!$A$8&amp;""</f>
        <v/>
      </c>
      <c r="C670" s="63">
        <f>Ustawienia!$A$17&amp;""</f>
        <v/>
      </c>
      <c r="D670" s="63" t="n">
        <v>3</v>
      </c>
      <c r="E670" s="63">
        <f>IF('9'!B29="","",TRIM('9'!B29&amp;""))</f>
        <v/>
      </c>
      <c r="F670" s="63">
        <f>IF('9'!C29="","",'9'!C29)</f>
        <v/>
      </c>
      <c r="G670" s="63">
        <f>'9'!D29&amp;""</f>
        <v/>
      </c>
      <c r="H670" s="63">
        <f>IF(OR(A670="",F670=""),"",F670&amp;"|"&amp;A670)</f>
        <v/>
      </c>
      <c r="I670" s="63">
        <f>IF(AND(H670&lt;&gt;"",OR('Historia wózka'!$B$4="",F670='Historia wózka'!$B$4),A670&gt;='Historia wózka'!$B$5,A670&lt;='Historia wózka'!$B$6),A670+0.9+(5000-ROW())/10000000,0)</f>
        <v/>
      </c>
      <c r="J670" s="63">
        <f>Ustawienia!$B$8&amp;""</f>
        <v/>
      </c>
      <c r="K670" s="63">
        <f>IF(H670="","",COUNTIFS('Zgłoszenia'!$B$5:$B$504,F670,'Zgłoszenia'!$D$5:$D$504,"&gt;="&amp;A670,'Zgłoszenia'!$D$5:$D$504,"&lt;="&amp;(A670+1)))</f>
        <v/>
      </c>
      <c r="L670" s="63">
        <f>IF(OR(H670="",K670=0),"—",IF(ISNUMBER(MATCH(H670,'Zgłoszenia'!$S$5:$S$504,0)),RIGHT("0"&amp;DAY(A670),2)&amp;"."&amp;RIGHT("0"&amp;MONTH(A670),2)&amp;"."&amp;YEAR(A670)&amp;": "&amp;INDEX('Zgłoszenia'!$H$5:$H$504,MATCH(H670,'Zgłoszenia'!$S$5:$S$504,0)),RIGHT("0"&amp;DAY((A670+1)),2)&amp;"."&amp;RIGHT("0"&amp;MONTH((A670+1)),2)&amp;"."&amp;YEAR((A670+1))&amp;": "&amp;INDEX('Zgłoszenia'!$H$5:$H$504,MATCH(F670&amp;"|"&amp;(A670+1),'Zgłoszenia'!$S$5:$S$504,0)))&amp;IF(K670&gt;1," (+"&amp;(K670-1)&amp;")",""))</f>
        <v/>
      </c>
      <c r="M670" s="63" t="n">
        <v>9</v>
      </c>
      <c r="N670" s="2" t="n"/>
      <c r="O670" s="2" t="n"/>
    </row>
    <row r="671">
      <c r="A671" s="62">
        <f>IF('9'!$C$1="","",'9'!$C$1)</f>
        <v/>
      </c>
      <c r="B671" s="63">
        <f>Ustawienia!$A$8&amp;""</f>
        <v/>
      </c>
      <c r="C671" s="63">
        <f>Ustawienia!$A$17&amp;""</f>
        <v/>
      </c>
      <c r="D671" s="63" t="n">
        <v>4</v>
      </c>
      <c r="E671" s="63">
        <f>IF('9'!B30="","",TRIM('9'!B30&amp;""))</f>
        <v/>
      </c>
      <c r="F671" s="63">
        <f>IF('9'!C30="","",'9'!C30)</f>
        <v/>
      </c>
      <c r="G671" s="63">
        <f>'9'!D30&amp;""</f>
        <v/>
      </c>
      <c r="H671" s="63">
        <f>IF(OR(A671="",F671=""),"",F671&amp;"|"&amp;A671)</f>
        <v/>
      </c>
      <c r="I671" s="63">
        <f>IF(AND(H671&lt;&gt;"",OR('Historia wózka'!$B$4="",F671='Historia wózka'!$B$4),A671&gt;='Historia wózka'!$B$5,A671&lt;='Historia wózka'!$B$6),A671+0.9+(5000-ROW())/10000000,0)</f>
        <v/>
      </c>
      <c r="J671" s="63">
        <f>Ustawienia!$B$8&amp;""</f>
        <v/>
      </c>
      <c r="K671" s="63">
        <f>IF(H671="","",COUNTIFS('Zgłoszenia'!$B$5:$B$504,F671,'Zgłoszenia'!$D$5:$D$504,"&gt;="&amp;A671,'Zgłoszenia'!$D$5:$D$504,"&lt;="&amp;(A671+1)))</f>
        <v/>
      </c>
      <c r="L671" s="63">
        <f>IF(OR(H671="",K671=0),"—",IF(ISNUMBER(MATCH(H671,'Zgłoszenia'!$S$5:$S$504,0)),RIGHT("0"&amp;DAY(A671),2)&amp;"."&amp;RIGHT("0"&amp;MONTH(A671),2)&amp;"."&amp;YEAR(A671)&amp;": "&amp;INDEX('Zgłoszenia'!$H$5:$H$504,MATCH(H671,'Zgłoszenia'!$S$5:$S$504,0)),RIGHT("0"&amp;DAY((A671+1)),2)&amp;"."&amp;RIGHT("0"&amp;MONTH((A671+1)),2)&amp;"."&amp;YEAR((A671+1))&amp;": "&amp;INDEX('Zgłoszenia'!$H$5:$H$504,MATCH(F671&amp;"|"&amp;(A671+1),'Zgłoszenia'!$S$5:$S$504,0)))&amp;IF(K671&gt;1," (+"&amp;(K671-1)&amp;")",""))</f>
        <v/>
      </c>
      <c r="M671" s="63" t="n">
        <v>9</v>
      </c>
      <c r="N671" s="2" t="n"/>
      <c r="O671" s="2" t="n"/>
    </row>
    <row r="672">
      <c r="A672" s="62">
        <f>IF('9'!$C$1="","",'9'!$C$1)</f>
        <v/>
      </c>
      <c r="B672" s="63">
        <f>Ustawienia!$A$8&amp;""</f>
        <v/>
      </c>
      <c r="C672" s="63">
        <f>Ustawienia!$A$18&amp;""</f>
        <v/>
      </c>
      <c r="D672" s="63" t="n">
        <v>1</v>
      </c>
      <c r="E672" s="63">
        <f>IF('9'!B32="","",TRIM('9'!B32&amp;""))</f>
        <v/>
      </c>
      <c r="F672" s="63">
        <f>IF('9'!C32="","",'9'!C32)</f>
        <v/>
      </c>
      <c r="G672" s="63">
        <f>'9'!D32&amp;""</f>
        <v/>
      </c>
      <c r="H672" s="63">
        <f>IF(OR(A672="",F672=""),"",F672&amp;"|"&amp;A672)</f>
        <v/>
      </c>
      <c r="I672" s="63">
        <f>IF(AND(H672&lt;&gt;"",OR('Historia wózka'!$B$4="",F672='Historia wózka'!$B$4),A672&gt;='Historia wózka'!$B$5,A672&lt;='Historia wózka'!$B$6),A672+0.9+(5000-ROW())/10000000,0)</f>
        <v/>
      </c>
      <c r="J672" s="63">
        <f>Ustawienia!$B$8&amp;""</f>
        <v/>
      </c>
      <c r="K672" s="63">
        <f>IF(H672="","",COUNTIFS('Zgłoszenia'!$B$5:$B$504,F672,'Zgłoszenia'!$D$5:$D$504,"&gt;="&amp;A672,'Zgłoszenia'!$D$5:$D$504,"&lt;="&amp;(A672+1)))</f>
        <v/>
      </c>
      <c r="L672" s="63">
        <f>IF(OR(H672="",K672=0),"—",IF(ISNUMBER(MATCH(H672,'Zgłoszenia'!$S$5:$S$504,0)),RIGHT("0"&amp;DAY(A672),2)&amp;"."&amp;RIGHT("0"&amp;MONTH(A672),2)&amp;"."&amp;YEAR(A672)&amp;": "&amp;INDEX('Zgłoszenia'!$H$5:$H$504,MATCH(H672,'Zgłoszenia'!$S$5:$S$504,0)),RIGHT("0"&amp;DAY((A672+1)),2)&amp;"."&amp;RIGHT("0"&amp;MONTH((A672+1)),2)&amp;"."&amp;YEAR((A672+1))&amp;": "&amp;INDEX('Zgłoszenia'!$H$5:$H$504,MATCH(F672&amp;"|"&amp;(A672+1),'Zgłoszenia'!$S$5:$S$504,0)))&amp;IF(K672&gt;1," (+"&amp;(K672-1)&amp;")",""))</f>
        <v/>
      </c>
      <c r="M672" s="63" t="n">
        <v>9</v>
      </c>
      <c r="N672" s="2" t="n"/>
      <c r="O672" s="2" t="n"/>
    </row>
    <row r="673">
      <c r="A673" s="62">
        <f>IF('9'!$C$1="","",'9'!$C$1)</f>
        <v/>
      </c>
      <c r="B673" s="63">
        <f>Ustawienia!$A$8&amp;""</f>
        <v/>
      </c>
      <c r="C673" s="63">
        <f>Ustawienia!$A$18&amp;""</f>
        <v/>
      </c>
      <c r="D673" s="63" t="n">
        <v>2</v>
      </c>
      <c r="E673" s="63">
        <f>IF('9'!B33="","",TRIM('9'!B33&amp;""))</f>
        <v/>
      </c>
      <c r="F673" s="63">
        <f>IF('9'!C33="","",'9'!C33)</f>
        <v/>
      </c>
      <c r="G673" s="63">
        <f>'9'!D33&amp;""</f>
        <v/>
      </c>
      <c r="H673" s="63">
        <f>IF(OR(A673="",F673=""),"",F673&amp;"|"&amp;A673)</f>
        <v/>
      </c>
      <c r="I673" s="63">
        <f>IF(AND(H673&lt;&gt;"",OR('Historia wózka'!$B$4="",F673='Historia wózka'!$B$4),A673&gt;='Historia wózka'!$B$5,A673&lt;='Historia wózka'!$B$6),A673+0.9+(5000-ROW())/10000000,0)</f>
        <v/>
      </c>
      <c r="J673" s="63">
        <f>Ustawienia!$B$8&amp;""</f>
        <v/>
      </c>
      <c r="K673" s="63">
        <f>IF(H673="","",COUNTIFS('Zgłoszenia'!$B$5:$B$504,F673,'Zgłoszenia'!$D$5:$D$504,"&gt;="&amp;A673,'Zgłoszenia'!$D$5:$D$504,"&lt;="&amp;(A673+1)))</f>
        <v/>
      </c>
      <c r="L673" s="63">
        <f>IF(OR(H673="",K673=0),"—",IF(ISNUMBER(MATCH(H673,'Zgłoszenia'!$S$5:$S$504,0)),RIGHT("0"&amp;DAY(A673),2)&amp;"."&amp;RIGHT("0"&amp;MONTH(A673),2)&amp;"."&amp;YEAR(A673)&amp;": "&amp;INDEX('Zgłoszenia'!$H$5:$H$504,MATCH(H673,'Zgłoszenia'!$S$5:$S$504,0)),RIGHT("0"&amp;DAY((A673+1)),2)&amp;"."&amp;RIGHT("0"&amp;MONTH((A673+1)),2)&amp;"."&amp;YEAR((A673+1))&amp;": "&amp;INDEX('Zgłoszenia'!$H$5:$H$504,MATCH(F673&amp;"|"&amp;(A673+1),'Zgłoszenia'!$S$5:$S$504,0)))&amp;IF(K673&gt;1," (+"&amp;(K673-1)&amp;")",""))</f>
        <v/>
      </c>
      <c r="M673" s="63" t="n">
        <v>9</v>
      </c>
      <c r="N673" s="2" t="n"/>
      <c r="O673" s="2" t="n"/>
    </row>
    <row r="674">
      <c r="A674" s="62">
        <f>IF('9'!$C$1="","",'9'!$C$1)</f>
        <v/>
      </c>
      <c r="B674" s="63">
        <f>Ustawienia!$A$8&amp;""</f>
        <v/>
      </c>
      <c r="C674" s="63">
        <f>Ustawienia!$A$18&amp;""</f>
        <v/>
      </c>
      <c r="D674" s="63" t="n">
        <v>3</v>
      </c>
      <c r="E674" s="63">
        <f>IF('9'!B34="","",TRIM('9'!B34&amp;""))</f>
        <v/>
      </c>
      <c r="F674" s="63">
        <f>IF('9'!C34="","",'9'!C34)</f>
        <v/>
      </c>
      <c r="G674" s="63">
        <f>'9'!D34&amp;""</f>
        <v/>
      </c>
      <c r="H674" s="63">
        <f>IF(OR(A674="",F674=""),"",F674&amp;"|"&amp;A674)</f>
        <v/>
      </c>
      <c r="I674" s="63">
        <f>IF(AND(H674&lt;&gt;"",OR('Historia wózka'!$B$4="",F674='Historia wózka'!$B$4),A674&gt;='Historia wózka'!$B$5,A674&lt;='Historia wózka'!$B$6),A674+0.9+(5000-ROW())/10000000,0)</f>
        <v/>
      </c>
      <c r="J674" s="63">
        <f>Ustawienia!$B$8&amp;""</f>
        <v/>
      </c>
      <c r="K674" s="63">
        <f>IF(H674="","",COUNTIFS('Zgłoszenia'!$B$5:$B$504,F674,'Zgłoszenia'!$D$5:$D$504,"&gt;="&amp;A674,'Zgłoszenia'!$D$5:$D$504,"&lt;="&amp;(A674+1)))</f>
        <v/>
      </c>
      <c r="L674" s="63">
        <f>IF(OR(H674="",K674=0),"—",IF(ISNUMBER(MATCH(H674,'Zgłoszenia'!$S$5:$S$504,0)),RIGHT("0"&amp;DAY(A674),2)&amp;"."&amp;RIGHT("0"&amp;MONTH(A674),2)&amp;"."&amp;YEAR(A674)&amp;": "&amp;INDEX('Zgłoszenia'!$H$5:$H$504,MATCH(H674,'Zgłoszenia'!$S$5:$S$504,0)),RIGHT("0"&amp;DAY((A674+1)),2)&amp;"."&amp;RIGHT("0"&amp;MONTH((A674+1)),2)&amp;"."&amp;YEAR((A674+1))&amp;": "&amp;INDEX('Zgłoszenia'!$H$5:$H$504,MATCH(F674&amp;"|"&amp;(A674+1),'Zgłoszenia'!$S$5:$S$504,0)))&amp;IF(K674&gt;1," (+"&amp;(K674-1)&amp;")",""))</f>
        <v/>
      </c>
      <c r="M674" s="63" t="n">
        <v>9</v>
      </c>
      <c r="N674" s="2" t="n"/>
      <c r="O674" s="2" t="n"/>
    </row>
    <row r="675">
      <c r="A675" s="62">
        <f>IF('9'!$C$1="","",'9'!$C$1)</f>
        <v/>
      </c>
      <c r="B675" s="63">
        <f>Ustawienia!$A$8&amp;""</f>
        <v/>
      </c>
      <c r="C675" s="63">
        <f>Ustawienia!$A$18&amp;""</f>
        <v/>
      </c>
      <c r="D675" s="63" t="n">
        <v>4</v>
      </c>
      <c r="E675" s="63">
        <f>IF('9'!B35="","",TRIM('9'!B35&amp;""))</f>
        <v/>
      </c>
      <c r="F675" s="63">
        <f>IF('9'!C35="","",'9'!C35)</f>
        <v/>
      </c>
      <c r="G675" s="63">
        <f>'9'!D35&amp;""</f>
        <v/>
      </c>
      <c r="H675" s="63">
        <f>IF(OR(A675="",F675=""),"",F675&amp;"|"&amp;A675)</f>
        <v/>
      </c>
      <c r="I675" s="63">
        <f>IF(AND(H675&lt;&gt;"",OR('Historia wózka'!$B$4="",F675='Historia wózka'!$B$4),A675&gt;='Historia wózka'!$B$5,A675&lt;='Historia wózka'!$B$6),A675+0.9+(5000-ROW())/10000000,0)</f>
        <v/>
      </c>
      <c r="J675" s="63">
        <f>Ustawienia!$B$8&amp;""</f>
        <v/>
      </c>
      <c r="K675" s="63">
        <f>IF(H675="","",COUNTIFS('Zgłoszenia'!$B$5:$B$504,F675,'Zgłoszenia'!$D$5:$D$504,"&gt;="&amp;A675,'Zgłoszenia'!$D$5:$D$504,"&lt;="&amp;(A675+1)))</f>
        <v/>
      </c>
      <c r="L675" s="63">
        <f>IF(OR(H675="",K675=0),"—",IF(ISNUMBER(MATCH(H675,'Zgłoszenia'!$S$5:$S$504,0)),RIGHT("0"&amp;DAY(A675),2)&amp;"."&amp;RIGHT("0"&amp;MONTH(A675),2)&amp;"."&amp;YEAR(A675)&amp;": "&amp;INDEX('Zgłoszenia'!$H$5:$H$504,MATCH(H675,'Zgłoszenia'!$S$5:$S$504,0)),RIGHT("0"&amp;DAY((A675+1)),2)&amp;"."&amp;RIGHT("0"&amp;MONTH((A675+1)),2)&amp;"."&amp;YEAR((A675+1))&amp;": "&amp;INDEX('Zgłoszenia'!$H$5:$H$504,MATCH(F675&amp;"|"&amp;(A675+1),'Zgłoszenia'!$S$5:$S$504,0)))&amp;IF(K675&gt;1," (+"&amp;(K675-1)&amp;")",""))</f>
        <v/>
      </c>
      <c r="M675" s="63" t="n">
        <v>9</v>
      </c>
      <c r="N675" s="2" t="n"/>
      <c r="O675" s="2" t="n"/>
    </row>
    <row r="676">
      <c r="A676" s="62">
        <f>IF('9'!$C$1="","",'9'!$C$1)</f>
        <v/>
      </c>
      <c r="B676" s="63">
        <f>Ustawienia!$A$8&amp;""</f>
        <v/>
      </c>
      <c r="C676" s="63">
        <f>Ustawienia!$A$18&amp;""</f>
        <v/>
      </c>
      <c r="D676" s="63" t="n">
        <v>5</v>
      </c>
      <c r="E676" s="63">
        <f>IF('9'!B36="","",TRIM('9'!B36&amp;""))</f>
        <v/>
      </c>
      <c r="F676" s="63">
        <f>IF('9'!C36="","",'9'!C36)</f>
        <v/>
      </c>
      <c r="G676" s="63">
        <f>'9'!D36&amp;""</f>
        <v/>
      </c>
      <c r="H676" s="63">
        <f>IF(OR(A676="",F676=""),"",F676&amp;"|"&amp;A676)</f>
        <v/>
      </c>
      <c r="I676" s="63">
        <f>IF(AND(H676&lt;&gt;"",OR('Historia wózka'!$B$4="",F676='Historia wózka'!$B$4),A676&gt;='Historia wózka'!$B$5,A676&lt;='Historia wózka'!$B$6),A676+0.9+(5000-ROW())/10000000,0)</f>
        <v/>
      </c>
      <c r="J676" s="63">
        <f>Ustawienia!$B$8&amp;""</f>
        <v/>
      </c>
      <c r="K676" s="63">
        <f>IF(H676="","",COUNTIFS('Zgłoszenia'!$B$5:$B$504,F676,'Zgłoszenia'!$D$5:$D$504,"&gt;="&amp;A676,'Zgłoszenia'!$D$5:$D$504,"&lt;="&amp;(A676+1)))</f>
        <v/>
      </c>
      <c r="L676" s="63">
        <f>IF(OR(H676="",K676=0),"—",IF(ISNUMBER(MATCH(H676,'Zgłoszenia'!$S$5:$S$504,0)),RIGHT("0"&amp;DAY(A676),2)&amp;"."&amp;RIGHT("0"&amp;MONTH(A676),2)&amp;"."&amp;YEAR(A676)&amp;": "&amp;INDEX('Zgłoszenia'!$H$5:$H$504,MATCH(H676,'Zgłoszenia'!$S$5:$S$504,0)),RIGHT("0"&amp;DAY((A676+1)),2)&amp;"."&amp;RIGHT("0"&amp;MONTH((A676+1)),2)&amp;"."&amp;YEAR((A676+1))&amp;": "&amp;INDEX('Zgłoszenia'!$H$5:$H$504,MATCH(F676&amp;"|"&amp;(A676+1),'Zgłoszenia'!$S$5:$S$504,0)))&amp;IF(K676&gt;1," (+"&amp;(K676-1)&amp;")",""))</f>
        <v/>
      </c>
      <c r="M676" s="63" t="n">
        <v>9</v>
      </c>
      <c r="N676" s="2" t="n"/>
      <c r="O676" s="2" t="n"/>
    </row>
    <row r="677">
      <c r="A677" s="62">
        <f>IF('9'!$C$1="","",'9'!$C$1)</f>
        <v/>
      </c>
      <c r="B677" s="63">
        <f>Ustawienia!$A$9&amp;""</f>
        <v/>
      </c>
      <c r="C677" s="63">
        <f>Ustawienia!$A$14&amp;""</f>
        <v/>
      </c>
      <c r="D677" s="63" t="n">
        <v>1</v>
      </c>
      <c r="E677" s="63">
        <f>IF('9'!F6="","",TRIM('9'!F6&amp;""))</f>
        <v/>
      </c>
      <c r="F677" s="63">
        <f>IF('9'!G6="","",'9'!G6)</f>
        <v/>
      </c>
      <c r="G677" s="63">
        <f>'9'!H6&amp;""</f>
        <v/>
      </c>
      <c r="H677" s="63">
        <f>IF(OR(A677="",F677=""),"",F677&amp;"|"&amp;A677)</f>
        <v/>
      </c>
      <c r="I677" s="63">
        <f>IF(AND(H677&lt;&gt;"",OR('Historia wózka'!$B$4="",F677='Historia wózka'!$B$4),A677&gt;='Historia wózka'!$B$5,A677&lt;='Historia wózka'!$B$6),A677+0.8+(5000-ROW())/10000000,0)</f>
        <v/>
      </c>
      <c r="J677" s="63">
        <f>Ustawienia!$B$9&amp;""</f>
        <v/>
      </c>
      <c r="K677" s="63">
        <f>IF(H677="","",COUNTIFS('Zgłoszenia'!$B$5:$B$504,F677,'Zgłoszenia'!$D$5:$D$504,"&gt;="&amp;A677,'Zgłoszenia'!$D$5:$D$504,"&lt;="&amp;(A677+1)))</f>
        <v/>
      </c>
      <c r="L677" s="63">
        <f>IF(OR(H677="",K677=0),"—",IF(ISNUMBER(MATCH(H677,'Zgłoszenia'!$S$5:$S$504,0)),RIGHT("0"&amp;DAY(A677),2)&amp;"."&amp;RIGHT("0"&amp;MONTH(A677),2)&amp;"."&amp;YEAR(A677)&amp;": "&amp;INDEX('Zgłoszenia'!$H$5:$H$504,MATCH(H677,'Zgłoszenia'!$S$5:$S$504,0)),RIGHT("0"&amp;DAY((A677+1)),2)&amp;"."&amp;RIGHT("0"&amp;MONTH((A677+1)),2)&amp;"."&amp;YEAR((A677+1))&amp;": "&amp;INDEX('Zgłoszenia'!$H$5:$H$504,MATCH(F677&amp;"|"&amp;(A677+1),'Zgłoszenia'!$S$5:$S$504,0)))&amp;IF(K677&gt;1," (+"&amp;(K677-1)&amp;")",""))</f>
        <v/>
      </c>
      <c r="M677" s="63" t="n">
        <v>9</v>
      </c>
      <c r="N677" s="2" t="n"/>
      <c r="O677" s="2" t="n"/>
    </row>
    <row r="678">
      <c r="A678" s="62">
        <f>IF('9'!$C$1="","",'9'!$C$1)</f>
        <v/>
      </c>
      <c r="B678" s="63">
        <f>Ustawienia!$A$9&amp;""</f>
        <v/>
      </c>
      <c r="C678" s="63">
        <f>Ustawienia!$A$14&amp;""</f>
        <v/>
      </c>
      <c r="D678" s="63" t="n">
        <v>2</v>
      </c>
      <c r="E678" s="63">
        <f>IF('9'!F7="","",TRIM('9'!F7&amp;""))</f>
        <v/>
      </c>
      <c r="F678" s="63">
        <f>IF('9'!G7="","",'9'!G7)</f>
        <v/>
      </c>
      <c r="G678" s="63">
        <f>'9'!H7&amp;""</f>
        <v/>
      </c>
      <c r="H678" s="63">
        <f>IF(OR(A678="",F678=""),"",F678&amp;"|"&amp;A678)</f>
        <v/>
      </c>
      <c r="I678" s="63">
        <f>IF(AND(H678&lt;&gt;"",OR('Historia wózka'!$B$4="",F678='Historia wózka'!$B$4),A678&gt;='Historia wózka'!$B$5,A678&lt;='Historia wózka'!$B$6),A678+0.8+(5000-ROW())/10000000,0)</f>
        <v/>
      </c>
      <c r="J678" s="63">
        <f>Ustawienia!$B$9&amp;""</f>
        <v/>
      </c>
      <c r="K678" s="63">
        <f>IF(H678="","",COUNTIFS('Zgłoszenia'!$B$5:$B$504,F678,'Zgłoszenia'!$D$5:$D$504,"&gt;="&amp;A678,'Zgłoszenia'!$D$5:$D$504,"&lt;="&amp;(A678+1)))</f>
        <v/>
      </c>
      <c r="L678" s="63">
        <f>IF(OR(H678="",K678=0),"—",IF(ISNUMBER(MATCH(H678,'Zgłoszenia'!$S$5:$S$504,0)),RIGHT("0"&amp;DAY(A678),2)&amp;"."&amp;RIGHT("0"&amp;MONTH(A678),2)&amp;"."&amp;YEAR(A678)&amp;": "&amp;INDEX('Zgłoszenia'!$H$5:$H$504,MATCH(H678,'Zgłoszenia'!$S$5:$S$504,0)),RIGHT("0"&amp;DAY((A678+1)),2)&amp;"."&amp;RIGHT("0"&amp;MONTH((A678+1)),2)&amp;"."&amp;YEAR((A678+1))&amp;": "&amp;INDEX('Zgłoszenia'!$H$5:$H$504,MATCH(F678&amp;"|"&amp;(A678+1),'Zgłoszenia'!$S$5:$S$504,0)))&amp;IF(K678&gt;1," (+"&amp;(K678-1)&amp;")",""))</f>
        <v/>
      </c>
      <c r="M678" s="63" t="n">
        <v>9</v>
      </c>
      <c r="N678" s="2" t="n"/>
      <c r="O678" s="2" t="n"/>
    </row>
    <row r="679">
      <c r="A679" s="62">
        <f>IF('9'!$C$1="","",'9'!$C$1)</f>
        <v/>
      </c>
      <c r="B679" s="63">
        <f>Ustawienia!$A$9&amp;""</f>
        <v/>
      </c>
      <c r="C679" s="63">
        <f>Ustawienia!$A$14&amp;""</f>
        <v/>
      </c>
      <c r="D679" s="63" t="n">
        <v>3</v>
      </c>
      <c r="E679" s="63">
        <f>IF('9'!F8="","",TRIM('9'!F8&amp;""))</f>
        <v/>
      </c>
      <c r="F679" s="63">
        <f>IF('9'!G8="","",'9'!G8)</f>
        <v/>
      </c>
      <c r="G679" s="63">
        <f>'9'!H8&amp;""</f>
        <v/>
      </c>
      <c r="H679" s="63">
        <f>IF(OR(A679="",F679=""),"",F679&amp;"|"&amp;A679)</f>
        <v/>
      </c>
      <c r="I679" s="63">
        <f>IF(AND(H679&lt;&gt;"",OR('Historia wózka'!$B$4="",F679='Historia wózka'!$B$4),A679&gt;='Historia wózka'!$B$5,A679&lt;='Historia wózka'!$B$6),A679+0.8+(5000-ROW())/10000000,0)</f>
        <v/>
      </c>
      <c r="J679" s="63">
        <f>Ustawienia!$B$9&amp;""</f>
        <v/>
      </c>
      <c r="K679" s="63">
        <f>IF(H679="","",COUNTIFS('Zgłoszenia'!$B$5:$B$504,F679,'Zgłoszenia'!$D$5:$D$504,"&gt;="&amp;A679,'Zgłoszenia'!$D$5:$D$504,"&lt;="&amp;(A679+1)))</f>
        <v/>
      </c>
      <c r="L679" s="63">
        <f>IF(OR(H679="",K679=0),"—",IF(ISNUMBER(MATCH(H679,'Zgłoszenia'!$S$5:$S$504,0)),RIGHT("0"&amp;DAY(A679),2)&amp;"."&amp;RIGHT("0"&amp;MONTH(A679),2)&amp;"."&amp;YEAR(A679)&amp;": "&amp;INDEX('Zgłoszenia'!$H$5:$H$504,MATCH(H679,'Zgłoszenia'!$S$5:$S$504,0)),RIGHT("0"&amp;DAY((A679+1)),2)&amp;"."&amp;RIGHT("0"&amp;MONTH((A679+1)),2)&amp;"."&amp;YEAR((A679+1))&amp;": "&amp;INDEX('Zgłoszenia'!$H$5:$H$504,MATCH(F679&amp;"|"&amp;(A679+1),'Zgłoszenia'!$S$5:$S$504,0)))&amp;IF(K679&gt;1," (+"&amp;(K679-1)&amp;")",""))</f>
        <v/>
      </c>
      <c r="M679" s="63" t="n">
        <v>9</v>
      </c>
      <c r="N679" s="2" t="n"/>
      <c r="O679" s="2" t="n"/>
    </row>
    <row r="680">
      <c r="A680" s="62">
        <f>IF('9'!$C$1="","",'9'!$C$1)</f>
        <v/>
      </c>
      <c r="B680" s="63">
        <f>Ustawienia!$A$9&amp;""</f>
        <v/>
      </c>
      <c r="C680" s="63">
        <f>Ustawienia!$A$14&amp;""</f>
        <v/>
      </c>
      <c r="D680" s="63" t="n">
        <v>4</v>
      </c>
      <c r="E680" s="63">
        <f>IF('9'!F9="","",TRIM('9'!F9&amp;""))</f>
        <v/>
      </c>
      <c r="F680" s="63">
        <f>IF('9'!G9="","",'9'!G9)</f>
        <v/>
      </c>
      <c r="G680" s="63">
        <f>'9'!H9&amp;""</f>
        <v/>
      </c>
      <c r="H680" s="63">
        <f>IF(OR(A680="",F680=""),"",F680&amp;"|"&amp;A680)</f>
        <v/>
      </c>
      <c r="I680" s="63">
        <f>IF(AND(H680&lt;&gt;"",OR('Historia wózka'!$B$4="",F680='Historia wózka'!$B$4),A680&gt;='Historia wózka'!$B$5,A680&lt;='Historia wózka'!$B$6),A680+0.8+(5000-ROW())/10000000,0)</f>
        <v/>
      </c>
      <c r="J680" s="63">
        <f>Ustawienia!$B$9&amp;""</f>
        <v/>
      </c>
      <c r="K680" s="63">
        <f>IF(H680="","",COUNTIFS('Zgłoszenia'!$B$5:$B$504,F680,'Zgłoszenia'!$D$5:$D$504,"&gt;="&amp;A680,'Zgłoszenia'!$D$5:$D$504,"&lt;="&amp;(A680+1)))</f>
        <v/>
      </c>
      <c r="L680" s="63">
        <f>IF(OR(H680="",K680=0),"—",IF(ISNUMBER(MATCH(H680,'Zgłoszenia'!$S$5:$S$504,0)),RIGHT("0"&amp;DAY(A680),2)&amp;"."&amp;RIGHT("0"&amp;MONTH(A680),2)&amp;"."&amp;YEAR(A680)&amp;": "&amp;INDEX('Zgłoszenia'!$H$5:$H$504,MATCH(H680,'Zgłoszenia'!$S$5:$S$504,0)),RIGHT("0"&amp;DAY((A680+1)),2)&amp;"."&amp;RIGHT("0"&amp;MONTH((A680+1)),2)&amp;"."&amp;YEAR((A680+1))&amp;": "&amp;INDEX('Zgłoszenia'!$H$5:$H$504,MATCH(F680&amp;"|"&amp;(A680+1),'Zgłoszenia'!$S$5:$S$504,0)))&amp;IF(K680&gt;1," (+"&amp;(K680-1)&amp;")",""))</f>
        <v/>
      </c>
      <c r="M680" s="63" t="n">
        <v>9</v>
      </c>
      <c r="N680" s="2" t="n"/>
      <c r="O680" s="2" t="n"/>
    </row>
    <row r="681">
      <c r="A681" s="62">
        <f>IF('9'!$C$1="","",'9'!$C$1)</f>
        <v/>
      </c>
      <c r="B681" s="63">
        <f>Ustawienia!$A$9&amp;""</f>
        <v/>
      </c>
      <c r="C681" s="63">
        <f>Ustawienia!$A$14&amp;""</f>
        <v/>
      </c>
      <c r="D681" s="63" t="n">
        <v>5</v>
      </c>
      <c r="E681" s="63">
        <f>IF('9'!F10="","",TRIM('9'!F10&amp;""))</f>
        <v/>
      </c>
      <c r="F681" s="63">
        <f>IF('9'!G10="","",'9'!G10)</f>
        <v/>
      </c>
      <c r="G681" s="63">
        <f>'9'!H10&amp;""</f>
        <v/>
      </c>
      <c r="H681" s="63">
        <f>IF(OR(A681="",F681=""),"",F681&amp;"|"&amp;A681)</f>
        <v/>
      </c>
      <c r="I681" s="63">
        <f>IF(AND(H681&lt;&gt;"",OR('Historia wózka'!$B$4="",F681='Historia wózka'!$B$4),A681&gt;='Historia wózka'!$B$5,A681&lt;='Historia wózka'!$B$6),A681+0.8+(5000-ROW())/10000000,0)</f>
        <v/>
      </c>
      <c r="J681" s="63">
        <f>Ustawienia!$B$9&amp;""</f>
        <v/>
      </c>
      <c r="K681" s="63">
        <f>IF(H681="","",COUNTIFS('Zgłoszenia'!$B$5:$B$504,F681,'Zgłoszenia'!$D$5:$D$504,"&gt;="&amp;A681,'Zgłoszenia'!$D$5:$D$504,"&lt;="&amp;(A681+1)))</f>
        <v/>
      </c>
      <c r="L681" s="63">
        <f>IF(OR(H681="",K681=0),"—",IF(ISNUMBER(MATCH(H681,'Zgłoszenia'!$S$5:$S$504,0)),RIGHT("0"&amp;DAY(A681),2)&amp;"."&amp;RIGHT("0"&amp;MONTH(A681),2)&amp;"."&amp;YEAR(A681)&amp;": "&amp;INDEX('Zgłoszenia'!$H$5:$H$504,MATCH(H681,'Zgłoszenia'!$S$5:$S$504,0)),RIGHT("0"&amp;DAY((A681+1)),2)&amp;"."&amp;RIGHT("0"&amp;MONTH((A681+1)),2)&amp;"."&amp;YEAR((A681+1))&amp;": "&amp;INDEX('Zgłoszenia'!$H$5:$H$504,MATCH(F681&amp;"|"&amp;(A681+1),'Zgłoszenia'!$S$5:$S$504,0)))&amp;IF(K681&gt;1," (+"&amp;(K681-1)&amp;")",""))</f>
        <v/>
      </c>
      <c r="M681" s="63" t="n">
        <v>9</v>
      </c>
      <c r="N681" s="2" t="n"/>
      <c r="O681" s="2" t="n"/>
    </row>
    <row r="682">
      <c r="A682" s="62">
        <f>IF('9'!$C$1="","",'9'!$C$1)</f>
        <v/>
      </c>
      <c r="B682" s="63">
        <f>Ustawienia!$A$9&amp;""</f>
        <v/>
      </c>
      <c r="C682" s="63">
        <f>Ustawienia!$A$14&amp;""</f>
        <v/>
      </c>
      <c r="D682" s="63" t="n">
        <v>6</v>
      </c>
      <c r="E682" s="63">
        <f>IF('9'!F11="","",TRIM('9'!F11&amp;""))</f>
        <v/>
      </c>
      <c r="F682" s="63">
        <f>IF('9'!G11="","",'9'!G11)</f>
        <v/>
      </c>
      <c r="G682" s="63">
        <f>'9'!H11&amp;""</f>
        <v/>
      </c>
      <c r="H682" s="63">
        <f>IF(OR(A682="",F682=""),"",F682&amp;"|"&amp;A682)</f>
        <v/>
      </c>
      <c r="I682" s="63">
        <f>IF(AND(H682&lt;&gt;"",OR('Historia wózka'!$B$4="",F682='Historia wózka'!$B$4),A682&gt;='Historia wózka'!$B$5,A682&lt;='Historia wózka'!$B$6),A682+0.8+(5000-ROW())/10000000,0)</f>
        <v/>
      </c>
      <c r="J682" s="63">
        <f>Ustawienia!$B$9&amp;""</f>
        <v/>
      </c>
      <c r="K682" s="63">
        <f>IF(H682="","",COUNTIFS('Zgłoszenia'!$B$5:$B$504,F682,'Zgłoszenia'!$D$5:$D$504,"&gt;="&amp;A682,'Zgłoszenia'!$D$5:$D$504,"&lt;="&amp;(A682+1)))</f>
        <v/>
      </c>
      <c r="L682" s="63">
        <f>IF(OR(H682="",K682=0),"—",IF(ISNUMBER(MATCH(H682,'Zgłoszenia'!$S$5:$S$504,0)),RIGHT("0"&amp;DAY(A682),2)&amp;"."&amp;RIGHT("0"&amp;MONTH(A682),2)&amp;"."&amp;YEAR(A682)&amp;": "&amp;INDEX('Zgłoszenia'!$H$5:$H$504,MATCH(H682,'Zgłoszenia'!$S$5:$S$504,0)),RIGHT("0"&amp;DAY((A682+1)),2)&amp;"."&amp;RIGHT("0"&amp;MONTH((A682+1)),2)&amp;"."&amp;YEAR((A682+1))&amp;": "&amp;INDEX('Zgłoszenia'!$H$5:$H$504,MATCH(F682&amp;"|"&amp;(A682+1),'Zgłoszenia'!$S$5:$S$504,0)))&amp;IF(K682&gt;1," (+"&amp;(K682-1)&amp;")",""))</f>
        <v/>
      </c>
      <c r="M682" s="63" t="n">
        <v>9</v>
      </c>
      <c r="N682" s="2" t="n"/>
      <c r="O682" s="2" t="n"/>
    </row>
    <row r="683">
      <c r="A683" s="62">
        <f>IF('9'!$C$1="","",'9'!$C$1)</f>
        <v/>
      </c>
      <c r="B683" s="63">
        <f>Ustawienia!$A$9&amp;""</f>
        <v/>
      </c>
      <c r="C683" s="63">
        <f>Ustawienia!$A$15&amp;""</f>
        <v/>
      </c>
      <c r="D683" s="63" t="n">
        <v>1</v>
      </c>
      <c r="E683" s="63">
        <f>IF('9'!F13="","",TRIM('9'!F13&amp;""))</f>
        <v/>
      </c>
      <c r="F683" s="63">
        <f>IF('9'!G13="","",'9'!G13)</f>
        <v/>
      </c>
      <c r="G683" s="63">
        <f>'9'!H13&amp;""</f>
        <v/>
      </c>
      <c r="H683" s="63">
        <f>IF(OR(A683="",F683=""),"",F683&amp;"|"&amp;A683)</f>
        <v/>
      </c>
      <c r="I683" s="63">
        <f>IF(AND(H683&lt;&gt;"",OR('Historia wózka'!$B$4="",F683='Historia wózka'!$B$4),A683&gt;='Historia wózka'!$B$5,A683&lt;='Historia wózka'!$B$6),A683+0.8+(5000-ROW())/10000000,0)</f>
        <v/>
      </c>
      <c r="J683" s="63">
        <f>Ustawienia!$B$9&amp;""</f>
        <v/>
      </c>
      <c r="K683" s="63">
        <f>IF(H683="","",COUNTIFS('Zgłoszenia'!$B$5:$B$504,F683,'Zgłoszenia'!$D$5:$D$504,"&gt;="&amp;A683,'Zgłoszenia'!$D$5:$D$504,"&lt;="&amp;(A683+1)))</f>
        <v/>
      </c>
      <c r="L683" s="63">
        <f>IF(OR(H683="",K683=0),"—",IF(ISNUMBER(MATCH(H683,'Zgłoszenia'!$S$5:$S$504,0)),RIGHT("0"&amp;DAY(A683),2)&amp;"."&amp;RIGHT("0"&amp;MONTH(A683),2)&amp;"."&amp;YEAR(A683)&amp;": "&amp;INDEX('Zgłoszenia'!$H$5:$H$504,MATCH(H683,'Zgłoszenia'!$S$5:$S$504,0)),RIGHT("0"&amp;DAY((A683+1)),2)&amp;"."&amp;RIGHT("0"&amp;MONTH((A683+1)),2)&amp;"."&amp;YEAR((A683+1))&amp;": "&amp;INDEX('Zgłoszenia'!$H$5:$H$504,MATCH(F683&amp;"|"&amp;(A683+1),'Zgłoszenia'!$S$5:$S$504,0)))&amp;IF(K683&gt;1," (+"&amp;(K683-1)&amp;")",""))</f>
        <v/>
      </c>
      <c r="M683" s="63" t="n">
        <v>9</v>
      </c>
      <c r="N683" s="2" t="n"/>
      <c r="O683" s="2" t="n"/>
    </row>
    <row r="684">
      <c r="A684" s="62">
        <f>IF('9'!$C$1="","",'9'!$C$1)</f>
        <v/>
      </c>
      <c r="B684" s="63">
        <f>Ustawienia!$A$9&amp;""</f>
        <v/>
      </c>
      <c r="C684" s="63">
        <f>Ustawienia!$A$15&amp;""</f>
        <v/>
      </c>
      <c r="D684" s="63" t="n">
        <v>2</v>
      </c>
      <c r="E684" s="63">
        <f>IF('9'!F14="","",TRIM('9'!F14&amp;""))</f>
        <v/>
      </c>
      <c r="F684" s="63">
        <f>IF('9'!G14="","",'9'!G14)</f>
        <v/>
      </c>
      <c r="G684" s="63">
        <f>'9'!H14&amp;""</f>
        <v/>
      </c>
      <c r="H684" s="63">
        <f>IF(OR(A684="",F684=""),"",F684&amp;"|"&amp;A684)</f>
        <v/>
      </c>
      <c r="I684" s="63">
        <f>IF(AND(H684&lt;&gt;"",OR('Historia wózka'!$B$4="",F684='Historia wózka'!$B$4),A684&gt;='Historia wózka'!$B$5,A684&lt;='Historia wózka'!$B$6),A684+0.8+(5000-ROW())/10000000,0)</f>
        <v/>
      </c>
      <c r="J684" s="63">
        <f>Ustawienia!$B$9&amp;""</f>
        <v/>
      </c>
      <c r="K684" s="63">
        <f>IF(H684="","",COUNTIFS('Zgłoszenia'!$B$5:$B$504,F684,'Zgłoszenia'!$D$5:$D$504,"&gt;="&amp;A684,'Zgłoszenia'!$D$5:$D$504,"&lt;="&amp;(A684+1)))</f>
        <v/>
      </c>
      <c r="L684" s="63">
        <f>IF(OR(H684="",K684=0),"—",IF(ISNUMBER(MATCH(H684,'Zgłoszenia'!$S$5:$S$504,0)),RIGHT("0"&amp;DAY(A684),2)&amp;"."&amp;RIGHT("0"&amp;MONTH(A684),2)&amp;"."&amp;YEAR(A684)&amp;": "&amp;INDEX('Zgłoszenia'!$H$5:$H$504,MATCH(H684,'Zgłoszenia'!$S$5:$S$504,0)),RIGHT("0"&amp;DAY((A684+1)),2)&amp;"."&amp;RIGHT("0"&amp;MONTH((A684+1)),2)&amp;"."&amp;YEAR((A684+1))&amp;": "&amp;INDEX('Zgłoszenia'!$H$5:$H$504,MATCH(F684&amp;"|"&amp;(A684+1),'Zgłoszenia'!$S$5:$S$504,0)))&amp;IF(K684&gt;1," (+"&amp;(K684-1)&amp;")",""))</f>
        <v/>
      </c>
      <c r="M684" s="63" t="n">
        <v>9</v>
      </c>
      <c r="N684" s="2" t="n"/>
      <c r="O684" s="2" t="n"/>
    </row>
    <row r="685">
      <c r="A685" s="62">
        <f>IF('9'!$C$1="","",'9'!$C$1)</f>
        <v/>
      </c>
      <c r="B685" s="63">
        <f>Ustawienia!$A$9&amp;""</f>
        <v/>
      </c>
      <c r="C685" s="63">
        <f>Ustawienia!$A$15&amp;""</f>
        <v/>
      </c>
      <c r="D685" s="63" t="n">
        <v>3</v>
      </c>
      <c r="E685" s="63">
        <f>IF('9'!F15="","",TRIM('9'!F15&amp;""))</f>
        <v/>
      </c>
      <c r="F685" s="63">
        <f>IF('9'!G15="","",'9'!G15)</f>
        <v/>
      </c>
      <c r="G685" s="63">
        <f>'9'!H15&amp;""</f>
        <v/>
      </c>
      <c r="H685" s="63">
        <f>IF(OR(A685="",F685=""),"",F685&amp;"|"&amp;A685)</f>
        <v/>
      </c>
      <c r="I685" s="63">
        <f>IF(AND(H685&lt;&gt;"",OR('Historia wózka'!$B$4="",F685='Historia wózka'!$B$4),A685&gt;='Historia wózka'!$B$5,A685&lt;='Historia wózka'!$B$6),A685+0.8+(5000-ROW())/10000000,0)</f>
        <v/>
      </c>
      <c r="J685" s="63">
        <f>Ustawienia!$B$9&amp;""</f>
        <v/>
      </c>
      <c r="K685" s="63">
        <f>IF(H685="","",COUNTIFS('Zgłoszenia'!$B$5:$B$504,F685,'Zgłoszenia'!$D$5:$D$504,"&gt;="&amp;A685,'Zgłoszenia'!$D$5:$D$504,"&lt;="&amp;(A685+1)))</f>
        <v/>
      </c>
      <c r="L685" s="63">
        <f>IF(OR(H685="",K685=0),"—",IF(ISNUMBER(MATCH(H685,'Zgłoszenia'!$S$5:$S$504,0)),RIGHT("0"&amp;DAY(A685),2)&amp;"."&amp;RIGHT("0"&amp;MONTH(A685),2)&amp;"."&amp;YEAR(A685)&amp;": "&amp;INDEX('Zgłoszenia'!$H$5:$H$504,MATCH(H685,'Zgłoszenia'!$S$5:$S$504,0)),RIGHT("0"&amp;DAY((A685+1)),2)&amp;"."&amp;RIGHT("0"&amp;MONTH((A685+1)),2)&amp;"."&amp;YEAR((A685+1))&amp;": "&amp;INDEX('Zgłoszenia'!$H$5:$H$504,MATCH(F685&amp;"|"&amp;(A685+1),'Zgłoszenia'!$S$5:$S$504,0)))&amp;IF(K685&gt;1," (+"&amp;(K685-1)&amp;")",""))</f>
        <v/>
      </c>
      <c r="M685" s="63" t="n">
        <v>9</v>
      </c>
      <c r="N685" s="2" t="n"/>
      <c r="O685" s="2" t="n"/>
    </row>
    <row r="686">
      <c r="A686" s="62">
        <f>IF('9'!$C$1="","",'9'!$C$1)</f>
        <v/>
      </c>
      <c r="B686" s="63">
        <f>Ustawienia!$A$9&amp;""</f>
        <v/>
      </c>
      <c r="C686" s="63">
        <f>Ustawienia!$A$15&amp;""</f>
        <v/>
      </c>
      <c r="D686" s="63" t="n">
        <v>4</v>
      </c>
      <c r="E686" s="63">
        <f>IF('9'!F16="","",TRIM('9'!F16&amp;""))</f>
        <v/>
      </c>
      <c r="F686" s="63">
        <f>IF('9'!G16="","",'9'!G16)</f>
        <v/>
      </c>
      <c r="G686" s="63">
        <f>'9'!H16&amp;""</f>
        <v/>
      </c>
      <c r="H686" s="63">
        <f>IF(OR(A686="",F686=""),"",F686&amp;"|"&amp;A686)</f>
        <v/>
      </c>
      <c r="I686" s="63">
        <f>IF(AND(H686&lt;&gt;"",OR('Historia wózka'!$B$4="",F686='Historia wózka'!$B$4),A686&gt;='Historia wózka'!$B$5,A686&lt;='Historia wózka'!$B$6),A686+0.8+(5000-ROW())/10000000,0)</f>
        <v/>
      </c>
      <c r="J686" s="63">
        <f>Ustawienia!$B$9&amp;""</f>
        <v/>
      </c>
      <c r="K686" s="63">
        <f>IF(H686="","",COUNTIFS('Zgłoszenia'!$B$5:$B$504,F686,'Zgłoszenia'!$D$5:$D$504,"&gt;="&amp;A686,'Zgłoszenia'!$D$5:$D$504,"&lt;="&amp;(A686+1)))</f>
        <v/>
      </c>
      <c r="L686" s="63">
        <f>IF(OR(H686="",K686=0),"—",IF(ISNUMBER(MATCH(H686,'Zgłoszenia'!$S$5:$S$504,0)),RIGHT("0"&amp;DAY(A686),2)&amp;"."&amp;RIGHT("0"&amp;MONTH(A686),2)&amp;"."&amp;YEAR(A686)&amp;": "&amp;INDEX('Zgłoszenia'!$H$5:$H$504,MATCH(H686,'Zgłoszenia'!$S$5:$S$504,0)),RIGHT("0"&amp;DAY((A686+1)),2)&amp;"."&amp;RIGHT("0"&amp;MONTH((A686+1)),2)&amp;"."&amp;YEAR((A686+1))&amp;": "&amp;INDEX('Zgłoszenia'!$H$5:$H$504,MATCH(F686&amp;"|"&amp;(A686+1),'Zgłoszenia'!$S$5:$S$504,0)))&amp;IF(K686&gt;1," (+"&amp;(K686-1)&amp;")",""))</f>
        <v/>
      </c>
      <c r="M686" s="63" t="n">
        <v>9</v>
      </c>
      <c r="N686" s="2" t="n"/>
      <c r="O686" s="2" t="n"/>
    </row>
    <row r="687">
      <c r="A687" s="62">
        <f>IF('9'!$C$1="","",'9'!$C$1)</f>
        <v/>
      </c>
      <c r="B687" s="63">
        <f>Ustawienia!$A$9&amp;""</f>
        <v/>
      </c>
      <c r="C687" s="63">
        <f>Ustawienia!$A$15&amp;""</f>
        <v/>
      </c>
      <c r="D687" s="63" t="n">
        <v>5</v>
      </c>
      <c r="E687" s="63">
        <f>IF('9'!F17="","",TRIM('9'!F17&amp;""))</f>
        <v/>
      </c>
      <c r="F687" s="63">
        <f>IF('9'!G17="","",'9'!G17)</f>
        <v/>
      </c>
      <c r="G687" s="63">
        <f>'9'!H17&amp;""</f>
        <v/>
      </c>
      <c r="H687" s="63">
        <f>IF(OR(A687="",F687=""),"",F687&amp;"|"&amp;A687)</f>
        <v/>
      </c>
      <c r="I687" s="63">
        <f>IF(AND(H687&lt;&gt;"",OR('Historia wózka'!$B$4="",F687='Historia wózka'!$B$4),A687&gt;='Historia wózka'!$B$5,A687&lt;='Historia wózka'!$B$6),A687+0.8+(5000-ROW())/10000000,0)</f>
        <v/>
      </c>
      <c r="J687" s="63">
        <f>Ustawienia!$B$9&amp;""</f>
        <v/>
      </c>
      <c r="K687" s="63">
        <f>IF(H687="","",COUNTIFS('Zgłoszenia'!$B$5:$B$504,F687,'Zgłoszenia'!$D$5:$D$504,"&gt;="&amp;A687,'Zgłoszenia'!$D$5:$D$504,"&lt;="&amp;(A687+1)))</f>
        <v/>
      </c>
      <c r="L687" s="63">
        <f>IF(OR(H687="",K687=0),"—",IF(ISNUMBER(MATCH(H687,'Zgłoszenia'!$S$5:$S$504,0)),RIGHT("0"&amp;DAY(A687),2)&amp;"."&amp;RIGHT("0"&amp;MONTH(A687),2)&amp;"."&amp;YEAR(A687)&amp;": "&amp;INDEX('Zgłoszenia'!$H$5:$H$504,MATCH(H687,'Zgłoszenia'!$S$5:$S$504,0)),RIGHT("0"&amp;DAY((A687+1)),2)&amp;"."&amp;RIGHT("0"&amp;MONTH((A687+1)),2)&amp;"."&amp;YEAR((A687+1))&amp;": "&amp;INDEX('Zgłoszenia'!$H$5:$H$504,MATCH(F687&amp;"|"&amp;(A687+1),'Zgłoszenia'!$S$5:$S$504,0)))&amp;IF(K687&gt;1," (+"&amp;(K687-1)&amp;")",""))</f>
        <v/>
      </c>
      <c r="M687" s="63" t="n">
        <v>9</v>
      </c>
      <c r="N687" s="2" t="n"/>
      <c r="O687" s="2" t="n"/>
    </row>
    <row r="688">
      <c r="A688" s="62">
        <f>IF('9'!$C$1="","",'9'!$C$1)</f>
        <v/>
      </c>
      <c r="B688" s="63">
        <f>Ustawienia!$A$9&amp;""</f>
        <v/>
      </c>
      <c r="C688" s="63">
        <f>Ustawienia!$A$15&amp;""</f>
        <v/>
      </c>
      <c r="D688" s="63" t="n">
        <v>6</v>
      </c>
      <c r="E688" s="63">
        <f>IF('9'!F18="","",TRIM('9'!F18&amp;""))</f>
        <v/>
      </c>
      <c r="F688" s="63">
        <f>IF('9'!G18="","",'9'!G18)</f>
        <v/>
      </c>
      <c r="G688" s="63">
        <f>'9'!H18&amp;""</f>
        <v/>
      </c>
      <c r="H688" s="63">
        <f>IF(OR(A688="",F688=""),"",F688&amp;"|"&amp;A688)</f>
        <v/>
      </c>
      <c r="I688" s="63">
        <f>IF(AND(H688&lt;&gt;"",OR('Historia wózka'!$B$4="",F688='Historia wózka'!$B$4),A688&gt;='Historia wózka'!$B$5,A688&lt;='Historia wózka'!$B$6),A688+0.8+(5000-ROW())/10000000,0)</f>
        <v/>
      </c>
      <c r="J688" s="63">
        <f>Ustawienia!$B$9&amp;""</f>
        <v/>
      </c>
      <c r="K688" s="63">
        <f>IF(H688="","",COUNTIFS('Zgłoszenia'!$B$5:$B$504,F688,'Zgłoszenia'!$D$5:$D$504,"&gt;="&amp;A688,'Zgłoszenia'!$D$5:$D$504,"&lt;="&amp;(A688+1)))</f>
        <v/>
      </c>
      <c r="L688" s="63">
        <f>IF(OR(H688="",K688=0),"—",IF(ISNUMBER(MATCH(H688,'Zgłoszenia'!$S$5:$S$504,0)),RIGHT("0"&amp;DAY(A688),2)&amp;"."&amp;RIGHT("0"&amp;MONTH(A688),2)&amp;"."&amp;YEAR(A688)&amp;": "&amp;INDEX('Zgłoszenia'!$H$5:$H$504,MATCH(H688,'Zgłoszenia'!$S$5:$S$504,0)),RIGHT("0"&amp;DAY((A688+1)),2)&amp;"."&amp;RIGHT("0"&amp;MONTH((A688+1)),2)&amp;"."&amp;YEAR((A688+1))&amp;": "&amp;INDEX('Zgłoszenia'!$H$5:$H$504,MATCH(F688&amp;"|"&amp;(A688+1),'Zgłoszenia'!$S$5:$S$504,0)))&amp;IF(K688&gt;1," (+"&amp;(K688-1)&amp;")",""))</f>
        <v/>
      </c>
      <c r="M688" s="63" t="n">
        <v>9</v>
      </c>
      <c r="N688" s="2" t="n"/>
      <c r="O688" s="2" t="n"/>
    </row>
    <row r="689">
      <c r="A689" s="62">
        <f>IF('9'!$C$1="","",'9'!$C$1)</f>
        <v/>
      </c>
      <c r="B689" s="63">
        <f>Ustawienia!$A$9&amp;""</f>
        <v/>
      </c>
      <c r="C689" s="63">
        <f>Ustawienia!$A$15&amp;""</f>
        <v/>
      </c>
      <c r="D689" s="63" t="n">
        <v>7</v>
      </c>
      <c r="E689" s="63">
        <f>IF('9'!F19="","",TRIM('9'!F19&amp;""))</f>
        <v/>
      </c>
      <c r="F689" s="63">
        <f>IF('9'!G19="","",'9'!G19)</f>
        <v/>
      </c>
      <c r="G689" s="63">
        <f>'9'!H19&amp;""</f>
        <v/>
      </c>
      <c r="H689" s="63">
        <f>IF(OR(A689="",F689=""),"",F689&amp;"|"&amp;A689)</f>
        <v/>
      </c>
      <c r="I689" s="63">
        <f>IF(AND(H689&lt;&gt;"",OR('Historia wózka'!$B$4="",F689='Historia wózka'!$B$4),A689&gt;='Historia wózka'!$B$5,A689&lt;='Historia wózka'!$B$6),A689+0.8+(5000-ROW())/10000000,0)</f>
        <v/>
      </c>
      <c r="J689" s="63">
        <f>Ustawienia!$B$9&amp;""</f>
        <v/>
      </c>
      <c r="K689" s="63">
        <f>IF(H689="","",COUNTIFS('Zgłoszenia'!$B$5:$B$504,F689,'Zgłoszenia'!$D$5:$D$504,"&gt;="&amp;A689,'Zgłoszenia'!$D$5:$D$504,"&lt;="&amp;(A689+1)))</f>
        <v/>
      </c>
      <c r="L689" s="63">
        <f>IF(OR(H689="",K689=0),"—",IF(ISNUMBER(MATCH(H689,'Zgłoszenia'!$S$5:$S$504,0)),RIGHT("0"&amp;DAY(A689),2)&amp;"."&amp;RIGHT("0"&amp;MONTH(A689),2)&amp;"."&amp;YEAR(A689)&amp;": "&amp;INDEX('Zgłoszenia'!$H$5:$H$504,MATCH(H689,'Zgłoszenia'!$S$5:$S$504,0)),RIGHT("0"&amp;DAY((A689+1)),2)&amp;"."&amp;RIGHT("0"&amp;MONTH((A689+1)),2)&amp;"."&amp;YEAR((A689+1))&amp;": "&amp;INDEX('Zgłoszenia'!$H$5:$H$504,MATCH(F689&amp;"|"&amp;(A689+1),'Zgłoszenia'!$S$5:$S$504,0)))&amp;IF(K689&gt;1," (+"&amp;(K689-1)&amp;")",""))</f>
        <v/>
      </c>
      <c r="M689" s="63" t="n">
        <v>9</v>
      </c>
      <c r="N689" s="2" t="n"/>
      <c r="O689" s="2" t="n"/>
    </row>
    <row r="690">
      <c r="A690" s="62">
        <f>IF('9'!$C$1="","",'9'!$C$1)</f>
        <v/>
      </c>
      <c r="B690" s="63">
        <f>Ustawienia!$A$9&amp;""</f>
        <v/>
      </c>
      <c r="C690" s="63">
        <f>Ustawienia!$A$15&amp;""</f>
        <v/>
      </c>
      <c r="D690" s="63" t="n">
        <v>8</v>
      </c>
      <c r="E690" s="63">
        <f>IF('9'!F20="","",TRIM('9'!F20&amp;""))</f>
        <v/>
      </c>
      <c r="F690" s="63">
        <f>IF('9'!G20="","",'9'!G20)</f>
        <v/>
      </c>
      <c r="G690" s="63">
        <f>'9'!H20&amp;""</f>
        <v/>
      </c>
      <c r="H690" s="63">
        <f>IF(OR(A690="",F690=""),"",F690&amp;"|"&amp;A690)</f>
        <v/>
      </c>
      <c r="I690" s="63">
        <f>IF(AND(H690&lt;&gt;"",OR('Historia wózka'!$B$4="",F690='Historia wózka'!$B$4),A690&gt;='Historia wózka'!$B$5,A690&lt;='Historia wózka'!$B$6),A690+0.8+(5000-ROW())/10000000,0)</f>
        <v/>
      </c>
      <c r="J690" s="63">
        <f>Ustawienia!$B$9&amp;""</f>
        <v/>
      </c>
      <c r="K690" s="63">
        <f>IF(H690="","",COUNTIFS('Zgłoszenia'!$B$5:$B$504,F690,'Zgłoszenia'!$D$5:$D$504,"&gt;="&amp;A690,'Zgłoszenia'!$D$5:$D$504,"&lt;="&amp;(A690+1)))</f>
        <v/>
      </c>
      <c r="L690" s="63">
        <f>IF(OR(H690="",K690=0),"—",IF(ISNUMBER(MATCH(H690,'Zgłoszenia'!$S$5:$S$504,0)),RIGHT("0"&amp;DAY(A690),2)&amp;"."&amp;RIGHT("0"&amp;MONTH(A690),2)&amp;"."&amp;YEAR(A690)&amp;": "&amp;INDEX('Zgłoszenia'!$H$5:$H$504,MATCH(H690,'Zgłoszenia'!$S$5:$S$504,0)),RIGHT("0"&amp;DAY((A690+1)),2)&amp;"."&amp;RIGHT("0"&amp;MONTH((A690+1)),2)&amp;"."&amp;YEAR((A690+1))&amp;": "&amp;INDEX('Zgłoszenia'!$H$5:$H$504,MATCH(F690&amp;"|"&amp;(A690+1),'Zgłoszenia'!$S$5:$S$504,0)))&amp;IF(K690&gt;1," (+"&amp;(K690-1)&amp;")",""))</f>
        <v/>
      </c>
      <c r="M690" s="63" t="n">
        <v>9</v>
      </c>
      <c r="N690" s="2" t="n"/>
      <c r="O690" s="2" t="n"/>
    </row>
    <row r="691">
      <c r="A691" s="62">
        <f>IF('9'!$C$1="","",'9'!$C$1)</f>
        <v/>
      </c>
      <c r="B691" s="63">
        <f>Ustawienia!$A$9&amp;""</f>
        <v/>
      </c>
      <c r="C691" s="63">
        <f>Ustawienia!$A$16&amp;""</f>
        <v/>
      </c>
      <c r="D691" s="63" t="n">
        <v>1</v>
      </c>
      <c r="E691" s="63">
        <f>IF('9'!F22="","",TRIM('9'!F22&amp;""))</f>
        <v/>
      </c>
      <c r="F691" s="63">
        <f>IF('9'!G22="","",'9'!G22)</f>
        <v/>
      </c>
      <c r="G691" s="63">
        <f>'9'!H22&amp;""</f>
        <v/>
      </c>
      <c r="H691" s="63">
        <f>IF(OR(A691="",F691=""),"",F691&amp;"|"&amp;A691)</f>
        <v/>
      </c>
      <c r="I691" s="63">
        <f>IF(AND(H691&lt;&gt;"",OR('Historia wózka'!$B$4="",F691='Historia wózka'!$B$4),A691&gt;='Historia wózka'!$B$5,A691&lt;='Historia wózka'!$B$6),A691+0.8+(5000-ROW())/10000000,0)</f>
        <v/>
      </c>
      <c r="J691" s="63">
        <f>Ustawienia!$B$9&amp;""</f>
        <v/>
      </c>
      <c r="K691" s="63">
        <f>IF(H691="","",COUNTIFS('Zgłoszenia'!$B$5:$B$504,F691,'Zgłoszenia'!$D$5:$D$504,"&gt;="&amp;A691,'Zgłoszenia'!$D$5:$D$504,"&lt;="&amp;(A691+1)))</f>
        <v/>
      </c>
      <c r="L691" s="63">
        <f>IF(OR(H691="",K691=0),"—",IF(ISNUMBER(MATCH(H691,'Zgłoszenia'!$S$5:$S$504,0)),RIGHT("0"&amp;DAY(A691),2)&amp;"."&amp;RIGHT("0"&amp;MONTH(A691),2)&amp;"."&amp;YEAR(A691)&amp;": "&amp;INDEX('Zgłoszenia'!$H$5:$H$504,MATCH(H691,'Zgłoszenia'!$S$5:$S$504,0)),RIGHT("0"&amp;DAY((A691+1)),2)&amp;"."&amp;RIGHT("0"&amp;MONTH((A691+1)),2)&amp;"."&amp;YEAR((A691+1))&amp;": "&amp;INDEX('Zgłoszenia'!$H$5:$H$504,MATCH(F691&amp;"|"&amp;(A691+1),'Zgłoszenia'!$S$5:$S$504,0)))&amp;IF(K691&gt;1," (+"&amp;(K691-1)&amp;")",""))</f>
        <v/>
      </c>
      <c r="M691" s="63" t="n">
        <v>9</v>
      </c>
      <c r="N691" s="2" t="n"/>
      <c r="O691" s="2" t="n"/>
    </row>
    <row r="692">
      <c r="A692" s="62">
        <f>IF('9'!$C$1="","",'9'!$C$1)</f>
        <v/>
      </c>
      <c r="B692" s="63">
        <f>Ustawienia!$A$9&amp;""</f>
        <v/>
      </c>
      <c r="C692" s="63">
        <f>Ustawienia!$A$16&amp;""</f>
        <v/>
      </c>
      <c r="D692" s="63" t="n">
        <v>2</v>
      </c>
      <c r="E692" s="63">
        <f>IF('9'!F23="","",TRIM('9'!F23&amp;""))</f>
        <v/>
      </c>
      <c r="F692" s="63">
        <f>IF('9'!G23="","",'9'!G23)</f>
        <v/>
      </c>
      <c r="G692" s="63">
        <f>'9'!H23&amp;""</f>
        <v/>
      </c>
      <c r="H692" s="63">
        <f>IF(OR(A692="",F692=""),"",F692&amp;"|"&amp;A692)</f>
        <v/>
      </c>
      <c r="I692" s="63">
        <f>IF(AND(H692&lt;&gt;"",OR('Historia wózka'!$B$4="",F692='Historia wózka'!$B$4),A692&gt;='Historia wózka'!$B$5,A692&lt;='Historia wózka'!$B$6),A692+0.8+(5000-ROW())/10000000,0)</f>
        <v/>
      </c>
      <c r="J692" s="63">
        <f>Ustawienia!$B$9&amp;""</f>
        <v/>
      </c>
      <c r="K692" s="63">
        <f>IF(H692="","",COUNTIFS('Zgłoszenia'!$B$5:$B$504,F692,'Zgłoszenia'!$D$5:$D$504,"&gt;="&amp;A692,'Zgłoszenia'!$D$5:$D$504,"&lt;="&amp;(A692+1)))</f>
        <v/>
      </c>
      <c r="L692" s="63">
        <f>IF(OR(H692="",K692=0),"—",IF(ISNUMBER(MATCH(H692,'Zgłoszenia'!$S$5:$S$504,0)),RIGHT("0"&amp;DAY(A692),2)&amp;"."&amp;RIGHT("0"&amp;MONTH(A692),2)&amp;"."&amp;YEAR(A692)&amp;": "&amp;INDEX('Zgłoszenia'!$H$5:$H$504,MATCH(H692,'Zgłoszenia'!$S$5:$S$504,0)),RIGHT("0"&amp;DAY((A692+1)),2)&amp;"."&amp;RIGHT("0"&amp;MONTH((A692+1)),2)&amp;"."&amp;YEAR((A692+1))&amp;": "&amp;INDEX('Zgłoszenia'!$H$5:$H$504,MATCH(F692&amp;"|"&amp;(A692+1),'Zgłoszenia'!$S$5:$S$504,0)))&amp;IF(K692&gt;1," (+"&amp;(K692-1)&amp;")",""))</f>
        <v/>
      </c>
      <c r="M692" s="63" t="n">
        <v>9</v>
      </c>
      <c r="N692" s="2" t="n"/>
      <c r="O692" s="2" t="n"/>
    </row>
    <row r="693">
      <c r="A693" s="62">
        <f>IF('9'!$C$1="","",'9'!$C$1)</f>
        <v/>
      </c>
      <c r="B693" s="63">
        <f>Ustawienia!$A$9&amp;""</f>
        <v/>
      </c>
      <c r="C693" s="63">
        <f>Ustawienia!$A$16&amp;""</f>
        <v/>
      </c>
      <c r="D693" s="63" t="n">
        <v>3</v>
      </c>
      <c r="E693" s="63">
        <f>IF('9'!F24="","",TRIM('9'!F24&amp;""))</f>
        <v/>
      </c>
      <c r="F693" s="63">
        <f>IF('9'!G24="","",'9'!G24)</f>
        <v/>
      </c>
      <c r="G693" s="63">
        <f>'9'!H24&amp;""</f>
        <v/>
      </c>
      <c r="H693" s="63">
        <f>IF(OR(A693="",F693=""),"",F693&amp;"|"&amp;A693)</f>
        <v/>
      </c>
      <c r="I693" s="63">
        <f>IF(AND(H693&lt;&gt;"",OR('Historia wózka'!$B$4="",F693='Historia wózka'!$B$4),A693&gt;='Historia wózka'!$B$5,A693&lt;='Historia wózka'!$B$6),A693+0.8+(5000-ROW())/10000000,0)</f>
        <v/>
      </c>
      <c r="J693" s="63">
        <f>Ustawienia!$B$9&amp;""</f>
        <v/>
      </c>
      <c r="K693" s="63">
        <f>IF(H693="","",COUNTIFS('Zgłoszenia'!$B$5:$B$504,F693,'Zgłoszenia'!$D$5:$D$504,"&gt;="&amp;A693,'Zgłoszenia'!$D$5:$D$504,"&lt;="&amp;(A693+1)))</f>
        <v/>
      </c>
      <c r="L693" s="63">
        <f>IF(OR(H693="",K693=0),"—",IF(ISNUMBER(MATCH(H693,'Zgłoszenia'!$S$5:$S$504,0)),RIGHT("0"&amp;DAY(A693),2)&amp;"."&amp;RIGHT("0"&amp;MONTH(A693),2)&amp;"."&amp;YEAR(A693)&amp;": "&amp;INDEX('Zgłoszenia'!$H$5:$H$504,MATCH(H693,'Zgłoszenia'!$S$5:$S$504,0)),RIGHT("0"&amp;DAY((A693+1)),2)&amp;"."&amp;RIGHT("0"&amp;MONTH((A693+1)),2)&amp;"."&amp;YEAR((A693+1))&amp;": "&amp;INDEX('Zgłoszenia'!$H$5:$H$504,MATCH(F693&amp;"|"&amp;(A693+1),'Zgłoszenia'!$S$5:$S$504,0)))&amp;IF(K693&gt;1," (+"&amp;(K693-1)&amp;")",""))</f>
        <v/>
      </c>
      <c r="M693" s="63" t="n">
        <v>9</v>
      </c>
      <c r="N693" s="2" t="n"/>
      <c r="O693" s="2" t="n"/>
    </row>
    <row r="694">
      <c r="A694" s="62">
        <f>IF('9'!$C$1="","",'9'!$C$1)</f>
        <v/>
      </c>
      <c r="B694" s="63">
        <f>Ustawienia!$A$9&amp;""</f>
        <v/>
      </c>
      <c r="C694" s="63">
        <f>Ustawienia!$A$16&amp;""</f>
        <v/>
      </c>
      <c r="D694" s="63" t="n">
        <v>4</v>
      </c>
      <c r="E694" s="63">
        <f>IF('9'!F25="","",TRIM('9'!F25&amp;""))</f>
        <v/>
      </c>
      <c r="F694" s="63">
        <f>IF('9'!G25="","",'9'!G25)</f>
        <v/>
      </c>
      <c r="G694" s="63">
        <f>'9'!H25&amp;""</f>
        <v/>
      </c>
      <c r="H694" s="63">
        <f>IF(OR(A694="",F694=""),"",F694&amp;"|"&amp;A694)</f>
        <v/>
      </c>
      <c r="I694" s="63">
        <f>IF(AND(H694&lt;&gt;"",OR('Historia wózka'!$B$4="",F694='Historia wózka'!$B$4),A694&gt;='Historia wózka'!$B$5,A694&lt;='Historia wózka'!$B$6),A694+0.8+(5000-ROW())/10000000,0)</f>
        <v/>
      </c>
      <c r="J694" s="63">
        <f>Ustawienia!$B$9&amp;""</f>
        <v/>
      </c>
      <c r="K694" s="63">
        <f>IF(H694="","",COUNTIFS('Zgłoszenia'!$B$5:$B$504,F694,'Zgłoszenia'!$D$5:$D$504,"&gt;="&amp;A694,'Zgłoszenia'!$D$5:$D$504,"&lt;="&amp;(A694+1)))</f>
        <v/>
      </c>
      <c r="L694" s="63">
        <f>IF(OR(H694="",K694=0),"—",IF(ISNUMBER(MATCH(H694,'Zgłoszenia'!$S$5:$S$504,0)),RIGHT("0"&amp;DAY(A694),2)&amp;"."&amp;RIGHT("0"&amp;MONTH(A694),2)&amp;"."&amp;YEAR(A694)&amp;": "&amp;INDEX('Zgłoszenia'!$H$5:$H$504,MATCH(H694,'Zgłoszenia'!$S$5:$S$504,0)),RIGHT("0"&amp;DAY((A694+1)),2)&amp;"."&amp;RIGHT("0"&amp;MONTH((A694+1)),2)&amp;"."&amp;YEAR((A694+1))&amp;": "&amp;INDEX('Zgłoszenia'!$H$5:$H$504,MATCH(F694&amp;"|"&amp;(A694+1),'Zgłoszenia'!$S$5:$S$504,0)))&amp;IF(K694&gt;1," (+"&amp;(K694-1)&amp;")",""))</f>
        <v/>
      </c>
      <c r="M694" s="63" t="n">
        <v>9</v>
      </c>
      <c r="N694" s="2" t="n"/>
      <c r="O694" s="2" t="n"/>
    </row>
    <row r="695">
      <c r="A695" s="62">
        <f>IF('9'!$C$1="","",'9'!$C$1)</f>
        <v/>
      </c>
      <c r="B695" s="63">
        <f>Ustawienia!$A$9&amp;""</f>
        <v/>
      </c>
      <c r="C695" s="63">
        <f>Ustawienia!$A$17&amp;""</f>
        <v/>
      </c>
      <c r="D695" s="63" t="n">
        <v>1</v>
      </c>
      <c r="E695" s="63">
        <f>IF('9'!F27="","",TRIM('9'!F27&amp;""))</f>
        <v/>
      </c>
      <c r="F695" s="63">
        <f>IF('9'!G27="","",'9'!G27)</f>
        <v/>
      </c>
      <c r="G695" s="63">
        <f>'9'!H27&amp;""</f>
        <v/>
      </c>
      <c r="H695" s="63">
        <f>IF(OR(A695="",F695=""),"",F695&amp;"|"&amp;A695)</f>
        <v/>
      </c>
      <c r="I695" s="63">
        <f>IF(AND(H695&lt;&gt;"",OR('Historia wózka'!$B$4="",F695='Historia wózka'!$B$4),A695&gt;='Historia wózka'!$B$5,A695&lt;='Historia wózka'!$B$6),A695+0.8+(5000-ROW())/10000000,0)</f>
        <v/>
      </c>
      <c r="J695" s="63">
        <f>Ustawienia!$B$9&amp;""</f>
        <v/>
      </c>
      <c r="K695" s="63">
        <f>IF(H695="","",COUNTIFS('Zgłoszenia'!$B$5:$B$504,F695,'Zgłoszenia'!$D$5:$D$504,"&gt;="&amp;A695,'Zgłoszenia'!$D$5:$D$504,"&lt;="&amp;(A695+1)))</f>
        <v/>
      </c>
      <c r="L695" s="63">
        <f>IF(OR(H695="",K695=0),"—",IF(ISNUMBER(MATCH(H695,'Zgłoszenia'!$S$5:$S$504,0)),RIGHT("0"&amp;DAY(A695),2)&amp;"."&amp;RIGHT("0"&amp;MONTH(A695),2)&amp;"."&amp;YEAR(A695)&amp;": "&amp;INDEX('Zgłoszenia'!$H$5:$H$504,MATCH(H695,'Zgłoszenia'!$S$5:$S$504,0)),RIGHT("0"&amp;DAY((A695+1)),2)&amp;"."&amp;RIGHT("0"&amp;MONTH((A695+1)),2)&amp;"."&amp;YEAR((A695+1))&amp;": "&amp;INDEX('Zgłoszenia'!$H$5:$H$504,MATCH(F695&amp;"|"&amp;(A695+1),'Zgłoszenia'!$S$5:$S$504,0)))&amp;IF(K695&gt;1," (+"&amp;(K695-1)&amp;")",""))</f>
        <v/>
      </c>
      <c r="M695" s="63" t="n">
        <v>9</v>
      </c>
      <c r="N695" s="2" t="n"/>
      <c r="O695" s="2" t="n"/>
    </row>
    <row r="696">
      <c r="A696" s="62">
        <f>IF('9'!$C$1="","",'9'!$C$1)</f>
        <v/>
      </c>
      <c r="B696" s="63">
        <f>Ustawienia!$A$9&amp;""</f>
        <v/>
      </c>
      <c r="C696" s="63">
        <f>Ustawienia!$A$17&amp;""</f>
        <v/>
      </c>
      <c r="D696" s="63" t="n">
        <v>2</v>
      </c>
      <c r="E696" s="63">
        <f>IF('9'!F28="","",TRIM('9'!F28&amp;""))</f>
        <v/>
      </c>
      <c r="F696" s="63">
        <f>IF('9'!G28="","",'9'!G28)</f>
        <v/>
      </c>
      <c r="G696" s="63">
        <f>'9'!H28&amp;""</f>
        <v/>
      </c>
      <c r="H696" s="63">
        <f>IF(OR(A696="",F696=""),"",F696&amp;"|"&amp;A696)</f>
        <v/>
      </c>
      <c r="I696" s="63">
        <f>IF(AND(H696&lt;&gt;"",OR('Historia wózka'!$B$4="",F696='Historia wózka'!$B$4),A696&gt;='Historia wózka'!$B$5,A696&lt;='Historia wózka'!$B$6),A696+0.8+(5000-ROW())/10000000,0)</f>
        <v/>
      </c>
      <c r="J696" s="63">
        <f>Ustawienia!$B$9&amp;""</f>
        <v/>
      </c>
      <c r="K696" s="63">
        <f>IF(H696="","",COUNTIFS('Zgłoszenia'!$B$5:$B$504,F696,'Zgłoszenia'!$D$5:$D$504,"&gt;="&amp;A696,'Zgłoszenia'!$D$5:$D$504,"&lt;="&amp;(A696+1)))</f>
        <v/>
      </c>
      <c r="L696" s="63">
        <f>IF(OR(H696="",K696=0),"—",IF(ISNUMBER(MATCH(H696,'Zgłoszenia'!$S$5:$S$504,0)),RIGHT("0"&amp;DAY(A696),2)&amp;"."&amp;RIGHT("0"&amp;MONTH(A696),2)&amp;"."&amp;YEAR(A696)&amp;": "&amp;INDEX('Zgłoszenia'!$H$5:$H$504,MATCH(H696,'Zgłoszenia'!$S$5:$S$504,0)),RIGHT("0"&amp;DAY((A696+1)),2)&amp;"."&amp;RIGHT("0"&amp;MONTH((A696+1)),2)&amp;"."&amp;YEAR((A696+1))&amp;": "&amp;INDEX('Zgłoszenia'!$H$5:$H$504,MATCH(F696&amp;"|"&amp;(A696+1),'Zgłoszenia'!$S$5:$S$504,0)))&amp;IF(K696&gt;1," (+"&amp;(K696-1)&amp;")",""))</f>
        <v/>
      </c>
      <c r="M696" s="63" t="n">
        <v>9</v>
      </c>
      <c r="N696" s="2" t="n"/>
      <c r="O696" s="2" t="n"/>
    </row>
    <row r="697">
      <c r="A697" s="62">
        <f>IF('9'!$C$1="","",'9'!$C$1)</f>
        <v/>
      </c>
      <c r="B697" s="63">
        <f>Ustawienia!$A$9&amp;""</f>
        <v/>
      </c>
      <c r="C697" s="63">
        <f>Ustawienia!$A$17&amp;""</f>
        <v/>
      </c>
      <c r="D697" s="63" t="n">
        <v>3</v>
      </c>
      <c r="E697" s="63">
        <f>IF('9'!F29="","",TRIM('9'!F29&amp;""))</f>
        <v/>
      </c>
      <c r="F697" s="63">
        <f>IF('9'!G29="","",'9'!G29)</f>
        <v/>
      </c>
      <c r="G697" s="63">
        <f>'9'!H29&amp;""</f>
        <v/>
      </c>
      <c r="H697" s="63">
        <f>IF(OR(A697="",F697=""),"",F697&amp;"|"&amp;A697)</f>
        <v/>
      </c>
      <c r="I697" s="63">
        <f>IF(AND(H697&lt;&gt;"",OR('Historia wózka'!$B$4="",F697='Historia wózka'!$B$4),A697&gt;='Historia wózka'!$B$5,A697&lt;='Historia wózka'!$B$6),A697+0.8+(5000-ROW())/10000000,0)</f>
        <v/>
      </c>
      <c r="J697" s="63">
        <f>Ustawienia!$B$9&amp;""</f>
        <v/>
      </c>
      <c r="K697" s="63">
        <f>IF(H697="","",COUNTIFS('Zgłoszenia'!$B$5:$B$504,F697,'Zgłoszenia'!$D$5:$D$504,"&gt;="&amp;A697,'Zgłoszenia'!$D$5:$D$504,"&lt;="&amp;(A697+1)))</f>
        <v/>
      </c>
      <c r="L697" s="63">
        <f>IF(OR(H697="",K697=0),"—",IF(ISNUMBER(MATCH(H697,'Zgłoszenia'!$S$5:$S$504,0)),RIGHT("0"&amp;DAY(A697),2)&amp;"."&amp;RIGHT("0"&amp;MONTH(A697),2)&amp;"."&amp;YEAR(A697)&amp;": "&amp;INDEX('Zgłoszenia'!$H$5:$H$504,MATCH(H697,'Zgłoszenia'!$S$5:$S$504,0)),RIGHT("0"&amp;DAY((A697+1)),2)&amp;"."&amp;RIGHT("0"&amp;MONTH((A697+1)),2)&amp;"."&amp;YEAR((A697+1))&amp;": "&amp;INDEX('Zgłoszenia'!$H$5:$H$504,MATCH(F697&amp;"|"&amp;(A697+1),'Zgłoszenia'!$S$5:$S$504,0)))&amp;IF(K697&gt;1," (+"&amp;(K697-1)&amp;")",""))</f>
        <v/>
      </c>
      <c r="M697" s="63" t="n">
        <v>9</v>
      </c>
      <c r="N697" s="2" t="n"/>
      <c r="O697" s="2" t="n"/>
    </row>
    <row r="698">
      <c r="A698" s="62">
        <f>IF('9'!$C$1="","",'9'!$C$1)</f>
        <v/>
      </c>
      <c r="B698" s="63">
        <f>Ustawienia!$A$9&amp;""</f>
        <v/>
      </c>
      <c r="C698" s="63">
        <f>Ustawienia!$A$17&amp;""</f>
        <v/>
      </c>
      <c r="D698" s="63" t="n">
        <v>4</v>
      </c>
      <c r="E698" s="63">
        <f>IF('9'!F30="","",TRIM('9'!F30&amp;""))</f>
        <v/>
      </c>
      <c r="F698" s="63">
        <f>IF('9'!G30="","",'9'!G30)</f>
        <v/>
      </c>
      <c r="G698" s="63">
        <f>'9'!H30&amp;""</f>
        <v/>
      </c>
      <c r="H698" s="63">
        <f>IF(OR(A698="",F698=""),"",F698&amp;"|"&amp;A698)</f>
        <v/>
      </c>
      <c r="I698" s="63">
        <f>IF(AND(H698&lt;&gt;"",OR('Historia wózka'!$B$4="",F698='Historia wózka'!$B$4),A698&gt;='Historia wózka'!$B$5,A698&lt;='Historia wózka'!$B$6),A698+0.8+(5000-ROW())/10000000,0)</f>
        <v/>
      </c>
      <c r="J698" s="63">
        <f>Ustawienia!$B$9&amp;""</f>
        <v/>
      </c>
      <c r="K698" s="63">
        <f>IF(H698="","",COUNTIFS('Zgłoszenia'!$B$5:$B$504,F698,'Zgłoszenia'!$D$5:$D$504,"&gt;="&amp;A698,'Zgłoszenia'!$D$5:$D$504,"&lt;="&amp;(A698+1)))</f>
        <v/>
      </c>
      <c r="L698" s="63">
        <f>IF(OR(H698="",K698=0),"—",IF(ISNUMBER(MATCH(H698,'Zgłoszenia'!$S$5:$S$504,0)),RIGHT("0"&amp;DAY(A698),2)&amp;"."&amp;RIGHT("0"&amp;MONTH(A698),2)&amp;"."&amp;YEAR(A698)&amp;": "&amp;INDEX('Zgłoszenia'!$H$5:$H$504,MATCH(H698,'Zgłoszenia'!$S$5:$S$504,0)),RIGHT("0"&amp;DAY((A698+1)),2)&amp;"."&amp;RIGHT("0"&amp;MONTH((A698+1)),2)&amp;"."&amp;YEAR((A698+1))&amp;": "&amp;INDEX('Zgłoszenia'!$H$5:$H$504,MATCH(F698&amp;"|"&amp;(A698+1),'Zgłoszenia'!$S$5:$S$504,0)))&amp;IF(K698&gt;1," (+"&amp;(K698-1)&amp;")",""))</f>
        <v/>
      </c>
      <c r="M698" s="63" t="n">
        <v>9</v>
      </c>
      <c r="N698" s="2" t="n"/>
      <c r="O698" s="2" t="n"/>
    </row>
    <row r="699">
      <c r="A699" s="62">
        <f>IF('9'!$C$1="","",'9'!$C$1)</f>
        <v/>
      </c>
      <c r="B699" s="63">
        <f>Ustawienia!$A$9&amp;""</f>
        <v/>
      </c>
      <c r="C699" s="63">
        <f>Ustawienia!$A$18&amp;""</f>
        <v/>
      </c>
      <c r="D699" s="63" t="n">
        <v>1</v>
      </c>
      <c r="E699" s="63">
        <f>IF('9'!F32="","",TRIM('9'!F32&amp;""))</f>
        <v/>
      </c>
      <c r="F699" s="63">
        <f>IF('9'!G32="","",'9'!G32)</f>
        <v/>
      </c>
      <c r="G699" s="63">
        <f>'9'!H32&amp;""</f>
        <v/>
      </c>
      <c r="H699" s="63">
        <f>IF(OR(A699="",F699=""),"",F699&amp;"|"&amp;A699)</f>
        <v/>
      </c>
      <c r="I699" s="63">
        <f>IF(AND(H699&lt;&gt;"",OR('Historia wózka'!$B$4="",F699='Historia wózka'!$B$4),A699&gt;='Historia wózka'!$B$5,A699&lt;='Historia wózka'!$B$6),A699+0.8+(5000-ROW())/10000000,0)</f>
        <v/>
      </c>
      <c r="J699" s="63">
        <f>Ustawienia!$B$9&amp;""</f>
        <v/>
      </c>
      <c r="K699" s="63">
        <f>IF(H699="","",COUNTIFS('Zgłoszenia'!$B$5:$B$504,F699,'Zgłoszenia'!$D$5:$D$504,"&gt;="&amp;A699,'Zgłoszenia'!$D$5:$D$504,"&lt;="&amp;(A699+1)))</f>
        <v/>
      </c>
      <c r="L699" s="63">
        <f>IF(OR(H699="",K699=0),"—",IF(ISNUMBER(MATCH(H699,'Zgłoszenia'!$S$5:$S$504,0)),RIGHT("0"&amp;DAY(A699),2)&amp;"."&amp;RIGHT("0"&amp;MONTH(A699),2)&amp;"."&amp;YEAR(A699)&amp;": "&amp;INDEX('Zgłoszenia'!$H$5:$H$504,MATCH(H699,'Zgłoszenia'!$S$5:$S$504,0)),RIGHT("0"&amp;DAY((A699+1)),2)&amp;"."&amp;RIGHT("0"&amp;MONTH((A699+1)),2)&amp;"."&amp;YEAR((A699+1))&amp;": "&amp;INDEX('Zgłoszenia'!$H$5:$H$504,MATCH(F699&amp;"|"&amp;(A699+1),'Zgłoszenia'!$S$5:$S$504,0)))&amp;IF(K699&gt;1," (+"&amp;(K699-1)&amp;")",""))</f>
        <v/>
      </c>
      <c r="M699" s="63" t="n">
        <v>9</v>
      </c>
      <c r="N699" s="2" t="n"/>
      <c r="O699" s="2" t="n"/>
    </row>
    <row r="700">
      <c r="A700" s="62">
        <f>IF('9'!$C$1="","",'9'!$C$1)</f>
        <v/>
      </c>
      <c r="B700" s="63">
        <f>Ustawienia!$A$9&amp;""</f>
        <v/>
      </c>
      <c r="C700" s="63">
        <f>Ustawienia!$A$18&amp;""</f>
        <v/>
      </c>
      <c r="D700" s="63" t="n">
        <v>2</v>
      </c>
      <c r="E700" s="63">
        <f>IF('9'!F33="","",TRIM('9'!F33&amp;""))</f>
        <v/>
      </c>
      <c r="F700" s="63">
        <f>IF('9'!G33="","",'9'!G33)</f>
        <v/>
      </c>
      <c r="G700" s="63">
        <f>'9'!H33&amp;""</f>
        <v/>
      </c>
      <c r="H700" s="63">
        <f>IF(OR(A700="",F700=""),"",F700&amp;"|"&amp;A700)</f>
        <v/>
      </c>
      <c r="I700" s="63">
        <f>IF(AND(H700&lt;&gt;"",OR('Historia wózka'!$B$4="",F700='Historia wózka'!$B$4),A700&gt;='Historia wózka'!$B$5,A700&lt;='Historia wózka'!$B$6),A700+0.8+(5000-ROW())/10000000,0)</f>
        <v/>
      </c>
      <c r="J700" s="63">
        <f>Ustawienia!$B$9&amp;""</f>
        <v/>
      </c>
      <c r="K700" s="63">
        <f>IF(H700="","",COUNTIFS('Zgłoszenia'!$B$5:$B$504,F700,'Zgłoszenia'!$D$5:$D$504,"&gt;="&amp;A700,'Zgłoszenia'!$D$5:$D$504,"&lt;="&amp;(A700+1)))</f>
        <v/>
      </c>
      <c r="L700" s="63">
        <f>IF(OR(H700="",K700=0),"—",IF(ISNUMBER(MATCH(H700,'Zgłoszenia'!$S$5:$S$504,0)),RIGHT("0"&amp;DAY(A700),2)&amp;"."&amp;RIGHT("0"&amp;MONTH(A700),2)&amp;"."&amp;YEAR(A700)&amp;": "&amp;INDEX('Zgłoszenia'!$H$5:$H$504,MATCH(H700,'Zgłoszenia'!$S$5:$S$504,0)),RIGHT("0"&amp;DAY((A700+1)),2)&amp;"."&amp;RIGHT("0"&amp;MONTH((A700+1)),2)&amp;"."&amp;YEAR((A700+1))&amp;": "&amp;INDEX('Zgłoszenia'!$H$5:$H$504,MATCH(F700&amp;"|"&amp;(A700+1),'Zgłoszenia'!$S$5:$S$504,0)))&amp;IF(K700&gt;1," (+"&amp;(K700-1)&amp;")",""))</f>
        <v/>
      </c>
      <c r="M700" s="63" t="n">
        <v>9</v>
      </c>
      <c r="N700" s="2" t="n"/>
      <c r="O700" s="2" t="n"/>
    </row>
    <row r="701">
      <c r="A701" s="62">
        <f>IF('9'!$C$1="","",'9'!$C$1)</f>
        <v/>
      </c>
      <c r="B701" s="63">
        <f>Ustawienia!$A$9&amp;""</f>
        <v/>
      </c>
      <c r="C701" s="63">
        <f>Ustawienia!$A$18&amp;""</f>
        <v/>
      </c>
      <c r="D701" s="63" t="n">
        <v>3</v>
      </c>
      <c r="E701" s="63">
        <f>IF('9'!F34="","",TRIM('9'!F34&amp;""))</f>
        <v/>
      </c>
      <c r="F701" s="63">
        <f>IF('9'!G34="","",'9'!G34)</f>
        <v/>
      </c>
      <c r="G701" s="63">
        <f>'9'!H34&amp;""</f>
        <v/>
      </c>
      <c r="H701" s="63">
        <f>IF(OR(A701="",F701=""),"",F701&amp;"|"&amp;A701)</f>
        <v/>
      </c>
      <c r="I701" s="63">
        <f>IF(AND(H701&lt;&gt;"",OR('Historia wózka'!$B$4="",F701='Historia wózka'!$B$4),A701&gt;='Historia wózka'!$B$5,A701&lt;='Historia wózka'!$B$6),A701+0.8+(5000-ROW())/10000000,0)</f>
        <v/>
      </c>
      <c r="J701" s="63">
        <f>Ustawienia!$B$9&amp;""</f>
        <v/>
      </c>
      <c r="K701" s="63">
        <f>IF(H701="","",COUNTIFS('Zgłoszenia'!$B$5:$B$504,F701,'Zgłoszenia'!$D$5:$D$504,"&gt;="&amp;A701,'Zgłoszenia'!$D$5:$D$504,"&lt;="&amp;(A701+1)))</f>
        <v/>
      </c>
      <c r="L701" s="63">
        <f>IF(OR(H701="",K701=0),"—",IF(ISNUMBER(MATCH(H701,'Zgłoszenia'!$S$5:$S$504,0)),RIGHT("0"&amp;DAY(A701),2)&amp;"."&amp;RIGHT("0"&amp;MONTH(A701),2)&amp;"."&amp;YEAR(A701)&amp;": "&amp;INDEX('Zgłoszenia'!$H$5:$H$504,MATCH(H701,'Zgłoszenia'!$S$5:$S$504,0)),RIGHT("0"&amp;DAY((A701+1)),2)&amp;"."&amp;RIGHT("0"&amp;MONTH((A701+1)),2)&amp;"."&amp;YEAR((A701+1))&amp;": "&amp;INDEX('Zgłoszenia'!$H$5:$H$504,MATCH(F701&amp;"|"&amp;(A701+1),'Zgłoszenia'!$S$5:$S$504,0)))&amp;IF(K701&gt;1," (+"&amp;(K701-1)&amp;")",""))</f>
        <v/>
      </c>
      <c r="M701" s="63" t="n">
        <v>9</v>
      </c>
      <c r="N701" s="2" t="n"/>
      <c r="O701" s="2" t="n"/>
    </row>
    <row r="702">
      <c r="A702" s="62">
        <f>IF('9'!$C$1="","",'9'!$C$1)</f>
        <v/>
      </c>
      <c r="B702" s="63">
        <f>Ustawienia!$A$9&amp;""</f>
        <v/>
      </c>
      <c r="C702" s="63">
        <f>Ustawienia!$A$18&amp;""</f>
        <v/>
      </c>
      <c r="D702" s="63" t="n">
        <v>4</v>
      </c>
      <c r="E702" s="63">
        <f>IF('9'!F35="","",TRIM('9'!F35&amp;""))</f>
        <v/>
      </c>
      <c r="F702" s="63">
        <f>IF('9'!G35="","",'9'!G35)</f>
        <v/>
      </c>
      <c r="G702" s="63">
        <f>'9'!H35&amp;""</f>
        <v/>
      </c>
      <c r="H702" s="63">
        <f>IF(OR(A702="",F702=""),"",F702&amp;"|"&amp;A702)</f>
        <v/>
      </c>
      <c r="I702" s="63">
        <f>IF(AND(H702&lt;&gt;"",OR('Historia wózka'!$B$4="",F702='Historia wózka'!$B$4),A702&gt;='Historia wózka'!$B$5,A702&lt;='Historia wózka'!$B$6),A702+0.8+(5000-ROW())/10000000,0)</f>
        <v/>
      </c>
      <c r="J702" s="63">
        <f>Ustawienia!$B$9&amp;""</f>
        <v/>
      </c>
      <c r="K702" s="63">
        <f>IF(H702="","",COUNTIFS('Zgłoszenia'!$B$5:$B$504,F702,'Zgłoszenia'!$D$5:$D$504,"&gt;="&amp;A702,'Zgłoszenia'!$D$5:$D$504,"&lt;="&amp;(A702+1)))</f>
        <v/>
      </c>
      <c r="L702" s="63">
        <f>IF(OR(H702="",K702=0),"—",IF(ISNUMBER(MATCH(H702,'Zgłoszenia'!$S$5:$S$504,0)),RIGHT("0"&amp;DAY(A702),2)&amp;"."&amp;RIGHT("0"&amp;MONTH(A702),2)&amp;"."&amp;YEAR(A702)&amp;": "&amp;INDEX('Zgłoszenia'!$H$5:$H$504,MATCH(H702,'Zgłoszenia'!$S$5:$S$504,0)),RIGHT("0"&amp;DAY((A702+1)),2)&amp;"."&amp;RIGHT("0"&amp;MONTH((A702+1)),2)&amp;"."&amp;YEAR((A702+1))&amp;": "&amp;INDEX('Zgłoszenia'!$H$5:$H$504,MATCH(F702&amp;"|"&amp;(A702+1),'Zgłoszenia'!$S$5:$S$504,0)))&amp;IF(K702&gt;1," (+"&amp;(K702-1)&amp;")",""))</f>
        <v/>
      </c>
      <c r="M702" s="63" t="n">
        <v>9</v>
      </c>
      <c r="N702" s="2" t="n"/>
      <c r="O702" s="2" t="n"/>
    </row>
    <row r="703">
      <c r="A703" s="62">
        <f>IF('9'!$C$1="","",'9'!$C$1)</f>
        <v/>
      </c>
      <c r="B703" s="63">
        <f>Ustawienia!$A$9&amp;""</f>
        <v/>
      </c>
      <c r="C703" s="63">
        <f>Ustawienia!$A$18&amp;""</f>
        <v/>
      </c>
      <c r="D703" s="63" t="n">
        <v>5</v>
      </c>
      <c r="E703" s="63">
        <f>IF('9'!F36="","",TRIM('9'!F36&amp;""))</f>
        <v/>
      </c>
      <c r="F703" s="63">
        <f>IF('9'!G36="","",'9'!G36)</f>
        <v/>
      </c>
      <c r="G703" s="63">
        <f>'9'!H36&amp;""</f>
        <v/>
      </c>
      <c r="H703" s="63">
        <f>IF(OR(A703="",F703=""),"",F703&amp;"|"&amp;A703)</f>
        <v/>
      </c>
      <c r="I703" s="63">
        <f>IF(AND(H703&lt;&gt;"",OR('Historia wózka'!$B$4="",F703='Historia wózka'!$B$4),A703&gt;='Historia wózka'!$B$5,A703&lt;='Historia wózka'!$B$6),A703+0.8+(5000-ROW())/10000000,0)</f>
        <v/>
      </c>
      <c r="J703" s="63">
        <f>Ustawienia!$B$9&amp;""</f>
        <v/>
      </c>
      <c r="K703" s="63">
        <f>IF(H703="","",COUNTIFS('Zgłoszenia'!$B$5:$B$504,F703,'Zgłoszenia'!$D$5:$D$504,"&gt;="&amp;A703,'Zgłoszenia'!$D$5:$D$504,"&lt;="&amp;(A703+1)))</f>
        <v/>
      </c>
      <c r="L703" s="63">
        <f>IF(OR(H703="",K703=0),"—",IF(ISNUMBER(MATCH(H703,'Zgłoszenia'!$S$5:$S$504,0)),RIGHT("0"&amp;DAY(A703),2)&amp;"."&amp;RIGHT("0"&amp;MONTH(A703),2)&amp;"."&amp;YEAR(A703)&amp;": "&amp;INDEX('Zgłoszenia'!$H$5:$H$504,MATCH(H703,'Zgłoszenia'!$S$5:$S$504,0)),RIGHT("0"&amp;DAY((A703+1)),2)&amp;"."&amp;RIGHT("0"&amp;MONTH((A703+1)),2)&amp;"."&amp;YEAR((A703+1))&amp;": "&amp;INDEX('Zgłoszenia'!$H$5:$H$504,MATCH(F703&amp;"|"&amp;(A703+1),'Zgłoszenia'!$S$5:$S$504,0)))&amp;IF(K703&gt;1," (+"&amp;(K703-1)&amp;")",""))</f>
        <v/>
      </c>
      <c r="M703" s="63" t="n">
        <v>9</v>
      </c>
      <c r="N703" s="2" t="n"/>
      <c r="O703" s="2" t="n"/>
    </row>
    <row r="704">
      <c r="A704" s="62">
        <f>IF('9'!$C$1="","",'9'!$C$1)</f>
        <v/>
      </c>
      <c r="B704" s="63">
        <f>Ustawienia!$A$10&amp;""</f>
        <v/>
      </c>
      <c r="C704" s="63">
        <f>Ustawienia!$A$14&amp;""</f>
        <v/>
      </c>
      <c r="D704" s="63" t="n">
        <v>1</v>
      </c>
      <c r="E704" s="63">
        <f>IF('9'!J6="","",TRIM('9'!J6&amp;""))</f>
        <v/>
      </c>
      <c r="F704" s="63">
        <f>IF('9'!K6="","",'9'!K6)</f>
        <v/>
      </c>
      <c r="G704" s="63">
        <f>'9'!L6&amp;""</f>
        <v/>
      </c>
      <c r="H704" s="63">
        <f>IF(OR(A704="",F704=""),"",F704&amp;"|"&amp;A704)</f>
        <v/>
      </c>
      <c r="I704" s="63">
        <f>IF(AND(H704&lt;&gt;"",OR('Historia wózka'!$B$4="",F704='Historia wózka'!$B$4),A704&gt;='Historia wózka'!$B$5,A704&lt;='Historia wózka'!$B$6),A704+0.7+(5000-ROW())/10000000,0)</f>
        <v/>
      </c>
      <c r="J704" s="63">
        <f>Ustawienia!$B$10&amp;""</f>
        <v/>
      </c>
      <c r="K704" s="63">
        <f>IF(H704="","",COUNTIFS('Zgłoszenia'!$B$5:$B$504,F704,'Zgłoszenia'!$D$5:$D$504,"&gt;="&amp;A704,'Zgłoszenia'!$D$5:$D$504,"&lt;="&amp;(A704+1)))</f>
        <v/>
      </c>
      <c r="L704" s="63">
        <f>IF(OR(H704="",K704=0),"—",IF(ISNUMBER(MATCH(H704,'Zgłoszenia'!$S$5:$S$504,0)),RIGHT("0"&amp;DAY(A704),2)&amp;"."&amp;RIGHT("0"&amp;MONTH(A704),2)&amp;"."&amp;YEAR(A704)&amp;": "&amp;INDEX('Zgłoszenia'!$H$5:$H$504,MATCH(H704,'Zgłoszenia'!$S$5:$S$504,0)),RIGHT("0"&amp;DAY((A704+1)),2)&amp;"."&amp;RIGHT("0"&amp;MONTH((A704+1)),2)&amp;"."&amp;YEAR((A704+1))&amp;": "&amp;INDEX('Zgłoszenia'!$H$5:$H$504,MATCH(F704&amp;"|"&amp;(A704+1),'Zgłoszenia'!$S$5:$S$504,0)))&amp;IF(K704&gt;1," (+"&amp;(K704-1)&amp;")",""))</f>
        <v/>
      </c>
      <c r="M704" s="63" t="n">
        <v>9</v>
      </c>
      <c r="N704" s="2" t="n"/>
      <c r="O704" s="2" t="n"/>
    </row>
    <row r="705">
      <c r="A705" s="62">
        <f>IF('9'!$C$1="","",'9'!$C$1)</f>
        <v/>
      </c>
      <c r="B705" s="63">
        <f>Ustawienia!$A$10&amp;""</f>
        <v/>
      </c>
      <c r="C705" s="63">
        <f>Ustawienia!$A$14&amp;""</f>
        <v/>
      </c>
      <c r="D705" s="63" t="n">
        <v>2</v>
      </c>
      <c r="E705" s="63">
        <f>IF('9'!J7="","",TRIM('9'!J7&amp;""))</f>
        <v/>
      </c>
      <c r="F705" s="63">
        <f>IF('9'!K7="","",'9'!K7)</f>
        <v/>
      </c>
      <c r="G705" s="63">
        <f>'9'!L7&amp;""</f>
        <v/>
      </c>
      <c r="H705" s="63">
        <f>IF(OR(A705="",F705=""),"",F705&amp;"|"&amp;A705)</f>
        <v/>
      </c>
      <c r="I705" s="63">
        <f>IF(AND(H705&lt;&gt;"",OR('Historia wózka'!$B$4="",F705='Historia wózka'!$B$4),A705&gt;='Historia wózka'!$B$5,A705&lt;='Historia wózka'!$B$6),A705+0.7+(5000-ROW())/10000000,0)</f>
        <v/>
      </c>
      <c r="J705" s="63">
        <f>Ustawienia!$B$10&amp;""</f>
        <v/>
      </c>
      <c r="K705" s="63">
        <f>IF(H705="","",COUNTIFS('Zgłoszenia'!$B$5:$B$504,F705,'Zgłoszenia'!$D$5:$D$504,"&gt;="&amp;A705,'Zgłoszenia'!$D$5:$D$504,"&lt;="&amp;(A705+1)))</f>
        <v/>
      </c>
      <c r="L705" s="63">
        <f>IF(OR(H705="",K705=0),"—",IF(ISNUMBER(MATCH(H705,'Zgłoszenia'!$S$5:$S$504,0)),RIGHT("0"&amp;DAY(A705),2)&amp;"."&amp;RIGHT("0"&amp;MONTH(A705),2)&amp;"."&amp;YEAR(A705)&amp;": "&amp;INDEX('Zgłoszenia'!$H$5:$H$504,MATCH(H705,'Zgłoszenia'!$S$5:$S$504,0)),RIGHT("0"&amp;DAY((A705+1)),2)&amp;"."&amp;RIGHT("0"&amp;MONTH((A705+1)),2)&amp;"."&amp;YEAR((A705+1))&amp;": "&amp;INDEX('Zgłoszenia'!$H$5:$H$504,MATCH(F705&amp;"|"&amp;(A705+1),'Zgłoszenia'!$S$5:$S$504,0)))&amp;IF(K705&gt;1," (+"&amp;(K705-1)&amp;")",""))</f>
        <v/>
      </c>
      <c r="M705" s="63" t="n">
        <v>9</v>
      </c>
      <c r="N705" s="2" t="n"/>
      <c r="O705" s="2" t="n"/>
    </row>
    <row r="706">
      <c r="A706" s="62">
        <f>IF('9'!$C$1="","",'9'!$C$1)</f>
        <v/>
      </c>
      <c r="B706" s="63">
        <f>Ustawienia!$A$10&amp;""</f>
        <v/>
      </c>
      <c r="C706" s="63">
        <f>Ustawienia!$A$14&amp;""</f>
        <v/>
      </c>
      <c r="D706" s="63" t="n">
        <v>3</v>
      </c>
      <c r="E706" s="63">
        <f>IF('9'!J8="","",TRIM('9'!J8&amp;""))</f>
        <v/>
      </c>
      <c r="F706" s="63">
        <f>IF('9'!K8="","",'9'!K8)</f>
        <v/>
      </c>
      <c r="G706" s="63">
        <f>'9'!L8&amp;""</f>
        <v/>
      </c>
      <c r="H706" s="63">
        <f>IF(OR(A706="",F706=""),"",F706&amp;"|"&amp;A706)</f>
        <v/>
      </c>
      <c r="I706" s="63">
        <f>IF(AND(H706&lt;&gt;"",OR('Historia wózka'!$B$4="",F706='Historia wózka'!$B$4),A706&gt;='Historia wózka'!$B$5,A706&lt;='Historia wózka'!$B$6),A706+0.7+(5000-ROW())/10000000,0)</f>
        <v/>
      </c>
      <c r="J706" s="63">
        <f>Ustawienia!$B$10&amp;""</f>
        <v/>
      </c>
      <c r="K706" s="63">
        <f>IF(H706="","",COUNTIFS('Zgłoszenia'!$B$5:$B$504,F706,'Zgłoszenia'!$D$5:$D$504,"&gt;="&amp;A706,'Zgłoszenia'!$D$5:$D$504,"&lt;="&amp;(A706+1)))</f>
        <v/>
      </c>
      <c r="L706" s="63">
        <f>IF(OR(H706="",K706=0),"—",IF(ISNUMBER(MATCH(H706,'Zgłoszenia'!$S$5:$S$504,0)),RIGHT("0"&amp;DAY(A706),2)&amp;"."&amp;RIGHT("0"&amp;MONTH(A706),2)&amp;"."&amp;YEAR(A706)&amp;": "&amp;INDEX('Zgłoszenia'!$H$5:$H$504,MATCH(H706,'Zgłoszenia'!$S$5:$S$504,0)),RIGHT("0"&amp;DAY((A706+1)),2)&amp;"."&amp;RIGHT("0"&amp;MONTH((A706+1)),2)&amp;"."&amp;YEAR((A706+1))&amp;": "&amp;INDEX('Zgłoszenia'!$H$5:$H$504,MATCH(F706&amp;"|"&amp;(A706+1),'Zgłoszenia'!$S$5:$S$504,0)))&amp;IF(K706&gt;1," (+"&amp;(K706-1)&amp;")",""))</f>
        <v/>
      </c>
      <c r="M706" s="63" t="n">
        <v>9</v>
      </c>
      <c r="N706" s="2" t="n"/>
      <c r="O706" s="2" t="n"/>
    </row>
    <row r="707">
      <c r="A707" s="62">
        <f>IF('9'!$C$1="","",'9'!$C$1)</f>
        <v/>
      </c>
      <c r="B707" s="63">
        <f>Ustawienia!$A$10&amp;""</f>
        <v/>
      </c>
      <c r="C707" s="63">
        <f>Ustawienia!$A$14&amp;""</f>
        <v/>
      </c>
      <c r="D707" s="63" t="n">
        <v>4</v>
      </c>
      <c r="E707" s="63">
        <f>IF('9'!J9="","",TRIM('9'!J9&amp;""))</f>
        <v/>
      </c>
      <c r="F707" s="63">
        <f>IF('9'!K9="","",'9'!K9)</f>
        <v/>
      </c>
      <c r="G707" s="63">
        <f>'9'!L9&amp;""</f>
        <v/>
      </c>
      <c r="H707" s="63">
        <f>IF(OR(A707="",F707=""),"",F707&amp;"|"&amp;A707)</f>
        <v/>
      </c>
      <c r="I707" s="63">
        <f>IF(AND(H707&lt;&gt;"",OR('Historia wózka'!$B$4="",F707='Historia wózka'!$B$4),A707&gt;='Historia wózka'!$B$5,A707&lt;='Historia wózka'!$B$6),A707+0.7+(5000-ROW())/10000000,0)</f>
        <v/>
      </c>
      <c r="J707" s="63">
        <f>Ustawienia!$B$10&amp;""</f>
        <v/>
      </c>
      <c r="K707" s="63">
        <f>IF(H707="","",COUNTIFS('Zgłoszenia'!$B$5:$B$504,F707,'Zgłoszenia'!$D$5:$D$504,"&gt;="&amp;A707,'Zgłoszenia'!$D$5:$D$504,"&lt;="&amp;(A707+1)))</f>
        <v/>
      </c>
      <c r="L707" s="63">
        <f>IF(OR(H707="",K707=0),"—",IF(ISNUMBER(MATCH(H707,'Zgłoszenia'!$S$5:$S$504,0)),RIGHT("0"&amp;DAY(A707),2)&amp;"."&amp;RIGHT("0"&amp;MONTH(A707),2)&amp;"."&amp;YEAR(A707)&amp;": "&amp;INDEX('Zgłoszenia'!$H$5:$H$504,MATCH(H707,'Zgłoszenia'!$S$5:$S$504,0)),RIGHT("0"&amp;DAY((A707+1)),2)&amp;"."&amp;RIGHT("0"&amp;MONTH((A707+1)),2)&amp;"."&amp;YEAR((A707+1))&amp;": "&amp;INDEX('Zgłoszenia'!$H$5:$H$504,MATCH(F707&amp;"|"&amp;(A707+1),'Zgłoszenia'!$S$5:$S$504,0)))&amp;IF(K707&gt;1," (+"&amp;(K707-1)&amp;")",""))</f>
        <v/>
      </c>
      <c r="M707" s="63" t="n">
        <v>9</v>
      </c>
      <c r="N707" s="2" t="n"/>
      <c r="O707" s="2" t="n"/>
    </row>
    <row r="708">
      <c r="A708" s="62">
        <f>IF('9'!$C$1="","",'9'!$C$1)</f>
        <v/>
      </c>
      <c r="B708" s="63">
        <f>Ustawienia!$A$10&amp;""</f>
        <v/>
      </c>
      <c r="C708" s="63">
        <f>Ustawienia!$A$14&amp;""</f>
        <v/>
      </c>
      <c r="D708" s="63" t="n">
        <v>5</v>
      </c>
      <c r="E708" s="63">
        <f>IF('9'!J10="","",TRIM('9'!J10&amp;""))</f>
        <v/>
      </c>
      <c r="F708" s="63">
        <f>IF('9'!K10="","",'9'!K10)</f>
        <v/>
      </c>
      <c r="G708" s="63">
        <f>'9'!L10&amp;""</f>
        <v/>
      </c>
      <c r="H708" s="63">
        <f>IF(OR(A708="",F708=""),"",F708&amp;"|"&amp;A708)</f>
        <v/>
      </c>
      <c r="I708" s="63">
        <f>IF(AND(H708&lt;&gt;"",OR('Historia wózka'!$B$4="",F708='Historia wózka'!$B$4),A708&gt;='Historia wózka'!$B$5,A708&lt;='Historia wózka'!$B$6),A708+0.7+(5000-ROW())/10000000,0)</f>
        <v/>
      </c>
      <c r="J708" s="63">
        <f>Ustawienia!$B$10&amp;""</f>
        <v/>
      </c>
      <c r="K708" s="63">
        <f>IF(H708="","",COUNTIFS('Zgłoszenia'!$B$5:$B$504,F708,'Zgłoszenia'!$D$5:$D$504,"&gt;="&amp;A708,'Zgłoszenia'!$D$5:$D$504,"&lt;="&amp;(A708+1)))</f>
        <v/>
      </c>
      <c r="L708" s="63">
        <f>IF(OR(H708="",K708=0),"—",IF(ISNUMBER(MATCH(H708,'Zgłoszenia'!$S$5:$S$504,0)),RIGHT("0"&amp;DAY(A708),2)&amp;"."&amp;RIGHT("0"&amp;MONTH(A708),2)&amp;"."&amp;YEAR(A708)&amp;": "&amp;INDEX('Zgłoszenia'!$H$5:$H$504,MATCH(H708,'Zgłoszenia'!$S$5:$S$504,0)),RIGHT("0"&amp;DAY((A708+1)),2)&amp;"."&amp;RIGHT("0"&amp;MONTH((A708+1)),2)&amp;"."&amp;YEAR((A708+1))&amp;": "&amp;INDEX('Zgłoszenia'!$H$5:$H$504,MATCH(F708&amp;"|"&amp;(A708+1),'Zgłoszenia'!$S$5:$S$504,0)))&amp;IF(K708&gt;1," (+"&amp;(K708-1)&amp;")",""))</f>
        <v/>
      </c>
      <c r="M708" s="63" t="n">
        <v>9</v>
      </c>
      <c r="N708" s="2" t="n"/>
      <c r="O708" s="2" t="n"/>
    </row>
    <row r="709">
      <c r="A709" s="62">
        <f>IF('9'!$C$1="","",'9'!$C$1)</f>
        <v/>
      </c>
      <c r="B709" s="63">
        <f>Ustawienia!$A$10&amp;""</f>
        <v/>
      </c>
      <c r="C709" s="63">
        <f>Ustawienia!$A$14&amp;""</f>
        <v/>
      </c>
      <c r="D709" s="63" t="n">
        <v>6</v>
      </c>
      <c r="E709" s="63">
        <f>IF('9'!J11="","",TRIM('9'!J11&amp;""))</f>
        <v/>
      </c>
      <c r="F709" s="63">
        <f>IF('9'!K11="","",'9'!K11)</f>
        <v/>
      </c>
      <c r="G709" s="63">
        <f>'9'!L11&amp;""</f>
        <v/>
      </c>
      <c r="H709" s="63">
        <f>IF(OR(A709="",F709=""),"",F709&amp;"|"&amp;A709)</f>
        <v/>
      </c>
      <c r="I709" s="63">
        <f>IF(AND(H709&lt;&gt;"",OR('Historia wózka'!$B$4="",F709='Historia wózka'!$B$4),A709&gt;='Historia wózka'!$B$5,A709&lt;='Historia wózka'!$B$6),A709+0.7+(5000-ROW())/10000000,0)</f>
        <v/>
      </c>
      <c r="J709" s="63">
        <f>Ustawienia!$B$10&amp;""</f>
        <v/>
      </c>
      <c r="K709" s="63">
        <f>IF(H709="","",COUNTIFS('Zgłoszenia'!$B$5:$B$504,F709,'Zgłoszenia'!$D$5:$D$504,"&gt;="&amp;A709,'Zgłoszenia'!$D$5:$D$504,"&lt;="&amp;(A709+1)))</f>
        <v/>
      </c>
      <c r="L709" s="63">
        <f>IF(OR(H709="",K709=0),"—",IF(ISNUMBER(MATCH(H709,'Zgłoszenia'!$S$5:$S$504,0)),RIGHT("0"&amp;DAY(A709),2)&amp;"."&amp;RIGHT("0"&amp;MONTH(A709),2)&amp;"."&amp;YEAR(A709)&amp;": "&amp;INDEX('Zgłoszenia'!$H$5:$H$504,MATCH(H709,'Zgłoszenia'!$S$5:$S$504,0)),RIGHT("0"&amp;DAY((A709+1)),2)&amp;"."&amp;RIGHT("0"&amp;MONTH((A709+1)),2)&amp;"."&amp;YEAR((A709+1))&amp;": "&amp;INDEX('Zgłoszenia'!$H$5:$H$504,MATCH(F709&amp;"|"&amp;(A709+1),'Zgłoszenia'!$S$5:$S$504,0)))&amp;IF(K709&gt;1," (+"&amp;(K709-1)&amp;")",""))</f>
        <v/>
      </c>
      <c r="M709" s="63" t="n">
        <v>9</v>
      </c>
      <c r="N709" s="2" t="n"/>
      <c r="O709" s="2" t="n"/>
    </row>
    <row r="710">
      <c r="A710" s="62">
        <f>IF('9'!$C$1="","",'9'!$C$1)</f>
        <v/>
      </c>
      <c r="B710" s="63">
        <f>Ustawienia!$A$10&amp;""</f>
        <v/>
      </c>
      <c r="C710" s="63">
        <f>Ustawienia!$A$15&amp;""</f>
        <v/>
      </c>
      <c r="D710" s="63" t="n">
        <v>1</v>
      </c>
      <c r="E710" s="63">
        <f>IF('9'!J13="","",TRIM('9'!J13&amp;""))</f>
        <v/>
      </c>
      <c r="F710" s="63">
        <f>IF('9'!K13="","",'9'!K13)</f>
        <v/>
      </c>
      <c r="G710" s="63">
        <f>'9'!L13&amp;""</f>
        <v/>
      </c>
      <c r="H710" s="63">
        <f>IF(OR(A710="",F710=""),"",F710&amp;"|"&amp;A710)</f>
        <v/>
      </c>
      <c r="I710" s="63">
        <f>IF(AND(H710&lt;&gt;"",OR('Historia wózka'!$B$4="",F710='Historia wózka'!$B$4),A710&gt;='Historia wózka'!$B$5,A710&lt;='Historia wózka'!$B$6),A710+0.7+(5000-ROW())/10000000,0)</f>
        <v/>
      </c>
      <c r="J710" s="63">
        <f>Ustawienia!$B$10&amp;""</f>
        <v/>
      </c>
      <c r="K710" s="63">
        <f>IF(H710="","",COUNTIFS('Zgłoszenia'!$B$5:$B$504,F710,'Zgłoszenia'!$D$5:$D$504,"&gt;="&amp;A710,'Zgłoszenia'!$D$5:$D$504,"&lt;="&amp;(A710+1)))</f>
        <v/>
      </c>
      <c r="L710" s="63">
        <f>IF(OR(H710="",K710=0),"—",IF(ISNUMBER(MATCH(H710,'Zgłoszenia'!$S$5:$S$504,0)),RIGHT("0"&amp;DAY(A710),2)&amp;"."&amp;RIGHT("0"&amp;MONTH(A710),2)&amp;"."&amp;YEAR(A710)&amp;": "&amp;INDEX('Zgłoszenia'!$H$5:$H$504,MATCH(H710,'Zgłoszenia'!$S$5:$S$504,0)),RIGHT("0"&amp;DAY((A710+1)),2)&amp;"."&amp;RIGHT("0"&amp;MONTH((A710+1)),2)&amp;"."&amp;YEAR((A710+1))&amp;": "&amp;INDEX('Zgłoszenia'!$H$5:$H$504,MATCH(F710&amp;"|"&amp;(A710+1),'Zgłoszenia'!$S$5:$S$504,0)))&amp;IF(K710&gt;1," (+"&amp;(K710-1)&amp;")",""))</f>
        <v/>
      </c>
      <c r="M710" s="63" t="n">
        <v>9</v>
      </c>
      <c r="N710" s="2" t="n"/>
      <c r="O710" s="2" t="n"/>
    </row>
    <row r="711">
      <c r="A711" s="62">
        <f>IF('9'!$C$1="","",'9'!$C$1)</f>
        <v/>
      </c>
      <c r="B711" s="63">
        <f>Ustawienia!$A$10&amp;""</f>
        <v/>
      </c>
      <c r="C711" s="63">
        <f>Ustawienia!$A$15&amp;""</f>
        <v/>
      </c>
      <c r="D711" s="63" t="n">
        <v>2</v>
      </c>
      <c r="E711" s="63">
        <f>IF('9'!J14="","",TRIM('9'!J14&amp;""))</f>
        <v/>
      </c>
      <c r="F711" s="63">
        <f>IF('9'!K14="","",'9'!K14)</f>
        <v/>
      </c>
      <c r="G711" s="63">
        <f>'9'!L14&amp;""</f>
        <v/>
      </c>
      <c r="H711" s="63">
        <f>IF(OR(A711="",F711=""),"",F711&amp;"|"&amp;A711)</f>
        <v/>
      </c>
      <c r="I711" s="63">
        <f>IF(AND(H711&lt;&gt;"",OR('Historia wózka'!$B$4="",F711='Historia wózka'!$B$4),A711&gt;='Historia wózka'!$B$5,A711&lt;='Historia wózka'!$B$6),A711+0.7+(5000-ROW())/10000000,0)</f>
        <v/>
      </c>
      <c r="J711" s="63">
        <f>Ustawienia!$B$10&amp;""</f>
        <v/>
      </c>
      <c r="K711" s="63">
        <f>IF(H711="","",COUNTIFS('Zgłoszenia'!$B$5:$B$504,F711,'Zgłoszenia'!$D$5:$D$504,"&gt;="&amp;A711,'Zgłoszenia'!$D$5:$D$504,"&lt;="&amp;(A711+1)))</f>
        <v/>
      </c>
      <c r="L711" s="63">
        <f>IF(OR(H711="",K711=0),"—",IF(ISNUMBER(MATCH(H711,'Zgłoszenia'!$S$5:$S$504,0)),RIGHT("0"&amp;DAY(A711),2)&amp;"."&amp;RIGHT("0"&amp;MONTH(A711),2)&amp;"."&amp;YEAR(A711)&amp;": "&amp;INDEX('Zgłoszenia'!$H$5:$H$504,MATCH(H711,'Zgłoszenia'!$S$5:$S$504,0)),RIGHT("0"&amp;DAY((A711+1)),2)&amp;"."&amp;RIGHT("0"&amp;MONTH((A711+1)),2)&amp;"."&amp;YEAR((A711+1))&amp;": "&amp;INDEX('Zgłoszenia'!$H$5:$H$504,MATCH(F711&amp;"|"&amp;(A711+1),'Zgłoszenia'!$S$5:$S$504,0)))&amp;IF(K711&gt;1," (+"&amp;(K711-1)&amp;")",""))</f>
        <v/>
      </c>
      <c r="M711" s="63" t="n">
        <v>9</v>
      </c>
      <c r="N711" s="2" t="n"/>
      <c r="O711" s="2" t="n"/>
    </row>
    <row r="712">
      <c r="A712" s="62">
        <f>IF('9'!$C$1="","",'9'!$C$1)</f>
        <v/>
      </c>
      <c r="B712" s="63">
        <f>Ustawienia!$A$10&amp;""</f>
        <v/>
      </c>
      <c r="C712" s="63">
        <f>Ustawienia!$A$15&amp;""</f>
        <v/>
      </c>
      <c r="D712" s="63" t="n">
        <v>3</v>
      </c>
      <c r="E712" s="63">
        <f>IF('9'!J15="","",TRIM('9'!J15&amp;""))</f>
        <v/>
      </c>
      <c r="F712" s="63">
        <f>IF('9'!K15="","",'9'!K15)</f>
        <v/>
      </c>
      <c r="G712" s="63">
        <f>'9'!L15&amp;""</f>
        <v/>
      </c>
      <c r="H712" s="63">
        <f>IF(OR(A712="",F712=""),"",F712&amp;"|"&amp;A712)</f>
        <v/>
      </c>
      <c r="I712" s="63">
        <f>IF(AND(H712&lt;&gt;"",OR('Historia wózka'!$B$4="",F712='Historia wózka'!$B$4),A712&gt;='Historia wózka'!$B$5,A712&lt;='Historia wózka'!$B$6),A712+0.7+(5000-ROW())/10000000,0)</f>
        <v/>
      </c>
      <c r="J712" s="63">
        <f>Ustawienia!$B$10&amp;""</f>
        <v/>
      </c>
      <c r="K712" s="63">
        <f>IF(H712="","",COUNTIFS('Zgłoszenia'!$B$5:$B$504,F712,'Zgłoszenia'!$D$5:$D$504,"&gt;="&amp;A712,'Zgłoszenia'!$D$5:$D$504,"&lt;="&amp;(A712+1)))</f>
        <v/>
      </c>
      <c r="L712" s="63">
        <f>IF(OR(H712="",K712=0),"—",IF(ISNUMBER(MATCH(H712,'Zgłoszenia'!$S$5:$S$504,0)),RIGHT("0"&amp;DAY(A712),2)&amp;"."&amp;RIGHT("0"&amp;MONTH(A712),2)&amp;"."&amp;YEAR(A712)&amp;": "&amp;INDEX('Zgłoszenia'!$H$5:$H$504,MATCH(H712,'Zgłoszenia'!$S$5:$S$504,0)),RIGHT("0"&amp;DAY((A712+1)),2)&amp;"."&amp;RIGHT("0"&amp;MONTH((A712+1)),2)&amp;"."&amp;YEAR((A712+1))&amp;": "&amp;INDEX('Zgłoszenia'!$H$5:$H$504,MATCH(F712&amp;"|"&amp;(A712+1),'Zgłoszenia'!$S$5:$S$504,0)))&amp;IF(K712&gt;1," (+"&amp;(K712-1)&amp;")",""))</f>
        <v/>
      </c>
      <c r="M712" s="63" t="n">
        <v>9</v>
      </c>
      <c r="N712" s="2" t="n"/>
      <c r="O712" s="2" t="n"/>
    </row>
    <row r="713">
      <c r="A713" s="62">
        <f>IF('9'!$C$1="","",'9'!$C$1)</f>
        <v/>
      </c>
      <c r="B713" s="63">
        <f>Ustawienia!$A$10&amp;""</f>
        <v/>
      </c>
      <c r="C713" s="63">
        <f>Ustawienia!$A$15&amp;""</f>
        <v/>
      </c>
      <c r="D713" s="63" t="n">
        <v>4</v>
      </c>
      <c r="E713" s="63">
        <f>IF('9'!J16="","",TRIM('9'!J16&amp;""))</f>
        <v/>
      </c>
      <c r="F713" s="63">
        <f>IF('9'!K16="","",'9'!K16)</f>
        <v/>
      </c>
      <c r="G713" s="63">
        <f>'9'!L16&amp;""</f>
        <v/>
      </c>
      <c r="H713" s="63">
        <f>IF(OR(A713="",F713=""),"",F713&amp;"|"&amp;A713)</f>
        <v/>
      </c>
      <c r="I713" s="63">
        <f>IF(AND(H713&lt;&gt;"",OR('Historia wózka'!$B$4="",F713='Historia wózka'!$B$4),A713&gt;='Historia wózka'!$B$5,A713&lt;='Historia wózka'!$B$6),A713+0.7+(5000-ROW())/10000000,0)</f>
        <v/>
      </c>
      <c r="J713" s="63">
        <f>Ustawienia!$B$10&amp;""</f>
        <v/>
      </c>
      <c r="K713" s="63">
        <f>IF(H713="","",COUNTIFS('Zgłoszenia'!$B$5:$B$504,F713,'Zgłoszenia'!$D$5:$D$504,"&gt;="&amp;A713,'Zgłoszenia'!$D$5:$D$504,"&lt;="&amp;(A713+1)))</f>
        <v/>
      </c>
      <c r="L713" s="63">
        <f>IF(OR(H713="",K713=0),"—",IF(ISNUMBER(MATCH(H713,'Zgłoszenia'!$S$5:$S$504,0)),RIGHT("0"&amp;DAY(A713),2)&amp;"."&amp;RIGHT("0"&amp;MONTH(A713),2)&amp;"."&amp;YEAR(A713)&amp;": "&amp;INDEX('Zgłoszenia'!$H$5:$H$504,MATCH(H713,'Zgłoszenia'!$S$5:$S$504,0)),RIGHT("0"&amp;DAY((A713+1)),2)&amp;"."&amp;RIGHT("0"&amp;MONTH((A713+1)),2)&amp;"."&amp;YEAR((A713+1))&amp;": "&amp;INDEX('Zgłoszenia'!$H$5:$H$504,MATCH(F713&amp;"|"&amp;(A713+1),'Zgłoszenia'!$S$5:$S$504,0)))&amp;IF(K713&gt;1," (+"&amp;(K713-1)&amp;")",""))</f>
        <v/>
      </c>
      <c r="M713" s="63" t="n">
        <v>9</v>
      </c>
      <c r="N713" s="2" t="n"/>
      <c r="O713" s="2" t="n"/>
    </row>
    <row r="714">
      <c r="A714" s="62">
        <f>IF('9'!$C$1="","",'9'!$C$1)</f>
        <v/>
      </c>
      <c r="B714" s="63">
        <f>Ustawienia!$A$10&amp;""</f>
        <v/>
      </c>
      <c r="C714" s="63">
        <f>Ustawienia!$A$15&amp;""</f>
        <v/>
      </c>
      <c r="D714" s="63" t="n">
        <v>5</v>
      </c>
      <c r="E714" s="63">
        <f>IF('9'!J17="","",TRIM('9'!J17&amp;""))</f>
        <v/>
      </c>
      <c r="F714" s="63">
        <f>IF('9'!K17="","",'9'!K17)</f>
        <v/>
      </c>
      <c r="G714" s="63">
        <f>'9'!L17&amp;""</f>
        <v/>
      </c>
      <c r="H714" s="63">
        <f>IF(OR(A714="",F714=""),"",F714&amp;"|"&amp;A714)</f>
        <v/>
      </c>
      <c r="I714" s="63">
        <f>IF(AND(H714&lt;&gt;"",OR('Historia wózka'!$B$4="",F714='Historia wózka'!$B$4),A714&gt;='Historia wózka'!$B$5,A714&lt;='Historia wózka'!$B$6),A714+0.7+(5000-ROW())/10000000,0)</f>
        <v/>
      </c>
      <c r="J714" s="63">
        <f>Ustawienia!$B$10&amp;""</f>
        <v/>
      </c>
      <c r="K714" s="63">
        <f>IF(H714="","",COUNTIFS('Zgłoszenia'!$B$5:$B$504,F714,'Zgłoszenia'!$D$5:$D$504,"&gt;="&amp;A714,'Zgłoszenia'!$D$5:$D$504,"&lt;="&amp;(A714+1)))</f>
        <v/>
      </c>
      <c r="L714" s="63">
        <f>IF(OR(H714="",K714=0),"—",IF(ISNUMBER(MATCH(H714,'Zgłoszenia'!$S$5:$S$504,0)),RIGHT("0"&amp;DAY(A714),2)&amp;"."&amp;RIGHT("0"&amp;MONTH(A714),2)&amp;"."&amp;YEAR(A714)&amp;": "&amp;INDEX('Zgłoszenia'!$H$5:$H$504,MATCH(H714,'Zgłoszenia'!$S$5:$S$504,0)),RIGHT("0"&amp;DAY((A714+1)),2)&amp;"."&amp;RIGHT("0"&amp;MONTH((A714+1)),2)&amp;"."&amp;YEAR((A714+1))&amp;": "&amp;INDEX('Zgłoszenia'!$H$5:$H$504,MATCH(F714&amp;"|"&amp;(A714+1),'Zgłoszenia'!$S$5:$S$504,0)))&amp;IF(K714&gt;1," (+"&amp;(K714-1)&amp;")",""))</f>
        <v/>
      </c>
      <c r="M714" s="63" t="n">
        <v>9</v>
      </c>
      <c r="N714" s="2" t="n"/>
      <c r="O714" s="2" t="n"/>
    </row>
    <row r="715">
      <c r="A715" s="62">
        <f>IF('9'!$C$1="","",'9'!$C$1)</f>
        <v/>
      </c>
      <c r="B715" s="63">
        <f>Ustawienia!$A$10&amp;""</f>
        <v/>
      </c>
      <c r="C715" s="63">
        <f>Ustawienia!$A$15&amp;""</f>
        <v/>
      </c>
      <c r="D715" s="63" t="n">
        <v>6</v>
      </c>
      <c r="E715" s="63">
        <f>IF('9'!J18="","",TRIM('9'!J18&amp;""))</f>
        <v/>
      </c>
      <c r="F715" s="63">
        <f>IF('9'!K18="","",'9'!K18)</f>
        <v/>
      </c>
      <c r="G715" s="63">
        <f>'9'!L18&amp;""</f>
        <v/>
      </c>
      <c r="H715" s="63">
        <f>IF(OR(A715="",F715=""),"",F715&amp;"|"&amp;A715)</f>
        <v/>
      </c>
      <c r="I715" s="63">
        <f>IF(AND(H715&lt;&gt;"",OR('Historia wózka'!$B$4="",F715='Historia wózka'!$B$4),A715&gt;='Historia wózka'!$B$5,A715&lt;='Historia wózka'!$B$6),A715+0.7+(5000-ROW())/10000000,0)</f>
        <v/>
      </c>
      <c r="J715" s="63">
        <f>Ustawienia!$B$10&amp;""</f>
        <v/>
      </c>
      <c r="K715" s="63">
        <f>IF(H715="","",COUNTIFS('Zgłoszenia'!$B$5:$B$504,F715,'Zgłoszenia'!$D$5:$D$504,"&gt;="&amp;A715,'Zgłoszenia'!$D$5:$D$504,"&lt;="&amp;(A715+1)))</f>
        <v/>
      </c>
      <c r="L715" s="63">
        <f>IF(OR(H715="",K715=0),"—",IF(ISNUMBER(MATCH(H715,'Zgłoszenia'!$S$5:$S$504,0)),RIGHT("0"&amp;DAY(A715),2)&amp;"."&amp;RIGHT("0"&amp;MONTH(A715),2)&amp;"."&amp;YEAR(A715)&amp;": "&amp;INDEX('Zgłoszenia'!$H$5:$H$504,MATCH(H715,'Zgłoszenia'!$S$5:$S$504,0)),RIGHT("0"&amp;DAY((A715+1)),2)&amp;"."&amp;RIGHT("0"&amp;MONTH((A715+1)),2)&amp;"."&amp;YEAR((A715+1))&amp;": "&amp;INDEX('Zgłoszenia'!$H$5:$H$504,MATCH(F715&amp;"|"&amp;(A715+1),'Zgłoszenia'!$S$5:$S$504,0)))&amp;IF(K715&gt;1," (+"&amp;(K715-1)&amp;")",""))</f>
        <v/>
      </c>
      <c r="M715" s="63" t="n">
        <v>9</v>
      </c>
      <c r="N715" s="2" t="n"/>
      <c r="O715" s="2" t="n"/>
    </row>
    <row r="716">
      <c r="A716" s="62">
        <f>IF('9'!$C$1="","",'9'!$C$1)</f>
        <v/>
      </c>
      <c r="B716" s="63">
        <f>Ustawienia!$A$10&amp;""</f>
        <v/>
      </c>
      <c r="C716" s="63">
        <f>Ustawienia!$A$15&amp;""</f>
        <v/>
      </c>
      <c r="D716" s="63" t="n">
        <v>7</v>
      </c>
      <c r="E716" s="63">
        <f>IF('9'!J19="","",TRIM('9'!J19&amp;""))</f>
        <v/>
      </c>
      <c r="F716" s="63">
        <f>IF('9'!K19="","",'9'!K19)</f>
        <v/>
      </c>
      <c r="G716" s="63">
        <f>'9'!L19&amp;""</f>
        <v/>
      </c>
      <c r="H716" s="63">
        <f>IF(OR(A716="",F716=""),"",F716&amp;"|"&amp;A716)</f>
        <v/>
      </c>
      <c r="I716" s="63">
        <f>IF(AND(H716&lt;&gt;"",OR('Historia wózka'!$B$4="",F716='Historia wózka'!$B$4),A716&gt;='Historia wózka'!$B$5,A716&lt;='Historia wózka'!$B$6),A716+0.7+(5000-ROW())/10000000,0)</f>
        <v/>
      </c>
      <c r="J716" s="63">
        <f>Ustawienia!$B$10&amp;""</f>
        <v/>
      </c>
      <c r="K716" s="63">
        <f>IF(H716="","",COUNTIFS('Zgłoszenia'!$B$5:$B$504,F716,'Zgłoszenia'!$D$5:$D$504,"&gt;="&amp;A716,'Zgłoszenia'!$D$5:$D$504,"&lt;="&amp;(A716+1)))</f>
        <v/>
      </c>
      <c r="L716" s="63">
        <f>IF(OR(H716="",K716=0),"—",IF(ISNUMBER(MATCH(H716,'Zgłoszenia'!$S$5:$S$504,0)),RIGHT("0"&amp;DAY(A716),2)&amp;"."&amp;RIGHT("0"&amp;MONTH(A716),2)&amp;"."&amp;YEAR(A716)&amp;": "&amp;INDEX('Zgłoszenia'!$H$5:$H$504,MATCH(H716,'Zgłoszenia'!$S$5:$S$504,0)),RIGHT("0"&amp;DAY((A716+1)),2)&amp;"."&amp;RIGHT("0"&amp;MONTH((A716+1)),2)&amp;"."&amp;YEAR((A716+1))&amp;": "&amp;INDEX('Zgłoszenia'!$H$5:$H$504,MATCH(F716&amp;"|"&amp;(A716+1),'Zgłoszenia'!$S$5:$S$504,0)))&amp;IF(K716&gt;1," (+"&amp;(K716-1)&amp;")",""))</f>
        <v/>
      </c>
      <c r="M716" s="63" t="n">
        <v>9</v>
      </c>
      <c r="N716" s="2" t="n"/>
      <c r="O716" s="2" t="n"/>
    </row>
    <row r="717">
      <c r="A717" s="62">
        <f>IF('9'!$C$1="","",'9'!$C$1)</f>
        <v/>
      </c>
      <c r="B717" s="63">
        <f>Ustawienia!$A$10&amp;""</f>
        <v/>
      </c>
      <c r="C717" s="63">
        <f>Ustawienia!$A$15&amp;""</f>
        <v/>
      </c>
      <c r="D717" s="63" t="n">
        <v>8</v>
      </c>
      <c r="E717" s="63">
        <f>IF('9'!J20="","",TRIM('9'!J20&amp;""))</f>
        <v/>
      </c>
      <c r="F717" s="63">
        <f>IF('9'!K20="","",'9'!K20)</f>
        <v/>
      </c>
      <c r="G717" s="63">
        <f>'9'!L20&amp;""</f>
        <v/>
      </c>
      <c r="H717" s="63">
        <f>IF(OR(A717="",F717=""),"",F717&amp;"|"&amp;A717)</f>
        <v/>
      </c>
      <c r="I717" s="63">
        <f>IF(AND(H717&lt;&gt;"",OR('Historia wózka'!$B$4="",F717='Historia wózka'!$B$4),A717&gt;='Historia wózka'!$B$5,A717&lt;='Historia wózka'!$B$6),A717+0.7+(5000-ROW())/10000000,0)</f>
        <v/>
      </c>
      <c r="J717" s="63">
        <f>Ustawienia!$B$10&amp;""</f>
        <v/>
      </c>
      <c r="K717" s="63">
        <f>IF(H717="","",COUNTIFS('Zgłoszenia'!$B$5:$B$504,F717,'Zgłoszenia'!$D$5:$D$504,"&gt;="&amp;A717,'Zgłoszenia'!$D$5:$D$504,"&lt;="&amp;(A717+1)))</f>
        <v/>
      </c>
      <c r="L717" s="63">
        <f>IF(OR(H717="",K717=0),"—",IF(ISNUMBER(MATCH(H717,'Zgłoszenia'!$S$5:$S$504,0)),RIGHT("0"&amp;DAY(A717),2)&amp;"."&amp;RIGHT("0"&amp;MONTH(A717),2)&amp;"."&amp;YEAR(A717)&amp;": "&amp;INDEX('Zgłoszenia'!$H$5:$H$504,MATCH(H717,'Zgłoszenia'!$S$5:$S$504,0)),RIGHT("0"&amp;DAY((A717+1)),2)&amp;"."&amp;RIGHT("0"&amp;MONTH((A717+1)),2)&amp;"."&amp;YEAR((A717+1))&amp;": "&amp;INDEX('Zgłoszenia'!$H$5:$H$504,MATCH(F717&amp;"|"&amp;(A717+1),'Zgłoszenia'!$S$5:$S$504,0)))&amp;IF(K717&gt;1," (+"&amp;(K717-1)&amp;")",""))</f>
        <v/>
      </c>
      <c r="M717" s="63" t="n">
        <v>9</v>
      </c>
      <c r="N717" s="2" t="n"/>
      <c r="O717" s="2" t="n"/>
    </row>
    <row r="718">
      <c r="A718" s="62">
        <f>IF('9'!$C$1="","",'9'!$C$1)</f>
        <v/>
      </c>
      <c r="B718" s="63">
        <f>Ustawienia!$A$10&amp;""</f>
        <v/>
      </c>
      <c r="C718" s="63">
        <f>Ustawienia!$A$16&amp;""</f>
        <v/>
      </c>
      <c r="D718" s="63" t="n">
        <v>1</v>
      </c>
      <c r="E718" s="63">
        <f>IF('9'!J22="","",TRIM('9'!J22&amp;""))</f>
        <v/>
      </c>
      <c r="F718" s="63">
        <f>IF('9'!K22="","",'9'!K22)</f>
        <v/>
      </c>
      <c r="G718" s="63">
        <f>'9'!L22&amp;""</f>
        <v/>
      </c>
      <c r="H718" s="63">
        <f>IF(OR(A718="",F718=""),"",F718&amp;"|"&amp;A718)</f>
        <v/>
      </c>
      <c r="I718" s="63">
        <f>IF(AND(H718&lt;&gt;"",OR('Historia wózka'!$B$4="",F718='Historia wózka'!$B$4),A718&gt;='Historia wózka'!$B$5,A718&lt;='Historia wózka'!$B$6),A718+0.7+(5000-ROW())/10000000,0)</f>
        <v/>
      </c>
      <c r="J718" s="63">
        <f>Ustawienia!$B$10&amp;""</f>
        <v/>
      </c>
      <c r="K718" s="63">
        <f>IF(H718="","",COUNTIFS('Zgłoszenia'!$B$5:$B$504,F718,'Zgłoszenia'!$D$5:$D$504,"&gt;="&amp;A718,'Zgłoszenia'!$D$5:$D$504,"&lt;="&amp;(A718+1)))</f>
        <v/>
      </c>
      <c r="L718" s="63">
        <f>IF(OR(H718="",K718=0),"—",IF(ISNUMBER(MATCH(H718,'Zgłoszenia'!$S$5:$S$504,0)),RIGHT("0"&amp;DAY(A718),2)&amp;"."&amp;RIGHT("0"&amp;MONTH(A718),2)&amp;"."&amp;YEAR(A718)&amp;": "&amp;INDEX('Zgłoszenia'!$H$5:$H$504,MATCH(H718,'Zgłoszenia'!$S$5:$S$504,0)),RIGHT("0"&amp;DAY((A718+1)),2)&amp;"."&amp;RIGHT("0"&amp;MONTH((A718+1)),2)&amp;"."&amp;YEAR((A718+1))&amp;": "&amp;INDEX('Zgłoszenia'!$H$5:$H$504,MATCH(F718&amp;"|"&amp;(A718+1),'Zgłoszenia'!$S$5:$S$504,0)))&amp;IF(K718&gt;1," (+"&amp;(K718-1)&amp;")",""))</f>
        <v/>
      </c>
      <c r="M718" s="63" t="n">
        <v>9</v>
      </c>
      <c r="N718" s="2" t="n"/>
      <c r="O718" s="2" t="n"/>
    </row>
    <row r="719">
      <c r="A719" s="62">
        <f>IF('9'!$C$1="","",'9'!$C$1)</f>
        <v/>
      </c>
      <c r="B719" s="63">
        <f>Ustawienia!$A$10&amp;""</f>
        <v/>
      </c>
      <c r="C719" s="63">
        <f>Ustawienia!$A$16&amp;""</f>
        <v/>
      </c>
      <c r="D719" s="63" t="n">
        <v>2</v>
      </c>
      <c r="E719" s="63">
        <f>IF('9'!J23="","",TRIM('9'!J23&amp;""))</f>
        <v/>
      </c>
      <c r="F719" s="63">
        <f>IF('9'!K23="","",'9'!K23)</f>
        <v/>
      </c>
      <c r="G719" s="63">
        <f>'9'!L23&amp;""</f>
        <v/>
      </c>
      <c r="H719" s="63">
        <f>IF(OR(A719="",F719=""),"",F719&amp;"|"&amp;A719)</f>
        <v/>
      </c>
      <c r="I719" s="63">
        <f>IF(AND(H719&lt;&gt;"",OR('Historia wózka'!$B$4="",F719='Historia wózka'!$B$4),A719&gt;='Historia wózka'!$B$5,A719&lt;='Historia wózka'!$B$6),A719+0.7+(5000-ROW())/10000000,0)</f>
        <v/>
      </c>
      <c r="J719" s="63">
        <f>Ustawienia!$B$10&amp;""</f>
        <v/>
      </c>
      <c r="K719" s="63">
        <f>IF(H719="","",COUNTIFS('Zgłoszenia'!$B$5:$B$504,F719,'Zgłoszenia'!$D$5:$D$504,"&gt;="&amp;A719,'Zgłoszenia'!$D$5:$D$504,"&lt;="&amp;(A719+1)))</f>
        <v/>
      </c>
      <c r="L719" s="63">
        <f>IF(OR(H719="",K719=0),"—",IF(ISNUMBER(MATCH(H719,'Zgłoszenia'!$S$5:$S$504,0)),RIGHT("0"&amp;DAY(A719),2)&amp;"."&amp;RIGHT("0"&amp;MONTH(A719),2)&amp;"."&amp;YEAR(A719)&amp;": "&amp;INDEX('Zgłoszenia'!$H$5:$H$504,MATCH(H719,'Zgłoszenia'!$S$5:$S$504,0)),RIGHT("0"&amp;DAY((A719+1)),2)&amp;"."&amp;RIGHT("0"&amp;MONTH((A719+1)),2)&amp;"."&amp;YEAR((A719+1))&amp;": "&amp;INDEX('Zgłoszenia'!$H$5:$H$504,MATCH(F719&amp;"|"&amp;(A719+1),'Zgłoszenia'!$S$5:$S$504,0)))&amp;IF(K719&gt;1," (+"&amp;(K719-1)&amp;")",""))</f>
        <v/>
      </c>
      <c r="M719" s="63" t="n">
        <v>9</v>
      </c>
      <c r="N719" s="2" t="n"/>
      <c r="O719" s="2" t="n"/>
    </row>
    <row r="720">
      <c r="A720" s="62">
        <f>IF('9'!$C$1="","",'9'!$C$1)</f>
        <v/>
      </c>
      <c r="B720" s="63">
        <f>Ustawienia!$A$10&amp;""</f>
        <v/>
      </c>
      <c r="C720" s="63">
        <f>Ustawienia!$A$16&amp;""</f>
        <v/>
      </c>
      <c r="D720" s="63" t="n">
        <v>3</v>
      </c>
      <c r="E720" s="63">
        <f>IF('9'!J24="","",TRIM('9'!J24&amp;""))</f>
        <v/>
      </c>
      <c r="F720" s="63">
        <f>IF('9'!K24="","",'9'!K24)</f>
        <v/>
      </c>
      <c r="G720" s="63">
        <f>'9'!L24&amp;""</f>
        <v/>
      </c>
      <c r="H720" s="63">
        <f>IF(OR(A720="",F720=""),"",F720&amp;"|"&amp;A720)</f>
        <v/>
      </c>
      <c r="I720" s="63">
        <f>IF(AND(H720&lt;&gt;"",OR('Historia wózka'!$B$4="",F720='Historia wózka'!$B$4),A720&gt;='Historia wózka'!$B$5,A720&lt;='Historia wózka'!$B$6),A720+0.7+(5000-ROW())/10000000,0)</f>
        <v/>
      </c>
      <c r="J720" s="63">
        <f>Ustawienia!$B$10&amp;""</f>
        <v/>
      </c>
      <c r="K720" s="63">
        <f>IF(H720="","",COUNTIFS('Zgłoszenia'!$B$5:$B$504,F720,'Zgłoszenia'!$D$5:$D$504,"&gt;="&amp;A720,'Zgłoszenia'!$D$5:$D$504,"&lt;="&amp;(A720+1)))</f>
        <v/>
      </c>
      <c r="L720" s="63">
        <f>IF(OR(H720="",K720=0),"—",IF(ISNUMBER(MATCH(H720,'Zgłoszenia'!$S$5:$S$504,0)),RIGHT("0"&amp;DAY(A720),2)&amp;"."&amp;RIGHT("0"&amp;MONTH(A720),2)&amp;"."&amp;YEAR(A720)&amp;": "&amp;INDEX('Zgłoszenia'!$H$5:$H$504,MATCH(H720,'Zgłoszenia'!$S$5:$S$504,0)),RIGHT("0"&amp;DAY((A720+1)),2)&amp;"."&amp;RIGHT("0"&amp;MONTH((A720+1)),2)&amp;"."&amp;YEAR((A720+1))&amp;": "&amp;INDEX('Zgłoszenia'!$H$5:$H$504,MATCH(F720&amp;"|"&amp;(A720+1),'Zgłoszenia'!$S$5:$S$504,0)))&amp;IF(K720&gt;1," (+"&amp;(K720-1)&amp;")",""))</f>
        <v/>
      </c>
      <c r="M720" s="63" t="n">
        <v>9</v>
      </c>
      <c r="N720" s="2" t="n"/>
      <c r="O720" s="2" t="n"/>
    </row>
    <row r="721">
      <c r="A721" s="62">
        <f>IF('9'!$C$1="","",'9'!$C$1)</f>
        <v/>
      </c>
      <c r="B721" s="63">
        <f>Ustawienia!$A$10&amp;""</f>
        <v/>
      </c>
      <c r="C721" s="63">
        <f>Ustawienia!$A$16&amp;""</f>
        <v/>
      </c>
      <c r="D721" s="63" t="n">
        <v>4</v>
      </c>
      <c r="E721" s="63">
        <f>IF('9'!J25="","",TRIM('9'!J25&amp;""))</f>
        <v/>
      </c>
      <c r="F721" s="63">
        <f>IF('9'!K25="","",'9'!K25)</f>
        <v/>
      </c>
      <c r="G721" s="63">
        <f>'9'!L25&amp;""</f>
        <v/>
      </c>
      <c r="H721" s="63">
        <f>IF(OR(A721="",F721=""),"",F721&amp;"|"&amp;A721)</f>
        <v/>
      </c>
      <c r="I721" s="63">
        <f>IF(AND(H721&lt;&gt;"",OR('Historia wózka'!$B$4="",F721='Historia wózka'!$B$4),A721&gt;='Historia wózka'!$B$5,A721&lt;='Historia wózka'!$B$6),A721+0.7+(5000-ROW())/10000000,0)</f>
        <v/>
      </c>
      <c r="J721" s="63">
        <f>Ustawienia!$B$10&amp;""</f>
        <v/>
      </c>
      <c r="K721" s="63">
        <f>IF(H721="","",COUNTIFS('Zgłoszenia'!$B$5:$B$504,F721,'Zgłoszenia'!$D$5:$D$504,"&gt;="&amp;A721,'Zgłoszenia'!$D$5:$D$504,"&lt;="&amp;(A721+1)))</f>
        <v/>
      </c>
      <c r="L721" s="63">
        <f>IF(OR(H721="",K721=0),"—",IF(ISNUMBER(MATCH(H721,'Zgłoszenia'!$S$5:$S$504,0)),RIGHT("0"&amp;DAY(A721),2)&amp;"."&amp;RIGHT("0"&amp;MONTH(A721),2)&amp;"."&amp;YEAR(A721)&amp;": "&amp;INDEX('Zgłoszenia'!$H$5:$H$504,MATCH(H721,'Zgłoszenia'!$S$5:$S$504,0)),RIGHT("0"&amp;DAY((A721+1)),2)&amp;"."&amp;RIGHT("0"&amp;MONTH((A721+1)),2)&amp;"."&amp;YEAR((A721+1))&amp;": "&amp;INDEX('Zgłoszenia'!$H$5:$H$504,MATCH(F721&amp;"|"&amp;(A721+1),'Zgłoszenia'!$S$5:$S$504,0)))&amp;IF(K721&gt;1," (+"&amp;(K721-1)&amp;")",""))</f>
        <v/>
      </c>
      <c r="M721" s="63" t="n">
        <v>9</v>
      </c>
      <c r="N721" s="2" t="n"/>
      <c r="O721" s="2" t="n"/>
    </row>
    <row r="722">
      <c r="A722" s="62">
        <f>IF('9'!$C$1="","",'9'!$C$1)</f>
        <v/>
      </c>
      <c r="B722" s="63">
        <f>Ustawienia!$A$10&amp;""</f>
        <v/>
      </c>
      <c r="C722" s="63">
        <f>Ustawienia!$A$17&amp;""</f>
        <v/>
      </c>
      <c r="D722" s="63" t="n">
        <v>1</v>
      </c>
      <c r="E722" s="63">
        <f>IF('9'!J27="","",TRIM('9'!J27&amp;""))</f>
        <v/>
      </c>
      <c r="F722" s="63">
        <f>IF('9'!K27="","",'9'!K27)</f>
        <v/>
      </c>
      <c r="G722" s="63">
        <f>'9'!L27&amp;""</f>
        <v/>
      </c>
      <c r="H722" s="63">
        <f>IF(OR(A722="",F722=""),"",F722&amp;"|"&amp;A722)</f>
        <v/>
      </c>
      <c r="I722" s="63">
        <f>IF(AND(H722&lt;&gt;"",OR('Historia wózka'!$B$4="",F722='Historia wózka'!$B$4),A722&gt;='Historia wózka'!$B$5,A722&lt;='Historia wózka'!$B$6),A722+0.7+(5000-ROW())/10000000,0)</f>
        <v/>
      </c>
      <c r="J722" s="63">
        <f>Ustawienia!$B$10&amp;""</f>
        <v/>
      </c>
      <c r="K722" s="63">
        <f>IF(H722="","",COUNTIFS('Zgłoszenia'!$B$5:$B$504,F722,'Zgłoszenia'!$D$5:$D$504,"&gt;="&amp;A722,'Zgłoszenia'!$D$5:$D$504,"&lt;="&amp;(A722+1)))</f>
        <v/>
      </c>
      <c r="L722" s="63">
        <f>IF(OR(H722="",K722=0),"—",IF(ISNUMBER(MATCH(H722,'Zgłoszenia'!$S$5:$S$504,0)),RIGHT("0"&amp;DAY(A722),2)&amp;"."&amp;RIGHT("0"&amp;MONTH(A722),2)&amp;"."&amp;YEAR(A722)&amp;": "&amp;INDEX('Zgłoszenia'!$H$5:$H$504,MATCH(H722,'Zgłoszenia'!$S$5:$S$504,0)),RIGHT("0"&amp;DAY((A722+1)),2)&amp;"."&amp;RIGHT("0"&amp;MONTH((A722+1)),2)&amp;"."&amp;YEAR((A722+1))&amp;": "&amp;INDEX('Zgłoszenia'!$H$5:$H$504,MATCH(F722&amp;"|"&amp;(A722+1),'Zgłoszenia'!$S$5:$S$504,0)))&amp;IF(K722&gt;1," (+"&amp;(K722-1)&amp;")",""))</f>
        <v/>
      </c>
      <c r="M722" s="63" t="n">
        <v>9</v>
      </c>
      <c r="N722" s="2" t="n"/>
      <c r="O722" s="2" t="n"/>
    </row>
    <row r="723">
      <c r="A723" s="62">
        <f>IF('9'!$C$1="","",'9'!$C$1)</f>
        <v/>
      </c>
      <c r="B723" s="63">
        <f>Ustawienia!$A$10&amp;""</f>
        <v/>
      </c>
      <c r="C723" s="63">
        <f>Ustawienia!$A$17&amp;""</f>
        <v/>
      </c>
      <c r="D723" s="63" t="n">
        <v>2</v>
      </c>
      <c r="E723" s="63">
        <f>IF('9'!J28="","",TRIM('9'!J28&amp;""))</f>
        <v/>
      </c>
      <c r="F723" s="63">
        <f>IF('9'!K28="","",'9'!K28)</f>
        <v/>
      </c>
      <c r="G723" s="63">
        <f>'9'!L28&amp;""</f>
        <v/>
      </c>
      <c r="H723" s="63">
        <f>IF(OR(A723="",F723=""),"",F723&amp;"|"&amp;A723)</f>
        <v/>
      </c>
      <c r="I723" s="63">
        <f>IF(AND(H723&lt;&gt;"",OR('Historia wózka'!$B$4="",F723='Historia wózka'!$B$4),A723&gt;='Historia wózka'!$B$5,A723&lt;='Historia wózka'!$B$6),A723+0.7+(5000-ROW())/10000000,0)</f>
        <v/>
      </c>
      <c r="J723" s="63">
        <f>Ustawienia!$B$10&amp;""</f>
        <v/>
      </c>
      <c r="K723" s="63">
        <f>IF(H723="","",COUNTIFS('Zgłoszenia'!$B$5:$B$504,F723,'Zgłoszenia'!$D$5:$D$504,"&gt;="&amp;A723,'Zgłoszenia'!$D$5:$D$504,"&lt;="&amp;(A723+1)))</f>
        <v/>
      </c>
      <c r="L723" s="63">
        <f>IF(OR(H723="",K723=0),"—",IF(ISNUMBER(MATCH(H723,'Zgłoszenia'!$S$5:$S$504,0)),RIGHT("0"&amp;DAY(A723),2)&amp;"."&amp;RIGHT("0"&amp;MONTH(A723),2)&amp;"."&amp;YEAR(A723)&amp;": "&amp;INDEX('Zgłoszenia'!$H$5:$H$504,MATCH(H723,'Zgłoszenia'!$S$5:$S$504,0)),RIGHT("0"&amp;DAY((A723+1)),2)&amp;"."&amp;RIGHT("0"&amp;MONTH((A723+1)),2)&amp;"."&amp;YEAR((A723+1))&amp;": "&amp;INDEX('Zgłoszenia'!$H$5:$H$504,MATCH(F723&amp;"|"&amp;(A723+1),'Zgłoszenia'!$S$5:$S$504,0)))&amp;IF(K723&gt;1," (+"&amp;(K723-1)&amp;")",""))</f>
        <v/>
      </c>
      <c r="M723" s="63" t="n">
        <v>9</v>
      </c>
      <c r="N723" s="2" t="n"/>
      <c r="O723" s="2" t="n"/>
    </row>
    <row r="724">
      <c r="A724" s="62">
        <f>IF('9'!$C$1="","",'9'!$C$1)</f>
        <v/>
      </c>
      <c r="B724" s="63">
        <f>Ustawienia!$A$10&amp;""</f>
        <v/>
      </c>
      <c r="C724" s="63">
        <f>Ustawienia!$A$17&amp;""</f>
        <v/>
      </c>
      <c r="D724" s="63" t="n">
        <v>3</v>
      </c>
      <c r="E724" s="63">
        <f>IF('9'!J29="","",TRIM('9'!J29&amp;""))</f>
        <v/>
      </c>
      <c r="F724" s="63">
        <f>IF('9'!K29="","",'9'!K29)</f>
        <v/>
      </c>
      <c r="G724" s="63">
        <f>'9'!L29&amp;""</f>
        <v/>
      </c>
      <c r="H724" s="63">
        <f>IF(OR(A724="",F724=""),"",F724&amp;"|"&amp;A724)</f>
        <v/>
      </c>
      <c r="I724" s="63">
        <f>IF(AND(H724&lt;&gt;"",OR('Historia wózka'!$B$4="",F724='Historia wózka'!$B$4),A724&gt;='Historia wózka'!$B$5,A724&lt;='Historia wózka'!$B$6),A724+0.7+(5000-ROW())/10000000,0)</f>
        <v/>
      </c>
      <c r="J724" s="63">
        <f>Ustawienia!$B$10&amp;""</f>
        <v/>
      </c>
      <c r="K724" s="63">
        <f>IF(H724="","",COUNTIFS('Zgłoszenia'!$B$5:$B$504,F724,'Zgłoszenia'!$D$5:$D$504,"&gt;="&amp;A724,'Zgłoszenia'!$D$5:$D$504,"&lt;="&amp;(A724+1)))</f>
        <v/>
      </c>
      <c r="L724" s="63">
        <f>IF(OR(H724="",K724=0),"—",IF(ISNUMBER(MATCH(H724,'Zgłoszenia'!$S$5:$S$504,0)),RIGHT("0"&amp;DAY(A724),2)&amp;"."&amp;RIGHT("0"&amp;MONTH(A724),2)&amp;"."&amp;YEAR(A724)&amp;": "&amp;INDEX('Zgłoszenia'!$H$5:$H$504,MATCH(H724,'Zgłoszenia'!$S$5:$S$504,0)),RIGHT("0"&amp;DAY((A724+1)),2)&amp;"."&amp;RIGHT("0"&amp;MONTH((A724+1)),2)&amp;"."&amp;YEAR((A724+1))&amp;": "&amp;INDEX('Zgłoszenia'!$H$5:$H$504,MATCH(F724&amp;"|"&amp;(A724+1),'Zgłoszenia'!$S$5:$S$504,0)))&amp;IF(K724&gt;1," (+"&amp;(K724-1)&amp;")",""))</f>
        <v/>
      </c>
      <c r="M724" s="63" t="n">
        <v>9</v>
      </c>
      <c r="N724" s="2" t="n"/>
      <c r="O724" s="2" t="n"/>
    </row>
    <row r="725">
      <c r="A725" s="62">
        <f>IF('9'!$C$1="","",'9'!$C$1)</f>
        <v/>
      </c>
      <c r="B725" s="63">
        <f>Ustawienia!$A$10&amp;""</f>
        <v/>
      </c>
      <c r="C725" s="63">
        <f>Ustawienia!$A$17&amp;""</f>
        <v/>
      </c>
      <c r="D725" s="63" t="n">
        <v>4</v>
      </c>
      <c r="E725" s="63">
        <f>IF('9'!J30="","",TRIM('9'!J30&amp;""))</f>
        <v/>
      </c>
      <c r="F725" s="63">
        <f>IF('9'!K30="","",'9'!K30)</f>
        <v/>
      </c>
      <c r="G725" s="63">
        <f>'9'!L30&amp;""</f>
        <v/>
      </c>
      <c r="H725" s="63">
        <f>IF(OR(A725="",F725=""),"",F725&amp;"|"&amp;A725)</f>
        <v/>
      </c>
      <c r="I725" s="63">
        <f>IF(AND(H725&lt;&gt;"",OR('Historia wózka'!$B$4="",F725='Historia wózka'!$B$4),A725&gt;='Historia wózka'!$B$5,A725&lt;='Historia wózka'!$B$6),A725+0.7+(5000-ROW())/10000000,0)</f>
        <v/>
      </c>
      <c r="J725" s="63">
        <f>Ustawienia!$B$10&amp;""</f>
        <v/>
      </c>
      <c r="K725" s="63">
        <f>IF(H725="","",COUNTIFS('Zgłoszenia'!$B$5:$B$504,F725,'Zgłoszenia'!$D$5:$D$504,"&gt;="&amp;A725,'Zgłoszenia'!$D$5:$D$504,"&lt;="&amp;(A725+1)))</f>
        <v/>
      </c>
      <c r="L725" s="63">
        <f>IF(OR(H725="",K725=0),"—",IF(ISNUMBER(MATCH(H725,'Zgłoszenia'!$S$5:$S$504,0)),RIGHT("0"&amp;DAY(A725),2)&amp;"."&amp;RIGHT("0"&amp;MONTH(A725),2)&amp;"."&amp;YEAR(A725)&amp;": "&amp;INDEX('Zgłoszenia'!$H$5:$H$504,MATCH(H725,'Zgłoszenia'!$S$5:$S$504,0)),RIGHT("0"&amp;DAY((A725+1)),2)&amp;"."&amp;RIGHT("0"&amp;MONTH((A725+1)),2)&amp;"."&amp;YEAR((A725+1))&amp;": "&amp;INDEX('Zgłoszenia'!$H$5:$H$504,MATCH(F725&amp;"|"&amp;(A725+1),'Zgłoszenia'!$S$5:$S$504,0)))&amp;IF(K725&gt;1," (+"&amp;(K725-1)&amp;")",""))</f>
        <v/>
      </c>
      <c r="M725" s="63" t="n">
        <v>9</v>
      </c>
      <c r="N725" s="2" t="n"/>
      <c r="O725" s="2" t="n"/>
    </row>
    <row r="726">
      <c r="A726" s="62">
        <f>IF('9'!$C$1="","",'9'!$C$1)</f>
        <v/>
      </c>
      <c r="B726" s="63">
        <f>Ustawienia!$A$10&amp;""</f>
        <v/>
      </c>
      <c r="C726" s="63">
        <f>Ustawienia!$A$18&amp;""</f>
        <v/>
      </c>
      <c r="D726" s="63" t="n">
        <v>1</v>
      </c>
      <c r="E726" s="63">
        <f>IF('9'!J32="","",TRIM('9'!J32&amp;""))</f>
        <v/>
      </c>
      <c r="F726" s="63">
        <f>IF('9'!K32="","",'9'!K32)</f>
        <v/>
      </c>
      <c r="G726" s="63">
        <f>'9'!L32&amp;""</f>
        <v/>
      </c>
      <c r="H726" s="63">
        <f>IF(OR(A726="",F726=""),"",F726&amp;"|"&amp;A726)</f>
        <v/>
      </c>
      <c r="I726" s="63">
        <f>IF(AND(H726&lt;&gt;"",OR('Historia wózka'!$B$4="",F726='Historia wózka'!$B$4),A726&gt;='Historia wózka'!$B$5,A726&lt;='Historia wózka'!$B$6),A726+0.7+(5000-ROW())/10000000,0)</f>
        <v/>
      </c>
      <c r="J726" s="63">
        <f>Ustawienia!$B$10&amp;""</f>
        <v/>
      </c>
      <c r="K726" s="63">
        <f>IF(H726="","",COUNTIFS('Zgłoszenia'!$B$5:$B$504,F726,'Zgłoszenia'!$D$5:$D$504,"&gt;="&amp;A726,'Zgłoszenia'!$D$5:$D$504,"&lt;="&amp;(A726+1)))</f>
        <v/>
      </c>
      <c r="L726" s="63">
        <f>IF(OR(H726="",K726=0),"—",IF(ISNUMBER(MATCH(H726,'Zgłoszenia'!$S$5:$S$504,0)),RIGHT("0"&amp;DAY(A726),2)&amp;"."&amp;RIGHT("0"&amp;MONTH(A726),2)&amp;"."&amp;YEAR(A726)&amp;": "&amp;INDEX('Zgłoszenia'!$H$5:$H$504,MATCH(H726,'Zgłoszenia'!$S$5:$S$504,0)),RIGHT("0"&amp;DAY((A726+1)),2)&amp;"."&amp;RIGHT("0"&amp;MONTH((A726+1)),2)&amp;"."&amp;YEAR((A726+1))&amp;": "&amp;INDEX('Zgłoszenia'!$H$5:$H$504,MATCH(F726&amp;"|"&amp;(A726+1),'Zgłoszenia'!$S$5:$S$504,0)))&amp;IF(K726&gt;1," (+"&amp;(K726-1)&amp;")",""))</f>
        <v/>
      </c>
      <c r="M726" s="63" t="n">
        <v>9</v>
      </c>
      <c r="N726" s="2" t="n"/>
      <c r="O726" s="2" t="n"/>
    </row>
    <row r="727">
      <c r="A727" s="62">
        <f>IF('9'!$C$1="","",'9'!$C$1)</f>
        <v/>
      </c>
      <c r="B727" s="63">
        <f>Ustawienia!$A$10&amp;""</f>
        <v/>
      </c>
      <c r="C727" s="63">
        <f>Ustawienia!$A$18&amp;""</f>
        <v/>
      </c>
      <c r="D727" s="63" t="n">
        <v>2</v>
      </c>
      <c r="E727" s="63">
        <f>IF('9'!J33="","",TRIM('9'!J33&amp;""))</f>
        <v/>
      </c>
      <c r="F727" s="63">
        <f>IF('9'!K33="","",'9'!K33)</f>
        <v/>
      </c>
      <c r="G727" s="63">
        <f>'9'!L33&amp;""</f>
        <v/>
      </c>
      <c r="H727" s="63">
        <f>IF(OR(A727="",F727=""),"",F727&amp;"|"&amp;A727)</f>
        <v/>
      </c>
      <c r="I727" s="63">
        <f>IF(AND(H727&lt;&gt;"",OR('Historia wózka'!$B$4="",F727='Historia wózka'!$B$4),A727&gt;='Historia wózka'!$B$5,A727&lt;='Historia wózka'!$B$6),A727+0.7+(5000-ROW())/10000000,0)</f>
        <v/>
      </c>
      <c r="J727" s="63">
        <f>Ustawienia!$B$10&amp;""</f>
        <v/>
      </c>
      <c r="K727" s="63">
        <f>IF(H727="","",COUNTIFS('Zgłoszenia'!$B$5:$B$504,F727,'Zgłoszenia'!$D$5:$D$504,"&gt;="&amp;A727,'Zgłoszenia'!$D$5:$D$504,"&lt;="&amp;(A727+1)))</f>
        <v/>
      </c>
      <c r="L727" s="63">
        <f>IF(OR(H727="",K727=0),"—",IF(ISNUMBER(MATCH(H727,'Zgłoszenia'!$S$5:$S$504,0)),RIGHT("0"&amp;DAY(A727),2)&amp;"."&amp;RIGHT("0"&amp;MONTH(A727),2)&amp;"."&amp;YEAR(A727)&amp;": "&amp;INDEX('Zgłoszenia'!$H$5:$H$504,MATCH(H727,'Zgłoszenia'!$S$5:$S$504,0)),RIGHT("0"&amp;DAY((A727+1)),2)&amp;"."&amp;RIGHT("0"&amp;MONTH((A727+1)),2)&amp;"."&amp;YEAR((A727+1))&amp;": "&amp;INDEX('Zgłoszenia'!$H$5:$H$504,MATCH(F727&amp;"|"&amp;(A727+1),'Zgłoszenia'!$S$5:$S$504,0)))&amp;IF(K727&gt;1," (+"&amp;(K727-1)&amp;")",""))</f>
        <v/>
      </c>
      <c r="M727" s="63" t="n">
        <v>9</v>
      </c>
      <c r="N727" s="2" t="n"/>
      <c r="O727" s="2" t="n"/>
    </row>
    <row r="728">
      <c r="A728" s="62">
        <f>IF('9'!$C$1="","",'9'!$C$1)</f>
        <v/>
      </c>
      <c r="B728" s="63">
        <f>Ustawienia!$A$10&amp;""</f>
        <v/>
      </c>
      <c r="C728" s="63">
        <f>Ustawienia!$A$18&amp;""</f>
        <v/>
      </c>
      <c r="D728" s="63" t="n">
        <v>3</v>
      </c>
      <c r="E728" s="63">
        <f>IF('9'!J34="","",TRIM('9'!J34&amp;""))</f>
        <v/>
      </c>
      <c r="F728" s="63">
        <f>IF('9'!K34="","",'9'!K34)</f>
        <v/>
      </c>
      <c r="G728" s="63">
        <f>'9'!L34&amp;""</f>
        <v/>
      </c>
      <c r="H728" s="63">
        <f>IF(OR(A728="",F728=""),"",F728&amp;"|"&amp;A728)</f>
        <v/>
      </c>
      <c r="I728" s="63">
        <f>IF(AND(H728&lt;&gt;"",OR('Historia wózka'!$B$4="",F728='Historia wózka'!$B$4),A728&gt;='Historia wózka'!$B$5,A728&lt;='Historia wózka'!$B$6),A728+0.7+(5000-ROW())/10000000,0)</f>
        <v/>
      </c>
      <c r="J728" s="63">
        <f>Ustawienia!$B$10&amp;""</f>
        <v/>
      </c>
      <c r="K728" s="63">
        <f>IF(H728="","",COUNTIFS('Zgłoszenia'!$B$5:$B$504,F728,'Zgłoszenia'!$D$5:$D$504,"&gt;="&amp;A728,'Zgłoszenia'!$D$5:$D$504,"&lt;="&amp;(A728+1)))</f>
        <v/>
      </c>
      <c r="L728" s="63">
        <f>IF(OR(H728="",K728=0),"—",IF(ISNUMBER(MATCH(H728,'Zgłoszenia'!$S$5:$S$504,0)),RIGHT("0"&amp;DAY(A728),2)&amp;"."&amp;RIGHT("0"&amp;MONTH(A728),2)&amp;"."&amp;YEAR(A728)&amp;": "&amp;INDEX('Zgłoszenia'!$H$5:$H$504,MATCH(H728,'Zgłoszenia'!$S$5:$S$504,0)),RIGHT("0"&amp;DAY((A728+1)),2)&amp;"."&amp;RIGHT("0"&amp;MONTH((A728+1)),2)&amp;"."&amp;YEAR((A728+1))&amp;": "&amp;INDEX('Zgłoszenia'!$H$5:$H$504,MATCH(F728&amp;"|"&amp;(A728+1),'Zgłoszenia'!$S$5:$S$504,0)))&amp;IF(K728&gt;1," (+"&amp;(K728-1)&amp;")",""))</f>
        <v/>
      </c>
      <c r="M728" s="63" t="n">
        <v>9</v>
      </c>
      <c r="N728" s="2" t="n"/>
      <c r="O728" s="2" t="n"/>
    </row>
    <row r="729">
      <c r="A729" s="62">
        <f>IF('9'!$C$1="","",'9'!$C$1)</f>
        <v/>
      </c>
      <c r="B729" s="63">
        <f>Ustawienia!$A$10&amp;""</f>
        <v/>
      </c>
      <c r="C729" s="63">
        <f>Ustawienia!$A$18&amp;""</f>
        <v/>
      </c>
      <c r="D729" s="63" t="n">
        <v>4</v>
      </c>
      <c r="E729" s="63">
        <f>IF('9'!J35="","",TRIM('9'!J35&amp;""))</f>
        <v/>
      </c>
      <c r="F729" s="63">
        <f>IF('9'!K35="","",'9'!K35)</f>
        <v/>
      </c>
      <c r="G729" s="63">
        <f>'9'!L35&amp;""</f>
        <v/>
      </c>
      <c r="H729" s="63">
        <f>IF(OR(A729="",F729=""),"",F729&amp;"|"&amp;A729)</f>
        <v/>
      </c>
      <c r="I729" s="63">
        <f>IF(AND(H729&lt;&gt;"",OR('Historia wózka'!$B$4="",F729='Historia wózka'!$B$4),A729&gt;='Historia wózka'!$B$5,A729&lt;='Historia wózka'!$B$6),A729+0.7+(5000-ROW())/10000000,0)</f>
        <v/>
      </c>
      <c r="J729" s="63">
        <f>Ustawienia!$B$10&amp;""</f>
        <v/>
      </c>
      <c r="K729" s="63">
        <f>IF(H729="","",COUNTIFS('Zgłoszenia'!$B$5:$B$504,F729,'Zgłoszenia'!$D$5:$D$504,"&gt;="&amp;A729,'Zgłoszenia'!$D$5:$D$504,"&lt;="&amp;(A729+1)))</f>
        <v/>
      </c>
      <c r="L729" s="63">
        <f>IF(OR(H729="",K729=0),"—",IF(ISNUMBER(MATCH(H729,'Zgłoszenia'!$S$5:$S$504,0)),RIGHT("0"&amp;DAY(A729),2)&amp;"."&amp;RIGHT("0"&amp;MONTH(A729),2)&amp;"."&amp;YEAR(A729)&amp;": "&amp;INDEX('Zgłoszenia'!$H$5:$H$504,MATCH(H729,'Zgłoszenia'!$S$5:$S$504,0)),RIGHT("0"&amp;DAY((A729+1)),2)&amp;"."&amp;RIGHT("0"&amp;MONTH((A729+1)),2)&amp;"."&amp;YEAR((A729+1))&amp;": "&amp;INDEX('Zgłoszenia'!$H$5:$H$504,MATCH(F729&amp;"|"&amp;(A729+1),'Zgłoszenia'!$S$5:$S$504,0)))&amp;IF(K729&gt;1," (+"&amp;(K729-1)&amp;")",""))</f>
        <v/>
      </c>
      <c r="M729" s="63" t="n">
        <v>9</v>
      </c>
      <c r="N729" s="2" t="n"/>
      <c r="O729" s="2" t="n"/>
    </row>
    <row r="730">
      <c r="A730" s="62">
        <f>IF('9'!$C$1="","",'9'!$C$1)</f>
        <v/>
      </c>
      <c r="B730" s="63">
        <f>Ustawienia!$A$10&amp;""</f>
        <v/>
      </c>
      <c r="C730" s="63">
        <f>Ustawienia!$A$18&amp;""</f>
        <v/>
      </c>
      <c r="D730" s="63" t="n">
        <v>5</v>
      </c>
      <c r="E730" s="63">
        <f>IF('9'!J36="","",TRIM('9'!J36&amp;""))</f>
        <v/>
      </c>
      <c r="F730" s="63">
        <f>IF('9'!K36="","",'9'!K36)</f>
        <v/>
      </c>
      <c r="G730" s="63">
        <f>'9'!L36&amp;""</f>
        <v/>
      </c>
      <c r="H730" s="63">
        <f>IF(OR(A730="",F730=""),"",F730&amp;"|"&amp;A730)</f>
        <v/>
      </c>
      <c r="I730" s="63">
        <f>IF(AND(H730&lt;&gt;"",OR('Historia wózka'!$B$4="",F730='Historia wózka'!$B$4),A730&gt;='Historia wózka'!$B$5,A730&lt;='Historia wózka'!$B$6),A730+0.7+(5000-ROW())/10000000,0)</f>
        <v/>
      </c>
      <c r="J730" s="63">
        <f>Ustawienia!$B$10&amp;""</f>
        <v/>
      </c>
      <c r="K730" s="63">
        <f>IF(H730="","",COUNTIFS('Zgłoszenia'!$B$5:$B$504,F730,'Zgłoszenia'!$D$5:$D$504,"&gt;="&amp;A730,'Zgłoszenia'!$D$5:$D$504,"&lt;="&amp;(A730+1)))</f>
        <v/>
      </c>
      <c r="L730" s="63">
        <f>IF(OR(H730="",K730=0),"—",IF(ISNUMBER(MATCH(H730,'Zgłoszenia'!$S$5:$S$504,0)),RIGHT("0"&amp;DAY(A730),2)&amp;"."&amp;RIGHT("0"&amp;MONTH(A730),2)&amp;"."&amp;YEAR(A730)&amp;": "&amp;INDEX('Zgłoszenia'!$H$5:$H$504,MATCH(H730,'Zgłoszenia'!$S$5:$S$504,0)),RIGHT("0"&amp;DAY((A730+1)),2)&amp;"."&amp;RIGHT("0"&amp;MONTH((A730+1)),2)&amp;"."&amp;YEAR((A730+1))&amp;": "&amp;INDEX('Zgłoszenia'!$H$5:$H$504,MATCH(F730&amp;"|"&amp;(A730+1),'Zgłoszenia'!$S$5:$S$504,0)))&amp;IF(K730&gt;1," (+"&amp;(K730-1)&amp;")",""))</f>
        <v/>
      </c>
      <c r="M730" s="63" t="n">
        <v>9</v>
      </c>
      <c r="N730" s="2" t="n"/>
      <c r="O730" s="2" t="n"/>
    </row>
    <row r="731">
      <c r="A731" s="62">
        <f>IF('10'!$C$1="","",'10'!$C$1)</f>
        <v/>
      </c>
      <c r="B731" s="63">
        <f>Ustawienia!$A$8&amp;""</f>
        <v/>
      </c>
      <c r="C731" s="63">
        <f>Ustawienia!$A$14&amp;""</f>
        <v/>
      </c>
      <c r="D731" s="63" t="n">
        <v>1</v>
      </c>
      <c r="E731" s="63">
        <f>IF('10'!B6="","",TRIM('10'!B6&amp;""))</f>
        <v/>
      </c>
      <c r="F731" s="63">
        <f>IF('10'!C6="","",'10'!C6)</f>
        <v/>
      </c>
      <c r="G731" s="63">
        <f>'10'!D6&amp;""</f>
        <v/>
      </c>
      <c r="H731" s="63">
        <f>IF(OR(A731="",F731=""),"",F731&amp;"|"&amp;A731)</f>
        <v/>
      </c>
      <c r="I731" s="63">
        <f>IF(AND(H731&lt;&gt;"",OR('Historia wózka'!$B$4="",F731='Historia wózka'!$B$4),A731&gt;='Historia wózka'!$B$5,A731&lt;='Historia wózka'!$B$6),A731+0.9+(5000-ROW())/10000000,0)</f>
        <v/>
      </c>
      <c r="J731" s="63">
        <f>Ustawienia!$B$8&amp;""</f>
        <v/>
      </c>
      <c r="K731" s="63">
        <f>IF(H731="","",COUNTIFS('Zgłoszenia'!$B$5:$B$504,F731,'Zgłoszenia'!$D$5:$D$504,"&gt;="&amp;A731,'Zgłoszenia'!$D$5:$D$504,"&lt;="&amp;(A731+1)))</f>
        <v/>
      </c>
      <c r="L731" s="63">
        <f>IF(OR(H731="",K731=0),"—",IF(ISNUMBER(MATCH(H731,'Zgłoszenia'!$S$5:$S$504,0)),RIGHT("0"&amp;DAY(A731),2)&amp;"."&amp;RIGHT("0"&amp;MONTH(A731),2)&amp;"."&amp;YEAR(A731)&amp;": "&amp;INDEX('Zgłoszenia'!$H$5:$H$504,MATCH(H731,'Zgłoszenia'!$S$5:$S$504,0)),RIGHT("0"&amp;DAY((A731+1)),2)&amp;"."&amp;RIGHT("0"&amp;MONTH((A731+1)),2)&amp;"."&amp;YEAR((A731+1))&amp;": "&amp;INDEX('Zgłoszenia'!$H$5:$H$504,MATCH(F731&amp;"|"&amp;(A731+1),'Zgłoszenia'!$S$5:$S$504,0)))&amp;IF(K731&gt;1," (+"&amp;(K731-1)&amp;")",""))</f>
        <v/>
      </c>
      <c r="M731" s="63" t="n">
        <v>10</v>
      </c>
      <c r="N731" s="2" t="n"/>
      <c r="O731" s="2" t="n"/>
    </row>
    <row r="732">
      <c r="A732" s="62">
        <f>IF('10'!$C$1="","",'10'!$C$1)</f>
        <v/>
      </c>
      <c r="B732" s="63">
        <f>Ustawienia!$A$8&amp;""</f>
        <v/>
      </c>
      <c r="C732" s="63">
        <f>Ustawienia!$A$14&amp;""</f>
        <v/>
      </c>
      <c r="D732" s="63" t="n">
        <v>2</v>
      </c>
      <c r="E732" s="63">
        <f>IF('10'!B7="","",TRIM('10'!B7&amp;""))</f>
        <v/>
      </c>
      <c r="F732" s="63">
        <f>IF('10'!C7="","",'10'!C7)</f>
        <v/>
      </c>
      <c r="G732" s="63">
        <f>'10'!D7&amp;""</f>
        <v/>
      </c>
      <c r="H732" s="63">
        <f>IF(OR(A732="",F732=""),"",F732&amp;"|"&amp;A732)</f>
        <v/>
      </c>
      <c r="I732" s="63">
        <f>IF(AND(H732&lt;&gt;"",OR('Historia wózka'!$B$4="",F732='Historia wózka'!$B$4),A732&gt;='Historia wózka'!$B$5,A732&lt;='Historia wózka'!$B$6),A732+0.9+(5000-ROW())/10000000,0)</f>
        <v/>
      </c>
      <c r="J732" s="63">
        <f>Ustawienia!$B$8&amp;""</f>
        <v/>
      </c>
      <c r="K732" s="63">
        <f>IF(H732="","",COUNTIFS('Zgłoszenia'!$B$5:$B$504,F732,'Zgłoszenia'!$D$5:$D$504,"&gt;="&amp;A732,'Zgłoszenia'!$D$5:$D$504,"&lt;="&amp;(A732+1)))</f>
        <v/>
      </c>
      <c r="L732" s="63">
        <f>IF(OR(H732="",K732=0),"—",IF(ISNUMBER(MATCH(H732,'Zgłoszenia'!$S$5:$S$504,0)),RIGHT("0"&amp;DAY(A732),2)&amp;"."&amp;RIGHT("0"&amp;MONTH(A732),2)&amp;"."&amp;YEAR(A732)&amp;": "&amp;INDEX('Zgłoszenia'!$H$5:$H$504,MATCH(H732,'Zgłoszenia'!$S$5:$S$504,0)),RIGHT("0"&amp;DAY((A732+1)),2)&amp;"."&amp;RIGHT("0"&amp;MONTH((A732+1)),2)&amp;"."&amp;YEAR((A732+1))&amp;": "&amp;INDEX('Zgłoszenia'!$H$5:$H$504,MATCH(F732&amp;"|"&amp;(A732+1),'Zgłoszenia'!$S$5:$S$504,0)))&amp;IF(K732&gt;1," (+"&amp;(K732-1)&amp;")",""))</f>
        <v/>
      </c>
      <c r="M732" s="63" t="n">
        <v>10</v>
      </c>
      <c r="N732" s="2" t="n"/>
      <c r="O732" s="2" t="n"/>
    </row>
    <row r="733">
      <c r="A733" s="62">
        <f>IF('10'!$C$1="","",'10'!$C$1)</f>
        <v/>
      </c>
      <c r="B733" s="63">
        <f>Ustawienia!$A$8&amp;""</f>
        <v/>
      </c>
      <c r="C733" s="63">
        <f>Ustawienia!$A$14&amp;""</f>
        <v/>
      </c>
      <c r="D733" s="63" t="n">
        <v>3</v>
      </c>
      <c r="E733" s="63">
        <f>IF('10'!B8="","",TRIM('10'!B8&amp;""))</f>
        <v/>
      </c>
      <c r="F733" s="63">
        <f>IF('10'!C8="","",'10'!C8)</f>
        <v/>
      </c>
      <c r="G733" s="63">
        <f>'10'!D8&amp;""</f>
        <v/>
      </c>
      <c r="H733" s="63">
        <f>IF(OR(A733="",F733=""),"",F733&amp;"|"&amp;A733)</f>
        <v/>
      </c>
      <c r="I733" s="63">
        <f>IF(AND(H733&lt;&gt;"",OR('Historia wózka'!$B$4="",F733='Historia wózka'!$B$4),A733&gt;='Historia wózka'!$B$5,A733&lt;='Historia wózka'!$B$6),A733+0.9+(5000-ROW())/10000000,0)</f>
        <v/>
      </c>
      <c r="J733" s="63">
        <f>Ustawienia!$B$8&amp;""</f>
        <v/>
      </c>
      <c r="K733" s="63">
        <f>IF(H733="","",COUNTIFS('Zgłoszenia'!$B$5:$B$504,F733,'Zgłoszenia'!$D$5:$D$504,"&gt;="&amp;A733,'Zgłoszenia'!$D$5:$D$504,"&lt;="&amp;(A733+1)))</f>
        <v/>
      </c>
      <c r="L733" s="63">
        <f>IF(OR(H733="",K733=0),"—",IF(ISNUMBER(MATCH(H733,'Zgłoszenia'!$S$5:$S$504,0)),RIGHT("0"&amp;DAY(A733),2)&amp;"."&amp;RIGHT("0"&amp;MONTH(A733),2)&amp;"."&amp;YEAR(A733)&amp;": "&amp;INDEX('Zgłoszenia'!$H$5:$H$504,MATCH(H733,'Zgłoszenia'!$S$5:$S$504,0)),RIGHT("0"&amp;DAY((A733+1)),2)&amp;"."&amp;RIGHT("0"&amp;MONTH((A733+1)),2)&amp;"."&amp;YEAR((A733+1))&amp;": "&amp;INDEX('Zgłoszenia'!$H$5:$H$504,MATCH(F733&amp;"|"&amp;(A733+1),'Zgłoszenia'!$S$5:$S$504,0)))&amp;IF(K733&gt;1," (+"&amp;(K733-1)&amp;")",""))</f>
        <v/>
      </c>
      <c r="M733" s="63" t="n">
        <v>10</v>
      </c>
      <c r="N733" s="2" t="n"/>
      <c r="O733" s="2" t="n"/>
    </row>
    <row r="734">
      <c r="A734" s="62">
        <f>IF('10'!$C$1="","",'10'!$C$1)</f>
        <v/>
      </c>
      <c r="B734" s="63">
        <f>Ustawienia!$A$8&amp;""</f>
        <v/>
      </c>
      <c r="C734" s="63">
        <f>Ustawienia!$A$14&amp;""</f>
        <v/>
      </c>
      <c r="D734" s="63" t="n">
        <v>4</v>
      </c>
      <c r="E734" s="63">
        <f>IF('10'!B9="","",TRIM('10'!B9&amp;""))</f>
        <v/>
      </c>
      <c r="F734" s="63">
        <f>IF('10'!C9="","",'10'!C9)</f>
        <v/>
      </c>
      <c r="G734" s="63">
        <f>'10'!D9&amp;""</f>
        <v/>
      </c>
      <c r="H734" s="63">
        <f>IF(OR(A734="",F734=""),"",F734&amp;"|"&amp;A734)</f>
        <v/>
      </c>
      <c r="I734" s="63">
        <f>IF(AND(H734&lt;&gt;"",OR('Historia wózka'!$B$4="",F734='Historia wózka'!$B$4),A734&gt;='Historia wózka'!$B$5,A734&lt;='Historia wózka'!$B$6),A734+0.9+(5000-ROW())/10000000,0)</f>
        <v/>
      </c>
      <c r="J734" s="63">
        <f>Ustawienia!$B$8&amp;""</f>
        <v/>
      </c>
      <c r="K734" s="63">
        <f>IF(H734="","",COUNTIFS('Zgłoszenia'!$B$5:$B$504,F734,'Zgłoszenia'!$D$5:$D$504,"&gt;="&amp;A734,'Zgłoszenia'!$D$5:$D$504,"&lt;="&amp;(A734+1)))</f>
        <v/>
      </c>
      <c r="L734" s="63">
        <f>IF(OR(H734="",K734=0),"—",IF(ISNUMBER(MATCH(H734,'Zgłoszenia'!$S$5:$S$504,0)),RIGHT("0"&amp;DAY(A734),2)&amp;"."&amp;RIGHT("0"&amp;MONTH(A734),2)&amp;"."&amp;YEAR(A734)&amp;": "&amp;INDEX('Zgłoszenia'!$H$5:$H$504,MATCH(H734,'Zgłoszenia'!$S$5:$S$504,0)),RIGHT("0"&amp;DAY((A734+1)),2)&amp;"."&amp;RIGHT("0"&amp;MONTH((A734+1)),2)&amp;"."&amp;YEAR((A734+1))&amp;": "&amp;INDEX('Zgłoszenia'!$H$5:$H$504,MATCH(F734&amp;"|"&amp;(A734+1),'Zgłoszenia'!$S$5:$S$504,0)))&amp;IF(K734&gt;1," (+"&amp;(K734-1)&amp;")",""))</f>
        <v/>
      </c>
      <c r="M734" s="63" t="n">
        <v>10</v>
      </c>
      <c r="N734" s="2" t="n"/>
      <c r="O734" s="2" t="n"/>
    </row>
    <row r="735">
      <c r="A735" s="62">
        <f>IF('10'!$C$1="","",'10'!$C$1)</f>
        <v/>
      </c>
      <c r="B735" s="63">
        <f>Ustawienia!$A$8&amp;""</f>
        <v/>
      </c>
      <c r="C735" s="63">
        <f>Ustawienia!$A$14&amp;""</f>
        <v/>
      </c>
      <c r="D735" s="63" t="n">
        <v>5</v>
      </c>
      <c r="E735" s="63">
        <f>IF('10'!B10="","",TRIM('10'!B10&amp;""))</f>
        <v/>
      </c>
      <c r="F735" s="63">
        <f>IF('10'!C10="","",'10'!C10)</f>
        <v/>
      </c>
      <c r="G735" s="63">
        <f>'10'!D10&amp;""</f>
        <v/>
      </c>
      <c r="H735" s="63">
        <f>IF(OR(A735="",F735=""),"",F735&amp;"|"&amp;A735)</f>
        <v/>
      </c>
      <c r="I735" s="63">
        <f>IF(AND(H735&lt;&gt;"",OR('Historia wózka'!$B$4="",F735='Historia wózka'!$B$4),A735&gt;='Historia wózka'!$B$5,A735&lt;='Historia wózka'!$B$6),A735+0.9+(5000-ROW())/10000000,0)</f>
        <v/>
      </c>
      <c r="J735" s="63">
        <f>Ustawienia!$B$8&amp;""</f>
        <v/>
      </c>
      <c r="K735" s="63">
        <f>IF(H735="","",COUNTIFS('Zgłoszenia'!$B$5:$B$504,F735,'Zgłoszenia'!$D$5:$D$504,"&gt;="&amp;A735,'Zgłoszenia'!$D$5:$D$504,"&lt;="&amp;(A735+1)))</f>
        <v/>
      </c>
      <c r="L735" s="63">
        <f>IF(OR(H735="",K735=0),"—",IF(ISNUMBER(MATCH(H735,'Zgłoszenia'!$S$5:$S$504,0)),RIGHT("0"&amp;DAY(A735),2)&amp;"."&amp;RIGHT("0"&amp;MONTH(A735),2)&amp;"."&amp;YEAR(A735)&amp;": "&amp;INDEX('Zgłoszenia'!$H$5:$H$504,MATCH(H735,'Zgłoszenia'!$S$5:$S$504,0)),RIGHT("0"&amp;DAY((A735+1)),2)&amp;"."&amp;RIGHT("0"&amp;MONTH((A735+1)),2)&amp;"."&amp;YEAR((A735+1))&amp;": "&amp;INDEX('Zgłoszenia'!$H$5:$H$504,MATCH(F735&amp;"|"&amp;(A735+1),'Zgłoszenia'!$S$5:$S$504,0)))&amp;IF(K735&gt;1," (+"&amp;(K735-1)&amp;")",""))</f>
        <v/>
      </c>
      <c r="M735" s="63" t="n">
        <v>10</v>
      </c>
      <c r="N735" s="2" t="n"/>
      <c r="O735" s="2" t="n"/>
    </row>
    <row r="736">
      <c r="A736" s="62">
        <f>IF('10'!$C$1="","",'10'!$C$1)</f>
        <v/>
      </c>
      <c r="B736" s="63">
        <f>Ustawienia!$A$8&amp;""</f>
        <v/>
      </c>
      <c r="C736" s="63">
        <f>Ustawienia!$A$14&amp;""</f>
        <v/>
      </c>
      <c r="D736" s="63" t="n">
        <v>6</v>
      </c>
      <c r="E736" s="63">
        <f>IF('10'!B11="","",TRIM('10'!B11&amp;""))</f>
        <v/>
      </c>
      <c r="F736" s="63">
        <f>IF('10'!C11="","",'10'!C11)</f>
        <v/>
      </c>
      <c r="G736" s="63">
        <f>'10'!D11&amp;""</f>
        <v/>
      </c>
      <c r="H736" s="63">
        <f>IF(OR(A736="",F736=""),"",F736&amp;"|"&amp;A736)</f>
        <v/>
      </c>
      <c r="I736" s="63">
        <f>IF(AND(H736&lt;&gt;"",OR('Historia wózka'!$B$4="",F736='Historia wózka'!$B$4),A736&gt;='Historia wózka'!$B$5,A736&lt;='Historia wózka'!$B$6),A736+0.9+(5000-ROW())/10000000,0)</f>
        <v/>
      </c>
      <c r="J736" s="63">
        <f>Ustawienia!$B$8&amp;""</f>
        <v/>
      </c>
      <c r="K736" s="63">
        <f>IF(H736="","",COUNTIFS('Zgłoszenia'!$B$5:$B$504,F736,'Zgłoszenia'!$D$5:$D$504,"&gt;="&amp;A736,'Zgłoszenia'!$D$5:$D$504,"&lt;="&amp;(A736+1)))</f>
        <v/>
      </c>
      <c r="L736" s="63">
        <f>IF(OR(H736="",K736=0),"—",IF(ISNUMBER(MATCH(H736,'Zgłoszenia'!$S$5:$S$504,0)),RIGHT("0"&amp;DAY(A736),2)&amp;"."&amp;RIGHT("0"&amp;MONTH(A736),2)&amp;"."&amp;YEAR(A736)&amp;": "&amp;INDEX('Zgłoszenia'!$H$5:$H$504,MATCH(H736,'Zgłoszenia'!$S$5:$S$504,0)),RIGHT("0"&amp;DAY((A736+1)),2)&amp;"."&amp;RIGHT("0"&amp;MONTH((A736+1)),2)&amp;"."&amp;YEAR((A736+1))&amp;": "&amp;INDEX('Zgłoszenia'!$H$5:$H$504,MATCH(F736&amp;"|"&amp;(A736+1),'Zgłoszenia'!$S$5:$S$504,0)))&amp;IF(K736&gt;1," (+"&amp;(K736-1)&amp;")",""))</f>
        <v/>
      </c>
      <c r="M736" s="63" t="n">
        <v>10</v>
      </c>
      <c r="N736" s="2" t="n"/>
      <c r="O736" s="2" t="n"/>
    </row>
    <row r="737">
      <c r="A737" s="62">
        <f>IF('10'!$C$1="","",'10'!$C$1)</f>
        <v/>
      </c>
      <c r="B737" s="63">
        <f>Ustawienia!$A$8&amp;""</f>
        <v/>
      </c>
      <c r="C737" s="63">
        <f>Ustawienia!$A$15&amp;""</f>
        <v/>
      </c>
      <c r="D737" s="63" t="n">
        <v>1</v>
      </c>
      <c r="E737" s="63">
        <f>IF('10'!B13="","",TRIM('10'!B13&amp;""))</f>
        <v/>
      </c>
      <c r="F737" s="63">
        <f>IF('10'!C13="","",'10'!C13)</f>
        <v/>
      </c>
      <c r="G737" s="63">
        <f>'10'!D13&amp;""</f>
        <v/>
      </c>
      <c r="H737" s="63">
        <f>IF(OR(A737="",F737=""),"",F737&amp;"|"&amp;A737)</f>
        <v/>
      </c>
      <c r="I737" s="63">
        <f>IF(AND(H737&lt;&gt;"",OR('Historia wózka'!$B$4="",F737='Historia wózka'!$B$4),A737&gt;='Historia wózka'!$B$5,A737&lt;='Historia wózka'!$B$6),A737+0.9+(5000-ROW())/10000000,0)</f>
        <v/>
      </c>
      <c r="J737" s="63">
        <f>Ustawienia!$B$8&amp;""</f>
        <v/>
      </c>
      <c r="K737" s="63">
        <f>IF(H737="","",COUNTIFS('Zgłoszenia'!$B$5:$B$504,F737,'Zgłoszenia'!$D$5:$D$504,"&gt;="&amp;A737,'Zgłoszenia'!$D$5:$D$504,"&lt;="&amp;(A737+1)))</f>
        <v/>
      </c>
      <c r="L737" s="63">
        <f>IF(OR(H737="",K737=0),"—",IF(ISNUMBER(MATCH(H737,'Zgłoszenia'!$S$5:$S$504,0)),RIGHT("0"&amp;DAY(A737),2)&amp;"."&amp;RIGHT("0"&amp;MONTH(A737),2)&amp;"."&amp;YEAR(A737)&amp;": "&amp;INDEX('Zgłoszenia'!$H$5:$H$504,MATCH(H737,'Zgłoszenia'!$S$5:$S$504,0)),RIGHT("0"&amp;DAY((A737+1)),2)&amp;"."&amp;RIGHT("0"&amp;MONTH((A737+1)),2)&amp;"."&amp;YEAR((A737+1))&amp;": "&amp;INDEX('Zgłoszenia'!$H$5:$H$504,MATCH(F737&amp;"|"&amp;(A737+1),'Zgłoszenia'!$S$5:$S$504,0)))&amp;IF(K737&gt;1," (+"&amp;(K737-1)&amp;")",""))</f>
        <v/>
      </c>
      <c r="M737" s="63" t="n">
        <v>10</v>
      </c>
      <c r="N737" s="2" t="n"/>
      <c r="O737" s="2" t="n"/>
    </row>
    <row r="738">
      <c r="A738" s="62">
        <f>IF('10'!$C$1="","",'10'!$C$1)</f>
        <v/>
      </c>
      <c r="B738" s="63">
        <f>Ustawienia!$A$8&amp;""</f>
        <v/>
      </c>
      <c r="C738" s="63">
        <f>Ustawienia!$A$15&amp;""</f>
        <v/>
      </c>
      <c r="D738" s="63" t="n">
        <v>2</v>
      </c>
      <c r="E738" s="63">
        <f>IF('10'!B14="","",TRIM('10'!B14&amp;""))</f>
        <v/>
      </c>
      <c r="F738" s="63">
        <f>IF('10'!C14="","",'10'!C14)</f>
        <v/>
      </c>
      <c r="G738" s="63">
        <f>'10'!D14&amp;""</f>
        <v/>
      </c>
      <c r="H738" s="63">
        <f>IF(OR(A738="",F738=""),"",F738&amp;"|"&amp;A738)</f>
        <v/>
      </c>
      <c r="I738" s="63">
        <f>IF(AND(H738&lt;&gt;"",OR('Historia wózka'!$B$4="",F738='Historia wózka'!$B$4),A738&gt;='Historia wózka'!$B$5,A738&lt;='Historia wózka'!$B$6),A738+0.9+(5000-ROW())/10000000,0)</f>
        <v/>
      </c>
      <c r="J738" s="63">
        <f>Ustawienia!$B$8&amp;""</f>
        <v/>
      </c>
      <c r="K738" s="63">
        <f>IF(H738="","",COUNTIFS('Zgłoszenia'!$B$5:$B$504,F738,'Zgłoszenia'!$D$5:$D$504,"&gt;="&amp;A738,'Zgłoszenia'!$D$5:$D$504,"&lt;="&amp;(A738+1)))</f>
        <v/>
      </c>
      <c r="L738" s="63">
        <f>IF(OR(H738="",K738=0),"—",IF(ISNUMBER(MATCH(H738,'Zgłoszenia'!$S$5:$S$504,0)),RIGHT("0"&amp;DAY(A738),2)&amp;"."&amp;RIGHT("0"&amp;MONTH(A738),2)&amp;"."&amp;YEAR(A738)&amp;": "&amp;INDEX('Zgłoszenia'!$H$5:$H$504,MATCH(H738,'Zgłoszenia'!$S$5:$S$504,0)),RIGHT("0"&amp;DAY((A738+1)),2)&amp;"."&amp;RIGHT("0"&amp;MONTH((A738+1)),2)&amp;"."&amp;YEAR((A738+1))&amp;": "&amp;INDEX('Zgłoszenia'!$H$5:$H$504,MATCH(F738&amp;"|"&amp;(A738+1),'Zgłoszenia'!$S$5:$S$504,0)))&amp;IF(K738&gt;1," (+"&amp;(K738-1)&amp;")",""))</f>
        <v/>
      </c>
      <c r="M738" s="63" t="n">
        <v>10</v>
      </c>
      <c r="N738" s="2" t="n"/>
      <c r="O738" s="2" t="n"/>
    </row>
    <row r="739">
      <c r="A739" s="62">
        <f>IF('10'!$C$1="","",'10'!$C$1)</f>
        <v/>
      </c>
      <c r="B739" s="63">
        <f>Ustawienia!$A$8&amp;""</f>
        <v/>
      </c>
      <c r="C739" s="63">
        <f>Ustawienia!$A$15&amp;""</f>
        <v/>
      </c>
      <c r="D739" s="63" t="n">
        <v>3</v>
      </c>
      <c r="E739" s="63">
        <f>IF('10'!B15="","",TRIM('10'!B15&amp;""))</f>
        <v/>
      </c>
      <c r="F739" s="63">
        <f>IF('10'!C15="","",'10'!C15)</f>
        <v/>
      </c>
      <c r="G739" s="63">
        <f>'10'!D15&amp;""</f>
        <v/>
      </c>
      <c r="H739" s="63">
        <f>IF(OR(A739="",F739=""),"",F739&amp;"|"&amp;A739)</f>
        <v/>
      </c>
      <c r="I739" s="63">
        <f>IF(AND(H739&lt;&gt;"",OR('Historia wózka'!$B$4="",F739='Historia wózka'!$B$4),A739&gt;='Historia wózka'!$B$5,A739&lt;='Historia wózka'!$B$6),A739+0.9+(5000-ROW())/10000000,0)</f>
        <v/>
      </c>
      <c r="J739" s="63">
        <f>Ustawienia!$B$8&amp;""</f>
        <v/>
      </c>
      <c r="K739" s="63">
        <f>IF(H739="","",COUNTIFS('Zgłoszenia'!$B$5:$B$504,F739,'Zgłoszenia'!$D$5:$D$504,"&gt;="&amp;A739,'Zgłoszenia'!$D$5:$D$504,"&lt;="&amp;(A739+1)))</f>
        <v/>
      </c>
      <c r="L739" s="63">
        <f>IF(OR(H739="",K739=0),"—",IF(ISNUMBER(MATCH(H739,'Zgłoszenia'!$S$5:$S$504,0)),RIGHT("0"&amp;DAY(A739),2)&amp;"."&amp;RIGHT("0"&amp;MONTH(A739),2)&amp;"."&amp;YEAR(A739)&amp;": "&amp;INDEX('Zgłoszenia'!$H$5:$H$504,MATCH(H739,'Zgłoszenia'!$S$5:$S$504,0)),RIGHT("0"&amp;DAY((A739+1)),2)&amp;"."&amp;RIGHT("0"&amp;MONTH((A739+1)),2)&amp;"."&amp;YEAR((A739+1))&amp;": "&amp;INDEX('Zgłoszenia'!$H$5:$H$504,MATCH(F739&amp;"|"&amp;(A739+1),'Zgłoszenia'!$S$5:$S$504,0)))&amp;IF(K739&gt;1," (+"&amp;(K739-1)&amp;")",""))</f>
        <v/>
      </c>
      <c r="M739" s="63" t="n">
        <v>10</v>
      </c>
      <c r="N739" s="2" t="n"/>
      <c r="O739" s="2" t="n"/>
    </row>
    <row r="740">
      <c r="A740" s="62">
        <f>IF('10'!$C$1="","",'10'!$C$1)</f>
        <v/>
      </c>
      <c r="B740" s="63">
        <f>Ustawienia!$A$8&amp;""</f>
        <v/>
      </c>
      <c r="C740" s="63">
        <f>Ustawienia!$A$15&amp;""</f>
        <v/>
      </c>
      <c r="D740" s="63" t="n">
        <v>4</v>
      </c>
      <c r="E740" s="63">
        <f>IF('10'!B16="","",TRIM('10'!B16&amp;""))</f>
        <v/>
      </c>
      <c r="F740" s="63">
        <f>IF('10'!C16="","",'10'!C16)</f>
        <v/>
      </c>
      <c r="G740" s="63">
        <f>'10'!D16&amp;""</f>
        <v/>
      </c>
      <c r="H740" s="63">
        <f>IF(OR(A740="",F740=""),"",F740&amp;"|"&amp;A740)</f>
        <v/>
      </c>
      <c r="I740" s="63">
        <f>IF(AND(H740&lt;&gt;"",OR('Historia wózka'!$B$4="",F740='Historia wózka'!$B$4),A740&gt;='Historia wózka'!$B$5,A740&lt;='Historia wózka'!$B$6),A740+0.9+(5000-ROW())/10000000,0)</f>
        <v/>
      </c>
      <c r="J740" s="63">
        <f>Ustawienia!$B$8&amp;""</f>
        <v/>
      </c>
      <c r="K740" s="63">
        <f>IF(H740="","",COUNTIFS('Zgłoszenia'!$B$5:$B$504,F740,'Zgłoszenia'!$D$5:$D$504,"&gt;="&amp;A740,'Zgłoszenia'!$D$5:$D$504,"&lt;="&amp;(A740+1)))</f>
        <v/>
      </c>
      <c r="L740" s="63">
        <f>IF(OR(H740="",K740=0),"—",IF(ISNUMBER(MATCH(H740,'Zgłoszenia'!$S$5:$S$504,0)),RIGHT("0"&amp;DAY(A740),2)&amp;"."&amp;RIGHT("0"&amp;MONTH(A740),2)&amp;"."&amp;YEAR(A740)&amp;": "&amp;INDEX('Zgłoszenia'!$H$5:$H$504,MATCH(H740,'Zgłoszenia'!$S$5:$S$504,0)),RIGHT("0"&amp;DAY((A740+1)),2)&amp;"."&amp;RIGHT("0"&amp;MONTH((A740+1)),2)&amp;"."&amp;YEAR((A740+1))&amp;": "&amp;INDEX('Zgłoszenia'!$H$5:$H$504,MATCH(F740&amp;"|"&amp;(A740+1),'Zgłoszenia'!$S$5:$S$504,0)))&amp;IF(K740&gt;1," (+"&amp;(K740-1)&amp;")",""))</f>
        <v/>
      </c>
      <c r="M740" s="63" t="n">
        <v>10</v>
      </c>
      <c r="N740" s="2" t="n"/>
      <c r="O740" s="2" t="n"/>
    </row>
    <row r="741">
      <c r="A741" s="62">
        <f>IF('10'!$C$1="","",'10'!$C$1)</f>
        <v/>
      </c>
      <c r="B741" s="63">
        <f>Ustawienia!$A$8&amp;""</f>
        <v/>
      </c>
      <c r="C741" s="63">
        <f>Ustawienia!$A$15&amp;""</f>
        <v/>
      </c>
      <c r="D741" s="63" t="n">
        <v>5</v>
      </c>
      <c r="E741" s="63">
        <f>IF('10'!B17="","",TRIM('10'!B17&amp;""))</f>
        <v/>
      </c>
      <c r="F741" s="63">
        <f>IF('10'!C17="","",'10'!C17)</f>
        <v/>
      </c>
      <c r="G741" s="63">
        <f>'10'!D17&amp;""</f>
        <v/>
      </c>
      <c r="H741" s="63">
        <f>IF(OR(A741="",F741=""),"",F741&amp;"|"&amp;A741)</f>
        <v/>
      </c>
      <c r="I741" s="63">
        <f>IF(AND(H741&lt;&gt;"",OR('Historia wózka'!$B$4="",F741='Historia wózka'!$B$4),A741&gt;='Historia wózka'!$B$5,A741&lt;='Historia wózka'!$B$6),A741+0.9+(5000-ROW())/10000000,0)</f>
        <v/>
      </c>
      <c r="J741" s="63">
        <f>Ustawienia!$B$8&amp;""</f>
        <v/>
      </c>
      <c r="K741" s="63">
        <f>IF(H741="","",COUNTIFS('Zgłoszenia'!$B$5:$B$504,F741,'Zgłoszenia'!$D$5:$D$504,"&gt;="&amp;A741,'Zgłoszenia'!$D$5:$D$504,"&lt;="&amp;(A741+1)))</f>
        <v/>
      </c>
      <c r="L741" s="63">
        <f>IF(OR(H741="",K741=0),"—",IF(ISNUMBER(MATCH(H741,'Zgłoszenia'!$S$5:$S$504,0)),RIGHT("0"&amp;DAY(A741),2)&amp;"."&amp;RIGHT("0"&amp;MONTH(A741),2)&amp;"."&amp;YEAR(A741)&amp;": "&amp;INDEX('Zgłoszenia'!$H$5:$H$504,MATCH(H741,'Zgłoszenia'!$S$5:$S$504,0)),RIGHT("0"&amp;DAY((A741+1)),2)&amp;"."&amp;RIGHT("0"&amp;MONTH((A741+1)),2)&amp;"."&amp;YEAR((A741+1))&amp;": "&amp;INDEX('Zgłoszenia'!$H$5:$H$504,MATCH(F741&amp;"|"&amp;(A741+1),'Zgłoszenia'!$S$5:$S$504,0)))&amp;IF(K741&gt;1," (+"&amp;(K741-1)&amp;")",""))</f>
        <v/>
      </c>
      <c r="M741" s="63" t="n">
        <v>10</v>
      </c>
      <c r="N741" s="2" t="n"/>
      <c r="O741" s="2" t="n"/>
    </row>
    <row r="742">
      <c r="A742" s="62">
        <f>IF('10'!$C$1="","",'10'!$C$1)</f>
        <v/>
      </c>
      <c r="B742" s="63">
        <f>Ustawienia!$A$8&amp;""</f>
        <v/>
      </c>
      <c r="C742" s="63">
        <f>Ustawienia!$A$15&amp;""</f>
        <v/>
      </c>
      <c r="D742" s="63" t="n">
        <v>6</v>
      </c>
      <c r="E742" s="63">
        <f>IF('10'!B18="","",TRIM('10'!B18&amp;""))</f>
        <v/>
      </c>
      <c r="F742" s="63">
        <f>IF('10'!C18="","",'10'!C18)</f>
        <v/>
      </c>
      <c r="G742" s="63">
        <f>'10'!D18&amp;""</f>
        <v/>
      </c>
      <c r="H742" s="63">
        <f>IF(OR(A742="",F742=""),"",F742&amp;"|"&amp;A742)</f>
        <v/>
      </c>
      <c r="I742" s="63">
        <f>IF(AND(H742&lt;&gt;"",OR('Historia wózka'!$B$4="",F742='Historia wózka'!$B$4),A742&gt;='Historia wózka'!$B$5,A742&lt;='Historia wózka'!$B$6),A742+0.9+(5000-ROW())/10000000,0)</f>
        <v/>
      </c>
      <c r="J742" s="63">
        <f>Ustawienia!$B$8&amp;""</f>
        <v/>
      </c>
      <c r="K742" s="63">
        <f>IF(H742="","",COUNTIFS('Zgłoszenia'!$B$5:$B$504,F742,'Zgłoszenia'!$D$5:$D$504,"&gt;="&amp;A742,'Zgłoszenia'!$D$5:$D$504,"&lt;="&amp;(A742+1)))</f>
        <v/>
      </c>
      <c r="L742" s="63">
        <f>IF(OR(H742="",K742=0),"—",IF(ISNUMBER(MATCH(H742,'Zgłoszenia'!$S$5:$S$504,0)),RIGHT("0"&amp;DAY(A742),2)&amp;"."&amp;RIGHT("0"&amp;MONTH(A742),2)&amp;"."&amp;YEAR(A742)&amp;": "&amp;INDEX('Zgłoszenia'!$H$5:$H$504,MATCH(H742,'Zgłoszenia'!$S$5:$S$504,0)),RIGHT("0"&amp;DAY((A742+1)),2)&amp;"."&amp;RIGHT("0"&amp;MONTH((A742+1)),2)&amp;"."&amp;YEAR((A742+1))&amp;": "&amp;INDEX('Zgłoszenia'!$H$5:$H$504,MATCH(F742&amp;"|"&amp;(A742+1),'Zgłoszenia'!$S$5:$S$504,0)))&amp;IF(K742&gt;1," (+"&amp;(K742-1)&amp;")",""))</f>
        <v/>
      </c>
      <c r="M742" s="63" t="n">
        <v>10</v>
      </c>
      <c r="N742" s="2" t="n"/>
      <c r="O742" s="2" t="n"/>
    </row>
    <row r="743">
      <c r="A743" s="62">
        <f>IF('10'!$C$1="","",'10'!$C$1)</f>
        <v/>
      </c>
      <c r="B743" s="63">
        <f>Ustawienia!$A$8&amp;""</f>
        <v/>
      </c>
      <c r="C743" s="63">
        <f>Ustawienia!$A$15&amp;""</f>
        <v/>
      </c>
      <c r="D743" s="63" t="n">
        <v>7</v>
      </c>
      <c r="E743" s="63">
        <f>IF('10'!B19="","",TRIM('10'!B19&amp;""))</f>
        <v/>
      </c>
      <c r="F743" s="63">
        <f>IF('10'!C19="","",'10'!C19)</f>
        <v/>
      </c>
      <c r="G743" s="63">
        <f>'10'!D19&amp;""</f>
        <v/>
      </c>
      <c r="H743" s="63">
        <f>IF(OR(A743="",F743=""),"",F743&amp;"|"&amp;A743)</f>
        <v/>
      </c>
      <c r="I743" s="63">
        <f>IF(AND(H743&lt;&gt;"",OR('Historia wózka'!$B$4="",F743='Historia wózka'!$B$4),A743&gt;='Historia wózka'!$B$5,A743&lt;='Historia wózka'!$B$6),A743+0.9+(5000-ROW())/10000000,0)</f>
        <v/>
      </c>
      <c r="J743" s="63">
        <f>Ustawienia!$B$8&amp;""</f>
        <v/>
      </c>
      <c r="K743" s="63">
        <f>IF(H743="","",COUNTIFS('Zgłoszenia'!$B$5:$B$504,F743,'Zgłoszenia'!$D$5:$D$504,"&gt;="&amp;A743,'Zgłoszenia'!$D$5:$D$504,"&lt;="&amp;(A743+1)))</f>
        <v/>
      </c>
      <c r="L743" s="63">
        <f>IF(OR(H743="",K743=0),"—",IF(ISNUMBER(MATCH(H743,'Zgłoszenia'!$S$5:$S$504,0)),RIGHT("0"&amp;DAY(A743),2)&amp;"."&amp;RIGHT("0"&amp;MONTH(A743),2)&amp;"."&amp;YEAR(A743)&amp;": "&amp;INDEX('Zgłoszenia'!$H$5:$H$504,MATCH(H743,'Zgłoszenia'!$S$5:$S$504,0)),RIGHT("0"&amp;DAY((A743+1)),2)&amp;"."&amp;RIGHT("0"&amp;MONTH((A743+1)),2)&amp;"."&amp;YEAR((A743+1))&amp;": "&amp;INDEX('Zgłoszenia'!$H$5:$H$504,MATCH(F743&amp;"|"&amp;(A743+1),'Zgłoszenia'!$S$5:$S$504,0)))&amp;IF(K743&gt;1," (+"&amp;(K743-1)&amp;")",""))</f>
        <v/>
      </c>
      <c r="M743" s="63" t="n">
        <v>10</v>
      </c>
      <c r="N743" s="2" t="n"/>
      <c r="O743" s="2" t="n"/>
    </row>
    <row r="744">
      <c r="A744" s="62">
        <f>IF('10'!$C$1="","",'10'!$C$1)</f>
        <v/>
      </c>
      <c r="B744" s="63">
        <f>Ustawienia!$A$8&amp;""</f>
        <v/>
      </c>
      <c r="C744" s="63">
        <f>Ustawienia!$A$15&amp;""</f>
        <v/>
      </c>
      <c r="D744" s="63" t="n">
        <v>8</v>
      </c>
      <c r="E744" s="63">
        <f>IF('10'!B20="","",TRIM('10'!B20&amp;""))</f>
        <v/>
      </c>
      <c r="F744" s="63">
        <f>IF('10'!C20="","",'10'!C20)</f>
        <v/>
      </c>
      <c r="G744" s="63">
        <f>'10'!D20&amp;""</f>
        <v/>
      </c>
      <c r="H744" s="63">
        <f>IF(OR(A744="",F744=""),"",F744&amp;"|"&amp;A744)</f>
        <v/>
      </c>
      <c r="I744" s="63">
        <f>IF(AND(H744&lt;&gt;"",OR('Historia wózka'!$B$4="",F744='Historia wózka'!$B$4),A744&gt;='Historia wózka'!$B$5,A744&lt;='Historia wózka'!$B$6),A744+0.9+(5000-ROW())/10000000,0)</f>
        <v/>
      </c>
      <c r="J744" s="63">
        <f>Ustawienia!$B$8&amp;""</f>
        <v/>
      </c>
      <c r="K744" s="63">
        <f>IF(H744="","",COUNTIFS('Zgłoszenia'!$B$5:$B$504,F744,'Zgłoszenia'!$D$5:$D$504,"&gt;="&amp;A744,'Zgłoszenia'!$D$5:$D$504,"&lt;="&amp;(A744+1)))</f>
        <v/>
      </c>
      <c r="L744" s="63">
        <f>IF(OR(H744="",K744=0),"—",IF(ISNUMBER(MATCH(H744,'Zgłoszenia'!$S$5:$S$504,0)),RIGHT("0"&amp;DAY(A744),2)&amp;"."&amp;RIGHT("0"&amp;MONTH(A744),2)&amp;"."&amp;YEAR(A744)&amp;": "&amp;INDEX('Zgłoszenia'!$H$5:$H$504,MATCH(H744,'Zgłoszenia'!$S$5:$S$504,0)),RIGHT("0"&amp;DAY((A744+1)),2)&amp;"."&amp;RIGHT("0"&amp;MONTH((A744+1)),2)&amp;"."&amp;YEAR((A744+1))&amp;": "&amp;INDEX('Zgłoszenia'!$H$5:$H$504,MATCH(F744&amp;"|"&amp;(A744+1),'Zgłoszenia'!$S$5:$S$504,0)))&amp;IF(K744&gt;1," (+"&amp;(K744-1)&amp;")",""))</f>
        <v/>
      </c>
      <c r="M744" s="63" t="n">
        <v>10</v>
      </c>
      <c r="N744" s="2" t="n"/>
      <c r="O744" s="2" t="n"/>
    </row>
    <row r="745">
      <c r="A745" s="62">
        <f>IF('10'!$C$1="","",'10'!$C$1)</f>
        <v/>
      </c>
      <c r="B745" s="63">
        <f>Ustawienia!$A$8&amp;""</f>
        <v/>
      </c>
      <c r="C745" s="63">
        <f>Ustawienia!$A$16&amp;""</f>
        <v/>
      </c>
      <c r="D745" s="63" t="n">
        <v>1</v>
      </c>
      <c r="E745" s="63">
        <f>IF('10'!B22="","",TRIM('10'!B22&amp;""))</f>
        <v/>
      </c>
      <c r="F745" s="63">
        <f>IF('10'!C22="","",'10'!C22)</f>
        <v/>
      </c>
      <c r="G745" s="63">
        <f>'10'!D22&amp;""</f>
        <v/>
      </c>
      <c r="H745" s="63">
        <f>IF(OR(A745="",F745=""),"",F745&amp;"|"&amp;A745)</f>
        <v/>
      </c>
      <c r="I745" s="63">
        <f>IF(AND(H745&lt;&gt;"",OR('Historia wózka'!$B$4="",F745='Historia wózka'!$B$4),A745&gt;='Historia wózka'!$B$5,A745&lt;='Historia wózka'!$B$6),A745+0.9+(5000-ROW())/10000000,0)</f>
        <v/>
      </c>
      <c r="J745" s="63">
        <f>Ustawienia!$B$8&amp;""</f>
        <v/>
      </c>
      <c r="K745" s="63">
        <f>IF(H745="","",COUNTIFS('Zgłoszenia'!$B$5:$B$504,F745,'Zgłoszenia'!$D$5:$D$504,"&gt;="&amp;A745,'Zgłoszenia'!$D$5:$D$504,"&lt;="&amp;(A745+1)))</f>
        <v/>
      </c>
      <c r="L745" s="63">
        <f>IF(OR(H745="",K745=0),"—",IF(ISNUMBER(MATCH(H745,'Zgłoszenia'!$S$5:$S$504,0)),RIGHT("0"&amp;DAY(A745),2)&amp;"."&amp;RIGHT("0"&amp;MONTH(A745),2)&amp;"."&amp;YEAR(A745)&amp;": "&amp;INDEX('Zgłoszenia'!$H$5:$H$504,MATCH(H745,'Zgłoszenia'!$S$5:$S$504,0)),RIGHT("0"&amp;DAY((A745+1)),2)&amp;"."&amp;RIGHT("0"&amp;MONTH((A745+1)),2)&amp;"."&amp;YEAR((A745+1))&amp;": "&amp;INDEX('Zgłoszenia'!$H$5:$H$504,MATCH(F745&amp;"|"&amp;(A745+1),'Zgłoszenia'!$S$5:$S$504,0)))&amp;IF(K745&gt;1," (+"&amp;(K745-1)&amp;")",""))</f>
        <v/>
      </c>
      <c r="M745" s="63" t="n">
        <v>10</v>
      </c>
      <c r="N745" s="2" t="n"/>
      <c r="O745" s="2" t="n"/>
    </row>
    <row r="746">
      <c r="A746" s="62">
        <f>IF('10'!$C$1="","",'10'!$C$1)</f>
        <v/>
      </c>
      <c r="B746" s="63">
        <f>Ustawienia!$A$8&amp;""</f>
        <v/>
      </c>
      <c r="C746" s="63">
        <f>Ustawienia!$A$16&amp;""</f>
        <v/>
      </c>
      <c r="D746" s="63" t="n">
        <v>2</v>
      </c>
      <c r="E746" s="63">
        <f>IF('10'!B23="","",TRIM('10'!B23&amp;""))</f>
        <v/>
      </c>
      <c r="F746" s="63">
        <f>IF('10'!C23="","",'10'!C23)</f>
        <v/>
      </c>
      <c r="G746" s="63">
        <f>'10'!D23&amp;""</f>
        <v/>
      </c>
      <c r="H746" s="63">
        <f>IF(OR(A746="",F746=""),"",F746&amp;"|"&amp;A746)</f>
        <v/>
      </c>
      <c r="I746" s="63">
        <f>IF(AND(H746&lt;&gt;"",OR('Historia wózka'!$B$4="",F746='Historia wózka'!$B$4),A746&gt;='Historia wózka'!$B$5,A746&lt;='Historia wózka'!$B$6),A746+0.9+(5000-ROW())/10000000,0)</f>
        <v/>
      </c>
      <c r="J746" s="63">
        <f>Ustawienia!$B$8&amp;""</f>
        <v/>
      </c>
      <c r="K746" s="63">
        <f>IF(H746="","",COUNTIFS('Zgłoszenia'!$B$5:$B$504,F746,'Zgłoszenia'!$D$5:$D$504,"&gt;="&amp;A746,'Zgłoszenia'!$D$5:$D$504,"&lt;="&amp;(A746+1)))</f>
        <v/>
      </c>
      <c r="L746" s="63">
        <f>IF(OR(H746="",K746=0),"—",IF(ISNUMBER(MATCH(H746,'Zgłoszenia'!$S$5:$S$504,0)),RIGHT("0"&amp;DAY(A746),2)&amp;"."&amp;RIGHT("0"&amp;MONTH(A746),2)&amp;"."&amp;YEAR(A746)&amp;": "&amp;INDEX('Zgłoszenia'!$H$5:$H$504,MATCH(H746,'Zgłoszenia'!$S$5:$S$504,0)),RIGHT("0"&amp;DAY((A746+1)),2)&amp;"."&amp;RIGHT("0"&amp;MONTH((A746+1)),2)&amp;"."&amp;YEAR((A746+1))&amp;": "&amp;INDEX('Zgłoszenia'!$H$5:$H$504,MATCH(F746&amp;"|"&amp;(A746+1),'Zgłoszenia'!$S$5:$S$504,0)))&amp;IF(K746&gt;1," (+"&amp;(K746-1)&amp;")",""))</f>
        <v/>
      </c>
      <c r="M746" s="63" t="n">
        <v>10</v>
      </c>
      <c r="N746" s="2" t="n"/>
      <c r="O746" s="2" t="n"/>
    </row>
    <row r="747">
      <c r="A747" s="62">
        <f>IF('10'!$C$1="","",'10'!$C$1)</f>
        <v/>
      </c>
      <c r="B747" s="63">
        <f>Ustawienia!$A$8&amp;""</f>
        <v/>
      </c>
      <c r="C747" s="63">
        <f>Ustawienia!$A$16&amp;""</f>
        <v/>
      </c>
      <c r="D747" s="63" t="n">
        <v>3</v>
      </c>
      <c r="E747" s="63">
        <f>IF('10'!B24="","",TRIM('10'!B24&amp;""))</f>
        <v/>
      </c>
      <c r="F747" s="63">
        <f>IF('10'!C24="","",'10'!C24)</f>
        <v/>
      </c>
      <c r="G747" s="63">
        <f>'10'!D24&amp;""</f>
        <v/>
      </c>
      <c r="H747" s="63">
        <f>IF(OR(A747="",F747=""),"",F747&amp;"|"&amp;A747)</f>
        <v/>
      </c>
      <c r="I747" s="63">
        <f>IF(AND(H747&lt;&gt;"",OR('Historia wózka'!$B$4="",F747='Historia wózka'!$B$4),A747&gt;='Historia wózka'!$B$5,A747&lt;='Historia wózka'!$B$6),A747+0.9+(5000-ROW())/10000000,0)</f>
        <v/>
      </c>
      <c r="J747" s="63">
        <f>Ustawienia!$B$8&amp;""</f>
        <v/>
      </c>
      <c r="K747" s="63">
        <f>IF(H747="","",COUNTIFS('Zgłoszenia'!$B$5:$B$504,F747,'Zgłoszenia'!$D$5:$D$504,"&gt;="&amp;A747,'Zgłoszenia'!$D$5:$D$504,"&lt;="&amp;(A747+1)))</f>
        <v/>
      </c>
      <c r="L747" s="63">
        <f>IF(OR(H747="",K747=0),"—",IF(ISNUMBER(MATCH(H747,'Zgłoszenia'!$S$5:$S$504,0)),RIGHT("0"&amp;DAY(A747),2)&amp;"."&amp;RIGHT("0"&amp;MONTH(A747),2)&amp;"."&amp;YEAR(A747)&amp;": "&amp;INDEX('Zgłoszenia'!$H$5:$H$504,MATCH(H747,'Zgłoszenia'!$S$5:$S$504,0)),RIGHT("0"&amp;DAY((A747+1)),2)&amp;"."&amp;RIGHT("0"&amp;MONTH((A747+1)),2)&amp;"."&amp;YEAR((A747+1))&amp;": "&amp;INDEX('Zgłoszenia'!$H$5:$H$504,MATCH(F747&amp;"|"&amp;(A747+1),'Zgłoszenia'!$S$5:$S$504,0)))&amp;IF(K747&gt;1," (+"&amp;(K747-1)&amp;")",""))</f>
        <v/>
      </c>
      <c r="M747" s="63" t="n">
        <v>10</v>
      </c>
      <c r="N747" s="2" t="n"/>
      <c r="O747" s="2" t="n"/>
    </row>
    <row r="748">
      <c r="A748" s="62">
        <f>IF('10'!$C$1="","",'10'!$C$1)</f>
        <v/>
      </c>
      <c r="B748" s="63">
        <f>Ustawienia!$A$8&amp;""</f>
        <v/>
      </c>
      <c r="C748" s="63">
        <f>Ustawienia!$A$16&amp;""</f>
        <v/>
      </c>
      <c r="D748" s="63" t="n">
        <v>4</v>
      </c>
      <c r="E748" s="63">
        <f>IF('10'!B25="","",TRIM('10'!B25&amp;""))</f>
        <v/>
      </c>
      <c r="F748" s="63">
        <f>IF('10'!C25="","",'10'!C25)</f>
        <v/>
      </c>
      <c r="G748" s="63">
        <f>'10'!D25&amp;""</f>
        <v/>
      </c>
      <c r="H748" s="63">
        <f>IF(OR(A748="",F748=""),"",F748&amp;"|"&amp;A748)</f>
        <v/>
      </c>
      <c r="I748" s="63">
        <f>IF(AND(H748&lt;&gt;"",OR('Historia wózka'!$B$4="",F748='Historia wózka'!$B$4),A748&gt;='Historia wózka'!$B$5,A748&lt;='Historia wózka'!$B$6),A748+0.9+(5000-ROW())/10000000,0)</f>
        <v/>
      </c>
      <c r="J748" s="63">
        <f>Ustawienia!$B$8&amp;""</f>
        <v/>
      </c>
      <c r="K748" s="63">
        <f>IF(H748="","",COUNTIFS('Zgłoszenia'!$B$5:$B$504,F748,'Zgłoszenia'!$D$5:$D$504,"&gt;="&amp;A748,'Zgłoszenia'!$D$5:$D$504,"&lt;="&amp;(A748+1)))</f>
        <v/>
      </c>
      <c r="L748" s="63">
        <f>IF(OR(H748="",K748=0),"—",IF(ISNUMBER(MATCH(H748,'Zgłoszenia'!$S$5:$S$504,0)),RIGHT("0"&amp;DAY(A748),2)&amp;"."&amp;RIGHT("0"&amp;MONTH(A748),2)&amp;"."&amp;YEAR(A748)&amp;": "&amp;INDEX('Zgłoszenia'!$H$5:$H$504,MATCH(H748,'Zgłoszenia'!$S$5:$S$504,0)),RIGHT("0"&amp;DAY((A748+1)),2)&amp;"."&amp;RIGHT("0"&amp;MONTH((A748+1)),2)&amp;"."&amp;YEAR((A748+1))&amp;": "&amp;INDEX('Zgłoszenia'!$H$5:$H$504,MATCH(F748&amp;"|"&amp;(A748+1),'Zgłoszenia'!$S$5:$S$504,0)))&amp;IF(K748&gt;1," (+"&amp;(K748-1)&amp;")",""))</f>
        <v/>
      </c>
      <c r="M748" s="63" t="n">
        <v>10</v>
      </c>
      <c r="N748" s="2" t="n"/>
      <c r="O748" s="2" t="n"/>
    </row>
    <row r="749">
      <c r="A749" s="62">
        <f>IF('10'!$C$1="","",'10'!$C$1)</f>
        <v/>
      </c>
      <c r="B749" s="63">
        <f>Ustawienia!$A$8&amp;""</f>
        <v/>
      </c>
      <c r="C749" s="63">
        <f>Ustawienia!$A$17&amp;""</f>
        <v/>
      </c>
      <c r="D749" s="63" t="n">
        <v>1</v>
      </c>
      <c r="E749" s="63">
        <f>IF('10'!B27="","",TRIM('10'!B27&amp;""))</f>
        <v/>
      </c>
      <c r="F749" s="63">
        <f>IF('10'!C27="","",'10'!C27)</f>
        <v/>
      </c>
      <c r="G749" s="63">
        <f>'10'!D27&amp;""</f>
        <v/>
      </c>
      <c r="H749" s="63">
        <f>IF(OR(A749="",F749=""),"",F749&amp;"|"&amp;A749)</f>
        <v/>
      </c>
      <c r="I749" s="63">
        <f>IF(AND(H749&lt;&gt;"",OR('Historia wózka'!$B$4="",F749='Historia wózka'!$B$4),A749&gt;='Historia wózka'!$B$5,A749&lt;='Historia wózka'!$B$6),A749+0.9+(5000-ROW())/10000000,0)</f>
        <v/>
      </c>
      <c r="J749" s="63">
        <f>Ustawienia!$B$8&amp;""</f>
        <v/>
      </c>
      <c r="K749" s="63">
        <f>IF(H749="","",COUNTIFS('Zgłoszenia'!$B$5:$B$504,F749,'Zgłoszenia'!$D$5:$D$504,"&gt;="&amp;A749,'Zgłoszenia'!$D$5:$D$504,"&lt;="&amp;(A749+1)))</f>
        <v/>
      </c>
      <c r="L749" s="63">
        <f>IF(OR(H749="",K749=0),"—",IF(ISNUMBER(MATCH(H749,'Zgłoszenia'!$S$5:$S$504,0)),RIGHT("0"&amp;DAY(A749),2)&amp;"."&amp;RIGHT("0"&amp;MONTH(A749),2)&amp;"."&amp;YEAR(A749)&amp;": "&amp;INDEX('Zgłoszenia'!$H$5:$H$504,MATCH(H749,'Zgłoszenia'!$S$5:$S$504,0)),RIGHT("0"&amp;DAY((A749+1)),2)&amp;"."&amp;RIGHT("0"&amp;MONTH((A749+1)),2)&amp;"."&amp;YEAR((A749+1))&amp;": "&amp;INDEX('Zgłoszenia'!$H$5:$H$504,MATCH(F749&amp;"|"&amp;(A749+1),'Zgłoszenia'!$S$5:$S$504,0)))&amp;IF(K749&gt;1," (+"&amp;(K749-1)&amp;")",""))</f>
        <v/>
      </c>
      <c r="M749" s="63" t="n">
        <v>10</v>
      </c>
      <c r="N749" s="2" t="n"/>
      <c r="O749" s="2" t="n"/>
    </row>
    <row r="750">
      <c r="A750" s="62">
        <f>IF('10'!$C$1="","",'10'!$C$1)</f>
        <v/>
      </c>
      <c r="B750" s="63">
        <f>Ustawienia!$A$8&amp;""</f>
        <v/>
      </c>
      <c r="C750" s="63">
        <f>Ustawienia!$A$17&amp;""</f>
        <v/>
      </c>
      <c r="D750" s="63" t="n">
        <v>2</v>
      </c>
      <c r="E750" s="63">
        <f>IF('10'!B28="","",TRIM('10'!B28&amp;""))</f>
        <v/>
      </c>
      <c r="F750" s="63">
        <f>IF('10'!C28="","",'10'!C28)</f>
        <v/>
      </c>
      <c r="G750" s="63">
        <f>'10'!D28&amp;""</f>
        <v/>
      </c>
      <c r="H750" s="63">
        <f>IF(OR(A750="",F750=""),"",F750&amp;"|"&amp;A750)</f>
        <v/>
      </c>
      <c r="I750" s="63">
        <f>IF(AND(H750&lt;&gt;"",OR('Historia wózka'!$B$4="",F750='Historia wózka'!$B$4),A750&gt;='Historia wózka'!$B$5,A750&lt;='Historia wózka'!$B$6),A750+0.9+(5000-ROW())/10000000,0)</f>
        <v/>
      </c>
      <c r="J750" s="63">
        <f>Ustawienia!$B$8&amp;""</f>
        <v/>
      </c>
      <c r="K750" s="63">
        <f>IF(H750="","",COUNTIFS('Zgłoszenia'!$B$5:$B$504,F750,'Zgłoszenia'!$D$5:$D$504,"&gt;="&amp;A750,'Zgłoszenia'!$D$5:$D$504,"&lt;="&amp;(A750+1)))</f>
        <v/>
      </c>
      <c r="L750" s="63">
        <f>IF(OR(H750="",K750=0),"—",IF(ISNUMBER(MATCH(H750,'Zgłoszenia'!$S$5:$S$504,0)),RIGHT("0"&amp;DAY(A750),2)&amp;"."&amp;RIGHT("0"&amp;MONTH(A750),2)&amp;"."&amp;YEAR(A750)&amp;": "&amp;INDEX('Zgłoszenia'!$H$5:$H$504,MATCH(H750,'Zgłoszenia'!$S$5:$S$504,0)),RIGHT("0"&amp;DAY((A750+1)),2)&amp;"."&amp;RIGHT("0"&amp;MONTH((A750+1)),2)&amp;"."&amp;YEAR((A750+1))&amp;": "&amp;INDEX('Zgłoszenia'!$H$5:$H$504,MATCH(F750&amp;"|"&amp;(A750+1),'Zgłoszenia'!$S$5:$S$504,0)))&amp;IF(K750&gt;1," (+"&amp;(K750-1)&amp;")",""))</f>
        <v/>
      </c>
      <c r="M750" s="63" t="n">
        <v>10</v>
      </c>
      <c r="N750" s="2" t="n"/>
      <c r="O750" s="2" t="n"/>
    </row>
    <row r="751">
      <c r="A751" s="62">
        <f>IF('10'!$C$1="","",'10'!$C$1)</f>
        <v/>
      </c>
      <c r="B751" s="63">
        <f>Ustawienia!$A$8&amp;""</f>
        <v/>
      </c>
      <c r="C751" s="63">
        <f>Ustawienia!$A$17&amp;""</f>
        <v/>
      </c>
      <c r="D751" s="63" t="n">
        <v>3</v>
      </c>
      <c r="E751" s="63">
        <f>IF('10'!B29="","",TRIM('10'!B29&amp;""))</f>
        <v/>
      </c>
      <c r="F751" s="63">
        <f>IF('10'!C29="","",'10'!C29)</f>
        <v/>
      </c>
      <c r="G751" s="63">
        <f>'10'!D29&amp;""</f>
        <v/>
      </c>
      <c r="H751" s="63">
        <f>IF(OR(A751="",F751=""),"",F751&amp;"|"&amp;A751)</f>
        <v/>
      </c>
      <c r="I751" s="63">
        <f>IF(AND(H751&lt;&gt;"",OR('Historia wózka'!$B$4="",F751='Historia wózka'!$B$4),A751&gt;='Historia wózka'!$B$5,A751&lt;='Historia wózka'!$B$6),A751+0.9+(5000-ROW())/10000000,0)</f>
        <v/>
      </c>
      <c r="J751" s="63">
        <f>Ustawienia!$B$8&amp;""</f>
        <v/>
      </c>
      <c r="K751" s="63">
        <f>IF(H751="","",COUNTIFS('Zgłoszenia'!$B$5:$B$504,F751,'Zgłoszenia'!$D$5:$D$504,"&gt;="&amp;A751,'Zgłoszenia'!$D$5:$D$504,"&lt;="&amp;(A751+1)))</f>
        <v/>
      </c>
      <c r="L751" s="63">
        <f>IF(OR(H751="",K751=0),"—",IF(ISNUMBER(MATCH(H751,'Zgłoszenia'!$S$5:$S$504,0)),RIGHT("0"&amp;DAY(A751),2)&amp;"."&amp;RIGHT("0"&amp;MONTH(A751),2)&amp;"."&amp;YEAR(A751)&amp;": "&amp;INDEX('Zgłoszenia'!$H$5:$H$504,MATCH(H751,'Zgłoszenia'!$S$5:$S$504,0)),RIGHT("0"&amp;DAY((A751+1)),2)&amp;"."&amp;RIGHT("0"&amp;MONTH((A751+1)),2)&amp;"."&amp;YEAR((A751+1))&amp;": "&amp;INDEX('Zgłoszenia'!$H$5:$H$504,MATCH(F751&amp;"|"&amp;(A751+1),'Zgłoszenia'!$S$5:$S$504,0)))&amp;IF(K751&gt;1," (+"&amp;(K751-1)&amp;")",""))</f>
        <v/>
      </c>
      <c r="M751" s="63" t="n">
        <v>10</v>
      </c>
      <c r="N751" s="2" t="n"/>
      <c r="O751" s="2" t="n"/>
    </row>
    <row r="752">
      <c r="A752" s="62">
        <f>IF('10'!$C$1="","",'10'!$C$1)</f>
        <v/>
      </c>
      <c r="B752" s="63">
        <f>Ustawienia!$A$8&amp;""</f>
        <v/>
      </c>
      <c r="C752" s="63">
        <f>Ustawienia!$A$17&amp;""</f>
        <v/>
      </c>
      <c r="D752" s="63" t="n">
        <v>4</v>
      </c>
      <c r="E752" s="63">
        <f>IF('10'!B30="","",TRIM('10'!B30&amp;""))</f>
        <v/>
      </c>
      <c r="F752" s="63">
        <f>IF('10'!C30="","",'10'!C30)</f>
        <v/>
      </c>
      <c r="G752" s="63">
        <f>'10'!D30&amp;""</f>
        <v/>
      </c>
      <c r="H752" s="63">
        <f>IF(OR(A752="",F752=""),"",F752&amp;"|"&amp;A752)</f>
        <v/>
      </c>
      <c r="I752" s="63">
        <f>IF(AND(H752&lt;&gt;"",OR('Historia wózka'!$B$4="",F752='Historia wózka'!$B$4),A752&gt;='Historia wózka'!$B$5,A752&lt;='Historia wózka'!$B$6),A752+0.9+(5000-ROW())/10000000,0)</f>
        <v/>
      </c>
      <c r="J752" s="63">
        <f>Ustawienia!$B$8&amp;""</f>
        <v/>
      </c>
      <c r="K752" s="63">
        <f>IF(H752="","",COUNTIFS('Zgłoszenia'!$B$5:$B$504,F752,'Zgłoszenia'!$D$5:$D$504,"&gt;="&amp;A752,'Zgłoszenia'!$D$5:$D$504,"&lt;="&amp;(A752+1)))</f>
        <v/>
      </c>
      <c r="L752" s="63">
        <f>IF(OR(H752="",K752=0),"—",IF(ISNUMBER(MATCH(H752,'Zgłoszenia'!$S$5:$S$504,0)),RIGHT("0"&amp;DAY(A752),2)&amp;"."&amp;RIGHT("0"&amp;MONTH(A752),2)&amp;"."&amp;YEAR(A752)&amp;": "&amp;INDEX('Zgłoszenia'!$H$5:$H$504,MATCH(H752,'Zgłoszenia'!$S$5:$S$504,0)),RIGHT("0"&amp;DAY((A752+1)),2)&amp;"."&amp;RIGHT("0"&amp;MONTH((A752+1)),2)&amp;"."&amp;YEAR((A752+1))&amp;": "&amp;INDEX('Zgłoszenia'!$H$5:$H$504,MATCH(F752&amp;"|"&amp;(A752+1),'Zgłoszenia'!$S$5:$S$504,0)))&amp;IF(K752&gt;1," (+"&amp;(K752-1)&amp;")",""))</f>
        <v/>
      </c>
      <c r="M752" s="63" t="n">
        <v>10</v>
      </c>
      <c r="N752" s="2" t="n"/>
      <c r="O752" s="2" t="n"/>
    </row>
    <row r="753">
      <c r="A753" s="62">
        <f>IF('10'!$C$1="","",'10'!$C$1)</f>
        <v/>
      </c>
      <c r="B753" s="63">
        <f>Ustawienia!$A$8&amp;""</f>
        <v/>
      </c>
      <c r="C753" s="63">
        <f>Ustawienia!$A$18&amp;""</f>
        <v/>
      </c>
      <c r="D753" s="63" t="n">
        <v>1</v>
      </c>
      <c r="E753" s="63">
        <f>IF('10'!B32="","",TRIM('10'!B32&amp;""))</f>
        <v/>
      </c>
      <c r="F753" s="63">
        <f>IF('10'!C32="","",'10'!C32)</f>
        <v/>
      </c>
      <c r="G753" s="63">
        <f>'10'!D32&amp;""</f>
        <v/>
      </c>
      <c r="H753" s="63">
        <f>IF(OR(A753="",F753=""),"",F753&amp;"|"&amp;A753)</f>
        <v/>
      </c>
      <c r="I753" s="63">
        <f>IF(AND(H753&lt;&gt;"",OR('Historia wózka'!$B$4="",F753='Historia wózka'!$B$4),A753&gt;='Historia wózka'!$B$5,A753&lt;='Historia wózka'!$B$6),A753+0.9+(5000-ROW())/10000000,0)</f>
        <v/>
      </c>
      <c r="J753" s="63">
        <f>Ustawienia!$B$8&amp;""</f>
        <v/>
      </c>
      <c r="K753" s="63">
        <f>IF(H753="","",COUNTIFS('Zgłoszenia'!$B$5:$B$504,F753,'Zgłoszenia'!$D$5:$D$504,"&gt;="&amp;A753,'Zgłoszenia'!$D$5:$D$504,"&lt;="&amp;(A753+1)))</f>
        <v/>
      </c>
      <c r="L753" s="63">
        <f>IF(OR(H753="",K753=0),"—",IF(ISNUMBER(MATCH(H753,'Zgłoszenia'!$S$5:$S$504,0)),RIGHT("0"&amp;DAY(A753),2)&amp;"."&amp;RIGHT("0"&amp;MONTH(A753),2)&amp;"."&amp;YEAR(A753)&amp;": "&amp;INDEX('Zgłoszenia'!$H$5:$H$504,MATCH(H753,'Zgłoszenia'!$S$5:$S$504,0)),RIGHT("0"&amp;DAY((A753+1)),2)&amp;"."&amp;RIGHT("0"&amp;MONTH((A753+1)),2)&amp;"."&amp;YEAR((A753+1))&amp;": "&amp;INDEX('Zgłoszenia'!$H$5:$H$504,MATCH(F753&amp;"|"&amp;(A753+1),'Zgłoszenia'!$S$5:$S$504,0)))&amp;IF(K753&gt;1," (+"&amp;(K753-1)&amp;")",""))</f>
        <v/>
      </c>
      <c r="M753" s="63" t="n">
        <v>10</v>
      </c>
      <c r="N753" s="2" t="n"/>
      <c r="O753" s="2" t="n"/>
    </row>
    <row r="754">
      <c r="A754" s="62">
        <f>IF('10'!$C$1="","",'10'!$C$1)</f>
        <v/>
      </c>
      <c r="B754" s="63">
        <f>Ustawienia!$A$8&amp;""</f>
        <v/>
      </c>
      <c r="C754" s="63">
        <f>Ustawienia!$A$18&amp;""</f>
        <v/>
      </c>
      <c r="D754" s="63" t="n">
        <v>2</v>
      </c>
      <c r="E754" s="63">
        <f>IF('10'!B33="","",TRIM('10'!B33&amp;""))</f>
        <v/>
      </c>
      <c r="F754" s="63">
        <f>IF('10'!C33="","",'10'!C33)</f>
        <v/>
      </c>
      <c r="G754" s="63">
        <f>'10'!D33&amp;""</f>
        <v/>
      </c>
      <c r="H754" s="63">
        <f>IF(OR(A754="",F754=""),"",F754&amp;"|"&amp;A754)</f>
        <v/>
      </c>
      <c r="I754" s="63">
        <f>IF(AND(H754&lt;&gt;"",OR('Historia wózka'!$B$4="",F754='Historia wózka'!$B$4),A754&gt;='Historia wózka'!$B$5,A754&lt;='Historia wózka'!$B$6),A754+0.9+(5000-ROW())/10000000,0)</f>
        <v/>
      </c>
      <c r="J754" s="63">
        <f>Ustawienia!$B$8&amp;""</f>
        <v/>
      </c>
      <c r="K754" s="63">
        <f>IF(H754="","",COUNTIFS('Zgłoszenia'!$B$5:$B$504,F754,'Zgłoszenia'!$D$5:$D$504,"&gt;="&amp;A754,'Zgłoszenia'!$D$5:$D$504,"&lt;="&amp;(A754+1)))</f>
        <v/>
      </c>
      <c r="L754" s="63">
        <f>IF(OR(H754="",K754=0),"—",IF(ISNUMBER(MATCH(H754,'Zgłoszenia'!$S$5:$S$504,0)),RIGHT("0"&amp;DAY(A754),2)&amp;"."&amp;RIGHT("0"&amp;MONTH(A754),2)&amp;"."&amp;YEAR(A754)&amp;": "&amp;INDEX('Zgłoszenia'!$H$5:$H$504,MATCH(H754,'Zgłoszenia'!$S$5:$S$504,0)),RIGHT("0"&amp;DAY((A754+1)),2)&amp;"."&amp;RIGHT("0"&amp;MONTH((A754+1)),2)&amp;"."&amp;YEAR((A754+1))&amp;": "&amp;INDEX('Zgłoszenia'!$H$5:$H$504,MATCH(F754&amp;"|"&amp;(A754+1),'Zgłoszenia'!$S$5:$S$504,0)))&amp;IF(K754&gt;1," (+"&amp;(K754-1)&amp;")",""))</f>
        <v/>
      </c>
      <c r="M754" s="63" t="n">
        <v>10</v>
      </c>
      <c r="N754" s="2" t="n"/>
      <c r="O754" s="2" t="n"/>
    </row>
    <row r="755">
      <c r="A755" s="62">
        <f>IF('10'!$C$1="","",'10'!$C$1)</f>
        <v/>
      </c>
      <c r="B755" s="63">
        <f>Ustawienia!$A$8&amp;""</f>
        <v/>
      </c>
      <c r="C755" s="63">
        <f>Ustawienia!$A$18&amp;""</f>
        <v/>
      </c>
      <c r="D755" s="63" t="n">
        <v>3</v>
      </c>
      <c r="E755" s="63">
        <f>IF('10'!B34="","",TRIM('10'!B34&amp;""))</f>
        <v/>
      </c>
      <c r="F755" s="63">
        <f>IF('10'!C34="","",'10'!C34)</f>
        <v/>
      </c>
      <c r="G755" s="63">
        <f>'10'!D34&amp;""</f>
        <v/>
      </c>
      <c r="H755" s="63">
        <f>IF(OR(A755="",F755=""),"",F755&amp;"|"&amp;A755)</f>
        <v/>
      </c>
      <c r="I755" s="63">
        <f>IF(AND(H755&lt;&gt;"",OR('Historia wózka'!$B$4="",F755='Historia wózka'!$B$4),A755&gt;='Historia wózka'!$B$5,A755&lt;='Historia wózka'!$B$6),A755+0.9+(5000-ROW())/10000000,0)</f>
        <v/>
      </c>
      <c r="J755" s="63">
        <f>Ustawienia!$B$8&amp;""</f>
        <v/>
      </c>
      <c r="K755" s="63">
        <f>IF(H755="","",COUNTIFS('Zgłoszenia'!$B$5:$B$504,F755,'Zgłoszenia'!$D$5:$D$504,"&gt;="&amp;A755,'Zgłoszenia'!$D$5:$D$504,"&lt;="&amp;(A755+1)))</f>
        <v/>
      </c>
      <c r="L755" s="63">
        <f>IF(OR(H755="",K755=0),"—",IF(ISNUMBER(MATCH(H755,'Zgłoszenia'!$S$5:$S$504,0)),RIGHT("0"&amp;DAY(A755),2)&amp;"."&amp;RIGHT("0"&amp;MONTH(A755),2)&amp;"."&amp;YEAR(A755)&amp;": "&amp;INDEX('Zgłoszenia'!$H$5:$H$504,MATCH(H755,'Zgłoszenia'!$S$5:$S$504,0)),RIGHT("0"&amp;DAY((A755+1)),2)&amp;"."&amp;RIGHT("0"&amp;MONTH((A755+1)),2)&amp;"."&amp;YEAR((A755+1))&amp;": "&amp;INDEX('Zgłoszenia'!$H$5:$H$504,MATCH(F755&amp;"|"&amp;(A755+1),'Zgłoszenia'!$S$5:$S$504,0)))&amp;IF(K755&gt;1," (+"&amp;(K755-1)&amp;")",""))</f>
        <v/>
      </c>
      <c r="M755" s="63" t="n">
        <v>10</v>
      </c>
      <c r="N755" s="2" t="n"/>
      <c r="O755" s="2" t="n"/>
    </row>
    <row r="756">
      <c r="A756" s="62">
        <f>IF('10'!$C$1="","",'10'!$C$1)</f>
        <v/>
      </c>
      <c r="B756" s="63">
        <f>Ustawienia!$A$8&amp;""</f>
        <v/>
      </c>
      <c r="C756" s="63">
        <f>Ustawienia!$A$18&amp;""</f>
        <v/>
      </c>
      <c r="D756" s="63" t="n">
        <v>4</v>
      </c>
      <c r="E756" s="63">
        <f>IF('10'!B35="","",TRIM('10'!B35&amp;""))</f>
        <v/>
      </c>
      <c r="F756" s="63">
        <f>IF('10'!C35="","",'10'!C35)</f>
        <v/>
      </c>
      <c r="G756" s="63">
        <f>'10'!D35&amp;""</f>
        <v/>
      </c>
      <c r="H756" s="63">
        <f>IF(OR(A756="",F756=""),"",F756&amp;"|"&amp;A756)</f>
        <v/>
      </c>
      <c r="I756" s="63">
        <f>IF(AND(H756&lt;&gt;"",OR('Historia wózka'!$B$4="",F756='Historia wózka'!$B$4),A756&gt;='Historia wózka'!$B$5,A756&lt;='Historia wózka'!$B$6),A756+0.9+(5000-ROW())/10000000,0)</f>
        <v/>
      </c>
      <c r="J756" s="63">
        <f>Ustawienia!$B$8&amp;""</f>
        <v/>
      </c>
      <c r="K756" s="63">
        <f>IF(H756="","",COUNTIFS('Zgłoszenia'!$B$5:$B$504,F756,'Zgłoszenia'!$D$5:$D$504,"&gt;="&amp;A756,'Zgłoszenia'!$D$5:$D$504,"&lt;="&amp;(A756+1)))</f>
        <v/>
      </c>
      <c r="L756" s="63">
        <f>IF(OR(H756="",K756=0),"—",IF(ISNUMBER(MATCH(H756,'Zgłoszenia'!$S$5:$S$504,0)),RIGHT("0"&amp;DAY(A756),2)&amp;"."&amp;RIGHT("0"&amp;MONTH(A756),2)&amp;"."&amp;YEAR(A756)&amp;": "&amp;INDEX('Zgłoszenia'!$H$5:$H$504,MATCH(H756,'Zgłoszenia'!$S$5:$S$504,0)),RIGHT("0"&amp;DAY((A756+1)),2)&amp;"."&amp;RIGHT("0"&amp;MONTH((A756+1)),2)&amp;"."&amp;YEAR((A756+1))&amp;": "&amp;INDEX('Zgłoszenia'!$H$5:$H$504,MATCH(F756&amp;"|"&amp;(A756+1),'Zgłoszenia'!$S$5:$S$504,0)))&amp;IF(K756&gt;1," (+"&amp;(K756-1)&amp;")",""))</f>
        <v/>
      </c>
      <c r="M756" s="63" t="n">
        <v>10</v>
      </c>
      <c r="N756" s="2" t="n"/>
      <c r="O756" s="2" t="n"/>
    </row>
    <row r="757">
      <c r="A757" s="62">
        <f>IF('10'!$C$1="","",'10'!$C$1)</f>
        <v/>
      </c>
      <c r="B757" s="63">
        <f>Ustawienia!$A$8&amp;""</f>
        <v/>
      </c>
      <c r="C757" s="63">
        <f>Ustawienia!$A$18&amp;""</f>
        <v/>
      </c>
      <c r="D757" s="63" t="n">
        <v>5</v>
      </c>
      <c r="E757" s="63">
        <f>IF('10'!B36="","",TRIM('10'!B36&amp;""))</f>
        <v/>
      </c>
      <c r="F757" s="63">
        <f>IF('10'!C36="","",'10'!C36)</f>
        <v/>
      </c>
      <c r="G757" s="63">
        <f>'10'!D36&amp;""</f>
        <v/>
      </c>
      <c r="H757" s="63">
        <f>IF(OR(A757="",F757=""),"",F757&amp;"|"&amp;A757)</f>
        <v/>
      </c>
      <c r="I757" s="63">
        <f>IF(AND(H757&lt;&gt;"",OR('Historia wózka'!$B$4="",F757='Historia wózka'!$B$4),A757&gt;='Historia wózka'!$B$5,A757&lt;='Historia wózka'!$B$6),A757+0.9+(5000-ROW())/10000000,0)</f>
        <v/>
      </c>
      <c r="J757" s="63">
        <f>Ustawienia!$B$8&amp;""</f>
        <v/>
      </c>
      <c r="K757" s="63">
        <f>IF(H757="","",COUNTIFS('Zgłoszenia'!$B$5:$B$504,F757,'Zgłoszenia'!$D$5:$D$504,"&gt;="&amp;A757,'Zgłoszenia'!$D$5:$D$504,"&lt;="&amp;(A757+1)))</f>
        <v/>
      </c>
      <c r="L757" s="63">
        <f>IF(OR(H757="",K757=0),"—",IF(ISNUMBER(MATCH(H757,'Zgłoszenia'!$S$5:$S$504,0)),RIGHT("0"&amp;DAY(A757),2)&amp;"."&amp;RIGHT("0"&amp;MONTH(A757),2)&amp;"."&amp;YEAR(A757)&amp;": "&amp;INDEX('Zgłoszenia'!$H$5:$H$504,MATCH(H757,'Zgłoszenia'!$S$5:$S$504,0)),RIGHT("0"&amp;DAY((A757+1)),2)&amp;"."&amp;RIGHT("0"&amp;MONTH((A757+1)),2)&amp;"."&amp;YEAR((A757+1))&amp;": "&amp;INDEX('Zgłoszenia'!$H$5:$H$504,MATCH(F757&amp;"|"&amp;(A757+1),'Zgłoszenia'!$S$5:$S$504,0)))&amp;IF(K757&gt;1," (+"&amp;(K757-1)&amp;")",""))</f>
        <v/>
      </c>
      <c r="M757" s="63" t="n">
        <v>10</v>
      </c>
      <c r="N757" s="2" t="n"/>
      <c r="O757" s="2" t="n"/>
    </row>
    <row r="758">
      <c r="A758" s="62">
        <f>IF('10'!$C$1="","",'10'!$C$1)</f>
        <v/>
      </c>
      <c r="B758" s="63">
        <f>Ustawienia!$A$9&amp;""</f>
        <v/>
      </c>
      <c r="C758" s="63">
        <f>Ustawienia!$A$14&amp;""</f>
        <v/>
      </c>
      <c r="D758" s="63" t="n">
        <v>1</v>
      </c>
      <c r="E758" s="63">
        <f>IF('10'!F6="","",TRIM('10'!F6&amp;""))</f>
        <v/>
      </c>
      <c r="F758" s="63">
        <f>IF('10'!G6="","",'10'!G6)</f>
        <v/>
      </c>
      <c r="G758" s="63">
        <f>'10'!H6&amp;""</f>
        <v/>
      </c>
      <c r="H758" s="63">
        <f>IF(OR(A758="",F758=""),"",F758&amp;"|"&amp;A758)</f>
        <v/>
      </c>
      <c r="I758" s="63">
        <f>IF(AND(H758&lt;&gt;"",OR('Historia wózka'!$B$4="",F758='Historia wózka'!$B$4),A758&gt;='Historia wózka'!$B$5,A758&lt;='Historia wózka'!$B$6),A758+0.8+(5000-ROW())/10000000,0)</f>
        <v/>
      </c>
      <c r="J758" s="63">
        <f>Ustawienia!$B$9&amp;""</f>
        <v/>
      </c>
      <c r="K758" s="63">
        <f>IF(H758="","",COUNTIFS('Zgłoszenia'!$B$5:$B$504,F758,'Zgłoszenia'!$D$5:$D$504,"&gt;="&amp;A758,'Zgłoszenia'!$D$5:$D$504,"&lt;="&amp;(A758+1)))</f>
        <v/>
      </c>
      <c r="L758" s="63">
        <f>IF(OR(H758="",K758=0),"—",IF(ISNUMBER(MATCH(H758,'Zgłoszenia'!$S$5:$S$504,0)),RIGHT("0"&amp;DAY(A758),2)&amp;"."&amp;RIGHT("0"&amp;MONTH(A758),2)&amp;"."&amp;YEAR(A758)&amp;": "&amp;INDEX('Zgłoszenia'!$H$5:$H$504,MATCH(H758,'Zgłoszenia'!$S$5:$S$504,0)),RIGHT("0"&amp;DAY((A758+1)),2)&amp;"."&amp;RIGHT("0"&amp;MONTH((A758+1)),2)&amp;"."&amp;YEAR((A758+1))&amp;": "&amp;INDEX('Zgłoszenia'!$H$5:$H$504,MATCH(F758&amp;"|"&amp;(A758+1),'Zgłoszenia'!$S$5:$S$504,0)))&amp;IF(K758&gt;1," (+"&amp;(K758-1)&amp;")",""))</f>
        <v/>
      </c>
      <c r="M758" s="63" t="n">
        <v>10</v>
      </c>
      <c r="N758" s="2" t="n"/>
      <c r="O758" s="2" t="n"/>
    </row>
    <row r="759">
      <c r="A759" s="62">
        <f>IF('10'!$C$1="","",'10'!$C$1)</f>
        <v/>
      </c>
      <c r="B759" s="63">
        <f>Ustawienia!$A$9&amp;""</f>
        <v/>
      </c>
      <c r="C759" s="63">
        <f>Ustawienia!$A$14&amp;""</f>
        <v/>
      </c>
      <c r="D759" s="63" t="n">
        <v>2</v>
      </c>
      <c r="E759" s="63">
        <f>IF('10'!F7="","",TRIM('10'!F7&amp;""))</f>
        <v/>
      </c>
      <c r="F759" s="63">
        <f>IF('10'!G7="","",'10'!G7)</f>
        <v/>
      </c>
      <c r="G759" s="63">
        <f>'10'!H7&amp;""</f>
        <v/>
      </c>
      <c r="H759" s="63">
        <f>IF(OR(A759="",F759=""),"",F759&amp;"|"&amp;A759)</f>
        <v/>
      </c>
      <c r="I759" s="63">
        <f>IF(AND(H759&lt;&gt;"",OR('Historia wózka'!$B$4="",F759='Historia wózka'!$B$4),A759&gt;='Historia wózka'!$B$5,A759&lt;='Historia wózka'!$B$6),A759+0.8+(5000-ROW())/10000000,0)</f>
        <v/>
      </c>
      <c r="J759" s="63">
        <f>Ustawienia!$B$9&amp;""</f>
        <v/>
      </c>
      <c r="K759" s="63">
        <f>IF(H759="","",COUNTIFS('Zgłoszenia'!$B$5:$B$504,F759,'Zgłoszenia'!$D$5:$D$504,"&gt;="&amp;A759,'Zgłoszenia'!$D$5:$D$504,"&lt;="&amp;(A759+1)))</f>
        <v/>
      </c>
      <c r="L759" s="63">
        <f>IF(OR(H759="",K759=0),"—",IF(ISNUMBER(MATCH(H759,'Zgłoszenia'!$S$5:$S$504,0)),RIGHT("0"&amp;DAY(A759),2)&amp;"."&amp;RIGHT("0"&amp;MONTH(A759),2)&amp;"."&amp;YEAR(A759)&amp;": "&amp;INDEX('Zgłoszenia'!$H$5:$H$504,MATCH(H759,'Zgłoszenia'!$S$5:$S$504,0)),RIGHT("0"&amp;DAY((A759+1)),2)&amp;"."&amp;RIGHT("0"&amp;MONTH((A759+1)),2)&amp;"."&amp;YEAR((A759+1))&amp;": "&amp;INDEX('Zgłoszenia'!$H$5:$H$504,MATCH(F759&amp;"|"&amp;(A759+1),'Zgłoszenia'!$S$5:$S$504,0)))&amp;IF(K759&gt;1," (+"&amp;(K759-1)&amp;")",""))</f>
        <v/>
      </c>
      <c r="M759" s="63" t="n">
        <v>10</v>
      </c>
      <c r="N759" s="2" t="n"/>
      <c r="O759" s="2" t="n"/>
    </row>
    <row r="760">
      <c r="A760" s="62">
        <f>IF('10'!$C$1="","",'10'!$C$1)</f>
        <v/>
      </c>
      <c r="B760" s="63">
        <f>Ustawienia!$A$9&amp;""</f>
        <v/>
      </c>
      <c r="C760" s="63">
        <f>Ustawienia!$A$14&amp;""</f>
        <v/>
      </c>
      <c r="D760" s="63" t="n">
        <v>3</v>
      </c>
      <c r="E760" s="63">
        <f>IF('10'!F8="","",TRIM('10'!F8&amp;""))</f>
        <v/>
      </c>
      <c r="F760" s="63">
        <f>IF('10'!G8="","",'10'!G8)</f>
        <v/>
      </c>
      <c r="G760" s="63">
        <f>'10'!H8&amp;""</f>
        <v/>
      </c>
      <c r="H760" s="63">
        <f>IF(OR(A760="",F760=""),"",F760&amp;"|"&amp;A760)</f>
        <v/>
      </c>
      <c r="I760" s="63">
        <f>IF(AND(H760&lt;&gt;"",OR('Historia wózka'!$B$4="",F760='Historia wózka'!$B$4),A760&gt;='Historia wózka'!$B$5,A760&lt;='Historia wózka'!$B$6),A760+0.8+(5000-ROW())/10000000,0)</f>
        <v/>
      </c>
      <c r="J760" s="63">
        <f>Ustawienia!$B$9&amp;""</f>
        <v/>
      </c>
      <c r="K760" s="63">
        <f>IF(H760="","",COUNTIFS('Zgłoszenia'!$B$5:$B$504,F760,'Zgłoszenia'!$D$5:$D$504,"&gt;="&amp;A760,'Zgłoszenia'!$D$5:$D$504,"&lt;="&amp;(A760+1)))</f>
        <v/>
      </c>
      <c r="L760" s="63">
        <f>IF(OR(H760="",K760=0),"—",IF(ISNUMBER(MATCH(H760,'Zgłoszenia'!$S$5:$S$504,0)),RIGHT("0"&amp;DAY(A760),2)&amp;"."&amp;RIGHT("0"&amp;MONTH(A760),2)&amp;"."&amp;YEAR(A760)&amp;": "&amp;INDEX('Zgłoszenia'!$H$5:$H$504,MATCH(H760,'Zgłoszenia'!$S$5:$S$504,0)),RIGHT("0"&amp;DAY((A760+1)),2)&amp;"."&amp;RIGHT("0"&amp;MONTH((A760+1)),2)&amp;"."&amp;YEAR((A760+1))&amp;": "&amp;INDEX('Zgłoszenia'!$H$5:$H$504,MATCH(F760&amp;"|"&amp;(A760+1),'Zgłoszenia'!$S$5:$S$504,0)))&amp;IF(K760&gt;1," (+"&amp;(K760-1)&amp;")",""))</f>
        <v/>
      </c>
      <c r="M760" s="63" t="n">
        <v>10</v>
      </c>
      <c r="N760" s="2" t="n"/>
      <c r="O760" s="2" t="n"/>
    </row>
    <row r="761">
      <c r="A761" s="62">
        <f>IF('10'!$C$1="","",'10'!$C$1)</f>
        <v/>
      </c>
      <c r="B761" s="63">
        <f>Ustawienia!$A$9&amp;""</f>
        <v/>
      </c>
      <c r="C761" s="63">
        <f>Ustawienia!$A$14&amp;""</f>
        <v/>
      </c>
      <c r="D761" s="63" t="n">
        <v>4</v>
      </c>
      <c r="E761" s="63">
        <f>IF('10'!F9="","",TRIM('10'!F9&amp;""))</f>
        <v/>
      </c>
      <c r="F761" s="63">
        <f>IF('10'!G9="","",'10'!G9)</f>
        <v/>
      </c>
      <c r="G761" s="63">
        <f>'10'!H9&amp;""</f>
        <v/>
      </c>
      <c r="H761" s="63">
        <f>IF(OR(A761="",F761=""),"",F761&amp;"|"&amp;A761)</f>
        <v/>
      </c>
      <c r="I761" s="63">
        <f>IF(AND(H761&lt;&gt;"",OR('Historia wózka'!$B$4="",F761='Historia wózka'!$B$4),A761&gt;='Historia wózka'!$B$5,A761&lt;='Historia wózka'!$B$6),A761+0.8+(5000-ROW())/10000000,0)</f>
        <v/>
      </c>
      <c r="J761" s="63">
        <f>Ustawienia!$B$9&amp;""</f>
        <v/>
      </c>
      <c r="K761" s="63">
        <f>IF(H761="","",COUNTIFS('Zgłoszenia'!$B$5:$B$504,F761,'Zgłoszenia'!$D$5:$D$504,"&gt;="&amp;A761,'Zgłoszenia'!$D$5:$D$504,"&lt;="&amp;(A761+1)))</f>
        <v/>
      </c>
      <c r="L761" s="63">
        <f>IF(OR(H761="",K761=0),"—",IF(ISNUMBER(MATCH(H761,'Zgłoszenia'!$S$5:$S$504,0)),RIGHT("0"&amp;DAY(A761),2)&amp;"."&amp;RIGHT("0"&amp;MONTH(A761),2)&amp;"."&amp;YEAR(A761)&amp;": "&amp;INDEX('Zgłoszenia'!$H$5:$H$504,MATCH(H761,'Zgłoszenia'!$S$5:$S$504,0)),RIGHT("0"&amp;DAY((A761+1)),2)&amp;"."&amp;RIGHT("0"&amp;MONTH((A761+1)),2)&amp;"."&amp;YEAR((A761+1))&amp;": "&amp;INDEX('Zgłoszenia'!$H$5:$H$504,MATCH(F761&amp;"|"&amp;(A761+1),'Zgłoszenia'!$S$5:$S$504,0)))&amp;IF(K761&gt;1," (+"&amp;(K761-1)&amp;")",""))</f>
        <v/>
      </c>
      <c r="M761" s="63" t="n">
        <v>10</v>
      </c>
      <c r="N761" s="2" t="n"/>
      <c r="O761" s="2" t="n"/>
    </row>
    <row r="762">
      <c r="A762" s="62">
        <f>IF('10'!$C$1="","",'10'!$C$1)</f>
        <v/>
      </c>
      <c r="B762" s="63">
        <f>Ustawienia!$A$9&amp;""</f>
        <v/>
      </c>
      <c r="C762" s="63">
        <f>Ustawienia!$A$14&amp;""</f>
        <v/>
      </c>
      <c r="D762" s="63" t="n">
        <v>5</v>
      </c>
      <c r="E762" s="63">
        <f>IF('10'!F10="","",TRIM('10'!F10&amp;""))</f>
        <v/>
      </c>
      <c r="F762" s="63">
        <f>IF('10'!G10="","",'10'!G10)</f>
        <v/>
      </c>
      <c r="G762" s="63">
        <f>'10'!H10&amp;""</f>
        <v/>
      </c>
      <c r="H762" s="63">
        <f>IF(OR(A762="",F762=""),"",F762&amp;"|"&amp;A762)</f>
        <v/>
      </c>
      <c r="I762" s="63">
        <f>IF(AND(H762&lt;&gt;"",OR('Historia wózka'!$B$4="",F762='Historia wózka'!$B$4),A762&gt;='Historia wózka'!$B$5,A762&lt;='Historia wózka'!$B$6),A762+0.8+(5000-ROW())/10000000,0)</f>
        <v/>
      </c>
      <c r="J762" s="63">
        <f>Ustawienia!$B$9&amp;""</f>
        <v/>
      </c>
      <c r="K762" s="63">
        <f>IF(H762="","",COUNTIFS('Zgłoszenia'!$B$5:$B$504,F762,'Zgłoszenia'!$D$5:$D$504,"&gt;="&amp;A762,'Zgłoszenia'!$D$5:$D$504,"&lt;="&amp;(A762+1)))</f>
        <v/>
      </c>
      <c r="L762" s="63">
        <f>IF(OR(H762="",K762=0),"—",IF(ISNUMBER(MATCH(H762,'Zgłoszenia'!$S$5:$S$504,0)),RIGHT("0"&amp;DAY(A762),2)&amp;"."&amp;RIGHT("0"&amp;MONTH(A762),2)&amp;"."&amp;YEAR(A762)&amp;": "&amp;INDEX('Zgłoszenia'!$H$5:$H$504,MATCH(H762,'Zgłoszenia'!$S$5:$S$504,0)),RIGHT("0"&amp;DAY((A762+1)),2)&amp;"."&amp;RIGHT("0"&amp;MONTH((A762+1)),2)&amp;"."&amp;YEAR((A762+1))&amp;": "&amp;INDEX('Zgłoszenia'!$H$5:$H$504,MATCH(F762&amp;"|"&amp;(A762+1),'Zgłoszenia'!$S$5:$S$504,0)))&amp;IF(K762&gt;1," (+"&amp;(K762-1)&amp;")",""))</f>
        <v/>
      </c>
      <c r="M762" s="63" t="n">
        <v>10</v>
      </c>
      <c r="N762" s="2" t="n"/>
      <c r="O762" s="2" t="n"/>
    </row>
    <row r="763">
      <c r="A763" s="62">
        <f>IF('10'!$C$1="","",'10'!$C$1)</f>
        <v/>
      </c>
      <c r="B763" s="63">
        <f>Ustawienia!$A$9&amp;""</f>
        <v/>
      </c>
      <c r="C763" s="63">
        <f>Ustawienia!$A$14&amp;""</f>
        <v/>
      </c>
      <c r="D763" s="63" t="n">
        <v>6</v>
      </c>
      <c r="E763" s="63">
        <f>IF('10'!F11="","",TRIM('10'!F11&amp;""))</f>
        <v/>
      </c>
      <c r="F763" s="63">
        <f>IF('10'!G11="","",'10'!G11)</f>
        <v/>
      </c>
      <c r="G763" s="63">
        <f>'10'!H11&amp;""</f>
        <v/>
      </c>
      <c r="H763" s="63">
        <f>IF(OR(A763="",F763=""),"",F763&amp;"|"&amp;A763)</f>
        <v/>
      </c>
      <c r="I763" s="63">
        <f>IF(AND(H763&lt;&gt;"",OR('Historia wózka'!$B$4="",F763='Historia wózka'!$B$4),A763&gt;='Historia wózka'!$B$5,A763&lt;='Historia wózka'!$B$6),A763+0.8+(5000-ROW())/10000000,0)</f>
        <v/>
      </c>
      <c r="J763" s="63">
        <f>Ustawienia!$B$9&amp;""</f>
        <v/>
      </c>
      <c r="K763" s="63">
        <f>IF(H763="","",COUNTIFS('Zgłoszenia'!$B$5:$B$504,F763,'Zgłoszenia'!$D$5:$D$504,"&gt;="&amp;A763,'Zgłoszenia'!$D$5:$D$504,"&lt;="&amp;(A763+1)))</f>
        <v/>
      </c>
      <c r="L763" s="63">
        <f>IF(OR(H763="",K763=0),"—",IF(ISNUMBER(MATCH(H763,'Zgłoszenia'!$S$5:$S$504,0)),RIGHT("0"&amp;DAY(A763),2)&amp;"."&amp;RIGHT("0"&amp;MONTH(A763),2)&amp;"."&amp;YEAR(A763)&amp;": "&amp;INDEX('Zgłoszenia'!$H$5:$H$504,MATCH(H763,'Zgłoszenia'!$S$5:$S$504,0)),RIGHT("0"&amp;DAY((A763+1)),2)&amp;"."&amp;RIGHT("0"&amp;MONTH((A763+1)),2)&amp;"."&amp;YEAR((A763+1))&amp;": "&amp;INDEX('Zgłoszenia'!$H$5:$H$504,MATCH(F763&amp;"|"&amp;(A763+1),'Zgłoszenia'!$S$5:$S$504,0)))&amp;IF(K763&gt;1," (+"&amp;(K763-1)&amp;")",""))</f>
        <v/>
      </c>
      <c r="M763" s="63" t="n">
        <v>10</v>
      </c>
      <c r="N763" s="2" t="n"/>
      <c r="O763" s="2" t="n"/>
    </row>
    <row r="764">
      <c r="A764" s="62">
        <f>IF('10'!$C$1="","",'10'!$C$1)</f>
        <v/>
      </c>
      <c r="B764" s="63">
        <f>Ustawienia!$A$9&amp;""</f>
        <v/>
      </c>
      <c r="C764" s="63">
        <f>Ustawienia!$A$15&amp;""</f>
        <v/>
      </c>
      <c r="D764" s="63" t="n">
        <v>1</v>
      </c>
      <c r="E764" s="63">
        <f>IF('10'!F13="","",TRIM('10'!F13&amp;""))</f>
        <v/>
      </c>
      <c r="F764" s="63">
        <f>IF('10'!G13="","",'10'!G13)</f>
        <v/>
      </c>
      <c r="G764" s="63">
        <f>'10'!H13&amp;""</f>
        <v/>
      </c>
      <c r="H764" s="63">
        <f>IF(OR(A764="",F764=""),"",F764&amp;"|"&amp;A764)</f>
        <v/>
      </c>
      <c r="I764" s="63">
        <f>IF(AND(H764&lt;&gt;"",OR('Historia wózka'!$B$4="",F764='Historia wózka'!$B$4),A764&gt;='Historia wózka'!$B$5,A764&lt;='Historia wózka'!$B$6),A764+0.8+(5000-ROW())/10000000,0)</f>
        <v/>
      </c>
      <c r="J764" s="63">
        <f>Ustawienia!$B$9&amp;""</f>
        <v/>
      </c>
      <c r="K764" s="63">
        <f>IF(H764="","",COUNTIFS('Zgłoszenia'!$B$5:$B$504,F764,'Zgłoszenia'!$D$5:$D$504,"&gt;="&amp;A764,'Zgłoszenia'!$D$5:$D$504,"&lt;="&amp;(A764+1)))</f>
        <v/>
      </c>
      <c r="L764" s="63">
        <f>IF(OR(H764="",K764=0),"—",IF(ISNUMBER(MATCH(H764,'Zgłoszenia'!$S$5:$S$504,0)),RIGHT("0"&amp;DAY(A764),2)&amp;"."&amp;RIGHT("0"&amp;MONTH(A764),2)&amp;"."&amp;YEAR(A764)&amp;": "&amp;INDEX('Zgłoszenia'!$H$5:$H$504,MATCH(H764,'Zgłoszenia'!$S$5:$S$504,0)),RIGHT("0"&amp;DAY((A764+1)),2)&amp;"."&amp;RIGHT("0"&amp;MONTH((A764+1)),2)&amp;"."&amp;YEAR((A764+1))&amp;": "&amp;INDEX('Zgłoszenia'!$H$5:$H$504,MATCH(F764&amp;"|"&amp;(A764+1),'Zgłoszenia'!$S$5:$S$504,0)))&amp;IF(K764&gt;1," (+"&amp;(K764-1)&amp;")",""))</f>
        <v/>
      </c>
      <c r="M764" s="63" t="n">
        <v>10</v>
      </c>
      <c r="N764" s="2" t="n"/>
      <c r="O764" s="2" t="n"/>
    </row>
    <row r="765">
      <c r="A765" s="62">
        <f>IF('10'!$C$1="","",'10'!$C$1)</f>
        <v/>
      </c>
      <c r="B765" s="63">
        <f>Ustawienia!$A$9&amp;""</f>
        <v/>
      </c>
      <c r="C765" s="63">
        <f>Ustawienia!$A$15&amp;""</f>
        <v/>
      </c>
      <c r="D765" s="63" t="n">
        <v>2</v>
      </c>
      <c r="E765" s="63">
        <f>IF('10'!F14="","",TRIM('10'!F14&amp;""))</f>
        <v/>
      </c>
      <c r="F765" s="63">
        <f>IF('10'!G14="","",'10'!G14)</f>
        <v/>
      </c>
      <c r="G765" s="63">
        <f>'10'!H14&amp;""</f>
        <v/>
      </c>
      <c r="H765" s="63">
        <f>IF(OR(A765="",F765=""),"",F765&amp;"|"&amp;A765)</f>
        <v/>
      </c>
      <c r="I765" s="63">
        <f>IF(AND(H765&lt;&gt;"",OR('Historia wózka'!$B$4="",F765='Historia wózka'!$B$4),A765&gt;='Historia wózka'!$B$5,A765&lt;='Historia wózka'!$B$6),A765+0.8+(5000-ROW())/10000000,0)</f>
        <v/>
      </c>
      <c r="J765" s="63">
        <f>Ustawienia!$B$9&amp;""</f>
        <v/>
      </c>
      <c r="K765" s="63">
        <f>IF(H765="","",COUNTIFS('Zgłoszenia'!$B$5:$B$504,F765,'Zgłoszenia'!$D$5:$D$504,"&gt;="&amp;A765,'Zgłoszenia'!$D$5:$D$504,"&lt;="&amp;(A765+1)))</f>
        <v/>
      </c>
      <c r="L765" s="63">
        <f>IF(OR(H765="",K765=0),"—",IF(ISNUMBER(MATCH(H765,'Zgłoszenia'!$S$5:$S$504,0)),RIGHT("0"&amp;DAY(A765),2)&amp;"."&amp;RIGHT("0"&amp;MONTH(A765),2)&amp;"."&amp;YEAR(A765)&amp;": "&amp;INDEX('Zgłoszenia'!$H$5:$H$504,MATCH(H765,'Zgłoszenia'!$S$5:$S$504,0)),RIGHT("0"&amp;DAY((A765+1)),2)&amp;"."&amp;RIGHT("0"&amp;MONTH((A765+1)),2)&amp;"."&amp;YEAR((A765+1))&amp;": "&amp;INDEX('Zgłoszenia'!$H$5:$H$504,MATCH(F765&amp;"|"&amp;(A765+1),'Zgłoszenia'!$S$5:$S$504,0)))&amp;IF(K765&gt;1," (+"&amp;(K765-1)&amp;")",""))</f>
        <v/>
      </c>
      <c r="M765" s="63" t="n">
        <v>10</v>
      </c>
      <c r="N765" s="2" t="n"/>
      <c r="O765" s="2" t="n"/>
    </row>
    <row r="766">
      <c r="A766" s="62">
        <f>IF('10'!$C$1="","",'10'!$C$1)</f>
        <v/>
      </c>
      <c r="B766" s="63">
        <f>Ustawienia!$A$9&amp;""</f>
        <v/>
      </c>
      <c r="C766" s="63">
        <f>Ustawienia!$A$15&amp;""</f>
        <v/>
      </c>
      <c r="D766" s="63" t="n">
        <v>3</v>
      </c>
      <c r="E766" s="63">
        <f>IF('10'!F15="","",TRIM('10'!F15&amp;""))</f>
        <v/>
      </c>
      <c r="F766" s="63">
        <f>IF('10'!G15="","",'10'!G15)</f>
        <v/>
      </c>
      <c r="G766" s="63">
        <f>'10'!H15&amp;""</f>
        <v/>
      </c>
      <c r="H766" s="63">
        <f>IF(OR(A766="",F766=""),"",F766&amp;"|"&amp;A766)</f>
        <v/>
      </c>
      <c r="I766" s="63">
        <f>IF(AND(H766&lt;&gt;"",OR('Historia wózka'!$B$4="",F766='Historia wózka'!$B$4),A766&gt;='Historia wózka'!$B$5,A766&lt;='Historia wózka'!$B$6),A766+0.8+(5000-ROW())/10000000,0)</f>
        <v/>
      </c>
      <c r="J766" s="63">
        <f>Ustawienia!$B$9&amp;""</f>
        <v/>
      </c>
      <c r="K766" s="63">
        <f>IF(H766="","",COUNTIFS('Zgłoszenia'!$B$5:$B$504,F766,'Zgłoszenia'!$D$5:$D$504,"&gt;="&amp;A766,'Zgłoszenia'!$D$5:$D$504,"&lt;="&amp;(A766+1)))</f>
        <v/>
      </c>
      <c r="L766" s="63">
        <f>IF(OR(H766="",K766=0),"—",IF(ISNUMBER(MATCH(H766,'Zgłoszenia'!$S$5:$S$504,0)),RIGHT("0"&amp;DAY(A766),2)&amp;"."&amp;RIGHT("0"&amp;MONTH(A766),2)&amp;"."&amp;YEAR(A766)&amp;": "&amp;INDEX('Zgłoszenia'!$H$5:$H$504,MATCH(H766,'Zgłoszenia'!$S$5:$S$504,0)),RIGHT("0"&amp;DAY((A766+1)),2)&amp;"."&amp;RIGHT("0"&amp;MONTH((A766+1)),2)&amp;"."&amp;YEAR((A766+1))&amp;": "&amp;INDEX('Zgłoszenia'!$H$5:$H$504,MATCH(F766&amp;"|"&amp;(A766+1),'Zgłoszenia'!$S$5:$S$504,0)))&amp;IF(K766&gt;1," (+"&amp;(K766-1)&amp;")",""))</f>
        <v/>
      </c>
      <c r="M766" s="63" t="n">
        <v>10</v>
      </c>
      <c r="N766" s="2" t="n"/>
      <c r="O766" s="2" t="n"/>
    </row>
    <row r="767">
      <c r="A767" s="62">
        <f>IF('10'!$C$1="","",'10'!$C$1)</f>
        <v/>
      </c>
      <c r="B767" s="63">
        <f>Ustawienia!$A$9&amp;""</f>
        <v/>
      </c>
      <c r="C767" s="63">
        <f>Ustawienia!$A$15&amp;""</f>
        <v/>
      </c>
      <c r="D767" s="63" t="n">
        <v>4</v>
      </c>
      <c r="E767" s="63">
        <f>IF('10'!F16="","",TRIM('10'!F16&amp;""))</f>
        <v/>
      </c>
      <c r="F767" s="63">
        <f>IF('10'!G16="","",'10'!G16)</f>
        <v/>
      </c>
      <c r="G767" s="63">
        <f>'10'!H16&amp;""</f>
        <v/>
      </c>
      <c r="H767" s="63">
        <f>IF(OR(A767="",F767=""),"",F767&amp;"|"&amp;A767)</f>
        <v/>
      </c>
      <c r="I767" s="63">
        <f>IF(AND(H767&lt;&gt;"",OR('Historia wózka'!$B$4="",F767='Historia wózka'!$B$4),A767&gt;='Historia wózka'!$B$5,A767&lt;='Historia wózka'!$B$6),A767+0.8+(5000-ROW())/10000000,0)</f>
        <v/>
      </c>
      <c r="J767" s="63">
        <f>Ustawienia!$B$9&amp;""</f>
        <v/>
      </c>
      <c r="K767" s="63">
        <f>IF(H767="","",COUNTIFS('Zgłoszenia'!$B$5:$B$504,F767,'Zgłoszenia'!$D$5:$D$504,"&gt;="&amp;A767,'Zgłoszenia'!$D$5:$D$504,"&lt;="&amp;(A767+1)))</f>
        <v/>
      </c>
      <c r="L767" s="63">
        <f>IF(OR(H767="",K767=0),"—",IF(ISNUMBER(MATCH(H767,'Zgłoszenia'!$S$5:$S$504,0)),RIGHT("0"&amp;DAY(A767),2)&amp;"."&amp;RIGHT("0"&amp;MONTH(A767),2)&amp;"."&amp;YEAR(A767)&amp;": "&amp;INDEX('Zgłoszenia'!$H$5:$H$504,MATCH(H767,'Zgłoszenia'!$S$5:$S$504,0)),RIGHT("0"&amp;DAY((A767+1)),2)&amp;"."&amp;RIGHT("0"&amp;MONTH((A767+1)),2)&amp;"."&amp;YEAR((A767+1))&amp;": "&amp;INDEX('Zgłoszenia'!$H$5:$H$504,MATCH(F767&amp;"|"&amp;(A767+1),'Zgłoszenia'!$S$5:$S$504,0)))&amp;IF(K767&gt;1," (+"&amp;(K767-1)&amp;")",""))</f>
        <v/>
      </c>
      <c r="M767" s="63" t="n">
        <v>10</v>
      </c>
      <c r="N767" s="2" t="n"/>
      <c r="O767" s="2" t="n"/>
    </row>
    <row r="768">
      <c r="A768" s="62">
        <f>IF('10'!$C$1="","",'10'!$C$1)</f>
        <v/>
      </c>
      <c r="B768" s="63">
        <f>Ustawienia!$A$9&amp;""</f>
        <v/>
      </c>
      <c r="C768" s="63">
        <f>Ustawienia!$A$15&amp;""</f>
        <v/>
      </c>
      <c r="D768" s="63" t="n">
        <v>5</v>
      </c>
      <c r="E768" s="63">
        <f>IF('10'!F17="","",TRIM('10'!F17&amp;""))</f>
        <v/>
      </c>
      <c r="F768" s="63">
        <f>IF('10'!G17="","",'10'!G17)</f>
        <v/>
      </c>
      <c r="G768" s="63">
        <f>'10'!H17&amp;""</f>
        <v/>
      </c>
      <c r="H768" s="63">
        <f>IF(OR(A768="",F768=""),"",F768&amp;"|"&amp;A768)</f>
        <v/>
      </c>
      <c r="I768" s="63">
        <f>IF(AND(H768&lt;&gt;"",OR('Historia wózka'!$B$4="",F768='Historia wózka'!$B$4),A768&gt;='Historia wózka'!$B$5,A768&lt;='Historia wózka'!$B$6),A768+0.8+(5000-ROW())/10000000,0)</f>
        <v/>
      </c>
      <c r="J768" s="63">
        <f>Ustawienia!$B$9&amp;""</f>
        <v/>
      </c>
      <c r="K768" s="63">
        <f>IF(H768="","",COUNTIFS('Zgłoszenia'!$B$5:$B$504,F768,'Zgłoszenia'!$D$5:$D$504,"&gt;="&amp;A768,'Zgłoszenia'!$D$5:$D$504,"&lt;="&amp;(A768+1)))</f>
        <v/>
      </c>
      <c r="L768" s="63">
        <f>IF(OR(H768="",K768=0),"—",IF(ISNUMBER(MATCH(H768,'Zgłoszenia'!$S$5:$S$504,0)),RIGHT("0"&amp;DAY(A768),2)&amp;"."&amp;RIGHT("0"&amp;MONTH(A768),2)&amp;"."&amp;YEAR(A768)&amp;": "&amp;INDEX('Zgłoszenia'!$H$5:$H$504,MATCH(H768,'Zgłoszenia'!$S$5:$S$504,0)),RIGHT("0"&amp;DAY((A768+1)),2)&amp;"."&amp;RIGHT("0"&amp;MONTH((A768+1)),2)&amp;"."&amp;YEAR((A768+1))&amp;": "&amp;INDEX('Zgłoszenia'!$H$5:$H$504,MATCH(F768&amp;"|"&amp;(A768+1),'Zgłoszenia'!$S$5:$S$504,0)))&amp;IF(K768&gt;1," (+"&amp;(K768-1)&amp;")",""))</f>
        <v/>
      </c>
      <c r="M768" s="63" t="n">
        <v>10</v>
      </c>
      <c r="N768" s="2" t="n"/>
      <c r="O768" s="2" t="n"/>
    </row>
    <row r="769">
      <c r="A769" s="62">
        <f>IF('10'!$C$1="","",'10'!$C$1)</f>
        <v/>
      </c>
      <c r="B769" s="63">
        <f>Ustawienia!$A$9&amp;""</f>
        <v/>
      </c>
      <c r="C769" s="63">
        <f>Ustawienia!$A$15&amp;""</f>
        <v/>
      </c>
      <c r="D769" s="63" t="n">
        <v>6</v>
      </c>
      <c r="E769" s="63">
        <f>IF('10'!F18="","",TRIM('10'!F18&amp;""))</f>
        <v/>
      </c>
      <c r="F769" s="63">
        <f>IF('10'!G18="","",'10'!G18)</f>
        <v/>
      </c>
      <c r="G769" s="63">
        <f>'10'!H18&amp;""</f>
        <v/>
      </c>
      <c r="H769" s="63">
        <f>IF(OR(A769="",F769=""),"",F769&amp;"|"&amp;A769)</f>
        <v/>
      </c>
      <c r="I769" s="63">
        <f>IF(AND(H769&lt;&gt;"",OR('Historia wózka'!$B$4="",F769='Historia wózka'!$B$4),A769&gt;='Historia wózka'!$B$5,A769&lt;='Historia wózka'!$B$6),A769+0.8+(5000-ROW())/10000000,0)</f>
        <v/>
      </c>
      <c r="J769" s="63">
        <f>Ustawienia!$B$9&amp;""</f>
        <v/>
      </c>
      <c r="K769" s="63">
        <f>IF(H769="","",COUNTIFS('Zgłoszenia'!$B$5:$B$504,F769,'Zgłoszenia'!$D$5:$D$504,"&gt;="&amp;A769,'Zgłoszenia'!$D$5:$D$504,"&lt;="&amp;(A769+1)))</f>
        <v/>
      </c>
      <c r="L769" s="63">
        <f>IF(OR(H769="",K769=0),"—",IF(ISNUMBER(MATCH(H769,'Zgłoszenia'!$S$5:$S$504,0)),RIGHT("0"&amp;DAY(A769),2)&amp;"."&amp;RIGHT("0"&amp;MONTH(A769),2)&amp;"."&amp;YEAR(A769)&amp;": "&amp;INDEX('Zgłoszenia'!$H$5:$H$504,MATCH(H769,'Zgłoszenia'!$S$5:$S$504,0)),RIGHT("0"&amp;DAY((A769+1)),2)&amp;"."&amp;RIGHT("0"&amp;MONTH((A769+1)),2)&amp;"."&amp;YEAR((A769+1))&amp;": "&amp;INDEX('Zgłoszenia'!$H$5:$H$504,MATCH(F769&amp;"|"&amp;(A769+1),'Zgłoszenia'!$S$5:$S$504,0)))&amp;IF(K769&gt;1," (+"&amp;(K769-1)&amp;")",""))</f>
        <v/>
      </c>
      <c r="M769" s="63" t="n">
        <v>10</v>
      </c>
      <c r="N769" s="2" t="n"/>
      <c r="O769" s="2" t="n"/>
    </row>
    <row r="770">
      <c r="A770" s="62">
        <f>IF('10'!$C$1="","",'10'!$C$1)</f>
        <v/>
      </c>
      <c r="B770" s="63">
        <f>Ustawienia!$A$9&amp;""</f>
        <v/>
      </c>
      <c r="C770" s="63">
        <f>Ustawienia!$A$15&amp;""</f>
        <v/>
      </c>
      <c r="D770" s="63" t="n">
        <v>7</v>
      </c>
      <c r="E770" s="63">
        <f>IF('10'!F19="","",TRIM('10'!F19&amp;""))</f>
        <v/>
      </c>
      <c r="F770" s="63">
        <f>IF('10'!G19="","",'10'!G19)</f>
        <v/>
      </c>
      <c r="G770" s="63">
        <f>'10'!H19&amp;""</f>
        <v/>
      </c>
      <c r="H770" s="63">
        <f>IF(OR(A770="",F770=""),"",F770&amp;"|"&amp;A770)</f>
        <v/>
      </c>
      <c r="I770" s="63">
        <f>IF(AND(H770&lt;&gt;"",OR('Historia wózka'!$B$4="",F770='Historia wózka'!$B$4),A770&gt;='Historia wózka'!$B$5,A770&lt;='Historia wózka'!$B$6),A770+0.8+(5000-ROW())/10000000,0)</f>
        <v/>
      </c>
      <c r="J770" s="63">
        <f>Ustawienia!$B$9&amp;""</f>
        <v/>
      </c>
      <c r="K770" s="63">
        <f>IF(H770="","",COUNTIFS('Zgłoszenia'!$B$5:$B$504,F770,'Zgłoszenia'!$D$5:$D$504,"&gt;="&amp;A770,'Zgłoszenia'!$D$5:$D$504,"&lt;="&amp;(A770+1)))</f>
        <v/>
      </c>
      <c r="L770" s="63">
        <f>IF(OR(H770="",K770=0),"—",IF(ISNUMBER(MATCH(H770,'Zgłoszenia'!$S$5:$S$504,0)),RIGHT("0"&amp;DAY(A770),2)&amp;"."&amp;RIGHT("0"&amp;MONTH(A770),2)&amp;"."&amp;YEAR(A770)&amp;": "&amp;INDEX('Zgłoszenia'!$H$5:$H$504,MATCH(H770,'Zgłoszenia'!$S$5:$S$504,0)),RIGHT("0"&amp;DAY((A770+1)),2)&amp;"."&amp;RIGHT("0"&amp;MONTH((A770+1)),2)&amp;"."&amp;YEAR((A770+1))&amp;": "&amp;INDEX('Zgłoszenia'!$H$5:$H$504,MATCH(F770&amp;"|"&amp;(A770+1),'Zgłoszenia'!$S$5:$S$504,0)))&amp;IF(K770&gt;1," (+"&amp;(K770-1)&amp;")",""))</f>
        <v/>
      </c>
      <c r="M770" s="63" t="n">
        <v>10</v>
      </c>
      <c r="N770" s="2" t="n"/>
      <c r="O770" s="2" t="n"/>
    </row>
    <row r="771">
      <c r="A771" s="62">
        <f>IF('10'!$C$1="","",'10'!$C$1)</f>
        <v/>
      </c>
      <c r="B771" s="63">
        <f>Ustawienia!$A$9&amp;""</f>
        <v/>
      </c>
      <c r="C771" s="63">
        <f>Ustawienia!$A$15&amp;""</f>
        <v/>
      </c>
      <c r="D771" s="63" t="n">
        <v>8</v>
      </c>
      <c r="E771" s="63">
        <f>IF('10'!F20="","",TRIM('10'!F20&amp;""))</f>
        <v/>
      </c>
      <c r="F771" s="63">
        <f>IF('10'!G20="","",'10'!G20)</f>
        <v/>
      </c>
      <c r="G771" s="63">
        <f>'10'!H20&amp;""</f>
        <v/>
      </c>
      <c r="H771" s="63">
        <f>IF(OR(A771="",F771=""),"",F771&amp;"|"&amp;A771)</f>
        <v/>
      </c>
      <c r="I771" s="63">
        <f>IF(AND(H771&lt;&gt;"",OR('Historia wózka'!$B$4="",F771='Historia wózka'!$B$4),A771&gt;='Historia wózka'!$B$5,A771&lt;='Historia wózka'!$B$6),A771+0.8+(5000-ROW())/10000000,0)</f>
        <v/>
      </c>
      <c r="J771" s="63">
        <f>Ustawienia!$B$9&amp;""</f>
        <v/>
      </c>
      <c r="K771" s="63">
        <f>IF(H771="","",COUNTIFS('Zgłoszenia'!$B$5:$B$504,F771,'Zgłoszenia'!$D$5:$D$504,"&gt;="&amp;A771,'Zgłoszenia'!$D$5:$D$504,"&lt;="&amp;(A771+1)))</f>
        <v/>
      </c>
      <c r="L771" s="63">
        <f>IF(OR(H771="",K771=0),"—",IF(ISNUMBER(MATCH(H771,'Zgłoszenia'!$S$5:$S$504,0)),RIGHT("0"&amp;DAY(A771),2)&amp;"."&amp;RIGHT("0"&amp;MONTH(A771),2)&amp;"."&amp;YEAR(A771)&amp;": "&amp;INDEX('Zgłoszenia'!$H$5:$H$504,MATCH(H771,'Zgłoszenia'!$S$5:$S$504,0)),RIGHT("0"&amp;DAY((A771+1)),2)&amp;"."&amp;RIGHT("0"&amp;MONTH((A771+1)),2)&amp;"."&amp;YEAR((A771+1))&amp;": "&amp;INDEX('Zgłoszenia'!$H$5:$H$504,MATCH(F771&amp;"|"&amp;(A771+1),'Zgłoszenia'!$S$5:$S$504,0)))&amp;IF(K771&gt;1," (+"&amp;(K771-1)&amp;")",""))</f>
        <v/>
      </c>
      <c r="M771" s="63" t="n">
        <v>10</v>
      </c>
      <c r="N771" s="2" t="n"/>
      <c r="O771" s="2" t="n"/>
    </row>
    <row r="772">
      <c r="A772" s="62">
        <f>IF('10'!$C$1="","",'10'!$C$1)</f>
        <v/>
      </c>
      <c r="B772" s="63">
        <f>Ustawienia!$A$9&amp;""</f>
        <v/>
      </c>
      <c r="C772" s="63">
        <f>Ustawienia!$A$16&amp;""</f>
        <v/>
      </c>
      <c r="D772" s="63" t="n">
        <v>1</v>
      </c>
      <c r="E772" s="63">
        <f>IF('10'!F22="","",TRIM('10'!F22&amp;""))</f>
        <v/>
      </c>
      <c r="F772" s="63">
        <f>IF('10'!G22="","",'10'!G22)</f>
        <v/>
      </c>
      <c r="G772" s="63">
        <f>'10'!H22&amp;""</f>
        <v/>
      </c>
      <c r="H772" s="63">
        <f>IF(OR(A772="",F772=""),"",F772&amp;"|"&amp;A772)</f>
        <v/>
      </c>
      <c r="I772" s="63">
        <f>IF(AND(H772&lt;&gt;"",OR('Historia wózka'!$B$4="",F772='Historia wózka'!$B$4),A772&gt;='Historia wózka'!$B$5,A772&lt;='Historia wózka'!$B$6),A772+0.8+(5000-ROW())/10000000,0)</f>
        <v/>
      </c>
      <c r="J772" s="63">
        <f>Ustawienia!$B$9&amp;""</f>
        <v/>
      </c>
      <c r="K772" s="63">
        <f>IF(H772="","",COUNTIFS('Zgłoszenia'!$B$5:$B$504,F772,'Zgłoszenia'!$D$5:$D$504,"&gt;="&amp;A772,'Zgłoszenia'!$D$5:$D$504,"&lt;="&amp;(A772+1)))</f>
        <v/>
      </c>
      <c r="L772" s="63">
        <f>IF(OR(H772="",K772=0),"—",IF(ISNUMBER(MATCH(H772,'Zgłoszenia'!$S$5:$S$504,0)),RIGHT("0"&amp;DAY(A772),2)&amp;"."&amp;RIGHT("0"&amp;MONTH(A772),2)&amp;"."&amp;YEAR(A772)&amp;": "&amp;INDEX('Zgłoszenia'!$H$5:$H$504,MATCH(H772,'Zgłoszenia'!$S$5:$S$504,0)),RIGHT("0"&amp;DAY((A772+1)),2)&amp;"."&amp;RIGHT("0"&amp;MONTH((A772+1)),2)&amp;"."&amp;YEAR((A772+1))&amp;": "&amp;INDEX('Zgłoszenia'!$H$5:$H$504,MATCH(F772&amp;"|"&amp;(A772+1),'Zgłoszenia'!$S$5:$S$504,0)))&amp;IF(K772&gt;1," (+"&amp;(K772-1)&amp;")",""))</f>
        <v/>
      </c>
      <c r="M772" s="63" t="n">
        <v>10</v>
      </c>
      <c r="N772" s="2" t="n"/>
      <c r="O772" s="2" t="n"/>
    </row>
    <row r="773">
      <c r="A773" s="62">
        <f>IF('10'!$C$1="","",'10'!$C$1)</f>
        <v/>
      </c>
      <c r="B773" s="63">
        <f>Ustawienia!$A$9&amp;""</f>
        <v/>
      </c>
      <c r="C773" s="63">
        <f>Ustawienia!$A$16&amp;""</f>
        <v/>
      </c>
      <c r="D773" s="63" t="n">
        <v>2</v>
      </c>
      <c r="E773" s="63">
        <f>IF('10'!F23="","",TRIM('10'!F23&amp;""))</f>
        <v/>
      </c>
      <c r="F773" s="63">
        <f>IF('10'!G23="","",'10'!G23)</f>
        <v/>
      </c>
      <c r="G773" s="63">
        <f>'10'!H23&amp;""</f>
        <v/>
      </c>
      <c r="H773" s="63">
        <f>IF(OR(A773="",F773=""),"",F773&amp;"|"&amp;A773)</f>
        <v/>
      </c>
      <c r="I773" s="63">
        <f>IF(AND(H773&lt;&gt;"",OR('Historia wózka'!$B$4="",F773='Historia wózka'!$B$4),A773&gt;='Historia wózka'!$B$5,A773&lt;='Historia wózka'!$B$6),A773+0.8+(5000-ROW())/10000000,0)</f>
        <v/>
      </c>
      <c r="J773" s="63">
        <f>Ustawienia!$B$9&amp;""</f>
        <v/>
      </c>
      <c r="K773" s="63">
        <f>IF(H773="","",COUNTIFS('Zgłoszenia'!$B$5:$B$504,F773,'Zgłoszenia'!$D$5:$D$504,"&gt;="&amp;A773,'Zgłoszenia'!$D$5:$D$504,"&lt;="&amp;(A773+1)))</f>
        <v/>
      </c>
      <c r="L773" s="63">
        <f>IF(OR(H773="",K773=0),"—",IF(ISNUMBER(MATCH(H773,'Zgłoszenia'!$S$5:$S$504,0)),RIGHT("0"&amp;DAY(A773),2)&amp;"."&amp;RIGHT("0"&amp;MONTH(A773),2)&amp;"."&amp;YEAR(A773)&amp;": "&amp;INDEX('Zgłoszenia'!$H$5:$H$504,MATCH(H773,'Zgłoszenia'!$S$5:$S$504,0)),RIGHT("0"&amp;DAY((A773+1)),2)&amp;"."&amp;RIGHT("0"&amp;MONTH((A773+1)),2)&amp;"."&amp;YEAR((A773+1))&amp;": "&amp;INDEX('Zgłoszenia'!$H$5:$H$504,MATCH(F773&amp;"|"&amp;(A773+1),'Zgłoszenia'!$S$5:$S$504,0)))&amp;IF(K773&gt;1," (+"&amp;(K773-1)&amp;")",""))</f>
        <v/>
      </c>
      <c r="M773" s="63" t="n">
        <v>10</v>
      </c>
      <c r="N773" s="2" t="n"/>
      <c r="O773" s="2" t="n"/>
    </row>
    <row r="774">
      <c r="A774" s="62">
        <f>IF('10'!$C$1="","",'10'!$C$1)</f>
        <v/>
      </c>
      <c r="B774" s="63">
        <f>Ustawienia!$A$9&amp;""</f>
        <v/>
      </c>
      <c r="C774" s="63">
        <f>Ustawienia!$A$16&amp;""</f>
        <v/>
      </c>
      <c r="D774" s="63" t="n">
        <v>3</v>
      </c>
      <c r="E774" s="63">
        <f>IF('10'!F24="","",TRIM('10'!F24&amp;""))</f>
        <v/>
      </c>
      <c r="F774" s="63">
        <f>IF('10'!G24="","",'10'!G24)</f>
        <v/>
      </c>
      <c r="G774" s="63">
        <f>'10'!H24&amp;""</f>
        <v/>
      </c>
      <c r="H774" s="63">
        <f>IF(OR(A774="",F774=""),"",F774&amp;"|"&amp;A774)</f>
        <v/>
      </c>
      <c r="I774" s="63">
        <f>IF(AND(H774&lt;&gt;"",OR('Historia wózka'!$B$4="",F774='Historia wózka'!$B$4),A774&gt;='Historia wózka'!$B$5,A774&lt;='Historia wózka'!$B$6),A774+0.8+(5000-ROW())/10000000,0)</f>
        <v/>
      </c>
      <c r="J774" s="63">
        <f>Ustawienia!$B$9&amp;""</f>
        <v/>
      </c>
      <c r="K774" s="63">
        <f>IF(H774="","",COUNTIFS('Zgłoszenia'!$B$5:$B$504,F774,'Zgłoszenia'!$D$5:$D$504,"&gt;="&amp;A774,'Zgłoszenia'!$D$5:$D$504,"&lt;="&amp;(A774+1)))</f>
        <v/>
      </c>
      <c r="L774" s="63">
        <f>IF(OR(H774="",K774=0),"—",IF(ISNUMBER(MATCH(H774,'Zgłoszenia'!$S$5:$S$504,0)),RIGHT("0"&amp;DAY(A774),2)&amp;"."&amp;RIGHT("0"&amp;MONTH(A774),2)&amp;"."&amp;YEAR(A774)&amp;": "&amp;INDEX('Zgłoszenia'!$H$5:$H$504,MATCH(H774,'Zgłoszenia'!$S$5:$S$504,0)),RIGHT("0"&amp;DAY((A774+1)),2)&amp;"."&amp;RIGHT("0"&amp;MONTH((A774+1)),2)&amp;"."&amp;YEAR((A774+1))&amp;": "&amp;INDEX('Zgłoszenia'!$H$5:$H$504,MATCH(F774&amp;"|"&amp;(A774+1),'Zgłoszenia'!$S$5:$S$504,0)))&amp;IF(K774&gt;1," (+"&amp;(K774-1)&amp;")",""))</f>
        <v/>
      </c>
      <c r="M774" s="63" t="n">
        <v>10</v>
      </c>
      <c r="N774" s="2" t="n"/>
      <c r="O774" s="2" t="n"/>
    </row>
    <row r="775">
      <c r="A775" s="62">
        <f>IF('10'!$C$1="","",'10'!$C$1)</f>
        <v/>
      </c>
      <c r="B775" s="63">
        <f>Ustawienia!$A$9&amp;""</f>
        <v/>
      </c>
      <c r="C775" s="63">
        <f>Ustawienia!$A$16&amp;""</f>
        <v/>
      </c>
      <c r="D775" s="63" t="n">
        <v>4</v>
      </c>
      <c r="E775" s="63">
        <f>IF('10'!F25="","",TRIM('10'!F25&amp;""))</f>
        <v/>
      </c>
      <c r="F775" s="63">
        <f>IF('10'!G25="","",'10'!G25)</f>
        <v/>
      </c>
      <c r="G775" s="63">
        <f>'10'!H25&amp;""</f>
        <v/>
      </c>
      <c r="H775" s="63">
        <f>IF(OR(A775="",F775=""),"",F775&amp;"|"&amp;A775)</f>
        <v/>
      </c>
      <c r="I775" s="63">
        <f>IF(AND(H775&lt;&gt;"",OR('Historia wózka'!$B$4="",F775='Historia wózka'!$B$4),A775&gt;='Historia wózka'!$B$5,A775&lt;='Historia wózka'!$B$6),A775+0.8+(5000-ROW())/10000000,0)</f>
        <v/>
      </c>
      <c r="J775" s="63">
        <f>Ustawienia!$B$9&amp;""</f>
        <v/>
      </c>
      <c r="K775" s="63">
        <f>IF(H775="","",COUNTIFS('Zgłoszenia'!$B$5:$B$504,F775,'Zgłoszenia'!$D$5:$D$504,"&gt;="&amp;A775,'Zgłoszenia'!$D$5:$D$504,"&lt;="&amp;(A775+1)))</f>
        <v/>
      </c>
      <c r="L775" s="63">
        <f>IF(OR(H775="",K775=0),"—",IF(ISNUMBER(MATCH(H775,'Zgłoszenia'!$S$5:$S$504,0)),RIGHT("0"&amp;DAY(A775),2)&amp;"."&amp;RIGHT("0"&amp;MONTH(A775),2)&amp;"."&amp;YEAR(A775)&amp;": "&amp;INDEX('Zgłoszenia'!$H$5:$H$504,MATCH(H775,'Zgłoszenia'!$S$5:$S$504,0)),RIGHT("0"&amp;DAY((A775+1)),2)&amp;"."&amp;RIGHT("0"&amp;MONTH((A775+1)),2)&amp;"."&amp;YEAR((A775+1))&amp;": "&amp;INDEX('Zgłoszenia'!$H$5:$H$504,MATCH(F775&amp;"|"&amp;(A775+1),'Zgłoszenia'!$S$5:$S$504,0)))&amp;IF(K775&gt;1," (+"&amp;(K775-1)&amp;")",""))</f>
        <v/>
      </c>
      <c r="M775" s="63" t="n">
        <v>10</v>
      </c>
      <c r="N775" s="2" t="n"/>
      <c r="O775" s="2" t="n"/>
    </row>
    <row r="776">
      <c r="A776" s="62">
        <f>IF('10'!$C$1="","",'10'!$C$1)</f>
        <v/>
      </c>
      <c r="B776" s="63">
        <f>Ustawienia!$A$9&amp;""</f>
        <v/>
      </c>
      <c r="C776" s="63">
        <f>Ustawienia!$A$17&amp;""</f>
        <v/>
      </c>
      <c r="D776" s="63" t="n">
        <v>1</v>
      </c>
      <c r="E776" s="63">
        <f>IF('10'!F27="","",TRIM('10'!F27&amp;""))</f>
        <v/>
      </c>
      <c r="F776" s="63">
        <f>IF('10'!G27="","",'10'!G27)</f>
        <v/>
      </c>
      <c r="G776" s="63">
        <f>'10'!H27&amp;""</f>
        <v/>
      </c>
      <c r="H776" s="63">
        <f>IF(OR(A776="",F776=""),"",F776&amp;"|"&amp;A776)</f>
        <v/>
      </c>
      <c r="I776" s="63">
        <f>IF(AND(H776&lt;&gt;"",OR('Historia wózka'!$B$4="",F776='Historia wózka'!$B$4),A776&gt;='Historia wózka'!$B$5,A776&lt;='Historia wózka'!$B$6),A776+0.8+(5000-ROW())/10000000,0)</f>
        <v/>
      </c>
      <c r="J776" s="63">
        <f>Ustawienia!$B$9&amp;""</f>
        <v/>
      </c>
      <c r="K776" s="63">
        <f>IF(H776="","",COUNTIFS('Zgłoszenia'!$B$5:$B$504,F776,'Zgłoszenia'!$D$5:$D$504,"&gt;="&amp;A776,'Zgłoszenia'!$D$5:$D$504,"&lt;="&amp;(A776+1)))</f>
        <v/>
      </c>
      <c r="L776" s="63">
        <f>IF(OR(H776="",K776=0),"—",IF(ISNUMBER(MATCH(H776,'Zgłoszenia'!$S$5:$S$504,0)),RIGHT("0"&amp;DAY(A776),2)&amp;"."&amp;RIGHT("0"&amp;MONTH(A776),2)&amp;"."&amp;YEAR(A776)&amp;": "&amp;INDEX('Zgłoszenia'!$H$5:$H$504,MATCH(H776,'Zgłoszenia'!$S$5:$S$504,0)),RIGHT("0"&amp;DAY((A776+1)),2)&amp;"."&amp;RIGHT("0"&amp;MONTH((A776+1)),2)&amp;"."&amp;YEAR((A776+1))&amp;": "&amp;INDEX('Zgłoszenia'!$H$5:$H$504,MATCH(F776&amp;"|"&amp;(A776+1),'Zgłoszenia'!$S$5:$S$504,0)))&amp;IF(K776&gt;1," (+"&amp;(K776-1)&amp;")",""))</f>
        <v/>
      </c>
      <c r="M776" s="63" t="n">
        <v>10</v>
      </c>
      <c r="N776" s="2" t="n"/>
      <c r="O776" s="2" t="n"/>
    </row>
    <row r="777">
      <c r="A777" s="62">
        <f>IF('10'!$C$1="","",'10'!$C$1)</f>
        <v/>
      </c>
      <c r="B777" s="63">
        <f>Ustawienia!$A$9&amp;""</f>
        <v/>
      </c>
      <c r="C777" s="63">
        <f>Ustawienia!$A$17&amp;""</f>
        <v/>
      </c>
      <c r="D777" s="63" t="n">
        <v>2</v>
      </c>
      <c r="E777" s="63">
        <f>IF('10'!F28="","",TRIM('10'!F28&amp;""))</f>
        <v/>
      </c>
      <c r="F777" s="63">
        <f>IF('10'!G28="","",'10'!G28)</f>
        <v/>
      </c>
      <c r="G777" s="63">
        <f>'10'!H28&amp;""</f>
        <v/>
      </c>
      <c r="H777" s="63">
        <f>IF(OR(A777="",F777=""),"",F777&amp;"|"&amp;A777)</f>
        <v/>
      </c>
      <c r="I777" s="63">
        <f>IF(AND(H777&lt;&gt;"",OR('Historia wózka'!$B$4="",F777='Historia wózka'!$B$4),A777&gt;='Historia wózka'!$B$5,A777&lt;='Historia wózka'!$B$6),A777+0.8+(5000-ROW())/10000000,0)</f>
        <v/>
      </c>
      <c r="J777" s="63">
        <f>Ustawienia!$B$9&amp;""</f>
        <v/>
      </c>
      <c r="K777" s="63">
        <f>IF(H777="","",COUNTIFS('Zgłoszenia'!$B$5:$B$504,F777,'Zgłoszenia'!$D$5:$D$504,"&gt;="&amp;A777,'Zgłoszenia'!$D$5:$D$504,"&lt;="&amp;(A777+1)))</f>
        <v/>
      </c>
      <c r="L777" s="63">
        <f>IF(OR(H777="",K777=0),"—",IF(ISNUMBER(MATCH(H777,'Zgłoszenia'!$S$5:$S$504,0)),RIGHT("0"&amp;DAY(A777),2)&amp;"."&amp;RIGHT("0"&amp;MONTH(A777),2)&amp;"."&amp;YEAR(A777)&amp;": "&amp;INDEX('Zgłoszenia'!$H$5:$H$504,MATCH(H777,'Zgłoszenia'!$S$5:$S$504,0)),RIGHT("0"&amp;DAY((A777+1)),2)&amp;"."&amp;RIGHT("0"&amp;MONTH((A777+1)),2)&amp;"."&amp;YEAR((A777+1))&amp;": "&amp;INDEX('Zgłoszenia'!$H$5:$H$504,MATCH(F777&amp;"|"&amp;(A777+1),'Zgłoszenia'!$S$5:$S$504,0)))&amp;IF(K777&gt;1," (+"&amp;(K777-1)&amp;")",""))</f>
        <v/>
      </c>
      <c r="M777" s="63" t="n">
        <v>10</v>
      </c>
      <c r="N777" s="2" t="n"/>
      <c r="O777" s="2" t="n"/>
    </row>
    <row r="778">
      <c r="A778" s="62">
        <f>IF('10'!$C$1="","",'10'!$C$1)</f>
        <v/>
      </c>
      <c r="B778" s="63">
        <f>Ustawienia!$A$9&amp;""</f>
        <v/>
      </c>
      <c r="C778" s="63">
        <f>Ustawienia!$A$17&amp;""</f>
        <v/>
      </c>
      <c r="D778" s="63" t="n">
        <v>3</v>
      </c>
      <c r="E778" s="63">
        <f>IF('10'!F29="","",TRIM('10'!F29&amp;""))</f>
        <v/>
      </c>
      <c r="F778" s="63">
        <f>IF('10'!G29="","",'10'!G29)</f>
        <v/>
      </c>
      <c r="G778" s="63">
        <f>'10'!H29&amp;""</f>
        <v/>
      </c>
      <c r="H778" s="63">
        <f>IF(OR(A778="",F778=""),"",F778&amp;"|"&amp;A778)</f>
        <v/>
      </c>
      <c r="I778" s="63">
        <f>IF(AND(H778&lt;&gt;"",OR('Historia wózka'!$B$4="",F778='Historia wózka'!$B$4),A778&gt;='Historia wózka'!$B$5,A778&lt;='Historia wózka'!$B$6),A778+0.8+(5000-ROW())/10000000,0)</f>
        <v/>
      </c>
      <c r="J778" s="63">
        <f>Ustawienia!$B$9&amp;""</f>
        <v/>
      </c>
      <c r="K778" s="63">
        <f>IF(H778="","",COUNTIFS('Zgłoszenia'!$B$5:$B$504,F778,'Zgłoszenia'!$D$5:$D$504,"&gt;="&amp;A778,'Zgłoszenia'!$D$5:$D$504,"&lt;="&amp;(A778+1)))</f>
        <v/>
      </c>
      <c r="L778" s="63">
        <f>IF(OR(H778="",K778=0),"—",IF(ISNUMBER(MATCH(H778,'Zgłoszenia'!$S$5:$S$504,0)),RIGHT("0"&amp;DAY(A778),2)&amp;"."&amp;RIGHT("0"&amp;MONTH(A778),2)&amp;"."&amp;YEAR(A778)&amp;": "&amp;INDEX('Zgłoszenia'!$H$5:$H$504,MATCH(H778,'Zgłoszenia'!$S$5:$S$504,0)),RIGHT("0"&amp;DAY((A778+1)),2)&amp;"."&amp;RIGHT("0"&amp;MONTH((A778+1)),2)&amp;"."&amp;YEAR((A778+1))&amp;": "&amp;INDEX('Zgłoszenia'!$H$5:$H$504,MATCH(F778&amp;"|"&amp;(A778+1),'Zgłoszenia'!$S$5:$S$504,0)))&amp;IF(K778&gt;1," (+"&amp;(K778-1)&amp;")",""))</f>
        <v/>
      </c>
      <c r="M778" s="63" t="n">
        <v>10</v>
      </c>
      <c r="N778" s="2" t="n"/>
      <c r="O778" s="2" t="n"/>
    </row>
    <row r="779">
      <c r="A779" s="62">
        <f>IF('10'!$C$1="","",'10'!$C$1)</f>
        <v/>
      </c>
      <c r="B779" s="63">
        <f>Ustawienia!$A$9&amp;""</f>
        <v/>
      </c>
      <c r="C779" s="63">
        <f>Ustawienia!$A$17&amp;""</f>
        <v/>
      </c>
      <c r="D779" s="63" t="n">
        <v>4</v>
      </c>
      <c r="E779" s="63">
        <f>IF('10'!F30="","",TRIM('10'!F30&amp;""))</f>
        <v/>
      </c>
      <c r="F779" s="63">
        <f>IF('10'!G30="","",'10'!G30)</f>
        <v/>
      </c>
      <c r="G779" s="63">
        <f>'10'!H30&amp;""</f>
        <v/>
      </c>
      <c r="H779" s="63">
        <f>IF(OR(A779="",F779=""),"",F779&amp;"|"&amp;A779)</f>
        <v/>
      </c>
      <c r="I779" s="63">
        <f>IF(AND(H779&lt;&gt;"",OR('Historia wózka'!$B$4="",F779='Historia wózka'!$B$4),A779&gt;='Historia wózka'!$B$5,A779&lt;='Historia wózka'!$B$6),A779+0.8+(5000-ROW())/10000000,0)</f>
        <v/>
      </c>
      <c r="J779" s="63">
        <f>Ustawienia!$B$9&amp;""</f>
        <v/>
      </c>
      <c r="K779" s="63">
        <f>IF(H779="","",COUNTIFS('Zgłoszenia'!$B$5:$B$504,F779,'Zgłoszenia'!$D$5:$D$504,"&gt;="&amp;A779,'Zgłoszenia'!$D$5:$D$504,"&lt;="&amp;(A779+1)))</f>
        <v/>
      </c>
      <c r="L779" s="63">
        <f>IF(OR(H779="",K779=0),"—",IF(ISNUMBER(MATCH(H779,'Zgłoszenia'!$S$5:$S$504,0)),RIGHT("0"&amp;DAY(A779),2)&amp;"."&amp;RIGHT("0"&amp;MONTH(A779),2)&amp;"."&amp;YEAR(A779)&amp;": "&amp;INDEX('Zgłoszenia'!$H$5:$H$504,MATCH(H779,'Zgłoszenia'!$S$5:$S$504,0)),RIGHT("0"&amp;DAY((A779+1)),2)&amp;"."&amp;RIGHT("0"&amp;MONTH((A779+1)),2)&amp;"."&amp;YEAR((A779+1))&amp;": "&amp;INDEX('Zgłoszenia'!$H$5:$H$504,MATCH(F779&amp;"|"&amp;(A779+1),'Zgłoszenia'!$S$5:$S$504,0)))&amp;IF(K779&gt;1," (+"&amp;(K779-1)&amp;")",""))</f>
        <v/>
      </c>
      <c r="M779" s="63" t="n">
        <v>10</v>
      </c>
      <c r="N779" s="2" t="n"/>
      <c r="O779" s="2" t="n"/>
    </row>
    <row r="780">
      <c r="A780" s="62">
        <f>IF('10'!$C$1="","",'10'!$C$1)</f>
        <v/>
      </c>
      <c r="B780" s="63">
        <f>Ustawienia!$A$9&amp;""</f>
        <v/>
      </c>
      <c r="C780" s="63">
        <f>Ustawienia!$A$18&amp;""</f>
        <v/>
      </c>
      <c r="D780" s="63" t="n">
        <v>1</v>
      </c>
      <c r="E780" s="63">
        <f>IF('10'!F32="","",TRIM('10'!F32&amp;""))</f>
        <v/>
      </c>
      <c r="F780" s="63">
        <f>IF('10'!G32="","",'10'!G32)</f>
        <v/>
      </c>
      <c r="G780" s="63">
        <f>'10'!H32&amp;""</f>
        <v/>
      </c>
      <c r="H780" s="63">
        <f>IF(OR(A780="",F780=""),"",F780&amp;"|"&amp;A780)</f>
        <v/>
      </c>
      <c r="I780" s="63">
        <f>IF(AND(H780&lt;&gt;"",OR('Historia wózka'!$B$4="",F780='Historia wózka'!$B$4),A780&gt;='Historia wózka'!$B$5,A780&lt;='Historia wózka'!$B$6),A780+0.8+(5000-ROW())/10000000,0)</f>
        <v/>
      </c>
      <c r="J780" s="63">
        <f>Ustawienia!$B$9&amp;""</f>
        <v/>
      </c>
      <c r="K780" s="63">
        <f>IF(H780="","",COUNTIFS('Zgłoszenia'!$B$5:$B$504,F780,'Zgłoszenia'!$D$5:$D$504,"&gt;="&amp;A780,'Zgłoszenia'!$D$5:$D$504,"&lt;="&amp;(A780+1)))</f>
        <v/>
      </c>
      <c r="L780" s="63">
        <f>IF(OR(H780="",K780=0),"—",IF(ISNUMBER(MATCH(H780,'Zgłoszenia'!$S$5:$S$504,0)),RIGHT("0"&amp;DAY(A780),2)&amp;"."&amp;RIGHT("0"&amp;MONTH(A780),2)&amp;"."&amp;YEAR(A780)&amp;": "&amp;INDEX('Zgłoszenia'!$H$5:$H$504,MATCH(H780,'Zgłoszenia'!$S$5:$S$504,0)),RIGHT("0"&amp;DAY((A780+1)),2)&amp;"."&amp;RIGHT("0"&amp;MONTH((A780+1)),2)&amp;"."&amp;YEAR((A780+1))&amp;": "&amp;INDEX('Zgłoszenia'!$H$5:$H$504,MATCH(F780&amp;"|"&amp;(A780+1),'Zgłoszenia'!$S$5:$S$504,0)))&amp;IF(K780&gt;1," (+"&amp;(K780-1)&amp;")",""))</f>
        <v/>
      </c>
      <c r="M780" s="63" t="n">
        <v>10</v>
      </c>
      <c r="N780" s="2" t="n"/>
      <c r="O780" s="2" t="n"/>
    </row>
    <row r="781">
      <c r="A781" s="62">
        <f>IF('10'!$C$1="","",'10'!$C$1)</f>
        <v/>
      </c>
      <c r="B781" s="63">
        <f>Ustawienia!$A$9&amp;""</f>
        <v/>
      </c>
      <c r="C781" s="63">
        <f>Ustawienia!$A$18&amp;""</f>
        <v/>
      </c>
      <c r="D781" s="63" t="n">
        <v>2</v>
      </c>
      <c r="E781" s="63">
        <f>IF('10'!F33="","",TRIM('10'!F33&amp;""))</f>
        <v/>
      </c>
      <c r="F781" s="63">
        <f>IF('10'!G33="","",'10'!G33)</f>
        <v/>
      </c>
      <c r="G781" s="63">
        <f>'10'!H33&amp;""</f>
        <v/>
      </c>
      <c r="H781" s="63">
        <f>IF(OR(A781="",F781=""),"",F781&amp;"|"&amp;A781)</f>
        <v/>
      </c>
      <c r="I781" s="63">
        <f>IF(AND(H781&lt;&gt;"",OR('Historia wózka'!$B$4="",F781='Historia wózka'!$B$4),A781&gt;='Historia wózka'!$B$5,A781&lt;='Historia wózka'!$B$6),A781+0.8+(5000-ROW())/10000000,0)</f>
        <v/>
      </c>
      <c r="J781" s="63">
        <f>Ustawienia!$B$9&amp;""</f>
        <v/>
      </c>
      <c r="K781" s="63">
        <f>IF(H781="","",COUNTIFS('Zgłoszenia'!$B$5:$B$504,F781,'Zgłoszenia'!$D$5:$D$504,"&gt;="&amp;A781,'Zgłoszenia'!$D$5:$D$504,"&lt;="&amp;(A781+1)))</f>
        <v/>
      </c>
      <c r="L781" s="63">
        <f>IF(OR(H781="",K781=0),"—",IF(ISNUMBER(MATCH(H781,'Zgłoszenia'!$S$5:$S$504,0)),RIGHT("0"&amp;DAY(A781),2)&amp;"."&amp;RIGHT("0"&amp;MONTH(A781),2)&amp;"."&amp;YEAR(A781)&amp;": "&amp;INDEX('Zgłoszenia'!$H$5:$H$504,MATCH(H781,'Zgłoszenia'!$S$5:$S$504,0)),RIGHT("0"&amp;DAY((A781+1)),2)&amp;"."&amp;RIGHT("0"&amp;MONTH((A781+1)),2)&amp;"."&amp;YEAR((A781+1))&amp;": "&amp;INDEX('Zgłoszenia'!$H$5:$H$504,MATCH(F781&amp;"|"&amp;(A781+1),'Zgłoszenia'!$S$5:$S$504,0)))&amp;IF(K781&gt;1," (+"&amp;(K781-1)&amp;")",""))</f>
        <v/>
      </c>
      <c r="M781" s="63" t="n">
        <v>10</v>
      </c>
      <c r="N781" s="2" t="n"/>
      <c r="O781" s="2" t="n"/>
    </row>
    <row r="782">
      <c r="A782" s="62">
        <f>IF('10'!$C$1="","",'10'!$C$1)</f>
        <v/>
      </c>
      <c r="B782" s="63">
        <f>Ustawienia!$A$9&amp;""</f>
        <v/>
      </c>
      <c r="C782" s="63">
        <f>Ustawienia!$A$18&amp;""</f>
        <v/>
      </c>
      <c r="D782" s="63" t="n">
        <v>3</v>
      </c>
      <c r="E782" s="63">
        <f>IF('10'!F34="","",TRIM('10'!F34&amp;""))</f>
        <v/>
      </c>
      <c r="F782" s="63">
        <f>IF('10'!G34="","",'10'!G34)</f>
        <v/>
      </c>
      <c r="G782" s="63">
        <f>'10'!H34&amp;""</f>
        <v/>
      </c>
      <c r="H782" s="63">
        <f>IF(OR(A782="",F782=""),"",F782&amp;"|"&amp;A782)</f>
        <v/>
      </c>
      <c r="I782" s="63">
        <f>IF(AND(H782&lt;&gt;"",OR('Historia wózka'!$B$4="",F782='Historia wózka'!$B$4),A782&gt;='Historia wózka'!$B$5,A782&lt;='Historia wózka'!$B$6),A782+0.8+(5000-ROW())/10000000,0)</f>
        <v/>
      </c>
      <c r="J782" s="63">
        <f>Ustawienia!$B$9&amp;""</f>
        <v/>
      </c>
      <c r="K782" s="63">
        <f>IF(H782="","",COUNTIFS('Zgłoszenia'!$B$5:$B$504,F782,'Zgłoszenia'!$D$5:$D$504,"&gt;="&amp;A782,'Zgłoszenia'!$D$5:$D$504,"&lt;="&amp;(A782+1)))</f>
        <v/>
      </c>
      <c r="L782" s="63">
        <f>IF(OR(H782="",K782=0),"—",IF(ISNUMBER(MATCH(H782,'Zgłoszenia'!$S$5:$S$504,0)),RIGHT("0"&amp;DAY(A782),2)&amp;"."&amp;RIGHT("0"&amp;MONTH(A782),2)&amp;"."&amp;YEAR(A782)&amp;": "&amp;INDEX('Zgłoszenia'!$H$5:$H$504,MATCH(H782,'Zgłoszenia'!$S$5:$S$504,0)),RIGHT("0"&amp;DAY((A782+1)),2)&amp;"."&amp;RIGHT("0"&amp;MONTH((A782+1)),2)&amp;"."&amp;YEAR((A782+1))&amp;": "&amp;INDEX('Zgłoszenia'!$H$5:$H$504,MATCH(F782&amp;"|"&amp;(A782+1),'Zgłoszenia'!$S$5:$S$504,0)))&amp;IF(K782&gt;1," (+"&amp;(K782-1)&amp;")",""))</f>
        <v/>
      </c>
      <c r="M782" s="63" t="n">
        <v>10</v>
      </c>
      <c r="N782" s="2" t="n"/>
      <c r="O782" s="2" t="n"/>
    </row>
    <row r="783">
      <c r="A783" s="62">
        <f>IF('10'!$C$1="","",'10'!$C$1)</f>
        <v/>
      </c>
      <c r="B783" s="63">
        <f>Ustawienia!$A$9&amp;""</f>
        <v/>
      </c>
      <c r="C783" s="63">
        <f>Ustawienia!$A$18&amp;""</f>
        <v/>
      </c>
      <c r="D783" s="63" t="n">
        <v>4</v>
      </c>
      <c r="E783" s="63">
        <f>IF('10'!F35="","",TRIM('10'!F35&amp;""))</f>
        <v/>
      </c>
      <c r="F783" s="63">
        <f>IF('10'!G35="","",'10'!G35)</f>
        <v/>
      </c>
      <c r="G783" s="63">
        <f>'10'!H35&amp;""</f>
        <v/>
      </c>
      <c r="H783" s="63">
        <f>IF(OR(A783="",F783=""),"",F783&amp;"|"&amp;A783)</f>
        <v/>
      </c>
      <c r="I783" s="63">
        <f>IF(AND(H783&lt;&gt;"",OR('Historia wózka'!$B$4="",F783='Historia wózka'!$B$4),A783&gt;='Historia wózka'!$B$5,A783&lt;='Historia wózka'!$B$6),A783+0.8+(5000-ROW())/10000000,0)</f>
        <v/>
      </c>
      <c r="J783" s="63">
        <f>Ustawienia!$B$9&amp;""</f>
        <v/>
      </c>
      <c r="K783" s="63">
        <f>IF(H783="","",COUNTIFS('Zgłoszenia'!$B$5:$B$504,F783,'Zgłoszenia'!$D$5:$D$504,"&gt;="&amp;A783,'Zgłoszenia'!$D$5:$D$504,"&lt;="&amp;(A783+1)))</f>
        <v/>
      </c>
      <c r="L783" s="63">
        <f>IF(OR(H783="",K783=0),"—",IF(ISNUMBER(MATCH(H783,'Zgłoszenia'!$S$5:$S$504,0)),RIGHT("0"&amp;DAY(A783),2)&amp;"."&amp;RIGHT("0"&amp;MONTH(A783),2)&amp;"."&amp;YEAR(A783)&amp;": "&amp;INDEX('Zgłoszenia'!$H$5:$H$504,MATCH(H783,'Zgłoszenia'!$S$5:$S$504,0)),RIGHT("0"&amp;DAY((A783+1)),2)&amp;"."&amp;RIGHT("0"&amp;MONTH((A783+1)),2)&amp;"."&amp;YEAR((A783+1))&amp;": "&amp;INDEX('Zgłoszenia'!$H$5:$H$504,MATCH(F783&amp;"|"&amp;(A783+1),'Zgłoszenia'!$S$5:$S$504,0)))&amp;IF(K783&gt;1," (+"&amp;(K783-1)&amp;")",""))</f>
        <v/>
      </c>
      <c r="M783" s="63" t="n">
        <v>10</v>
      </c>
      <c r="N783" s="2" t="n"/>
      <c r="O783" s="2" t="n"/>
    </row>
    <row r="784">
      <c r="A784" s="62">
        <f>IF('10'!$C$1="","",'10'!$C$1)</f>
        <v/>
      </c>
      <c r="B784" s="63">
        <f>Ustawienia!$A$9&amp;""</f>
        <v/>
      </c>
      <c r="C784" s="63">
        <f>Ustawienia!$A$18&amp;""</f>
        <v/>
      </c>
      <c r="D784" s="63" t="n">
        <v>5</v>
      </c>
      <c r="E784" s="63">
        <f>IF('10'!F36="","",TRIM('10'!F36&amp;""))</f>
        <v/>
      </c>
      <c r="F784" s="63">
        <f>IF('10'!G36="","",'10'!G36)</f>
        <v/>
      </c>
      <c r="G784" s="63">
        <f>'10'!H36&amp;""</f>
        <v/>
      </c>
      <c r="H784" s="63">
        <f>IF(OR(A784="",F784=""),"",F784&amp;"|"&amp;A784)</f>
        <v/>
      </c>
      <c r="I784" s="63">
        <f>IF(AND(H784&lt;&gt;"",OR('Historia wózka'!$B$4="",F784='Historia wózka'!$B$4),A784&gt;='Historia wózka'!$B$5,A784&lt;='Historia wózka'!$B$6),A784+0.8+(5000-ROW())/10000000,0)</f>
        <v/>
      </c>
      <c r="J784" s="63">
        <f>Ustawienia!$B$9&amp;""</f>
        <v/>
      </c>
      <c r="K784" s="63">
        <f>IF(H784="","",COUNTIFS('Zgłoszenia'!$B$5:$B$504,F784,'Zgłoszenia'!$D$5:$D$504,"&gt;="&amp;A784,'Zgłoszenia'!$D$5:$D$504,"&lt;="&amp;(A784+1)))</f>
        <v/>
      </c>
      <c r="L784" s="63">
        <f>IF(OR(H784="",K784=0),"—",IF(ISNUMBER(MATCH(H784,'Zgłoszenia'!$S$5:$S$504,0)),RIGHT("0"&amp;DAY(A784),2)&amp;"."&amp;RIGHT("0"&amp;MONTH(A784),2)&amp;"."&amp;YEAR(A784)&amp;": "&amp;INDEX('Zgłoszenia'!$H$5:$H$504,MATCH(H784,'Zgłoszenia'!$S$5:$S$504,0)),RIGHT("0"&amp;DAY((A784+1)),2)&amp;"."&amp;RIGHT("0"&amp;MONTH((A784+1)),2)&amp;"."&amp;YEAR((A784+1))&amp;": "&amp;INDEX('Zgłoszenia'!$H$5:$H$504,MATCH(F784&amp;"|"&amp;(A784+1),'Zgłoszenia'!$S$5:$S$504,0)))&amp;IF(K784&gt;1," (+"&amp;(K784-1)&amp;")",""))</f>
        <v/>
      </c>
      <c r="M784" s="63" t="n">
        <v>10</v>
      </c>
      <c r="N784" s="2" t="n"/>
      <c r="O784" s="2" t="n"/>
    </row>
    <row r="785">
      <c r="A785" s="62">
        <f>IF('10'!$C$1="","",'10'!$C$1)</f>
        <v/>
      </c>
      <c r="B785" s="63">
        <f>Ustawienia!$A$10&amp;""</f>
        <v/>
      </c>
      <c r="C785" s="63">
        <f>Ustawienia!$A$14&amp;""</f>
        <v/>
      </c>
      <c r="D785" s="63" t="n">
        <v>1</v>
      </c>
      <c r="E785" s="63">
        <f>IF('10'!J6="","",TRIM('10'!J6&amp;""))</f>
        <v/>
      </c>
      <c r="F785" s="63">
        <f>IF('10'!K6="","",'10'!K6)</f>
        <v/>
      </c>
      <c r="G785" s="63">
        <f>'10'!L6&amp;""</f>
        <v/>
      </c>
      <c r="H785" s="63">
        <f>IF(OR(A785="",F785=""),"",F785&amp;"|"&amp;A785)</f>
        <v/>
      </c>
      <c r="I785" s="63">
        <f>IF(AND(H785&lt;&gt;"",OR('Historia wózka'!$B$4="",F785='Historia wózka'!$B$4),A785&gt;='Historia wózka'!$B$5,A785&lt;='Historia wózka'!$B$6),A785+0.7+(5000-ROW())/10000000,0)</f>
        <v/>
      </c>
      <c r="J785" s="63">
        <f>Ustawienia!$B$10&amp;""</f>
        <v/>
      </c>
      <c r="K785" s="63">
        <f>IF(H785="","",COUNTIFS('Zgłoszenia'!$B$5:$B$504,F785,'Zgłoszenia'!$D$5:$D$504,"&gt;="&amp;A785,'Zgłoszenia'!$D$5:$D$504,"&lt;="&amp;(A785+1)))</f>
        <v/>
      </c>
      <c r="L785" s="63">
        <f>IF(OR(H785="",K785=0),"—",IF(ISNUMBER(MATCH(H785,'Zgłoszenia'!$S$5:$S$504,0)),RIGHT("0"&amp;DAY(A785),2)&amp;"."&amp;RIGHT("0"&amp;MONTH(A785),2)&amp;"."&amp;YEAR(A785)&amp;": "&amp;INDEX('Zgłoszenia'!$H$5:$H$504,MATCH(H785,'Zgłoszenia'!$S$5:$S$504,0)),RIGHT("0"&amp;DAY((A785+1)),2)&amp;"."&amp;RIGHT("0"&amp;MONTH((A785+1)),2)&amp;"."&amp;YEAR((A785+1))&amp;": "&amp;INDEX('Zgłoszenia'!$H$5:$H$504,MATCH(F785&amp;"|"&amp;(A785+1),'Zgłoszenia'!$S$5:$S$504,0)))&amp;IF(K785&gt;1," (+"&amp;(K785-1)&amp;")",""))</f>
        <v/>
      </c>
      <c r="M785" s="63" t="n">
        <v>10</v>
      </c>
      <c r="N785" s="2" t="n"/>
      <c r="O785" s="2" t="n"/>
    </row>
    <row r="786">
      <c r="A786" s="62">
        <f>IF('10'!$C$1="","",'10'!$C$1)</f>
        <v/>
      </c>
      <c r="B786" s="63">
        <f>Ustawienia!$A$10&amp;""</f>
        <v/>
      </c>
      <c r="C786" s="63">
        <f>Ustawienia!$A$14&amp;""</f>
        <v/>
      </c>
      <c r="D786" s="63" t="n">
        <v>2</v>
      </c>
      <c r="E786" s="63">
        <f>IF('10'!J7="","",TRIM('10'!J7&amp;""))</f>
        <v/>
      </c>
      <c r="F786" s="63">
        <f>IF('10'!K7="","",'10'!K7)</f>
        <v/>
      </c>
      <c r="G786" s="63">
        <f>'10'!L7&amp;""</f>
        <v/>
      </c>
      <c r="H786" s="63">
        <f>IF(OR(A786="",F786=""),"",F786&amp;"|"&amp;A786)</f>
        <v/>
      </c>
      <c r="I786" s="63">
        <f>IF(AND(H786&lt;&gt;"",OR('Historia wózka'!$B$4="",F786='Historia wózka'!$B$4),A786&gt;='Historia wózka'!$B$5,A786&lt;='Historia wózka'!$B$6),A786+0.7+(5000-ROW())/10000000,0)</f>
        <v/>
      </c>
      <c r="J786" s="63">
        <f>Ustawienia!$B$10&amp;""</f>
        <v/>
      </c>
      <c r="K786" s="63">
        <f>IF(H786="","",COUNTIFS('Zgłoszenia'!$B$5:$B$504,F786,'Zgłoszenia'!$D$5:$D$504,"&gt;="&amp;A786,'Zgłoszenia'!$D$5:$D$504,"&lt;="&amp;(A786+1)))</f>
        <v/>
      </c>
      <c r="L786" s="63">
        <f>IF(OR(H786="",K786=0),"—",IF(ISNUMBER(MATCH(H786,'Zgłoszenia'!$S$5:$S$504,0)),RIGHT("0"&amp;DAY(A786),2)&amp;"."&amp;RIGHT("0"&amp;MONTH(A786),2)&amp;"."&amp;YEAR(A786)&amp;": "&amp;INDEX('Zgłoszenia'!$H$5:$H$504,MATCH(H786,'Zgłoszenia'!$S$5:$S$504,0)),RIGHT("0"&amp;DAY((A786+1)),2)&amp;"."&amp;RIGHT("0"&amp;MONTH((A786+1)),2)&amp;"."&amp;YEAR((A786+1))&amp;": "&amp;INDEX('Zgłoszenia'!$H$5:$H$504,MATCH(F786&amp;"|"&amp;(A786+1),'Zgłoszenia'!$S$5:$S$504,0)))&amp;IF(K786&gt;1," (+"&amp;(K786-1)&amp;")",""))</f>
        <v/>
      </c>
      <c r="M786" s="63" t="n">
        <v>10</v>
      </c>
      <c r="N786" s="2" t="n"/>
      <c r="O786" s="2" t="n"/>
    </row>
    <row r="787">
      <c r="A787" s="62">
        <f>IF('10'!$C$1="","",'10'!$C$1)</f>
        <v/>
      </c>
      <c r="B787" s="63">
        <f>Ustawienia!$A$10&amp;""</f>
        <v/>
      </c>
      <c r="C787" s="63">
        <f>Ustawienia!$A$14&amp;""</f>
        <v/>
      </c>
      <c r="D787" s="63" t="n">
        <v>3</v>
      </c>
      <c r="E787" s="63">
        <f>IF('10'!J8="","",TRIM('10'!J8&amp;""))</f>
        <v/>
      </c>
      <c r="F787" s="63">
        <f>IF('10'!K8="","",'10'!K8)</f>
        <v/>
      </c>
      <c r="G787" s="63">
        <f>'10'!L8&amp;""</f>
        <v/>
      </c>
      <c r="H787" s="63">
        <f>IF(OR(A787="",F787=""),"",F787&amp;"|"&amp;A787)</f>
        <v/>
      </c>
      <c r="I787" s="63">
        <f>IF(AND(H787&lt;&gt;"",OR('Historia wózka'!$B$4="",F787='Historia wózka'!$B$4),A787&gt;='Historia wózka'!$B$5,A787&lt;='Historia wózka'!$B$6),A787+0.7+(5000-ROW())/10000000,0)</f>
        <v/>
      </c>
      <c r="J787" s="63">
        <f>Ustawienia!$B$10&amp;""</f>
        <v/>
      </c>
      <c r="K787" s="63">
        <f>IF(H787="","",COUNTIFS('Zgłoszenia'!$B$5:$B$504,F787,'Zgłoszenia'!$D$5:$D$504,"&gt;="&amp;A787,'Zgłoszenia'!$D$5:$D$504,"&lt;="&amp;(A787+1)))</f>
        <v/>
      </c>
      <c r="L787" s="63">
        <f>IF(OR(H787="",K787=0),"—",IF(ISNUMBER(MATCH(H787,'Zgłoszenia'!$S$5:$S$504,0)),RIGHT("0"&amp;DAY(A787),2)&amp;"."&amp;RIGHT("0"&amp;MONTH(A787),2)&amp;"."&amp;YEAR(A787)&amp;": "&amp;INDEX('Zgłoszenia'!$H$5:$H$504,MATCH(H787,'Zgłoszenia'!$S$5:$S$504,0)),RIGHT("0"&amp;DAY((A787+1)),2)&amp;"."&amp;RIGHT("0"&amp;MONTH((A787+1)),2)&amp;"."&amp;YEAR((A787+1))&amp;": "&amp;INDEX('Zgłoszenia'!$H$5:$H$504,MATCH(F787&amp;"|"&amp;(A787+1),'Zgłoszenia'!$S$5:$S$504,0)))&amp;IF(K787&gt;1," (+"&amp;(K787-1)&amp;")",""))</f>
        <v/>
      </c>
      <c r="M787" s="63" t="n">
        <v>10</v>
      </c>
      <c r="N787" s="2" t="n"/>
      <c r="O787" s="2" t="n"/>
    </row>
    <row r="788">
      <c r="A788" s="62">
        <f>IF('10'!$C$1="","",'10'!$C$1)</f>
        <v/>
      </c>
      <c r="B788" s="63">
        <f>Ustawienia!$A$10&amp;""</f>
        <v/>
      </c>
      <c r="C788" s="63">
        <f>Ustawienia!$A$14&amp;""</f>
        <v/>
      </c>
      <c r="D788" s="63" t="n">
        <v>4</v>
      </c>
      <c r="E788" s="63">
        <f>IF('10'!J9="","",TRIM('10'!J9&amp;""))</f>
        <v/>
      </c>
      <c r="F788" s="63">
        <f>IF('10'!K9="","",'10'!K9)</f>
        <v/>
      </c>
      <c r="G788" s="63">
        <f>'10'!L9&amp;""</f>
        <v/>
      </c>
      <c r="H788" s="63">
        <f>IF(OR(A788="",F788=""),"",F788&amp;"|"&amp;A788)</f>
        <v/>
      </c>
      <c r="I788" s="63">
        <f>IF(AND(H788&lt;&gt;"",OR('Historia wózka'!$B$4="",F788='Historia wózka'!$B$4),A788&gt;='Historia wózka'!$B$5,A788&lt;='Historia wózka'!$B$6),A788+0.7+(5000-ROW())/10000000,0)</f>
        <v/>
      </c>
      <c r="J788" s="63">
        <f>Ustawienia!$B$10&amp;""</f>
        <v/>
      </c>
      <c r="K788" s="63">
        <f>IF(H788="","",COUNTIFS('Zgłoszenia'!$B$5:$B$504,F788,'Zgłoszenia'!$D$5:$D$504,"&gt;="&amp;A788,'Zgłoszenia'!$D$5:$D$504,"&lt;="&amp;(A788+1)))</f>
        <v/>
      </c>
      <c r="L788" s="63">
        <f>IF(OR(H788="",K788=0),"—",IF(ISNUMBER(MATCH(H788,'Zgłoszenia'!$S$5:$S$504,0)),RIGHT("0"&amp;DAY(A788),2)&amp;"."&amp;RIGHT("0"&amp;MONTH(A788),2)&amp;"."&amp;YEAR(A788)&amp;": "&amp;INDEX('Zgłoszenia'!$H$5:$H$504,MATCH(H788,'Zgłoszenia'!$S$5:$S$504,0)),RIGHT("0"&amp;DAY((A788+1)),2)&amp;"."&amp;RIGHT("0"&amp;MONTH((A788+1)),2)&amp;"."&amp;YEAR((A788+1))&amp;": "&amp;INDEX('Zgłoszenia'!$H$5:$H$504,MATCH(F788&amp;"|"&amp;(A788+1),'Zgłoszenia'!$S$5:$S$504,0)))&amp;IF(K788&gt;1," (+"&amp;(K788-1)&amp;")",""))</f>
        <v/>
      </c>
      <c r="M788" s="63" t="n">
        <v>10</v>
      </c>
      <c r="N788" s="2" t="n"/>
      <c r="O788" s="2" t="n"/>
    </row>
    <row r="789">
      <c r="A789" s="62">
        <f>IF('10'!$C$1="","",'10'!$C$1)</f>
        <v/>
      </c>
      <c r="B789" s="63">
        <f>Ustawienia!$A$10&amp;""</f>
        <v/>
      </c>
      <c r="C789" s="63">
        <f>Ustawienia!$A$14&amp;""</f>
        <v/>
      </c>
      <c r="D789" s="63" t="n">
        <v>5</v>
      </c>
      <c r="E789" s="63">
        <f>IF('10'!J10="","",TRIM('10'!J10&amp;""))</f>
        <v/>
      </c>
      <c r="F789" s="63">
        <f>IF('10'!K10="","",'10'!K10)</f>
        <v/>
      </c>
      <c r="G789" s="63">
        <f>'10'!L10&amp;""</f>
        <v/>
      </c>
      <c r="H789" s="63">
        <f>IF(OR(A789="",F789=""),"",F789&amp;"|"&amp;A789)</f>
        <v/>
      </c>
      <c r="I789" s="63">
        <f>IF(AND(H789&lt;&gt;"",OR('Historia wózka'!$B$4="",F789='Historia wózka'!$B$4),A789&gt;='Historia wózka'!$B$5,A789&lt;='Historia wózka'!$B$6),A789+0.7+(5000-ROW())/10000000,0)</f>
        <v/>
      </c>
      <c r="J789" s="63">
        <f>Ustawienia!$B$10&amp;""</f>
        <v/>
      </c>
      <c r="K789" s="63">
        <f>IF(H789="","",COUNTIFS('Zgłoszenia'!$B$5:$B$504,F789,'Zgłoszenia'!$D$5:$D$504,"&gt;="&amp;A789,'Zgłoszenia'!$D$5:$D$504,"&lt;="&amp;(A789+1)))</f>
        <v/>
      </c>
      <c r="L789" s="63">
        <f>IF(OR(H789="",K789=0),"—",IF(ISNUMBER(MATCH(H789,'Zgłoszenia'!$S$5:$S$504,0)),RIGHT("0"&amp;DAY(A789),2)&amp;"."&amp;RIGHT("0"&amp;MONTH(A789),2)&amp;"."&amp;YEAR(A789)&amp;": "&amp;INDEX('Zgłoszenia'!$H$5:$H$504,MATCH(H789,'Zgłoszenia'!$S$5:$S$504,0)),RIGHT("0"&amp;DAY((A789+1)),2)&amp;"."&amp;RIGHT("0"&amp;MONTH((A789+1)),2)&amp;"."&amp;YEAR((A789+1))&amp;": "&amp;INDEX('Zgłoszenia'!$H$5:$H$504,MATCH(F789&amp;"|"&amp;(A789+1),'Zgłoszenia'!$S$5:$S$504,0)))&amp;IF(K789&gt;1," (+"&amp;(K789-1)&amp;")",""))</f>
        <v/>
      </c>
      <c r="M789" s="63" t="n">
        <v>10</v>
      </c>
      <c r="N789" s="2" t="n"/>
      <c r="O789" s="2" t="n"/>
    </row>
    <row r="790">
      <c r="A790" s="62">
        <f>IF('10'!$C$1="","",'10'!$C$1)</f>
        <v/>
      </c>
      <c r="B790" s="63">
        <f>Ustawienia!$A$10&amp;""</f>
        <v/>
      </c>
      <c r="C790" s="63">
        <f>Ustawienia!$A$14&amp;""</f>
        <v/>
      </c>
      <c r="D790" s="63" t="n">
        <v>6</v>
      </c>
      <c r="E790" s="63">
        <f>IF('10'!J11="","",TRIM('10'!J11&amp;""))</f>
        <v/>
      </c>
      <c r="F790" s="63">
        <f>IF('10'!K11="","",'10'!K11)</f>
        <v/>
      </c>
      <c r="G790" s="63">
        <f>'10'!L11&amp;""</f>
        <v/>
      </c>
      <c r="H790" s="63">
        <f>IF(OR(A790="",F790=""),"",F790&amp;"|"&amp;A790)</f>
        <v/>
      </c>
      <c r="I790" s="63">
        <f>IF(AND(H790&lt;&gt;"",OR('Historia wózka'!$B$4="",F790='Historia wózka'!$B$4),A790&gt;='Historia wózka'!$B$5,A790&lt;='Historia wózka'!$B$6),A790+0.7+(5000-ROW())/10000000,0)</f>
        <v/>
      </c>
      <c r="J790" s="63">
        <f>Ustawienia!$B$10&amp;""</f>
        <v/>
      </c>
      <c r="K790" s="63">
        <f>IF(H790="","",COUNTIFS('Zgłoszenia'!$B$5:$B$504,F790,'Zgłoszenia'!$D$5:$D$504,"&gt;="&amp;A790,'Zgłoszenia'!$D$5:$D$504,"&lt;="&amp;(A790+1)))</f>
        <v/>
      </c>
      <c r="L790" s="63">
        <f>IF(OR(H790="",K790=0),"—",IF(ISNUMBER(MATCH(H790,'Zgłoszenia'!$S$5:$S$504,0)),RIGHT("0"&amp;DAY(A790),2)&amp;"."&amp;RIGHT("0"&amp;MONTH(A790),2)&amp;"."&amp;YEAR(A790)&amp;": "&amp;INDEX('Zgłoszenia'!$H$5:$H$504,MATCH(H790,'Zgłoszenia'!$S$5:$S$504,0)),RIGHT("0"&amp;DAY((A790+1)),2)&amp;"."&amp;RIGHT("0"&amp;MONTH((A790+1)),2)&amp;"."&amp;YEAR((A790+1))&amp;": "&amp;INDEX('Zgłoszenia'!$H$5:$H$504,MATCH(F790&amp;"|"&amp;(A790+1),'Zgłoszenia'!$S$5:$S$504,0)))&amp;IF(K790&gt;1," (+"&amp;(K790-1)&amp;")",""))</f>
        <v/>
      </c>
      <c r="M790" s="63" t="n">
        <v>10</v>
      </c>
      <c r="N790" s="2" t="n"/>
      <c r="O790" s="2" t="n"/>
    </row>
    <row r="791">
      <c r="A791" s="62">
        <f>IF('10'!$C$1="","",'10'!$C$1)</f>
        <v/>
      </c>
      <c r="B791" s="63">
        <f>Ustawienia!$A$10&amp;""</f>
        <v/>
      </c>
      <c r="C791" s="63">
        <f>Ustawienia!$A$15&amp;""</f>
        <v/>
      </c>
      <c r="D791" s="63" t="n">
        <v>1</v>
      </c>
      <c r="E791" s="63">
        <f>IF('10'!J13="","",TRIM('10'!J13&amp;""))</f>
        <v/>
      </c>
      <c r="F791" s="63">
        <f>IF('10'!K13="","",'10'!K13)</f>
        <v/>
      </c>
      <c r="G791" s="63">
        <f>'10'!L13&amp;""</f>
        <v/>
      </c>
      <c r="H791" s="63">
        <f>IF(OR(A791="",F791=""),"",F791&amp;"|"&amp;A791)</f>
        <v/>
      </c>
      <c r="I791" s="63">
        <f>IF(AND(H791&lt;&gt;"",OR('Historia wózka'!$B$4="",F791='Historia wózka'!$B$4),A791&gt;='Historia wózka'!$B$5,A791&lt;='Historia wózka'!$B$6),A791+0.7+(5000-ROW())/10000000,0)</f>
        <v/>
      </c>
      <c r="J791" s="63">
        <f>Ustawienia!$B$10&amp;""</f>
        <v/>
      </c>
      <c r="K791" s="63">
        <f>IF(H791="","",COUNTIFS('Zgłoszenia'!$B$5:$B$504,F791,'Zgłoszenia'!$D$5:$D$504,"&gt;="&amp;A791,'Zgłoszenia'!$D$5:$D$504,"&lt;="&amp;(A791+1)))</f>
        <v/>
      </c>
      <c r="L791" s="63">
        <f>IF(OR(H791="",K791=0),"—",IF(ISNUMBER(MATCH(H791,'Zgłoszenia'!$S$5:$S$504,0)),RIGHT("0"&amp;DAY(A791),2)&amp;"."&amp;RIGHT("0"&amp;MONTH(A791),2)&amp;"."&amp;YEAR(A791)&amp;": "&amp;INDEX('Zgłoszenia'!$H$5:$H$504,MATCH(H791,'Zgłoszenia'!$S$5:$S$504,0)),RIGHT("0"&amp;DAY((A791+1)),2)&amp;"."&amp;RIGHT("0"&amp;MONTH((A791+1)),2)&amp;"."&amp;YEAR((A791+1))&amp;": "&amp;INDEX('Zgłoszenia'!$H$5:$H$504,MATCH(F791&amp;"|"&amp;(A791+1),'Zgłoszenia'!$S$5:$S$504,0)))&amp;IF(K791&gt;1," (+"&amp;(K791-1)&amp;")",""))</f>
        <v/>
      </c>
      <c r="M791" s="63" t="n">
        <v>10</v>
      </c>
      <c r="N791" s="2" t="n"/>
      <c r="O791" s="2" t="n"/>
    </row>
    <row r="792">
      <c r="A792" s="62">
        <f>IF('10'!$C$1="","",'10'!$C$1)</f>
        <v/>
      </c>
      <c r="B792" s="63">
        <f>Ustawienia!$A$10&amp;""</f>
        <v/>
      </c>
      <c r="C792" s="63">
        <f>Ustawienia!$A$15&amp;""</f>
        <v/>
      </c>
      <c r="D792" s="63" t="n">
        <v>2</v>
      </c>
      <c r="E792" s="63">
        <f>IF('10'!J14="","",TRIM('10'!J14&amp;""))</f>
        <v/>
      </c>
      <c r="F792" s="63">
        <f>IF('10'!K14="","",'10'!K14)</f>
        <v/>
      </c>
      <c r="G792" s="63">
        <f>'10'!L14&amp;""</f>
        <v/>
      </c>
      <c r="H792" s="63">
        <f>IF(OR(A792="",F792=""),"",F792&amp;"|"&amp;A792)</f>
        <v/>
      </c>
      <c r="I792" s="63">
        <f>IF(AND(H792&lt;&gt;"",OR('Historia wózka'!$B$4="",F792='Historia wózka'!$B$4),A792&gt;='Historia wózka'!$B$5,A792&lt;='Historia wózka'!$B$6),A792+0.7+(5000-ROW())/10000000,0)</f>
        <v/>
      </c>
      <c r="J792" s="63">
        <f>Ustawienia!$B$10&amp;""</f>
        <v/>
      </c>
      <c r="K792" s="63">
        <f>IF(H792="","",COUNTIFS('Zgłoszenia'!$B$5:$B$504,F792,'Zgłoszenia'!$D$5:$D$504,"&gt;="&amp;A792,'Zgłoszenia'!$D$5:$D$504,"&lt;="&amp;(A792+1)))</f>
        <v/>
      </c>
      <c r="L792" s="63">
        <f>IF(OR(H792="",K792=0),"—",IF(ISNUMBER(MATCH(H792,'Zgłoszenia'!$S$5:$S$504,0)),RIGHT("0"&amp;DAY(A792),2)&amp;"."&amp;RIGHT("0"&amp;MONTH(A792),2)&amp;"."&amp;YEAR(A792)&amp;": "&amp;INDEX('Zgłoszenia'!$H$5:$H$504,MATCH(H792,'Zgłoszenia'!$S$5:$S$504,0)),RIGHT("0"&amp;DAY((A792+1)),2)&amp;"."&amp;RIGHT("0"&amp;MONTH((A792+1)),2)&amp;"."&amp;YEAR((A792+1))&amp;": "&amp;INDEX('Zgłoszenia'!$H$5:$H$504,MATCH(F792&amp;"|"&amp;(A792+1),'Zgłoszenia'!$S$5:$S$504,0)))&amp;IF(K792&gt;1," (+"&amp;(K792-1)&amp;")",""))</f>
        <v/>
      </c>
      <c r="M792" s="63" t="n">
        <v>10</v>
      </c>
      <c r="N792" s="2" t="n"/>
      <c r="O792" s="2" t="n"/>
    </row>
    <row r="793">
      <c r="A793" s="62">
        <f>IF('10'!$C$1="","",'10'!$C$1)</f>
        <v/>
      </c>
      <c r="B793" s="63">
        <f>Ustawienia!$A$10&amp;""</f>
        <v/>
      </c>
      <c r="C793" s="63">
        <f>Ustawienia!$A$15&amp;""</f>
        <v/>
      </c>
      <c r="D793" s="63" t="n">
        <v>3</v>
      </c>
      <c r="E793" s="63">
        <f>IF('10'!J15="","",TRIM('10'!J15&amp;""))</f>
        <v/>
      </c>
      <c r="F793" s="63">
        <f>IF('10'!K15="","",'10'!K15)</f>
        <v/>
      </c>
      <c r="G793" s="63">
        <f>'10'!L15&amp;""</f>
        <v/>
      </c>
      <c r="H793" s="63">
        <f>IF(OR(A793="",F793=""),"",F793&amp;"|"&amp;A793)</f>
        <v/>
      </c>
      <c r="I793" s="63">
        <f>IF(AND(H793&lt;&gt;"",OR('Historia wózka'!$B$4="",F793='Historia wózka'!$B$4),A793&gt;='Historia wózka'!$B$5,A793&lt;='Historia wózka'!$B$6),A793+0.7+(5000-ROW())/10000000,0)</f>
        <v/>
      </c>
      <c r="J793" s="63">
        <f>Ustawienia!$B$10&amp;""</f>
        <v/>
      </c>
      <c r="K793" s="63">
        <f>IF(H793="","",COUNTIFS('Zgłoszenia'!$B$5:$B$504,F793,'Zgłoszenia'!$D$5:$D$504,"&gt;="&amp;A793,'Zgłoszenia'!$D$5:$D$504,"&lt;="&amp;(A793+1)))</f>
        <v/>
      </c>
      <c r="L793" s="63">
        <f>IF(OR(H793="",K793=0),"—",IF(ISNUMBER(MATCH(H793,'Zgłoszenia'!$S$5:$S$504,0)),RIGHT("0"&amp;DAY(A793),2)&amp;"."&amp;RIGHT("0"&amp;MONTH(A793),2)&amp;"."&amp;YEAR(A793)&amp;": "&amp;INDEX('Zgłoszenia'!$H$5:$H$504,MATCH(H793,'Zgłoszenia'!$S$5:$S$504,0)),RIGHT("0"&amp;DAY((A793+1)),2)&amp;"."&amp;RIGHT("0"&amp;MONTH((A793+1)),2)&amp;"."&amp;YEAR((A793+1))&amp;": "&amp;INDEX('Zgłoszenia'!$H$5:$H$504,MATCH(F793&amp;"|"&amp;(A793+1),'Zgłoszenia'!$S$5:$S$504,0)))&amp;IF(K793&gt;1," (+"&amp;(K793-1)&amp;")",""))</f>
        <v/>
      </c>
      <c r="M793" s="63" t="n">
        <v>10</v>
      </c>
      <c r="N793" s="2" t="n"/>
      <c r="O793" s="2" t="n"/>
    </row>
    <row r="794">
      <c r="A794" s="62">
        <f>IF('10'!$C$1="","",'10'!$C$1)</f>
        <v/>
      </c>
      <c r="B794" s="63">
        <f>Ustawienia!$A$10&amp;""</f>
        <v/>
      </c>
      <c r="C794" s="63">
        <f>Ustawienia!$A$15&amp;""</f>
        <v/>
      </c>
      <c r="D794" s="63" t="n">
        <v>4</v>
      </c>
      <c r="E794" s="63">
        <f>IF('10'!J16="","",TRIM('10'!J16&amp;""))</f>
        <v/>
      </c>
      <c r="F794" s="63">
        <f>IF('10'!K16="","",'10'!K16)</f>
        <v/>
      </c>
      <c r="G794" s="63">
        <f>'10'!L16&amp;""</f>
        <v/>
      </c>
      <c r="H794" s="63">
        <f>IF(OR(A794="",F794=""),"",F794&amp;"|"&amp;A794)</f>
        <v/>
      </c>
      <c r="I794" s="63">
        <f>IF(AND(H794&lt;&gt;"",OR('Historia wózka'!$B$4="",F794='Historia wózka'!$B$4),A794&gt;='Historia wózka'!$B$5,A794&lt;='Historia wózka'!$B$6),A794+0.7+(5000-ROW())/10000000,0)</f>
        <v/>
      </c>
      <c r="J794" s="63">
        <f>Ustawienia!$B$10&amp;""</f>
        <v/>
      </c>
      <c r="K794" s="63">
        <f>IF(H794="","",COUNTIFS('Zgłoszenia'!$B$5:$B$504,F794,'Zgłoszenia'!$D$5:$D$504,"&gt;="&amp;A794,'Zgłoszenia'!$D$5:$D$504,"&lt;="&amp;(A794+1)))</f>
        <v/>
      </c>
      <c r="L794" s="63">
        <f>IF(OR(H794="",K794=0),"—",IF(ISNUMBER(MATCH(H794,'Zgłoszenia'!$S$5:$S$504,0)),RIGHT("0"&amp;DAY(A794),2)&amp;"."&amp;RIGHT("0"&amp;MONTH(A794),2)&amp;"."&amp;YEAR(A794)&amp;": "&amp;INDEX('Zgłoszenia'!$H$5:$H$504,MATCH(H794,'Zgłoszenia'!$S$5:$S$504,0)),RIGHT("0"&amp;DAY((A794+1)),2)&amp;"."&amp;RIGHT("0"&amp;MONTH((A794+1)),2)&amp;"."&amp;YEAR((A794+1))&amp;": "&amp;INDEX('Zgłoszenia'!$H$5:$H$504,MATCH(F794&amp;"|"&amp;(A794+1),'Zgłoszenia'!$S$5:$S$504,0)))&amp;IF(K794&gt;1," (+"&amp;(K794-1)&amp;")",""))</f>
        <v/>
      </c>
      <c r="M794" s="63" t="n">
        <v>10</v>
      </c>
      <c r="N794" s="2" t="n"/>
      <c r="O794" s="2" t="n"/>
    </row>
    <row r="795">
      <c r="A795" s="62">
        <f>IF('10'!$C$1="","",'10'!$C$1)</f>
        <v/>
      </c>
      <c r="B795" s="63">
        <f>Ustawienia!$A$10&amp;""</f>
        <v/>
      </c>
      <c r="C795" s="63">
        <f>Ustawienia!$A$15&amp;""</f>
        <v/>
      </c>
      <c r="D795" s="63" t="n">
        <v>5</v>
      </c>
      <c r="E795" s="63">
        <f>IF('10'!J17="","",TRIM('10'!J17&amp;""))</f>
        <v/>
      </c>
      <c r="F795" s="63">
        <f>IF('10'!K17="","",'10'!K17)</f>
        <v/>
      </c>
      <c r="G795" s="63">
        <f>'10'!L17&amp;""</f>
        <v/>
      </c>
      <c r="H795" s="63">
        <f>IF(OR(A795="",F795=""),"",F795&amp;"|"&amp;A795)</f>
        <v/>
      </c>
      <c r="I795" s="63">
        <f>IF(AND(H795&lt;&gt;"",OR('Historia wózka'!$B$4="",F795='Historia wózka'!$B$4),A795&gt;='Historia wózka'!$B$5,A795&lt;='Historia wózka'!$B$6),A795+0.7+(5000-ROW())/10000000,0)</f>
        <v/>
      </c>
      <c r="J795" s="63">
        <f>Ustawienia!$B$10&amp;""</f>
        <v/>
      </c>
      <c r="K795" s="63">
        <f>IF(H795="","",COUNTIFS('Zgłoszenia'!$B$5:$B$504,F795,'Zgłoszenia'!$D$5:$D$504,"&gt;="&amp;A795,'Zgłoszenia'!$D$5:$D$504,"&lt;="&amp;(A795+1)))</f>
        <v/>
      </c>
      <c r="L795" s="63">
        <f>IF(OR(H795="",K795=0),"—",IF(ISNUMBER(MATCH(H795,'Zgłoszenia'!$S$5:$S$504,0)),RIGHT("0"&amp;DAY(A795),2)&amp;"."&amp;RIGHT("0"&amp;MONTH(A795),2)&amp;"."&amp;YEAR(A795)&amp;": "&amp;INDEX('Zgłoszenia'!$H$5:$H$504,MATCH(H795,'Zgłoszenia'!$S$5:$S$504,0)),RIGHT("0"&amp;DAY((A795+1)),2)&amp;"."&amp;RIGHT("0"&amp;MONTH((A795+1)),2)&amp;"."&amp;YEAR((A795+1))&amp;": "&amp;INDEX('Zgłoszenia'!$H$5:$H$504,MATCH(F795&amp;"|"&amp;(A795+1),'Zgłoszenia'!$S$5:$S$504,0)))&amp;IF(K795&gt;1," (+"&amp;(K795-1)&amp;")",""))</f>
        <v/>
      </c>
      <c r="M795" s="63" t="n">
        <v>10</v>
      </c>
      <c r="N795" s="2" t="n"/>
      <c r="O795" s="2" t="n"/>
    </row>
    <row r="796">
      <c r="A796" s="62">
        <f>IF('10'!$C$1="","",'10'!$C$1)</f>
        <v/>
      </c>
      <c r="B796" s="63">
        <f>Ustawienia!$A$10&amp;""</f>
        <v/>
      </c>
      <c r="C796" s="63">
        <f>Ustawienia!$A$15&amp;""</f>
        <v/>
      </c>
      <c r="D796" s="63" t="n">
        <v>6</v>
      </c>
      <c r="E796" s="63">
        <f>IF('10'!J18="","",TRIM('10'!J18&amp;""))</f>
        <v/>
      </c>
      <c r="F796" s="63">
        <f>IF('10'!K18="","",'10'!K18)</f>
        <v/>
      </c>
      <c r="G796" s="63">
        <f>'10'!L18&amp;""</f>
        <v/>
      </c>
      <c r="H796" s="63">
        <f>IF(OR(A796="",F796=""),"",F796&amp;"|"&amp;A796)</f>
        <v/>
      </c>
      <c r="I796" s="63">
        <f>IF(AND(H796&lt;&gt;"",OR('Historia wózka'!$B$4="",F796='Historia wózka'!$B$4),A796&gt;='Historia wózka'!$B$5,A796&lt;='Historia wózka'!$B$6),A796+0.7+(5000-ROW())/10000000,0)</f>
        <v/>
      </c>
      <c r="J796" s="63">
        <f>Ustawienia!$B$10&amp;""</f>
        <v/>
      </c>
      <c r="K796" s="63">
        <f>IF(H796="","",COUNTIFS('Zgłoszenia'!$B$5:$B$504,F796,'Zgłoszenia'!$D$5:$D$504,"&gt;="&amp;A796,'Zgłoszenia'!$D$5:$D$504,"&lt;="&amp;(A796+1)))</f>
        <v/>
      </c>
      <c r="L796" s="63">
        <f>IF(OR(H796="",K796=0),"—",IF(ISNUMBER(MATCH(H796,'Zgłoszenia'!$S$5:$S$504,0)),RIGHT("0"&amp;DAY(A796),2)&amp;"."&amp;RIGHT("0"&amp;MONTH(A796),2)&amp;"."&amp;YEAR(A796)&amp;": "&amp;INDEX('Zgłoszenia'!$H$5:$H$504,MATCH(H796,'Zgłoszenia'!$S$5:$S$504,0)),RIGHT("0"&amp;DAY((A796+1)),2)&amp;"."&amp;RIGHT("0"&amp;MONTH((A796+1)),2)&amp;"."&amp;YEAR((A796+1))&amp;": "&amp;INDEX('Zgłoszenia'!$H$5:$H$504,MATCH(F796&amp;"|"&amp;(A796+1),'Zgłoszenia'!$S$5:$S$504,0)))&amp;IF(K796&gt;1," (+"&amp;(K796-1)&amp;")",""))</f>
        <v/>
      </c>
      <c r="M796" s="63" t="n">
        <v>10</v>
      </c>
      <c r="N796" s="2" t="n"/>
      <c r="O796" s="2" t="n"/>
    </row>
    <row r="797">
      <c r="A797" s="62">
        <f>IF('10'!$C$1="","",'10'!$C$1)</f>
        <v/>
      </c>
      <c r="B797" s="63">
        <f>Ustawienia!$A$10&amp;""</f>
        <v/>
      </c>
      <c r="C797" s="63">
        <f>Ustawienia!$A$15&amp;""</f>
        <v/>
      </c>
      <c r="D797" s="63" t="n">
        <v>7</v>
      </c>
      <c r="E797" s="63">
        <f>IF('10'!J19="","",TRIM('10'!J19&amp;""))</f>
        <v/>
      </c>
      <c r="F797" s="63">
        <f>IF('10'!K19="","",'10'!K19)</f>
        <v/>
      </c>
      <c r="G797" s="63">
        <f>'10'!L19&amp;""</f>
        <v/>
      </c>
      <c r="H797" s="63">
        <f>IF(OR(A797="",F797=""),"",F797&amp;"|"&amp;A797)</f>
        <v/>
      </c>
      <c r="I797" s="63">
        <f>IF(AND(H797&lt;&gt;"",OR('Historia wózka'!$B$4="",F797='Historia wózka'!$B$4),A797&gt;='Historia wózka'!$B$5,A797&lt;='Historia wózka'!$B$6),A797+0.7+(5000-ROW())/10000000,0)</f>
        <v/>
      </c>
      <c r="J797" s="63">
        <f>Ustawienia!$B$10&amp;""</f>
        <v/>
      </c>
      <c r="K797" s="63">
        <f>IF(H797="","",COUNTIFS('Zgłoszenia'!$B$5:$B$504,F797,'Zgłoszenia'!$D$5:$D$504,"&gt;="&amp;A797,'Zgłoszenia'!$D$5:$D$504,"&lt;="&amp;(A797+1)))</f>
        <v/>
      </c>
      <c r="L797" s="63">
        <f>IF(OR(H797="",K797=0),"—",IF(ISNUMBER(MATCH(H797,'Zgłoszenia'!$S$5:$S$504,0)),RIGHT("0"&amp;DAY(A797),2)&amp;"."&amp;RIGHT("0"&amp;MONTH(A797),2)&amp;"."&amp;YEAR(A797)&amp;": "&amp;INDEX('Zgłoszenia'!$H$5:$H$504,MATCH(H797,'Zgłoszenia'!$S$5:$S$504,0)),RIGHT("0"&amp;DAY((A797+1)),2)&amp;"."&amp;RIGHT("0"&amp;MONTH((A797+1)),2)&amp;"."&amp;YEAR((A797+1))&amp;": "&amp;INDEX('Zgłoszenia'!$H$5:$H$504,MATCH(F797&amp;"|"&amp;(A797+1),'Zgłoszenia'!$S$5:$S$504,0)))&amp;IF(K797&gt;1," (+"&amp;(K797-1)&amp;")",""))</f>
        <v/>
      </c>
      <c r="M797" s="63" t="n">
        <v>10</v>
      </c>
      <c r="N797" s="2" t="n"/>
      <c r="O797" s="2" t="n"/>
    </row>
    <row r="798">
      <c r="A798" s="62">
        <f>IF('10'!$C$1="","",'10'!$C$1)</f>
        <v/>
      </c>
      <c r="B798" s="63">
        <f>Ustawienia!$A$10&amp;""</f>
        <v/>
      </c>
      <c r="C798" s="63">
        <f>Ustawienia!$A$15&amp;""</f>
        <v/>
      </c>
      <c r="D798" s="63" t="n">
        <v>8</v>
      </c>
      <c r="E798" s="63">
        <f>IF('10'!J20="","",TRIM('10'!J20&amp;""))</f>
        <v/>
      </c>
      <c r="F798" s="63">
        <f>IF('10'!K20="","",'10'!K20)</f>
        <v/>
      </c>
      <c r="G798" s="63">
        <f>'10'!L20&amp;""</f>
        <v/>
      </c>
      <c r="H798" s="63">
        <f>IF(OR(A798="",F798=""),"",F798&amp;"|"&amp;A798)</f>
        <v/>
      </c>
      <c r="I798" s="63">
        <f>IF(AND(H798&lt;&gt;"",OR('Historia wózka'!$B$4="",F798='Historia wózka'!$B$4),A798&gt;='Historia wózka'!$B$5,A798&lt;='Historia wózka'!$B$6),A798+0.7+(5000-ROW())/10000000,0)</f>
        <v/>
      </c>
      <c r="J798" s="63">
        <f>Ustawienia!$B$10&amp;""</f>
        <v/>
      </c>
      <c r="K798" s="63">
        <f>IF(H798="","",COUNTIFS('Zgłoszenia'!$B$5:$B$504,F798,'Zgłoszenia'!$D$5:$D$504,"&gt;="&amp;A798,'Zgłoszenia'!$D$5:$D$504,"&lt;="&amp;(A798+1)))</f>
        <v/>
      </c>
      <c r="L798" s="63">
        <f>IF(OR(H798="",K798=0),"—",IF(ISNUMBER(MATCH(H798,'Zgłoszenia'!$S$5:$S$504,0)),RIGHT("0"&amp;DAY(A798),2)&amp;"."&amp;RIGHT("0"&amp;MONTH(A798),2)&amp;"."&amp;YEAR(A798)&amp;": "&amp;INDEX('Zgłoszenia'!$H$5:$H$504,MATCH(H798,'Zgłoszenia'!$S$5:$S$504,0)),RIGHT("0"&amp;DAY((A798+1)),2)&amp;"."&amp;RIGHT("0"&amp;MONTH((A798+1)),2)&amp;"."&amp;YEAR((A798+1))&amp;": "&amp;INDEX('Zgłoszenia'!$H$5:$H$504,MATCH(F798&amp;"|"&amp;(A798+1),'Zgłoszenia'!$S$5:$S$504,0)))&amp;IF(K798&gt;1," (+"&amp;(K798-1)&amp;")",""))</f>
        <v/>
      </c>
      <c r="M798" s="63" t="n">
        <v>10</v>
      </c>
      <c r="N798" s="2" t="n"/>
      <c r="O798" s="2" t="n"/>
    </row>
    <row r="799">
      <c r="A799" s="62">
        <f>IF('10'!$C$1="","",'10'!$C$1)</f>
        <v/>
      </c>
      <c r="B799" s="63">
        <f>Ustawienia!$A$10&amp;""</f>
        <v/>
      </c>
      <c r="C799" s="63">
        <f>Ustawienia!$A$16&amp;""</f>
        <v/>
      </c>
      <c r="D799" s="63" t="n">
        <v>1</v>
      </c>
      <c r="E799" s="63">
        <f>IF('10'!J22="","",TRIM('10'!J22&amp;""))</f>
        <v/>
      </c>
      <c r="F799" s="63">
        <f>IF('10'!K22="","",'10'!K22)</f>
        <v/>
      </c>
      <c r="G799" s="63">
        <f>'10'!L22&amp;""</f>
        <v/>
      </c>
      <c r="H799" s="63">
        <f>IF(OR(A799="",F799=""),"",F799&amp;"|"&amp;A799)</f>
        <v/>
      </c>
      <c r="I799" s="63">
        <f>IF(AND(H799&lt;&gt;"",OR('Historia wózka'!$B$4="",F799='Historia wózka'!$B$4),A799&gt;='Historia wózka'!$B$5,A799&lt;='Historia wózka'!$B$6),A799+0.7+(5000-ROW())/10000000,0)</f>
        <v/>
      </c>
      <c r="J799" s="63">
        <f>Ustawienia!$B$10&amp;""</f>
        <v/>
      </c>
      <c r="K799" s="63">
        <f>IF(H799="","",COUNTIFS('Zgłoszenia'!$B$5:$B$504,F799,'Zgłoszenia'!$D$5:$D$504,"&gt;="&amp;A799,'Zgłoszenia'!$D$5:$D$504,"&lt;="&amp;(A799+1)))</f>
        <v/>
      </c>
      <c r="L799" s="63">
        <f>IF(OR(H799="",K799=0),"—",IF(ISNUMBER(MATCH(H799,'Zgłoszenia'!$S$5:$S$504,0)),RIGHT("0"&amp;DAY(A799),2)&amp;"."&amp;RIGHT("0"&amp;MONTH(A799),2)&amp;"."&amp;YEAR(A799)&amp;": "&amp;INDEX('Zgłoszenia'!$H$5:$H$504,MATCH(H799,'Zgłoszenia'!$S$5:$S$504,0)),RIGHT("0"&amp;DAY((A799+1)),2)&amp;"."&amp;RIGHT("0"&amp;MONTH((A799+1)),2)&amp;"."&amp;YEAR((A799+1))&amp;": "&amp;INDEX('Zgłoszenia'!$H$5:$H$504,MATCH(F799&amp;"|"&amp;(A799+1),'Zgłoszenia'!$S$5:$S$504,0)))&amp;IF(K799&gt;1," (+"&amp;(K799-1)&amp;")",""))</f>
        <v/>
      </c>
      <c r="M799" s="63" t="n">
        <v>10</v>
      </c>
      <c r="N799" s="2" t="n"/>
      <c r="O799" s="2" t="n"/>
    </row>
    <row r="800">
      <c r="A800" s="62">
        <f>IF('10'!$C$1="","",'10'!$C$1)</f>
        <v/>
      </c>
      <c r="B800" s="63">
        <f>Ustawienia!$A$10&amp;""</f>
        <v/>
      </c>
      <c r="C800" s="63">
        <f>Ustawienia!$A$16&amp;""</f>
        <v/>
      </c>
      <c r="D800" s="63" t="n">
        <v>2</v>
      </c>
      <c r="E800" s="63">
        <f>IF('10'!J23="","",TRIM('10'!J23&amp;""))</f>
        <v/>
      </c>
      <c r="F800" s="63">
        <f>IF('10'!K23="","",'10'!K23)</f>
        <v/>
      </c>
      <c r="G800" s="63">
        <f>'10'!L23&amp;""</f>
        <v/>
      </c>
      <c r="H800" s="63">
        <f>IF(OR(A800="",F800=""),"",F800&amp;"|"&amp;A800)</f>
        <v/>
      </c>
      <c r="I800" s="63">
        <f>IF(AND(H800&lt;&gt;"",OR('Historia wózka'!$B$4="",F800='Historia wózka'!$B$4),A800&gt;='Historia wózka'!$B$5,A800&lt;='Historia wózka'!$B$6),A800+0.7+(5000-ROW())/10000000,0)</f>
        <v/>
      </c>
      <c r="J800" s="63">
        <f>Ustawienia!$B$10&amp;""</f>
        <v/>
      </c>
      <c r="K800" s="63">
        <f>IF(H800="","",COUNTIFS('Zgłoszenia'!$B$5:$B$504,F800,'Zgłoszenia'!$D$5:$D$504,"&gt;="&amp;A800,'Zgłoszenia'!$D$5:$D$504,"&lt;="&amp;(A800+1)))</f>
        <v/>
      </c>
      <c r="L800" s="63">
        <f>IF(OR(H800="",K800=0),"—",IF(ISNUMBER(MATCH(H800,'Zgłoszenia'!$S$5:$S$504,0)),RIGHT("0"&amp;DAY(A800),2)&amp;"."&amp;RIGHT("0"&amp;MONTH(A800),2)&amp;"."&amp;YEAR(A800)&amp;": "&amp;INDEX('Zgłoszenia'!$H$5:$H$504,MATCH(H800,'Zgłoszenia'!$S$5:$S$504,0)),RIGHT("0"&amp;DAY((A800+1)),2)&amp;"."&amp;RIGHT("0"&amp;MONTH((A800+1)),2)&amp;"."&amp;YEAR((A800+1))&amp;": "&amp;INDEX('Zgłoszenia'!$H$5:$H$504,MATCH(F800&amp;"|"&amp;(A800+1),'Zgłoszenia'!$S$5:$S$504,0)))&amp;IF(K800&gt;1," (+"&amp;(K800-1)&amp;")",""))</f>
        <v/>
      </c>
      <c r="M800" s="63" t="n">
        <v>10</v>
      </c>
      <c r="N800" s="2" t="n"/>
      <c r="O800" s="2" t="n"/>
    </row>
    <row r="801">
      <c r="A801" s="62">
        <f>IF('10'!$C$1="","",'10'!$C$1)</f>
        <v/>
      </c>
      <c r="B801" s="63">
        <f>Ustawienia!$A$10&amp;""</f>
        <v/>
      </c>
      <c r="C801" s="63">
        <f>Ustawienia!$A$16&amp;""</f>
        <v/>
      </c>
      <c r="D801" s="63" t="n">
        <v>3</v>
      </c>
      <c r="E801" s="63">
        <f>IF('10'!J24="","",TRIM('10'!J24&amp;""))</f>
        <v/>
      </c>
      <c r="F801" s="63">
        <f>IF('10'!K24="","",'10'!K24)</f>
        <v/>
      </c>
      <c r="G801" s="63">
        <f>'10'!L24&amp;""</f>
        <v/>
      </c>
      <c r="H801" s="63">
        <f>IF(OR(A801="",F801=""),"",F801&amp;"|"&amp;A801)</f>
        <v/>
      </c>
      <c r="I801" s="63">
        <f>IF(AND(H801&lt;&gt;"",OR('Historia wózka'!$B$4="",F801='Historia wózka'!$B$4),A801&gt;='Historia wózka'!$B$5,A801&lt;='Historia wózka'!$B$6),A801+0.7+(5000-ROW())/10000000,0)</f>
        <v/>
      </c>
      <c r="J801" s="63">
        <f>Ustawienia!$B$10&amp;""</f>
        <v/>
      </c>
      <c r="K801" s="63">
        <f>IF(H801="","",COUNTIFS('Zgłoszenia'!$B$5:$B$504,F801,'Zgłoszenia'!$D$5:$D$504,"&gt;="&amp;A801,'Zgłoszenia'!$D$5:$D$504,"&lt;="&amp;(A801+1)))</f>
        <v/>
      </c>
      <c r="L801" s="63">
        <f>IF(OR(H801="",K801=0),"—",IF(ISNUMBER(MATCH(H801,'Zgłoszenia'!$S$5:$S$504,0)),RIGHT("0"&amp;DAY(A801),2)&amp;"."&amp;RIGHT("0"&amp;MONTH(A801),2)&amp;"."&amp;YEAR(A801)&amp;": "&amp;INDEX('Zgłoszenia'!$H$5:$H$504,MATCH(H801,'Zgłoszenia'!$S$5:$S$504,0)),RIGHT("0"&amp;DAY((A801+1)),2)&amp;"."&amp;RIGHT("0"&amp;MONTH((A801+1)),2)&amp;"."&amp;YEAR((A801+1))&amp;": "&amp;INDEX('Zgłoszenia'!$H$5:$H$504,MATCH(F801&amp;"|"&amp;(A801+1),'Zgłoszenia'!$S$5:$S$504,0)))&amp;IF(K801&gt;1," (+"&amp;(K801-1)&amp;")",""))</f>
        <v/>
      </c>
      <c r="M801" s="63" t="n">
        <v>10</v>
      </c>
      <c r="N801" s="2" t="n"/>
      <c r="O801" s="2" t="n"/>
    </row>
    <row r="802">
      <c r="A802" s="62">
        <f>IF('10'!$C$1="","",'10'!$C$1)</f>
        <v/>
      </c>
      <c r="B802" s="63">
        <f>Ustawienia!$A$10&amp;""</f>
        <v/>
      </c>
      <c r="C802" s="63">
        <f>Ustawienia!$A$16&amp;""</f>
        <v/>
      </c>
      <c r="D802" s="63" t="n">
        <v>4</v>
      </c>
      <c r="E802" s="63">
        <f>IF('10'!J25="","",TRIM('10'!J25&amp;""))</f>
        <v/>
      </c>
      <c r="F802" s="63">
        <f>IF('10'!K25="","",'10'!K25)</f>
        <v/>
      </c>
      <c r="G802" s="63">
        <f>'10'!L25&amp;""</f>
        <v/>
      </c>
      <c r="H802" s="63">
        <f>IF(OR(A802="",F802=""),"",F802&amp;"|"&amp;A802)</f>
        <v/>
      </c>
      <c r="I802" s="63">
        <f>IF(AND(H802&lt;&gt;"",OR('Historia wózka'!$B$4="",F802='Historia wózka'!$B$4),A802&gt;='Historia wózka'!$B$5,A802&lt;='Historia wózka'!$B$6),A802+0.7+(5000-ROW())/10000000,0)</f>
        <v/>
      </c>
      <c r="J802" s="63">
        <f>Ustawienia!$B$10&amp;""</f>
        <v/>
      </c>
      <c r="K802" s="63">
        <f>IF(H802="","",COUNTIFS('Zgłoszenia'!$B$5:$B$504,F802,'Zgłoszenia'!$D$5:$D$504,"&gt;="&amp;A802,'Zgłoszenia'!$D$5:$D$504,"&lt;="&amp;(A802+1)))</f>
        <v/>
      </c>
      <c r="L802" s="63">
        <f>IF(OR(H802="",K802=0),"—",IF(ISNUMBER(MATCH(H802,'Zgłoszenia'!$S$5:$S$504,0)),RIGHT("0"&amp;DAY(A802),2)&amp;"."&amp;RIGHT("0"&amp;MONTH(A802),2)&amp;"."&amp;YEAR(A802)&amp;": "&amp;INDEX('Zgłoszenia'!$H$5:$H$504,MATCH(H802,'Zgłoszenia'!$S$5:$S$504,0)),RIGHT("0"&amp;DAY((A802+1)),2)&amp;"."&amp;RIGHT("0"&amp;MONTH((A802+1)),2)&amp;"."&amp;YEAR((A802+1))&amp;": "&amp;INDEX('Zgłoszenia'!$H$5:$H$504,MATCH(F802&amp;"|"&amp;(A802+1),'Zgłoszenia'!$S$5:$S$504,0)))&amp;IF(K802&gt;1," (+"&amp;(K802-1)&amp;")",""))</f>
        <v/>
      </c>
      <c r="M802" s="63" t="n">
        <v>10</v>
      </c>
      <c r="N802" s="2" t="n"/>
      <c r="O802" s="2" t="n"/>
    </row>
    <row r="803">
      <c r="A803" s="62">
        <f>IF('10'!$C$1="","",'10'!$C$1)</f>
        <v/>
      </c>
      <c r="B803" s="63">
        <f>Ustawienia!$A$10&amp;""</f>
        <v/>
      </c>
      <c r="C803" s="63">
        <f>Ustawienia!$A$17&amp;""</f>
        <v/>
      </c>
      <c r="D803" s="63" t="n">
        <v>1</v>
      </c>
      <c r="E803" s="63">
        <f>IF('10'!J27="","",TRIM('10'!J27&amp;""))</f>
        <v/>
      </c>
      <c r="F803" s="63">
        <f>IF('10'!K27="","",'10'!K27)</f>
        <v/>
      </c>
      <c r="G803" s="63">
        <f>'10'!L27&amp;""</f>
        <v/>
      </c>
      <c r="H803" s="63">
        <f>IF(OR(A803="",F803=""),"",F803&amp;"|"&amp;A803)</f>
        <v/>
      </c>
      <c r="I803" s="63">
        <f>IF(AND(H803&lt;&gt;"",OR('Historia wózka'!$B$4="",F803='Historia wózka'!$B$4),A803&gt;='Historia wózka'!$B$5,A803&lt;='Historia wózka'!$B$6),A803+0.7+(5000-ROW())/10000000,0)</f>
        <v/>
      </c>
      <c r="J803" s="63">
        <f>Ustawienia!$B$10&amp;""</f>
        <v/>
      </c>
      <c r="K803" s="63">
        <f>IF(H803="","",COUNTIFS('Zgłoszenia'!$B$5:$B$504,F803,'Zgłoszenia'!$D$5:$D$504,"&gt;="&amp;A803,'Zgłoszenia'!$D$5:$D$504,"&lt;="&amp;(A803+1)))</f>
        <v/>
      </c>
      <c r="L803" s="63">
        <f>IF(OR(H803="",K803=0),"—",IF(ISNUMBER(MATCH(H803,'Zgłoszenia'!$S$5:$S$504,0)),RIGHT("0"&amp;DAY(A803),2)&amp;"."&amp;RIGHT("0"&amp;MONTH(A803),2)&amp;"."&amp;YEAR(A803)&amp;": "&amp;INDEX('Zgłoszenia'!$H$5:$H$504,MATCH(H803,'Zgłoszenia'!$S$5:$S$504,0)),RIGHT("0"&amp;DAY((A803+1)),2)&amp;"."&amp;RIGHT("0"&amp;MONTH((A803+1)),2)&amp;"."&amp;YEAR((A803+1))&amp;": "&amp;INDEX('Zgłoszenia'!$H$5:$H$504,MATCH(F803&amp;"|"&amp;(A803+1),'Zgłoszenia'!$S$5:$S$504,0)))&amp;IF(K803&gt;1," (+"&amp;(K803-1)&amp;")",""))</f>
        <v/>
      </c>
      <c r="M803" s="63" t="n">
        <v>10</v>
      </c>
      <c r="N803" s="2" t="n"/>
      <c r="O803" s="2" t="n"/>
    </row>
    <row r="804">
      <c r="A804" s="62">
        <f>IF('10'!$C$1="","",'10'!$C$1)</f>
        <v/>
      </c>
      <c r="B804" s="63">
        <f>Ustawienia!$A$10&amp;""</f>
        <v/>
      </c>
      <c r="C804" s="63">
        <f>Ustawienia!$A$17&amp;""</f>
        <v/>
      </c>
      <c r="D804" s="63" t="n">
        <v>2</v>
      </c>
      <c r="E804" s="63">
        <f>IF('10'!J28="","",TRIM('10'!J28&amp;""))</f>
        <v/>
      </c>
      <c r="F804" s="63">
        <f>IF('10'!K28="","",'10'!K28)</f>
        <v/>
      </c>
      <c r="G804" s="63">
        <f>'10'!L28&amp;""</f>
        <v/>
      </c>
      <c r="H804" s="63">
        <f>IF(OR(A804="",F804=""),"",F804&amp;"|"&amp;A804)</f>
        <v/>
      </c>
      <c r="I804" s="63">
        <f>IF(AND(H804&lt;&gt;"",OR('Historia wózka'!$B$4="",F804='Historia wózka'!$B$4),A804&gt;='Historia wózka'!$B$5,A804&lt;='Historia wózka'!$B$6),A804+0.7+(5000-ROW())/10000000,0)</f>
        <v/>
      </c>
      <c r="J804" s="63">
        <f>Ustawienia!$B$10&amp;""</f>
        <v/>
      </c>
      <c r="K804" s="63">
        <f>IF(H804="","",COUNTIFS('Zgłoszenia'!$B$5:$B$504,F804,'Zgłoszenia'!$D$5:$D$504,"&gt;="&amp;A804,'Zgłoszenia'!$D$5:$D$504,"&lt;="&amp;(A804+1)))</f>
        <v/>
      </c>
      <c r="L804" s="63">
        <f>IF(OR(H804="",K804=0),"—",IF(ISNUMBER(MATCH(H804,'Zgłoszenia'!$S$5:$S$504,0)),RIGHT("0"&amp;DAY(A804),2)&amp;"."&amp;RIGHT("0"&amp;MONTH(A804),2)&amp;"."&amp;YEAR(A804)&amp;": "&amp;INDEX('Zgłoszenia'!$H$5:$H$504,MATCH(H804,'Zgłoszenia'!$S$5:$S$504,0)),RIGHT("0"&amp;DAY((A804+1)),2)&amp;"."&amp;RIGHT("0"&amp;MONTH((A804+1)),2)&amp;"."&amp;YEAR((A804+1))&amp;": "&amp;INDEX('Zgłoszenia'!$H$5:$H$504,MATCH(F804&amp;"|"&amp;(A804+1),'Zgłoszenia'!$S$5:$S$504,0)))&amp;IF(K804&gt;1," (+"&amp;(K804-1)&amp;")",""))</f>
        <v/>
      </c>
      <c r="M804" s="63" t="n">
        <v>10</v>
      </c>
      <c r="N804" s="2" t="n"/>
      <c r="O804" s="2" t="n"/>
    </row>
    <row r="805">
      <c r="A805" s="62">
        <f>IF('10'!$C$1="","",'10'!$C$1)</f>
        <v/>
      </c>
      <c r="B805" s="63">
        <f>Ustawienia!$A$10&amp;""</f>
        <v/>
      </c>
      <c r="C805" s="63">
        <f>Ustawienia!$A$17&amp;""</f>
        <v/>
      </c>
      <c r="D805" s="63" t="n">
        <v>3</v>
      </c>
      <c r="E805" s="63">
        <f>IF('10'!J29="","",TRIM('10'!J29&amp;""))</f>
        <v/>
      </c>
      <c r="F805" s="63">
        <f>IF('10'!K29="","",'10'!K29)</f>
        <v/>
      </c>
      <c r="G805" s="63">
        <f>'10'!L29&amp;""</f>
        <v/>
      </c>
      <c r="H805" s="63">
        <f>IF(OR(A805="",F805=""),"",F805&amp;"|"&amp;A805)</f>
        <v/>
      </c>
      <c r="I805" s="63">
        <f>IF(AND(H805&lt;&gt;"",OR('Historia wózka'!$B$4="",F805='Historia wózka'!$B$4),A805&gt;='Historia wózka'!$B$5,A805&lt;='Historia wózka'!$B$6),A805+0.7+(5000-ROW())/10000000,0)</f>
        <v/>
      </c>
      <c r="J805" s="63">
        <f>Ustawienia!$B$10&amp;""</f>
        <v/>
      </c>
      <c r="K805" s="63">
        <f>IF(H805="","",COUNTIFS('Zgłoszenia'!$B$5:$B$504,F805,'Zgłoszenia'!$D$5:$D$504,"&gt;="&amp;A805,'Zgłoszenia'!$D$5:$D$504,"&lt;="&amp;(A805+1)))</f>
        <v/>
      </c>
      <c r="L805" s="63">
        <f>IF(OR(H805="",K805=0),"—",IF(ISNUMBER(MATCH(H805,'Zgłoszenia'!$S$5:$S$504,0)),RIGHT("0"&amp;DAY(A805),2)&amp;"."&amp;RIGHT("0"&amp;MONTH(A805),2)&amp;"."&amp;YEAR(A805)&amp;": "&amp;INDEX('Zgłoszenia'!$H$5:$H$504,MATCH(H805,'Zgłoszenia'!$S$5:$S$504,0)),RIGHT("0"&amp;DAY((A805+1)),2)&amp;"."&amp;RIGHT("0"&amp;MONTH((A805+1)),2)&amp;"."&amp;YEAR((A805+1))&amp;": "&amp;INDEX('Zgłoszenia'!$H$5:$H$504,MATCH(F805&amp;"|"&amp;(A805+1),'Zgłoszenia'!$S$5:$S$504,0)))&amp;IF(K805&gt;1," (+"&amp;(K805-1)&amp;")",""))</f>
        <v/>
      </c>
      <c r="M805" s="63" t="n">
        <v>10</v>
      </c>
      <c r="N805" s="2" t="n"/>
      <c r="O805" s="2" t="n"/>
    </row>
    <row r="806">
      <c r="A806" s="62">
        <f>IF('10'!$C$1="","",'10'!$C$1)</f>
        <v/>
      </c>
      <c r="B806" s="63">
        <f>Ustawienia!$A$10&amp;""</f>
        <v/>
      </c>
      <c r="C806" s="63">
        <f>Ustawienia!$A$17&amp;""</f>
        <v/>
      </c>
      <c r="D806" s="63" t="n">
        <v>4</v>
      </c>
      <c r="E806" s="63">
        <f>IF('10'!J30="","",TRIM('10'!J30&amp;""))</f>
        <v/>
      </c>
      <c r="F806" s="63">
        <f>IF('10'!K30="","",'10'!K30)</f>
        <v/>
      </c>
      <c r="G806" s="63">
        <f>'10'!L30&amp;""</f>
        <v/>
      </c>
      <c r="H806" s="63">
        <f>IF(OR(A806="",F806=""),"",F806&amp;"|"&amp;A806)</f>
        <v/>
      </c>
      <c r="I806" s="63">
        <f>IF(AND(H806&lt;&gt;"",OR('Historia wózka'!$B$4="",F806='Historia wózka'!$B$4),A806&gt;='Historia wózka'!$B$5,A806&lt;='Historia wózka'!$B$6),A806+0.7+(5000-ROW())/10000000,0)</f>
        <v/>
      </c>
      <c r="J806" s="63">
        <f>Ustawienia!$B$10&amp;""</f>
        <v/>
      </c>
      <c r="K806" s="63">
        <f>IF(H806="","",COUNTIFS('Zgłoszenia'!$B$5:$B$504,F806,'Zgłoszenia'!$D$5:$D$504,"&gt;="&amp;A806,'Zgłoszenia'!$D$5:$D$504,"&lt;="&amp;(A806+1)))</f>
        <v/>
      </c>
      <c r="L806" s="63">
        <f>IF(OR(H806="",K806=0),"—",IF(ISNUMBER(MATCH(H806,'Zgłoszenia'!$S$5:$S$504,0)),RIGHT("0"&amp;DAY(A806),2)&amp;"."&amp;RIGHT("0"&amp;MONTH(A806),2)&amp;"."&amp;YEAR(A806)&amp;": "&amp;INDEX('Zgłoszenia'!$H$5:$H$504,MATCH(H806,'Zgłoszenia'!$S$5:$S$504,0)),RIGHT("0"&amp;DAY((A806+1)),2)&amp;"."&amp;RIGHT("0"&amp;MONTH((A806+1)),2)&amp;"."&amp;YEAR((A806+1))&amp;": "&amp;INDEX('Zgłoszenia'!$H$5:$H$504,MATCH(F806&amp;"|"&amp;(A806+1),'Zgłoszenia'!$S$5:$S$504,0)))&amp;IF(K806&gt;1," (+"&amp;(K806-1)&amp;")",""))</f>
        <v/>
      </c>
      <c r="M806" s="63" t="n">
        <v>10</v>
      </c>
      <c r="N806" s="2" t="n"/>
      <c r="O806" s="2" t="n"/>
    </row>
    <row r="807">
      <c r="A807" s="62">
        <f>IF('10'!$C$1="","",'10'!$C$1)</f>
        <v/>
      </c>
      <c r="B807" s="63">
        <f>Ustawienia!$A$10&amp;""</f>
        <v/>
      </c>
      <c r="C807" s="63">
        <f>Ustawienia!$A$18&amp;""</f>
        <v/>
      </c>
      <c r="D807" s="63" t="n">
        <v>1</v>
      </c>
      <c r="E807" s="63">
        <f>IF('10'!J32="","",TRIM('10'!J32&amp;""))</f>
        <v/>
      </c>
      <c r="F807" s="63">
        <f>IF('10'!K32="","",'10'!K32)</f>
        <v/>
      </c>
      <c r="G807" s="63">
        <f>'10'!L32&amp;""</f>
        <v/>
      </c>
      <c r="H807" s="63">
        <f>IF(OR(A807="",F807=""),"",F807&amp;"|"&amp;A807)</f>
        <v/>
      </c>
      <c r="I807" s="63">
        <f>IF(AND(H807&lt;&gt;"",OR('Historia wózka'!$B$4="",F807='Historia wózka'!$B$4),A807&gt;='Historia wózka'!$B$5,A807&lt;='Historia wózka'!$B$6),A807+0.7+(5000-ROW())/10000000,0)</f>
        <v/>
      </c>
      <c r="J807" s="63">
        <f>Ustawienia!$B$10&amp;""</f>
        <v/>
      </c>
      <c r="K807" s="63">
        <f>IF(H807="","",COUNTIFS('Zgłoszenia'!$B$5:$B$504,F807,'Zgłoszenia'!$D$5:$D$504,"&gt;="&amp;A807,'Zgłoszenia'!$D$5:$D$504,"&lt;="&amp;(A807+1)))</f>
        <v/>
      </c>
      <c r="L807" s="63">
        <f>IF(OR(H807="",K807=0),"—",IF(ISNUMBER(MATCH(H807,'Zgłoszenia'!$S$5:$S$504,0)),RIGHT("0"&amp;DAY(A807),2)&amp;"."&amp;RIGHT("0"&amp;MONTH(A807),2)&amp;"."&amp;YEAR(A807)&amp;": "&amp;INDEX('Zgłoszenia'!$H$5:$H$504,MATCH(H807,'Zgłoszenia'!$S$5:$S$504,0)),RIGHT("0"&amp;DAY((A807+1)),2)&amp;"."&amp;RIGHT("0"&amp;MONTH((A807+1)),2)&amp;"."&amp;YEAR((A807+1))&amp;": "&amp;INDEX('Zgłoszenia'!$H$5:$H$504,MATCH(F807&amp;"|"&amp;(A807+1),'Zgłoszenia'!$S$5:$S$504,0)))&amp;IF(K807&gt;1," (+"&amp;(K807-1)&amp;")",""))</f>
        <v/>
      </c>
      <c r="M807" s="63" t="n">
        <v>10</v>
      </c>
      <c r="N807" s="2" t="n"/>
      <c r="O807" s="2" t="n"/>
    </row>
    <row r="808">
      <c r="A808" s="62">
        <f>IF('10'!$C$1="","",'10'!$C$1)</f>
        <v/>
      </c>
      <c r="B808" s="63">
        <f>Ustawienia!$A$10&amp;""</f>
        <v/>
      </c>
      <c r="C808" s="63">
        <f>Ustawienia!$A$18&amp;""</f>
        <v/>
      </c>
      <c r="D808" s="63" t="n">
        <v>2</v>
      </c>
      <c r="E808" s="63">
        <f>IF('10'!J33="","",TRIM('10'!J33&amp;""))</f>
        <v/>
      </c>
      <c r="F808" s="63">
        <f>IF('10'!K33="","",'10'!K33)</f>
        <v/>
      </c>
      <c r="G808" s="63">
        <f>'10'!L33&amp;""</f>
        <v/>
      </c>
      <c r="H808" s="63">
        <f>IF(OR(A808="",F808=""),"",F808&amp;"|"&amp;A808)</f>
        <v/>
      </c>
      <c r="I808" s="63">
        <f>IF(AND(H808&lt;&gt;"",OR('Historia wózka'!$B$4="",F808='Historia wózka'!$B$4),A808&gt;='Historia wózka'!$B$5,A808&lt;='Historia wózka'!$B$6),A808+0.7+(5000-ROW())/10000000,0)</f>
        <v/>
      </c>
      <c r="J808" s="63">
        <f>Ustawienia!$B$10&amp;""</f>
        <v/>
      </c>
      <c r="K808" s="63">
        <f>IF(H808="","",COUNTIFS('Zgłoszenia'!$B$5:$B$504,F808,'Zgłoszenia'!$D$5:$D$504,"&gt;="&amp;A808,'Zgłoszenia'!$D$5:$D$504,"&lt;="&amp;(A808+1)))</f>
        <v/>
      </c>
      <c r="L808" s="63">
        <f>IF(OR(H808="",K808=0),"—",IF(ISNUMBER(MATCH(H808,'Zgłoszenia'!$S$5:$S$504,0)),RIGHT("0"&amp;DAY(A808),2)&amp;"."&amp;RIGHT("0"&amp;MONTH(A808),2)&amp;"."&amp;YEAR(A808)&amp;": "&amp;INDEX('Zgłoszenia'!$H$5:$H$504,MATCH(H808,'Zgłoszenia'!$S$5:$S$504,0)),RIGHT("0"&amp;DAY((A808+1)),2)&amp;"."&amp;RIGHT("0"&amp;MONTH((A808+1)),2)&amp;"."&amp;YEAR((A808+1))&amp;": "&amp;INDEX('Zgłoszenia'!$H$5:$H$504,MATCH(F808&amp;"|"&amp;(A808+1),'Zgłoszenia'!$S$5:$S$504,0)))&amp;IF(K808&gt;1," (+"&amp;(K808-1)&amp;")",""))</f>
        <v/>
      </c>
      <c r="M808" s="63" t="n">
        <v>10</v>
      </c>
      <c r="N808" s="2" t="n"/>
      <c r="O808" s="2" t="n"/>
    </row>
    <row r="809">
      <c r="A809" s="62">
        <f>IF('10'!$C$1="","",'10'!$C$1)</f>
        <v/>
      </c>
      <c r="B809" s="63">
        <f>Ustawienia!$A$10&amp;""</f>
        <v/>
      </c>
      <c r="C809" s="63">
        <f>Ustawienia!$A$18&amp;""</f>
        <v/>
      </c>
      <c r="D809" s="63" t="n">
        <v>3</v>
      </c>
      <c r="E809" s="63">
        <f>IF('10'!J34="","",TRIM('10'!J34&amp;""))</f>
        <v/>
      </c>
      <c r="F809" s="63">
        <f>IF('10'!K34="","",'10'!K34)</f>
        <v/>
      </c>
      <c r="G809" s="63">
        <f>'10'!L34&amp;""</f>
        <v/>
      </c>
      <c r="H809" s="63">
        <f>IF(OR(A809="",F809=""),"",F809&amp;"|"&amp;A809)</f>
        <v/>
      </c>
      <c r="I809" s="63">
        <f>IF(AND(H809&lt;&gt;"",OR('Historia wózka'!$B$4="",F809='Historia wózka'!$B$4),A809&gt;='Historia wózka'!$B$5,A809&lt;='Historia wózka'!$B$6),A809+0.7+(5000-ROW())/10000000,0)</f>
        <v/>
      </c>
      <c r="J809" s="63">
        <f>Ustawienia!$B$10&amp;""</f>
        <v/>
      </c>
      <c r="K809" s="63">
        <f>IF(H809="","",COUNTIFS('Zgłoszenia'!$B$5:$B$504,F809,'Zgłoszenia'!$D$5:$D$504,"&gt;="&amp;A809,'Zgłoszenia'!$D$5:$D$504,"&lt;="&amp;(A809+1)))</f>
        <v/>
      </c>
      <c r="L809" s="63">
        <f>IF(OR(H809="",K809=0),"—",IF(ISNUMBER(MATCH(H809,'Zgłoszenia'!$S$5:$S$504,0)),RIGHT("0"&amp;DAY(A809),2)&amp;"."&amp;RIGHT("0"&amp;MONTH(A809),2)&amp;"."&amp;YEAR(A809)&amp;": "&amp;INDEX('Zgłoszenia'!$H$5:$H$504,MATCH(H809,'Zgłoszenia'!$S$5:$S$504,0)),RIGHT("0"&amp;DAY((A809+1)),2)&amp;"."&amp;RIGHT("0"&amp;MONTH((A809+1)),2)&amp;"."&amp;YEAR((A809+1))&amp;": "&amp;INDEX('Zgłoszenia'!$H$5:$H$504,MATCH(F809&amp;"|"&amp;(A809+1),'Zgłoszenia'!$S$5:$S$504,0)))&amp;IF(K809&gt;1," (+"&amp;(K809-1)&amp;")",""))</f>
        <v/>
      </c>
      <c r="M809" s="63" t="n">
        <v>10</v>
      </c>
      <c r="N809" s="2" t="n"/>
      <c r="O809" s="2" t="n"/>
    </row>
    <row r="810">
      <c r="A810" s="62">
        <f>IF('10'!$C$1="","",'10'!$C$1)</f>
        <v/>
      </c>
      <c r="B810" s="63">
        <f>Ustawienia!$A$10&amp;""</f>
        <v/>
      </c>
      <c r="C810" s="63">
        <f>Ustawienia!$A$18&amp;""</f>
        <v/>
      </c>
      <c r="D810" s="63" t="n">
        <v>4</v>
      </c>
      <c r="E810" s="63">
        <f>IF('10'!J35="","",TRIM('10'!J35&amp;""))</f>
        <v/>
      </c>
      <c r="F810" s="63">
        <f>IF('10'!K35="","",'10'!K35)</f>
        <v/>
      </c>
      <c r="G810" s="63">
        <f>'10'!L35&amp;""</f>
        <v/>
      </c>
      <c r="H810" s="63">
        <f>IF(OR(A810="",F810=""),"",F810&amp;"|"&amp;A810)</f>
        <v/>
      </c>
      <c r="I810" s="63">
        <f>IF(AND(H810&lt;&gt;"",OR('Historia wózka'!$B$4="",F810='Historia wózka'!$B$4),A810&gt;='Historia wózka'!$B$5,A810&lt;='Historia wózka'!$B$6),A810+0.7+(5000-ROW())/10000000,0)</f>
        <v/>
      </c>
      <c r="J810" s="63">
        <f>Ustawienia!$B$10&amp;""</f>
        <v/>
      </c>
      <c r="K810" s="63">
        <f>IF(H810="","",COUNTIFS('Zgłoszenia'!$B$5:$B$504,F810,'Zgłoszenia'!$D$5:$D$504,"&gt;="&amp;A810,'Zgłoszenia'!$D$5:$D$504,"&lt;="&amp;(A810+1)))</f>
        <v/>
      </c>
      <c r="L810" s="63">
        <f>IF(OR(H810="",K810=0),"—",IF(ISNUMBER(MATCH(H810,'Zgłoszenia'!$S$5:$S$504,0)),RIGHT("0"&amp;DAY(A810),2)&amp;"."&amp;RIGHT("0"&amp;MONTH(A810),2)&amp;"."&amp;YEAR(A810)&amp;": "&amp;INDEX('Zgłoszenia'!$H$5:$H$504,MATCH(H810,'Zgłoszenia'!$S$5:$S$504,0)),RIGHT("0"&amp;DAY((A810+1)),2)&amp;"."&amp;RIGHT("0"&amp;MONTH((A810+1)),2)&amp;"."&amp;YEAR((A810+1))&amp;": "&amp;INDEX('Zgłoszenia'!$H$5:$H$504,MATCH(F810&amp;"|"&amp;(A810+1),'Zgłoszenia'!$S$5:$S$504,0)))&amp;IF(K810&gt;1," (+"&amp;(K810-1)&amp;")",""))</f>
        <v/>
      </c>
      <c r="M810" s="63" t="n">
        <v>10</v>
      </c>
      <c r="N810" s="2" t="n"/>
      <c r="O810" s="2" t="n"/>
    </row>
    <row r="811">
      <c r="A811" s="62">
        <f>IF('10'!$C$1="","",'10'!$C$1)</f>
        <v/>
      </c>
      <c r="B811" s="63">
        <f>Ustawienia!$A$10&amp;""</f>
        <v/>
      </c>
      <c r="C811" s="63">
        <f>Ustawienia!$A$18&amp;""</f>
        <v/>
      </c>
      <c r="D811" s="63" t="n">
        <v>5</v>
      </c>
      <c r="E811" s="63">
        <f>IF('10'!J36="","",TRIM('10'!J36&amp;""))</f>
        <v/>
      </c>
      <c r="F811" s="63">
        <f>IF('10'!K36="","",'10'!K36)</f>
        <v/>
      </c>
      <c r="G811" s="63">
        <f>'10'!L36&amp;""</f>
        <v/>
      </c>
      <c r="H811" s="63">
        <f>IF(OR(A811="",F811=""),"",F811&amp;"|"&amp;A811)</f>
        <v/>
      </c>
      <c r="I811" s="63">
        <f>IF(AND(H811&lt;&gt;"",OR('Historia wózka'!$B$4="",F811='Historia wózka'!$B$4),A811&gt;='Historia wózka'!$B$5,A811&lt;='Historia wózka'!$B$6),A811+0.7+(5000-ROW())/10000000,0)</f>
        <v/>
      </c>
      <c r="J811" s="63">
        <f>Ustawienia!$B$10&amp;""</f>
        <v/>
      </c>
      <c r="K811" s="63">
        <f>IF(H811="","",COUNTIFS('Zgłoszenia'!$B$5:$B$504,F811,'Zgłoszenia'!$D$5:$D$504,"&gt;="&amp;A811,'Zgłoszenia'!$D$5:$D$504,"&lt;="&amp;(A811+1)))</f>
        <v/>
      </c>
      <c r="L811" s="63">
        <f>IF(OR(H811="",K811=0),"—",IF(ISNUMBER(MATCH(H811,'Zgłoszenia'!$S$5:$S$504,0)),RIGHT("0"&amp;DAY(A811),2)&amp;"."&amp;RIGHT("0"&amp;MONTH(A811),2)&amp;"."&amp;YEAR(A811)&amp;": "&amp;INDEX('Zgłoszenia'!$H$5:$H$504,MATCH(H811,'Zgłoszenia'!$S$5:$S$504,0)),RIGHT("0"&amp;DAY((A811+1)),2)&amp;"."&amp;RIGHT("0"&amp;MONTH((A811+1)),2)&amp;"."&amp;YEAR((A811+1))&amp;": "&amp;INDEX('Zgłoszenia'!$H$5:$H$504,MATCH(F811&amp;"|"&amp;(A811+1),'Zgłoszenia'!$S$5:$S$504,0)))&amp;IF(K811&gt;1," (+"&amp;(K811-1)&amp;")",""))</f>
        <v/>
      </c>
      <c r="M811" s="63" t="n">
        <v>10</v>
      </c>
      <c r="N811" s="2" t="n"/>
      <c r="O811" s="2" t="n"/>
    </row>
    <row r="812">
      <c r="A812" s="62">
        <f>IF('11'!$C$1="","",'11'!$C$1)</f>
        <v/>
      </c>
      <c r="B812" s="63">
        <f>Ustawienia!$A$8&amp;""</f>
        <v/>
      </c>
      <c r="C812" s="63">
        <f>Ustawienia!$A$14&amp;""</f>
        <v/>
      </c>
      <c r="D812" s="63" t="n">
        <v>1</v>
      </c>
      <c r="E812" s="63">
        <f>IF('11'!B6="","",TRIM('11'!B6&amp;""))</f>
        <v/>
      </c>
      <c r="F812" s="63">
        <f>IF('11'!C6="","",'11'!C6)</f>
        <v/>
      </c>
      <c r="G812" s="63">
        <f>'11'!D6&amp;""</f>
        <v/>
      </c>
      <c r="H812" s="63">
        <f>IF(OR(A812="",F812=""),"",F812&amp;"|"&amp;A812)</f>
        <v/>
      </c>
      <c r="I812" s="63">
        <f>IF(AND(H812&lt;&gt;"",OR('Historia wózka'!$B$4="",F812='Historia wózka'!$B$4),A812&gt;='Historia wózka'!$B$5,A812&lt;='Historia wózka'!$B$6),A812+0.9+(5000-ROW())/10000000,0)</f>
        <v/>
      </c>
      <c r="J812" s="63">
        <f>Ustawienia!$B$8&amp;""</f>
        <v/>
      </c>
      <c r="K812" s="63">
        <f>IF(H812="","",COUNTIFS('Zgłoszenia'!$B$5:$B$504,F812,'Zgłoszenia'!$D$5:$D$504,"&gt;="&amp;A812,'Zgłoszenia'!$D$5:$D$504,"&lt;="&amp;(A812+1)))</f>
        <v/>
      </c>
      <c r="L812" s="63">
        <f>IF(OR(H812="",K812=0),"—",IF(ISNUMBER(MATCH(H812,'Zgłoszenia'!$S$5:$S$504,0)),RIGHT("0"&amp;DAY(A812),2)&amp;"."&amp;RIGHT("0"&amp;MONTH(A812),2)&amp;"."&amp;YEAR(A812)&amp;": "&amp;INDEX('Zgłoszenia'!$H$5:$H$504,MATCH(H812,'Zgłoszenia'!$S$5:$S$504,0)),RIGHT("0"&amp;DAY((A812+1)),2)&amp;"."&amp;RIGHT("0"&amp;MONTH((A812+1)),2)&amp;"."&amp;YEAR((A812+1))&amp;": "&amp;INDEX('Zgłoszenia'!$H$5:$H$504,MATCH(F812&amp;"|"&amp;(A812+1),'Zgłoszenia'!$S$5:$S$504,0)))&amp;IF(K812&gt;1," (+"&amp;(K812-1)&amp;")",""))</f>
        <v/>
      </c>
      <c r="M812" s="63" t="n">
        <v>11</v>
      </c>
      <c r="N812" s="2" t="n"/>
      <c r="O812" s="2" t="n"/>
    </row>
    <row r="813">
      <c r="A813" s="62">
        <f>IF('11'!$C$1="","",'11'!$C$1)</f>
        <v/>
      </c>
      <c r="B813" s="63">
        <f>Ustawienia!$A$8&amp;""</f>
        <v/>
      </c>
      <c r="C813" s="63">
        <f>Ustawienia!$A$14&amp;""</f>
        <v/>
      </c>
      <c r="D813" s="63" t="n">
        <v>2</v>
      </c>
      <c r="E813" s="63">
        <f>IF('11'!B7="","",TRIM('11'!B7&amp;""))</f>
        <v/>
      </c>
      <c r="F813" s="63">
        <f>IF('11'!C7="","",'11'!C7)</f>
        <v/>
      </c>
      <c r="G813" s="63">
        <f>'11'!D7&amp;""</f>
        <v/>
      </c>
      <c r="H813" s="63">
        <f>IF(OR(A813="",F813=""),"",F813&amp;"|"&amp;A813)</f>
        <v/>
      </c>
      <c r="I813" s="63">
        <f>IF(AND(H813&lt;&gt;"",OR('Historia wózka'!$B$4="",F813='Historia wózka'!$B$4),A813&gt;='Historia wózka'!$B$5,A813&lt;='Historia wózka'!$B$6),A813+0.9+(5000-ROW())/10000000,0)</f>
        <v/>
      </c>
      <c r="J813" s="63">
        <f>Ustawienia!$B$8&amp;""</f>
        <v/>
      </c>
      <c r="K813" s="63">
        <f>IF(H813="","",COUNTIFS('Zgłoszenia'!$B$5:$B$504,F813,'Zgłoszenia'!$D$5:$D$504,"&gt;="&amp;A813,'Zgłoszenia'!$D$5:$D$504,"&lt;="&amp;(A813+1)))</f>
        <v/>
      </c>
      <c r="L813" s="63">
        <f>IF(OR(H813="",K813=0),"—",IF(ISNUMBER(MATCH(H813,'Zgłoszenia'!$S$5:$S$504,0)),RIGHT("0"&amp;DAY(A813),2)&amp;"."&amp;RIGHT("0"&amp;MONTH(A813),2)&amp;"."&amp;YEAR(A813)&amp;": "&amp;INDEX('Zgłoszenia'!$H$5:$H$504,MATCH(H813,'Zgłoszenia'!$S$5:$S$504,0)),RIGHT("0"&amp;DAY((A813+1)),2)&amp;"."&amp;RIGHT("0"&amp;MONTH((A813+1)),2)&amp;"."&amp;YEAR((A813+1))&amp;": "&amp;INDEX('Zgłoszenia'!$H$5:$H$504,MATCH(F813&amp;"|"&amp;(A813+1),'Zgłoszenia'!$S$5:$S$504,0)))&amp;IF(K813&gt;1," (+"&amp;(K813-1)&amp;")",""))</f>
        <v/>
      </c>
      <c r="M813" s="63" t="n">
        <v>11</v>
      </c>
      <c r="N813" s="2" t="n"/>
      <c r="O813" s="2" t="n"/>
    </row>
    <row r="814">
      <c r="A814" s="62">
        <f>IF('11'!$C$1="","",'11'!$C$1)</f>
        <v/>
      </c>
      <c r="B814" s="63">
        <f>Ustawienia!$A$8&amp;""</f>
        <v/>
      </c>
      <c r="C814" s="63">
        <f>Ustawienia!$A$14&amp;""</f>
        <v/>
      </c>
      <c r="D814" s="63" t="n">
        <v>3</v>
      </c>
      <c r="E814" s="63">
        <f>IF('11'!B8="","",TRIM('11'!B8&amp;""))</f>
        <v/>
      </c>
      <c r="F814" s="63">
        <f>IF('11'!C8="","",'11'!C8)</f>
        <v/>
      </c>
      <c r="G814" s="63">
        <f>'11'!D8&amp;""</f>
        <v/>
      </c>
      <c r="H814" s="63">
        <f>IF(OR(A814="",F814=""),"",F814&amp;"|"&amp;A814)</f>
        <v/>
      </c>
      <c r="I814" s="63">
        <f>IF(AND(H814&lt;&gt;"",OR('Historia wózka'!$B$4="",F814='Historia wózka'!$B$4),A814&gt;='Historia wózka'!$B$5,A814&lt;='Historia wózka'!$B$6),A814+0.9+(5000-ROW())/10000000,0)</f>
        <v/>
      </c>
      <c r="J814" s="63">
        <f>Ustawienia!$B$8&amp;""</f>
        <v/>
      </c>
      <c r="K814" s="63">
        <f>IF(H814="","",COUNTIFS('Zgłoszenia'!$B$5:$B$504,F814,'Zgłoszenia'!$D$5:$D$504,"&gt;="&amp;A814,'Zgłoszenia'!$D$5:$D$504,"&lt;="&amp;(A814+1)))</f>
        <v/>
      </c>
      <c r="L814" s="63">
        <f>IF(OR(H814="",K814=0),"—",IF(ISNUMBER(MATCH(H814,'Zgłoszenia'!$S$5:$S$504,0)),RIGHT("0"&amp;DAY(A814),2)&amp;"."&amp;RIGHT("0"&amp;MONTH(A814),2)&amp;"."&amp;YEAR(A814)&amp;": "&amp;INDEX('Zgłoszenia'!$H$5:$H$504,MATCH(H814,'Zgłoszenia'!$S$5:$S$504,0)),RIGHT("0"&amp;DAY((A814+1)),2)&amp;"."&amp;RIGHT("0"&amp;MONTH((A814+1)),2)&amp;"."&amp;YEAR((A814+1))&amp;": "&amp;INDEX('Zgłoszenia'!$H$5:$H$504,MATCH(F814&amp;"|"&amp;(A814+1),'Zgłoszenia'!$S$5:$S$504,0)))&amp;IF(K814&gt;1," (+"&amp;(K814-1)&amp;")",""))</f>
        <v/>
      </c>
      <c r="M814" s="63" t="n">
        <v>11</v>
      </c>
      <c r="N814" s="2" t="n"/>
      <c r="O814" s="2" t="n"/>
    </row>
    <row r="815">
      <c r="A815" s="62">
        <f>IF('11'!$C$1="","",'11'!$C$1)</f>
        <v/>
      </c>
      <c r="B815" s="63">
        <f>Ustawienia!$A$8&amp;""</f>
        <v/>
      </c>
      <c r="C815" s="63">
        <f>Ustawienia!$A$14&amp;""</f>
        <v/>
      </c>
      <c r="D815" s="63" t="n">
        <v>4</v>
      </c>
      <c r="E815" s="63">
        <f>IF('11'!B9="","",TRIM('11'!B9&amp;""))</f>
        <v/>
      </c>
      <c r="F815" s="63">
        <f>IF('11'!C9="","",'11'!C9)</f>
        <v/>
      </c>
      <c r="G815" s="63">
        <f>'11'!D9&amp;""</f>
        <v/>
      </c>
      <c r="H815" s="63">
        <f>IF(OR(A815="",F815=""),"",F815&amp;"|"&amp;A815)</f>
        <v/>
      </c>
      <c r="I815" s="63">
        <f>IF(AND(H815&lt;&gt;"",OR('Historia wózka'!$B$4="",F815='Historia wózka'!$B$4),A815&gt;='Historia wózka'!$B$5,A815&lt;='Historia wózka'!$B$6),A815+0.9+(5000-ROW())/10000000,0)</f>
        <v/>
      </c>
      <c r="J815" s="63">
        <f>Ustawienia!$B$8&amp;""</f>
        <v/>
      </c>
      <c r="K815" s="63">
        <f>IF(H815="","",COUNTIFS('Zgłoszenia'!$B$5:$B$504,F815,'Zgłoszenia'!$D$5:$D$504,"&gt;="&amp;A815,'Zgłoszenia'!$D$5:$D$504,"&lt;="&amp;(A815+1)))</f>
        <v/>
      </c>
      <c r="L815" s="63">
        <f>IF(OR(H815="",K815=0),"—",IF(ISNUMBER(MATCH(H815,'Zgłoszenia'!$S$5:$S$504,0)),RIGHT("0"&amp;DAY(A815),2)&amp;"."&amp;RIGHT("0"&amp;MONTH(A815),2)&amp;"."&amp;YEAR(A815)&amp;": "&amp;INDEX('Zgłoszenia'!$H$5:$H$504,MATCH(H815,'Zgłoszenia'!$S$5:$S$504,0)),RIGHT("0"&amp;DAY((A815+1)),2)&amp;"."&amp;RIGHT("0"&amp;MONTH((A815+1)),2)&amp;"."&amp;YEAR((A815+1))&amp;": "&amp;INDEX('Zgłoszenia'!$H$5:$H$504,MATCH(F815&amp;"|"&amp;(A815+1),'Zgłoszenia'!$S$5:$S$504,0)))&amp;IF(K815&gt;1," (+"&amp;(K815-1)&amp;")",""))</f>
        <v/>
      </c>
      <c r="M815" s="63" t="n">
        <v>11</v>
      </c>
      <c r="N815" s="2" t="n"/>
      <c r="O815" s="2" t="n"/>
    </row>
    <row r="816">
      <c r="A816" s="62">
        <f>IF('11'!$C$1="","",'11'!$C$1)</f>
        <v/>
      </c>
      <c r="B816" s="63">
        <f>Ustawienia!$A$8&amp;""</f>
        <v/>
      </c>
      <c r="C816" s="63">
        <f>Ustawienia!$A$14&amp;""</f>
        <v/>
      </c>
      <c r="D816" s="63" t="n">
        <v>5</v>
      </c>
      <c r="E816" s="63">
        <f>IF('11'!B10="","",TRIM('11'!B10&amp;""))</f>
        <v/>
      </c>
      <c r="F816" s="63">
        <f>IF('11'!C10="","",'11'!C10)</f>
        <v/>
      </c>
      <c r="G816" s="63">
        <f>'11'!D10&amp;""</f>
        <v/>
      </c>
      <c r="H816" s="63">
        <f>IF(OR(A816="",F816=""),"",F816&amp;"|"&amp;A816)</f>
        <v/>
      </c>
      <c r="I816" s="63">
        <f>IF(AND(H816&lt;&gt;"",OR('Historia wózka'!$B$4="",F816='Historia wózka'!$B$4),A816&gt;='Historia wózka'!$B$5,A816&lt;='Historia wózka'!$B$6),A816+0.9+(5000-ROW())/10000000,0)</f>
        <v/>
      </c>
      <c r="J816" s="63">
        <f>Ustawienia!$B$8&amp;""</f>
        <v/>
      </c>
      <c r="K816" s="63">
        <f>IF(H816="","",COUNTIFS('Zgłoszenia'!$B$5:$B$504,F816,'Zgłoszenia'!$D$5:$D$504,"&gt;="&amp;A816,'Zgłoszenia'!$D$5:$D$504,"&lt;="&amp;(A816+1)))</f>
        <v/>
      </c>
      <c r="L816" s="63">
        <f>IF(OR(H816="",K816=0),"—",IF(ISNUMBER(MATCH(H816,'Zgłoszenia'!$S$5:$S$504,0)),RIGHT("0"&amp;DAY(A816),2)&amp;"."&amp;RIGHT("0"&amp;MONTH(A816),2)&amp;"."&amp;YEAR(A816)&amp;": "&amp;INDEX('Zgłoszenia'!$H$5:$H$504,MATCH(H816,'Zgłoszenia'!$S$5:$S$504,0)),RIGHT("0"&amp;DAY((A816+1)),2)&amp;"."&amp;RIGHT("0"&amp;MONTH((A816+1)),2)&amp;"."&amp;YEAR((A816+1))&amp;": "&amp;INDEX('Zgłoszenia'!$H$5:$H$504,MATCH(F816&amp;"|"&amp;(A816+1),'Zgłoszenia'!$S$5:$S$504,0)))&amp;IF(K816&gt;1," (+"&amp;(K816-1)&amp;")",""))</f>
        <v/>
      </c>
      <c r="M816" s="63" t="n">
        <v>11</v>
      </c>
      <c r="N816" s="2" t="n"/>
      <c r="O816" s="2" t="n"/>
    </row>
    <row r="817">
      <c r="A817" s="62">
        <f>IF('11'!$C$1="","",'11'!$C$1)</f>
        <v/>
      </c>
      <c r="B817" s="63">
        <f>Ustawienia!$A$8&amp;""</f>
        <v/>
      </c>
      <c r="C817" s="63">
        <f>Ustawienia!$A$14&amp;""</f>
        <v/>
      </c>
      <c r="D817" s="63" t="n">
        <v>6</v>
      </c>
      <c r="E817" s="63">
        <f>IF('11'!B11="","",TRIM('11'!B11&amp;""))</f>
        <v/>
      </c>
      <c r="F817" s="63">
        <f>IF('11'!C11="","",'11'!C11)</f>
        <v/>
      </c>
      <c r="G817" s="63">
        <f>'11'!D11&amp;""</f>
        <v/>
      </c>
      <c r="H817" s="63">
        <f>IF(OR(A817="",F817=""),"",F817&amp;"|"&amp;A817)</f>
        <v/>
      </c>
      <c r="I817" s="63">
        <f>IF(AND(H817&lt;&gt;"",OR('Historia wózka'!$B$4="",F817='Historia wózka'!$B$4),A817&gt;='Historia wózka'!$B$5,A817&lt;='Historia wózka'!$B$6),A817+0.9+(5000-ROW())/10000000,0)</f>
        <v/>
      </c>
      <c r="J817" s="63">
        <f>Ustawienia!$B$8&amp;""</f>
        <v/>
      </c>
      <c r="K817" s="63">
        <f>IF(H817="","",COUNTIFS('Zgłoszenia'!$B$5:$B$504,F817,'Zgłoszenia'!$D$5:$D$504,"&gt;="&amp;A817,'Zgłoszenia'!$D$5:$D$504,"&lt;="&amp;(A817+1)))</f>
        <v/>
      </c>
      <c r="L817" s="63">
        <f>IF(OR(H817="",K817=0),"—",IF(ISNUMBER(MATCH(H817,'Zgłoszenia'!$S$5:$S$504,0)),RIGHT("0"&amp;DAY(A817),2)&amp;"."&amp;RIGHT("0"&amp;MONTH(A817),2)&amp;"."&amp;YEAR(A817)&amp;": "&amp;INDEX('Zgłoszenia'!$H$5:$H$504,MATCH(H817,'Zgłoszenia'!$S$5:$S$504,0)),RIGHT("0"&amp;DAY((A817+1)),2)&amp;"."&amp;RIGHT("0"&amp;MONTH((A817+1)),2)&amp;"."&amp;YEAR((A817+1))&amp;": "&amp;INDEX('Zgłoszenia'!$H$5:$H$504,MATCH(F817&amp;"|"&amp;(A817+1),'Zgłoszenia'!$S$5:$S$504,0)))&amp;IF(K817&gt;1," (+"&amp;(K817-1)&amp;")",""))</f>
        <v/>
      </c>
      <c r="M817" s="63" t="n">
        <v>11</v>
      </c>
      <c r="N817" s="2" t="n"/>
      <c r="O817" s="2" t="n"/>
    </row>
    <row r="818">
      <c r="A818" s="62">
        <f>IF('11'!$C$1="","",'11'!$C$1)</f>
        <v/>
      </c>
      <c r="B818" s="63">
        <f>Ustawienia!$A$8&amp;""</f>
        <v/>
      </c>
      <c r="C818" s="63">
        <f>Ustawienia!$A$15&amp;""</f>
        <v/>
      </c>
      <c r="D818" s="63" t="n">
        <v>1</v>
      </c>
      <c r="E818" s="63">
        <f>IF('11'!B13="","",TRIM('11'!B13&amp;""))</f>
        <v/>
      </c>
      <c r="F818" s="63">
        <f>IF('11'!C13="","",'11'!C13)</f>
        <v/>
      </c>
      <c r="G818" s="63">
        <f>'11'!D13&amp;""</f>
        <v/>
      </c>
      <c r="H818" s="63">
        <f>IF(OR(A818="",F818=""),"",F818&amp;"|"&amp;A818)</f>
        <v/>
      </c>
      <c r="I818" s="63">
        <f>IF(AND(H818&lt;&gt;"",OR('Historia wózka'!$B$4="",F818='Historia wózka'!$B$4),A818&gt;='Historia wózka'!$B$5,A818&lt;='Historia wózka'!$B$6),A818+0.9+(5000-ROW())/10000000,0)</f>
        <v/>
      </c>
      <c r="J818" s="63">
        <f>Ustawienia!$B$8&amp;""</f>
        <v/>
      </c>
      <c r="K818" s="63">
        <f>IF(H818="","",COUNTIFS('Zgłoszenia'!$B$5:$B$504,F818,'Zgłoszenia'!$D$5:$D$504,"&gt;="&amp;A818,'Zgłoszenia'!$D$5:$D$504,"&lt;="&amp;(A818+1)))</f>
        <v/>
      </c>
      <c r="L818" s="63">
        <f>IF(OR(H818="",K818=0),"—",IF(ISNUMBER(MATCH(H818,'Zgłoszenia'!$S$5:$S$504,0)),RIGHT("0"&amp;DAY(A818),2)&amp;"."&amp;RIGHT("0"&amp;MONTH(A818),2)&amp;"."&amp;YEAR(A818)&amp;": "&amp;INDEX('Zgłoszenia'!$H$5:$H$504,MATCH(H818,'Zgłoszenia'!$S$5:$S$504,0)),RIGHT("0"&amp;DAY((A818+1)),2)&amp;"."&amp;RIGHT("0"&amp;MONTH((A818+1)),2)&amp;"."&amp;YEAR((A818+1))&amp;": "&amp;INDEX('Zgłoszenia'!$H$5:$H$504,MATCH(F818&amp;"|"&amp;(A818+1),'Zgłoszenia'!$S$5:$S$504,0)))&amp;IF(K818&gt;1," (+"&amp;(K818-1)&amp;")",""))</f>
        <v/>
      </c>
      <c r="M818" s="63" t="n">
        <v>11</v>
      </c>
      <c r="N818" s="2" t="n"/>
      <c r="O818" s="2" t="n"/>
    </row>
    <row r="819">
      <c r="A819" s="62">
        <f>IF('11'!$C$1="","",'11'!$C$1)</f>
        <v/>
      </c>
      <c r="B819" s="63">
        <f>Ustawienia!$A$8&amp;""</f>
        <v/>
      </c>
      <c r="C819" s="63">
        <f>Ustawienia!$A$15&amp;""</f>
        <v/>
      </c>
      <c r="D819" s="63" t="n">
        <v>2</v>
      </c>
      <c r="E819" s="63">
        <f>IF('11'!B14="","",TRIM('11'!B14&amp;""))</f>
        <v/>
      </c>
      <c r="F819" s="63">
        <f>IF('11'!C14="","",'11'!C14)</f>
        <v/>
      </c>
      <c r="G819" s="63">
        <f>'11'!D14&amp;""</f>
        <v/>
      </c>
      <c r="H819" s="63">
        <f>IF(OR(A819="",F819=""),"",F819&amp;"|"&amp;A819)</f>
        <v/>
      </c>
      <c r="I819" s="63">
        <f>IF(AND(H819&lt;&gt;"",OR('Historia wózka'!$B$4="",F819='Historia wózka'!$B$4),A819&gt;='Historia wózka'!$B$5,A819&lt;='Historia wózka'!$B$6),A819+0.9+(5000-ROW())/10000000,0)</f>
        <v/>
      </c>
      <c r="J819" s="63">
        <f>Ustawienia!$B$8&amp;""</f>
        <v/>
      </c>
      <c r="K819" s="63">
        <f>IF(H819="","",COUNTIFS('Zgłoszenia'!$B$5:$B$504,F819,'Zgłoszenia'!$D$5:$D$504,"&gt;="&amp;A819,'Zgłoszenia'!$D$5:$D$504,"&lt;="&amp;(A819+1)))</f>
        <v/>
      </c>
      <c r="L819" s="63">
        <f>IF(OR(H819="",K819=0),"—",IF(ISNUMBER(MATCH(H819,'Zgłoszenia'!$S$5:$S$504,0)),RIGHT("0"&amp;DAY(A819),2)&amp;"."&amp;RIGHT("0"&amp;MONTH(A819),2)&amp;"."&amp;YEAR(A819)&amp;": "&amp;INDEX('Zgłoszenia'!$H$5:$H$504,MATCH(H819,'Zgłoszenia'!$S$5:$S$504,0)),RIGHT("0"&amp;DAY((A819+1)),2)&amp;"."&amp;RIGHT("0"&amp;MONTH((A819+1)),2)&amp;"."&amp;YEAR((A819+1))&amp;": "&amp;INDEX('Zgłoszenia'!$H$5:$H$504,MATCH(F819&amp;"|"&amp;(A819+1),'Zgłoszenia'!$S$5:$S$504,0)))&amp;IF(K819&gt;1," (+"&amp;(K819-1)&amp;")",""))</f>
        <v/>
      </c>
      <c r="M819" s="63" t="n">
        <v>11</v>
      </c>
      <c r="N819" s="2" t="n"/>
      <c r="O819" s="2" t="n"/>
    </row>
    <row r="820">
      <c r="A820" s="62">
        <f>IF('11'!$C$1="","",'11'!$C$1)</f>
        <v/>
      </c>
      <c r="B820" s="63">
        <f>Ustawienia!$A$8&amp;""</f>
        <v/>
      </c>
      <c r="C820" s="63">
        <f>Ustawienia!$A$15&amp;""</f>
        <v/>
      </c>
      <c r="D820" s="63" t="n">
        <v>3</v>
      </c>
      <c r="E820" s="63">
        <f>IF('11'!B15="","",TRIM('11'!B15&amp;""))</f>
        <v/>
      </c>
      <c r="F820" s="63">
        <f>IF('11'!C15="","",'11'!C15)</f>
        <v/>
      </c>
      <c r="G820" s="63">
        <f>'11'!D15&amp;""</f>
        <v/>
      </c>
      <c r="H820" s="63">
        <f>IF(OR(A820="",F820=""),"",F820&amp;"|"&amp;A820)</f>
        <v/>
      </c>
      <c r="I820" s="63">
        <f>IF(AND(H820&lt;&gt;"",OR('Historia wózka'!$B$4="",F820='Historia wózka'!$B$4),A820&gt;='Historia wózka'!$B$5,A820&lt;='Historia wózka'!$B$6),A820+0.9+(5000-ROW())/10000000,0)</f>
        <v/>
      </c>
      <c r="J820" s="63">
        <f>Ustawienia!$B$8&amp;""</f>
        <v/>
      </c>
      <c r="K820" s="63">
        <f>IF(H820="","",COUNTIFS('Zgłoszenia'!$B$5:$B$504,F820,'Zgłoszenia'!$D$5:$D$504,"&gt;="&amp;A820,'Zgłoszenia'!$D$5:$D$504,"&lt;="&amp;(A820+1)))</f>
        <v/>
      </c>
      <c r="L820" s="63">
        <f>IF(OR(H820="",K820=0),"—",IF(ISNUMBER(MATCH(H820,'Zgłoszenia'!$S$5:$S$504,0)),RIGHT("0"&amp;DAY(A820),2)&amp;"."&amp;RIGHT("0"&amp;MONTH(A820),2)&amp;"."&amp;YEAR(A820)&amp;": "&amp;INDEX('Zgłoszenia'!$H$5:$H$504,MATCH(H820,'Zgłoszenia'!$S$5:$S$504,0)),RIGHT("0"&amp;DAY((A820+1)),2)&amp;"."&amp;RIGHT("0"&amp;MONTH((A820+1)),2)&amp;"."&amp;YEAR((A820+1))&amp;": "&amp;INDEX('Zgłoszenia'!$H$5:$H$504,MATCH(F820&amp;"|"&amp;(A820+1),'Zgłoszenia'!$S$5:$S$504,0)))&amp;IF(K820&gt;1," (+"&amp;(K820-1)&amp;")",""))</f>
        <v/>
      </c>
      <c r="M820" s="63" t="n">
        <v>11</v>
      </c>
      <c r="N820" s="2" t="n"/>
      <c r="O820" s="2" t="n"/>
    </row>
    <row r="821">
      <c r="A821" s="62">
        <f>IF('11'!$C$1="","",'11'!$C$1)</f>
        <v/>
      </c>
      <c r="B821" s="63">
        <f>Ustawienia!$A$8&amp;""</f>
        <v/>
      </c>
      <c r="C821" s="63">
        <f>Ustawienia!$A$15&amp;""</f>
        <v/>
      </c>
      <c r="D821" s="63" t="n">
        <v>4</v>
      </c>
      <c r="E821" s="63">
        <f>IF('11'!B16="","",TRIM('11'!B16&amp;""))</f>
        <v/>
      </c>
      <c r="F821" s="63">
        <f>IF('11'!C16="","",'11'!C16)</f>
        <v/>
      </c>
      <c r="G821" s="63">
        <f>'11'!D16&amp;""</f>
        <v/>
      </c>
      <c r="H821" s="63">
        <f>IF(OR(A821="",F821=""),"",F821&amp;"|"&amp;A821)</f>
        <v/>
      </c>
      <c r="I821" s="63">
        <f>IF(AND(H821&lt;&gt;"",OR('Historia wózka'!$B$4="",F821='Historia wózka'!$B$4),A821&gt;='Historia wózka'!$B$5,A821&lt;='Historia wózka'!$B$6),A821+0.9+(5000-ROW())/10000000,0)</f>
        <v/>
      </c>
      <c r="J821" s="63">
        <f>Ustawienia!$B$8&amp;""</f>
        <v/>
      </c>
      <c r="K821" s="63">
        <f>IF(H821="","",COUNTIFS('Zgłoszenia'!$B$5:$B$504,F821,'Zgłoszenia'!$D$5:$D$504,"&gt;="&amp;A821,'Zgłoszenia'!$D$5:$D$504,"&lt;="&amp;(A821+1)))</f>
        <v/>
      </c>
      <c r="L821" s="63">
        <f>IF(OR(H821="",K821=0),"—",IF(ISNUMBER(MATCH(H821,'Zgłoszenia'!$S$5:$S$504,0)),RIGHT("0"&amp;DAY(A821),2)&amp;"."&amp;RIGHT("0"&amp;MONTH(A821),2)&amp;"."&amp;YEAR(A821)&amp;": "&amp;INDEX('Zgłoszenia'!$H$5:$H$504,MATCH(H821,'Zgłoszenia'!$S$5:$S$504,0)),RIGHT("0"&amp;DAY((A821+1)),2)&amp;"."&amp;RIGHT("0"&amp;MONTH((A821+1)),2)&amp;"."&amp;YEAR((A821+1))&amp;": "&amp;INDEX('Zgłoszenia'!$H$5:$H$504,MATCH(F821&amp;"|"&amp;(A821+1),'Zgłoszenia'!$S$5:$S$504,0)))&amp;IF(K821&gt;1," (+"&amp;(K821-1)&amp;")",""))</f>
        <v/>
      </c>
      <c r="M821" s="63" t="n">
        <v>11</v>
      </c>
      <c r="N821" s="2" t="n"/>
      <c r="O821" s="2" t="n"/>
    </row>
    <row r="822">
      <c r="A822" s="62">
        <f>IF('11'!$C$1="","",'11'!$C$1)</f>
        <v/>
      </c>
      <c r="B822" s="63">
        <f>Ustawienia!$A$8&amp;""</f>
        <v/>
      </c>
      <c r="C822" s="63">
        <f>Ustawienia!$A$15&amp;""</f>
        <v/>
      </c>
      <c r="D822" s="63" t="n">
        <v>5</v>
      </c>
      <c r="E822" s="63">
        <f>IF('11'!B17="","",TRIM('11'!B17&amp;""))</f>
        <v/>
      </c>
      <c r="F822" s="63">
        <f>IF('11'!C17="","",'11'!C17)</f>
        <v/>
      </c>
      <c r="G822" s="63">
        <f>'11'!D17&amp;""</f>
        <v/>
      </c>
      <c r="H822" s="63">
        <f>IF(OR(A822="",F822=""),"",F822&amp;"|"&amp;A822)</f>
        <v/>
      </c>
      <c r="I822" s="63">
        <f>IF(AND(H822&lt;&gt;"",OR('Historia wózka'!$B$4="",F822='Historia wózka'!$B$4),A822&gt;='Historia wózka'!$B$5,A822&lt;='Historia wózka'!$B$6),A822+0.9+(5000-ROW())/10000000,0)</f>
        <v/>
      </c>
      <c r="J822" s="63">
        <f>Ustawienia!$B$8&amp;""</f>
        <v/>
      </c>
      <c r="K822" s="63">
        <f>IF(H822="","",COUNTIFS('Zgłoszenia'!$B$5:$B$504,F822,'Zgłoszenia'!$D$5:$D$504,"&gt;="&amp;A822,'Zgłoszenia'!$D$5:$D$504,"&lt;="&amp;(A822+1)))</f>
        <v/>
      </c>
      <c r="L822" s="63">
        <f>IF(OR(H822="",K822=0),"—",IF(ISNUMBER(MATCH(H822,'Zgłoszenia'!$S$5:$S$504,0)),RIGHT("0"&amp;DAY(A822),2)&amp;"."&amp;RIGHT("0"&amp;MONTH(A822),2)&amp;"."&amp;YEAR(A822)&amp;": "&amp;INDEX('Zgłoszenia'!$H$5:$H$504,MATCH(H822,'Zgłoszenia'!$S$5:$S$504,0)),RIGHT("0"&amp;DAY((A822+1)),2)&amp;"."&amp;RIGHT("0"&amp;MONTH((A822+1)),2)&amp;"."&amp;YEAR((A822+1))&amp;": "&amp;INDEX('Zgłoszenia'!$H$5:$H$504,MATCH(F822&amp;"|"&amp;(A822+1),'Zgłoszenia'!$S$5:$S$504,0)))&amp;IF(K822&gt;1," (+"&amp;(K822-1)&amp;")",""))</f>
        <v/>
      </c>
      <c r="M822" s="63" t="n">
        <v>11</v>
      </c>
      <c r="N822" s="2" t="n"/>
      <c r="O822" s="2" t="n"/>
    </row>
    <row r="823">
      <c r="A823" s="62">
        <f>IF('11'!$C$1="","",'11'!$C$1)</f>
        <v/>
      </c>
      <c r="B823" s="63">
        <f>Ustawienia!$A$8&amp;""</f>
        <v/>
      </c>
      <c r="C823" s="63">
        <f>Ustawienia!$A$15&amp;""</f>
        <v/>
      </c>
      <c r="D823" s="63" t="n">
        <v>6</v>
      </c>
      <c r="E823" s="63">
        <f>IF('11'!B18="","",TRIM('11'!B18&amp;""))</f>
        <v/>
      </c>
      <c r="F823" s="63">
        <f>IF('11'!C18="","",'11'!C18)</f>
        <v/>
      </c>
      <c r="G823" s="63">
        <f>'11'!D18&amp;""</f>
        <v/>
      </c>
      <c r="H823" s="63">
        <f>IF(OR(A823="",F823=""),"",F823&amp;"|"&amp;A823)</f>
        <v/>
      </c>
      <c r="I823" s="63">
        <f>IF(AND(H823&lt;&gt;"",OR('Historia wózka'!$B$4="",F823='Historia wózka'!$B$4),A823&gt;='Historia wózka'!$B$5,A823&lt;='Historia wózka'!$B$6),A823+0.9+(5000-ROW())/10000000,0)</f>
        <v/>
      </c>
      <c r="J823" s="63">
        <f>Ustawienia!$B$8&amp;""</f>
        <v/>
      </c>
      <c r="K823" s="63">
        <f>IF(H823="","",COUNTIFS('Zgłoszenia'!$B$5:$B$504,F823,'Zgłoszenia'!$D$5:$D$504,"&gt;="&amp;A823,'Zgłoszenia'!$D$5:$D$504,"&lt;="&amp;(A823+1)))</f>
        <v/>
      </c>
      <c r="L823" s="63">
        <f>IF(OR(H823="",K823=0),"—",IF(ISNUMBER(MATCH(H823,'Zgłoszenia'!$S$5:$S$504,0)),RIGHT("0"&amp;DAY(A823),2)&amp;"."&amp;RIGHT("0"&amp;MONTH(A823),2)&amp;"."&amp;YEAR(A823)&amp;": "&amp;INDEX('Zgłoszenia'!$H$5:$H$504,MATCH(H823,'Zgłoszenia'!$S$5:$S$504,0)),RIGHT("0"&amp;DAY((A823+1)),2)&amp;"."&amp;RIGHT("0"&amp;MONTH((A823+1)),2)&amp;"."&amp;YEAR((A823+1))&amp;": "&amp;INDEX('Zgłoszenia'!$H$5:$H$504,MATCH(F823&amp;"|"&amp;(A823+1),'Zgłoszenia'!$S$5:$S$504,0)))&amp;IF(K823&gt;1," (+"&amp;(K823-1)&amp;")",""))</f>
        <v/>
      </c>
      <c r="M823" s="63" t="n">
        <v>11</v>
      </c>
      <c r="N823" s="2" t="n"/>
      <c r="O823" s="2" t="n"/>
    </row>
    <row r="824">
      <c r="A824" s="62">
        <f>IF('11'!$C$1="","",'11'!$C$1)</f>
        <v/>
      </c>
      <c r="B824" s="63">
        <f>Ustawienia!$A$8&amp;""</f>
        <v/>
      </c>
      <c r="C824" s="63">
        <f>Ustawienia!$A$15&amp;""</f>
        <v/>
      </c>
      <c r="D824" s="63" t="n">
        <v>7</v>
      </c>
      <c r="E824" s="63">
        <f>IF('11'!B19="","",TRIM('11'!B19&amp;""))</f>
        <v/>
      </c>
      <c r="F824" s="63">
        <f>IF('11'!C19="","",'11'!C19)</f>
        <v/>
      </c>
      <c r="G824" s="63">
        <f>'11'!D19&amp;""</f>
        <v/>
      </c>
      <c r="H824" s="63">
        <f>IF(OR(A824="",F824=""),"",F824&amp;"|"&amp;A824)</f>
        <v/>
      </c>
      <c r="I824" s="63">
        <f>IF(AND(H824&lt;&gt;"",OR('Historia wózka'!$B$4="",F824='Historia wózka'!$B$4),A824&gt;='Historia wózka'!$B$5,A824&lt;='Historia wózka'!$B$6),A824+0.9+(5000-ROW())/10000000,0)</f>
        <v/>
      </c>
      <c r="J824" s="63">
        <f>Ustawienia!$B$8&amp;""</f>
        <v/>
      </c>
      <c r="K824" s="63">
        <f>IF(H824="","",COUNTIFS('Zgłoszenia'!$B$5:$B$504,F824,'Zgłoszenia'!$D$5:$D$504,"&gt;="&amp;A824,'Zgłoszenia'!$D$5:$D$504,"&lt;="&amp;(A824+1)))</f>
        <v/>
      </c>
      <c r="L824" s="63">
        <f>IF(OR(H824="",K824=0),"—",IF(ISNUMBER(MATCH(H824,'Zgłoszenia'!$S$5:$S$504,0)),RIGHT("0"&amp;DAY(A824),2)&amp;"."&amp;RIGHT("0"&amp;MONTH(A824),2)&amp;"."&amp;YEAR(A824)&amp;": "&amp;INDEX('Zgłoszenia'!$H$5:$H$504,MATCH(H824,'Zgłoszenia'!$S$5:$S$504,0)),RIGHT("0"&amp;DAY((A824+1)),2)&amp;"."&amp;RIGHT("0"&amp;MONTH((A824+1)),2)&amp;"."&amp;YEAR((A824+1))&amp;": "&amp;INDEX('Zgłoszenia'!$H$5:$H$504,MATCH(F824&amp;"|"&amp;(A824+1),'Zgłoszenia'!$S$5:$S$504,0)))&amp;IF(K824&gt;1," (+"&amp;(K824-1)&amp;")",""))</f>
        <v/>
      </c>
      <c r="M824" s="63" t="n">
        <v>11</v>
      </c>
      <c r="N824" s="2" t="n"/>
      <c r="O824" s="2" t="n"/>
    </row>
    <row r="825">
      <c r="A825" s="62">
        <f>IF('11'!$C$1="","",'11'!$C$1)</f>
        <v/>
      </c>
      <c r="B825" s="63">
        <f>Ustawienia!$A$8&amp;""</f>
        <v/>
      </c>
      <c r="C825" s="63">
        <f>Ustawienia!$A$15&amp;""</f>
        <v/>
      </c>
      <c r="D825" s="63" t="n">
        <v>8</v>
      </c>
      <c r="E825" s="63">
        <f>IF('11'!B20="","",TRIM('11'!B20&amp;""))</f>
        <v/>
      </c>
      <c r="F825" s="63">
        <f>IF('11'!C20="","",'11'!C20)</f>
        <v/>
      </c>
      <c r="G825" s="63">
        <f>'11'!D20&amp;""</f>
        <v/>
      </c>
      <c r="H825" s="63">
        <f>IF(OR(A825="",F825=""),"",F825&amp;"|"&amp;A825)</f>
        <v/>
      </c>
      <c r="I825" s="63">
        <f>IF(AND(H825&lt;&gt;"",OR('Historia wózka'!$B$4="",F825='Historia wózka'!$B$4),A825&gt;='Historia wózka'!$B$5,A825&lt;='Historia wózka'!$B$6),A825+0.9+(5000-ROW())/10000000,0)</f>
        <v/>
      </c>
      <c r="J825" s="63">
        <f>Ustawienia!$B$8&amp;""</f>
        <v/>
      </c>
      <c r="K825" s="63">
        <f>IF(H825="","",COUNTIFS('Zgłoszenia'!$B$5:$B$504,F825,'Zgłoszenia'!$D$5:$D$504,"&gt;="&amp;A825,'Zgłoszenia'!$D$5:$D$504,"&lt;="&amp;(A825+1)))</f>
        <v/>
      </c>
      <c r="L825" s="63">
        <f>IF(OR(H825="",K825=0),"—",IF(ISNUMBER(MATCH(H825,'Zgłoszenia'!$S$5:$S$504,0)),RIGHT("0"&amp;DAY(A825),2)&amp;"."&amp;RIGHT("0"&amp;MONTH(A825),2)&amp;"."&amp;YEAR(A825)&amp;": "&amp;INDEX('Zgłoszenia'!$H$5:$H$504,MATCH(H825,'Zgłoszenia'!$S$5:$S$504,0)),RIGHT("0"&amp;DAY((A825+1)),2)&amp;"."&amp;RIGHT("0"&amp;MONTH((A825+1)),2)&amp;"."&amp;YEAR((A825+1))&amp;": "&amp;INDEX('Zgłoszenia'!$H$5:$H$504,MATCH(F825&amp;"|"&amp;(A825+1),'Zgłoszenia'!$S$5:$S$504,0)))&amp;IF(K825&gt;1," (+"&amp;(K825-1)&amp;")",""))</f>
        <v/>
      </c>
      <c r="M825" s="63" t="n">
        <v>11</v>
      </c>
      <c r="N825" s="2" t="n"/>
      <c r="O825" s="2" t="n"/>
    </row>
    <row r="826">
      <c r="A826" s="62">
        <f>IF('11'!$C$1="","",'11'!$C$1)</f>
        <v/>
      </c>
      <c r="B826" s="63">
        <f>Ustawienia!$A$8&amp;""</f>
        <v/>
      </c>
      <c r="C826" s="63">
        <f>Ustawienia!$A$16&amp;""</f>
        <v/>
      </c>
      <c r="D826" s="63" t="n">
        <v>1</v>
      </c>
      <c r="E826" s="63">
        <f>IF('11'!B22="","",TRIM('11'!B22&amp;""))</f>
        <v/>
      </c>
      <c r="F826" s="63">
        <f>IF('11'!C22="","",'11'!C22)</f>
        <v/>
      </c>
      <c r="G826" s="63">
        <f>'11'!D22&amp;""</f>
        <v/>
      </c>
      <c r="H826" s="63">
        <f>IF(OR(A826="",F826=""),"",F826&amp;"|"&amp;A826)</f>
        <v/>
      </c>
      <c r="I826" s="63">
        <f>IF(AND(H826&lt;&gt;"",OR('Historia wózka'!$B$4="",F826='Historia wózka'!$B$4),A826&gt;='Historia wózka'!$B$5,A826&lt;='Historia wózka'!$B$6),A826+0.9+(5000-ROW())/10000000,0)</f>
        <v/>
      </c>
      <c r="J826" s="63">
        <f>Ustawienia!$B$8&amp;""</f>
        <v/>
      </c>
      <c r="K826" s="63">
        <f>IF(H826="","",COUNTIFS('Zgłoszenia'!$B$5:$B$504,F826,'Zgłoszenia'!$D$5:$D$504,"&gt;="&amp;A826,'Zgłoszenia'!$D$5:$D$504,"&lt;="&amp;(A826+1)))</f>
        <v/>
      </c>
      <c r="L826" s="63">
        <f>IF(OR(H826="",K826=0),"—",IF(ISNUMBER(MATCH(H826,'Zgłoszenia'!$S$5:$S$504,0)),RIGHT("0"&amp;DAY(A826),2)&amp;"."&amp;RIGHT("0"&amp;MONTH(A826),2)&amp;"."&amp;YEAR(A826)&amp;": "&amp;INDEX('Zgłoszenia'!$H$5:$H$504,MATCH(H826,'Zgłoszenia'!$S$5:$S$504,0)),RIGHT("0"&amp;DAY((A826+1)),2)&amp;"."&amp;RIGHT("0"&amp;MONTH((A826+1)),2)&amp;"."&amp;YEAR((A826+1))&amp;": "&amp;INDEX('Zgłoszenia'!$H$5:$H$504,MATCH(F826&amp;"|"&amp;(A826+1),'Zgłoszenia'!$S$5:$S$504,0)))&amp;IF(K826&gt;1," (+"&amp;(K826-1)&amp;")",""))</f>
        <v/>
      </c>
      <c r="M826" s="63" t="n">
        <v>11</v>
      </c>
      <c r="N826" s="2" t="n"/>
      <c r="O826" s="2" t="n"/>
    </row>
    <row r="827">
      <c r="A827" s="62">
        <f>IF('11'!$C$1="","",'11'!$C$1)</f>
        <v/>
      </c>
      <c r="B827" s="63">
        <f>Ustawienia!$A$8&amp;""</f>
        <v/>
      </c>
      <c r="C827" s="63">
        <f>Ustawienia!$A$16&amp;""</f>
        <v/>
      </c>
      <c r="D827" s="63" t="n">
        <v>2</v>
      </c>
      <c r="E827" s="63">
        <f>IF('11'!B23="","",TRIM('11'!B23&amp;""))</f>
        <v/>
      </c>
      <c r="F827" s="63">
        <f>IF('11'!C23="","",'11'!C23)</f>
        <v/>
      </c>
      <c r="G827" s="63">
        <f>'11'!D23&amp;""</f>
        <v/>
      </c>
      <c r="H827" s="63">
        <f>IF(OR(A827="",F827=""),"",F827&amp;"|"&amp;A827)</f>
        <v/>
      </c>
      <c r="I827" s="63">
        <f>IF(AND(H827&lt;&gt;"",OR('Historia wózka'!$B$4="",F827='Historia wózka'!$B$4),A827&gt;='Historia wózka'!$B$5,A827&lt;='Historia wózka'!$B$6),A827+0.9+(5000-ROW())/10000000,0)</f>
        <v/>
      </c>
      <c r="J827" s="63">
        <f>Ustawienia!$B$8&amp;""</f>
        <v/>
      </c>
      <c r="K827" s="63">
        <f>IF(H827="","",COUNTIFS('Zgłoszenia'!$B$5:$B$504,F827,'Zgłoszenia'!$D$5:$D$504,"&gt;="&amp;A827,'Zgłoszenia'!$D$5:$D$504,"&lt;="&amp;(A827+1)))</f>
        <v/>
      </c>
      <c r="L827" s="63">
        <f>IF(OR(H827="",K827=0),"—",IF(ISNUMBER(MATCH(H827,'Zgłoszenia'!$S$5:$S$504,0)),RIGHT("0"&amp;DAY(A827),2)&amp;"."&amp;RIGHT("0"&amp;MONTH(A827),2)&amp;"."&amp;YEAR(A827)&amp;": "&amp;INDEX('Zgłoszenia'!$H$5:$H$504,MATCH(H827,'Zgłoszenia'!$S$5:$S$504,0)),RIGHT("0"&amp;DAY((A827+1)),2)&amp;"."&amp;RIGHT("0"&amp;MONTH((A827+1)),2)&amp;"."&amp;YEAR((A827+1))&amp;": "&amp;INDEX('Zgłoszenia'!$H$5:$H$504,MATCH(F827&amp;"|"&amp;(A827+1),'Zgłoszenia'!$S$5:$S$504,0)))&amp;IF(K827&gt;1," (+"&amp;(K827-1)&amp;")",""))</f>
        <v/>
      </c>
      <c r="M827" s="63" t="n">
        <v>11</v>
      </c>
      <c r="N827" s="2" t="n"/>
      <c r="O827" s="2" t="n"/>
    </row>
    <row r="828">
      <c r="A828" s="62">
        <f>IF('11'!$C$1="","",'11'!$C$1)</f>
        <v/>
      </c>
      <c r="B828" s="63">
        <f>Ustawienia!$A$8&amp;""</f>
        <v/>
      </c>
      <c r="C828" s="63">
        <f>Ustawienia!$A$16&amp;""</f>
        <v/>
      </c>
      <c r="D828" s="63" t="n">
        <v>3</v>
      </c>
      <c r="E828" s="63">
        <f>IF('11'!B24="","",TRIM('11'!B24&amp;""))</f>
        <v/>
      </c>
      <c r="F828" s="63">
        <f>IF('11'!C24="","",'11'!C24)</f>
        <v/>
      </c>
      <c r="G828" s="63">
        <f>'11'!D24&amp;""</f>
        <v/>
      </c>
      <c r="H828" s="63">
        <f>IF(OR(A828="",F828=""),"",F828&amp;"|"&amp;A828)</f>
        <v/>
      </c>
      <c r="I828" s="63">
        <f>IF(AND(H828&lt;&gt;"",OR('Historia wózka'!$B$4="",F828='Historia wózka'!$B$4),A828&gt;='Historia wózka'!$B$5,A828&lt;='Historia wózka'!$B$6),A828+0.9+(5000-ROW())/10000000,0)</f>
        <v/>
      </c>
      <c r="J828" s="63">
        <f>Ustawienia!$B$8&amp;""</f>
        <v/>
      </c>
      <c r="K828" s="63">
        <f>IF(H828="","",COUNTIFS('Zgłoszenia'!$B$5:$B$504,F828,'Zgłoszenia'!$D$5:$D$504,"&gt;="&amp;A828,'Zgłoszenia'!$D$5:$D$504,"&lt;="&amp;(A828+1)))</f>
        <v/>
      </c>
      <c r="L828" s="63">
        <f>IF(OR(H828="",K828=0),"—",IF(ISNUMBER(MATCH(H828,'Zgłoszenia'!$S$5:$S$504,0)),RIGHT("0"&amp;DAY(A828),2)&amp;"."&amp;RIGHT("0"&amp;MONTH(A828),2)&amp;"."&amp;YEAR(A828)&amp;": "&amp;INDEX('Zgłoszenia'!$H$5:$H$504,MATCH(H828,'Zgłoszenia'!$S$5:$S$504,0)),RIGHT("0"&amp;DAY((A828+1)),2)&amp;"."&amp;RIGHT("0"&amp;MONTH((A828+1)),2)&amp;"."&amp;YEAR((A828+1))&amp;": "&amp;INDEX('Zgłoszenia'!$H$5:$H$504,MATCH(F828&amp;"|"&amp;(A828+1),'Zgłoszenia'!$S$5:$S$504,0)))&amp;IF(K828&gt;1," (+"&amp;(K828-1)&amp;")",""))</f>
        <v/>
      </c>
      <c r="M828" s="63" t="n">
        <v>11</v>
      </c>
      <c r="N828" s="2" t="n"/>
      <c r="O828" s="2" t="n"/>
    </row>
    <row r="829">
      <c r="A829" s="62">
        <f>IF('11'!$C$1="","",'11'!$C$1)</f>
        <v/>
      </c>
      <c r="B829" s="63">
        <f>Ustawienia!$A$8&amp;""</f>
        <v/>
      </c>
      <c r="C829" s="63">
        <f>Ustawienia!$A$16&amp;""</f>
        <v/>
      </c>
      <c r="D829" s="63" t="n">
        <v>4</v>
      </c>
      <c r="E829" s="63">
        <f>IF('11'!B25="","",TRIM('11'!B25&amp;""))</f>
        <v/>
      </c>
      <c r="F829" s="63">
        <f>IF('11'!C25="","",'11'!C25)</f>
        <v/>
      </c>
      <c r="G829" s="63">
        <f>'11'!D25&amp;""</f>
        <v/>
      </c>
      <c r="H829" s="63">
        <f>IF(OR(A829="",F829=""),"",F829&amp;"|"&amp;A829)</f>
        <v/>
      </c>
      <c r="I829" s="63">
        <f>IF(AND(H829&lt;&gt;"",OR('Historia wózka'!$B$4="",F829='Historia wózka'!$B$4),A829&gt;='Historia wózka'!$B$5,A829&lt;='Historia wózka'!$B$6),A829+0.9+(5000-ROW())/10000000,0)</f>
        <v/>
      </c>
      <c r="J829" s="63">
        <f>Ustawienia!$B$8&amp;""</f>
        <v/>
      </c>
      <c r="K829" s="63">
        <f>IF(H829="","",COUNTIFS('Zgłoszenia'!$B$5:$B$504,F829,'Zgłoszenia'!$D$5:$D$504,"&gt;="&amp;A829,'Zgłoszenia'!$D$5:$D$504,"&lt;="&amp;(A829+1)))</f>
        <v/>
      </c>
      <c r="L829" s="63">
        <f>IF(OR(H829="",K829=0),"—",IF(ISNUMBER(MATCH(H829,'Zgłoszenia'!$S$5:$S$504,0)),RIGHT("0"&amp;DAY(A829),2)&amp;"."&amp;RIGHT("0"&amp;MONTH(A829),2)&amp;"."&amp;YEAR(A829)&amp;": "&amp;INDEX('Zgłoszenia'!$H$5:$H$504,MATCH(H829,'Zgłoszenia'!$S$5:$S$504,0)),RIGHT("0"&amp;DAY((A829+1)),2)&amp;"."&amp;RIGHT("0"&amp;MONTH((A829+1)),2)&amp;"."&amp;YEAR((A829+1))&amp;": "&amp;INDEX('Zgłoszenia'!$H$5:$H$504,MATCH(F829&amp;"|"&amp;(A829+1),'Zgłoszenia'!$S$5:$S$504,0)))&amp;IF(K829&gt;1," (+"&amp;(K829-1)&amp;")",""))</f>
        <v/>
      </c>
      <c r="M829" s="63" t="n">
        <v>11</v>
      </c>
      <c r="N829" s="2" t="n"/>
      <c r="O829" s="2" t="n"/>
    </row>
    <row r="830">
      <c r="A830" s="62">
        <f>IF('11'!$C$1="","",'11'!$C$1)</f>
        <v/>
      </c>
      <c r="B830" s="63">
        <f>Ustawienia!$A$8&amp;""</f>
        <v/>
      </c>
      <c r="C830" s="63">
        <f>Ustawienia!$A$17&amp;""</f>
        <v/>
      </c>
      <c r="D830" s="63" t="n">
        <v>1</v>
      </c>
      <c r="E830" s="63">
        <f>IF('11'!B27="","",TRIM('11'!B27&amp;""))</f>
        <v/>
      </c>
      <c r="F830" s="63">
        <f>IF('11'!C27="","",'11'!C27)</f>
        <v/>
      </c>
      <c r="G830" s="63">
        <f>'11'!D27&amp;""</f>
        <v/>
      </c>
      <c r="H830" s="63">
        <f>IF(OR(A830="",F830=""),"",F830&amp;"|"&amp;A830)</f>
        <v/>
      </c>
      <c r="I830" s="63">
        <f>IF(AND(H830&lt;&gt;"",OR('Historia wózka'!$B$4="",F830='Historia wózka'!$B$4),A830&gt;='Historia wózka'!$B$5,A830&lt;='Historia wózka'!$B$6),A830+0.9+(5000-ROW())/10000000,0)</f>
        <v/>
      </c>
      <c r="J830" s="63">
        <f>Ustawienia!$B$8&amp;""</f>
        <v/>
      </c>
      <c r="K830" s="63">
        <f>IF(H830="","",COUNTIFS('Zgłoszenia'!$B$5:$B$504,F830,'Zgłoszenia'!$D$5:$D$504,"&gt;="&amp;A830,'Zgłoszenia'!$D$5:$D$504,"&lt;="&amp;(A830+1)))</f>
        <v/>
      </c>
      <c r="L830" s="63">
        <f>IF(OR(H830="",K830=0),"—",IF(ISNUMBER(MATCH(H830,'Zgłoszenia'!$S$5:$S$504,0)),RIGHT("0"&amp;DAY(A830),2)&amp;"."&amp;RIGHT("0"&amp;MONTH(A830),2)&amp;"."&amp;YEAR(A830)&amp;": "&amp;INDEX('Zgłoszenia'!$H$5:$H$504,MATCH(H830,'Zgłoszenia'!$S$5:$S$504,0)),RIGHT("0"&amp;DAY((A830+1)),2)&amp;"."&amp;RIGHT("0"&amp;MONTH((A830+1)),2)&amp;"."&amp;YEAR((A830+1))&amp;": "&amp;INDEX('Zgłoszenia'!$H$5:$H$504,MATCH(F830&amp;"|"&amp;(A830+1),'Zgłoszenia'!$S$5:$S$504,0)))&amp;IF(K830&gt;1," (+"&amp;(K830-1)&amp;")",""))</f>
        <v/>
      </c>
      <c r="M830" s="63" t="n">
        <v>11</v>
      </c>
      <c r="N830" s="2" t="n"/>
      <c r="O830" s="2" t="n"/>
    </row>
    <row r="831">
      <c r="A831" s="62">
        <f>IF('11'!$C$1="","",'11'!$C$1)</f>
        <v/>
      </c>
      <c r="B831" s="63">
        <f>Ustawienia!$A$8&amp;""</f>
        <v/>
      </c>
      <c r="C831" s="63">
        <f>Ustawienia!$A$17&amp;""</f>
        <v/>
      </c>
      <c r="D831" s="63" t="n">
        <v>2</v>
      </c>
      <c r="E831" s="63">
        <f>IF('11'!B28="","",TRIM('11'!B28&amp;""))</f>
        <v/>
      </c>
      <c r="F831" s="63">
        <f>IF('11'!C28="","",'11'!C28)</f>
        <v/>
      </c>
      <c r="G831" s="63">
        <f>'11'!D28&amp;""</f>
        <v/>
      </c>
      <c r="H831" s="63">
        <f>IF(OR(A831="",F831=""),"",F831&amp;"|"&amp;A831)</f>
        <v/>
      </c>
      <c r="I831" s="63">
        <f>IF(AND(H831&lt;&gt;"",OR('Historia wózka'!$B$4="",F831='Historia wózka'!$B$4),A831&gt;='Historia wózka'!$B$5,A831&lt;='Historia wózka'!$B$6),A831+0.9+(5000-ROW())/10000000,0)</f>
        <v/>
      </c>
      <c r="J831" s="63">
        <f>Ustawienia!$B$8&amp;""</f>
        <v/>
      </c>
      <c r="K831" s="63">
        <f>IF(H831="","",COUNTIFS('Zgłoszenia'!$B$5:$B$504,F831,'Zgłoszenia'!$D$5:$D$504,"&gt;="&amp;A831,'Zgłoszenia'!$D$5:$D$504,"&lt;="&amp;(A831+1)))</f>
        <v/>
      </c>
      <c r="L831" s="63">
        <f>IF(OR(H831="",K831=0),"—",IF(ISNUMBER(MATCH(H831,'Zgłoszenia'!$S$5:$S$504,0)),RIGHT("0"&amp;DAY(A831),2)&amp;"."&amp;RIGHT("0"&amp;MONTH(A831),2)&amp;"."&amp;YEAR(A831)&amp;": "&amp;INDEX('Zgłoszenia'!$H$5:$H$504,MATCH(H831,'Zgłoszenia'!$S$5:$S$504,0)),RIGHT("0"&amp;DAY((A831+1)),2)&amp;"."&amp;RIGHT("0"&amp;MONTH((A831+1)),2)&amp;"."&amp;YEAR((A831+1))&amp;": "&amp;INDEX('Zgłoszenia'!$H$5:$H$504,MATCH(F831&amp;"|"&amp;(A831+1),'Zgłoszenia'!$S$5:$S$504,0)))&amp;IF(K831&gt;1," (+"&amp;(K831-1)&amp;")",""))</f>
        <v/>
      </c>
      <c r="M831" s="63" t="n">
        <v>11</v>
      </c>
      <c r="N831" s="2" t="n"/>
      <c r="O831" s="2" t="n"/>
    </row>
    <row r="832">
      <c r="A832" s="62">
        <f>IF('11'!$C$1="","",'11'!$C$1)</f>
        <v/>
      </c>
      <c r="B832" s="63">
        <f>Ustawienia!$A$8&amp;""</f>
        <v/>
      </c>
      <c r="C832" s="63">
        <f>Ustawienia!$A$17&amp;""</f>
        <v/>
      </c>
      <c r="D832" s="63" t="n">
        <v>3</v>
      </c>
      <c r="E832" s="63">
        <f>IF('11'!B29="","",TRIM('11'!B29&amp;""))</f>
        <v/>
      </c>
      <c r="F832" s="63">
        <f>IF('11'!C29="","",'11'!C29)</f>
        <v/>
      </c>
      <c r="G832" s="63">
        <f>'11'!D29&amp;""</f>
        <v/>
      </c>
      <c r="H832" s="63">
        <f>IF(OR(A832="",F832=""),"",F832&amp;"|"&amp;A832)</f>
        <v/>
      </c>
      <c r="I832" s="63">
        <f>IF(AND(H832&lt;&gt;"",OR('Historia wózka'!$B$4="",F832='Historia wózka'!$B$4),A832&gt;='Historia wózka'!$B$5,A832&lt;='Historia wózka'!$B$6),A832+0.9+(5000-ROW())/10000000,0)</f>
        <v/>
      </c>
      <c r="J832" s="63">
        <f>Ustawienia!$B$8&amp;""</f>
        <v/>
      </c>
      <c r="K832" s="63">
        <f>IF(H832="","",COUNTIFS('Zgłoszenia'!$B$5:$B$504,F832,'Zgłoszenia'!$D$5:$D$504,"&gt;="&amp;A832,'Zgłoszenia'!$D$5:$D$504,"&lt;="&amp;(A832+1)))</f>
        <v/>
      </c>
      <c r="L832" s="63">
        <f>IF(OR(H832="",K832=0),"—",IF(ISNUMBER(MATCH(H832,'Zgłoszenia'!$S$5:$S$504,0)),RIGHT("0"&amp;DAY(A832),2)&amp;"."&amp;RIGHT("0"&amp;MONTH(A832),2)&amp;"."&amp;YEAR(A832)&amp;": "&amp;INDEX('Zgłoszenia'!$H$5:$H$504,MATCH(H832,'Zgłoszenia'!$S$5:$S$504,0)),RIGHT("0"&amp;DAY((A832+1)),2)&amp;"."&amp;RIGHT("0"&amp;MONTH((A832+1)),2)&amp;"."&amp;YEAR((A832+1))&amp;": "&amp;INDEX('Zgłoszenia'!$H$5:$H$504,MATCH(F832&amp;"|"&amp;(A832+1),'Zgłoszenia'!$S$5:$S$504,0)))&amp;IF(K832&gt;1," (+"&amp;(K832-1)&amp;")",""))</f>
        <v/>
      </c>
      <c r="M832" s="63" t="n">
        <v>11</v>
      </c>
      <c r="N832" s="2" t="n"/>
      <c r="O832" s="2" t="n"/>
    </row>
    <row r="833">
      <c r="A833" s="62">
        <f>IF('11'!$C$1="","",'11'!$C$1)</f>
        <v/>
      </c>
      <c r="B833" s="63">
        <f>Ustawienia!$A$8&amp;""</f>
        <v/>
      </c>
      <c r="C833" s="63">
        <f>Ustawienia!$A$17&amp;""</f>
        <v/>
      </c>
      <c r="D833" s="63" t="n">
        <v>4</v>
      </c>
      <c r="E833" s="63">
        <f>IF('11'!B30="","",TRIM('11'!B30&amp;""))</f>
        <v/>
      </c>
      <c r="F833" s="63">
        <f>IF('11'!C30="","",'11'!C30)</f>
        <v/>
      </c>
      <c r="G833" s="63">
        <f>'11'!D30&amp;""</f>
        <v/>
      </c>
      <c r="H833" s="63">
        <f>IF(OR(A833="",F833=""),"",F833&amp;"|"&amp;A833)</f>
        <v/>
      </c>
      <c r="I833" s="63">
        <f>IF(AND(H833&lt;&gt;"",OR('Historia wózka'!$B$4="",F833='Historia wózka'!$B$4),A833&gt;='Historia wózka'!$B$5,A833&lt;='Historia wózka'!$B$6),A833+0.9+(5000-ROW())/10000000,0)</f>
        <v/>
      </c>
      <c r="J833" s="63">
        <f>Ustawienia!$B$8&amp;""</f>
        <v/>
      </c>
      <c r="K833" s="63">
        <f>IF(H833="","",COUNTIFS('Zgłoszenia'!$B$5:$B$504,F833,'Zgłoszenia'!$D$5:$D$504,"&gt;="&amp;A833,'Zgłoszenia'!$D$5:$D$504,"&lt;="&amp;(A833+1)))</f>
        <v/>
      </c>
      <c r="L833" s="63">
        <f>IF(OR(H833="",K833=0),"—",IF(ISNUMBER(MATCH(H833,'Zgłoszenia'!$S$5:$S$504,0)),RIGHT("0"&amp;DAY(A833),2)&amp;"."&amp;RIGHT("0"&amp;MONTH(A833),2)&amp;"."&amp;YEAR(A833)&amp;": "&amp;INDEX('Zgłoszenia'!$H$5:$H$504,MATCH(H833,'Zgłoszenia'!$S$5:$S$504,0)),RIGHT("0"&amp;DAY((A833+1)),2)&amp;"."&amp;RIGHT("0"&amp;MONTH((A833+1)),2)&amp;"."&amp;YEAR((A833+1))&amp;": "&amp;INDEX('Zgłoszenia'!$H$5:$H$504,MATCH(F833&amp;"|"&amp;(A833+1),'Zgłoszenia'!$S$5:$S$504,0)))&amp;IF(K833&gt;1," (+"&amp;(K833-1)&amp;")",""))</f>
        <v/>
      </c>
      <c r="M833" s="63" t="n">
        <v>11</v>
      </c>
      <c r="N833" s="2" t="n"/>
      <c r="O833" s="2" t="n"/>
    </row>
    <row r="834">
      <c r="A834" s="62">
        <f>IF('11'!$C$1="","",'11'!$C$1)</f>
        <v/>
      </c>
      <c r="B834" s="63">
        <f>Ustawienia!$A$8&amp;""</f>
        <v/>
      </c>
      <c r="C834" s="63">
        <f>Ustawienia!$A$18&amp;""</f>
        <v/>
      </c>
      <c r="D834" s="63" t="n">
        <v>1</v>
      </c>
      <c r="E834" s="63">
        <f>IF('11'!B32="","",TRIM('11'!B32&amp;""))</f>
        <v/>
      </c>
      <c r="F834" s="63">
        <f>IF('11'!C32="","",'11'!C32)</f>
        <v/>
      </c>
      <c r="G834" s="63">
        <f>'11'!D32&amp;""</f>
        <v/>
      </c>
      <c r="H834" s="63">
        <f>IF(OR(A834="",F834=""),"",F834&amp;"|"&amp;A834)</f>
        <v/>
      </c>
      <c r="I834" s="63">
        <f>IF(AND(H834&lt;&gt;"",OR('Historia wózka'!$B$4="",F834='Historia wózka'!$B$4),A834&gt;='Historia wózka'!$B$5,A834&lt;='Historia wózka'!$B$6),A834+0.9+(5000-ROW())/10000000,0)</f>
        <v/>
      </c>
      <c r="J834" s="63">
        <f>Ustawienia!$B$8&amp;""</f>
        <v/>
      </c>
      <c r="K834" s="63">
        <f>IF(H834="","",COUNTIFS('Zgłoszenia'!$B$5:$B$504,F834,'Zgłoszenia'!$D$5:$D$504,"&gt;="&amp;A834,'Zgłoszenia'!$D$5:$D$504,"&lt;="&amp;(A834+1)))</f>
        <v/>
      </c>
      <c r="L834" s="63">
        <f>IF(OR(H834="",K834=0),"—",IF(ISNUMBER(MATCH(H834,'Zgłoszenia'!$S$5:$S$504,0)),RIGHT("0"&amp;DAY(A834),2)&amp;"."&amp;RIGHT("0"&amp;MONTH(A834),2)&amp;"."&amp;YEAR(A834)&amp;": "&amp;INDEX('Zgłoszenia'!$H$5:$H$504,MATCH(H834,'Zgłoszenia'!$S$5:$S$504,0)),RIGHT("0"&amp;DAY((A834+1)),2)&amp;"."&amp;RIGHT("0"&amp;MONTH((A834+1)),2)&amp;"."&amp;YEAR((A834+1))&amp;": "&amp;INDEX('Zgłoszenia'!$H$5:$H$504,MATCH(F834&amp;"|"&amp;(A834+1),'Zgłoszenia'!$S$5:$S$504,0)))&amp;IF(K834&gt;1," (+"&amp;(K834-1)&amp;")",""))</f>
        <v/>
      </c>
      <c r="M834" s="63" t="n">
        <v>11</v>
      </c>
      <c r="N834" s="2" t="n"/>
      <c r="O834" s="2" t="n"/>
    </row>
    <row r="835">
      <c r="A835" s="62">
        <f>IF('11'!$C$1="","",'11'!$C$1)</f>
        <v/>
      </c>
      <c r="B835" s="63">
        <f>Ustawienia!$A$8&amp;""</f>
        <v/>
      </c>
      <c r="C835" s="63">
        <f>Ustawienia!$A$18&amp;""</f>
        <v/>
      </c>
      <c r="D835" s="63" t="n">
        <v>2</v>
      </c>
      <c r="E835" s="63">
        <f>IF('11'!B33="","",TRIM('11'!B33&amp;""))</f>
        <v/>
      </c>
      <c r="F835" s="63">
        <f>IF('11'!C33="","",'11'!C33)</f>
        <v/>
      </c>
      <c r="G835" s="63">
        <f>'11'!D33&amp;""</f>
        <v/>
      </c>
      <c r="H835" s="63">
        <f>IF(OR(A835="",F835=""),"",F835&amp;"|"&amp;A835)</f>
        <v/>
      </c>
      <c r="I835" s="63">
        <f>IF(AND(H835&lt;&gt;"",OR('Historia wózka'!$B$4="",F835='Historia wózka'!$B$4),A835&gt;='Historia wózka'!$B$5,A835&lt;='Historia wózka'!$B$6),A835+0.9+(5000-ROW())/10000000,0)</f>
        <v/>
      </c>
      <c r="J835" s="63">
        <f>Ustawienia!$B$8&amp;""</f>
        <v/>
      </c>
      <c r="K835" s="63">
        <f>IF(H835="","",COUNTIFS('Zgłoszenia'!$B$5:$B$504,F835,'Zgłoszenia'!$D$5:$D$504,"&gt;="&amp;A835,'Zgłoszenia'!$D$5:$D$504,"&lt;="&amp;(A835+1)))</f>
        <v/>
      </c>
      <c r="L835" s="63">
        <f>IF(OR(H835="",K835=0),"—",IF(ISNUMBER(MATCH(H835,'Zgłoszenia'!$S$5:$S$504,0)),RIGHT("0"&amp;DAY(A835),2)&amp;"."&amp;RIGHT("0"&amp;MONTH(A835),2)&amp;"."&amp;YEAR(A835)&amp;": "&amp;INDEX('Zgłoszenia'!$H$5:$H$504,MATCH(H835,'Zgłoszenia'!$S$5:$S$504,0)),RIGHT("0"&amp;DAY((A835+1)),2)&amp;"."&amp;RIGHT("0"&amp;MONTH((A835+1)),2)&amp;"."&amp;YEAR((A835+1))&amp;": "&amp;INDEX('Zgłoszenia'!$H$5:$H$504,MATCH(F835&amp;"|"&amp;(A835+1),'Zgłoszenia'!$S$5:$S$504,0)))&amp;IF(K835&gt;1," (+"&amp;(K835-1)&amp;")",""))</f>
        <v/>
      </c>
      <c r="M835" s="63" t="n">
        <v>11</v>
      </c>
      <c r="N835" s="2" t="n"/>
      <c r="O835" s="2" t="n"/>
    </row>
    <row r="836">
      <c r="A836" s="62">
        <f>IF('11'!$C$1="","",'11'!$C$1)</f>
        <v/>
      </c>
      <c r="B836" s="63">
        <f>Ustawienia!$A$8&amp;""</f>
        <v/>
      </c>
      <c r="C836" s="63">
        <f>Ustawienia!$A$18&amp;""</f>
        <v/>
      </c>
      <c r="D836" s="63" t="n">
        <v>3</v>
      </c>
      <c r="E836" s="63">
        <f>IF('11'!B34="","",TRIM('11'!B34&amp;""))</f>
        <v/>
      </c>
      <c r="F836" s="63">
        <f>IF('11'!C34="","",'11'!C34)</f>
        <v/>
      </c>
      <c r="G836" s="63">
        <f>'11'!D34&amp;""</f>
        <v/>
      </c>
      <c r="H836" s="63">
        <f>IF(OR(A836="",F836=""),"",F836&amp;"|"&amp;A836)</f>
        <v/>
      </c>
      <c r="I836" s="63">
        <f>IF(AND(H836&lt;&gt;"",OR('Historia wózka'!$B$4="",F836='Historia wózka'!$B$4),A836&gt;='Historia wózka'!$B$5,A836&lt;='Historia wózka'!$B$6),A836+0.9+(5000-ROW())/10000000,0)</f>
        <v/>
      </c>
      <c r="J836" s="63">
        <f>Ustawienia!$B$8&amp;""</f>
        <v/>
      </c>
      <c r="K836" s="63">
        <f>IF(H836="","",COUNTIFS('Zgłoszenia'!$B$5:$B$504,F836,'Zgłoszenia'!$D$5:$D$504,"&gt;="&amp;A836,'Zgłoszenia'!$D$5:$D$504,"&lt;="&amp;(A836+1)))</f>
        <v/>
      </c>
      <c r="L836" s="63">
        <f>IF(OR(H836="",K836=0),"—",IF(ISNUMBER(MATCH(H836,'Zgłoszenia'!$S$5:$S$504,0)),RIGHT("0"&amp;DAY(A836),2)&amp;"."&amp;RIGHT("0"&amp;MONTH(A836),2)&amp;"."&amp;YEAR(A836)&amp;": "&amp;INDEX('Zgłoszenia'!$H$5:$H$504,MATCH(H836,'Zgłoszenia'!$S$5:$S$504,0)),RIGHT("0"&amp;DAY((A836+1)),2)&amp;"."&amp;RIGHT("0"&amp;MONTH((A836+1)),2)&amp;"."&amp;YEAR((A836+1))&amp;": "&amp;INDEX('Zgłoszenia'!$H$5:$H$504,MATCH(F836&amp;"|"&amp;(A836+1),'Zgłoszenia'!$S$5:$S$504,0)))&amp;IF(K836&gt;1," (+"&amp;(K836-1)&amp;")",""))</f>
        <v/>
      </c>
      <c r="M836" s="63" t="n">
        <v>11</v>
      </c>
      <c r="N836" s="2" t="n"/>
      <c r="O836" s="2" t="n"/>
    </row>
    <row r="837">
      <c r="A837" s="62">
        <f>IF('11'!$C$1="","",'11'!$C$1)</f>
        <v/>
      </c>
      <c r="B837" s="63">
        <f>Ustawienia!$A$8&amp;""</f>
        <v/>
      </c>
      <c r="C837" s="63">
        <f>Ustawienia!$A$18&amp;""</f>
        <v/>
      </c>
      <c r="D837" s="63" t="n">
        <v>4</v>
      </c>
      <c r="E837" s="63">
        <f>IF('11'!B35="","",TRIM('11'!B35&amp;""))</f>
        <v/>
      </c>
      <c r="F837" s="63">
        <f>IF('11'!C35="","",'11'!C35)</f>
        <v/>
      </c>
      <c r="G837" s="63">
        <f>'11'!D35&amp;""</f>
        <v/>
      </c>
      <c r="H837" s="63">
        <f>IF(OR(A837="",F837=""),"",F837&amp;"|"&amp;A837)</f>
        <v/>
      </c>
      <c r="I837" s="63">
        <f>IF(AND(H837&lt;&gt;"",OR('Historia wózka'!$B$4="",F837='Historia wózka'!$B$4),A837&gt;='Historia wózka'!$B$5,A837&lt;='Historia wózka'!$B$6),A837+0.9+(5000-ROW())/10000000,0)</f>
        <v/>
      </c>
      <c r="J837" s="63">
        <f>Ustawienia!$B$8&amp;""</f>
        <v/>
      </c>
      <c r="K837" s="63">
        <f>IF(H837="","",COUNTIFS('Zgłoszenia'!$B$5:$B$504,F837,'Zgłoszenia'!$D$5:$D$504,"&gt;="&amp;A837,'Zgłoszenia'!$D$5:$D$504,"&lt;="&amp;(A837+1)))</f>
        <v/>
      </c>
      <c r="L837" s="63">
        <f>IF(OR(H837="",K837=0),"—",IF(ISNUMBER(MATCH(H837,'Zgłoszenia'!$S$5:$S$504,0)),RIGHT("0"&amp;DAY(A837),2)&amp;"."&amp;RIGHT("0"&amp;MONTH(A837),2)&amp;"."&amp;YEAR(A837)&amp;": "&amp;INDEX('Zgłoszenia'!$H$5:$H$504,MATCH(H837,'Zgłoszenia'!$S$5:$S$504,0)),RIGHT("0"&amp;DAY((A837+1)),2)&amp;"."&amp;RIGHT("0"&amp;MONTH((A837+1)),2)&amp;"."&amp;YEAR((A837+1))&amp;": "&amp;INDEX('Zgłoszenia'!$H$5:$H$504,MATCH(F837&amp;"|"&amp;(A837+1),'Zgłoszenia'!$S$5:$S$504,0)))&amp;IF(K837&gt;1," (+"&amp;(K837-1)&amp;")",""))</f>
        <v/>
      </c>
      <c r="M837" s="63" t="n">
        <v>11</v>
      </c>
      <c r="N837" s="2" t="n"/>
      <c r="O837" s="2" t="n"/>
    </row>
    <row r="838">
      <c r="A838" s="62">
        <f>IF('11'!$C$1="","",'11'!$C$1)</f>
        <v/>
      </c>
      <c r="B838" s="63">
        <f>Ustawienia!$A$8&amp;""</f>
        <v/>
      </c>
      <c r="C838" s="63">
        <f>Ustawienia!$A$18&amp;""</f>
        <v/>
      </c>
      <c r="D838" s="63" t="n">
        <v>5</v>
      </c>
      <c r="E838" s="63">
        <f>IF('11'!B36="","",TRIM('11'!B36&amp;""))</f>
        <v/>
      </c>
      <c r="F838" s="63">
        <f>IF('11'!C36="","",'11'!C36)</f>
        <v/>
      </c>
      <c r="G838" s="63">
        <f>'11'!D36&amp;""</f>
        <v/>
      </c>
      <c r="H838" s="63">
        <f>IF(OR(A838="",F838=""),"",F838&amp;"|"&amp;A838)</f>
        <v/>
      </c>
      <c r="I838" s="63">
        <f>IF(AND(H838&lt;&gt;"",OR('Historia wózka'!$B$4="",F838='Historia wózka'!$B$4),A838&gt;='Historia wózka'!$B$5,A838&lt;='Historia wózka'!$B$6),A838+0.9+(5000-ROW())/10000000,0)</f>
        <v/>
      </c>
      <c r="J838" s="63">
        <f>Ustawienia!$B$8&amp;""</f>
        <v/>
      </c>
      <c r="K838" s="63">
        <f>IF(H838="","",COUNTIFS('Zgłoszenia'!$B$5:$B$504,F838,'Zgłoszenia'!$D$5:$D$504,"&gt;="&amp;A838,'Zgłoszenia'!$D$5:$D$504,"&lt;="&amp;(A838+1)))</f>
        <v/>
      </c>
      <c r="L838" s="63">
        <f>IF(OR(H838="",K838=0),"—",IF(ISNUMBER(MATCH(H838,'Zgłoszenia'!$S$5:$S$504,0)),RIGHT("0"&amp;DAY(A838),2)&amp;"."&amp;RIGHT("0"&amp;MONTH(A838),2)&amp;"."&amp;YEAR(A838)&amp;": "&amp;INDEX('Zgłoszenia'!$H$5:$H$504,MATCH(H838,'Zgłoszenia'!$S$5:$S$504,0)),RIGHT("0"&amp;DAY((A838+1)),2)&amp;"."&amp;RIGHT("0"&amp;MONTH((A838+1)),2)&amp;"."&amp;YEAR((A838+1))&amp;": "&amp;INDEX('Zgłoszenia'!$H$5:$H$504,MATCH(F838&amp;"|"&amp;(A838+1),'Zgłoszenia'!$S$5:$S$504,0)))&amp;IF(K838&gt;1," (+"&amp;(K838-1)&amp;")",""))</f>
        <v/>
      </c>
      <c r="M838" s="63" t="n">
        <v>11</v>
      </c>
      <c r="N838" s="2" t="n"/>
      <c r="O838" s="2" t="n"/>
    </row>
    <row r="839">
      <c r="A839" s="62">
        <f>IF('11'!$C$1="","",'11'!$C$1)</f>
        <v/>
      </c>
      <c r="B839" s="63">
        <f>Ustawienia!$A$9&amp;""</f>
        <v/>
      </c>
      <c r="C839" s="63">
        <f>Ustawienia!$A$14&amp;""</f>
        <v/>
      </c>
      <c r="D839" s="63" t="n">
        <v>1</v>
      </c>
      <c r="E839" s="63">
        <f>IF('11'!F6="","",TRIM('11'!F6&amp;""))</f>
        <v/>
      </c>
      <c r="F839" s="63">
        <f>IF('11'!G6="","",'11'!G6)</f>
        <v/>
      </c>
      <c r="G839" s="63">
        <f>'11'!H6&amp;""</f>
        <v/>
      </c>
      <c r="H839" s="63">
        <f>IF(OR(A839="",F839=""),"",F839&amp;"|"&amp;A839)</f>
        <v/>
      </c>
      <c r="I839" s="63">
        <f>IF(AND(H839&lt;&gt;"",OR('Historia wózka'!$B$4="",F839='Historia wózka'!$B$4),A839&gt;='Historia wózka'!$B$5,A839&lt;='Historia wózka'!$B$6),A839+0.8+(5000-ROW())/10000000,0)</f>
        <v/>
      </c>
      <c r="J839" s="63">
        <f>Ustawienia!$B$9&amp;""</f>
        <v/>
      </c>
      <c r="K839" s="63">
        <f>IF(H839="","",COUNTIFS('Zgłoszenia'!$B$5:$B$504,F839,'Zgłoszenia'!$D$5:$D$504,"&gt;="&amp;A839,'Zgłoszenia'!$D$5:$D$504,"&lt;="&amp;(A839+1)))</f>
        <v/>
      </c>
      <c r="L839" s="63">
        <f>IF(OR(H839="",K839=0),"—",IF(ISNUMBER(MATCH(H839,'Zgłoszenia'!$S$5:$S$504,0)),RIGHT("0"&amp;DAY(A839),2)&amp;"."&amp;RIGHT("0"&amp;MONTH(A839),2)&amp;"."&amp;YEAR(A839)&amp;": "&amp;INDEX('Zgłoszenia'!$H$5:$H$504,MATCH(H839,'Zgłoszenia'!$S$5:$S$504,0)),RIGHT("0"&amp;DAY((A839+1)),2)&amp;"."&amp;RIGHT("0"&amp;MONTH((A839+1)),2)&amp;"."&amp;YEAR((A839+1))&amp;": "&amp;INDEX('Zgłoszenia'!$H$5:$H$504,MATCH(F839&amp;"|"&amp;(A839+1),'Zgłoszenia'!$S$5:$S$504,0)))&amp;IF(K839&gt;1," (+"&amp;(K839-1)&amp;")",""))</f>
        <v/>
      </c>
      <c r="M839" s="63" t="n">
        <v>11</v>
      </c>
      <c r="N839" s="2" t="n"/>
      <c r="O839" s="2" t="n"/>
    </row>
    <row r="840">
      <c r="A840" s="62">
        <f>IF('11'!$C$1="","",'11'!$C$1)</f>
        <v/>
      </c>
      <c r="B840" s="63">
        <f>Ustawienia!$A$9&amp;""</f>
        <v/>
      </c>
      <c r="C840" s="63">
        <f>Ustawienia!$A$14&amp;""</f>
        <v/>
      </c>
      <c r="D840" s="63" t="n">
        <v>2</v>
      </c>
      <c r="E840" s="63">
        <f>IF('11'!F7="","",TRIM('11'!F7&amp;""))</f>
        <v/>
      </c>
      <c r="F840" s="63">
        <f>IF('11'!G7="","",'11'!G7)</f>
        <v/>
      </c>
      <c r="G840" s="63">
        <f>'11'!H7&amp;""</f>
        <v/>
      </c>
      <c r="H840" s="63">
        <f>IF(OR(A840="",F840=""),"",F840&amp;"|"&amp;A840)</f>
        <v/>
      </c>
      <c r="I840" s="63">
        <f>IF(AND(H840&lt;&gt;"",OR('Historia wózka'!$B$4="",F840='Historia wózka'!$B$4),A840&gt;='Historia wózka'!$B$5,A840&lt;='Historia wózka'!$B$6),A840+0.8+(5000-ROW())/10000000,0)</f>
        <v/>
      </c>
      <c r="J840" s="63">
        <f>Ustawienia!$B$9&amp;""</f>
        <v/>
      </c>
      <c r="K840" s="63">
        <f>IF(H840="","",COUNTIFS('Zgłoszenia'!$B$5:$B$504,F840,'Zgłoszenia'!$D$5:$D$504,"&gt;="&amp;A840,'Zgłoszenia'!$D$5:$D$504,"&lt;="&amp;(A840+1)))</f>
        <v/>
      </c>
      <c r="L840" s="63">
        <f>IF(OR(H840="",K840=0),"—",IF(ISNUMBER(MATCH(H840,'Zgłoszenia'!$S$5:$S$504,0)),RIGHT("0"&amp;DAY(A840),2)&amp;"."&amp;RIGHT("0"&amp;MONTH(A840),2)&amp;"."&amp;YEAR(A840)&amp;": "&amp;INDEX('Zgłoszenia'!$H$5:$H$504,MATCH(H840,'Zgłoszenia'!$S$5:$S$504,0)),RIGHT("0"&amp;DAY((A840+1)),2)&amp;"."&amp;RIGHT("0"&amp;MONTH((A840+1)),2)&amp;"."&amp;YEAR((A840+1))&amp;": "&amp;INDEX('Zgłoszenia'!$H$5:$H$504,MATCH(F840&amp;"|"&amp;(A840+1),'Zgłoszenia'!$S$5:$S$504,0)))&amp;IF(K840&gt;1," (+"&amp;(K840-1)&amp;")",""))</f>
        <v/>
      </c>
      <c r="M840" s="63" t="n">
        <v>11</v>
      </c>
      <c r="N840" s="2" t="n"/>
      <c r="O840" s="2" t="n"/>
    </row>
    <row r="841">
      <c r="A841" s="62">
        <f>IF('11'!$C$1="","",'11'!$C$1)</f>
        <v/>
      </c>
      <c r="B841" s="63">
        <f>Ustawienia!$A$9&amp;""</f>
        <v/>
      </c>
      <c r="C841" s="63">
        <f>Ustawienia!$A$14&amp;""</f>
        <v/>
      </c>
      <c r="D841" s="63" t="n">
        <v>3</v>
      </c>
      <c r="E841" s="63">
        <f>IF('11'!F8="","",TRIM('11'!F8&amp;""))</f>
        <v/>
      </c>
      <c r="F841" s="63">
        <f>IF('11'!G8="","",'11'!G8)</f>
        <v/>
      </c>
      <c r="G841" s="63">
        <f>'11'!H8&amp;""</f>
        <v/>
      </c>
      <c r="H841" s="63">
        <f>IF(OR(A841="",F841=""),"",F841&amp;"|"&amp;A841)</f>
        <v/>
      </c>
      <c r="I841" s="63">
        <f>IF(AND(H841&lt;&gt;"",OR('Historia wózka'!$B$4="",F841='Historia wózka'!$B$4),A841&gt;='Historia wózka'!$B$5,A841&lt;='Historia wózka'!$B$6),A841+0.8+(5000-ROW())/10000000,0)</f>
        <v/>
      </c>
      <c r="J841" s="63">
        <f>Ustawienia!$B$9&amp;""</f>
        <v/>
      </c>
      <c r="K841" s="63">
        <f>IF(H841="","",COUNTIFS('Zgłoszenia'!$B$5:$B$504,F841,'Zgłoszenia'!$D$5:$D$504,"&gt;="&amp;A841,'Zgłoszenia'!$D$5:$D$504,"&lt;="&amp;(A841+1)))</f>
        <v/>
      </c>
      <c r="L841" s="63">
        <f>IF(OR(H841="",K841=0),"—",IF(ISNUMBER(MATCH(H841,'Zgłoszenia'!$S$5:$S$504,0)),RIGHT("0"&amp;DAY(A841),2)&amp;"."&amp;RIGHT("0"&amp;MONTH(A841),2)&amp;"."&amp;YEAR(A841)&amp;": "&amp;INDEX('Zgłoszenia'!$H$5:$H$504,MATCH(H841,'Zgłoszenia'!$S$5:$S$504,0)),RIGHT("0"&amp;DAY((A841+1)),2)&amp;"."&amp;RIGHT("0"&amp;MONTH((A841+1)),2)&amp;"."&amp;YEAR((A841+1))&amp;": "&amp;INDEX('Zgłoszenia'!$H$5:$H$504,MATCH(F841&amp;"|"&amp;(A841+1),'Zgłoszenia'!$S$5:$S$504,0)))&amp;IF(K841&gt;1," (+"&amp;(K841-1)&amp;")",""))</f>
        <v/>
      </c>
      <c r="M841" s="63" t="n">
        <v>11</v>
      </c>
      <c r="N841" s="2" t="n"/>
      <c r="O841" s="2" t="n"/>
    </row>
    <row r="842">
      <c r="A842" s="62">
        <f>IF('11'!$C$1="","",'11'!$C$1)</f>
        <v/>
      </c>
      <c r="B842" s="63">
        <f>Ustawienia!$A$9&amp;""</f>
        <v/>
      </c>
      <c r="C842" s="63">
        <f>Ustawienia!$A$14&amp;""</f>
        <v/>
      </c>
      <c r="D842" s="63" t="n">
        <v>4</v>
      </c>
      <c r="E842" s="63">
        <f>IF('11'!F9="","",TRIM('11'!F9&amp;""))</f>
        <v/>
      </c>
      <c r="F842" s="63">
        <f>IF('11'!G9="","",'11'!G9)</f>
        <v/>
      </c>
      <c r="G842" s="63">
        <f>'11'!H9&amp;""</f>
        <v/>
      </c>
      <c r="H842" s="63">
        <f>IF(OR(A842="",F842=""),"",F842&amp;"|"&amp;A842)</f>
        <v/>
      </c>
      <c r="I842" s="63">
        <f>IF(AND(H842&lt;&gt;"",OR('Historia wózka'!$B$4="",F842='Historia wózka'!$B$4),A842&gt;='Historia wózka'!$B$5,A842&lt;='Historia wózka'!$B$6),A842+0.8+(5000-ROW())/10000000,0)</f>
        <v/>
      </c>
      <c r="J842" s="63">
        <f>Ustawienia!$B$9&amp;""</f>
        <v/>
      </c>
      <c r="K842" s="63">
        <f>IF(H842="","",COUNTIFS('Zgłoszenia'!$B$5:$B$504,F842,'Zgłoszenia'!$D$5:$D$504,"&gt;="&amp;A842,'Zgłoszenia'!$D$5:$D$504,"&lt;="&amp;(A842+1)))</f>
        <v/>
      </c>
      <c r="L842" s="63">
        <f>IF(OR(H842="",K842=0),"—",IF(ISNUMBER(MATCH(H842,'Zgłoszenia'!$S$5:$S$504,0)),RIGHT("0"&amp;DAY(A842),2)&amp;"."&amp;RIGHT("0"&amp;MONTH(A842),2)&amp;"."&amp;YEAR(A842)&amp;": "&amp;INDEX('Zgłoszenia'!$H$5:$H$504,MATCH(H842,'Zgłoszenia'!$S$5:$S$504,0)),RIGHT("0"&amp;DAY((A842+1)),2)&amp;"."&amp;RIGHT("0"&amp;MONTH((A842+1)),2)&amp;"."&amp;YEAR((A842+1))&amp;": "&amp;INDEX('Zgłoszenia'!$H$5:$H$504,MATCH(F842&amp;"|"&amp;(A842+1),'Zgłoszenia'!$S$5:$S$504,0)))&amp;IF(K842&gt;1," (+"&amp;(K842-1)&amp;")",""))</f>
        <v/>
      </c>
      <c r="M842" s="63" t="n">
        <v>11</v>
      </c>
      <c r="N842" s="2" t="n"/>
      <c r="O842" s="2" t="n"/>
    </row>
    <row r="843">
      <c r="A843" s="62">
        <f>IF('11'!$C$1="","",'11'!$C$1)</f>
        <v/>
      </c>
      <c r="B843" s="63">
        <f>Ustawienia!$A$9&amp;""</f>
        <v/>
      </c>
      <c r="C843" s="63">
        <f>Ustawienia!$A$14&amp;""</f>
        <v/>
      </c>
      <c r="D843" s="63" t="n">
        <v>5</v>
      </c>
      <c r="E843" s="63">
        <f>IF('11'!F10="","",TRIM('11'!F10&amp;""))</f>
        <v/>
      </c>
      <c r="F843" s="63">
        <f>IF('11'!G10="","",'11'!G10)</f>
        <v/>
      </c>
      <c r="G843" s="63">
        <f>'11'!H10&amp;""</f>
        <v/>
      </c>
      <c r="H843" s="63">
        <f>IF(OR(A843="",F843=""),"",F843&amp;"|"&amp;A843)</f>
        <v/>
      </c>
      <c r="I843" s="63">
        <f>IF(AND(H843&lt;&gt;"",OR('Historia wózka'!$B$4="",F843='Historia wózka'!$B$4),A843&gt;='Historia wózka'!$B$5,A843&lt;='Historia wózka'!$B$6),A843+0.8+(5000-ROW())/10000000,0)</f>
        <v/>
      </c>
      <c r="J843" s="63">
        <f>Ustawienia!$B$9&amp;""</f>
        <v/>
      </c>
      <c r="K843" s="63">
        <f>IF(H843="","",COUNTIFS('Zgłoszenia'!$B$5:$B$504,F843,'Zgłoszenia'!$D$5:$D$504,"&gt;="&amp;A843,'Zgłoszenia'!$D$5:$D$504,"&lt;="&amp;(A843+1)))</f>
        <v/>
      </c>
      <c r="L843" s="63">
        <f>IF(OR(H843="",K843=0),"—",IF(ISNUMBER(MATCH(H843,'Zgłoszenia'!$S$5:$S$504,0)),RIGHT("0"&amp;DAY(A843),2)&amp;"."&amp;RIGHT("0"&amp;MONTH(A843),2)&amp;"."&amp;YEAR(A843)&amp;": "&amp;INDEX('Zgłoszenia'!$H$5:$H$504,MATCH(H843,'Zgłoszenia'!$S$5:$S$504,0)),RIGHT("0"&amp;DAY((A843+1)),2)&amp;"."&amp;RIGHT("0"&amp;MONTH((A843+1)),2)&amp;"."&amp;YEAR((A843+1))&amp;": "&amp;INDEX('Zgłoszenia'!$H$5:$H$504,MATCH(F843&amp;"|"&amp;(A843+1),'Zgłoszenia'!$S$5:$S$504,0)))&amp;IF(K843&gt;1," (+"&amp;(K843-1)&amp;")",""))</f>
        <v/>
      </c>
      <c r="M843" s="63" t="n">
        <v>11</v>
      </c>
      <c r="N843" s="2" t="n"/>
      <c r="O843" s="2" t="n"/>
    </row>
    <row r="844">
      <c r="A844" s="62">
        <f>IF('11'!$C$1="","",'11'!$C$1)</f>
        <v/>
      </c>
      <c r="B844" s="63">
        <f>Ustawienia!$A$9&amp;""</f>
        <v/>
      </c>
      <c r="C844" s="63">
        <f>Ustawienia!$A$14&amp;""</f>
        <v/>
      </c>
      <c r="D844" s="63" t="n">
        <v>6</v>
      </c>
      <c r="E844" s="63">
        <f>IF('11'!F11="","",TRIM('11'!F11&amp;""))</f>
        <v/>
      </c>
      <c r="F844" s="63">
        <f>IF('11'!G11="","",'11'!G11)</f>
        <v/>
      </c>
      <c r="G844" s="63">
        <f>'11'!H11&amp;""</f>
        <v/>
      </c>
      <c r="H844" s="63">
        <f>IF(OR(A844="",F844=""),"",F844&amp;"|"&amp;A844)</f>
        <v/>
      </c>
      <c r="I844" s="63">
        <f>IF(AND(H844&lt;&gt;"",OR('Historia wózka'!$B$4="",F844='Historia wózka'!$B$4),A844&gt;='Historia wózka'!$B$5,A844&lt;='Historia wózka'!$B$6),A844+0.8+(5000-ROW())/10000000,0)</f>
        <v/>
      </c>
      <c r="J844" s="63">
        <f>Ustawienia!$B$9&amp;""</f>
        <v/>
      </c>
      <c r="K844" s="63">
        <f>IF(H844="","",COUNTIFS('Zgłoszenia'!$B$5:$B$504,F844,'Zgłoszenia'!$D$5:$D$504,"&gt;="&amp;A844,'Zgłoszenia'!$D$5:$D$504,"&lt;="&amp;(A844+1)))</f>
        <v/>
      </c>
      <c r="L844" s="63">
        <f>IF(OR(H844="",K844=0),"—",IF(ISNUMBER(MATCH(H844,'Zgłoszenia'!$S$5:$S$504,0)),RIGHT("0"&amp;DAY(A844),2)&amp;"."&amp;RIGHT("0"&amp;MONTH(A844),2)&amp;"."&amp;YEAR(A844)&amp;": "&amp;INDEX('Zgłoszenia'!$H$5:$H$504,MATCH(H844,'Zgłoszenia'!$S$5:$S$504,0)),RIGHT("0"&amp;DAY((A844+1)),2)&amp;"."&amp;RIGHT("0"&amp;MONTH((A844+1)),2)&amp;"."&amp;YEAR((A844+1))&amp;": "&amp;INDEX('Zgłoszenia'!$H$5:$H$504,MATCH(F844&amp;"|"&amp;(A844+1),'Zgłoszenia'!$S$5:$S$504,0)))&amp;IF(K844&gt;1," (+"&amp;(K844-1)&amp;")",""))</f>
        <v/>
      </c>
      <c r="M844" s="63" t="n">
        <v>11</v>
      </c>
      <c r="N844" s="2" t="n"/>
      <c r="O844" s="2" t="n"/>
    </row>
    <row r="845">
      <c r="A845" s="62">
        <f>IF('11'!$C$1="","",'11'!$C$1)</f>
        <v/>
      </c>
      <c r="B845" s="63">
        <f>Ustawienia!$A$9&amp;""</f>
        <v/>
      </c>
      <c r="C845" s="63">
        <f>Ustawienia!$A$15&amp;""</f>
        <v/>
      </c>
      <c r="D845" s="63" t="n">
        <v>1</v>
      </c>
      <c r="E845" s="63">
        <f>IF('11'!F13="","",TRIM('11'!F13&amp;""))</f>
        <v/>
      </c>
      <c r="F845" s="63">
        <f>IF('11'!G13="","",'11'!G13)</f>
        <v/>
      </c>
      <c r="G845" s="63">
        <f>'11'!H13&amp;""</f>
        <v/>
      </c>
      <c r="H845" s="63">
        <f>IF(OR(A845="",F845=""),"",F845&amp;"|"&amp;A845)</f>
        <v/>
      </c>
      <c r="I845" s="63">
        <f>IF(AND(H845&lt;&gt;"",OR('Historia wózka'!$B$4="",F845='Historia wózka'!$B$4),A845&gt;='Historia wózka'!$B$5,A845&lt;='Historia wózka'!$B$6),A845+0.8+(5000-ROW())/10000000,0)</f>
        <v/>
      </c>
      <c r="J845" s="63">
        <f>Ustawienia!$B$9&amp;""</f>
        <v/>
      </c>
      <c r="K845" s="63">
        <f>IF(H845="","",COUNTIFS('Zgłoszenia'!$B$5:$B$504,F845,'Zgłoszenia'!$D$5:$D$504,"&gt;="&amp;A845,'Zgłoszenia'!$D$5:$D$504,"&lt;="&amp;(A845+1)))</f>
        <v/>
      </c>
      <c r="L845" s="63">
        <f>IF(OR(H845="",K845=0),"—",IF(ISNUMBER(MATCH(H845,'Zgłoszenia'!$S$5:$S$504,0)),RIGHT("0"&amp;DAY(A845),2)&amp;"."&amp;RIGHT("0"&amp;MONTH(A845),2)&amp;"."&amp;YEAR(A845)&amp;": "&amp;INDEX('Zgłoszenia'!$H$5:$H$504,MATCH(H845,'Zgłoszenia'!$S$5:$S$504,0)),RIGHT("0"&amp;DAY((A845+1)),2)&amp;"."&amp;RIGHT("0"&amp;MONTH((A845+1)),2)&amp;"."&amp;YEAR((A845+1))&amp;": "&amp;INDEX('Zgłoszenia'!$H$5:$H$504,MATCH(F845&amp;"|"&amp;(A845+1),'Zgłoszenia'!$S$5:$S$504,0)))&amp;IF(K845&gt;1," (+"&amp;(K845-1)&amp;")",""))</f>
        <v/>
      </c>
      <c r="M845" s="63" t="n">
        <v>11</v>
      </c>
      <c r="N845" s="2" t="n"/>
      <c r="O845" s="2" t="n"/>
    </row>
    <row r="846">
      <c r="A846" s="62">
        <f>IF('11'!$C$1="","",'11'!$C$1)</f>
        <v/>
      </c>
      <c r="B846" s="63">
        <f>Ustawienia!$A$9&amp;""</f>
        <v/>
      </c>
      <c r="C846" s="63">
        <f>Ustawienia!$A$15&amp;""</f>
        <v/>
      </c>
      <c r="D846" s="63" t="n">
        <v>2</v>
      </c>
      <c r="E846" s="63">
        <f>IF('11'!F14="","",TRIM('11'!F14&amp;""))</f>
        <v/>
      </c>
      <c r="F846" s="63">
        <f>IF('11'!G14="","",'11'!G14)</f>
        <v/>
      </c>
      <c r="G846" s="63">
        <f>'11'!H14&amp;""</f>
        <v/>
      </c>
      <c r="H846" s="63">
        <f>IF(OR(A846="",F846=""),"",F846&amp;"|"&amp;A846)</f>
        <v/>
      </c>
      <c r="I846" s="63">
        <f>IF(AND(H846&lt;&gt;"",OR('Historia wózka'!$B$4="",F846='Historia wózka'!$B$4),A846&gt;='Historia wózka'!$B$5,A846&lt;='Historia wózka'!$B$6),A846+0.8+(5000-ROW())/10000000,0)</f>
        <v/>
      </c>
      <c r="J846" s="63">
        <f>Ustawienia!$B$9&amp;""</f>
        <v/>
      </c>
      <c r="K846" s="63">
        <f>IF(H846="","",COUNTIFS('Zgłoszenia'!$B$5:$B$504,F846,'Zgłoszenia'!$D$5:$D$504,"&gt;="&amp;A846,'Zgłoszenia'!$D$5:$D$504,"&lt;="&amp;(A846+1)))</f>
        <v/>
      </c>
      <c r="L846" s="63">
        <f>IF(OR(H846="",K846=0),"—",IF(ISNUMBER(MATCH(H846,'Zgłoszenia'!$S$5:$S$504,0)),RIGHT("0"&amp;DAY(A846),2)&amp;"."&amp;RIGHT("0"&amp;MONTH(A846),2)&amp;"."&amp;YEAR(A846)&amp;": "&amp;INDEX('Zgłoszenia'!$H$5:$H$504,MATCH(H846,'Zgłoszenia'!$S$5:$S$504,0)),RIGHT("0"&amp;DAY((A846+1)),2)&amp;"."&amp;RIGHT("0"&amp;MONTH((A846+1)),2)&amp;"."&amp;YEAR((A846+1))&amp;": "&amp;INDEX('Zgłoszenia'!$H$5:$H$504,MATCH(F846&amp;"|"&amp;(A846+1),'Zgłoszenia'!$S$5:$S$504,0)))&amp;IF(K846&gt;1," (+"&amp;(K846-1)&amp;")",""))</f>
        <v/>
      </c>
      <c r="M846" s="63" t="n">
        <v>11</v>
      </c>
      <c r="N846" s="2" t="n"/>
      <c r="O846" s="2" t="n"/>
    </row>
    <row r="847">
      <c r="A847" s="62">
        <f>IF('11'!$C$1="","",'11'!$C$1)</f>
        <v/>
      </c>
      <c r="B847" s="63">
        <f>Ustawienia!$A$9&amp;""</f>
        <v/>
      </c>
      <c r="C847" s="63">
        <f>Ustawienia!$A$15&amp;""</f>
        <v/>
      </c>
      <c r="D847" s="63" t="n">
        <v>3</v>
      </c>
      <c r="E847" s="63">
        <f>IF('11'!F15="","",TRIM('11'!F15&amp;""))</f>
        <v/>
      </c>
      <c r="F847" s="63">
        <f>IF('11'!G15="","",'11'!G15)</f>
        <v/>
      </c>
      <c r="G847" s="63">
        <f>'11'!H15&amp;""</f>
        <v/>
      </c>
      <c r="H847" s="63">
        <f>IF(OR(A847="",F847=""),"",F847&amp;"|"&amp;A847)</f>
        <v/>
      </c>
      <c r="I847" s="63">
        <f>IF(AND(H847&lt;&gt;"",OR('Historia wózka'!$B$4="",F847='Historia wózka'!$B$4),A847&gt;='Historia wózka'!$B$5,A847&lt;='Historia wózka'!$B$6),A847+0.8+(5000-ROW())/10000000,0)</f>
        <v/>
      </c>
      <c r="J847" s="63">
        <f>Ustawienia!$B$9&amp;""</f>
        <v/>
      </c>
      <c r="K847" s="63">
        <f>IF(H847="","",COUNTIFS('Zgłoszenia'!$B$5:$B$504,F847,'Zgłoszenia'!$D$5:$D$504,"&gt;="&amp;A847,'Zgłoszenia'!$D$5:$D$504,"&lt;="&amp;(A847+1)))</f>
        <v/>
      </c>
      <c r="L847" s="63">
        <f>IF(OR(H847="",K847=0),"—",IF(ISNUMBER(MATCH(H847,'Zgłoszenia'!$S$5:$S$504,0)),RIGHT("0"&amp;DAY(A847),2)&amp;"."&amp;RIGHT("0"&amp;MONTH(A847),2)&amp;"."&amp;YEAR(A847)&amp;": "&amp;INDEX('Zgłoszenia'!$H$5:$H$504,MATCH(H847,'Zgłoszenia'!$S$5:$S$504,0)),RIGHT("0"&amp;DAY((A847+1)),2)&amp;"."&amp;RIGHT("0"&amp;MONTH((A847+1)),2)&amp;"."&amp;YEAR((A847+1))&amp;": "&amp;INDEX('Zgłoszenia'!$H$5:$H$504,MATCH(F847&amp;"|"&amp;(A847+1),'Zgłoszenia'!$S$5:$S$504,0)))&amp;IF(K847&gt;1," (+"&amp;(K847-1)&amp;")",""))</f>
        <v/>
      </c>
      <c r="M847" s="63" t="n">
        <v>11</v>
      </c>
      <c r="N847" s="2" t="n"/>
      <c r="O847" s="2" t="n"/>
    </row>
    <row r="848">
      <c r="A848" s="62">
        <f>IF('11'!$C$1="","",'11'!$C$1)</f>
        <v/>
      </c>
      <c r="B848" s="63">
        <f>Ustawienia!$A$9&amp;""</f>
        <v/>
      </c>
      <c r="C848" s="63">
        <f>Ustawienia!$A$15&amp;""</f>
        <v/>
      </c>
      <c r="D848" s="63" t="n">
        <v>4</v>
      </c>
      <c r="E848" s="63">
        <f>IF('11'!F16="","",TRIM('11'!F16&amp;""))</f>
        <v/>
      </c>
      <c r="F848" s="63">
        <f>IF('11'!G16="","",'11'!G16)</f>
        <v/>
      </c>
      <c r="G848" s="63">
        <f>'11'!H16&amp;""</f>
        <v/>
      </c>
      <c r="H848" s="63">
        <f>IF(OR(A848="",F848=""),"",F848&amp;"|"&amp;A848)</f>
        <v/>
      </c>
      <c r="I848" s="63">
        <f>IF(AND(H848&lt;&gt;"",OR('Historia wózka'!$B$4="",F848='Historia wózka'!$B$4),A848&gt;='Historia wózka'!$B$5,A848&lt;='Historia wózka'!$B$6),A848+0.8+(5000-ROW())/10000000,0)</f>
        <v/>
      </c>
      <c r="J848" s="63">
        <f>Ustawienia!$B$9&amp;""</f>
        <v/>
      </c>
      <c r="K848" s="63">
        <f>IF(H848="","",COUNTIFS('Zgłoszenia'!$B$5:$B$504,F848,'Zgłoszenia'!$D$5:$D$504,"&gt;="&amp;A848,'Zgłoszenia'!$D$5:$D$504,"&lt;="&amp;(A848+1)))</f>
        <v/>
      </c>
      <c r="L848" s="63">
        <f>IF(OR(H848="",K848=0),"—",IF(ISNUMBER(MATCH(H848,'Zgłoszenia'!$S$5:$S$504,0)),RIGHT("0"&amp;DAY(A848),2)&amp;"."&amp;RIGHT("0"&amp;MONTH(A848),2)&amp;"."&amp;YEAR(A848)&amp;": "&amp;INDEX('Zgłoszenia'!$H$5:$H$504,MATCH(H848,'Zgłoszenia'!$S$5:$S$504,0)),RIGHT("0"&amp;DAY((A848+1)),2)&amp;"."&amp;RIGHT("0"&amp;MONTH((A848+1)),2)&amp;"."&amp;YEAR((A848+1))&amp;": "&amp;INDEX('Zgłoszenia'!$H$5:$H$504,MATCH(F848&amp;"|"&amp;(A848+1),'Zgłoszenia'!$S$5:$S$504,0)))&amp;IF(K848&gt;1," (+"&amp;(K848-1)&amp;")",""))</f>
        <v/>
      </c>
      <c r="M848" s="63" t="n">
        <v>11</v>
      </c>
      <c r="N848" s="2" t="n"/>
      <c r="O848" s="2" t="n"/>
    </row>
    <row r="849">
      <c r="A849" s="62">
        <f>IF('11'!$C$1="","",'11'!$C$1)</f>
        <v/>
      </c>
      <c r="B849" s="63">
        <f>Ustawienia!$A$9&amp;""</f>
        <v/>
      </c>
      <c r="C849" s="63">
        <f>Ustawienia!$A$15&amp;""</f>
        <v/>
      </c>
      <c r="D849" s="63" t="n">
        <v>5</v>
      </c>
      <c r="E849" s="63">
        <f>IF('11'!F17="","",TRIM('11'!F17&amp;""))</f>
        <v/>
      </c>
      <c r="F849" s="63">
        <f>IF('11'!G17="","",'11'!G17)</f>
        <v/>
      </c>
      <c r="G849" s="63">
        <f>'11'!H17&amp;""</f>
        <v/>
      </c>
      <c r="H849" s="63">
        <f>IF(OR(A849="",F849=""),"",F849&amp;"|"&amp;A849)</f>
        <v/>
      </c>
      <c r="I849" s="63">
        <f>IF(AND(H849&lt;&gt;"",OR('Historia wózka'!$B$4="",F849='Historia wózka'!$B$4),A849&gt;='Historia wózka'!$B$5,A849&lt;='Historia wózka'!$B$6),A849+0.8+(5000-ROW())/10000000,0)</f>
        <v/>
      </c>
      <c r="J849" s="63">
        <f>Ustawienia!$B$9&amp;""</f>
        <v/>
      </c>
      <c r="K849" s="63">
        <f>IF(H849="","",COUNTIFS('Zgłoszenia'!$B$5:$B$504,F849,'Zgłoszenia'!$D$5:$D$504,"&gt;="&amp;A849,'Zgłoszenia'!$D$5:$D$504,"&lt;="&amp;(A849+1)))</f>
        <v/>
      </c>
      <c r="L849" s="63">
        <f>IF(OR(H849="",K849=0),"—",IF(ISNUMBER(MATCH(H849,'Zgłoszenia'!$S$5:$S$504,0)),RIGHT("0"&amp;DAY(A849),2)&amp;"."&amp;RIGHT("0"&amp;MONTH(A849),2)&amp;"."&amp;YEAR(A849)&amp;": "&amp;INDEX('Zgłoszenia'!$H$5:$H$504,MATCH(H849,'Zgłoszenia'!$S$5:$S$504,0)),RIGHT("0"&amp;DAY((A849+1)),2)&amp;"."&amp;RIGHT("0"&amp;MONTH((A849+1)),2)&amp;"."&amp;YEAR((A849+1))&amp;": "&amp;INDEX('Zgłoszenia'!$H$5:$H$504,MATCH(F849&amp;"|"&amp;(A849+1),'Zgłoszenia'!$S$5:$S$504,0)))&amp;IF(K849&gt;1," (+"&amp;(K849-1)&amp;")",""))</f>
        <v/>
      </c>
      <c r="M849" s="63" t="n">
        <v>11</v>
      </c>
      <c r="N849" s="2" t="n"/>
      <c r="O849" s="2" t="n"/>
    </row>
    <row r="850">
      <c r="A850" s="62">
        <f>IF('11'!$C$1="","",'11'!$C$1)</f>
        <v/>
      </c>
      <c r="B850" s="63">
        <f>Ustawienia!$A$9&amp;""</f>
        <v/>
      </c>
      <c r="C850" s="63">
        <f>Ustawienia!$A$15&amp;""</f>
        <v/>
      </c>
      <c r="D850" s="63" t="n">
        <v>6</v>
      </c>
      <c r="E850" s="63">
        <f>IF('11'!F18="","",TRIM('11'!F18&amp;""))</f>
        <v/>
      </c>
      <c r="F850" s="63">
        <f>IF('11'!G18="","",'11'!G18)</f>
        <v/>
      </c>
      <c r="G850" s="63">
        <f>'11'!H18&amp;""</f>
        <v/>
      </c>
      <c r="H850" s="63">
        <f>IF(OR(A850="",F850=""),"",F850&amp;"|"&amp;A850)</f>
        <v/>
      </c>
      <c r="I850" s="63">
        <f>IF(AND(H850&lt;&gt;"",OR('Historia wózka'!$B$4="",F850='Historia wózka'!$B$4),A850&gt;='Historia wózka'!$B$5,A850&lt;='Historia wózka'!$B$6),A850+0.8+(5000-ROW())/10000000,0)</f>
        <v/>
      </c>
      <c r="J850" s="63">
        <f>Ustawienia!$B$9&amp;""</f>
        <v/>
      </c>
      <c r="K850" s="63">
        <f>IF(H850="","",COUNTIFS('Zgłoszenia'!$B$5:$B$504,F850,'Zgłoszenia'!$D$5:$D$504,"&gt;="&amp;A850,'Zgłoszenia'!$D$5:$D$504,"&lt;="&amp;(A850+1)))</f>
        <v/>
      </c>
      <c r="L850" s="63">
        <f>IF(OR(H850="",K850=0),"—",IF(ISNUMBER(MATCH(H850,'Zgłoszenia'!$S$5:$S$504,0)),RIGHT("0"&amp;DAY(A850),2)&amp;"."&amp;RIGHT("0"&amp;MONTH(A850),2)&amp;"."&amp;YEAR(A850)&amp;": "&amp;INDEX('Zgłoszenia'!$H$5:$H$504,MATCH(H850,'Zgłoszenia'!$S$5:$S$504,0)),RIGHT("0"&amp;DAY((A850+1)),2)&amp;"."&amp;RIGHT("0"&amp;MONTH((A850+1)),2)&amp;"."&amp;YEAR((A850+1))&amp;": "&amp;INDEX('Zgłoszenia'!$H$5:$H$504,MATCH(F850&amp;"|"&amp;(A850+1),'Zgłoszenia'!$S$5:$S$504,0)))&amp;IF(K850&gt;1," (+"&amp;(K850-1)&amp;")",""))</f>
        <v/>
      </c>
      <c r="M850" s="63" t="n">
        <v>11</v>
      </c>
      <c r="N850" s="2" t="n"/>
      <c r="O850" s="2" t="n"/>
    </row>
    <row r="851">
      <c r="A851" s="62">
        <f>IF('11'!$C$1="","",'11'!$C$1)</f>
        <v/>
      </c>
      <c r="B851" s="63">
        <f>Ustawienia!$A$9&amp;""</f>
        <v/>
      </c>
      <c r="C851" s="63">
        <f>Ustawienia!$A$15&amp;""</f>
        <v/>
      </c>
      <c r="D851" s="63" t="n">
        <v>7</v>
      </c>
      <c r="E851" s="63">
        <f>IF('11'!F19="","",TRIM('11'!F19&amp;""))</f>
        <v/>
      </c>
      <c r="F851" s="63">
        <f>IF('11'!G19="","",'11'!G19)</f>
        <v/>
      </c>
      <c r="G851" s="63">
        <f>'11'!H19&amp;""</f>
        <v/>
      </c>
      <c r="H851" s="63">
        <f>IF(OR(A851="",F851=""),"",F851&amp;"|"&amp;A851)</f>
        <v/>
      </c>
      <c r="I851" s="63">
        <f>IF(AND(H851&lt;&gt;"",OR('Historia wózka'!$B$4="",F851='Historia wózka'!$B$4),A851&gt;='Historia wózka'!$B$5,A851&lt;='Historia wózka'!$B$6),A851+0.8+(5000-ROW())/10000000,0)</f>
        <v/>
      </c>
      <c r="J851" s="63">
        <f>Ustawienia!$B$9&amp;""</f>
        <v/>
      </c>
      <c r="K851" s="63">
        <f>IF(H851="","",COUNTIFS('Zgłoszenia'!$B$5:$B$504,F851,'Zgłoszenia'!$D$5:$D$504,"&gt;="&amp;A851,'Zgłoszenia'!$D$5:$D$504,"&lt;="&amp;(A851+1)))</f>
        <v/>
      </c>
      <c r="L851" s="63">
        <f>IF(OR(H851="",K851=0),"—",IF(ISNUMBER(MATCH(H851,'Zgłoszenia'!$S$5:$S$504,0)),RIGHT("0"&amp;DAY(A851),2)&amp;"."&amp;RIGHT("0"&amp;MONTH(A851),2)&amp;"."&amp;YEAR(A851)&amp;": "&amp;INDEX('Zgłoszenia'!$H$5:$H$504,MATCH(H851,'Zgłoszenia'!$S$5:$S$504,0)),RIGHT("0"&amp;DAY((A851+1)),2)&amp;"."&amp;RIGHT("0"&amp;MONTH((A851+1)),2)&amp;"."&amp;YEAR((A851+1))&amp;": "&amp;INDEX('Zgłoszenia'!$H$5:$H$504,MATCH(F851&amp;"|"&amp;(A851+1),'Zgłoszenia'!$S$5:$S$504,0)))&amp;IF(K851&gt;1," (+"&amp;(K851-1)&amp;")",""))</f>
        <v/>
      </c>
      <c r="M851" s="63" t="n">
        <v>11</v>
      </c>
      <c r="N851" s="2" t="n"/>
      <c r="O851" s="2" t="n"/>
    </row>
    <row r="852">
      <c r="A852" s="62">
        <f>IF('11'!$C$1="","",'11'!$C$1)</f>
        <v/>
      </c>
      <c r="B852" s="63">
        <f>Ustawienia!$A$9&amp;""</f>
        <v/>
      </c>
      <c r="C852" s="63">
        <f>Ustawienia!$A$15&amp;""</f>
        <v/>
      </c>
      <c r="D852" s="63" t="n">
        <v>8</v>
      </c>
      <c r="E852" s="63">
        <f>IF('11'!F20="","",TRIM('11'!F20&amp;""))</f>
        <v/>
      </c>
      <c r="F852" s="63">
        <f>IF('11'!G20="","",'11'!G20)</f>
        <v/>
      </c>
      <c r="G852" s="63">
        <f>'11'!H20&amp;""</f>
        <v/>
      </c>
      <c r="H852" s="63">
        <f>IF(OR(A852="",F852=""),"",F852&amp;"|"&amp;A852)</f>
        <v/>
      </c>
      <c r="I852" s="63">
        <f>IF(AND(H852&lt;&gt;"",OR('Historia wózka'!$B$4="",F852='Historia wózka'!$B$4),A852&gt;='Historia wózka'!$B$5,A852&lt;='Historia wózka'!$B$6),A852+0.8+(5000-ROW())/10000000,0)</f>
        <v/>
      </c>
      <c r="J852" s="63">
        <f>Ustawienia!$B$9&amp;""</f>
        <v/>
      </c>
      <c r="K852" s="63">
        <f>IF(H852="","",COUNTIFS('Zgłoszenia'!$B$5:$B$504,F852,'Zgłoszenia'!$D$5:$D$504,"&gt;="&amp;A852,'Zgłoszenia'!$D$5:$D$504,"&lt;="&amp;(A852+1)))</f>
        <v/>
      </c>
      <c r="L852" s="63">
        <f>IF(OR(H852="",K852=0),"—",IF(ISNUMBER(MATCH(H852,'Zgłoszenia'!$S$5:$S$504,0)),RIGHT("0"&amp;DAY(A852),2)&amp;"."&amp;RIGHT("0"&amp;MONTH(A852),2)&amp;"."&amp;YEAR(A852)&amp;": "&amp;INDEX('Zgłoszenia'!$H$5:$H$504,MATCH(H852,'Zgłoszenia'!$S$5:$S$504,0)),RIGHT("0"&amp;DAY((A852+1)),2)&amp;"."&amp;RIGHT("0"&amp;MONTH((A852+1)),2)&amp;"."&amp;YEAR((A852+1))&amp;": "&amp;INDEX('Zgłoszenia'!$H$5:$H$504,MATCH(F852&amp;"|"&amp;(A852+1),'Zgłoszenia'!$S$5:$S$504,0)))&amp;IF(K852&gt;1," (+"&amp;(K852-1)&amp;")",""))</f>
        <v/>
      </c>
      <c r="M852" s="63" t="n">
        <v>11</v>
      </c>
      <c r="N852" s="2" t="n"/>
      <c r="O852" s="2" t="n"/>
    </row>
    <row r="853">
      <c r="A853" s="62">
        <f>IF('11'!$C$1="","",'11'!$C$1)</f>
        <v/>
      </c>
      <c r="B853" s="63">
        <f>Ustawienia!$A$9&amp;""</f>
        <v/>
      </c>
      <c r="C853" s="63">
        <f>Ustawienia!$A$16&amp;""</f>
        <v/>
      </c>
      <c r="D853" s="63" t="n">
        <v>1</v>
      </c>
      <c r="E853" s="63">
        <f>IF('11'!F22="","",TRIM('11'!F22&amp;""))</f>
        <v/>
      </c>
      <c r="F853" s="63">
        <f>IF('11'!G22="","",'11'!G22)</f>
        <v/>
      </c>
      <c r="G853" s="63">
        <f>'11'!H22&amp;""</f>
        <v/>
      </c>
      <c r="H853" s="63">
        <f>IF(OR(A853="",F853=""),"",F853&amp;"|"&amp;A853)</f>
        <v/>
      </c>
      <c r="I853" s="63">
        <f>IF(AND(H853&lt;&gt;"",OR('Historia wózka'!$B$4="",F853='Historia wózka'!$B$4),A853&gt;='Historia wózka'!$B$5,A853&lt;='Historia wózka'!$B$6),A853+0.8+(5000-ROW())/10000000,0)</f>
        <v/>
      </c>
      <c r="J853" s="63">
        <f>Ustawienia!$B$9&amp;""</f>
        <v/>
      </c>
      <c r="K853" s="63">
        <f>IF(H853="","",COUNTIFS('Zgłoszenia'!$B$5:$B$504,F853,'Zgłoszenia'!$D$5:$D$504,"&gt;="&amp;A853,'Zgłoszenia'!$D$5:$D$504,"&lt;="&amp;(A853+1)))</f>
        <v/>
      </c>
      <c r="L853" s="63">
        <f>IF(OR(H853="",K853=0),"—",IF(ISNUMBER(MATCH(H853,'Zgłoszenia'!$S$5:$S$504,0)),RIGHT("0"&amp;DAY(A853),2)&amp;"."&amp;RIGHT("0"&amp;MONTH(A853),2)&amp;"."&amp;YEAR(A853)&amp;": "&amp;INDEX('Zgłoszenia'!$H$5:$H$504,MATCH(H853,'Zgłoszenia'!$S$5:$S$504,0)),RIGHT("0"&amp;DAY((A853+1)),2)&amp;"."&amp;RIGHT("0"&amp;MONTH((A853+1)),2)&amp;"."&amp;YEAR((A853+1))&amp;": "&amp;INDEX('Zgłoszenia'!$H$5:$H$504,MATCH(F853&amp;"|"&amp;(A853+1),'Zgłoszenia'!$S$5:$S$504,0)))&amp;IF(K853&gt;1," (+"&amp;(K853-1)&amp;")",""))</f>
        <v/>
      </c>
      <c r="M853" s="63" t="n">
        <v>11</v>
      </c>
      <c r="N853" s="2" t="n"/>
      <c r="O853" s="2" t="n"/>
    </row>
    <row r="854">
      <c r="A854" s="62">
        <f>IF('11'!$C$1="","",'11'!$C$1)</f>
        <v/>
      </c>
      <c r="B854" s="63">
        <f>Ustawienia!$A$9&amp;""</f>
        <v/>
      </c>
      <c r="C854" s="63">
        <f>Ustawienia!$A$16&amp;""</f>
        <v/>
      </c>
      <c r="D854" s="63" t="n">
        <v>2</v>
      </c>
      <c r="E854" s="63">
        <f>IF('11'!F23="","",TRIM('11'!F23&amp;""))</f>
        <v/>
      </c>
      <c r="F854" s="63">
        <f>IF('11'!G23="","",'11'!G23)</f>
        <v/>
      </c>
      <c r="G854" s="63">
        <f>'11'!H23&amp;""</f>
        <v/>
      </c>
      <c r="H854" s="63">
        <f>IF(OR(A854="",F854=""),"",F854&amp;"|"&amp;A854)</f>
        <v/>
      </c>
      <c r="I854" s="63">
        <f>IF(AND(H854&lt;&gt;"",OR('Historia wózka'!$B$4="",F854='Historia wózka'!$B$4),A854&gt;='Historia wózka'!$B$5,A854&lt;='Historia wózka'!$B$6),A854+0.8+(5000-ROW())/10000000,0)</f>
        <v/>
      </c>
      <c r="J854" s="63">
        <f>Ustawienia!$B$9&amp;""</f>
        <v/>
      </c>
      <c r="K854" s="63">
        <f>IF(H854="","",COUNTIFS('Zgłoszenia'!$B$5:$B$504,F854,'Zgłoszenia'!$D$5:$D$504,"&gt;="&amp;A854,'Zgłoszenia'!$D$5:$D$504,"&lt;="&amp;(A854+1)))</f>
        <v/>
      </c>
      <c r="L854" s="63">
        <f>IF(OR(H854="",K854=0),"—",IF(ISNUMBER(MATCH(H854,'Zgłoszenia'!$S$5:$S$504,0)),RIGHT("0"&amp;DAY(A854),2)&amp;"."&amp;RIGHT("0"&amp;MONTH(A854),2)&amp;"."&amp;YEAR(A854)&amp;": "&amp;INDEX('Zgłoszenia'!$H$5:$H$504,MATCH(H854,'Zgłoszenia'!$S$5:$S$504,0)),RIGHT("0"&amp;DAY((A854+1)),2)&amp;"."&amp;RIGHT("0"&amp;MONTH((A854+1)),2)&amp;"."&amp;YEAR((A854+1))&amp;": "&amp;INDEX('Zgłoszenia'!$H$5:$H$504,MATCH(F854&amp;"|"&amp;(A854+1),'Zgłoszenia'!$S$5:$S$504,0)))&amp;IF(K854&gt;1," (+"&amp;(K854-1)&amp;")",""))</f>
        <v/>
      </c>
      <c r="M854" s="63" t="n">
        <v>11</v>
      </c>
      <c r="N854" s="2" t="n"/>
      <c r="O854" s="2" t="n"/>
    </row>
    <row r="855">
      <c r="A855" s="62">
        <f>IF('11'!$C$1="","",'11'!$C$1)</f>
        <v/>
      </c>
      <c r="B855" s="63">
        <f>Ustawienia!$A$9&amp;""</f>
        <v/>
      </c>
      <c r="C855" s="63">
        <f>Ustawienia!$A$16&amp;""</f>
        <v/>
      </c>
      <c r="D855" s="63" t="n">
        <v>3</v>
      </c>
      <c r="E855" s="63">
        <f>IF('11'!F24="","",TRIM('11'!F24&amp;""))</f>
        <v/>
      </c>
      <c r="F855" s="63">
        <f>IF('11'!G24="","",'11'!G24)</f>
        <v/>
      </c>
      <c r="G855" s="63">
        <f>'11'!H24&amp;""</f>
        <v/>
      </c>
      <c r="H855" s="63">
        <f>IF(OR(A855="",F855=""),"",F855&amp;"|"&amp;A855)</f>
        <v/>
      </c>
      <c r="I855" s="63">
        <f>IF(AND(H855&lt;&gt;"",OR('Historia wózka'!$B$4="",F855='Historia wózka'!$B$4),A855&gt;='Historia wózka'!$B$5,A855&lt;='Historia wózka'!$B$6),A855+0.8+(5000-ROW())/10000000,0)</f>
        <v/>
      </c>
      <c r="J855" s="63">
        <f>Ustawienia!$B$9&amp;""</f>
        <v/>
      </c>
      <c r="K855" s="63">
        <f>IF(H855="","",COUNTIFS('Zgłoszenia'!$B$5:$B$504,F855,'Zgłoszenia'!$D$5:$D$504,"&gt;="&amp;A855,'Zgłoszenia'!$D$5:$D$504,"&lt;="&amp;(A855+1)))</f>
        <v/>
      </c>
      <c r="L855" s="63">
        <f>IF(OR(H855="",K855=0),"—",IF(ISNUMBER(MATCH(H855,'Zgłoszenia'!$S$5:$S$504,0)),RIGHT("0"&amp;DAY(A855),2)&amp;"."&amp;RIGHT("0"&amp;MONTH(A855),2)&amp;"."&amp;YEAR(A855)&amp;": "&amp;INDEX('Zgłoszenia'!$H$5:$H$504,MATCH(H855,'Zgłoszenia'!$S$5:$S$504,0)),RIGHT("0"&amp;DAY((A855+1)),2)&amp;"."&amp;RIGHT("0"&amp;MONTH((A855+1)),2)&amp;"."&amp;YEAR((A855+1))&amp;": "&amp;INDEX('Zgłoszenia'!$H$5:$H$504,MATCH(F855&amp;"|"&amp;(A855+1),'Zgłoszenia'!$S$5:$S$504,0)))&amp;IF(K855&gt;1," (+"&amp;(K855-1)&amp;")",""))</f>
        <v/>
      </c>
      <c r="M855" s="63" t="n">
        <v>11</v>
      </c>
      <c r="N855" s="2" t="n"/>
      <c r="O855" s="2" t="n"/>
    </row>
    <row r="856">
      <c r="A856" s="62">
        <f>IF('11'!$C$1="","",'11'!$C$1)</f>
        <v/>
      </c>
      <c r="B856" s="63">
        <f>Ustawienia!$A$9&amp;""</f>
        <v/>
      </c>
      <c r="C856" s="63">
        <f>Ustawienia!$A$16&amp;""</f>
        <v/>
      </c>
      <c r="D856" s="63" t="n">
        <v>4</v>
      </c>
      <c r="E856" s="63">
        <f>IF('11'!F25="","",TRIM('11'!F25&amp;""))</f>
        <v/>
      </c>
      <c r="F856" s="63">
        <f>IF('11'!G25="","",'11'!G25)</f>
        <v/>
      </c>
      <c r="G856" s="63">
        <f>'11'!H25&amp;""</f>
        <v/>
      </c>
      <c r="H856" s="63">
        <f>IF(OR(A856="",F856=""),"",F856&amp;"|"&amp;A856)</f>
        <v/>
      </c>
      <c r="I856" s="63">
        <f>IF(AND(H856&lt;&gt;"",OR('Historia wózka'!$B$4="",F856='Historia wózka'!$B$4),A856&gt;='Historia wózka'!$B$5,A856&lt;='Historia wózka'!$B$6),A856+0.8+(5000-ROW())/10000000,0)</f>
        <v/>
      </c>
      <c r="J856" s="63">
        <f>Ustawienia!$B$9&amp;""</f>
        <v/>
      </c>
      <c r="K856" s="63">
        <f>IF(H856="","",COUNTIFS('Zgłoszenia'!$B$5:$B$504,F856,'Zgłoszenia'!$D$5:$D$504,"&gt;="&amp;A856,'Zgłoszenia'!$D$5:$D$504,"&lt;="&amp;(A856+1)))</f>
        <v/>
      </c>
      <c r="L856" s="63">
        <f>IF(OR(H856="",K856=0),"—",IF(ISNUMBER(MATCH(H856,'Zgłoszenia'!$S$5:$S$504,0)),RIGHT("0"&amp;DAY(A856),2)&amp;"."&amp;RIGHT("0"&amp;MONTH(A856),2)&amp;"."&amp;YEAR(A856)&amp;": "&amp;INDEX('Zgłoszenia'!$H$5:$H$504,MATCH(H856,'Zgłoszenia'!$S$5:$S$504,0)),RIGHT("0"&amp;DAY((A856+1)),2)&amp;"."&amp;RIGHT("0"&amp;MONTH((A856+1)),2)&amp;"."&amp;YEAR((A856+1))&amp;": "&amp;INDEX('Zgłoszenia'!$H$5:$H$504,MATCH(F856&amp;"|"&amp;(A856+1),'Zgłoszenia'!$S$5:$S$504,0)))&amp;IF(K856&gt;1," (+"&amp;(K856-1)&amp;")",""))</f>
        <v/>
      </c>
      <c r="M856" s="63" t="n">
        <v>11</v>
      </c>
      <c r="N856" s="2" t="n"/>
      <c r="O856" s="2" t="n"/>
    </row>
    <row r="857">
      <c r="A857" s="62">
        <f>IF('11'!$C$1="","",'11'!$C$1)</f>
        <v/>
      </c>
      <c r="B857" s="63">
        <f>Ustawienia!$A$9&amp;""</f>
        <v/>
      </c>
      <c r="C857" s="63">
        <f>Ustawienia!$A$17&amp;""</f>
        <v/>
      </c>
      <c r="D857" s="63" t="n">
        <v>1</v>
      </c>
      <c r="E857" s="63">
        <f>IF('11'!F27="","",TRIM('11'!F27&amp;""))</f>
        <v/>
      </c>
      <c r="F857" s="63">
        <f>IF('11'!G27="","",'11'!G27)</f>
        <v/>
      </c>
      <c r="G857" s="63">
        <f>'11'!H27&amp;""</f>
        <v/>
      </c>
      <c r="H857" s="63">
        <f>IF(OR(A857="",F857=""),"",F857&amp;"|"&amp;A857)</f>
        <v/>
      </c>
      <c r="I857" s="63">
        <f>IF(AND(H857&lt;&gt;"",OR('Historia wózka'!$B$4="",F857='Historia wózka'!$B$4),A857&gt;='Historia wózka'!$B$5,A857&lt;='Historia wózka'!$B$6),A857+0.8+(5000-ROW())/10000000,0)</f>
        <v/>
      </c>
      <c r="J857" s="63">
        <f>Ustawienia!$B$9&amp;""</f>
        <v/>
      </c>
      <c r="K857" s="63">
        <f>IF(H857="","",COUNTIFS('Zgłoszenia'!$B$5:$B$504,F857,'Zgłoszenia'!$D$5:$D$504,"&gt;="&amp;A857,'Zgłoszenia'!$D$5:$D$504,"&lt;="&amp;(A857+1)))</f>
        <v/>
      </c>
      <c r="L857" s="63">
        <f>IF(OR(H857="",K857=0),"—",IF(ISNUMBER(MATCH(H857,'Zgłoszenia'!$S$5:$S$504,0)),RIGHT("0"&amp;DAY(A857),2)&amp;"."&amp;RIGHT("0"&amp;MONTH(A857),2)&amp;"."&amp;YEAR(A857)&amp;": "&amp;INDEX('Zgłoszenia'!$H$5:$H$504,MATCH(H857,'Zgłoszenia'!$S$5:$S$504,0)),RIGHT("0"&amp;DAY((A857+1)),2)&amp;"."&amp;RIGHT("0"&amp;MONTH((A857+1)),2)&amp;"."&amp;YEAR((A857+1))&amp;": "&amp;INDEX('Zgłoszenia'!$H$5:$H$504,MATCH(F857&amp;"|"&amp;(A857+1),'Zgłoszenia'!$S$5:$S$504,0)))&amp;IF(K857&gt;1," (+"&amp;(K857-1)&amp;")",""))</f>
        <v/>
      </c>
      <c r="M857" s="63" t="n">
        <v>11</v>
      </c>
      <c r="N857" s="2" t="n"/>
      <c r="O857" s="2" t="n"/>
    </row>
    <row r="858">
      <c r="A858" s="62">
        <f>IF('11'!$C$1="","",'11'!$C$1)</f>
        <v/>
      </c>
      <c r="B858" s="63">
        <f>Ustawienia!$A$9&amp;""</f>
        <v/>
      </c>
      <c r="C858" s="63">
        <f>Ustawienia!$A$17&amp;""</f>
        <v/>
      </c>
      <c r="D858" s="63" t="n">
        <v>2</v>
      </c>
      <c r="E858" s="63">
        <f>IF('11'!F28="","",TRIM('11'!F28&amp;""))</f>
        <v/>
      </c>
      <c r="F858" s="63">
        <f>IF('11'!G28="","",'11'!G28)</f>
        <v/>
      </c>
      <c r="G858" s="63">
        <f>'11'!H28&amp;""</f>
        <v/>
      </c>
      <c r="H858" s="63">
        <f>IF(OR(A858="",F858=""),"",F858&amp;"|"&amp;A858)</f>
        <v/>
      </c>
      <c r="I858" s="63">
        <f>IF(AND(H858&lt;&gt;"",OR('Historia wózka'!$B$4="",F858='Historia wózka'!$B$4),A858&gt;='Historia wózka'!$B$5,A858&lt;='Historia wózka'!$B$6),A858+0.8+(5000-ROW())/10000000,0)</f>
        <v/>
      </c>
      <c r="J858" s="63">
        <f>Ustawienia!$B$9&amp;""</f>
        <v/>
      </c>
      <c r="K858" s="63">
        <f>IF(H858="","",COUNTIFS('Zgłoszenia'!$B$5:$B$504,F858,'Zgłoszenia'!$D$5:$D$504,"&gt;="&amp;A858,'Zgłoszenia'!$D$5:$D$504,"&lt;="&amp;(A858+1)))</f>
        <v/>
      </c>
      <c r="L858" s="63">
        <f>IF(OR(H858="",K858=0),"—",IF(ISNUMBER(MATCH(H858,'Zgłoszenia'!$S$5:$S$504,0)),RIGHT("0"&amp;DAY(A858),2)&amp;"."&amp;RIGHT("0"&amp;MONTH(A858),2)&amp;"."&amp;YEAR(A858)&amp;": "&amp;INDEX('Zgłoszenia'!$H$5:$H$504,MATCH(H858,'Zgłoszenia'!$S$5:$S$504,0)),RIGHT("0"&amp;DAY((A858+1)),2)&amp;"."&amp;RIGHT("0"&amp;MONTH((A858+1)),2)&amp;"."&amp;YEAR((A858+1))&amp;": "&amp;INDEX('Zgłoszenia'!$H$5:$H$504,MATCH(F858&amp;"|"&amp;(A858+1),'Zgłoszenia'!$S$5:$S$504,0)))&amp;IF(K858&gt;1," (+"&amp;(K858-1)&amp;")",""))</f>
        <v/>
      </c>
      <c r="M858" s="63" t="n">
        <v>11</v>
      </c>
      <c r="N858" s="2" t="n"/>
      <c r="O858" s="2" t="n"/>
    </row>
    <row r="859">
      <c r="A859" s="62">
        <f>IF('11'!$C$1="","",'11'!$C$1)</f>
        <v/>
      </c>
      <c r="B859" s="63">
        <f>Ustawienia!$A$9&amp;""</f>
        <v/>
      </c>
      <c r="C859" s="63">
        <f>Ustawienia!$A$17&amp;""</f>
        <v/>
      </c>
      <c r="D859" s="63" t="n">
        <v>3</v>
      </c>
      <c r="E859" s="63">
        <f>IF('11'!F29="","",TRIM('11'!F29&amp;""))</f>
        <v/>
      </c>
      <c r="F859" s="63">
        <f>IF('11'!G29="","",'11'!G29)</f>
        <v/>
      </c>
      <c r="G859" s="63">
        <f>'11'!H29&amp;""</f>
        <v/>
      </c>
      <c r="H859" s="63">
        <f>IF(OR(A859="",F859=""),"",F859&amp;"|"&amp;A859)</f>
        <v/>
      </c>
      <c r="I859" s="63">
        <f>IF(AND(H859&lt;&gt;"",OR('Historia wózka'!$B$4="",F859='Historia wózka'!$B$4),A859&gt;='Historia wózka'!$B$5,A859&lt;='Historia wózka'!$B$6),A859+0.8+(5000-ROW())/10000000,0)</f>
        <v/>
      </c>
      <c r="J859" s="63">
        <f>Ustawienia!$B$9&amp;""</f>
        <v/>
      </c>
      <c r="K859" s="63">
        <f>IF(H859="","",COUNTIFS('Zgłoszenia'!$B$5:$B$504,F859,'Zgłoszenia'!$D$5:$D$504,"&gt;="&amp;A859,'Zgłoszenia'!$D$5:$D$504,"&lt;="&amp;(A859+1)))</f>
        <v/>
      </c>
      <c r="L859" s="63">
        <f>IF(OR(H859="",K859=0),"—",IF(ISNUMBER(MATCH(H859,'Zgłoszenia'!$S$5:$S$504,0)),RIGHT("0"&amp;DAY(A859),2)&amp;"."&amp;RIGHT("0"&amp;MONTH(A859),2)&amp;"."&amp;YEAR(A859)&amp;": "&amp;INDEX('Zgłoszenia'!$H$5:$H$504,MATCH(H859,'Zgłoszenia'!$S$5:$S$504,0)),RIGHT("0"&amp;DAY((A859+1)),2)&amp;"."&amp;RIGHT("0"&amp;MONTH((A859+1)),2)&amp;"."&amp;YEAR((A859+1))&amp;": "&amp;INDEX('Zgłoszenia'!$H$5:$H$504,MATCH(F859&amp;"|"&amp;(A859+1),'Zgłoszenia'!$S$5:$S$504,0)))&amp;IF(K859&gt;1," (+"&amp;(K859-1)&amp;")",""))</f>
        <v/>
      </c>
      <c r="M859" s="63" t="n">
        <v>11</v>
      </c>
      <c r="N859" s="2" t="n"/>
      <c r="O859" s="2" t="n"/>
    </row>
    <row r="860">
      <c r="A860" s="62">
        <f>IF('11'!$C$1="","",'11'!$C$1)</f>
        <v/>
      </c>
      <c r="B860" s="63">
        <f>Ustawienia!$A$9&amp;""</f>
        <v/>
      </c>
      <c r="C860" s="63">
        <f>Ustawienia!$A$17&amp;""</f>
        <v/>
      </c>
      <c r="D860" s="63" t="n">
        <v>4</v>
      </c>
      <c r="E860" s="63">
        <f>IF('11'!F30="","",TRIM('11'!F30&amp;""))</f>
        <v/>
      </c>
      <c r="F860" s="63">
        <f>IF('11'!G30="","",'11'!G30)</f>
        <v/>
      </c>
      <c r="G860" s="63">
        <f>'11'!H30&amp;""</f>
        <v/>
      </c>
      <c r="H860" s="63">
        <f>IF(OR(A860="",F860=""),"",F860&amp;"|"&amp;A860)</f>
        <v/>
      </c>
      <c r="I860" s="63">
        <f>IF(AND(H860&lt;&gt;"",OR('Historia wózka'!$B$4="",F860='Historia wózka'!$B$4),A860&gt;='Historia wózka'!$B$5,A860&lt;='Historia wózka'!$B$6),A860+0.8+(5000-ROW())/10000000,0)</f>
        <v/>
      </c>
      <c r="J860" s="63">
        <f>Ustawienia!$B$9&amp;""</f>
        <v/>
      </c>
      <c r="K860" s="63">
        <f>IF(H860="","",COUNTIFS('Zgłoszenia'!$B$5:$B$504,F860,'Zgłoszenia'!$D$5:$D$504,"&gt;="&amp;A860,'Zgłoszenia'!$D$5:$D$504,"&lt;="&amp;(A860+1)))</f>
        <v/>
      </c>
      <c r="L860" s="63">
        <f>IF(OR(H860="",K860=0),"—",IF(ISNUMBER(MATCH(H860,'Zgłoszenia'!$S$5:$S$504,0)),RIGHT("0"&amp;DAY(A860),2)&amp;"."&amp;RIGHT("0"&amp;MONTH(A860),2)&amp;"."&amp;YEAR(A860)&amp;": "&amp;INDEX('Zgłoszenia'!$H$5:$H$504,MATCH(H860,'Zgłoszenia'!$S$5:$S$504,0)),RIGHT("0"&amp;DAY((A860+1)),2)&amp;"."&amp;RIGHT("0"&amp;MONTH((A860+1)),2)&amp;"."&amp;YEAR((A860+1))&amp;": "&amp;INDEX('Zgłoszenia'!$H$5:$H$504,MATCH(F860&amp;"|"&amp;(A860+1),'Zgłoszenia'!$S$5:$S$504,0)))&amp;IF(K860&gt;1," (+"&amp;(K860-1)&amp;")",""))</f>
        <v/>
      </c>
      <c r="M860" s="63" t="n">
        <v>11</v>
      </c>
      <c r="N860" s="2" t="n"/>
      <c r="O860" s="2" t="n"/>
    </row>
    <row r="861">
      <c r="A861" s="62">
        <f>IF('11'!$C$1="","",'11'!$C$1)</f>
        <v/>
      </c>
      <c r="B861" s="63">
        <f>Ustawienia!$A$9&amp;""</f>
        <v/>
      </c>
      <c r="C861" s="63">
        <f>Ustawienia!$A$18&amp;""</f>
        <v/>
      </c>
      <c r="D861" s="63" t="n">
        <v>1</v>
      </c>
      <c r="E861" s="63">
        <f>IF('11'!F32="","",TRIM('11'!F32&amp;""))</f>
        <v/>
      </c>
      <c r="F861" s="63">
        <f>IF('11'!G32="","",'11'!G32)</f>
        <v/>
      </c>
      <c r="G861" s="63">
        <f>'11'!H32&amp;""</f>
        <v/>
      </c>
      <c r="H861" s="63">
        <f>IF(OR(A861="",F861=""),"",F861&amp;"|"&amp;A861)</f>
        <v/>
      </c>
      <c r="I861" s="63">
        <f>IF(AND(H861&lt;&gt;"",OR('Historia wózka'!$B$4="",F861='Historia wózka'!$B$4),A861&gt;='Historia wózka'!$B$5,A861&lt;='Historia wózka'!$B$6),A861+0.8+(5000-ROW())/10000000,0)</f>
        <v/>
      </c>
      <c r="J861" s="63">
        <f>Ustawienia!$B$9&amp;""</f>
        <v/>
      </c>
      <c r="K861" s="63">
        <f>IF(H861="","",COUNTIFS('Zgłoszenia'!$B$5:$B$504,F861,'Zgłoszenia'!$D$5:$D$504,"&gt;="&amp;A861,'Zgłoszenia'!$D$5:$D$504,"&lt;="&amp;(A861+1)))</f>
        <v/>
      </c>
      <c r="L861" s="63">
        <f>IF(OR(H861="",K861=0),"—",IF(ISNUMBER(MATCH(H861,'Zgłoszenia'!$S$5:$S$504,0)),RIGHT("0"&amp;DAY(A861),2)&amp;"."&amp;RIGHT("0"&amp;MONTH(A861),2)&amp;"."&amp;YEAR(A861)&amp;": "&amp;INDEX('Zgłoszenia'!$H$5:$H$504,MATCH(H861,'Zgłoszenia'!$S$5:$S$504,0)),RIGHT("0"&amp;DAY((A861+1)),2)&amp;"."&amp;RIGHT("0"&amp;MONTH((A861+1)),2)&amp;"."&amp;YEAR((A861+1))&amp;": "&amp;INDEX('Zgłoszenia'!$H$5:$H$504,MATCH(F861&amp;"|"&amp;(A861+1),'Zgłoszenia'!$S$5:$S$504,0)))&amp;IF(K861&gt;1," (+"&amp;(K861-1)&amp;")",""))</f>
        <v/>
      </c>
      <c r="M861" s="63" t="n">
        <v>11</v>
      </c>
      <c r="N861" s="2" t="n"/>
      <c r="O861" s="2" t="n"/>
    </row>
    <row r="862">
      <c r="A862" s="62">
        <f>IF('11'!$C$1="","",'11'!$C$1)</f>
        <v/>
      </c>
      <c r="B862" s="63">
        <f>Ustawienia!$A$9&amp;""</f>
        <v/>
      </c>
      <c r="C862" s="63">
        <f>Ustawienia!$A$18&amp;""</f>
        <v/>
      </c>
      <c r="D862" s="63" t="n">
        <v>2</v>
      </c>
      <c r="E862" s="63">
        <f>IF('11'!F33="","",TRIM('11'!F33&amp;""))</f>
        <v/>
      </c>
      <c r="F862" s="63">
        <f>IF('11'!G33="","",'11'!G33)</f>
        <v/>
      </c>
      <c r="G862" s="63">
        <f>'11'!H33&amp;""</f>
        <v/>
      </c>
      <c r="H862" s="63">
        <f>IF(OR(A862="",F862=""),"",F862&amp;"|"&amp;A862)</f>
        <v/>
      </c>
      <c r="I862" s="63">
        <f>IF(AND(H862&lt;&gt;"",OR('Historia wózka'!$B$4="",F862='Historia wózka'!$B$4),A862&gt;='Historia wózka'!$B$5,A862&lt;='Historia wózka'!$B$6),A862+0.8+(5000-ROW())/10000000,0)</f>
        <v/>
      </c>
      <c r="J862" s="63">
        <f>Ustawienia!$B$9&amp;""</f>
        <v/>
      </c>
      <c r="K862" s="63">
        <f>IF(H862="","",COUNTIFS('Zgłoszenia'!$B$5:$B$504,F862,'Zgłoszenia'!$D$5:$D$504,"&gt;="&amp;A862,'Zgłoszenia'!$D$5:$D$504,"&lt;="&amp;(A862+1)))</f>
        <v/>
      </c>
      <c r="L862" s="63">
        <f>IF(OR(H862="",K862=0),"—",IF(ISNUMBER(MATCH(H862,'Zgłoszenia'!$S$5:$S$504,0)),RIGHT("0"&amp;DAY(A862),2)&amp;"."&amp;RIGHT("0"&amp;MONTH(A862),2)&amp;"."&amp;YEAR(A862)&amp;": "&amp;INDEX('Zgłoszenia'!$H$5:$H$504,MATCH(H862,'Zgłoszenia'!$S$5:$S$504,0)),RIGHT("0"&amp;DAY((A862+1)),2)&amp;"."&amp;RIGHT("0"&amp;MONTH((A862+1)),2)&amp;"."&amp;YEAR((A862+1))&amp;": "&amp;INDEX('Zgłoszenia'!$H$5:$H$504,MATCH(F862&amp;"|"&amp;(A862+1),'Zgłoszenia'!$S$5:$S$504,0)))&amp;IF(K862&gt;1," (+"&amp;(K862-1)&amp;")",""))</f>
        <v/>
      </c>
      <c r="M862" s="63" t="n">
        <v>11</v>
      </c>
      <c r="N862" s="2" t="n"/>
      <c r="O862" s="2" t="n"/>
    </row>
    <row r="863">
      <c r="A863" s="62">
        <f>IF('11'!$C$1="","",'11'!$C$1)</f>
        <v/>
      </c>
      <c r="B863" s="63">
        <f>Ustawienia!$A$9&amp;""</f>
        <v/>
      </c>
      <c r="C863" s="63">
        <f>Ustawienia!$A$18&amp;""</f>
        <v/>
      </c>
      <c r="D863" s="63" t="n">
        <v>3</v>
      </c>
      <c r="E863" s="63">
        <f>IF('11'!F34="","",TRIM('11'!F34&amp;""))</f>
        <v/>
      </c>
      <c r="F863" s="63">
        <f>IF('11'!G34="","",'11'!G34)</f>
        <v/>
      </c>
      <c r="G863" s="63">
        <f>'11'!H34&amp;""</f>
        <v/>
      </c>
      <c r="H863" s="63">
        <f>IF(OR(A863="",F863=""),"",F863&amp;"|"&amp;A863)</f>
        <v/>
      </c>
      <c r="I863" s="63">
        <f>IF(AND(H863&lt;&gt;"",OR('Historia wózka'!$B$4="",F863='Historia wózka'!$B$4),A863&gt;='Historia wózka'!$B$5,A863&lt;='Historia wózka'!$B$6),A863+0.8+(5000-ROW())/10000000,0)</f>
        <v/>
      </c>
      <c r="J863" s="63">
        <f>Ustawienia!$B$9&amp;""</f>
        <v/>
      </c>
      <c r="K863" s="63">
        <f>IF(H863="","",COUNTIFS('Zgłoszenia'!$B$5:$B$504,F863,'Zgłoszenia'!$D$5:$D$504,"&gt;="&amp;A863,'Zgłoszenia'!$D$5:$D$504,"&lt;="&amp;(A863+1)))</f>
        <v/>
      </c>
      <c r="L863" s="63">
        <f>IF(OR(H863="",K863=0),"—",IF(ISNUMBER(MATCH(H863,'Zgłoszenia'!$S$5:$S$504,0)),RIGHT("0"&amp;DAY(A863),2)&amp;"."&amp;RIGHT("0"&amp;MONTH(A863),2)&amp;"."&amp;YEAR(A863)&amp;": "&amp;INDEX('Zgłoszenia'!$H$5:$H$504,MATCH(H863,'Zgłoszenia'!$S$5:$S$504,0)),RIGHT("0"&amp;DAY((A863+1)),2)&amp;"."&amp;RIGHT("0"&amp;MONTH((A863+1)),2)&amp;"."&amp;YEAR((A863+1))&amp;": "&amp;INDEX('Zgłoszenia'!$H$5:$H$504,MATCH(F863&amp;"|"&amp;(A863+1),'Zgłoszenia'!$S$5:$S$504,0)))&amp;IF(K863&gt;1," (+"&amp;(K863-1)&amp;")",""))</f>
        <v/>
      </c>
      <c r="M863" s="63" t="n">
        <v>11</v>
      </c>
      <c r="N863" s="2" t="n"/>
      <c r="O863" s="2" t="n"/>
    </row>
    <row r="864">
      <c r="A864" s="62">
        <f>IF('11'!$C$1="","",'11'!$C$1)</f>
        <v/>
      </c>
      <c r="B864" s="63">
        <f>Ustawienia!$A$9&amp;""</f>
        <v/>
      </c>
      <c r="C864" s="63">
        <f>Ustawienia!$A$18&amp;""</f>
        <v/>
      </c>
      <c r="D864" s="63" t="n">
        <v>4</v>
      </c>
      <c r="E864" s="63">
        <f>IF('11'!F35="","",TRIM('11'!F35&amp;""))</f>
        <v/>
      </c>
      <c r="F864" s="63">
        <f>IF('11'!G35="","",'11'!G35)</f>
        <v/>
      </c>
      <c r="G864" s="63">
        <f>'11'!H35&amp;""</f>
        <v/>
      </c>
      <c r="H864" s="63">
        <f>IF(OR(A864="",F864=""),"",F864&amp;"|"&amp;A864)</f>
        <v/>
      </c>
      <c r="I864" s="63">
        <f>IF(AND(H864&lt;&gt;"",OR('Historia wózka'!$B$4="",F864='Historia wózka'!$B$4),A864&gt;='Historia wózka'!$B$5,A864&lt;='Historia wózka'!$B$6),A864+0.8+(5000-ROW())/10000000,0)</f>
        <v/>
      </c>
      <c r="J864" s="63">
        <f>Ustawienia!$B$9&amp;""</f>
        <v/>
      </c>
      <c r="K864" s="63">
        <f>IF(H864="","",COUNTIFS('Zgłoszenia'!$B$5:$B$504,F864,'Zgłoszenia'!$D$5:$D$504,"&gt;="&amp;A864,'Zgłoszenia'!$D$5:$D$504,"&lt;="&amp;(A864+1)))</f>
        <v/>
      </c>
      <c r="L864" s="63">
        <f>IF(OR(H864="",K864=0),"—",IF(ISNUMBER(MATCH(H864,'Zgłoszenia'!$S$5:$S$504,0)),RIGHT("0"&amp;DAY(A864),2)&amp;"."&amp;RIGHT("0"&amp;MONTH(A864),2)&amp;"."&amp;YEAR(A864)&amp;": "&amp;INDEX('Zgłoszenia'!$H$5:$H$504,MATCH(H864,'Zgłoszenia'!$S$5:$S$504,0)),RIGHT("0"&amp;DAY((A864+1)),2)&amp;"."&amp;RIGHT("0"&amp;MONTH((A864+1)),2)&amp;"."&amp;YEAR((A864+1))&amp;": "&amp;INDEX('Zgłoszenia'!$H$5:$H$504,MATCH(F864&amp;"|"&amp;(A864+1),'Zgłoszenia'!$S$5:$S$504,0)))&amp;IF(K864&gt;1," (+"&amp;(K864-1)&amp;")",""))</f>
        <v/>
      </c>
      <c r="M864" s="63" t="n">
        <v>11</v>
      </c>
      <c r="N864" s="2" t="n"/>
      <c r="O864" s="2" t="n"/>
    </row>
    <row r="865">
      <c r="A865" s="62">
        <f>IF('11'!$C$1="","",'11'!$C$1)</f>
        <v/>
      </c>
      <c r="B865" s="63">
        <f>Ustawienia!$A$9&amp;""</f>
        <v/>
      </c>
      <c r="C865" s="63">
        <f>Ustawienia!$A$18&amp;""</f>
        <v/>
      </c>
      <c r="D865" s="63" t="n">
        <v>5</v>
      </c>
      <c r="E865" s="63">
        <f>IF('11'!F36="","",TRIM('11'!F36&amp;""))</f>
        <v/>
      </c>
      <c r="F865" s="63">
        <f>IF('11'!G36="","",'11'!G36)</f>
        <v/>
      </c>
      <c r="G865" s="63">
        <f>'11'!H36&amp;""</f>
        <v/>
      </c>
      <c r="H865" s="63">
        <f>IF(OR(A865="",F865=""),"",F865&amp;"|"&amp;A865)</f>
        <v/>
      </c>
      <c r="I865" s="63">
        <f>IF(AND(H865&lt;&gt;"",OR('Historia wózka'!$B$4="",F865='Historia wózka'!$B$4),A865&gt;='Historia wózka'!$B$5,A865&lt;='Historia wózka'!$B$6),A865+0.8+(5000-ROW())/10000000,0)</f>
        <v/>
      </c>
      <c r="J865" s="63">
        <f>Ustawienia!$B$9&amp;""</f>
        <v/>
      </c>
      <c r="K865" s="63">
        <f>IF(H865="","",COUNTIFS('Zgłoszenia'!$B$5:$B$504,F865,'Zgłoszenia'!$D$5:$D$504,"&gt;="&amp;A865,'Zgłoszenia'!$D$5:$D$504,"&lt;="&amp;(A865+1)))</f>
        <v/>
      </c>
      <c r="L865" s="63">
        <f>IF(OR(H865="",K865=0),"—",IF(ISNUMBER(MATCH(H865,'Zgłoszenia'!$S$5:$S$504,0)),RIGHT("0"&amp;DAY(A865),2)&amp;"."&amp;RIGHT("0"&amp;MONTH(A865),2)&amp;"."&amp;YEAR(A865)&amp;": "&amp;INDEX('Zgłoszenia'!$H$5:$H$504,MATCH(H865,'Zgłoszenia'!$S$5:$S$504,0)),RIGHT("0"&amp;DAY((A865+1)),2)&amp;"."&amp;RIGHT("0"&amp;MONTH((A865+1)),2)&amp;"."&amp;YEAR((A865+1))&amp;": "&amp;INDEX('Zgłoszenia'!$H$5:$H$504,MATCH(F865&amp;"|"&amp;(A865+1),'Zgłoszenia'!$S$5:$S$504,0)))&amp;IF(K865&gt;1," (+"&amp;(K865-1)&amp;")",""))</f>
        <v/>
      </c>
      <c r="M865" s="63" t="n">
        <v>11</v>
      </c>
      <c r="N865" s="2" t="n"/>
      <c r="O865" s="2" t="n"/>
    </row>
    <row r="866">
      <c r="A866" s="62">
        <f>IF('11'!$C$1="","",'11'!$C$1)</f>
        <v/>
      </c>
      <c r="B866" s="63">
        <f>Ustawienia!$A$10&amp;""</f>
        <v/>
      </c>
      <c r="C866" s="63">
        <f>Ustawienia!$A$14&amp;""</f>
        <v/>
      </c>
      <c r="D866" s="63" t="n">
        <v>1</v>
      </c>
      <c r="E866" s="63">
        <f>IF('11'!J6="","",TRIM('11'!J6&amp;""))</f>
        <v/>
      </c>
      <c r="F866" s="63">
        <f>IF('11'!K6="","",'11'!K6)</f>
        <v/>
      </c>
      <c r="G866" s="63">
        <f>'11'!L6&amp;""</f>
        <v/>
      </c>
      <c r="H866" s="63">
        <f>IF(OR(A866="",F866=""),"",F866&amp;"|"&amp;A866)</f>
        <v/>
      </c>
      <c r="I866" s="63">
        <f>IF(AND(H866&lt;&gt;"",OR('Historia wózka'!$B$4="",F866='Historia wózka'!$B$4),A866&gt;='Historia wózka'!$B$5,A866&lt;='Historia wózka'!$B$6),A866+0.7+(5000-ROW())/10000000,0)</f>
        <v/>
      </c>
      <c r="J866" s="63">
        <f>Ustawienia!$B$10&amp;""</f>
        <v/>
      </c>
      <c r="K866" s="63">
        <f>IF(H866="","",COUNTIFS('Zgłoszenia'!$B$5:$B$504,F866,'Zgłoszenia'!$D$5:$D$504,"&gt;="&amp;A866,'Zgłoszenia'!$D$5:$D$504,"&lt;="&amp;(A866+1)))</f>
        <v/>
      </c>
      <c r="L866" s="63">
        <f>IF(OR(H866="",K866=0),"—",IF(ISNUMBER(MATCH(H866,'Zgłoszenia'!$S$5:$S$504,0)),RIGHT("0"&amp;DAY(A866),2)&amp;"."&amp;RIGHT("0"&amp;MONTH(A866),2)&amp;"."&amp;YEAR(A866)&amp;": "&amp;INDEX('Zgłoszenia'!$H$5:$H$504,MATCH(H866,'Zgłoszenia'!$S$5:$S$504,0)),RIGHT("0"&amp;DAY((A866+1)),2)&amp;"."&amp;RIGHT("0"&amp;MONTH((A866+1)),2)&amp;"."&amp;YEAR((A866+1))&amp;": "&amp;INDEX('Zgłoszenia'!$H$5:$H$504,MATCH(F866&amp;"|"&amp;(A866+1),'Zgłoszenia'!$S$5:$S$504,0)))&amp;IF(K866&gt;1," (+"&amp;(K866-1)&amp;")",""))</f>
        <v/>
      </c>
      <c r="M866" s="63" t="n">
        <v>11</v>
      </c>
      <c r="N866" s="2" t="n"/>
      <c r="O866" s="2" t="n"/>
    </row>
    <row r="867">
      <c r="A867" s="62">
        <f>IF('11'!$C$1="","",'11'!$C$1)</f>
        <v/>
      </c>
      <c r="B867" s="63">
        <f>Ustawienia!$A$10&amp;""</f>
        <v/>
      </c>
      <c r="C867" s="63">
        <f>Ustawienia!$A$14&amp;""</f>
        <v/>
      </c>
      <c r="D867" s="63" t="n">
        <v>2</v>
      </c>
      <c r="E867" s="63">
        <f>IF('11'!J7="","",TRIM('11'!J7&amp;""))</f>
        <v/>
      </c>
      <c r="F867" s="63">
        <f>IF('11'!K7="","",'11'!K7)</f>
        <v/>
      </c>
      <c r="G867" s="63">
        <f>'11'!L7&amp;""</f>
        <v/>
      </c>
      <c r="H867" s="63">
        <f>IF(OR(A867="",F867=""),"",F867&amp;"|"&amp;A867)</f>
        <v/>
      </c>
      <c r="I867" s="63">
        <f>IF(AND(H867&lt;&gt;"",OR('Historia wózka'!$B$4="",F867='Historia wózka'!$B$4),A867&gt;='Historia wózka'!$B$5,A867&lt;='Historia wózka'!$B$6),A867+0.7+(5000-ROW())/10000000,0)</f>
        <v/>
      </c>
      <c r="J867" s="63">
        <f>Ustawienia!$B$10&amp;""</f>
        <v/>
      </c>
      <c r="K867" s="63">
        <f>IF(H867="","",COUNTIFS('Zgłoszenia'!$B$5:$B$504,F867,'Zgłoszenia'!$D$5:$D$504,"&gt;="&amp;A867,'Zgłoszenia'!$D$5:$D$504,"&lt;="&amp;(A867+1)))</f>
        <v/>
      </c>
      <c r="L867" s="63">
        <f>IF(OR(H867="",K867=0),"—",IF(ISNUMBER(MATCH(H867,'Zgłoszenia'!$S$5:$S$504,0)),RIGHT("0"&amp;DAY(A867),2)&amp;"."&amp;RIGHT("0"&amp;MONTH(A867),2)&amp;"."&amp;YEAR(A867)&amp;": "&amp;INDEX('Zgłoszenia'!$H$5:$H$504,MATCH(H867,'Zgłoszenia'!$S$5:$S$504,0)),RIGHT("0"&amp;DAY((A867+1)),2)&amp;"."&amp;RIGHT("0"&amp;MONTH((A867+1)),2)&amp;"."&amp;YEAR((A867+1))&amp;": "&amp;INDEX('Zgłoszenia'!$H$5:$H$504,MATCH(F867&amp;"|"&amp;(A867+1),'Zgłoszenia'!$S$5:$S$504,0)))&amp;IF(K867&gt;1," (+"&amp;(K867-1)&amp;")",""))</f>
        <v/>
      </c>
      <c r="M867" s="63" t="n">
        <v>11</v>
      </c>
      <c r="N867" s="2" t="n"/>
      <c r="O867" s="2" t="n"/>
    </row>
    <row r="868">
      <c r="A868" s="62">
        <f>IF('11'!$C$1="","",'11'!$C$1)</f>
        <v/>
      </c>
      <c r="B868" s="63">
        <f>Ustawienia!$A$10&amp;""</f>
        <v/>
      </c>
      <c r="C868" s="63">
        <f>Ustawienia!$A$14&amp;""</f>
        <v/>
      </c>
      <c r="D868" s="63" t="n">
        <v>3</v>
      </c>
      <c r="E868" s="63">
        <f>IF('11'!J8="","",TRIM('11'!J8&amp;""))</f>
        <v/>
      </c>
      <c r="F868" s="63">
        <f>IF('11'!K8="","",'11'!K8)</f>
        <v/>
      </c>
      <c r="G868" s="63">
        <f>'11'!L8&amp;""</f>
        <v/>
      </c>
      <c r="H868" s="63">
        <f>IF(OR(A868="",F868=""),"",F868&amp;"|"&amp;A868)</f>
        <v/>
      </c>
      <c r="I868" s="63">
        <f>IF(AND(H868&lt;&gt;"",OR('Historia wózka'!$B$4="",F868='Historia wózka'!$B$4),A868&gt;='Historia wózka'!$B$5,A868&lt;='Historia wózka'!$B$6),A868+0.7+(5000-ROW())/10000000,0)</f>
        <v/>
      </c>
      <c r="J868" s="63">
        <f>Ustawienia!$B$10&amp;""</f>
        <v/>
      </c>
      <c r="K868" s="63">
        <f>IF(H868="","",COUNTIFS('Zgłoszenia'!$B$5:$B$504,F868,'Zgłoszenia'!$D$5:$D$504,"&gt;="&amp;A868,'Zgłoszenia'!$D$5:$D$504,"&lt;="&amp;(A868+1)))</f>
        <v/>
      </c>
      <c r="L868" s="63">
        <f>IF(OR(H868="",K868=0),"—",IF(ISNUMBER(MATCH(H868,'Zgłoszenia'!$S$5:$S$504,0)),RIGHT("0"&amp;DAY(A868),2)&amp;"."&amp;RIGHT("0"&amp;MONTH(A868),2)&amp;"."&amp;YEAR(A868)&amp;": "&amp;INDEX('Zgłoszenia'!$H$5:$H$504,MATCH(H868,'Zgłoszenia'!$S$5:$S$504,0)),RIGHT("0"&amp;DAY((A868+1)),2)&amp;"."&amp;RIGHT("0"&amp;MONTH((A868+1)),2)&amp;"."&amp;YEAR((A868+1))&amp;": "&amp;INDEX('Zgłoszenia'!$H$5:$H$504,MATCH(F868&amp;"|"&amp;(A868+1),'Zgłoszenia'!$S$5:$S$504,0)))&amp;IF(K868&gt;1," (+"&amp;(K868-1)&amp;")",""))</f>
        <v/>
      </c>
      <c r="M868" s="63" t="n">
        <v>11</v>
      </c>
      <c r="N868" s="2" t="n"/>
      <c r="O868" s="2" t="n"/>
    </row>
    <row r="869">
      <c r="A869" s="62">
        <f>IF('11'!$C$1="","",'11'!$C$1)</f>
        <v/>
      </c>
      <c r="B869" s="63">
        <f>Ustawienia!$A$10&amp;""</f>
        <v/>
      </c>
      <c r="C869" s="63">
        <f>Ustawienia!$A$14&amp;""</f>
        <v/>
      </c>
      <c r="D869" s="63" t="n">
        <v>4</v>
      </c>
      <c r="E869" s="63">
        <f>IF('11'!J9="","",TRIM('11'!J9&amp;""))</f>
        <v/>
      </c>
      <c r="F869" s="63">
        <f>IF('11'!K9="","",'11'!K9)</f>
        <v/>
      </c>
      <c r="G869" s="63">
        <f>'11'!L9&amp;""</f>
        <v/>
      </c>
      <c r="H869" s="63">
        <f>IF(OR(A869="",F869=""),"",F869&amp;"|"&amp;A869)</f>
        <v/>
      </c>
      <c r="I869" s="63">
        <f>IF(AND(H869&lt;&gt;"",OR('Historia wózka'!$B$4="",F869='Historia wózka'!$B$4),A869&gt;='Historia wózka'!$B$5,A869&lt;='Historia wózka'!$B$6),A869+0.7+(5000-ROW())/10000000,0)</f>
        <v/>
      </c>
      <c r="J869" s="63">
        <f>Ustawienia!$B$10&amp;""</f>
        <v/>
      </c>
      <c r="K869" s="63">
        <f>IF(H869="","",COUNTIFS('Zgłoszenia'!$B$5:$B$504,F869,'Zgłoszenia'!$D$5:$D$504,"&gt;="&amp;A869,'Zgłoszenia'!$D$5:$D$504,"&lt;="&amp;(A869+1)))</f>
        <v/>
      </c>
      <c r="L869" s="63">
        <f>IF(OR(H869="",K869=0),"—",IF(ISNUMBER(MATCH(H869,'Zgłoszenia'!$S$5:$S$504,0)),RIGHT("0"&amp;DAY(A869),2)&amp;"."&amp;RIGHT("0"&amp;MONTH(A869),2)&amp;"."&amp;YEAR(A869)&amp;": "&amp;INDEX('Zgłoszenia'!$H$5:$H$504,MATCH(H869,'Zgłoszenia'!$S$5:$S$504,0)),RIGHT("0"&amp;DAY((A869+1)),2)&amp;"."&amp;RIGHT("0"&amp;MONTH((A869+1)),2)&amp;"."&amp;YEAR((A869+1))&amp;": "&amp;INDEX('Zgłoszenia'!$H$5:$H$504,MATCH(F869&amp;"|"&amp;(A869+1),'Zgłoszenia'!$S$5:$S$504,0)))&amp;IF(K869&gt;1," (+"&amp;(K869-1)&amp;")",""))</f>
        <v/>
      </c>
      <c r="M869" s="63" t="n">
        <v>11</v>
      </c>
      <c r="N869" s="2" t="n"/>
      <c r="O869" s="2" t="n"/>
    </row>
    <row r="870">
      <c r="A870" s="62">
        <f>IF('11'!$C$1="","",'11'!$C$1)</f>
        <v/>
      </c>
      <c r="B870" s="63">
        <f>Ustawienia!$A$10&amp;""</f>
        <v/>
      </c>
      <c r="C870" s="63">
        <f>Ustawienia!$A$14&amp;""</f>
        <v/>
      </c>
      <c r="D870" s="63" t="n">
        <v>5</v>
      </c>
      <c r="E870" s="63">
        <f>IF('11'!J10="","",TRIM('11'!J10&amp;""))</f>
        <v/>
      </c>
      <c r="F870" s="63">
        <f>IF('11'!K10="","",'11'!K10)</f>
        <v/>
      </c>
      <c r="G870" s="63">
        <f>'11'!L10&amp;""</f>
        <v/>
      </c>
      <c r="H870" s="63">
        <f>IF(OR(A870="",F870=""),"",F870&amp;"|"&amp;A870)</f>
        <v/>
      </c>
      <c r="I870" s="63">
        <f>IF(AND(H870&lt;&gt;"",OR('Historia wózka'!$B$4="",F870='Historia wózka'!$B$4),A870&gt;='Historia wózka'!$B$5,A870&lt;='Historia wózka'!$B$6),A870+0.7+(5000-ROW())/10000000,0)</f>
        <v/>
      </c>
      <c r="J870" s="63">
        <f>Ustawienia!$B$10&amp;""</f>
        <v/>
      </c>
      <c r="K870" s="63">
        <f>IF(H870="","",COUNTIFS('Zgłoszenia'!$B$5:$B$504,F870,'Zgłoszenia'!$D$5:$D$504,"&gt;="&amp;A870,'Zgłoszenia'!$D$5:$D$504,"&lt;="&amp;(A870+1)))</f>
        <v/>
      </c>
      <c r="L870" s="63">
        <f>IF(OR(H870="",K870=0),"—",IF(ISNUMBER(MATCH(H870,'Zgłoszenia'!$S$5:$S$504,0)),RIGHT("0"&amp;DAY(A870),2)&amp;"."&amp;RIGHT("0"&amp;MONTH(A870),2)&amp;"."&amp;YEAR(A870)&amp;": "&amp;INDEX('Zgłoszenia'!$H$5:$H$504,MATCH(H870,'Zgłoszenia'!$S$5:$S$504,0)),RIGHT("0"&amp;DAY((A870+1)),2)&amp;"."&amp;RIGHT("0"&amp;MONTH((A870+1)),2)&amp;"."&amp;YEAR((A870+1))&amp;": "&amp;INDEX('Zgłoszenia'!$H$5:$H$504,MATCH(F870&amp;"|"&amp;(A870+1),'Zgłoszenia'!$S$5:$S$504,0)))&amp;IF(K870&gt;1," (+"&amp;(K870-1)&amp;")",""))</f>
        <v/>
      </c>
      <c r="M870" s="63" t="n">
        <v>11</v>
      </c>
      <c r="N870" s="2" t="n"/>
      <c r="O870" s="2" t="n"/>
    </row>
    <row r="871">
      <c r="A871" s="62">
        <f>IF('11'!$C$1="","",'11'!$C$1)</f>
        <v/>
      </c>
      <c r="B871" s="63">
        <f>Ustawienia!$A$10&amp;""</f>
        <v/>
      </c>
      <c r="C871" s="63">
        <f>Ustawienia!$A$14&amp;""</f>
        <v/>
      </c>
      <c r="D871" s="63" t="n">
        <v>6</v>
      </c>
      <c r="E871" s="63">
        <f>IF('11'!J11="","",TRIM('11'!J11&amp;""))</f>
        <v/>
      </c>
      <c r="F871" s="63">
        <f>IF('11'!K11="","",'11'!K11)</f>
        <v/>
      </c>
      <c r="G871" s="63">
        <f>'11'!L11&amp;""</f>
        <v/>
      </c>
      <c r="H871" s="63">
        <f>IF(OR(A871="",F871=""),"",F871&amp;"|"&amp;A871)</f>
        <v/>
      </c>
      <c r="I871" s="63">
        <f>IF(AND(H871&lt;&gt;"",OR('Historia wózka'!$B$4="",F871='Historia wózka'!$B$4),A871&gt;='Historia wózka'!$B$5,A871&lt;='Historia wózka'!$B$6),A871+0.7+(5000-ROW())/10000000,0)</f>
        <v/>
      </c>
      <c r="J871" s="63">
        <f>Ustawienia!$B$10&amp;""</f>
        <v/>
      </c>
      <c r="K871" s="63">
        <f>IF(H871="","",COUNTIFS('Zgłoszenia'!$B$5:$B$504,F871,'Zgłoszenia'!$D$5:$D$504,"&gt;="&amp;A871,'Zgłoszenia'!$D$5:$D$504,"&lt;="&amp;(A871+1)))</f>
        <v/>
      </c>
      <c r="L871" s="63">
        <f>IF(OR(H871="",K871=0),"—",IF(ISNUMBER(MATCH(H871,'Zgłoszenia'!$S$5:$S$504,0)),RIGHT("0"&amp;DAY(A871),2)&amp;"."&amp;RIGHT("0"&amp;MONTH(A871),2)&amp;"."&amp;YEAR(A871)&amp;": "&amp;INDEX('Zgłoszenia'!$H$5:$H$504,MATCH(H871,'Zgłoszenia'!$S$5:$S$504,0)),RIGHT("0"&amp;DAY((A871+1)),2)&amp;"."&amp;RIGHT("0"&amp;MONTH((A871+1)),2)&amp;"."&amp;YEAR((A871+1))&amp;": "&amp;INDEX('Zgłoszenia'!$H$5:$H$504,MATCH(F871&amp;"|"&amp;(A871+1),'Zgłoszenia'!$S$5:$S$504,0)))&amp;IF(K871&gt;1," (+"&amp;(K871-1)&amp;")",""))</f>
        <v/>
      </c>
      <c r="M871" s="63" t="n">
        <v>11</v>
      </c>
      <c r="N871" s="2" t="n"/>
      <c r="O871" s="2" t="n"/>
    </row>
    <row r="872">
      <c r="A872" s="62">
        <f>IF('11'!$C$1="","",'11'!$C$1)</f>
        <v/>
      </c>
      <c r="B872" s="63">
        <f>Ustawienia!$A$10&amp;""</f>
        <v/>
      </c>
      <c r="C872" s="63">
        <f>Ustawienia!$A$15&amp;""</f>
        <v/>
      </c>
      <c r="D872" s="63" t="n">
        <v>1</v>
      </c>
      <c r="E872" s="63">
        <f>IF('11'!J13="","",TRIM('11'!J13&amp;""))</f>
        <v/>
      </c>
      <c r="F872" s="63">
        <f>IF('11'!K13="","",'11'!K13)</f>
        <v/>
      </c>
      <c r="G872" s="63">
        <f>'11'!L13&amp;""</f>
        <v/>
      </c>
      <c r="H872" s="63">
        <f>IF(OR(A872="",F872=""),"",F872&amp;"|"&amp;A872)</f>
        <v/>
      </c>
      <c r="I872" s="63">
        <f>IF(AND(H872&lt;&gt;"",OR('Historia wózka'!$B$4="",F872='Historia wózka'!$B$4),A872&gt;='Historia wózka'!$B$5,A872&lt;='Historia wózka'!$B$6),A872+0.7+(5000-ROW())/10000000,0)</f>
        <v/>
      </c>
      <c r="J872" s="63">
        <f>Ustawienia!$B$10&amp;""</f>
        <v/>
      </c>
      <c r="K872" s="63">
        <f>IF(H872="","",COUNTIFS('Zgłoszenia'!$B$5:$B$504,F872,'Zgłoszenia'!$D$5:$D$504,"&gt;="&amp;A872,'Zgłoszenia'!$D$5:$D$504,"&lt;="&amp;(A872+1)))</f>
        <v/>
      </c>
      <c r="L872" s="63">
        <f>IF(OR(H872="",K872=0),"—",IF(ISNUMBER(MATCH(H872,'Zgłoszenia'!$S$5:$S$504,0)),RIGHT("0"&amp;DAY(A872),2)&amp;"."&amp;RIGHT("0"&amp;MONTH(A872),2)&amp;"."&amp;YEAR(A872)&amp;": "&amp;INDEX('Zgłoszenia'!$H$5:$H$504,MATCH(H872,'Zgłoszenia'!$S$5:$S$504,0)),RIGHT("0"&amp;DAY((A872+1)),2)&amp;"."&amp;RIGHT("0"&amp;MONTH((A872+1)),2)&amp;"."&amp;YEAR((A872+1))&amp;": "&amp;INDEX('Zgłoszenia'!$H$5:$H$504,MATCH(F872&amp;"|"&amp;(A872+1),'Zgłoszenia'!$S$5:$S$504,0)))&amp;IF(K872&gt;1," (+"&amp;(K872-1)&amp;")",""))</f>
        <v/>
      </c>
      <c r="M872" s="63" t="n">
        <v>11</v>
      </c>
      <c r="N872" s="2" t="n"/>
      <c r="O872" s="2" t="n"/>
    </row>
    <row r="873">
      <c r="A873" s="62">
        <f>IF('11'!$C$1="","",'11'!$C$1)</f>
        <v/>
      </c>
      <c r="B873" s="63">
        <f>Ustawienia!$A$10&amp;""</f>
        <v/>
      </c>
      <c r="C873" s="63">
        <f>Ustawienia!$A$15&amp;""</f>
        <v/>
      </c>
      <c r="D873" s="63" t="n">
        <v>2</v>
      </c>
      <c r="E873" s="63">
        <f>IF('11'!J14="","",TRIM('11'!J14&amp;""))</f>
        <v/>
      </c>
      <c r="F873" s="63">
        <f>IF('11'!K14="","",'11'!K14)</f>
        <v/>
      </c>
      <c r="G873" s="63">
        <f>'11'!L14&amp;""</f>
        <v/>
      </c>
      <c r="H873" s="63">
        <f>IF(OR(A873="",F873=""),"",F873&amp;"|"&amp;A873)</f>
        <v/>
      </c>
      <c r="I873" s="63">
        <f>IF(AND(H873&lt;&gt;"",OR('Historia wózka'!$B$4="",F873='Historia wózka'!$B$4),A873&gt;='Historia wózka'!$B$5,A873&lt;='Historia wózka'!$B$6),A873+0.7+(5000-ROW())/10000000,0)</f>
        <v/>
      </c>
      <c r="J873" s="63">
        <f>Ustawienia!$B$10&amp;""</f>
        <v/>
      </c>
      <c r="K873" s="63">
        <f>IF(H873="","",COUNTIFS('Zgłoszenia'!$B$5:$B$504,F873,'Zgłoszenia'!$D$5:$D$504,"&gt;="&amp;A873,'Zgłoszenia'!$D$5:$D$504,"&lt;="&amp;(A873+1)))</f>
        <v/>
      </c>
      <c r="L873" s="63">
        <f>IF(OR(H873="",K873=0),"—",IF(ISNUMBER(MATCH(H873,'Zgłoszenia'!$S$5:$S$504,0)),RIGHT("0"&amp;DAY(A873),2)&amp;"."&amp;RIGHT("0"&amp;MONTH(A873),2)&amp;"."&amp;YEAR(A873)&amp;": "&amp;INDEX('Zgłoszenia'!$H$5:$H$504,MATCH(H873,'Zgłoszenia'!$S$5:$S$504,0)),RIGHT("0"&amp;DAY((A873+1)),2)&amp;"."&amp;RIGHT("0"&amp;MONTH((A873+1)),2)&amp;"."&amp;YEAR((A873+1))&amp;": "&amp;INDEX('Zgłoszenia'!$H$5:$H$504,MATCH(F873&amp;"|"&amp;(A873+1),'Zgłoszenia'!$S$5:$S$504,0)))&amp;IF(K873&gt;1," (+"&amp;(K873-1)&amp;")",""))</f>
        <v/>
      </c>
      <c r="M873" s="63" t="n">
        <v>11</v>
      </c>
      <c r="N873" s="2" t="n"/>
      <c r="O873" s="2" t="n"/>
    </row>
    <row r="874">
      <c r="A874" s="62">
        <f>IF('11'!$C$1="","",'11'!$C$1)</f>
        <v/>
      </c>
      <c r="B874" s="63">
        <f>Ustawienia!$A$10&amp;""</f>
        <v/>
      </c>
      <c r="C874" s="63">
        <f>Ustawienia!$A$15&amp;""</f>
        <v/>
      </c>
      <c r="D874" s="63" t="n">
        <v>3</v>
      </c>
      <c r="E874" s="63">
        <f>IF('11'!J15="","",TRIM('11'!J15&amp;""))</f>
        <v/>
      </c>
      <c r="F874" s="63">
        <f>IF('11'!K15="","",'11'!K15)</f>
        <v/>
      </c>
      <c r="G874" s="63">
        <f>'11'!L15&amp;""</f>
        <v/>
      </c>
      <c r="H874" s="63">
        <f>IF(OR(A874="",F874=""),"",F874&amp;"|"&amp;A874)</f>
        <v/>
      </c>
      <c r="I874" s="63">
        <f>IF(AND(H874&lt;&gt;"",OR('Historia wózka'!$B$4="",F874='Historia wózka'!$B$4),A874&gt;='Historia wózka'!$B$5,A874&lt;='Historia wózka'!$B$6),A874+0.7+(5000-ROW())/10000000,0)</f>
        <v/>
      </c>
      <c r="J874" s="63">
        <f>Ustawienia!$B$10&amp;""</f>
        <v/>
      </c>
      <c r="K874" s="63">
        <f>IF(H874="","",COUNTIFS('Zgłoszenia'!$B$5:$B$504,F874,'Zgłoszenia'!$D$5:$D$504,"&gt;="&amp;A874,'Zgłoszenia'!$D$5:$D$504,"&lt;="&amp;(A874+1)))</f>
        <v/>
      </c>
      <c r="L874" s="63">
        <f>IF(OR(H874="",K874=0),"—",IF(ISNUMBER(MATCH(H874,'Zgłoszenia'!$S$5:$S$504,0)),RIGHT("0"&amp;DAY(A874),2)&amp;"."&amp;RIGHT("0"&amp;MONTH(A874),2)&amp;"."&amp;YEAR(A874)&amp;": "&amp;INDEX('Zgłoszenia'!$H$5:$H$504,MATCH(H874,'Zgłoszenia'!$S$5:$S$504,0)),RIGHT("0"&amp;DAY((A874+1)),2)&amp;"."&amp;RIGHT("0"&amp;MONTH((A874+1)),2)&amp;"."&amp;YEAR((A874+1))&amp;": "&amp;INDEX('Zgłoszenia'!$H$5:$H$504,MATCH(F874&amp;"|"&amp;(A874+1),'Zgłoszenia'!$S$5:$S$504,0)))&amp;IF(K874&gt;1," (+"&amp;(K874-1)&amp;")",""))</f>
        <v/>
      </c>
      <c r="M874" s="63" t="n">
        <v>11</v>
      </c>
      <c r="N874" s="2" t="n"/>
      <c r="O874" s="2" t="n"/>
    </row>
    <row r="875">
      <c r="A875" s="62">
        <f>IF('11'!$C$1="","",'11'!$C$1)</f>
        <v/>
      </c>
      <c r="B875" s="63">
        <f>Ustawienia!$A$10&amp;""</f>
        <v/>
      </c>
      <c r="C875" s="63">
        <f>Ustawienia!$A$15&amp;""</f>
        <v/>
      </c>
      <c r="D875" s="63" t="n">
        <v>4</v>
      </c>
      <c r="E875" s="63">
        <f>IF('11'!J16="","",TRIM('11'!J16&amp;""))</f>
        <v/>
      </c>
      <c r="F875" s="63">
        <f>IF('11'!K16="","",'11'!K16)</f>
        <v/>
      </c>
      <c r="G875" s="63">
        <f>'11'!L16&amp;""</f>
        <v/>
      </c>
      <c r="H875" s="63">
        <f>IF(OR(A875="",F875=""),"",F875&amp;"|"&amp;A875)</f>
        <v/>
      </c>
      <c r="I875" s="63">
        <f>IF(AND(H875&lt;&gt;"",OR('Historia wózka'!$B$4="",F875='Historia wózka'!$B$4),A875&gt;='Historia wózka'!$B$5,A875&lt;='Historia wózka'!$B$6),A875+0.7+(5000-ROW())/10000000,0)</f>
        <v/>
      </c>
      <c r="J875" s="63">
        <f>Ustawienia!$B$10&amp;""</f>
        <v/>
      </c>
      <c r="K875" s="63">
        <f>IF(H875="","",COUNTIFS('Zgłoszenia'!$B$5:$B$504,F875,'Zgłoszenia'!$D$5:$D$504,"&gt;="&amp;A875,'Zgłoszenia'!$D$5:$D$504,"&lt;="&amp;(A875+1)))</f>
        <v/>
      </c>
      <c r="L875" s="63">
        <f>IF(OR(H875="",K875=0),"—",IF(ISNUMBER(MATCH(H875,'Zgłoszenia'!$S$5:$S$504,0)),RIGHT("0"&amp;DAY(A875),2)&amp;"."&amp;RIGHT("0"&amp;MONTH(A875),2)&amp;"."&amp;YEAR(A875)&amp;": "&amp;INDEX('Zgłoszenia'!$H$5:$H$504,MATCH(H875,'Zgłoszenia'!$S$5:$S$504,0)),RIGHT("0"&amp;DAY((A875+1)),2)&amp;"."&amp;RIGHT("0"&amp;MONTH((A875+1)),2)&amp;"."&amp;YEAR((A875+1))&amp;": "&amp;INDEX('Zgłoszenia'!$H$5:$H$504,MATCH(F875&amp;"|"&amp;(A875+1),'Zgłoszenia'!$S$5:$S$504,0)))&amp;IF(K875&gt;1," (+"&amp;(K875-1)&amp;")",""))</f>
        <v/>
      </c>
      <c r="M875" s="63" t="n">
        <v>11</v>
      </c>
      <c r="N875" s="2" t="n"/>
      <c r="O875" s="2" t="n"/>
    </row>
    <row r="876">
      <c r="A876" s="62">
        <f>IF('11'!$C$1="","",'11'!$C$1)</f>
        <v/>
      </c>
      <c r="B876" s="63">
        <f>Ustawienia!$A$10&amp;""</f>
        <v/>
      </c>
      <c r="C876" s="63">
        <f>Ustawienia!$A$15&amp;""</f>
        <v/>
      </c>
      <c r="D876" s="63" t="n">
        <v>5</v>
      </c>
      <c r="E876" s="63">
        <f>IF('11'!J17="","",TRIM('11'!J17&amp;""))</f>
        <v/>
      </c>
      <c r="F876" s="63">
        <f>IF('11'!K17="","",'11'!K17)</f>
        <v/>
      </c>
      <c r="G876" s="63">
        <f>'11'!L17&amp;""</f>
        <v/>
      </c>
      <c r="H876" s="63">
        <f>IF(OR(A876="",F876=""),"",F876&amp;"|"&amp;A876)</f>
        <v/>
      </c>
      <c r="I876" s="63">
        <f>IF(AND(H876&lt;&gt;"",OR('Historia wózka'!$B$4="",F876='Historia wózka'!$B$4),A876&gt;='Historia wózka'!$B$5,A876&lt;='Historia wózka'!$B$6),A876+0.7+(5000-ROW())/10000000,0)</f>
        <v/>
      </c>
      <c r="J876" s="63">
        <f>Ustawienia!$B$10&amp;""</f>
        <v/>
      </c>
      <c r="K876" s="63">
        <f>IF(H876="","",COUNTIFS('Zgłoszenia'!$B$5:$B$504,F876,'Zgłoszenia'!$D$5:$D$504,"&gt;="&amp;A876,'Zgłoszenia'!$D$5:$D$504,"&lt;="&amp;(A876+1)))</f>
        <v/>
      </c>
      <c r="L876" s="63">
        <f>IF(OR(H876="",K876=0),"—",IF(ISNUMBER(MATCH(H876,'Zgłoszenia'!$S$5:$S$504,0)),RIGHT("0"&amp;DAY(A876),2)&amp;"."&amp;RIGHT("0"&amp;MONTH(A876),2)&amp;"."&amp;YEAR(A876)&amp;": "&amp;INDEX('Zgłoszenia'!$H$5:$H$504,MATCH(H876,'Zgłoszenia'!$S$5:$S$504,0)),RIGHT("0"&amp;DAY((A876+1)),2)&amp;"."&amp;RIGHT("0"&amp;MONTH((A876+1)),2)&amp;"."&amp;YEAR((A876+1))&amp;": "&amp;INDEX('Zgłoszenia'!$H$5:$H$504,MATCH(F876&amp;"|"&amp;(A876+1),'Zgłoszenia'!$S$5:$S$504,0)))&amp;IF(K876&gt;1," (+"&amp;(K876-1)&amp;")",""))</f>
        <v/>
      </c>
      <c r="M876" s="63" t="n">
        <v>11</v>
      </c>
      <c r="N876" s="2" t="n"/>
      <c r="O876" s="2" t="n"/>
    </row>
    <row r="877">
      <c r="A877" s="62">
        <f>IF('11'!$C$1="","",'11'!$C$1)</f>
        <v/>
      </c>
      <c r="B877" s="63">
        <f>Ustawienia!$A$10&amp;""</f>
        <v/>
      </c>
      <c r="C877" s="63">
        <f>Ustawienia!$A$15&amp;""</f>
        <v/>
      </c>
      <c r="D877" s="63" t="n">
        <v>6</v>
      </c>
      <c r="E877" s="63">
        <f>IF('11'!J18="","",TRIM('11'!J18&amp;""))</f>
        <v/>
      </c>
      <c r="F877" s="63">
        <f>IF('11'!K18="","",'11'!K18)</f>
        <v/>
      </c>
      <c r="G877" s="63">
        <f>'11'!L18&amp;""</f>
        <v/>
      </c>
      <c r="H877" s="63">
        <f>IF(OR(A877="",F877=""),"",F877&amp;"|"&amp;A877)</f>
        <v/>
      </c>
      <c r="I877" s="63">
        <f>IF(AND(H877&lt;&gt;"",OR('Historia wózka'!$B$4="",F877='Historia wózka'!$B$4),A877&gt;='Historia wózka'!$B$5,A877&lt;='Historia wózka'!$B$6),A877+0.7+(5000-ROW())/10000000,0)</f>
        <v/>
      </c>
      <c r="J877" s="63">
        <f>Ustawienia!$B$10&amp;""</f>
        <v/>
      </c>
      <c r="K877" s="63">
        <f>IF(H877="","",COUNTIFS('Zgłoszenia'!$B$5:$B$504,F877,'Zgłoszenia'!$D$5:$D$504,"&gt;="&amp;A877,'Zgłoszenia'!$D$5:$D$504,"&lt;="&amp;(A877+1)))</f>
        <v/>
      </c>
      <c r="L877" s="63">
        <f>IF(OR(H877="",K877=0),"—",IF(ISNUMBER(MATCH(H877,'Zgłoszenia'!$S$5:$S$504,0)),RIGHT("0"&amp;DAY(A877),2)&amp;"."&amp;RIGHT("0"&amp;MONTH(A877),2)&amp;"."&amp;YEAR(A877)&amp;": "&amp;INDEX('Zgłoszenia'!$H$5:$H$504,MATCH(H877,'Zgłoszenia'!$S$5:$S$504,0)),RIGHT("0"&amp;DAY((A877+1)),2)&amp;"."&amp;RIGHT("0"&amp;MONTH((A877+1)),2)&amp;"."&amp;YEAR((A877+1))&amp;": "&amp;INDEX('Zgłoszenia'!$H$5:$H$504,MATCH(F877&amp;"|"&amp;(A877+1),'Zgłoszenia'!$S$5:$S$504,0)))&amp;IF(K877&gt;1," (+"&amp;(K877-1)&amp;")",""))</f>
        <v/>
      </c>
      <c r="M877" s="63" t="n">
        <v>11</v>
      </c>
      <c r="N877" s="2" t="n"/>
      <c r="O877" s="2" t="n"/>
    </row>
    <row r="878">
      <c r="A878" s="62">
        <f>IF('11'!$C$1="","",'11'!$C$1)</f>
        <v/>
      </c>
      <c r="B878" s="63">
        <f>Ustawienia!$A$10&amp;""</f>
        <v/>
      </c>
      <c r="C878" s="63">
        <f>Ustawienia!$A$15&amp;""</f>
        <v/>
      </c>
      <c r="D878" s="63" t="n">
        <v>7</v>
      </c>
      <c r="E878" s="63">
        <f>IF('11'!J19="","",TRIM('11'!J19&amp;""))</f>
        <v/>
      </c>
      <c r="F878" s="63">
        <f>IF('11'!K19="","",'11'!K19)</f>
        <v/>
      </c>
      <c r="G878" s="63">
        <f>'11'!L19&amp;""</f>
        <v/>
      </c>
      <c r="H878" s="63">
        <f>IF(OR(A878="",F878=""),"",F878&amp;"|"&amp;A878)</f>
        <v/>
      </c>
      <c r="I878" s="63">
        <f>IF(AND(H878&lt;&gt;"",OR('Historia wózka'!$B$4="",F878='Historia wózka'!$B$4),A878&gt;='Historia wózka'!$B$5,A878&lt;='Historia wózka'!$B$6),A878+0.7+(5000-ROW())/10000000,0)</f>
        <v/>
      </c>
      <c r="J878" s="63">
        <f>Ustawienia!$B$10&amp;""</f>
        <v/>
      </c>
      <c r="K878" s="63">
        <f>IF(H878="","",COUNTIFS('Zgłoszenia'!$B$5:$B$504,F878,'Zgłoszenia'!$D$5:$D$504,"&gt;="&amp;A878,'Zgłoszenia'!$D$5:$D$504,"&lt;="&amp;(A878+1)))</f>
        <v/>
      </c>
      <c r="L878" s="63">
        <f>IF(OR(H878="",K878=0),"—",IF(ISNUMBER(MATCH(H878,'Zgłoszenia'!$S$5:$S$504,0)),RIGHT("0"&amp;DAY(A878),2)&amp;"."&amp;RIGHT("0"&amp;MONTH(A878),2)&amp;"."&amp;YEAR(A878)&amp;": "&amp;INDEX('Zgłoszenia'!$H$5:$H$504,MATCH(H878,'Zgłoszenia'!$S$5:$S$504,0)),RIGHT("0"&amp;DAY((A878+1)),2)&amp;"."&amp;RIGHT("0"&amp;MONTH((A878+1)),2)&amp;"."&amp;YEAR((A878+1))&amp;": "&amp;INDEX('Zgłoszenia'!$H$5:$H$504,MATCH(F878&amp;"|"&amp;(A878+1),'Zgłoszenia'!$S$5:$S$504,0)))&amp;IF(K878&gt;1," (+"&amp;(K878-1)&amp;")",""))</f>
        <v/>
      </c>
      <c r="M878" s="63" t="n">
        <v>11</v>
      </c>
      <c r="N878" s="2" t="n"/>
      <c r="O878" s="2" t="n"/>
    </row>
    <row r="879">
      <c r="A879" s="62">
        <f>IF('11'!$C$1="","",'11'!$C$1)</f>
        <v/>
      </c>
      <c r="B879" s="63">
        <f>Ustawienia!$A$10&amp;""</f>
        <v/>
      </c>
      <c r="C879" s="63">
        <f>Ustawienia!$A$15&amp;""</f>
        <v/>
      </c>
      <c r="D879" s="63" t="n">
        <v>8</v>
      </c>
      <c r="E879" s="63">
        <f>IF('11'!J20="","",TRIM('11'!J20&amp;""))</f>
        <v/>
      </c>
      <c r="F879" s="63">
        <f>IF('11'!K20="","",'11'!K20)</f>
        <v/>
      </c>
      <c r="G879" s="63">
        <f>'11'!L20&amp;""</f>
        <v/>
      </c>
      <c r="H879" s="63">
        <f>IF(OR(A879="",F879=""),"",F879&amp;"|"&amp;A879)</f>
        <v/>
      </c>
      <c r="I879" s="63">
        <f>IF(AND(H879&lt;&gt;"",OR('Historia wózka'!$B$4="",F879='Historia wózka'!$B$4),A879&gt;='Historia wózka'!$B$5,A879&lt;='Historia wózka'!$B$6),A879+0.7+(5000-ROW())/10000000,0)</f>
        <v/>
      </c>
      <c r="J879" s="63">
        <f>Ustawienia!$B$10&amp;""</f>
        <v/>
      </c>
      <c r="K879" s="63">
        <f>IF(H879="","",COUNTIFS('Zgłoszenia'!$B$5:$B$504,F879,'Zgłoszenia'!$D$5:$D$504,"&gt;="&amp;A879,'Zgłoszenia'!$D$5:$D$504,"&lt;="&amp;(A879+1)))</f>
        <v/>
      </c>
      <c r="L879" s="63">
        <f>IF(OR(H879="",K879=0),"—",IF(ISNUMBER(MATCH(H879,'Zgłoszenia'!$S$5:$S$504,0)),RIGHT("0"&amp;DAY(A879),2)&amp;"."&amp;RIGHT("0"&amp;MONTH(A879),2)&amp;"."&amp;YEAR(A879)&amp;": "&amp;INDEX('Zgłoszenia'!$H$5:$H$504,MATCH(H879,'Zgłoszenia'!$S$5:$S$504,0)),RIGHT("0"&amp;DAY((A879+1)),2)&amp;"."&amp;RIGHT("0"&amp;MONTH((A879+1)),2)&amp;"."&amp;YEAR((A879+1))&amp;": "&amp;INDEX('Zgłoszenia'!$H$5:$H$504,MATCH(F879&amp;"|"&amp;(A879+1),'Zgłoszenia'!$S$5:$S$504,0)))&amp;IF(K879&gt;1," (+"&amp;(K879-1)&amp;")",""))</f>
        <v/>
      </c>
      <c r="M879" s="63" t="n">
        <v>11</v>
      </c>
      <c r="N879" s="2" t="n"/>
      <c r="O879" s="2" t="n"/>
    </row>
    <row r="880">
      <c r="A880" s="62">
        <f>IF('11'!$C$1="","",'11'!$C$1)</f>
        <v/>
      </c>
      <c r="B880" s="63">
        <f>Ustawienia!$A$10&amp;""</f>
        <v/>
      </c>
      <c r="C880" s="63">
        <f>Ustawienia!$A$16&amp;""</f>
        <v/>
      </c>
      <c r="D880" s="63" t="n">
        <v>1</v>
      </c>
      <c r="E880" s="63">
        <f>IF('11'!J22="","",TRIM('11'!J22&amp;""))</f>
        <v/>
      </c>
      <c r="F880" s="63">
        <f>IF('11'!K22="","",'11'!K22)</f>
        <v/>
      </c>
      <c r="G880" s="63">
        <f>'11'!L22&amp;""</f>
        <v/>
      </c>
      <c r="H880" s="63">
        <f>IF(OR(A880="",F880=""),"",F880&amp;"|"&amp;A880)</f>
        <v/>
      </c>
      <c r="I880" s="63">
        <f>IF(AND(H880&lt;&gt;"",OR('Historia wózka'!$B$4="",F880='Historia wózka'!$B$4),A880&gt;='Historia wózka'!$B$5,A880&lt;='Historia wózka'!$B$6),A880+0.7+(5000-ROW())/10000000,0)</f>
        <v/>
      </c>
      <c r="J880" s="63">
        <f>Ustawienia!$B$10&amp;""</f>
        <v/>
      </c>
      <c r="K880" s="63">
        <f>IF(H880="","",COUNTIFS('Zgłoszenia'!$B$5:$B$504,F880,'Zgłoszenia'!$D$5:$D$504,"&gt;="&amp;A880,'Zgłoszenia'!$D$5:$D$504,"&lt;="&amp;(A880+1)))</f>
        <v/>
      </c>
      <c r="L880" s="63">
        <f>IF(OR(H880="",K880=0),"—",IF(ISNUMBER(MATCH(H880,'Zgłoszenia'!$S$5:$S$504,0)),RIGHT("0"&amp;DAY(A880),2)&amp;"."&amp;RIGHT("0"&amp;MONTH(A880),2)&amp;"."&amp;YEAR(A880)&amp;": "&amp;INDEX('Zgłoszenia'!$H$5:$H$504,MATCH(H880,'Zgłoszenia'!$S$5:$S$504,0)),RIGHT("0"&amp;DAY((A880+1)),2)&amp;"."&amp;RIGHT("0"&amp;MONTH((A880+1)),2)&amp;"."&amp;YEAR((A880+1))&amp;": "&amp;INDEX('Zgłoszenia'!$H$5:$H$504,MATCH(F880&amp;"|"&amp;(A880+1),'Zgłoszenia'!$S$5:$S$504,0)))&amp;IF(K880&gt;1," (+"&amp;(K880-1)&amp;")",""))</f>
        <v/>
      </c>
      <c r="M880" s="63" t="n">
        <v>11</v>
      </c>
      <c r="N880" s="2" t="n"/>
      <c r="O880" s="2" t="n"/>
    </row>
    <row r="881">
      <c r="A881" s="62">
        <f>IF('11'!$C$1="","",'11'!$C$1)</f>
        <v/>
      </c>
      <c r="B881" s="63">
        <f>Ustawienia!$A$10&amp;""</f>
        <v/>
      </c>
      <c r="C881" s="63">
        <f>Ustawienia!$A$16&amp;""</f>
        <v/>
      </c>
      <c r="D881" s="63" t="n">
        <v>2</v>
      </c>
      <c r="E881" s="63">
        <f>IF('11'!J23="","",TRIM('11'!J23&amp;""))</f>
        <v/>
      </c>
      <c r="F881" s="63">
        <f>IF('11'!K23="","",'11'!K23)</f>
        <v/>
      </c>
      <c r="G881" s="63">
        <f>'11'!L23&amp;""</f>
        <v/>
      </c>
      <c r="H881" s="63">
        <f>IF(OR(A881="",F881=""),"",F881&amp;"|"&amp;A881)</f>
        <v/>
      </c>
      <c r="I881" s="63">
        <f>IF(AND(H881&lt;&gt;"",OR('Historia wózka'!$B$4="",F881='Historia wózka'!$B$4),A881&gt;='Historia wózka'!$B$5,A881&lt;='Historia wózka'!$B$6),A881+0.7+(5000-ROW())/10000000,0)</f>
        <v/>
      </c>
      <c r="J881" s="63">
        <f>Ustawienia!$B$10&amp;""</f>
        <v/>
      </c>
      <c r="K881" s="63">
        <f>IF(H881="","",COUNTIFS('Zgłoszenia'!$B$5:$B$504,F881,'Zgłoszenia'!$D$5:$D$504,"&gt;="&amp;A881,'Zgłoszenia'!$D$5:$D$504,"&lt;="&amp;(A881+1)))</f>
        <v/>
      </c>
      <c r="L881" s="63">
        <f>IF(OR(H881="",K881=0),"—",IF(ISNUMBER(MATCH(H881,'Zgłoszenia'!$S$5:$S$504,0)),RIGHT("0"&amp;DAY(A881),2)&amp;"."&amp;RIGHT("0"&amp;MONTH(A881),2)&amp;"."&amp;YEAR(A881)&amp;": "&amp;INDEX('Zgłoszenia'!$H$5:$H$504,MATCH(H881,'Zgłoszenia'!$S$5:$S$504,0)),RIGHT("0"&amp;DAY((A881+1)),2)&amp;"."&amp;RIGHT("0"&amp;MONTH((A881+1)),2)&amp;"."&amp;YEAR((A881+1))&amp;": "&amp;INDEX('Zgłoszenia'!$H$5:$H$504,MATCH(F881&amp;"|"&amp;(A881+1),'Zgłoszenia'!$S$5:$S$504,0)))&amp;IF(K881&gt;1," (+"&amp;(K881-1)&amp;")",""))</f>
        <v/>
      </c>
      <c r="M881" s="63" t="n">
        <v>11</v>
      </c>
      <c r="N881" s="2" t="n"/>
      <c r="O881" s="2" t="n"/>
    </row>
    <row r="882">
      <c r="A882" s="62">
        <f>IF('11'!$C$1="","",'11'!$C$1)</f>
        <v/>
      </c>
      <c r="B882" s="63">
        <f>Ustawienia!$A$10&amp;""</f>
        <v/>
      </c>
      <c r="C882" s="63">
        <f>Ustawienia!$A$16&amp;""</f>
        <v/>
      </c>
      <c r="D882" s="63" t="n">
        <v>3</v>
      </c>
      <c r="E882" s="63">
        <f>IF('11'!J24="","",TRIM('11'!J24&amp;""))</f>
        <v/>
      </c>
      <c r="F882" s="63">
        <f>IF('11'!K24="","",'11'!K24)</f>
        <v/>
      </c>
      <c r="G882" s="63">
        <f>'11'!L24&amp;""</f>
        <v/>
      </c>
      <c r="H882" s="63">
        <f>IF(OR(A882="",F882=""),"",F882&amp;"|"&amp;A882)</f>
        <v/>
      </c>
      <c r="I882" s="63">
        <f>IF(AND(H882&lt;&gt;"",OR('Historia wózka'!$B$4="",F882='Historia wózka'!$B$4),A882&gt;='Historia wózka'!$B$5,A882&lt;='Historia wózka'!$B$6),A882+0.7+(5000-ROW())/10000000,0)</f>
        <v/>
      </c>
      <c r="J882" s="63">
        <f>Ustawienia!$B$10&amp;""</f>
        <v/>
      </c>
      <c r="K882" s="63">
        <f>IF(H882="","",COUNTIFS('Zgłoszenia'!$B$5:$B$504,F882,'Zgłoszenia'!$D$5:$D$504,"&gt;="&amp;A882,'Zgłoszenia'!$D$5:$D$504,"&lt;="&amp;(A882+1)))</f>
        <v/>
      </c>
      <c r="L882" s="63">
        <f>IF(OR(H882="",K882=0),"—",IF(ISNUMBER(MATCH(H882,'Zgłoszenia'!$S$5:$S$504,0)),RIGHT("0"&amp;DAY(A882),2)&amp;"."&amp;RIGHT("0"&amp;MONTH(A882),2)&amp;"."&amp;YEAR(A882)&amp;": "&amp;INDEX('Zgłoszenia'!$H$5:$H$504,MATCH(H882,'Zgłoszenia'!$S$5:$S$504,0)),RIGHT("0"&amp;DAY((A882+1)),2)&amp;"."&amp;RIGHT("0"&amp;MONTH((A882+1)),2)&amp;"."&amp;YEAR((A882+1))&amp;": "&amp;INDEX('Zgłoszenia'!$H$5:$H$504,MATCH(F882&amp;"|"&amp;(A882+1),'Zgłoszenia'!$S$5:$S$504,0)))&amp;IF(K882&gt;1," (+"&amp;(K882-1)&amp;")",""))</f>
        <v/>
      </c>
      <c r="M882" s="63" t="n">
        <v>11</v>
      </c>
      <c r="N882" s="2" t="n"/>
      <c r="O882" s="2" t="n"/>
    </row>
    <row r="883">
      <c r="A883" s="62">
        <f>IF('11'!$C$1="","",'11'!$C$1)</f>
        <v/>
      </c>
      <c r="B883" s="63">
        <f>Ustawienia!$A$10&amp;""</f>
        <v/>
      </c>
      <c r="C883" s="63">
        <f>Ustawienia!$A$16&amp;""</f>
        <v/>
      </c>
      <c r="D883" s="63" t="n">
        <v>4</v>
      </c>
      <c r="E883" s="63">
        <f>IF('11'!J25="","",TRIM('11'!J25&amp;""))</f>
        <v/>
      </c>
      <c r="F883" s="63">
        <f>IF('11'!K25="","",'11'!K25)</f>
        <v/>
      </c>
      <c r="G883" s="63">
        <f>'11'!L25&amp;""</f>
        <v/>
      </c>
      <c r="H883" s="63">
        <f>IF(OR(A883="",F883=""),"",F883&amp;"|"&amp;A883)</f>
        <v/>
      </c>
      <c r="I883" s="63">
        <f>IF(AND(H883&lt;&gt;"",OR('Historia wózka'!$B$4="",F883='Historia wózka'!$B$4),A883&gt;='Historia wózka'!$B$5,A883&lt;='Historia wózka'!$B$6),A883+0.7+(5000-ROW())/10000000,0)</f>
        <v/>
      </c>
      <c r="J883" s="63">
        <f>Ustawienia!$B$10&amp;""</f>
        <v/>
      </c>
      <c r="K883" s="63">
        <f>IF(H883="","",COUNTIFS('Zgłoszenia'!$B$5:$B$504,F883,'Zgłoszenia'!$D$5:$D$504,"&gt;="&amp;A883,'Zgłoszenia'!$D$5:$D$504,"&lt;="&amp;(A883+1)))</f>
        <v/>
      </c>
      <c r="L883" s="63">
        <f>IF(OR(H883="",K883=0),"—",IF(ISNUMBER(MATCH(H883,'Zgłoszenia'!$S$5:$S$504,0)),RIGHT("0"&amp;DAY(A883),2)&amp;"."&amp;RIGHT("0"&amp;MONTH(A883),2)&amp;"."&amp;YEAR(A883)&amp;": "&amp;INDEX('Zgłoszenia'!$H$5:$H$504,MATCH(H883,'Zgłoszenia'!$S$5:$S$504,0)),RIGHT("0"&amp;DAY((A883+1)),2)&amp;"."&amp;RIGHT("0"&amp;MONTH((A883+1)),2)&amp;"."&amp;YEAR((A883+1))&amp;": "&amp;INDEX('Zgłoszenia'!$H$5:$H$504,MATCH(F883&amp;"|"&amp;(A883+1),'Zgłoszenia'!$S$5:$S$504,0)))&amp;IF(K883&gt;1," (+"&amp;(K883-1)&amp;")",""))</f>
        <v/>
      </c>
      <c r="M883" s="63" t="n">
        <v>11</v>
      </c>
      <c r="N883" s="2" t="n"/>
      <c r="O883" s="2" t="n"/>
    </row>
    <row r="884">
      <c r="A884" s="62">
        <f>IF('11'!$C$1="","",'11'!$C$1)</f>
        <v/>
      </c>
      <c r="B884" s="63">
        <f>Ustawienia!$A$10&amp;""</f>
        <v/>
      </c>
      <c r="C884" s="63">
        <f>Ustawienia!$A$17&amp;""</f>
        <v/>
      </c>
      <c r="D884" s="63" t="n">
        <v>1</v>
      </c>
      <c r="E884" s="63">
        <f>IF('11'!J27="","",TRIM('11'!J27&amp;""))</f>
        <v/>
      </c>
      <c r="F884" s="63">
        <f>IF('11'!K27="","",'11'!K27)</f>
        <v/>
      </c>
      <c r="G884" s="63">
        <f>'11'!L27&amp;""</f>
        <v/>
      </c>
      <c r="H884" s="63">
        <f>IF(OR(A884="",F884=""),"",F884&amp;"|"&amp;A884)</f>
        <v/>
      </c>
      <c r="I884" s="63">
        <f>IF(AND(H884&lt;&gt;"",OR('Historia wózka'!$B$4="",F884='Historia wózka'!$B$4),A884&gt;='Historia wózka'!$B$5,A884&lt;='Historia wózka'!$B$6),A884+0.7+(5000-ROW())/10000000,0)</f>
        <v/>
      </c>
      <c r="J884" s="63">
        <f>Ustawienia!$B$10&amp;""</f>
        <v/>
      </c>
      <c r="K884" s="63">
        <f>IF(H884="","",COUNTIFS('Zgłoszenia'!$B$5:$B$504,F884,'Zgłoszenia'!$D$5:$D$504,"&gt;="&amp;A884,'Zgłoszenia'!$D$5:$D$504,"&lt;="&amp;(A884+1)))</f>
        <v/>
      </c>
      <c r="L884" s="63">
        <f>IF(OR(H884="",K884=0),"—",IF(ISNUMBER(MATCH(H884,'Zgłoszenia'!$S$5:$S$504,0)),RIGHT("0"&amp;DAY(A884),2)&amp;"."&amp;RIGHT("0"&amp;MONTH(A884),2)&amp;"."&amp;YEAR(A884)&amp;": "&amp;INDEX('Zgłoszenia'!$H$5:$H$504,MATCH(H884,'Zgłoszenia'!$S$5:$S$504,0)),RIGHT("0"&amp;DAY((A884+1)),2)&amp;"."&amp;RIGHT("0"&amp;MONTH((A884+1)),2)&amp;"."&amp;YEAR((A884+1))&amp;": "&amp;INDEX('Zgłoszenia'!$H$5:$H$504,MATCH(F884&amp;"|"&amp;(A884+1),'Zgłoszenia'!$S$5:$S$504,0)))&amp;IF(K884&gt;1," (+"&amp;(K884-1)&amp;")",""))</f>
        <v/>
      </c>
      <c r="M884" s="63" t="n">
        <v>11</v>
      </c>
      <c r="N884" s="2" t="n"/>
      <c r="O884" s="2" t="n"/>
    </row>
    <row r="885">
      <c r="A885" s="62">
        <f>IF('11'!$C$1="","",'11'!$C$1)</f>
        <v/>
      </c>
      <c r="B885" s="63">
        <f>Ustawienia!$A$10&amp;""</f>
        <v/>
      </c>
      <c r="C885" s="63">
        <f>Ustawienia!$A$17&amp;""</f>
        <v/>
      </c>
      <c r="D885" s="63" t="n">
        <v>2</v>
      </c>
      <c r="E885" s="63">
        <f>IF('11'!J28="","",TRIM('11'!J28&amp;""))</f>
        <v/>
      </c>
      <c r="F885" s="63">
        <f>IF('11'!K28="","",'11'!K28)</f>
        <v/>
      </c>
      <c r="G885" s="63">
        <f>'11'!L28&amp;""</f>
        <v/>
      </c>
      <c r="H885" s="63">
        <f>IF(OR(A885="",F885=""),"",F885&amp;"|"&amp;A885)</f>
        <v/>
      </c>
      <c r="I885" s="63">
        <f>IF(AND(H885&lt;&gt;"",OR('Historia wózka'!$B$4="",F885='Historia wózka'!$B$4),A885&gt;='Historia wózka'!$B$5,A885&lt;='Historia wózka'!$B$6),A885+0.7+(5000-ROW())/10000000,0)</f>
        <v/>
      </c>
      <c r="J885" s="63">
        <f>Ustawienia!$B$10&amp;""</f>
        <v/>
      </c>
      <c r="K885" s="63">
        <f>IF(H885="","",COUNTIFS('Zgłoszenia'!$B$5:$B$504,F885,'Zgłoszenia'!$D$5:$D$504,"&gt;="&amp;A885,'Zgłoszenia'!$D$5:$D$504,"&lt;="&amp;(A885+1)))</f>
        <v/>
      </c>
      <c r="L885" s="63">
        <f>IF(OR(H885="",K885=0),"—",IF(ISNUMBER(MATCH(H885,'Zgłoszenia'!$S$5:$S$504,0)),RIGHT("0"&amp;DAY(A885),2)&amp;"."&amp;RIGHT("0"&amp;MONTH(A885),2)&amp;"."&amp;YEAR(A885)&amp;": "&amp;INDEX('Zgłoszenia'!$H$5:$H$504,MATCH(H885,'Zgłoszenia'!$S$5:$S$504,0)),RIGHT("0"&amp;DAY((A885+1)),2)&amp;"."&amp;RIGHT("0"&amp;MONTH((A885+1)),2)&amp;"."&amp;YEAR((A885+1))&amp;": "&amp;INDEX('Zgłoszenia'!$H$5:$H$504,MATCH(F885&amp;"|"&amp;(A885+1),'Zgłoszenia'!$S$5:$S$504,0)))&amp;IF(K885&gt;1," (+"&amp;(K885-1)&amp;")",""))</f>
        <v/>
      </c>
      <c r="M885" s="63" t="n">
        <v>11</v>
      </c>
      <c r="N885" s="2" t="n"/>
      <c r="O885" s="2" t="n"/>
    </row>
    <row r="886">
      <c r="A886" s="62">
        <f>IF('11'!$C$1="","",'11'!$C$1)</f>
        <v/>
      </c>
      <c r="B886" s="63">
        <f>Ustawienia!$A$10&amp;""</f>
        <v/>
      </c>
      <c r="C886" s="63">
        <f>Ustawienia!$A$17&amp;""</f>
        <v/>
      </c>
      <c r="D886" s="63" t="n">
        <v>3</v>
      </c>
      <c r="E886" s="63">
        <f>IF('11'!J29="","",TRIM('11'!J29&amp;""))</f>
        <v/>
      </c>
      <c r="F886" s="63">
        <f>IF('11'!K29="","",'11'!K29)</f>
        <v/>
      </c>
      <c r="G886" s="63">
        <f>'11'!L29&amp;""</f>
        <v/>
      </c>
      <c r="H886" s="63">
        <f>IF(OR(A886="",F886=""),"",F886&amp;"|"&amp;A886)</f>
        <v/>
      </c>
      <c r="I886" s="63">
        <f>IF(AND(H886&lt;&gt;"",OR('Historia wózka'!$B$4="",F886='Historia wózka'!$B$4),A886&gt;='Historia wózka'!$B$5,A886&lt;='Historia wózka'!$B$6),A886+0.7+(5000-ROW())/10000000,0)</f>
        <v/>
      </c>
      <c r="J886" s="63">
        <f>Ustawienia!$B$10&amp;""</f>
        <v/>
      </c>
      <c r="K886" s="63">
        <f>IF(H886="","",COUNTIFS('Zgłoszenia'!$B$5:$B$504,F886,'Zgłoszenia'!$D$5:$D$504,"&gt;="&amp;A886,'Zgłoszenia'!$D$5:$D$504,"&lt;="&amp;(A886+1)))</f>
        <v/>
      </c>
      <c r="L886" s="63">
        <f>IF(OR(H886="",K886=0),"—",IF(ISNUMBER(MATCH(H886,'Zgłoszenia'!$S$5:$S$504,0)),RIGHT("0"&amp;DAY(A886),2)&amp;"."&amp;RIGHT("0"&amp;MONTH(A886),2)&amp;"."&amp;YEAR(A886)&amp;": "&amp;INDEX('Zgłoszenia'!$H$5:$H$504,MATCH(H886,'Zgłoszenia'!$S$5:$S$504,0)),RIGHT("0"&amp;DAY((A886+1)),2)&amp;"."&amp;RIGHT("0"&amp;MONTH((A886+1)),2)&amp;"."&amp;YEAR((A886+1))&amp;": "&amp;INDEX('Zgłoszenia'!$H$5:$H$504,MATCH(F886&amp;"|"&amp;(A886+1),'Zgłoszenia'!$S$5:$S$504,0)))&amp;IF(K886&gt;1," (+"&amp;(K886-1)&amp;")",""))</f>
        <v/>
      </c>
      <c r="M886" s="63" t="n">
        <v>11</v>
      </c>
      <c r="N886" s="2" t="n"/>
      <c r="O886" s="2" t="n"/>
    </row>
    <row r="887">
      <c r="A887" s="62">
        <f>IF('11'!$C$1="","",'11'!$C$1)</f>
        <v/>
      </c>
      <c r="B887" s="63">
        <f>Ustawienia!$A$10&amp;""</f>
        <v/>
      </c>
      <c r="C887" s="63">
        <f>Ustawienia!$A$17&amp;""</f>
        <v/>
      </c>
      <c r="D887" s="63" t="n">
        <v>4</v>
      </c>
      <c r="E887" s="63">
        <f>IF('11'!J30="","",TRIM('11'!J30&amp;""))</f>
        <v/>
      </c>
      <c r="F887" s="63">
        <f>IF('11'!K30="","",'11'!K30)</f>
        <v/>
      </c>
      <c r="G887" s="63">
        <f>'11'!L30&amp;""</f>
        <v/>
      </c>
      <c r="H887" s="63">
        <f>IF(OR(A887="",F887=""),"",F887&amp;"|"&amp;A887)</f>
        <v/>
      </c>
      <c r="I887" s="63">
        <f>IF(AND(H887&lt;&gt;"",OR('Historia wózka'!$B$4="",F887='Historia wózka'!$B$4),A887&gt;='Historia wózka'!$B$5,A887&lt;='Historia wózka'!$B$6),A887+0.7+(5000-ROW())/10000000,0)</f>
        <v/>
      </c>
      <c r="J887" s="63">
        <f>Ustawienia!$B$10&amp;""</f>
        <v/>
      </c>
      <c r="K887" s="63">
        <f>IF(H887="","",COUNTIFS('Zgłoszenia'!$B$5:$B$504,F887,'Zgłoszenia'!$D$5:$D$504,"&gt;="&amp;A887,'Zgłoszenia'!$D$5:$D$504,"&lt;="&amp;(A887+1)))</f>
        <v/>
      </c>
      <c r="L887" s="63">
        <f>IF(OR(H887="",K887=0),"—",IF(ISNUMBER(MATCH(H887,'Zgłoszenia'!$S$5:$S$504,0)),RIGHT("0"&amp;DAY(A887),2)&amp;"."&amp;RIGHT("0"&amp;MONTH(A887),2)&amp;"."&amp;YEAR(A887)&amp;": "&amp;INDEX('Zgłoszenia'!$H$5:$H$504,MATCH(H887,'Zgłoszenia'!$S$5:$S$504,0)),RIGHT("0"&amp;DAY((A887+1)),2)&amp;"."&amp;RIGHT("0"&amp;MONTH((A887+1)),2)&amp;"."&amp;YEAR((A887+1))&amp;": "&amp;INDEX('Zgłoszenia'!$H$5:$H$504,MATCH(F887&amp;"|"&amp;(A887+1),'Zgłoszenia'!$S$5:$S$504,0)))&amp;IF(K887&gt;1," (+"&amp;(K887-1)&amp;")",""))</f>
        <v/>
      </c>
      <c r="M887" s="63" t="n">
        <v>11</v>
      </c>
      <c r="N887" s="2" t="n"/>
      <c r="O887" s="2" t="n"/>
    </row>
    <row r="888">
      <c r="A888" s="62">
        <f>IF('11'!$C$1="","",'11'!$C$1)</f>
        <v/>
      </c>
      <c r="B888" s="63">
        <f>Ustawienia!$A$10&amp;""</f>
        <v/>
      </c>
      <c r="C888" s="63">
        <f>Ustawienia!$A$18&amp;""</f>
        <v/>
      </c>
      <c r="D888" s="63" t="n">
        <v>1</v>
      </c>
      <c r="E888" s="63">
        <f>IF('11'!J32="","",TRIM('11'!J32&amp;""))</f>
        <v/>
      </c>
      <c r="F888" s="63">
        <f>IF('11'!K32="","",'11'!K32)</f>
        <v/>
      </c>
      <c r="G888" s="63">
        <f>'11'!L32&amp;""</f>
        <v/>
      </c>
      <c r="H888" s="63">
        <f>IF(OR(A888="",F888=""),"",F888&amp;"|"&amp;A888)</f>
        <v/>
      </c>
      <c r="I888" s="63">
        <f>IF(AND(H888&lt;&gt;"",OR('Historia wózka'!$B$4="",F888='Historia wózka'!$B$4),A888&gt;='Historia wózka'!$B$5,A888&lt;='Historia wózka'!$B$6),A888+0.7+(5000-ROW())/10000000,0)</f>
        <v/>
      </c>
      <c r="J888" s="63">
        <f>Ustawienia!$B$10&amp;""</f>
        <v/>
      </c>
      <c r="K888" s="63">
        <f>IF(H888="","",COUNTIFS('Zgłoszenia'!$B$5:$B$504,F888,'Zgłoszenia'!$D$5:$D$504,"&gt;="&amp;A888,'Zgłoszenia'!$D$5:$D$504,"&lt;="&amp;(A888+1)))</f>
        <v/>
      </c>
      <c r="L888" s="63">
        <f>IF(OR(H888="",K888=0),"—",IF(ISNUMBER(MATCH(H888,'Zgłoszenia'!$S$5:$S$504,0)),RIGHT("0"&amp;DAY(A888),2)&amp;"."&amp;RIGHT("0"&amp;MONTH(A888),2)&amp;"."&amp;YEAR(A888)&amp;": "&amp;INDEX('Zgłoszenia'!$H$5:$H$504,MATCH(H888,'Zgłoszenia'!$S$5:$S$504,0)),RIGHT("0"&amp;DAY((A888+1)),2)&amp;"."&amp;RIGHT("0"&amp;MONTH((A888+1)),2)&amp;"."&amp;YEAR((A888+1))&amp;": "&amp;INDEX('Zgłoszenia'!$H$5:$H$504,MATCH(F888&amp;"|"&amp;(A888+1),'Zgłoszenia'!$S$5:$S$504,0)))&amp;IF(K888&gt;1," (+"&amp;(K888-1)&amp;")",""))</f>
        <v/>
      </c>
      <c r="M888" s="63" t="n">
        <v>11</v>
      </c>
      <c r="N888" s="2" t="n"/>
      <c r="O888" s="2" t="n"/>
    </row>
    <row r="889">
      <c r="A889" s="62">
        <f>IF('11'!$C$1="","",'11'!$C$1)</f>
        <v/>
      </c>
      <c r="B889" s="63">
        <f>Ustawienia!$A$10&amp;""</f>
        <v/>
      </c>
      <c r="C889" s="63">
        <f>Ustawienia!$A$18&amp;""</f>
        <v/>
      </c>
      <c r="D889" s="63" t="n">
        <v>2</v>
      </c>
      <c r="E889" s="63">
        <f>IF('11'!J33="","",TRIM('11'!J33&amp;""))</f>
        <v/>
      </c>
      <c r="F889" s="63">
        <f>IF('11'!K33="","",'11'!K33)</f>
        <v/>
      </c>
      <c r="G889" s="63">
        <f>'11'!L33&amp;""</f>
        <v/>
      </c>
      <c r="H889" s="63">
        <f>IF(OR(A889="",F889=""),"",F889&amp;"|"&amp;A889)</f>
        <v/>
      </c>
      <c r="I889" s="63">
        <f>IF(AND(H889&lt;&gt;"",OR('Historia wózka'!$B$4="",F889='Historia wózka'!$B$4),A889&gt;='Historia wózka'!$B$5,A889&lt;='Historia wózka'!$B$6),A889+0.7+(5000-ROW())/10000000,0)</f>
        <v/>
      </c>
      <c r="J889" s="63">
        <f>Ustawienia!$B$10&amp;""</f>
        <v/>
      </c>
      <c r="K889" s="63">
        <f>IF(H889="","",COUNTIFS('Zgłoszenia'!$B$5:$B$504,F889,'Zgłoszenia'!$D$5:$D$504,"&gt;="&amp;A889,'Zgłoszenia'!$D$5:$D$504,"&lt;="&amp;(A889+1)))</f>
        <v/>
      </c>
      <c r="L889" s="63">
        <f>IF(OR(H889="",K889=0),"—",IF(ISNUMBER(MATCH(H889,'Zgłoszenia'!$S$5:$S$504,0)),RIGHT("0"&amp;DAY(A889),2)&amp;"."&amp;RIGHT("0"&amp;MONTH(A889),2)&amp;"."&amp;YEAR(A889)&amp;": "&amp;INDEX('Zgłoszenia'!$H$5:$H$504,MATCH(H889,'Zgłoszenia'!$S$5:$S$504,0)),RIGHT("0"&amp;DAY((A889+1)),2)&amp;"."&amp;RIGHT("0"&amp;MONTH((A889+1)),2)&amp;"."&amp;YEAR((A889+1))&amp;": "&amp;INDEX('Zgłoszenia'!$H$5:$H$504,MATCH(F889&amp;"|"&amp;(A889+1),'Zgłoszenia'!$S$5:$S$504,0)))&amp;IF(K889&gt;1," (+"&amp;(K889-1)&amp;")",""))</f>
        <v/>
      </c>
      <c r="M889" s="63" t="n">
        <v>11</v>
      </c>
      <c r="N889" s="2" t="n"/>
      <c r="O889" s="2" t="n"/>
    </row>
    <row r="890">
      <c r="A890" s="62">
        <f>IF('11'!$C$1="","",'11'!$C$1)</f>
        <v/>
      </c>
      <c r="B890" s="63">
        <f>Ustawienia!$A$10&amp;""</f>
        <v/>
      </c>
      <c r="C890" s="63">
        <f>Ustawienia!$A$18&amp;""</f>
        <v/>
      </c>
      <c r="D890" s="63" t="n">
        <v>3</v>
      </c>
      <c r="E890" s="63">
        <f>IF('11'!J34="","",TRIM('11'!J34&amp;""))</f>
        <v/>
      </c>
      <c r="F890" s="63">
        <f>IF('11'!K34="","",'11'!K34)</f>
        <v/>
      </c>
      <c r="G890" s="63">
        <f>'11'!L34&amp;""</f>
        <v/>
      </c>
      <c r="H890" s="63">
        <f>IF(OR(A890="",F890=""),"",F890&amp;"|"&amp;A890)</f>
        <v/>
      </c>
      <c r="I890" s="63">
        <f>IF(AND(H890&lt;&gt;"",OR('Historia wózka'!$B$4="",F890='Historia wózka'!$B$4),A890&gt;='Historia wózka'!$B$5,A890&lt;='Historia wózka'!$B$6),A890+0.7+(5000-ROW())/10000000,0)</f>
        <v/>
      </c>
      <c r="J890" s="63">
        <f>Ustawienia!$B$10&amp;""</f>
        <v/>
      </c>
      <c r="K890" s="63">
        <f>IF(H890="","",COUNTIFS('Zgłoszenia'!$B$5:$B$504,F890,'Zgłoszenia'!$D$5:$D$504,"&gt;="&amp;A890,'Zgłoszenia'!$D$5:$D$504,"&lt;="&amp;(A890+1)))</f>
        <v/>
      </c>
      <c r="L890" s="63">
        <f>IF(OR(H890="",K890=0),"—",IF(ISNUMBER(MATCH(H890,'Zgłoszenia'!$S$5:$S$504,0)),RIGHT("0"&amp;DAY(A890),2)&amp;"."&amp;RIGHT("0"&amp;MONTH(A890),2)&amp;"."&amp;YEAR(A890)&amp;": "&amp;INDEX('Zgłoszenia'!$H$5:$H$504,MATCH(H890,'Zgłoszenia'!$S$5:$S$504,0)),RIGHT("0"&amp;DAY((A890+1)),2)&amp;"."&amp;RIGHT("0"&amp;MONTH((A890+1)),2)&amp;"."&amp;YEAR((A890+1))&amp;": "&amp;INDEX('Zgłoszenia'!$H$5:$H$504,MATCH(F890&amp;"|"&amp;(A890+1),'Zgłoszenia'!$S$5:$S$504,0)))&amp;IF(K890&gt;1," (+"&amp;(K890-1)&amp;")",""))</f>
        <v/>
      </c>
      <c r="M890" s="63" t="n">
        <v>11</v>
      </c>
      <c r="N890" s="2" t="n"/>
      <c r="O890" s="2" t="n"/>
    </row>
    <row r="891">
      <c r="A891" s="62">
        <f>IF('11'!$C$1="","",'11'!$C$1)</f>
        <v/>
      </c>
      <c r="B891" s="63">
        <f>Ustawienia!$A$10&amp;""</f>
        <v/>
      </c>
      <c r="C891" s="63">
        <f>Ustawienia!$A$18&amp;""</f>
        <v/>
      </c>
      <c r="D891" s="63" t="n">
        <v>4</v>
      </c>
      <c r="E891" s="63">
        <f>IF('11'!J35="","",TRIM('11'!J35&amp;""))</f>
        <v/>
      </c>
      <c r="F891" s="63">
        <f>IF('11'!K35="","",'11'!K35)</f>
        <v/>
      </c>
      <c r="G891" s="63">
        <f>'11'!L35&amp;""</f>
        <v/>
      </c>
      <c r="H891" s="63">
        <f>IF(OR(A891="",F891=""),"",F891&amp;"|"&amp;A891)</f>
        <v/>
      </c>
      <c r="I891" s="63">
        <f>IF(AND(H891&lt;&gt;"",OR('Historia wózka'!$B$4="",F891='Historia wózka'!$B$4),A891&gt;='Historia wózka'!$B$5,A891&lt;='Historia wózka'!$B$6),A891+0.7+(5000-ROW())/10000000,0)</f>
        <v/>
      </c>
      <c r="J891" s="63">
        <f>Ustawienia!$B$10&amp;""</f>
        <v/>
      </c>
      <c r="K891" s="63">
        <f>IF(H891="","",COUNTIFS('Zgłoszenia'!$B$5:$B$504,F891,'Zgłoszenia'!$D$5:$D$504,"&gt;="&amp;A891,'Zgłoszenia'!$D$5:$D$504,"&lt;="&amp;(A891+1)))</f>
        <v/>
      </c>
      <c r="L891" s="63">
        <f>IF(OR(H891="",K891=0),"—",IF(ISNUMBER(MATCH(H891,'Zgłoszenia'!$S$5:$S$504,0)),RIGHT("0"&amp;DAY(A891),2)&amp;"."&amp;RIGHT("0"&amp;MONTH(A891),2)&amp;"."&amp;YEAR(A891)&amp;": "&amp;INDEX('Zgłoszenia'!$H$5:$H$504,MATCH(H891,'Zgłoszenia'!$S$5:$S$504,0)),RIGHT("0"&amp;DAY((A891+1)),2)&amp;"."&amp;RIGHT("0"&amp;MONTH((A891+1)),2)&amp;"."&amp;YEAR((A891+1))&amp;": "&amp;INDEX('Zgłoszenia'!$H$5:$H$504,MATCH(F891&amp;"|"&amp;(A891+1),'Zgłoszenia'!$S$5:$S$504,0)))&amp;IF(K891&gt;1," (+"&amp;(K891-1)&amp;")",""))</f>
        <v/>
      </c>
      <c r="M891" s="63" t="n">
        <v>11</v>
      </c>
      <c r="N891" s="2" t="n"/>
      <c r="O891" s="2" t="n"/>
    </row>
    <row r="892">
      <c r="A892" s="62">
        <f>IF('11'!$C$1="","",'11'!$C$1)</f>
        <v/>
      </c>
      <c r="B892" s="63">
        <f>Ustawienia!$A$10&amp;""</f>
        <v/>
      </c>
      <c r="C892" s="63">
        <f>Ustawienia!$A$18&amp;""</f>
        <v/>
      </c>
      <c r="D892" s="63" t="n">
        <v>5</v>
      </c>
      <c r="E892" s="63">
        <f>IF('11'!J36="","",TRIM('11'!J36&amp;""))</f>
        <v/>
      </c>
      <c r="F892" s="63">
        <f>IF('11'!K36="","",'11'!K36)</f>
        <v/>
      </c>
      <c r="G892" s="63">
        <f>'11'!L36&amp;""</f>
        <v/>
      </c>
      <c r="H892" s="63">
        <f>IF(OR(A892="",F892=""),"",F892&amp;"|"&amp;A892)</f>
        <v/>
      </c>
      <c r="I892" s="63">
        <f>IF(AND(H892&lt;&gt;"",OR('Historia wózka'!$B$4="",F892='Historia wózka'!$B$4),A892&gt;='Historia wózka'!$B$5,A892&lt;='Historia wózka'!$B$6),A892+0.7+(5000-ROW())/10000000,0)</f>
        <v/>
      </c>
      <c r="J892" s="63">
        <f>Ustawienia!$B$10&amp;""</f>
        <v/>
      </c>
      <c r="K892" s="63">
        <f>IF(H892="","",COUNTIFS('Zgłoszenia'!$B$5:$B$504,F892,'Zgłoszenia'!$D$5:$D$504,"&gt;="&amp;A892,'Zgłoszenia'!$D$5:$D$504,"&lt;="&amp;(A892+1)))</f>
        <v/>
      </c>
      <c r="L892" s="63">
        <f>IF(OR(H892="",K892=0),"—",IF(ISNUMBER(MATCH(H892,'Zgłoszenia'!$S$5:$S$504,0)),RIGHT("0"&amp;DAY(A892),2)&amp;"."&amp;RIGHT("0"&amp;MONTH(A892),2)&amp;"."&amp;YEAR(A892)&amp;": "&amp;INDEX('Zgłoszenia'!$H$5:$H$504,MATCH(H892,'Zgłoszenia'!$S$5:$S$504,0)),RIGHT("0"&amp;DAY((A892+1)),2)&amp;"."&amp;RIGHT("0"&amp;MONTH((A892+1)),2)&amp;"."&amp;YEAR((A892+1))&amp;": "&amp;INDEX('Zgłoszenia'!$H$5:$H$504,MATCH(F892&amp;"|"&amp;(A892+1),'Zgłoszenia'!$S$5:$S$504,0)))&amp;IF(K892&gt;1," (+"&amp;(K892-1)&amp;")",""))</f>
        <v/>
      </c>
      <c r="M892" s="63" t="n">
        <v>11</v>
      </c>
      <c r="N892" s="2" t="n"/>
      <c r="O892" s="2" t="n"/>
    </row>
    <row r="893">
      <c r="A893" s="62">
        <f>IF('12'!$C$1="","",'12'!$C$1)</f>
        <v/>
      </c>
      <c r="B893" s="63">
        <f>Ustawienia!$A$8&amp;""</f>
        <v/>
      </c>
      <c r="C893" s="63">
        <f>Ustawienia!$A$14&amp;""</f>
        <v/>
      </c>
      <c r="D893" s="63" t="n">
        <v>1</v>
      </c>
      <c r="E893" s="63">
        <f>IF('12'!B6="","",TRIM('12'!B6&amp;""))</f>
        <v/>
      </c>
      <c r="F893" s="63">
        <f>IF('12'!C6="","",'12'!C6)</f>
        <v/>
      </c>
      <c r="G893" s="63">
        <f>'12'!D6&amp;""</f>
        <v/>
      </c>
      <c r="H893" s="63">
        <f>IF(OR(A893="",F893=""),"",F893&amp;"|"&amp;A893)</f>
        <v/>
      </c>
      <c r="I893" s="63">
        <f>IF(AND(H893&lt;&gt;"",OR('Historia wózka'!$B$4="",F893='Historia wózka'!$B$4),A893&gt;='Historia wózka'!$B$5,A893&lt;='Historia wózka'!$B$6),A893+0.9+(5000-ROW())/10000000,0)</f>
        <v/>
      </c>
      <c r="J893" s="63">
        <f>Ustawienia!$B$8&amp;""</f>
        <v/>
      </c>
      <c r="K893" s="63">
        <f>IF(H893="","",COUNTIFS('Zgłoszenia'!$B$5:$B$504,F893,'Zgłoszenia'!$D$5:$D$504,"&gt;="&amp;A893,'Zgłoszenia'!$D$5:$D$504,"&lt;="&amp;(A893+1)))</f>
        <v/>
      </c>
      <c r="L893" s="63">
        <f>IF(OR(H893="",K893=0),"—",IF(ISNUMBER(MATCH(H893,'Zgłoszenia'!$S$5:$S$504,0)),RIGHT("0"&amp;DAY(A893),2)&amp;"."&amp;RIGHT("0"&amp;MONTH(A893),2)&amp;"."&amp;YEAR(A893)&amp;": "&amp;INDEX('Zgłoszenia'!$H$5:$H$504,MATCH(H893,'Zgłoszenia'!$S$5:$S$504,0)),RIGHT("0"&amp;DAY((A893+1)),2)&amp;"."&amp;RIGHT("0"&amp;MONTH((A893+1)),2)&amp;"."&amp;YEAR((A893+1))&amp;": "&amp;INDEX('Zgłoszenia'!$H$5:$H$504,MATCH(F893&amp;"|"&amp;(A893+1),'Zgłoszenia'!$S$5:$S$504,0)))&amp;IF(K893&gt;1," (+"&amp;(K893-1)&amp;")",""))</f>
        <v/>
      </c>
      <c r="M893" s="63" t="n">
        <v>12</v>
      </c>
      <c r="N893" s="2" t="n"/>
      <c r="O893" s="2" t="n"/>
    </row>
    <row r="894">
      <c r="A894" s="62">
        <f>IF('12'!$C$1="","",'12'!$C$1)</f>
        <v/>
      </c>
      <c r="B894" s="63">
        <f>Ustawienia!$A$8&amp;""</f>
        <v/>
      </c>
      <c r="C894" s="63">
        <f>Ustawienia!$A$14&amp;""</f>
        <v/>
      </c>
      <c r="D894" s="63" t="n">
        <v>2</v>
      </c>
      <c r="E894" s="63">
        <f>IF('12'!B7="","",TRIM('12'!B7&amp;""))</f>
        <v/>
      </c>
      <c r="F894" s="63">
        <f>IF('12'!C7="","",'12'!C7)</f>
        <v/>
      </c>
      <c r="G894" s="63">
        <f>'12'!D7&amp;""</f>
        <v/>
      </c>
      <c r="H894" s="63">
        <f>IF(OR(A894="",F894=""),"",F894&amp;"|"&amp;A894)</f>
        <v/>
      </c>
      <c r="I894" s="63">
        <f>IF(AND(H894&lt;&gt;"",OR('Historia wózka'!$B$4="",F894='Historia wózka'!$B$4),A894&gt;='Historia wózka'!$B$5,A894&lt;='Historia wózka'!$B$6),A894+0.9+(5000-ROW())/10000000,0)</f>
        <v/>
      </c>
      <c r="J894" s="63">
        <f>Ustawienia!$B$8&amp;""</f>
        <v/>
      </c>
      <c r="K894" s="63">
        <f>IF(H894="","",COUNTIFS('Zgłoszenia'!$B$5:$B$504,F894,'Zgłoszenia'!$D$5:$D$504,"&gt;="&amp;A894,'Zgłoszenia'!$D$5:$D$504,"&lt;="&amp;(A894+1)))</f>
        <v/>
      </c>
      <c r="L894" s="63">
        <f>IF(OR(H894="",K894=0),"—",IF(ISNUMBER(MATCH(H894,'Zgłoszenia'!$S$5:$S$504,0)),RIGHT("0"&amp;DAY(A894),2)&amp;"."&amp;RIGHT("0"&amp;MONTH(A894),2)&amp;"."&amp;YEAR(A894)&amp;": "&amp;INDEX('Zgłoszenia'!$H$5:$H$504,MATCH(H894,'Zgłoszenia'!$S$5:$S$504,0)),RIGHT("0"&amp;DAY((A894+1)),2)&amp;"."&amp;RIGHT("0"&amp;MONTH((A894+1)),2)&amp;"."&amp;YEAR((A894+1))&amp;": "&amp;INDEX('Zgłoszenia'!$H$5:$H$504,MATCH(F894&amp;"|"&amp;(A894+1),'Zgłoszenia'!$S$5:$S$504,0)))&amp;IF(K894&gt;1," (+"&amp;(K894-1)&amp;")",""))</f>
        <v/>
      </c>
      <c r="M894" s="63" t="n">
        <v>12</v>
      </c>
      <c r="N894" s="2" t="n"/>
      <c r="O894" s="2" t="n"/>
    </row>
    <row r="895">
      <c r="A895" s="62">
        <f>IF('12'!$C$1="","",'12'!$C$1)</f>
        <v/>
      </c>
      <c r="B895" s="63">
        <f>Ustawienia!$A$8&amp;""</f>
        <v/>
      </c>
      <c r="C895" s="63">
        <f>Ustawienia!$A$14&amp;""</f>
        <v/>
      </c>
      <c r="D895" s="63" t="n">
        <v>3</v>
      </c>
      <c r="E895" s="63">
        <f>IF('12'!B8="","",TRIM('12'!B8&amp;""))</f>
        <v/>
      </c>
      <c r="F895" s="63">
        <f>IF('12'!C8="","",'12'!C8)</f>
        <v/>
      </c>
      <c r="G895" s="63">
        <f>'12'!D8&amp;""</f>
        <v/>
      </c>
      <c r="H895" s="63">
        <f>IF(OR(A895="",F895=""),"",F895&amp;"|"&amp;A895)</f>
        <v/>
      </c>
      <c r="I895" s="63">
        <f>IF(AND(H895&lt;&gt;"",OR('Historia wózka'!$B$4="",F895='Historia wózka'!$B$4),A895&gt;='Historia wózka'!$B$5,A895&lt;='Historia wózka'!$B$6),A895+0.9+(5000-ROW())/10000000,0)</f>
        <v/>
      </c>
      <c r="J895" s="63">
        <f>Ustawienia!$B$8&amp;""</f>
        <v/>
      </c>
      <c r="K895" s="63">
        <f>IF(H895="","",COUNTIFS('Zgłoszenia'!$B$5:$B$504,F895,'Zgłoszenia'!$D$5:$D$504,"&gt;="&amp;A895,'Zgłoszenia'!$D$5:$D$504,"&lt;="&amp;(A895+1)))</f>
        <v/>
      </c>
      <c r="L895" s="63">
        <f>IF(OR(H895="",K895=0),"—",IF(ISNUMBER(MATCH(H895,'Zgłoszenia'!$S$5:$S$504,0)),RIGHT("0"&amp;DAY(A895),2)&amp;"."&amp;RIGHT("0"&amp;MONTH(A895),2)&amp;"."&amp;YEAR(A895)&amp;": "&amp;INDEX('Zgłoszenia'!$H$5:$H$504,MATCH(H895,'Zgłoszenia'!$S$5:$S$504,0)),RIGHT("0"&amp;DAY((A895+1)),2)&amp;"."&amp;RIGHT("0"&amp;MONTH((A895+1)),2)&amp;"."&amp;YEAR((A895+1))&amp;": "&amp;INDEX('Zgłoszenia'!$H$5:$H$504,MATCH(F895&amp;"|"&amp;(A895+1),'Zgłoszenia'!$S$5:$S$504,0)))&amp;IF(K895&gt;1," (+"&amp;(K895-1)&amp;")",""))</f>
        <v/>
      </c>
      <c r="M895" s="63" t="n">
        <v>12</v>
      </c>
      <c r="N895" s="2" t="n"/>
      <c r="O895" s="2" t="n"/>
    </row>
    <row r="896">
      <c r="A896" s="62">
        <f>IF('12'!$C$1="","",'12'!$C$1)</f>
        <v/>
      </c>
      <c r="B896" s="63">
        <f>Ustawienia!$A$8&amp;""</f>
        <v/>
      </c>
      <c r="C896" s="63">
        <f>Ustawienia!$A$14&amp;""</f>
        <v/>
      </c>
      <c r="D896" s="63" t="n">
        <v>4</v>
      </c>
      <c r="E896" s="63">
        <f>IF('12'!B9="","",TRIM('12'!B9&amp;""))</f>
        <v/>
      </c>
      <c r="F896" s="63">
        <f>IF('12'!C9="","",'12'!C9)</f>
        <v/>
      </c>
      <c r="G896" s="63">
        <f>'12'!D9&amp;""</f>
        <v/>
      </c>
      <c r="H896" s="63">
        <f>IF(OR(A896="",F896=""),"",F896&amp;"|"&amp;A896)</f>
        <v/>
      </c>
      <c r="I896" s="63">
        <f>IF(AND(H896&lt;&gt;"",OR('Historia wózka'!$B$4="",F896='Historia wózka'!$B$4),A896&gt;='Historia wózka'!$B$5,A896&lt;='Historia wózka'!$B$6),A896+0.9+(5000-ROW())/10000000,0)</f>
        <v/>
      </c>
      <c r="J896" s="63">
        <f>Ustawienia!$B$8&amp;""</f>
        <v/>
      </c>
      <c r="K896" s="63">
        <f>IF(H896="","",COUNTIFS('Zgłoszenia'!$B$5:$B$504,F896,'Zgłoszenia'!$D$5:$D$504,"&gt;="&amp;A896,'Zgłoszenia'!$D$5:$D$504,"&lt;="&amp;(A896+1)))</f>
        <v/>
      </c>
      <c r="L896" s="63">
        <f>IF(OR(H896="",K896=0),"—",IF(ISNUMBER(MATCH(H896,'Zgłoszenia'!$S$5:$S$504,0)),RIGHT("0"&amp;DAY(A896),2)&amp;"."&amp;RIGHT("0"&amp;MONTH(A896),2)&amp;"."&amp;YEAR(A896)&amp;": "&amp;INDEX('Zgłoszenia'!$H$5:$H$504,MATCH(H896,'Zgłoszenia'!$S$5:$S$504,0)),RIGHT("0"&amp;DAY((A896+1)),2)&amp;"."&amp;RIGHT("0"&amp;MONTH((A896+1)),2)&amp;"."&amp;YEAR((A896+1))&amp;": "&amp;INDEX('Zgłoszenia'!$H$5:$H$504,MATCH(F896&amp;"|"&amp;(A896+1),'Zgłoszenia'!$S$5:$S$504,0)))&amp;IF(K896&gt;1," (+"&amp;(K896-1)&amp;")",""))</f>
        <v/>
      </c>
      <c r="M896" s="63" t="n">
        <v>12</v>
      </c>
      <c r="N896" s="2" t="n"/>
      <c r="O896" s="2" t="n"/>
    </row>
    <row r="897">
      <c r="A897" s="62">
        <f>IF('12'!$C$1="","",'12'!$C$1)</f>
        <v/>
      </c>
      <c r="B897" s="63">
        <f>Ustawienia!$A$8&amp;""</f>
        <v/>
      </c>
      <c r="C897" s="63">
        <f>Ustawienia!$A$14&amp;""</f>
        <v/>
      </c>
      <c r="D897" s="63" t="n">
        <v>5</v>
      </c>
      <c r="E897" s="63">
        <f>IF('12'!B10="","",TRIM('12'!B10&amp;""))</f>
        <v/>
      </c>
      <c r="F897" s="63">
        <f>IF('12'!C10="","",'12'!C10)</f>
        <v/>
      </c>
      <c r="G897" s="63">
        <f>'12'!D10&amp;""</f>
        <v/>
      </c>
      <c r="H897" s="63">
        <f>IF(OR(A897="",F897=""),"",F897&amp;"|"&amp;A897)</f>
        <v/>
      </c>
      <c r="I897" s="63">
        <f>IF(AND(H897&lt;&gt;"",OR('Historia wózka'!$B$4="",F897='Historia wózka'!$B$4),A897&gt;='Historia wózka'!$B$5,A897&lt;='Historia wózka'!$B$6),A897+0.9+(5000-ROW())/10000000,0)</f>
        <v/>
      </c>
      <c r="J897" s="63">
        <f>Ustawienia!$B$8&amp;""</f>
        <v/>
      </c>
      <c r="K897" s="63">
        <f>IF(H897="","",COUNTIFS('Zgłoszenia'!$B$5:$B$504,F897,'Zgłoszenia'!$D$5:$D$504,"&gt;="&amp;A897,'Zgłoszenia'!$D$5:$D$504,"&lt;="&amp;(A897+1)))</f>
        <v/>
      </c>
      <c r="L897" s="63">
        <f>IF(OR(H897="",K897=0),"—",IF(ISNUMBER(MATCH(H897,'Zgłoszenia'!$S$5:$S$504,0)),RIGHT("0"&amp;DAY(A897),2)&amp;"."&amp;RIGHT("0"&amp;MONTH(A897),2)&amp;"."&amp;YEAR(A897)&amp;": "&amp;INDEX('Zgłoszenia'!$H$5:$H$504,MATCH(H897,'Zgłoszenia'!$S$5:$S$504,0)),RIGHT("0"&amp;DAY((A897+1)),2)&amp;"."&amp;RIGHT("0"&amp;MONTH((A897+1)),2)&amp;"."&amp;YEAR((A897+1))&amp;": "&amp;INDEX('Zgłoszenia'!$H$5:$H$504,MATCH(F897&amp;"|"&amp;(A897+1),'Zgłoszenia'!$S$5:$S$504,0)))&amp;IF(K897&gt;1," (+"&amp;(K897-1)&amp;")",""))</f>
        <v/>
      </c>
      <c r="M897" s="63" t="n">
        <v>12</v>
      </c>
      <c r="N897" s="2" t="n"/>
      <c r="O897" s="2" t="n"/>
    </row>
    <row r="898">
      <c r="A898" s="62">
        <f>IF('12'!$C$1="","",'12'!$C$1)</f>
        <v/>
      </c>
      <c r="B898" s="63">
        <f>Ustawienia!$A$8&amp;""</f>
        <v/>
      </c>
      <c r="C898" s="63">
        <f>Ustawienia!$A$14&amp;""</f>
        <v/>
      </c>
      <c r="D898" s="63" t="n">
        <v>6</v>
      </c>
      <c r="E898" s="63">
        <f>IF('12'!B11="","",TRIM('12'!B11&amp;""))</f>
        <v/>
      </c>
      <c r="F898" s="63">
        <f>IF('12'!C11="","",'12'!C11)</f>
        <v/>
      </c>
      <c r="G898" s="63">
        <f>'12'!D11&amp;""</f>
        <v/>
      </c>
      <c r="H898" s="63">
        <f>IF(OR(A898="",F898=""),"",F898&amp;"|"&amp;A898)</f>
        <v/>
      </c>
      <c r="I898" s="63">
        <f>IF(AND(H898&lt;&gt;"",OR('Historia wózka'!$B$4="",F898='Historia wózka'!$B$4),A898&gt;='Historia wózka'!$B$5,A898&lt;='Historia wózka'!$B$6),A898+0.9+(5000-ROW())/10000000,0)</f>
        <v/>
      </c>
      <c r="J898" s="63">
        <f>Ustawienia!$B$8&amp;""</f>
        <v/>
      </c>
      <c r="K898" s="63">
        <f>IF(H898="","",COUNTIFS('Zgłoszenia'!$B$5:$B$504,F898,'Zgłoszenia'!$D$5:$D$504,"&gt;="&amp;A898,'Zgłoszenia'!$D$5:$D$504,"&lt;="&amp;(A898+1)))</f>
        <v/>
      </c>
      <c r="L898" s="63">
        <f>IF(OR(H898="",K898=0),"—",IF(ISNUMBER(MATCH(H898,'Zgłoszenia'!$S$5:$S$504,0)),RIGHT("0"&amp;DAY(A898),2)&amp;"."&amp;RIGHT("0"&amp;MONTH(A898),2)&amp;"."&amp;YEAR(A898)&amp;": "&amp;INDEX('Zgłoszenia'!$H$5:$H$504,MATCH(H898,'Zgłoszenia'!$S$5:$S$504,0)),RIGHT("0"&amp;DAY((A898+1)),2)&amp;"."&amp;RIGHT("0"&amp;MONTH((A898+1)),2)&amp;"."&amp;YEAR((A898+1))&amp;": "&amp;INDEX('Zgłoszenia'!$H$5:$H$504,MATCH(F898&amp;"|"&amp;(A898+1),'Zgłoszenia'!$S$5:$S$504,0)))&amp;IF(K898&gt;1," (+"&amp;(K898-1)&amp;")",""))</f>
        <v/>
      </c>
      <c r="M898" s="63" t="n">
        <v>12</v>
      </c>
      <c r="N898" s="2" t="n"/>
      <c r="O898" s="2" t="n"/>
    </row>
    <row r="899">
      <c r="A899" s="62">
        <f>IF('12'!$C$1="","",'12'!$C$1)</f>
        <v/>
      </c>
      <c r="B899" s="63">
        <f>Ustawienia!$A$8&amp;""</f>
        <v/>
      </c>
      <c r="C899" s="63">
        <f>Ustawienia!$A$15&amp;""</f>
        <v/>
      </c>
      <c r="D899" s="63" t="n">
        <v>1</v>
      </c>
      <c r="E899" s="63">
        <f>IF('12'!B13="","",TRIM('12'!B13&amp;""))</f>
        <v/>
      </c>
      <c r="F899" s="63">
        <f>IF('12'!C13="","",'12'!C13)</f>
        <v/>
      </c>
      <c r="G899" s="63">
        <f>'12'!D13&amp;""</f>
        <v/>
      </c>
      <c r="H899" s="63">
        <f>IF(OR(A899="",F899=""),"",F899&amp;"|"&amp;A899)</f>
        <v/>
      </c>
      <c r="I899" s="63">
        <f>IF(AND(H899&lt;&gt;"",OR('Historia wózka'!$B$4="",F899='Historia wózka'!$B$4),A899&gt;='Historia wózka'!$B$5,A899&lt;='Historia wózka'!$B$6),A899+0.9+(5000-ROW())/10000000,0)</f>
        <v/>
      </c>
      <c r="J899" s="63">
        <f>Ustawienia!$B$8&amp;""</f>
        <v/>
      </c>
      <c r="K899" s="63">
        <f>IF(H899="","",COUNTIFS('Zgłoszenia'!$B$5:$B$504,F899,'Zgłoszenia'!$D$5:$D$504,"&gt;="&amp;A899,'Zgłoszenia'!$D$5:$D$504,"&lt;="&amp;(A899+1)))</f>
        <v/>
      </c>
      <c r="L899" s="63">
        <f>IF(OR(H899="",K899=0),"—",IF(ISNUMBER(MATCH(H899,'Zgłoszenia'!$S$5:$S$504,0)),RIGHT("0"&amp;DAY(A899),2)&amp;"."&amp;RIGHT("0"&amp;MONTH(A899),2)&amp;"."&amp;YEAR(A899)&amp;": "&amp;INDEX('Zgłoszenia'!$H$5:$H$504,MATCH(H899,'Zgłoszenia'!$S$5:$S$504,0)),RIGHT("0"&amp;DAY((A899+1)),2)&amp;"."&amp;RIGHT("0"&amp;MONTH((A899+1)),2)&amp;"."&amp;YEAR((A899+1))&amp;": "&amp;INDEX('Zgłoszenia'!$H$5:$H$504,MATCH(F899&amp;"|"&amp;(A899+1),'Zgłoszenia'!$S$5:$S$504,0)))&amp;IF(K899&gt;1," (+"&amp;(K899-1)&amp;")",""))</f>
        <v/>
      </c>
      <c r="M899" s="63" t="n">
        <v>12</v>
      </c>
      <c r="N899" s="2" t="n"/>
      <c r="O899" s="2" t="n"/>
    </row>
    <row r="900">
      <c r="A900" s="62">
        <f>IF('12'!$C$1="","",'12'!$C$1)</f>
        <v/>
      </c>
      <c r="B900" s="63">
        <f>Ustawienia!$A$8&amp;""</f>
        <v/>
      </c>
      <c r="C900" s="63">
        <f>Ustawienia!$A$15&amp;""</f>
        <v/>
      </c>
      <c r="D900" s="63" t="n">
        <v>2</v>
      </c>
      <c r="E900" s="63">
        <f>IF('12'!B14="","",TRIM('12'!B14&amp;""))</f>
        <v/>
      </c>
      <c r="F900" s="63">
        <f>IF('12'!C14="","",'12'!C14)</f>
        <v/>
      </c>
      <c r="G900" s="63">
        <f>'12'!D14&amp;""</f>
        <v/>
      </c>
      <c r="H900" s="63">
        <f>IF(OR(A900="",F900=""),"",F900&amp;"|"&amp;A900)</f>
        <v/>
      </c>
      <c r="I900" s="63">
        <f>IF(AND(H900&lt;&gt;"",OR('Historia wózka'!$B$4="",F900='Historia wózka'!$B$4),A900&gt;='Historia wózka'!$B$5,A900&lt;='Historia wózka'!$B$6),A900+0.9+(5000-ROW())/10000000,0)</f>
        <v/>
      </c>
      <c r="J900" s="63">
        <f>Ustawienia!$B$8&amp;""</f>
        <v/>
      </c>
      <c r="K900" s="63">
        <f>IF(H900="","",COUNTIFS('Zgłoszenia'!$B$5:$B$504,F900,'Zgłoszenia'!$D$5:$D$504,"&gt;="&amp;A900,'Zgłoszenia'!$D$5:$D$504,"&lt;="&amp;(A900+1)))</f>
        <v/>
      </c>
      <c r="L900" s="63">
        <f>IF(OR(H900="",K900=0),"—",IF(ISNUMBER(MATCH(H900,'Zgłoszenia'!$S$5:$S$504,0)),RIGHT("0"&amp;DAY(A900),2)&amp;"."&amp;RIGHT("0"&amp;MONTH(A900),2)&amp;"."&amp;YEAR(A900)&amp;": "&amp;INDEX('Zgłoszenia'!$H$5:$H$504,MATCH(H900,'Zgłoszenia'!$S$5:$S$504,0)),RIGHT("0"&amp;DAY((A900+1)),2)&amp;"."&amp;RIGHT("0"&amp;MONTH((A900+1)),2)&amp;"."&amp;YEAR((A900+1))&amp;": "&amp;INDEX('Zgłoszenia'!$H$5:$H$504,MATCH(F900&amp;"|"&amp;(A900+1),'Zgłoszenia'!$S$5:$S$504,0)))&amp;IF(K900&gt;1," (+"&amp;(K900-1)&amp;")",""))</f>
        <v/>
      </c>
      <c r="M900" s="63" t="n">
        <v>12</v>
      </c>
      <c r="N900" s="2" t="n"/>
      <c r="O900" s="2" t="n"/>
    </row>
    <row r="901">
      <c r="A901" s="62">
        <f>IF('12'!$C$1="","",'12'!$C$1)</f>
        <v/>
      </c>
      <c r="B901" s="63">
        <f>Ustawienia!$A$8&amp;""</f>
        <v/>
      </c>
      <c r="C901" s="63">
        <f>Ustawienia!$A$15&amp;""</f>
        <v/>
      </c>
      <c r="D901" s="63" t="n">
        <v>3</v>
      </c>
      <c r="E901" s="63">
        <f>IF('12'!B15="","",TRIM('12'!B15&amp;""))</f>
        <v/>
      </c>
      <c r="F901" s="63">
        <f>IF('12'!C15="","",'12'!C15)</f>
        <v/>
      </c>
      <c r="G901" s="63">
        <f>'12'!D15&amp;""</f>
        <v/>
      </c>
      <c r="H901" s="63">
        <f>IF(OR(A901="",F901=""),"",F901&amp;"|"&amp;A901)</f>
        <v/>
      </c>
      <c r="I901" s="63">
        <f>IF(AND(H901&lt;&gt;"",OR('Historia wózka'!$B$4="",F901='Historia wózka'!$B$4),A901&gt;='Historia wózka'!$B$5,A901&lt;='Historia wózka'!$B$6),A901+0.9+(5000-ROW())/10000000,0)</f>
        <v/>
      </c>
      <c r="J901" s="63">
        <f>Ustawienia!$B$8&amp;""</f>
        <v/>
      </c>
      <c r="K901" s="63">
        <f>IF(H901="","",COUNTIFS('Zgłoszenia'!$B$5:$B$504,F901,'Zgłoszenia'!$D$5:$D$504,"&gt;="&amp;A901,'Zgłoszenia'!$D$5:$D$504,"&lt;="&amp;(A901+1)))</f>
        <v/>
      </c>
      <c r="L901" s="63">
        <f>IF(OR(H901="",K901=0),"—",IF(ISNUMBER(MATCH(H901,'Zgłoszenia'!$S$5:$S$504,0)),RIGHT("0"&amp;DAY(A901),2)&amp;"."&amp;RIGHT("0"&amp;MONTH(A901),2)&amp;"."&amp;YEAR(A901)&amp;": "&amp;INDEX('Zgłoszenia'!$H$5:$H$504,MATCH(H901,'Zgłoszenia'!$S$5:$S$504,0)),RIGHT("0"&amp;DAY((A901+1)),2)&amp;"."&amp;RIGHT("0"&amp;MONTH((A901+1)),2)&amp;"."&amp;YEAR((A901+1))&amp;": "&amp;INDEX('Zgłoszenia'!$H$5:$H$504,MATCH(F901&amp;"|"&amp;(A901+1),'Zgłoszenia'!$S$5:$S$504,0)))&amp;IF(K901&gt;1," (+"&amp;(K901-1)&amp;")",""))</f>
        <v/>
      </c>
      <c r="M901" s="63" t="n">
        <v>12</v>
      </c>
      <c r="N901" s="2" t="n"/>
      <c r="O901" s="2" t="n"/>
    </row>
    <row r="902">
      <c r="A902" s="62">
        <f>IF('12'!$C$1="","",'12'!$C$1)</f>
        <v/>
      </c>
      <c r="B902" s="63">
        <f>Ustawienia!$A$8&amp;""</f>
        <v/>
      </c>
      <c r="C902" s="63">
        <f>Ustawienia!$A$15&amp;""</f>
        <v/>
      </c>
      <c r="D902" s="63" t="n">
        <v>4</v>
      </c>
      <c r="E902" s="63">
        <f>IF('12'!B16="","",TRIM('12'!B16&amp;""))</f>
        <v/>
      </c>
      <c r="F902" s="63">
        <f>IF('12'!C16="","",'12'!C16)</f>
        <v/>
      </c>
      <c r="G902" s="63">
        <f>'12'!D16&amp;""</f>
        <v/>
      </c>
      <c r="H902" s="63">
        <f>IF(OR(A902="",F902=""),"",F902&amp;"|"&amp;A902)</f>
        <v/>
      </c>
      <c r="I902" s="63">
        <f>IF(AND(H902&lt;&gt;"",OR('Historia wózka'!$B$4="",F902='Historia wózka'!$B$4),A902&gt;='Historia wózka'!$B$5,A902&lt;='Historia wózka'!$B$6),A902+0.9+(5000-ROW())/10000000,0)</f>
        <v/>
      </c>
      <c r="J902" s="63">
        <f>Ustawienia!$B$8&amp;""</f>
        <v/>
      </c>
      <c r="K902" s="63">
        <f>IF(H902="","",COUNTIFS('Zgłoszenia'!$B$5:$B$504,F902,'Zgłoszenia'!$D$5:$D$504,"&gt;="&amp;A902,'Zgłoszenia'!$D$5:$D$504,"&lt;="&amp;(A902+1)))</f>
        <v/>
      </c>
      <c r="L902" s="63">
        <f>IF(OR(H902="",K902=0),"—",IF(ISNUMBER(MATCH(H902,'Zgłoszenia'!$S$5:$S$504,0)),RIGHT("0"&amp;DAY(A902),2)&amp;"."&amp;RIGHT("0"&amp;MONTH(A902),2)&amp;"."&amp;YEAR(A902)&amp;": "&amp;INDEX('Zgłoszenia'!$H$5:$H$504,MATCH(H902,'Zgłoszenia'!$S$5:$S$504,0)),RIGHT("0"&amp;DAY((A902+1)),2)&amp;"."&amp;RIGHT("0"&amp;MONTH((A902+1)),2)&amp;"."&amp;YEAR((A902+1))&amp;": "&amp;INDEX('Zgłoszenia'!$H$5:$H$504,MATCH(F902&amp;"|"&amp;(A902+1),'Zgłoszenia'!$S$5:$S$504,0)))&amp;IF(K902&gt;1," (+"&amp;(K902-1)&amp;")",""))</f>
        <v/>
      </c>
      <c r="M902" s="63" t="n">
        <v>12</v>
      </c>
      <c r="N902" s="2" t="n"/>
      <c r="O902" s="2" t="n"/>
    </row>
    <row r="903">
      <c r="A903" s="62">
        <f>IF('12'!$C$1="","",'12'!$C$1)</f>
        <v/>
      </c>
      <c r="B903" s="63">
        <f>Ustawienia!$A$8&amp;""</f>
        <v/>
      </c>
      <c r="C903" s="63">
        <f>Ustawienia!$A$15&amp;""</f>
        <v/>
      </c>
      <c r="D903" s="63" t="n">
        <v>5</v>
      </c>
      <c r="E903" s="63">
        <f>IF('12'!B17="","",TRIM('12'!B17&amp;""))</f>
        <v/>
      </c>
      <c r="F903" s="63">
        <f>IF('12'!C17="","",'12'!C17)</f>
        <v/>
      </c>
      <c r="G903" s="63">
        <f>'12'!D17&amp;""</f>
        <v/>
      </c>
      <c r="H903" s="63">
        <f>IF(OR(A903="",F903=""),"",F903&amp;"|"&amp;A903)</f>
        <v/>
      </c>
      <c r="I903" s="63">
        <f>IF(AND(H903&lt;&gt;"",OR('Historia wózka'!$B$4="",F903='Historia wózka'!$B$4),A903&gt;='Historia wózka'!$B$5,A903&lt;='Historia wózka'!$B$6),A903+0.9+(5000-ROW())/10000000,0)</f>
        <v/>
      </c>
      <c r="J903" s="63">
        <f>Ustawienia!$B$8&amp;""</f>
        <v/>
      </c>
      <c r="K903" s="63">
        <f>IF(H903="","",COUNTIFS('Zgłoszenia'!$B$5:$B$504,F903,'Zgłoszenia'!$D$5:$D$504,"&gt;="&amp;A903,'Zgłoszenia'!$D$5:$D$504,"&lt;="&amp;(A903+1)))</f>
        <v/>
      </c>
      <c r="L903" s="63">
        <f>IF(OR(H903="",K903=0),"—",IF(ISNUMBER(MATCH(H903,'Zgłoszenia'!$S$5:$S$504,0)),RIGHT("0"&amp;DAY(A903),2)&amp;"."&amp;RIGHT("0"&amp;MONTH(A903),2)&amp;"."&amp;YEAR(A903)&amp;": "&amp;INDEX('Zgłoszenia'!$H$5:$H$504,MATCH(H903,'Zgłoszenia'!$S$5:$S$504,0)),RIGHT("0"&amp;DAY((A903+1)),2)&amp;"."&amp;RIGHT("0"&amp;MONTH((A903+1)),2)&amp;"."&amp;YEAR((A903+1))&amp;": "&amp;INDEX('Zgłoszenia'!$H$5:$H$504,MATCH(F903&amp;"|"&amp;(A903+1),'Zgłoszenia'!$S$5:$S$504,0)))&amp;IF(K903&gt;1," (+"&amp;(K903-1)&amp;")",""))</f>
        <v/>
      </c>
      <c r="M903" s="63" t="n">
        <v>12</v>
      </c>
      <c r="N903" s="2" t="n"/>
      <c r="O903" s="2" t="n"/>
    </row>
    <row r="904">
      <c r="A904" s="62">
        <f>IF('12'!$C$1="","",'12'!$C$1)</f>
        <v/>
      </c>
      <c r="B904" s="63">
        <f>Ustawienia!$A$8&amp;""</f>
        <v/>
      </c>
      <c r="C904" s="63">
        <f>Ustawienia!$A$15&amp;""</f>
        <v/>
      </c>
      <c r="D904" s="63" t="n">
        <v>6</v>
      </c>
      <c r="E904" s="63">
        <f>IF('12'!B18="","",TRIM('12'!B18&amp;""))</f>
        <v/>
      </c>
      <c r="F904" s="63">
        <f>IF('12'!C18="","",'12'!C18)</f>
        <v/>
      </c>
      <c r="G904" s="63">
        <f>'12'!D18&amp;""</f>
        <v/>
      </c>
      <c r="H904" s="63">
        <f>IF(OR(A904="",F904=""),"",F904&amp;"|"&amp;A904)</f>
        <v/>
      </c>
      <c r="I904" s="63">
        <f>IF(AND(H904&lt;&gt;"",OR('Historia wózka'!$B$4="",F904='Historia wózka'!$B$4),A904&gt;='Historia wózka'!$B$5,A904&lt;='Historia wózka'!$B$6),A904+0.9+(5000-ROW())/10000000,0)</f>
        <v/>
      </c>
      <c r="J904" s="63">
        <f>Ustawienia!$B$8&amp;""</f>
        <v/>
      </c>
      <c r="K904" s="63">
        <f>IF(H904="","",COUNTIFS('Zgłoszenia'!$B$5:$B$504,F904,'Zgłoszenia'!$D$5:$D$504,"&gt;="&amp;A904,'Zgłoszenia'!$D$5:$D$504,"&lt;="&amp;(A904+1)))</f>
        <v/>
      </c>
      <c r="L904" s="63">
        <f>IF(OR(H904="",K904=0),"—",IF(ISNUMBER(MATCH(H904,'Zgłoszenia'!$S$5:$S$504,0)),RIGHT("0"&amp;DAY(A904),2)&amp;"."&amp;RIGHT("0"&amp;MONTH(A904),2)&amp;"."&amp;YEAR(A904)&amp;": "&amp;INDEX('Zgłoszenia'!$H$5:$H$504,MATCH(H904,'Zgłoszenia'!$S$5:$S$504,0)),RIGHT("0"&amp;DAY((A904+1)),2)&amp;"."&amp;RIGHT("0"&amp;MONTH((A904+1)),2)&amp;"."&amp;YEAR((A904+1))&amp;": "&amp;INDEX('Zgłoszenia'!$H$5:$H$504,MATCH(F904&amp;"|"&amp;(A904+1),'Zgłoszenia'!$S$5:$S$504,0)))&amp;IF(K904&gt;1," (+"&amp;(K904-1)&amp;")",""))</f>
        <v/>
      </c>
      <c r="M904" s="63" t="n">
        <v>12</v>
      </c>
      <c r="N904" s="2" t="n"/>
      <c r="O904" s="2" t="n"/>
    </row>
    <row r="905">
      <c r="A905" s="62">
        <f>IF('12'!$C$1="","",'12'!$C$1)</f>
        <v/>
      </c>
      <c r="B905" s="63">
        <f>Ustawienia!$A$8&amp;""</f>
        <v/>
      </c>
      <c r="C905" s="63">
        <f>Ustawienia!$A$15&amp;""</f>
        <v/>
      </c>
      <c r="D905" s="63" t="n">
        <v>7</v>
      </c>
      <c r="E905" s="63">
        <f>IF('12'!B19="","",TRIM('12'!B19&amp;""))</f>
        <v/>
      </c>
      <c r="F905" s="63">
        <f>IF('12'!C19="","",'12'!C19)</f>
        <v/>
      </c>
      <c r="G905" s="63">
        <f>'12'!D19&amp;""</f>
        <v/>
      </c>
      <c r="H905" s="63">
        <f>IF(OR(A905="",F905=""),"",F905&amp;"|"&amp;A905)</f>
        <v/>
      </c>
      <c r="I905" s="63">
        <f>IF(AND(H905&lt;&gt;"",OR('Historia wózka'!$B$4="",F905='Historia wózka'!$B$4),A905&gt;='Historia wózka'!$B$5,A905&lt;='Historia wózka'!$B$6),A905+0.9+(5000-ROW())/10000000,0)</f>
        <v/>
      </c>
      <c r="J905" s="63">
        <f>Ustawienia!$B$8&amp;""</f>
        <v/>
      </c>
      <c r="K905" s="63">
        <f>IF(H905="","",COUNTIFS('Zgłoszenia'!$B$5:$B$504,F905,'Zgłoszenia'!$D$5:$D$504,"&gt;="&amp;A905,'Zgłoszenia'!$D$5:$D$504,"&lt;="&amp;(A905+1)))</f>
        <v/>
      </c>
      <c r="L905" s="63">
        <f>IF(OR(H905="",K905=0),"—",IF(ISNUMBER(MATCH(H905,'Zgłoszenia'!$S$5:$S$504,0)),RIGHT("0"&amp;DAY(A905),2)&amp;"."&amp;RIGHT("0"&amp;MONTH(A905),2)&amp;"."&amp;YEAR(A905)&amp;": "&amp;INDEX('Zgłoszenia'!$H$5:$H$504,MATCH(H905,'Zgłoszenia'!$S$5:$S$504,0)),RIGHT("0"&amp;DAY((A905+1)),2)&amp;"."&amp;RIGHT("0"&amp;MONTH((A905+1)),2)&amp;"."&amp;YEAR((A905+1))&amp;": "&amp;INDEX('Zgłoszenia'!$H$5:$H$504,MATCH(F905&amp;"|"&amp;(A905+1),'Zgłoszenia'!$S$5:$S$504,0)))&amp;IF(K905&gt;1," (+"&amp;(K905-1)&amp;")",""))</f>
        <v/>
      </c>
      <c r="M905" s="63" t="n">
        <v>12</v>
      </c>
      <c r="N905" s="2" t="n"/>
      <c r="O905" s="2" t="n"/>
    </row>
    <row r="906">
      <c r="A906" s="62">
        <f>IF('12'!$C$1="","",'12'!$C$1)</f>
        <v/>
      </c>
      <c r="B906" s="63">
        <f>Ustawienia!$A$8&amp;""</f>
        <v/>
      </c>
      <c r="C906" s="63">
        <f>Ustawienia!$A$15&amp;""</f>
        <v/>
      </c>
      <c r="D906" s="63" t="n">
        <v>8</v>
      </c>
      <c r="E906" s="63">
        <f>IF('12'!B20="","",TRIM('12'!B20&amp;""))</f>
        <v/>
      </c>
      <c r="F906" s="63">
        <f>IF('12'!C20="","",'12'!C20)</f>
        <v/>
      </c>
      <c r="G906" s="63">
        <f>'12'!D20&amp;""</f>
        <v/>
      </c>
      <c r="H906" s="63">
        <f>IF(OR(A906="",F906=""),"",F906&amp;"|"&amp;A906)</f>
        <v/>
      </c>
      <c r="I906" s="63">
        <f>IF(AND(H906&lt;&gt;"",OR('Historia wózka'!$B$4="",F906='Historia wózka'!$B$4),A906&gt;='Historia wózka'!$B$5,A906&lt;='Historia wózka'!$B$6),A906+0.9+(5000-ROW())/10000000,0)</f>
        <v/>
      </c>
      <c r="J906" s="63">
        <f>Ustawienia!$B$8&amp;""</f>
        <v/>
      </c>
      <c r="K906" s="63">
        <f>IF(H906="","",COUNTIFS('Zgłoszenia'!$B$5:$B$504,F906,'Zgłoszenia'!$D$5:$D$504,"&gt;="&amp;A906,'Zgłoszenia'!$D$5:$D$504,"&lt;="&amp;(A906+1)))</f>
        <v/>
      </c>
      <c r="L906" s="63">
        <f>IF(OR(H906="",K906=0),"—",IF(ISNUMBER(MATCH(H906,'Zgłoszenia'!$S$5:$S$504,0)),RIGHT("0"&amp;DAY(A906),2)&amp;"."&amp;RIGHT("0"&amp;MONTH(A906),2)&amp;"."&amp;YEAR(A906)&amp;": "&amp;INDEX('Zgłoszenia'!$H$5:$H$504,MATCH(H906,'Zgłoszenia'!$S$5:$S$504,0)),RIGHT("0"&amp;DAY((A906+1)),2)&amp;"."&amp;RIGHT("0"&amp;MONTH((A906+1)),2)&amp;"."&amp;YEAR((A906+1))&amp;": "&amp;INDEX('Zgłoszenia'!$H$5:$H$504,MATCH(F906&amp;"|"&amp;(A906+1),'Zgłoszenia'!$S$5:$S$504,0)))&amp;IF(K906&gt;1," (+"&amp;(K906-1)&amp;")",""))</f>
        <v/>
      </c>
      <c r="M906" s="63" t="n">
        <v>12</v>
      </c>
      <c r="N906" s="2" t="n"/>
      <c r="O906" s="2" t="n"/>
    </row>
    <row r="907">
      <c r="A907" s="62">
        <f>IF('12'!$C$1="","",'12'!$C$1)</f>
        <v/>
      </c>
      <c r="B907" s="63">
        <f>Ustawienia!$A$8&amp;""</f>
        <v/>
      </c>
      <c r="C907" s="63">
        <f>Ustawienia!$A$16&amp;""</f>
        <v/>
      </c>
      <c r="D907" s="63" t="n">
        <v>1</v>
      </c>
      <c r="E907" s="63">
        <f>IF('12'!B22="","",TRIM('12'!B22&amp;""))</f>
        <v/>
      </c>
      <c r="F907" s="63">
        <f>IF('12'!C22="","",'12'!C22)</f>
        <v/>
      </c>
      <c r="G907" s="63">
        <f>'12'!D22&amp;""</f>
        <v/>
      </c>
      <c r="H907" s="63">
        <f>IF(OR(A907="",F907=""),"",F907&amp;"|"&amp;A907)</f>
        <v/>
      </c>
      <c r="I907" s="63">
        <f>IF(AND(H907&lt;&gt;"",OR('Historia wózka'!$B$4="",F907='Historia wózka'!$B$4),A907&gt;='Historia wózka'!$B$5,A907&lt;='Historia wózka'!$B$6),A907+0.9+(5000-ROW())/10000000,0)</f>
        <v/>
      </c>
      <c r="J907" s="63">
        <f>Ustawienia!$B$8&amp;""</f>
        <v/>
      </c>
      <c r="K907" s="63">
        <f>IF(H907="","",COUNTIFS('Zgłoszenia'!$B$5:$B$504,F907,'Zgłoszenia'!$D$5:$D$504,"&gt;="&amp;A907,'Zgłoszenia'!$D$5:$D$504,"&lt;="&amp;(A907+1)))</f>
        <v/>
      </c>
      <c r="L907" s="63">
        <f>IF(OR(H907="",K907=0),"—",IF(ISNUMBER(MATCH(H907,'Zgłoszenia'!$S$5:$S$504,0)),RIGHT("0"&amp;DAY(A907),2)&amp;"."&amp;RIGHT("0"&amp;MONTH(A907),2)&amp;"."&amp;YEAR(A907)&amp;": "&amp;INDEX('Zgłoszenia'!$H$5:$H$504,MATCH(H907,'Zgłoszenia'!$S$5:$S$504,0)),RIGHT("0"&amp;DAY((A907+1)),2)&amp;"."&amp;RIGHT("0"&amp;MONTH((A907+1)),2)&amp;"."&amp;YEAR((A907+1))&amp;": "&amp;INDEX('Zgłoszenia'!$H$5:$H$504,MATCH(F907&amp;"|"&amp;(A907+1),'Zgłoszenia'!$S$5:$S$504,0)))&amp;IF(K907&gt;1," (+"&amp;(K907-1)&amp;")",""))</f>
        <v/>
      </c>
      <c r="M907" s="63" t="n">
        <v>12</v>
      </c>
      <c r="N907" s="2" t="n"/>
      <c r="O907" s="2" t="n"/>
    </row>
    <row r="908">
      <c r="A908" s="62">
        <f>IF('12'!$C$1="","",'12'!$C$1)</f>
        <v/>
      </c>
      <c r="B908" s="63">
        <f>Ustawienia!$A$8&amp;""</f>
        <v/>
      </c>
      <c r="C908" s="63">
        <f>Ustawienia!$A$16&amp;""</f>
        <v/>
      </c>
      <c r="D908" s="63" t="n">
        <v>2</v>
      </c>
      <c r="E908" s="63">
        <f>IF('12'!B23="","",TRIM('12'!B23&amp;""))</f>
        <v/>
      </c>
      <c r="F908" s="63">
        <f>IF('12'!C23="","",'12'!C23)</f>
        <v/>
      </c>
      <c r="G908" s="63">
        <f>'12'!D23&amp;""</f>
        <v/>
      </c>
      <c r="H908" s="63">
        <f>IF(OR(A908="",F908=""),"",F908&amp;"|"&amp;A908)</f>
        <v/>
      </c>
      <c r="I908" s="63">
        <f>IF(AND(H908&lt;&gt;"",OR('Historia wózka'!$B$4="",F908='Historia wózka'!$B$4),A908&gt;='Historia wózka'!$B$5,A908&lt;='Historia wózka'!$B$6),A908+0.9+(5000-ROW())/10000000,0)</f>
        <v/>
      </c>
      <c r="J908" s="63">
        <f>Ustawienia!$B$8&amp;""</f>
        <v/>
      </c>
      <c r="K908" s="63">
        <f>IF(H908="","",COUNTIFS('Zgłoszenia'!$B$5:$B$504,F908,'Zgłoszenia'!$D$5:$D$504,"&gt;="&amp;A908,'Zgłoszenia'!$D$5:$D$504,"&lt;="&amp;(A908+1)))</f>
        <v/>
      </c>
      <c r="L908" s="63">
        <f>IF(OR(H908="",K908=0),"—",IF(ISNUMBER(MATCH(H908,'Zgłoszenia'!$S$5:$S$504,0)),RIGHT("0"&amp;DAY(A908),2)&amp;"."&amp;RIGHT("0"&amp;MONTH(A908),2)&amp;"."&amp;YEAR(A908)&amp;": "&amp;INDEX('Zgłoszenia'!$H$5:$H$504,MATCH(H908,'Zgłoszenia'!$S$5:$S$504,0)),RIGHT("0"&amp;DAY((A908+1)),2)&amp;"."&amp;RIGHT("0"&amp;MONTH((A908+1)),2)&amp;"."&amp;YEAR((A908+1))&amp;": "&amp;INDEX('Zgłoszenia'!$H$5:$H$504,MATCH(F908&amp;"|"&amp;(A908+1),'Zgłoszenia'!$S$5:$S$504,0)))&amp;IF(K908&gt;1," (+"&amp;(K908-1)&amp;")",""))</f>
        <v/>
      </c>
      <c r="M908" s="63" t="n">
        <v>12</v>
      </c>
      <c r="N908" s="2" t="n"/>
      <c r="O908" s="2" t="n"/>
    </row>
    <row r="909">
      <c r="A909" s="62">
        <f>IF('12'!$C$1="","",'12'!$C$1)</f>
        <v/>
      </c>
      <c r="B909" s="63">
        <f>Ustawienia!$A$8&amp;""</f>
        <v/>
      </c>
      <c r="C909" s="63">
        <f>Ustawienia!$A$16&amp;""</f>
        <v/>
      </c>
      <c r="D909" s="63" t="n">
        <v>3</v>
      </c>
      <c r="E909" s="63">
        <f>IF('12'!B24="","",TRIM('12'!B24&amp;""))</f>
        <v/>
      </c>
      <c r="F909" s="63">
        <f>IF('12'!C24="","",'12'!C24)</f>
        <v/>
      </c>
      <c r="G909" s="63">
        <f>'12'!D24&amp;""</f>
        <v/>
      </c>
      <c r="H909" s="63">
        <f>IF(OR(A909="",F909=""),"",F909&amp;"|"&amp;A909)</f>
        <v/>
      </c>
      <c r="I909" s="63">
        <f>IF(AND(H909&lt;&gt;"",OR('Historia wózka'!$B$4="",F909='Historia wózka'!$B$4),A909&gt;='Historia wózka'!$B$5,A909&lt;='Historia wózka'!$B$6),A909+0.9+(5000-ROW())/10000000,0)</f>
        <v/>
      </c>
      <c r="J909" s="63">
        <f>Ustawienia!$B$8&amp;""</f>
        <v/>
      </c>
      <c r="K909" s="63">
        <f>IF(H909="","",COUNTIFS('Zgłoszenia'!$B$5:$B$504,F909,'Zgłoszenia'!$D$5:$D$504,"&gt;="&amp;A909,'Zgłoszenia'!$D$5:$D$504,"&lt;="&amp;(A909+1)))</f>
        <v/>
      </c>
      <c r="L909" s="63">
        <f>IF(OR(H909="",K909=0),"—",IF(ISNUMBER(MATCH(H909,'Zgłoszenia'!$S$5:$S$504,0)),RIGHT("0"&amp;DAY(A909),2)&amp;"."&amp;RIGHT("0"&amp;MONTH(A909),2)&amp;"."&amp;YEAR(A909)&amp;": "&amp;INDEX('Zgłoszenia'!$H$5:$H$504,MATCH(H909,'Zgłoszenia'!$S$5:$S$504,0)),RIGHT("0"&amp;DAY((A909+1)),2)&amp;"."&amp;RIGHT("0"&amp;MONTH((A909+1)),2)&amp;"."&amp;YEAR((A909+1))&amp;": "&amp;INDEX('Zgłoszenia'!$H$5:$H$504,MATCH(F909&amp;"|"&amp;(A909+1),'Zgłoszenia'!$S$5:$S$504,0)))&amp;IF(K909&gt;1," (+"&amp;(K909-1)&amp;")",""))</f>
        <v/>
      </c>
      <c r="M909" s="63" t="n">
        <v>12</v>
      </c>
      <c r="N909" s="2" t="n"/>
      <c r="O909" s="2" t="n"/>
    </row>
    <row r="910">
      <c r="A910" s="62">
        <f>IF('12'!$C$1="","",'12'!$C$1)</f>
        <v/>
      </c>
      <c r="B910" s="63">
        <f>Ustawienia!$A$8&amp;""</f>
        <v/>
      </c>
      <c r="C910" s="63">
        <f>Ustawienia!$A$16&amp;""</f>
        <v/>
      </c>
      <c r="D910" s="63" t="n">
        <v>4</v>
      </c>
      <c r="E910" s="63">
        <f>IF('12'!B25="","",TRIM('12'!B25&amp;""))</f>
        <v/>
      </c>
      <c r="F910" s="63">
        <f>IF('12'!C25="","",'12'!C25)</f>
        <v/>
      </c>
      <c r="G910" s="63">
        <f>'12'!D25&amp;""</f>
        <v/>
      </c>
      <c r="H910" s="63">
        <f>IF(OR(A910="",F910=""),"",F910&amp;"|"&amp;A910)</f>
        <v/>
      </c>
      <c r="I910" s="63">
        <f>IF(AND(H910&lt;&gt;"",OR('Historia wózka'!$B$4="",F910='Historia wózka'!$B$4),A910&gt;='Historia wózka'!$B$5,A910&lt;='Historia wózka'!$B$6),A910+0.9+(5000-ROW())/10000000,0)</f>
        <v/>
      </c>
      <c r="J910" s="63">
        <f>Ustawienia!$B$8&amp;""</f>
        <v/>
      </c>
      <c r="K910" s="63">
        <f>IF(H910="","",COUNTIFS('Zgłoszenia'!$B$5:$B$504,F910,'Zgłoszenia'!$D$5:$D$504,"&gt;="&amp;A910,'Zgłoszenia'!$D$5:$D$504,"&lt;="&amp;(A910+1)))</f>
        <v/>
      </c>
      <c r="L910" s="63">
        <f>IF(OR(H910="",K910=0),"—",IF(ISNUMBER(MATCH(H910,'Zgłoszenia'!$S$5:$S$504,0)),RIGHT("0"&amp;DAY(A910),2)&amp;"."&amp;RIGHT("0"&amp;MONTH(A910),2)&amp;"."&amp;YEAR(A910)&amp;": "&amp;INDEX('Zgłoszenia'!$H$5:$H$504,MATCH(H910,'Zgłoszenia'!$S$5:$S$504,0)),RIGHT("0"&amp;DAY((A910+1)),2)&amp;"."&amp;RIGHT("0"&amp;MONTH((A910+1)),2)&amp;"."&amp;YEAR((A910+1))&amp;": "&amp;INDEX('Zgłoszenia'!$H$5:$H$504,MATCH(F910&amp;"|"&amp;(A910+1),'Zgłoszenia'!$S$5:$S$504,0)))&amp;IF(K910&gt;1," (+"&amp;(K910-1)&amp;")",""))</f>
        <v/>
      </c>
      <c r="M910" s="63" t="n">
        <v>12</v>
      </c>
      <c r="N910" s="2" t="n"/>
      <c r="O910" s="2" t="n"/>
    </row>
    <row r="911">
      <c r="A911" s="62">
        <f>IF('12'!$C$1="","",'12'!$C$1)</f>
        <v/>
      </c>
      <c r="B911" s="63">
        <f>Ustawienia!$A$8&amp;""</f>
        <v/>
      </c>
      <c r="C911" s="63">
        <f>Ustawienia!$A$17&amp;""</f>
        <v/>
      </c>
      <c r="D911" s="63" t="n">
        <v>1</v>
      </c>
      <c r="E911" s="63">
        <f>IF('12'!B27="","",TRIM('12'!B27&amp;""))</f>
        <v/>
      </c>
      <c r="F911" s="63">
        <f>IF('12'!C27="","",'12'!C27)</f>
        <v/>
      </c>
      <c r="G911" s="63">
        <f>'12'!D27&amp;""</f>
        <v/>
      </c>
      <c r="H911" s="63">
        <f>IF(OR(A911="",F911=""),"",F911&amp;"|"&amp;A911)</f>
        <v/>
      </c>
      <c r="I911" s="63">
        <f>IF(AND(H911&lt;&gt;"",OR('Historia wózka'!$B$4="",F911='Historia wózka'!$B$4),A911&gt;='Historia wózka'!$B$5,A911&lt;='Historia wózka'!$B$6),A911+0.9+(5000-ROW())/10000000,0)</f>
        <v/>
      </c>
      <c r="J911" s="63">
        <f>Ustawienia!$B$8&amp;""</f>
        <v/>
      </c>
      <c r="K911" s="63">
        <f>IF(H911="","",COUNTIFS('Zgłoszenia'!$B$5:$B$504,F911,'Zgłoszenia'!$D$5:$D$504,"&gt;="&amp;A911,'Zgłoszenia'!$D$5:$D$504,"&lt;="&amp;(A911+1)))</f>
        <v/>
      </c>
      <c r="L911" s="63">
        <f>IF(OR(H911="",K911=0),"—",IF(ISNUMBER(MATCH(H911,'Zgłoszenia'!$S$5:$S$504,0)),RIGHT("0"&amp;DAY(A911),2)&amp;"."&amp;RIGHT("0"&amp;MONTH(A911),2)&amp;"."&amp;YEAR(A911)&amp;": "&amp;INDEX('Zgłoszenia'!$H$5:$H$504,MATCH(H911,'Zgłoszenia'!$S$5:$S$504,0)),RIGHT("0"&amp;DAY((A911+1)),2)&amp;"."&amp;RIGHT("0"&amp;MONTH((A911+1)),2)&amp;"."&amp;YEAR((A911+1))&amp;": "&amp;INDEX('Zgłoszenia'!$H$5:$H$504,MATCH(F911&amp;"|"&amp;(A911+1),'Zgłoszenia'!$S$5:$S$504,0)))&amp;IF(K911&gt;1," (+"&amp;(K911-1)&amp;")",""))</f>
        <v/>
      </c>
      <c r="M911" s="63" t="n">
        <v>12</v>
      </c>
      <c r="N911" s="2" t="n"/>
      <c r="O911" s="2" t="n"/>
    </row>
    <row r="912">
      <c r="A912" s="62">
        <f>IF('12'!$C$1="","",'12'!$C$1)</f>
        <v/>
      </c>
      <c r="B912" s="63">
        <f>Ustawienia!$A$8&amp;""</f>
        <v/>
      </c>
      <c r="C912" s="63">
        <f>Ustawienia!$A$17&amp;""</f>
        <v/>
      </c>
      <c r="D912" s="63" t="n">
        <v>2</v>
      </c>
      <c r="E912" s="63">
        <f>IF('12'!B28="","",TRIM('12'!B28&amp;""))</f>
        <v/>
      </c>
      <c r="F912" s="63">
        <f>IF('12'!C28="","",'12'!C28)</f>
        <v/>
      </c>
      <c r="G912" s="63">
        <f>'12'!D28&amp;""</f>
        <v/>
      </c>
      <c r="H912" s="63">
        <f>IF(OR(A912="",F912=""),"",F912&amp;"|"&amp;A912)</f>
        <v/>
      </c>
      <c r="I912" s="63">
        <f>IF(AND(H912&lt;&gt;"",OR('Historia wózka'!$B$4="",F912='Historia wózka'!$B$4),A912&gt;='Historia wózka'!$B$5,A912&lt;='Historia wózka'!$B$6),A912+0.9+(5000-ROW())/10000000,0)</f>
        <v/>
      </c>
      <c r="J912" s="63">
        <f>Ustawienia!$B$8&amp;""</f>
        <v/>
      </c>
      <c r="K912" s="63">
        <f>IF(H912="","",COUNTIFS('Zgłoszenia'!$B$5:$B$504,F912,'Zgłoszenia'!$D$5:$D$504,"&gt;="&amp;A912,'Zgłoszenia'!$D$5:$D$504,"&lt;="&amp;(A912+1)))</f>
        <v/>
      </c>
      <c r="L912" s="63">
        <f>IF(OR(H912="",K912=0),"—",IF(ISNUMBER(MATCH(H912,'Zgłoszenia'!$S$5:$S$504,0)),RIGHT("0"&amp;DAY(A912),2)&amp;"."&amp;RIGHT("0"&amp;MONTH(A912),2)&amp;"."&amp;YEAR(A912)&amp;": "&amp;INDEX('Zgłoszenia'!$H$5:$H$504,MATCH(H912,'Zgłoszenia'!$S$5:$S$504,0)),RIGHT("0"&amp;DAY((A912+1)),2)&amp;"."&amp;RIGHT("0"&amp;MONTH((A912+1)),2)&amp;"."&amp;YEAR((A912+1))&amp;": "&amp;INDEX('Zgłoszenia'!$H$5:$H$504,MATCH(F912&amp;"|"&amp;(A912+1),'Zgłoszenia'!$S$5:$S$504,0)))&amp;IF(K912&gt;1," (+"&amp;(K912-1)&amp;")",""))</f>
        <v/>
      </c>
      <c r="M912" s="63" t="n">
        <v>12</v>
      </c>
      <c r="N912" s="2" t="n"/>
      <c r="O912" s="2" t="n"/>
    </row>
    <row r="913">
      <c r="A913" s="62">
        <f>IF('12'!$C$1="","",'12'!$C$1)</f>
        <v/>
      </c>
      <c r="B913" s="63">
        <f>Ustawienia!$A$8&amp;""</f>
        <v/>
      </c>
      <c r="C913" s="63">
        <f>Ustawienia!$A$17&amp;""</f>
        <v/>
      </c>
      <c r="D913" s="63" t="n">
        <v>3</v>
      </c>
      <c r="E913" s="63">
        <f>IF('12'!B29="","",TRIM('12'!B29&amp;""))</f>
        <v/>
      </c>
      <c r="F913" s="63">
        <f>IF('12'!C29="","",'12'!C29)</f>
        <v/>
      </c>
      <c r="G913" s="63">
        <f>'12'!D29&amp;""</f>
        <v/>
      </c>
      <c r="H913" s="63">
        <f>IF(OR(A913="",F913=""),"",F913&amp;"|"&amp;A913)</f>
        <v/>
      </c>
      <c r="I913" s="63">
        <f>IF(AND(H913&lt;&gt;"",OR('Historia wózka'!$B$4="",F913='Historia wózka'!$B$4),A913&gt;='Historia wózka'!$B$5,A913&lt;='Historia wózka'!$B$6),A913+0.9+(5000-ROW())/10000000,0)</f>
        <v/>
      </c>
      <c r="J913" s="63">
        <f>Ustawienia!$B$8&amp;""</f>
        <v/>
      </c>
      <c r="K913" s="63">
        <f>IF(H913="","",COUNTIFS('Zgłoszenia'!$B$5:$B$504,F913,'Zgłoszenia'!$D$5:$D$504,"&gt;="&amp;A913,'Zgłoszenia'!$D$5:$D$504,"&lt;="&amp;(A913+1)))</f>
        <v/>
      </c>
      <c r="L913" s="63">
        <f>IF(OR(H913="",K913=0),"—",IF(ISNUMBER(MATCH(H913,'Zgłoszenia'!$S$5:$S$504,0)),RIGHT("0"&amp;DAY(A913),2)&amp;"."&amp;RIGHT("0"&amp;MONTH(A913),2)&amp;"."&amp;YEAR(A913)&amp;": "&amp;INDEX('Zgłoszenia'!$H$5:$H$504,MATCH(H913,'Zgłoszenia'!$S$5:$S$504,0)),RIGHT("0"&amp;DAY((A913+1)),2)&amp;"."&amp;RIGHT("0"&amp;MONTH((A913+1)),2)&amp;"."&amp;YEAR((A913+1))&amp;": "&amp;INDEX('Zgłoszenia'!$H$5:$H$504,MATCH(F913&amp;"|"&amp;(A913+1),'Zgłoszenia'!$S$5:$S$504,0)))&amp;IF(K913&gt;1," (+"&amp;(K913-1)&amp;")",""))</f>
        <v/>
      </c>
      <c r="M913" s="63" t="n">
        <v>12</v>
      </c>
      <c r="N913" s="2" t="n"/>
      <c r="O913" s="2" t="n"/>
    </row>
    <row r="914">
      <c r="A914" s="62">
        <f>IF('12'!$C$1="","",'12'!$C$1)</f>
        <v/>
      </c>
      <c r="B914" s="63">
        <f>Ustawienia!$A$8&amp;""</f>
        <v/>
      </c>
      <c r="C914" s="63">
        <f>Ustawienia!$A$17&amp;""</f>
        <v/>
      </c>
      <c r="D914" s="63" t="n">
        <v>4</v>
      </c>
      <c r="E914" s="63">
        <f>IF('12'!B30="","",TRIM('12'!B30&amp;""))</f>
        <v/>
      </c>
      <c r="F914" s="63">
        <f>IF('12'!C30="","",'12'!C30)</f>
        <v/>
      </c>
      <c r="G914" s="63">
        <f>'12'!D30&amp;""</f>
        <v/>
      </c>
      <c r="H914" s="63">
        <f>IF(OR(A914="",F914=""),"",F914&amp;"|"&amp;A914)</f>
        <v/>
      </c>
      <c r="I914" s="63">
        <f>IF(AND(H914&lt;&gt;"",OR('Historia wózka'!$B$4="",F914='Historia wózka'!$B$4),A914&gt;='Historia wózka'!$B$5,A914&lt;='Historia wózka'!$B$6),A914+0.9+(5000-ROW())/10000000,0)</f>
        <v/>
      </c>
      <c r="J914" s="63">
        <f>Ustawienia!$B$8&amp;""</f>
        <v/>
      </c>
      <c r="K914" s="63">
        <f>IF(H914="","",COUNTIFS('Zgłoszenia'!$B$5:$B$504,F914,'Zgłoszenia'!$D$5:$D$504,"&gt;="&amp;A914,'Zgłoszenia'!$D$5:$D$504,"&lt;="&amp;(A914+1)))</f>
        <v/>
      </c>
      <c r="L914" s="63">
        <f>IF(OR(H914="",K914=0),"—",IF(ISNUMBER(MATCH(H914,'Zgłoszenia'!$S$5:$S$504,0)),RIGHT("0"&amp;DAY(A914),2)&amp;"."&amp;RIGHT("0"&amp;MONTH(A914),2)&amp;"."&amp;YEAR(A914)&amp;": "&amp;INDEX('Zgłoszenia'!$H$5:$H$504,MATCH(H914,'Zgłoszenia'!$S$5:$S$504,0)),RIGHT("0"&amp;DAY((A914+1)),2)&amp;"."&amp;RIGHT("0"&amp;MONTH((A914+1)),2)&amp;"."&amp;YEAR((A914+1))&amp;": "&amp;INDEX('Zgłoszenia'!$H$5:$H$504,MATCH(F914&amp;"|"&amp;(A914+1),'Zgłoszenia'!$S$5:$S$504,0)))&amp;IF(K914&gt;1," (+"&amp;(K914-1)&amp;")",""))</f>
        <v/>
      </c>
      <c r="M914" s="63" t="n">
        <v>12</v>
      </c>
      <c r="N914" s="2" t="n"/>
      <c r="O914" s="2" t="n"/>
    </row>
    <row r="915">
      <c r="A915" s="62">
        <f>IF('12'!$C$1="","",'12'!$C$1)</f>
        <v/>
      </c>
      <c r="B915" s="63">
        <f>Ustawienia!$A$8&amp;""</f>
        <v/>
      </c>
      <c r="C915" s="63">
        <f>Ustawienia!$A$18&amp;""</f>
        <v/>
      </c>
      <c r="D915" s="63" t="n">
        <v>1</v>
      </c>
      <c r="E915" s="63">
        <f>IF('12'!B32="","",TRIM('12'!B32&amp;""))</f>
        <v/>
      </c>
      <c r="F915" s="63">
        <f>IF('12'!C32="","",'12'!C32)</f>
        <v/>
      </c>
      <c r="G915" s="63">
        <f>'12'!D32&amp;""</f>
        <v/>
      </c>
      <c r="H915" s="63">
        <f>IF(OR(A915="",F915=""),"",F915&amp;"|"&amp;A915)</f>
        <v/>
      </c>
      <c r="I915" s="63">
        <f>IF(AND(H915&lt;&gt;"",OR('Historia wózka'!$B$4="",F915='Historia wózka'!$B$4),A915&gt;='Historia wózka'!$B$5,A915&lt;='Historia wózka'!$B$6),A915+0.9+(5000-ROW())/10000000,0)</f>
        <v/>
      </c>
      <c r="J915" s="63">
        <f>Ustawienia!$B$8&amp;""</f>
        <v/>
      </c>
      <c r="K915" s="63">
        <f>IF(H915="","",COUNTIFS('Zgłoszenia'!$B$5:$B$504,F915,'Zgłoszenia'!$D$5:$D$504,"&gt;="&amp;A915,'Zgłoszenia'!$D$5:$D$504,"&lt;="&amp;(A915+1)))</f>
        <v/>
      </c>
      <c r="L915" s="63">
        <f>IF(OR(H915="",K915=0),"—",IF(ISNUMBER(MATCH(H915,'Zgłoszenia'!$S$5:$S$504,0)),RIGHT("0"&amp;DAY(A915),2)&amp;"."&amp;RIGHT("0"&amp;MONTH(A915),2)&amp;"."&amp;YEAR(A915)&amp;": "&amp;INDEX('Zgłoszenia'!$H$5:$H$504,MATCH(H915,'Zgłoszenia'!$S$5:$S$504,0)),RIGHT("0"&amp;DAY((A915+1)),2)&amp;"."&amp;RIGHT("0"&amp;MONTH((A915+1)),2)&amp;"."&amp;YEAR((A915+1))&amp;": "&amp;INDEX('Zgłoszenia'!$H$5:$H$504,MATCH(F915&amp;"|"&amp;(A915+1),'Zgłoszenia'!$S$5:$S$504,0)))&amp;IF(K915&gt;1," (+"&amp;(K915-1)&amp;")",""))</f>
        <v/>
      </c>
      <c r="M915" s="63" t="n">
        <v>12</v>
      </c>
      <c r="N915" s="2" t="n"/>
      <c r="O915" s="2" t="n"/>
    </row>
    <row r="916">
      <c r="A916" s="62">
        <f>IF('12'!$C$1="","",'12'!$C$1)</f>
        <v/>
      </c>
      <c r="B916" s="63">
        <f>Ustawienia!$A$8&amp;""</f>
        <v/>
      </c>
      <c r="C916" s="63">
        <f>Ustawienia!$A$18&amp;""</f>
        <v/>
      </c>
      <c r="D916" s="63" t="n">
        <v>2</v>
      </c>
      <c r="E916" s="63">
        <f>IF('12'!B33="","",TRIM('12'!B33&amp;""))</f>
        <v/>
      </c>
      <c r="F916" s="63">
        <f>IF('12'!C33="","",'12'!C33)</f>
        <v/>
      </c>
      <c r="G916" s="63">
        <f>'12'!D33&amp;""</f>
        <v/>
      </c>
      <c r="H916" s="63">
        <f>IF(OR(A916="",F916=""),"",F916&amp;"|"&amp;A916)</f>
        <v/>
      </c>
      <c r="I916" s="63">
        <f>IF(AND(H916&lt;&gt;"",OR('Historia wózka'!$B$4="",F916='Historia wózka'!$B$4),A916&gt;='Historia wózka'!$B$5,A916&lt;='Historia wózka'!$B$6),A916+0.9+(5000-ROW())/10000000,0)</f>
        <v/>
      </c>
      <c r="J916" s="63">
        <f>Ustawienia!$B$8&amp;""</f>
        <v/>
      </c>
      <c r="K916" s="63">
        <f>IF(H916="","",COUNTIFS('Zgłoszenia'!$B$5:$B$504,F916,'Zgłoszenia'!$D$5:$D$504,"&gt;="&amp;A916,'Zgłoszenia'!$D$5:$D$504,"&lt;="&amp;(A916+1)))</f>
        <v/>
      </c>
      <c r="L916" s="63">
        <f>IF(OR(H916="",K916=0),"—",IF(ISNUMBER(MATCH(H916,'Zgłoszenia'!$S$5:$S$504,0)),RIGHT("0"&amp;DAY(A916),2)&amp;"."&amp;RIGHT("0"&amp;MONTH(A916),2)&amp;"."&amp;YEAR(A916)&amp;": "&amp;INDEX('Zgłoszenia'!$H$5:$H$504,MATCH(H916,'Zgłoszenia'!$S$5:$S$504,0)),RIGHT("0"&amp;DAY((A916+1)),2)&amp;"."&amp;RIGHT("0"&amp;MONTH((A916+1)),2)&amp;"."&amp;YEAR((A916+1))&amp;": "&amp;INDEX('Zgłoszenia'!$H$5:$H$504,MATCH(F916&amp;"|"&amp;(A916+1),'Zgłoszenia'!$S$5:$S$504,0)))&amp;IF(K916&gt;1," (+"&amp;(K916-1)&amp;")",""))</f>
        <v/>
      </c>
      <c r="M916" s="63" t="n">
        <v>12</v>
      </c>
      <c r="N916" s="2" t="n"/>
      <c r="O916" s="2" t="n"/>
    </row>
    <row r="917">
      <c r="A917" s="62">
        <f>IF('12'!$C$1="","",'12'!$C$1)</f>
        <v/>
      </c>
      <c r="B917" s="63">
        <f>Ustawienia!$A$8&amp;""</f>
        <v/>
      </c>
      <c r="C917" s="63">
        <f>Ustawienia!$A$18&amp;""</f>
        <v/>
      </c>
      <c r="D917" s="63" t="n">
        <v>3</v>
      </c>
      <c r="E917" s="63">
        <f>IF('12'!B34="","",TRIM('12'!B34&amp;""))</f>
        <v/>
      </c>
      <c r="F917" s="63">
        <f>IF('12'!C34="","",'12'!C34)</f>
        <v/>
      </c>
      <c r="G917" s="63">
        <f>'12'!D34&amp;""</f>
        <v/>
      </c>
      <c r="H917" s="63">
        <f>IF(OR(A917="",F917=""),"",F917&amp;"|"&amp;A917)</f>
        <v/>
      </c>
      <c r="I917" s="63">
        <f>IF(AND(H917&lt;&gt;"",OR('Historia wózka'!$B$4="",F917='Historia wózka'!$B$4),A917&gt;='Historia wózka'!$B$5,A917&lt;='Historia wózka'!$B$6),A917+0.9+(5000-ROW())/10000000,0)</f>
        <v/>
      </c>
      <c r="J917" s="63">
        <f>Ustawienia!$B$8&amp;""</f>
        <v/>
      </c>
      <c r="K917" s="63">
        <f>IF(H917="","",COUNTIFS('Zgłoszenia'!$B$5:$B$504,F917,'Zgłoszenia'!$D$5:$D$504,"&gt;="&amp;A917,'Zgłoszenia'!$D$5:$D$504,"&lt;="&amp;(A917+1)))</f>
        <v/>
      </c>
      <c r="L917" s="63">
        <f>IF(OR(H917="",K917=0),"—",IF(ISNUMBER(MATCH(H917,'Zgłoszenia'!$S$5:$S$504,0)),RIGHT("0"&amp;DAY(A917),2)&amp;"."&amp;RIGHT("0"&amp;MONTH(A917),2)&amp;"."&amp;YEAR(A917)&amp;": "&amp;INDEX('Zgłoszenia'!$H$5:$H$504,MATCH(H917,'Zgłoszenia'!$S$5:$S$504,0)),RIGHT("0"&amp;DAY((A917+1)),2)&amp;"."&amp;RIGHT("0"&amp;MONTH((A917+1)),2)&amp;"."&amp;YEAR((A917+1))&amp;": "&amp;INDEX('Zgłoszenia'!$H$5:$H$504,MATCH(F917&amp;"|"&amp;(A917+1),'Zgłoszenia'!$S$5:$S$504,0)))&amp;IF(K917&gt;1," (+"&amp;(K917-1)&amp;")",""))</f>
        <v/>
      </c>
      <c r="M917" s="63" t="n">
        <v>12</v>
      </c>
      <c r="N917" s="2" t="n"/>
      <c r="O917" s="2" t="n"/>
    </row>
    <row r="918">
      <c r="A918" s="62">
        <f>IF('12'!$C$1="","",'12'!$C$1)</f>
        <v/>
      </c>
      <c r="B918" s="63">
        <f>Ustawienia!$A$8&amp;""</f>
        <v/>
      </c>
      <c r="C918" s="63">
        <f>Ustawienia!$A$18&amp;""</f>
        <v/>
      </c>
      <c r="D918" s="63" t="n">
        <v>4</v>
      </c>
      <c r="E918" s="63">
        <f>IF('12'!B35="","",TRIM('12'!B35&amp;""))</f>
        <v/>
      </c>
      <c r="F918" s="63">
        <f>IF('12'!C35="","",'12'!C35)</f>
        <v/>
      </c>
      <c r="G918" s="63">
        <f>'12'!D35&amp;""</f>
        <v/>
      </c>
      <c r="H918" s="63">
        <f>IF(OR(A918="",F918=""),"",F918&amp;"|"&amp;A918)</f>
        <v/>
      </c>
      <c r="I918" s="63">
        <f>IF(AND(H918&lt;&gt;"",OR('Historia wózka'!$B$4="",F918='Historia wózka'!$B$4),A918&gt;='Historia wózka'!$B$5,A918&lt;='Historia wózka'!$B$6),A918+0.9+(5000-ROW())/10000000,0)</f>
        <v/>
      </c>
      <c r="J918" s="63">
        <f>Ustawienia!$B$8&amp;""</f>
        <v/>
      </c>
      <c r="K918" s="63">
        <f>IF(H918="","",COUNTIFS('Zgłoszenia'!$B$5:$B$504,F918,'Zgłoszenia'!$D$5:$D$504,"&gt;="&amp;A918,'Zgłoszenia'!$D$5:$D$504,"&lt;="&amp;(A918+1)))</f>
        <v/>
      </c>
      <c r="L918" s="63">
        <f>IF(OR(H918="",K918=0),"—",IF(ISNUMBER(MATCH(H918,'Zgłoszenia'!$S$5:$S$504,0)),RIGHT("0"&amp;DAY(A918),2)&amp;"."&amp;RIGHT("0"&amp;MONTH(A918),2)&amp;"."&amp;YEAR(A918)&amp;": "&amp;INDEX('Zgłoszenia'!$H$5:$H$504,MATCH(H918,'Zgłoszenia'!$S$5:$S$504,0)),RIGHT("0"&amp;DAY((A918+1)),2)&amp;"."&amp;RIGHT("0"&amp;MONTH((A918+1)),2)&amp;"."&amp;YEAR((A918+1))&amp;": "&amp;INDEX('Zgłoszenia'!$H$5:$H$504,MATCH(F918&amp;"|"&amp;(A918+1),'Zgłoszenia'!$S$5:$S$504,0)))&amp;IF(K918&gt;1," (+"&amp;(K918-1)&amp;")",""))</f>
        <v/>
      </c>
      <c r="M918" s="63" t="n">
        <v>12</v>
      </c>
      <c r="N918" s="2" t="n"/>
      <c r="O918" s="2" t="n"/>
    </row>
    <row r="919">
      <c r="A919" s="62">
        <f>IF('12'!$C$1="","",'12'!$C$1)</f>
        <v/>
      </c>
      <c r="B919" s="63">
        <f>Ustawienia!$A$8&amp;""</f>
        <v/>
      </c>
      <c r="C919" s="63">
        <f>Ustawienia!$A$18&amp;""</f>
        <v/>
      </c>
      <c r="D919" s="63" t="n">
        <v>5</v>
      </c>
      <c r="E919" s="63">
        <f>IF('12'!B36="","",TRIM('12'!B36&amp;""))</f>
        <v/>
      </c>
      <c r="F919" s="63">
        <f>IF('12'!C36="","",'12'!C36)</f>
        <v/>
      </c>
      <c r="G919" s="63">
        <f>'12'!D36&amp;""</f>
        <v/>
      </c>
      <c r="H919" s="63">
        <f>IF(OR(A919="",F919=""),"",F919&amp;"|"&amp;A919)</f>
        <v/>
      </c>
      <c r="I919" s="63">
        <f>IF(AND(H919&lt;&gt;"",OR('Historia wózka'!$B$4="",F919='Historia wózka'!$B$4),A919&gt;='Historia wózka'!$B$5,A919&lt;='Historia wózka'!$B$6),A919+0.9+(5000-ROW())/10000000,0)</f>
        <v/>
      </c>
      <c r="J919" s="63">
        <f>Ustawienia!$B$8&amp;""</f>
        <v/>
      </c>
      <c r="K919" s="63">
        <f>IF(H919="","",COUNTIFS('Zgłoszenia'!$B$5:$B$504,F919,'Zgłoszenia'!$D$5:$D$504,"&gt;="&amp;A919,'Zgłoszenia'!$D$5:$D$504,"&lt;="&amp;(A919+1)))</f>
        <v/>
      </c>
      <c r="L919" s="63">
        <f>IF(OR(H919="",K919=0),"—",IF(ISNUMBER(MATCH(H919,'Zgłoszenia'!$S$5:$S$504,0)),RIGHT("0"&amp;DAY(A919),2)&amp;"."&amp;RIGHT("0"&amp;MONTH(A919),2)&amp;"."&amp;YEAR(A919)&amp;": "&amp;INDEX('Zgłoszenia'!$H$5:$H$504,MATCH(H919,'Zgłoszenia'!$S$5:$S$504,0)),RIGHT("0"&amp;DAY((A919+1)),2)&amp;"."&amp;RIGHT("0"&amp;MONTH((A919+1)),2)&amp;"."&amp;YEAR((A919+1))&amp;": "&amp;INDEX('Zgłoszenia'!$H$5:$H$504,MATCH(F919&amp;"|"&amp;(A919+1),'Zgłoszenia'!$S$5:$S$504,0)))&amp;IF(K919&gt;1," (+"&amp;(K919-1)&amp;")",""))</f>
        <v/>
      </c>
      <c r="M919" s="63" t="n">
        <v>12</v>
      </c>
      <c r="N919" s="2" t="n"/>
      <c r="O919" s="2" t="n"/>
    </row>
    <row r="920">
      <c r="A920" s="62">
        <f>IF('12'!$C$1="","",'12'!$C$1)</f>
        <v/>
      </c>
      <c r="B920" s="63">
        <f>Ustawienia!$A$9&amp;""</f>
        <v/>
      </c>
      <c r="C920" s="63">
        <f>Ustawienia!$A$14&amp;""</f>
        <v/>
      </c>
      <c r="D920" s="63" t="n">
        <v>1</v>
      </c>
      <c r="E920" s="63">
        <f>IF('12'!F6="","",TRIM('12'!F6&amp;""))</f>
        <v/>
      </c>
      <c r="F920" s="63">
        <f>IF('12'!G6="","",'12'!G6)</f>
        <v/>
      </c>
      <c r="G920" s="63">
        <f>'12'!H6&amp;""</f>
        <v/>
      </c>
      <c r="H920" s="63">
        <f>IF(OR(A920="",F920=""),"",F920&amp;"|"&amp;A920)</f>
        <v/>
      </c>
      <c r="I920" s="63">
        <f>IF(AND(H920&lt;&gt;"",OR('Historia wózka'!$B$4="",F920='Historia wózka'!$B$4),A920&gt;='Historia wózka'!$B$5,A920&lt;='Historia wózka'!$B$6),A920+0.8+(5000-ROW())/10000000,0)</f>
        <v/>
      </c>
      <c r="J920" s="63">
        <f>Ustawienia!$B$9&amp;""</f>
        <v/>
      </c>
      <c r="K920" s="63">
        <f>IF(H920="","",COUNTIFS('Zgłoszenia'!$B$5:$B$504,F920,'Zgłoszenia'!$D$5:$D$504,"&gt;="&amp;A920,'Zgłoszenia'!$D$5:$D$504,"&lt;="&amp;(A920+1)))</f>
        <v/>
      </c>
      <c r="L920" s="63">
        <f>IF(OR(H920="",K920=0),"—",IF(ISNUMBER(MATCH(H920,'Zgłoszenia'!$S$5:$S$504,0)),RIGHT("0"&amp;DAY(A920),2)&amp;"."&amp;RIGHT("0"&amp;MONTH(A920),2)&amp;"."&amp;YEAR(A920)&amp;": "&amp;INDEX('Zgłoszenia'!$H$5:$H$504,MATCH(H920,'Zgłoszenia'!$S$5:$S$504,0)),RIGHT("0"&amp;DAY((A920+1)),2)&amp;"."&amp;RIGHT("0"&amp;MONTH((A920+1)),2)&amp;"."&amp;YEAR((A920+1))&amp;": "&amp;INDEX('Zgłoszenia'!$H$5:$H$504,MATCH(F920&amp;"|"&amp;(A920+1),'Zgłoszenia'!$S$5:$S$504,0)))&amp;IF(K920&gt;1," (+"&amp;(K920-1)&amp;")",""))</f>
        <v/>
      </c>
      <c r="M920" s="63" t="n">
        <v>12</v>
      </c>
      <c r="N920" s="2" t="n"/>
      <c r="O920" s="2" t="n"/>
    </row>
    <row r="921">
      <c r="A921" s="62">
        <f>IF('12'!$C$1="","",'12'!$C$1)</f>
        <v/>
      </c>
      <c r="B921" s="63">
        <f>Ustawienia!$A$9&amp;""</f>
        <v/>
      </c>
      <c r="C921" s="63">
        <f>Ustawienia!$A$14&amp;""</f>
        <v/>
      </c>
      <c r="D921" s="63" t="n">
        <v>2</v>
      </c>
      <c r="E921" s="63">
        <f>IF('12'!F7="","",TRIM('12'!F7&amp;""))</f>
        <v/>
      </c>
      <c r="F921" s="63">
        <f>IF('12'!G7="","",'12'!G7)</f>
        <v/>
      </c>
      <c r="G921" s="63">
        <f>'12'!H7&amp;""</f>
        <v/>
      </c>
      <c r="H921" s="63">
        <f>IF(OR(A921="",F921=""),"",F921&amp;"|"&amp;A921)</f>
        <v/>
      </c>
      <c r="I921" s="63">
        <f>IF(AND(H921&lt;&gt;"",OR('Historia wózka'!$B$4="",F921='Historia wózka'!$B$4),A921&gt;='Historia wózka'!$B$5,A921&lt;='Historia wózka'!$B$6),A921+0.8+(5000-ROW())/10000000,0)</f>
        <v/>
      </c>
      <c r="J921" s="63">
        <f>Ustawienia!$B$9&amp;""</f>
        <v/>
      </c>
      <c r="K921" s="63">
        <f>IF(H921="","",COUNTIFS('Zgłoszenia'!$B$5:$B$504,F921,'Zgłoszenia'!$D$5:$D$504,"&gt;="&amp;A921,'Zgłoszenia'!$D$5:$D$504,"&lt;="&amp;(A921+1)))</f>
        <v/>
      </c>
      <c r="L921" s="63">
        <f>IF(OR(H921="",K921=0),"—",IF(ISNUMBER(MATCH(H921,'Zgłoszenia'!$S$5:$S$504,0)),RIGHT("0"&amp;DAY(A921),2)&amp;"."&amp;RIGHT("0"&amp;MONTH(A921),2)&amp;"."&amp;YEAR(A921)&amp;": "&amp;INDEX('Zgłoszenia'!$H$5:$H$504,MATCH(H921,'Zgłoszenia'!$S$5:$S$504,0)),RIGHT("0"&amp;DAY((A921+1)),2)&amp;"."&amp;RIGHT("0"&amp;MONTH((A921+1)),2)&amp;"."&amp;YEAR((A921+1))&amp;": "&amp;INDEX('Zgłoszenia'!$H$5:$H$504,MATCH(F921&amp;"|"&amp;(A921+1),'Zgłoszenia'!$S$5:$S$504,0)))&amp;IF(K921&gt;1," (+"&amp;(K921-1)&amp;")",""))</f>
        <v/>
      </c>
      <c r="M921" s="63" t="n">
        <v>12</v>
      </c>
      <c r="N921" s="2" t="n"/>
      <c r="O921" s="2" t="n"/>
    </row>
    <row r="922">
      <c r="A922" s="62">
        <f>IF('12'!$C$1="","",'12'!$C$1)</f>
        <v/>
      </c>
      <c r="B922" s="63">
        <f>Ustawienia!$A$9&amp;""</f>
        <v/>
      </c>
      <c r="C922" s="63">
        <f>Ustawienia!$A$14&amp;""</f>
        <v/>
      </c>
      <c r="D922" s="63" t="n">
        <v>3</v>
      </c>
      <c r="E922" s="63">
        <f>IF('12'!F8="","",TRIM('12'!F8&amp;""))</f>
        <v/>
      </c>
      <c r="F922" s="63">
        <f>IF('12'!G8="","",'12'!G8)</f>
        <v/>
      </c>
      <c r="G922" s="63">
        <f>'12'!H8&amp;""</f>
        <v/>
      </c>
      <c r="H922" s="63">
        <f>IF(OR(A922="",F922=""),"",F922&amp;"|"&amp;A922)</f>
        <v/>
      </c>
      <c r="I922" s="63">
        <f>IF(AND(H922&lt;&gt;"",OR('Historia wózka'!$B$4="",F922='Historia wózka'!$B$4),A922&gt;='Historia wózka'!$B$5,A922&lt;='Historia wózka'!$B$6),A922+0.8+(5000-ROW())/10000000,0)</f>
        <v/>
      </c>
      <c r="J922" s="63">
        <f>Ustawienia!$B$9&amp;""</f>
        <v/>
      </c>
      <c r="K922" s="63">
        <f>IF(H922="","",COUNTIFS('Zgłoszenia'!$B$5:$B$504,F922,'Zgłoszenia'!$D$5:$D$504,"&gt;="&amp;A922,'Zgłoszenia'!$D$5:$D$504,"&lt;="&amp;(A922+1)))</f>
        <v/>
      </c>
      <c r="L922" s="63">
        <f>IF(OR(H922="",K922=0),"—",IF(ISNUMBER(MATCH(H922,'Zgłoszenia'!$S$5:$S$504,0)),RIGHT("0"&amp;DAY(A922),2)&amp;"."&amp;RIGHT("0"&amp;MONTH(A922),2)&amp;"."&amp;YEAR(A922)&amp;": "&amp;INDEX('Zgłoszenia'!$H$5:$H$504,MATCH(H922,'Zgłoszenia'!$S$5:$S$504,0)),RIGHT("0"&amp;DAY((A922+1)),2)&amp;"."&amp;RIGHT("0"&amp;MONTH((A922+1)),2)&amp;"."&amp;YEAR((A922+1))&amp;": "&amp;INDEX('Zgłoszenia'!$H$5:$H$504,MATCH(F922&amp;"|"&amp;(A922+1),'Zgłoszenia'!$S$5:$S$504,0)))&amp;IF(K922&gt;1," (+"&amp;(K922-1)&amp;")",""))</f>
        <v/>
      </c>
      <c r="M922" s="63" t="n">
        <v>12</v>
      </c>
      <c r="N922" s="2" t="n"/>
      <c r="O922" s="2" t="n"/>
    </row>
    <row r="923">
      <c r="A923" s="62">
        <f>IF('12'!$C$1="","",'12'!$C$1)</f>
        <v/>
      </c>
      <c r="B923" s="63">
        <f>Ustawienia!$A$9&amp;""</f>
        <v/>
      </c>
      <c r="C923" s="63">
        <f>Ustawienia!$A$14&amp;""</f>
        <v/>
      </c>
      <c r="D923" s="63" t="n">
        <v>4</v>
      </c>
      <c r="E923" s="63">
        <f>IF('12'!F9="","",TRIM('12'!F9&amp;""))</f>
        <v/>
      </c>
      <c r="F923" s="63">
        <f>IF('12'!G9="","",'12'!G9)</f>
        <v/>
      </c>
      <c r="G923" s="63">
        <f>'12'!H9&amp;""</f>
        <v/>
      </c>
      <c r="H923" s="63">
        <f>IF(OR(A923="",F923=""),"",F923&amp;"|"&amp;A923)</f>
        <v/>
      </c>
      <c r="I923" s="63">
        <f>IF(AND(H923&lt;&gt;"",OR('Historia wózka'!$B$4="",F923='Historia wózka'!$B$4),A923&gt;='Historia wózka'!$B$5,A923&lt;='Historia wózka'!$B$6),A923+0.8+(5000-ROW())/10000000,0)</f>
        <v/>
      </c>
      <c r="J923" s="63">
        <f>Ustawienia!$B$9&amp;""</f>
        <v/>
      </c>
      <c r="K923" s="63">
        <f>IF(H923="","",COUNTIFS('Zgłoszenia'!$B$5:$B$504,F923,'Zgłoszenia'!$D$5:$D$504,"&gt;="&amp;A923,'Zgłoszenia'!$D$5:$D$504,"&lt;="&amp;(A923+1)))</f>
        <v/>
      </c>
      <c r="L923" s="63">
        <f>IF(OR(H923="",K923=0),"—",IF(ISNUMBER(MATCH(H923,'Zgłoszenia'!$S$5:$S$504,0)),RIGHT("0"&amp;DAY(A923),2)&amp;"."&amp;RIGHT("0"&amp;MONTH(A923),2)&amp;"."&amp;YEAR(A923)&amp;": "&amp;INDEX('Zgłoszenia'!$H$5:$H$504,MATCH(H923,'Zgłoszenia'!$S$5:$S$504,0)),RIGHT("0"&amp;DAY((A923+1)),2)&amp;"."&amp;RIGHT("0"&amp;MONTH((A923+1)),2)&amp;"."&amp;YEAR((A923+1))&amp;": "&amp;INDEX('Zgłoszenia'!$H$5:$H$504,MATCH(F923&amp;"|"&amp;(A923+1),'Zgłoszenia'!$S$5:$S$504,0)))&amp;IF(K923&gt;1," (+"&amp;(K923-1)&amp;")",""))</f>
        <v/>
      </c>
      <c r="M923" s="63" t="n">
        <v>12</v>
      </c>
      <c r="N923" s="2" t="n"/>
      <c r="O923" s="2" t="n"/>
    </row>
    <row r="924">
      <c r="A924" s="62">
        <f>IF('12'!$C$1="","",'12'!$C$1)</f>
        <v/>
      </c>
      <c r="B924" s="63">
        <f>Ustawienia!$A$9&amp;""</f>
        <v/>
      </c>
      <c r="C924" s="63">
        <f>Ustawienia!$A$14&amp;""</f>
        <v/>
      </c>
      <c r="D924" s="63" t="n">
        <v>5</v>
      </c>
      <c r="E924" s="63">
        <f>IF('12'!F10="","",TRIM('12'!F10&amp;""))</f>
        <v/>
      </c>
      <c r="F924" s="63">
        <f>IF('12'!G10="","",'12'!G10)</f>
        <v/>
      </c>
      <c r="G924" s="63">
        <f>'12'!H10&amp;""</f>
        <v/>
      </c>
      <c r="H924" s="63">
        <f>IF(OR(A924="",F924=""),"",F924&amp;"|"&amp;A924)</f>
        <v/>
      </c>
      <c r="I924" s="63">
        <f>IF(AND(H924&lt;&gt;"",OR('Historia wózka'!$B$4="",F924='Historia wózka'!$B$4),A924&gt;='Historia wózka'!$B$5,A924&lt;='Historia wózka'!$B$6),A924+0.8+(5000-ROW())/10000000,0)</f>
        <v/>
      </c>
      <c r="J924" s="63">
        <f>Ustawienia!$B$9&amp;""</f>
        <v/>
      </c>
      <c r="K924" s="63">
        <f>IF(H924="","",COUNTIFS('Zgłoszenia'!$B$5:$B$504,F924,'Zgłoszenia'!$D$5:$D$504,"&gt;="&amp;A924,'Zgłoszenia'!$D$5:$D$504,"&lt;="&amp;(A924+1)))</f>
        <v/>
      </c>
      <c r="L924" s="63">
        <f>IF(OR(H924="",K924=0),"—",IF(ISNUMBER(MATCH(H924,'Zgłoszenia'!$S$5:$S$504,0)),RIGHT("0"&amp;DAY(A924),2)&amp;"."&amp;RIGHT("0"&amp;MONTH(A924),2)&amp;"."&amp;YEAR(A924)&amp;": "&amp;INDEX('Zgłoszenia'!$H$5:$H$504,MATCH(H924,'Zgłoszenia'!$S$5:$S$504,0)),RIGHT("0"&amp;DAY((A924+1)),2)&amp;"."&amp;RIGHT("0"&amp;MONTH((A924+1)),2)&amp;"."&amp;YEAR((A924+1))&amp;": "&amp;INDEX('Zgłoszenia'!$H$5:$H$504,MATCH(F924&amp;"|"&amp;(A924+1),'Zgłoszenia'!$S$5:$S$504,0)))&amp;IF(K924&gt;1," (+"&amp;(K924-1)&amp;")",""))</f>
        <v/>
      </c>
      <c r="M924" s="63" t="n">
        <v>12</v>
      </c>
      <c r="N924" s="2" t="n"/>
      <c r="O924" s="2" t="n"/>
    </row>
    <row r="925">
      <c r="A925" s="62">
        <f>IF('12'!$C$1="","",'12'!$C$1)</f>
        <v/>
      </c>
      <c r="B925" s="63">
        <f>Ustawienia!$A$9&amp;""</f>
        <v/>
      </c>
      <c r="C925" s="63">
        <f>Ustawienia!$A$14&amp;""</f>
        <v/>
      </c>
      <c r="D925" s="63" t="n">
        <v>6</v>
      </c>
      <c r="E925" s="63">
        <f>IF('12'!F11="","",TRIM('12'!F11&amp;""))</f>
        <v/>
      </c>
      <c r="F925" s="63">
        <f>IF('12'!G11="","",'12'!G11)</f>
        <v/>
      </c>
      <c r="G925" s="63">
        <f>'12'!H11&amp;""</f>
        <v/>
      </c>
      <c r="H925" s="63">
        <f>IF(OR(A925="",F925=""),"",F925&amp;"|"&amp;A925)</f>
        <v/>
      </c>
      <c r="I925" s="63">
        <f>IF(AND(H925&lt;&gt;"",OR('Historia wózka'!$B$4="",F925='Historia wózka'!$B$4),A925&gt;='Historia wózka'!$B$5,A925&lt;='Historia wózka'!$B$6),A925+0.8+(5000-ROW())/10000000,0)</f>
        <v/>
      </c>
      <c r="J925" s="63">
        <f>Ustawienia!$B$9&amp;""</f>
        <v/>
      </c>
      <c r="K925" s="63">
        <f>IF(H925="","",COUNTIFS('Zgłoszenia'!$B$5:$B$504,F925,'Zgłoszenia'!$D$5:$D$504,"&gt;="&amp;A925,'Zgłoszenia'!$D$5:$D$504,"&lt;="&amp;(A925+1)))</f>
        <v/>
      </c>
      <c r="L925" s="63">
        <f>IF(OR(H925="",K925=0),"—",IF(ISNUMBER(MATCH(H925,'Zgłoszenia'!$S$5:$S$504,0)),RIGHT("0"&amp;DAY(A925),2)&amp;"."&amp;RIGHT("0"&amp;MONTH(A925),2)&amp;"."&amp;YEAR(A925)&amp;": "&amp;INDEX('Zgłoszenia'!$H$5:$H$504,MATCH(H925,'Zgłoszenia'!$S$5:$S$504,0)),RIGHT("0"&amp;DAY((A925+1)),2)&amp;"."&amp;RIGHT("0"&amp;MONTH((A925+1)),2)&amp;"."&amp;YEAR((A925+1))&amp;": "&amp;INDEX('Zgłoszenia'!$H$5:$H$504,MATCH(F925&amp;"|"&amp;(A925+1),'Zgłoszenia'!$S$5:$S$504,0)))&amp;IF(K925&gt;1," (+"&amp;(K925-1)&amp;")",""))</f>
        <v/>
      </c>
      <c r="M925" s="63" t="n">
        <v>12</v>
      </c>
      <c r="N925" s="2" t="n"/>
      <c r="O925" s="2" t="n"/>
    </row>
    <row r="926">
      <c r="A926" s="62">
        <f>IF('12'!$C$1="","",'12'!$C$1)</f>
        <v/>
      </c>
      <c r="B926" s="63">
        <f>Ustawienia!$A$9&amp;""</f>
        <v/>
      </c>
      <c r="C926" s="63">
        <f>Ustawienia!$A$15&amp;""</f>
        <v/>
      </c>
      <c r="D926" s="63" t="n">
        <v>1</v>
      </c>
      <c r="E926" s="63">
        <f>IF('12'!F13="","",TRIM('12'!F13&amp;""))</f>
        <v/>
      </c>
      <c r="F926" s="63">
        <f>IF('12'!G13="","",'12'!G13)</f>
        <v/>
      </c>
      <c r="G926" s="63">
        <f>'12'!H13&amp;""</f>
        <v/>
      </c>
      <c r="H926" s="63">
        <f>IF(OR(A926="",F926=""),"",F926&amp;"|"&amp;A926)</f>
        <v/>
      </c>
      <c r="I926" s="63">
        <f>IF(AND(H926&lt;&gt;"",OR('Historia wózka'!$B$4="",F926='Historia wózka'!$B$4),A926&gt;='Historia wózka'!$B$5,A926&lt;='Historia wózka'!$B$6),A926+0.8+(5000-ROW())/10000000,0)</f>
        <v/>
      </c>
      <c r="J926" s="63">
        <f>Ustawienia!$B$9&amp;""</f>
        <v/>
      </c>
      <c r="K926" s="63">
        <f>IF(H926="","",COUNTIFS('Zgłoszenia'!$B$5:$B$504,F926,'Zgłoszenia'!$D$5:$D$504,"&gt;="&amp;A926,'Zgłoszenia'!$D$5:$D$504,"&lt;="&amp;(A926+1)))</f>
        <v/>
      </c>
      <c r="L926" s="63">
        <f>IF(OR(H926="",K926=0),"—",IF(ISNUMBER(MATCH(H926,'Zgłoszenia'!$S$5:$S$504,0)),RIGHT("0"&amp;DAY(A926),2)&amp;"."&amp;RIGHT("0"&amp;MONTH(A926),2)&amp;"."&amp;YEAR(A926)&amp;": "&amp;INDEX('Zgłoszenia'!$H$5:$H$504,MATCH(H926,'Zgłoszenia'!$S$5:$S$504,0)),RIGHT("0"&amp;DAY((A926+1)),2)&amp;"."&amp;RIGHT("0"&amp;MONTH((A926+1)),2)&amp;"."&amp;YEAR((A926+1))&amp;": "&amp;INDEX('Zgłoszenia'!$H$5:$H$504,MATCH(F926&amp;"|"&amp;(A926+1),'Zgłoszenia'!$S$5:$S$504,0)))&amp;IF(K926&gt;1," (+"&amp;(K926-1)&amp;")",""))</f>
        <v/>
      </c>
      <c r="M926" s="63" t="n">
        <v>12</v>
      </c>
      <c r="N926" s="2" t="n"/>
      <c r="O926" s="2" t="n"/>
    </row>
    <row r="927">
      <c r="A927" s="62">
        <f>IF('12'!$C$1="","",'12'!$C$1)</f>
        <v/>
      </c>
      <c r="B927" s="63">
        <f>Ustawienia!$A$9&amp;""</f>
        <v/>
      </c>
      <c r="C927" s="63">
        <f>Ustawienia!$A$15&amp;""</f>
        <v/>
      </c>
      <c r="D927" s="63" t="n">
        <v>2</v>
      </c>
      <c r="E927" s="63">
        <f>IF('12'!F14="","",TRIM('12'!F14&amp;""))</f>
        <v/>
      </c>
      <c r="F927" s="63">
        <f>IF('12'!G14="","",'12'!G14)</f>
        <v/>
      </c>
      <c r="G927" s="63">
        <f>'12'!H14&amp;""</f>
        <v/>
      </c>
      <c r="H927" s="63">
        <f>IF(OR(A927="",F927=""),"",F927&amp;"|"&amp;A927)</f>
        <v/>
      </c>
      <c r="I927" s="63">
        <f>IF(AND(H927&lt;&gt;"",OR('Historia wózka'!$B$4="",F927='Historia wózka'!$B$4),A927&gt;='Historia wózka'!$B$5,A927&lt;='Historia wózka'!$B$6),A927+0.8+(5000-ROW())/10000000,0)</f>
        <v/>
      </c>
      <c r="J927" s="63">
        <f>Ustawienia!$B$9&amp;""</f>
        <v/>
      </c>
      <c r="K927" s="63">
        <f>IF(H927="","",COUNTIFS('Zgłoszenia'!$B$5:$B$504,F927,'Zgłoszenia'!$D$5:$D$504,"&gt;="&amp;A927,'Zgłoszenia'!$D$5:$D$504,"&lt;="&amp;(A927+1)))</f>
        <v/>
      </c>
      <c r="L927" s="63">
        <f>IF(OR(H927="",K927=0),"—",IF(ISNUMBER(MATCH(H927,'Zgłoszenia'!$S$5:$S$504,0)),RIGHT("0"&amp;DAY(A927),2)&amp;"."&amp;RIGHT("0"&amp;MONTH(A927),2)&amp;"."&amp;YEAR(A927)&amp;": "&amp;INDEX('Zgłoszenia'!$H$5:$H$504,MATCH(H927,'Zgłoszenia'!$S$5:$S$504,0)),RIGHT("0"&amp;DAY((A927+1)),2)&amp;"."&amp;RIGHT("0"&amp;MONTH((A927+1)),2)&amp;"."&amp;YEAR((A927+1))&amp;": "&amp;INDEX('Zgłoszenia'!$H$5:$H$504,MATCH(F927&amp;"|"&amp;(A927+1),'Zgłoszenia'!$S$5:$S$504,0)))&amp;IF(K927&gt;1," (+"&amp;(K927-1)&amp;")",""))</f>
        <v/>
      </c>
      <c r="M927" s="63" t="n">
        <v>12</v>
      </c>
      <c r="N927" s="2" t="n"/>
      <c r="O927" s="2" t="n"/>
    </row>
    <row r="928">
      <c r="A928" s="62">
        <f>IF('12'!$C$1="","",'12'!$C$1)</f>
        <v/>
      </c>
      <c r="B928" s="63">
        <f>Ustawienia!$A$9&amp;""</f>
        <v/>
      </c>
      <c r="C928" s="63">
        <f>Ustawienia!$A$15&amp;""</f>
        <v/>
      </c>
      <c r="D928" s="63" t="n">
        <v>3</v>
      </c>
      <c r="E928" s="63">
        <f>IF('12'!F15="","",TRIM('12'!F15&amp;""))</f>
        <v/>
      </c>
      <c r="F928" s="63">
        <f>IF('12'!G15="","",'12'!G15)</f>
        <v/>
      </c>
      <c r="G928" s="63">
        <f>'12'!H15&amp;""</f>
        <v/>
      </c>
      <c r="H928" s="63">
        <f>IF(OR(A928="",F928=""),"",F928&amp;"|"&amp;A928)</f>
        <v/>
      </c>
      <c r="I928" s="63">
        <f>IF(AND(H928&lt;&gt;"",OR('Historia wózka'!$B$4="",F928='Historia wózka'!$B$4),A928&gt;='Historia wózka'!$B$5,A928&lt;='Historia wózka'!$B$6),A928+0.8+(5000-ROW())/10000000,0)</f>
        <v/>
      </c>
      <c r="J928" s="63">
        <f>Ustawienia!$B$9&amp;""</f>
        <v/>
      </c>
      <c r="K928" s="63">
        <f>IF(H928="","",COUNTIFS('Zgłoszenia'!$B$5:$B$504,F928,'Zgłoszenia'!$D$5:$D$504,"&gt;="&amp;A928,'Zgłoszenia'!$D$5:$D$504,"&lt;="&amp;(A928+1)))</f>
        <v/>
      </c>
      <c r="L928" s="63">
        <f>IF(OR(H928="",K928=0),"—",IF(ISNUMBER(MATCH(H928,'Zgłoszenia'!$S$5:$S$504,0)),RIGHT("0"&amp;DAY(A928),2)&amp;"."&amp;RIGHT("0"&amp;MONTH(A928),2)&amp;"."&amp;YEAR(A928)&amp;": "&amp;INDEX('Zgłoszenia'!$H$5:$H$504,MATCH(H928,'Zgłoszenia'!$S$5:$S$504,0)),RIGHT("0"&amp;DAY((A928+1)),2)&amp;"."&amp;RIGHT("0"&amp;MONTH((A928+1)),2)&amp;"."&amp;YEAR((A928+1))&amp;": "&amp;INDEX('Zgłoszenia'!$H$5:$H$504,MATCH(F928&amp;"|"&amp;(A928+1),'Zgłoszenia'!$S$5:$S$504,0)))&amp;IF(K928&gt;1," (+"&amp;(K928-1)&amp;")",""))</f>
        <v/>
      </c>
      <c r="M928" s="63" t="n">
        <v>12</v>
      </c>
      <c r="N928" s="2" t="n"/>
      <c r="O928" s="2" t="n"/>
    </row>
    <row r="929">
      <c r="A929" s="62">
        <f>IF('12'!$C$1="","",'12'!$C$1)</f>
        <v/>
      </c>
      <c r="B929" s="63">
        <f>Ustawienia!$A$9&amp;""</f>
        <v/>
      </c>
      <c r="C929" s="63">
        <f>Ustawienia!$A$15&amp;""</f>
        <v/>
      </c>
      <c r="D929" s="63" t="n">
        <v>4</v>
      </c>
      <c r="E929" s="63">
        <f>IF('12'!F16="","",TRIM('12'!F16&amp;""))</f>
        <v/>
      </c>
      <c r="F929" s="63">
        <f>IF('12'!G16="","",'12'!G16)</f>
        <v/>
      </c>
      <c r="G929" s="63">
        <f>'12'!H16&amp;""</f>
        <v/>
      </c>
      <c r="H929" s="63">
        <f>IF(OR(A929="",F929=""),"",F929&amp;"|"&amp;A929)</f>
        <v/>
      </c>
      <c r="I929" s="63">
        <f>IF(AND(H929&lt;&gt;"",OR('Historia wózka'!$B$4="",F929='Historia wózka'!$B$4),A929&gt;='Historia wózka'!$B$5,A929&lt;='Historia wózka'!$B$6),A929+0.8+(5000-ROW())/10000000,0)</f>
        <v/>
      </c>
      <c r="J929" s="63">
        <f>Ustawienia!$B$9&amp;""</f>
        <v/>
      </c>
      <c r="K929" s="63">
        <f>IF(H929="","",COUNTIFS('Zgłoszenia'!$B$5:$B$504,F929,'Zgłoszenia'!$D$5:$D$504,"&gt;="&amp;A929,'Zgłoszenia'!$D$5:$D$504,"&lt;="&amp;(A929+1)))</f>
        <v/>
      </c>
      <c r="L929" s="63">
        <f>IF(OR(H929="",K929=0),"—",IF(ISNUMBER(MATCH(H929,'Zgłoszenia'!$S$5:$S$504,0)),RIGHT("0"&amp;DAY(A929),2)&amp;"."&amp;RIGHT("0"&amp;MONTH(A929),2)&amp;"."&amp;YEAR(A929)&amp;": "&amp;INDEX('Zgłoszenia'!$H$5:$H$504,MATCH(H929,'Zgłoszenia'!$S$5:$S$504,0)),RIGHT("0"&amp;DAY((A929+1)),2)&amp;"."&amp;RIGHT("0"&amp;MONTH((A929+1)),2)&amp;"."&amp;YEAR((A929+1))&amp;": "&amp;INDEX('Zgłoszenia'!$H$5:$H$504,MATCH(F929&amp;"|"&amp;(A929+1),'Zgłoszenia'!$S$5:$S$504,0)))&amp;IF(K929&gt;1," (+"&amp;(K929-1)&amp;")",""))</f>
        <v/>
      </c>
      <c r="M929" s="63" t="n">
        <v>12</v>
      </c>
      <c r="N929" s="2" t="n"/>
      <c r="O929" s="2" t="n"/>
    </row>
    <row r="930">
      <c r="A930" s="62">
        <f>IF('12'!$C$1="","",'12'!$C$1)</f>
        <v/>
      </c>
      <c r="B930" s="63">
        <f>Ustawienia!$A$9&amp;""</f>
        <v/>
      </c>
      <c r="C930" s="63">
        <f>Ustawienia!$A$15&amp;""</f>
        <v/>
      </c>
      <c r="D930" s="63" t="n">
        <v>5</v>
      </c>
      <c r="E930" s="63">
        <f>IF('12'!F17="","",TRIM('12'!F17&amp;""))</f>
        <v/>
      </c>
      <c r="F930" s="63">
        <f>IF('12'!G17="","",'12'!G17)</f>
        <v/>
      </c>
      <c r="G930" s="63">
        <f>'12'!H17&amp;""</f>
        <v/>
      </c>
      <c r="H930" s="63">
        <f>IF(OR(A930="",F930=""),"",F930&amp;"|"&amp;A930)</f>
        <v/>
      </c>
      <c r="I930" s="63">
        <f>IF(AND(H930&lt;&gt;"",OR('Historia wózka'!$B$4="",F930='Historia wózka'!$B$4),A930&gt;='Historia wózka'!$B$5,A930&lt;='Historia wózka'!$B$6),A930+0.8+(5000-ROW())/10000000,0)</f>
        <v/>
      </c>
      <c r="J930" s="63">
        <f>Ustawienia!$B$9&amp;""</f>
        <v/>
      </c>
      <c r="K930" s="63">
        <f>IF(H930="","",COUNTIFS('Zgłoszenia'!$B$5:$B$504,F930,'Zgłoszenia'!$D$5:$D$504,"&gt;="&amp;A930,'Zgłoszenia'!$D$5:$D$504,"&lt;="&amp;(A930+1)))</f>
        <v/>
      </c>
      <c r="L930" s="63">
        <f>IF(OR(H930="",K930=0),"—",IF(ISNUMBER(MATCH(H930,'Zgłoszenia'!$S$5:$S$504,0)),RIGHT("0"&amp;DAY(A930),2)&amp;"."&amp;RIGHT("0"&amp;MONTH(A930),2)&amp;"."&amp;YEAR(A930)&amp;": "&amp;INDEX('Zgłoszenia'!$H$5:$H$504,MATCH(H930,'Zgłoszenia'!$S$5:$S$504,0)),RIGHT("0"&amp;DAY((A930+1)),2)&amp;"."&amp;RIGHT("0"&amp;MONTH((A930+1)),2)&amp;"."&amp;YEAR((A930+1))&amp;": "&amp;INDEX('Zgłoszenia'!$H$5:$H$504,MATCH(F930&amp;"|"&amp;(A930+1),'Zgłoszenia'!$S$5:$S$504,0)))&amp;IF(K930&gt;1," (+"&amp;(K930-1)&amp;")",""))</f>
        <v/>
      </c>
      <c r="M930" s="63" t="n">
        <v>12</v>
      </c>
      <c r="N930" s="2" t="n"/>
      <c r="O930" s="2" t="n"/>
    </row>
    <row r="931">
      <c r="A931" s="62">
        <f>IF('12'!$C$1="","",'12'!$C$1)</f>
        <v/>
      </c>
      <c r="B931" s="63">
        <f>Ustawienia!$A$9&amp;""</f>
        <v/>
      </c>
      <c r="C931" s="63">
        <f>Ustawienia!$A$15&amp;""</f>
        <v/>
      </c>
      <c r="D931" s="63" t="n">
        <v>6</v>
      </c>
      <c r="E931" s="63">
        <f>IF('12'!F18="","",TRIM('12'!F18&amp;""))</f>
        <v/>
      </c>
      <c r="F931" s="63">
        <f>IF('12'!G18="","",'12'!G18)</f>
        <v/>
      </c>
      <c r="G931" s="63">
        <f>'12'!H18&amp;""</f>
        <v/>
      </c>
      <c r="H931" s="63">
        <f>IF(OR(A931="",F931=""),"",F931&amp;"|"&amp;A931)</f>
        <v/>
      </c>
      <c r="I931" s="63">
        <f>IF(AND(H931&lt;&gt;"",OR('Historia wózka'!$B$4="",F931='Historia wózka'!$B$4),A931&gt;='Historia wózka'!$B$5,A931&lt;='Historia wózka'!$B$6),A931+0.8+(5000-ROW())/10000000,0)</f>
        <v/>
      </c>
      <c r="J931" s="63">
        <f>Ustawienia!$B$9&amp;""</f>
        <v/>
      </c>
      <c r="K931" s="63">
        <f>IF(H931="","",COUNTIFS('Zgłoszenia'!$B$5:$B$504,F931,'Zgłoszenia'!$D$5:$D$504,"&gt;="&amp;A931,'Zgłoszenia'!$D$5:$D$504,"&lt;="&amp;(A931+1)))</f>
        <v/>
      </c>
      <c r="L931" s="63">
        <f>IF(OR(H931="",K931=0),"—",IF(ISNUMBER(MATCH(H931,'Zgłoszenia'!$S$5:$S$504,0)),RIGHT("0"&amp;DAY(A931),2)&amp;"."&amp;RIGHT("0"&amp;MONTH(A931),2)&amp;"."&amp;YEAR(A931)&amp;": "&amp;INDEX('Zgłoszenia'!$H$5:$H$504,MATCH(H931,'Zgłoszenia'!$S$5:$S$504,0)),RIGHT("0"&amp;DAY((A931+1)),2)&amp;"."&amp;RIGHT("0"&amp;MONTH((A931+1)),2)&amp;"."&amp;YEAR((A931+1))&amp;": "&amp;INDEX('Zgłoszenia'!$H$5:$H$504,MATCH(F931&amp;"|"&amp;(A931+1),'Zgłoszenia'!$S$5:$S$504,0)))&amp;IF(K931&gt;1," (+"&amp;(K931-1)&amp;")",""))</f>
        <v/>
      </c>
      <c r="M931" s="63" t="n">
        <v>12</v>
      </c>
      <c r="N931" s="2" t="n"/>
      <c r="O931" s="2" t="n"/>
    </row>
    <row r="932">
      <c r="A932" s="62">
        <f>IF('12'!$C$1="","",'12'!$C$1)</f>
        <v/>
      </c>
      <c r="B932" s="63">
        <f>Ustawienia!$A$9&amp;""</f>
        <v/>
      </c>
      <c r="C932" s="63">
        <f>Ustawienia!$A$15&amp;""</f>
        <v/>
      </c>
      <c r="D932" s="63" t="n">
        <v>7</v>
      </c>
      <c r="E932" s="63">
        <f>IF('12'!F19="","",TRIM('12'!F19&amp;""))</f>
        <v/>
      </c>
      <c r="F932" s="63">
        <f>IF('12'!G19="","",'12'!G19)</f>
        <v/>
      </c>
      <c r="G932" s="63">
        <f>'12'!H19&amp;""</f>
        <v/>
      </c>
      <c r="H932" s="63">
        <f>IF(OR(A932="",F932=""),"",F932&amp;"|"&amp;A932)</f>
        <v/>
      </c>
      <c r="I932" s="63">
        <f>IF(AND(H932&lt;&gt;"",OR('Historia wózka'!$B$4="",F932='Historia wózka'!$B$4),A932&gt;='Historia wózka'!$B$5,A932&lt;='Historia wózka'!$B$6),A932+0.8+(5000-ROW())/10000000,0)</f>
        <v/>
      </c>
      <c r="J932" s="63">
        <f>Ustawienia!$B$9&amp;""</f>
        <v/>
      </c>
      <c r="K932" s="63">
        <f>IF(H932="","",COUNTIFS('Zgłoszenia'!$B$5:$B$504,F932,'Zgłoszenia'!$D$5:$D$504,"&gt;="&amp;A932,'Zgłoszenia'!$D$5:$D$504,"&lt;="&amp;(A932+1)))</f>
        <v/>
      </c>
      <c r="L932" s="63">
        <f>IF(OR(H932="",K932=0),"—",IF(ISNUMBER(MATCH(H932,'Zgłoszenia'!$S$5:$S$504,0)),RIGHT("0"&amp;DAY(A932),2)&amp;"."&amp;RIGHT("0"&amp;MONTH(A932),2)&amp;"."&amp;YEAR(A932)&amp;": "&amp;INDEX('Zgłoszenia'!$H$5:$H$504,MATCH(H932,'Zgłoszenia'!$S$5:$S$504,0)),RIGHT("0"&amp;DAY((A932+1)),2)&amp;"."&amp;RIGHT("0"&amp;MONTH((A932+1)),2)&amp;"."&amp;YEAR((A932+1))&amp;": "&amp;INDEX('Zgłoszenia'!$H$5:$H$504,MATCH(F932&amp;"|"&amp;(A932+1),'Zgłoszenia'!$S$5:$S$504,0)))&amp;IF(K932&gt;1," (+"&amp;(K932-1)&amp;")",""))</f>
        <v/>
      </c>
      <c r="M932" s="63" t="n">
        <v>12</v>
      </c>
      <c r="N932" s="2" t="n"/>
      <c r="O932" s="2" t="n"/>
    </row>
    <row r="933">
      <c r="A933" s="62">
        <f>IF('12'!$C$1="","",'12'!$C$1)</f>
        <v/>
      </c>
      <c r="B933" s="63">
        <f>Ustawienia!$A$9&amp;""</f>
        <v/>
      </c>
      <c r="C933" s="63">
        <f>Ustawienia!$A$15&amp;""</f>
        <v/>
      </c>
      <c r="D933" s="63" t="n">
        <v>8</v>
      </c>
      <c r="E933" s="63">
        <f>IF('12'!F20="","",TRIM('12'!F20&amp;""))</f>
        <v/>
      </c>
      <c r="F933" s="63">
        <f>IF('12'!G20="","",'12'!G20)</f>
        <v/>
      </c>
      <c r="G933" s="63">
        <f>'12'!H20&amp;""</f>
        <v/>
      </c>
      <c r="H933" s="63">
        <f>IF(OR(A933="",F933=""),"",F933&amp;"|"&amp;A933)</f>
        <v/>
      </c>
      <c r="I933" s="63">
        <f>IF(AND(H933&lt;&gt;"",OR('Historia wózka'!$B$4="",F933='Historia wózka'!$B$4),A933&gt;='Historia wózka'!$B$5,A933&lt;='Historia wózka'!$B$6),A933+0.8+(5000-ROW())/10000000,0)</f>
        <v/>
      </c>
      <c r="J933" s="63">
        <f>Ustawienia!$B$9&amp;""</f>
        <v/>
      </c>
      <c r="K933" s="63">
        <f>IF(H933="","",COUNTIFS('Zgłoszenia'!$B$5:$B$504,F933,'Zgłoszenia'!$D$5:$D$504,"&gt;="&amp;A933,'Zgłoszenia'!$D$5:$D$504,"&lt;="&amp;(A933+1)))</f>
        <v/>
      </c>
      <c r="L933" s="63">
        <f>IF(OR(H933="",K933=0),"—",IF(ISNUMBER(MATCH(H933,'Zgłoszenia'!$S$5:$S$504,0)),RIGHT("0"&amp;DAY(A933),2)&amp;"."&amp;RIGHT("0"&amp;MONTH(A933),2)&amp;"."&amp;YEAR(A933)&amp;": "&amp;INDEX('Zgłoszenia'!$H$5:$H$504,MATCH(H933,'Zgłoszenia'!$S$5:$S$504,0)),RIGHT("0"&amp;DAY((A933+1)),2)&amp;"."&amp;RIGHT("0"&amp;MONTH((A933+1)),2)&amp;"."&amp;YEAR((A933+1))&amp;": "&amp;INDEX('Zgłoszenia'!$H$5:$H$504,MATCH(F933&amp;"|"&amp;(A933+1),'Zgłoszenia'!$S$5:$S$504,0)))&amp;IF(K933&gt;1," (+"&amp;(K933-1)&amp;")",""))</f>
        <v/>
      </c>
      <c r="M933" s="63" t="n">
        <v>12</v>
      </c>
      <c r="N933" s="2" t="n"/>
      <c r="O933" s="2" t="n"/>
    </row>
    <row r="934">
      <c r="A934" s="62">
        <f>IF('12'!$C$1="","",'12'!$C$1)</f>
        <v/>
      </c>
      <c r="B934" s="63">
        <f>Ustawienia!$A$9&amp;""</f>
        <v/>
      </c>
      <c r="C934" s="63">
        <f>Ustawienia!$A$16&amp;""</f>
        <v/>
      </c>
      <c r="D934" s="63" t="n">
        <v>1</v>
      </c>
      <c r="E934" s="63">
        <f>IF('12'!F22="","",TRIM('12'!F22&amp;""))</f>
        <v/>
      </c>
      <c r="F934" s="63">
        <f>IF('12'!G22="","",'12'!G22)</f>
        <v/>
      </c>
      <c r="G934" s="63">
        <f>'12'!H22&amp;""</f>
        <v/>
      </c>
      <c r="H934" s="63">
        <f>IF(OR(A934="",F934=""),"",F934&amp;"|"&amp;A934)</f>
        <v/>
      </c>
      <c r="I934" s="63">
        <f>IF(AND(H934&lt;&gt;"",OR('Historia wózka'!$B$4="",F934='Historia wózka'!$B$4),A934&gt;='Historia wózka'!$B$5,A934&lt;='Historia wózka'!$B$6),A934+0.8+(5000-ROW())/10000000,0)</f>
        <v/>
      </c>
      <c r="J934" s="63">
        <f>Ustawienia!$B$9&amp;""</f>
        <v/>
      </c>
      <c r="K934" s="63">
        <f>IF(H934="","",COUNTIFS('Zgłoszenia'!$B$5:$B$504,F934,'Zgłoszenia'!$D$5:$D$504,"&gt;="&amp;A934,'Zgłoszenia'!$D$5:$D$504,"&lt;="&amp;(A934+1)))</f>
        <v/>
      </c>
      <c r="L934" s="63">
        <f>IF(OR(H934="",K934=0),"—",IF(ISNUMBER(MATCH(H934,'Zgłoszenia'!$S$5:$S$504,0)),RIGHT("0"&amp;DAY(A934),2)&amp;"."&amp;RIGHT("0"&amp;MONTH(A934),2)&amp;"."&amp;YEAR(A934)&amp;": "&amp;INDEX('Zgłoszenia'!$H$5:$H$504,MATCH(H934,'Zgłoszenia'!$S$5:$S$504,0)),RIGHT("0"&amp;DAY((A934+1)),2)&amp;"."&amp;RIGHT("0"&amp;MONTH((A934+1)),2)&amp;"."&amp;YEAR((A934+1))&amp;": "&amp;INDEX('Zgłoszenia'!$H$5:$H$504,MATCH(F934&amp;"|"&amp;(A934+1),'Zgłoszenia'!$S$5:$S$504,0)))&amp;IF(K934&gt;1," (+"&amp;(K934-1)&amp;")",""))</f>
        <v/>
      </c>
      <c r="M934" s="63" t="n">
        <v>12</v>
      </c>
      <c r="N934" s="2" t="n"/>
      <c r="O934" s="2" t="n"/>
    </row>
    <row r="935">
      <c r="A935" s="62">
        <f>IF('12'!$C$1="","",'12'!$C$1)</f>
        <v/>
      </c>
      <c r="B935" s="63">
        <f>Ustawienia!$A$9&amp;""</f>
        <v/>
      </c>
      <c r="C935" s="63">
        <f>Ustawienia!$A$16&amp;""</f>
        <v/>
      </c>
      <c r="D935" s="63" t="n">
        <v>2</v>
      </c>
      <c r="E935" s="63">
        <f>IF('12'!F23="","",TRIM('12'!F23&amp;""))</f>
        <v/>
      </c>
      <c r="F935" s="63">
        <f>IF('12'!G23="","",'12'!G23)</f>
        <v/>
      </c>
      <c r="G935" s="63">
        <f>'12'!H23&amp;""</f>
        <v/>
      </c>
      <c r="H935" s="63">
        <f>IF(OR(A935="",F935=""),"",F935&amp;"|"&amp;A935)</f>
        <v/>
      </c>
      <c r="I935" s="63">
        <f>IF(AND(H935&lt;&gt;"",OR('Historia wózka'!$B$4="",F935='Historia wózka'!$B$4),A935&gt;='Historia wózka'!$B$5,A935&lt;='Historia wózka'!$B$6),A935+0.8+(5000-ROW())/10000000,0)</f>
        <v/>
      </c>
      <c r="J935" s="63">
        <f>Ustawienia!$B$9&amp;""</f>
        <v/>
      </c>
      <c r="K935" s="63">
        <f>IF(H935="","",COUNTIFS('Zgłoszenia'!$B$5:$B$504,F935,'Zgłoszenia'!$D$5:$D$504,"&gt;="&amp;A935,'Zgłoszenia'!$D$5:$D$504,"&lt;="&amp;(A935+1)))</f>
        <v/>
      </c>
      <c r="L935" s="63">
        <f>IF(OR(H935="",K935=0),"—",IF(ISNUMBER(MATCH(H935,'Zgłoszenia'!$S$5:$S$504,0)),RIGHT("0"&amp;DAY(A935),2)&amp;"."&amp;RIGHT("0"&amp;MONTH(A935),2)&amp;"."&amp;YEAR(A935)&amp;": "&amp;INDEX('Zgłoszenia'!$H$5:$H$504,MATCH(H935,'Zgłoszenia'!$S$5:$S$504,0)),RIGHT("0"&amp;DAY((A935+1)),2)&amp;"."&amp;RIGHT("0"&amp;MONTH((A935+1)),2)&amp;"."&amp;YEAR((A935+1))&amp;": "&amp;INDEX('Zgłoszenia'!$H$5:$H$504,MATCH(F935&amp;"|"&amp;(A935+1),'Zgłoszenia'!$S$5:$S$504,0)))&amp;IF(K935&gt;1," (+"&amp;(K935-1)&amp;")",""))</f>
        <v/>
      </c>
      <c r="M935" s="63" t="n">
        <v>12</v>
      </c>
      <c r="N935" s="2" t="n"/>
      <c r="O935" s="2" t="n"/>
    </row>
    <row r="936">
      <c r="A936" s="62">
        <f>IF('12'!$C$1="","",'12'!$C$1)</f>
        <v/>
      </c>
      <c r="B936" s="63">
        <f>Ustawienia!$A$9&amp;""</f>
        <v/>
      </c>
      <c r="C936" s="63">
        <f>Ustawienia!$A$16&amp;""</f>
        <v/>
      </c>
      <c r="D936" s="63" t="n">
        <v>3</v>
      </c>
      <c r="E936" s="63">
        <f>IF('12'!F24="","",TRIM('12'!F24&amp;""))</f>
        <v/>
      </c>
      <c r="F936" s="63">
        <f>IF('12'!G24="","",'12'!G24)</f>
        <v/>
      </c>
      <c r="G936" s="63">
        <f>'12'!H24&amp;""</f>
        <v/>
      </c>
      <c r="H936" s="63">
        <f>IF(OR(A936="",F936=""),"",F936&amp;"|"&amp;A936)</f>
        <v/>
      </c>
      <c r="I936" s="63">
        <f>IF(AND(H936&lt;&gt;"",OR('Historia wózka'!$B$4="",F936='Historia wózka'!$B$4),A936&gt;='Historia wózka'!$B$5,A936&lt;='Historia wózka'!$B$6),A936+0.8+(5000-ROW())/10000000,0)</f>
        <v/>
      </c>
      <c r="J936" s="63">
        <f>Ustawienia!$B$9&amp;""</f>
        <v/>
      </c>
      <c r="K936" s="63">
        <f>IF(H936="","",COUNTIFS('Zgłoszenia'!$B$5:$B$504,F936,'Zgłoszenia'!$D$5:$D$504,"&gt;="&amp;A936,'Zgłoszenia'!$D$5:$D$504,"&lt;="&amp;(A936+1)))</f>
        <v/>
      </c>
      <c r="L936" s="63">
        <f>IF(OR(H936="",K936=0),"—",IF(ISNUMBER(MATCH(H936,'Zgłoszenia'!$S$5:$S$504,0)),RIGHT("0"&amp;DAY(A936),2)&amp;"."&amp;RIGHT("0"&amp;MONTH(A936),2)&amp;"."&amp;YEAR(A936)&amp;": "&amp;INDEX('Zgłoszenia'!$H$5:$H$504,MATCH(H936,'Zgłoszenia'!$S$5:$S$504,0)),RIGHT("0"&amp;DAY((A936+1)),2)&amp;"."&amp;RIGHT("0"&amp;MONTH((A936+1)),2)&amp;"."&amp;YEAR((A936+1))&amp;": "&amp;INDEX('Zgłoszenia'!$H$5:$H$504,MATCH(F936&amp;"|"&amp;(A936+1),'Zgłoszenia'!$S$5:$S$504,0)))&amp;IF(K936&gt;1," (+"&amp;(K936-1)&amp;")",""))</f>
        <v/>
      </c>
      <c r="M936" s="63" t="n">
        <v>12</v>
      </c>
      <c r="N936" s="2" t="n"/>
      <c r="O936" s="2" t="n"/>
    </row>
    <row r="937">
      <c r="A937" s="62">
        <f>IF('12'!$C$1="","",'12'!$C$1)</f>
        <v/>
      </c>
      <c r="B937" s="63">
        <f>Ustawienia!$A$9&amp;""</f>
        <v/>
      </c>
      <c r="C937" s="63">
        <f>Ustawienia!$A$16&amp;""</f>
        <v/>
      </c>
      <c r="D937" s="63" t="n">
        <v>4</v>
      </c>
      <c r="E937" s="63">
        <f>IF('12'!F25="","",TRIM('12'!F25&amp;""))</f>
        <v/>
      </c>
      <c r="F937" s="63">
        <f>IF('12'!G25="","",'12'!G25)</f>
        <v/>
      </c>
      <c r="G937" s="63">
        <f>'12'!H25&amp;""</f>
        <v/>
      </c>
      <c r="H937" s="63">
        <f>IF(OR(A937="",F937=""),"",F937&amp;"|"&amp;A937)</f>
        <v/>
      </c>
      <c r="I937" s="63">
        <f>IF(AND(H937&lt;&gt;"",OR('Historia wózka'!$B$4="",F937='Historia wózka'!$B$4),A937&gt;='Historia wózka'!$B$5,A937&lt;='Historia wózka'!$B$6),A937+0.8+(5000-ROW())/10000000,0)</f>
        <v/>
      </c>
      <c r="J937" s="63">
        <f>Ustawienia!$B$9&amp;""</f>
        <v/>
      </c>
      <c r="K937" s="63">
        <f>IF(H937="","",COUNTIFS('Zgłoszenia'!$B$5:$B$504,F937,'Zgłoszenia'!$D$5:$D$504,"&gt;="&amp;A937,'Zgłoszenia'!$D$5:$D$504,"&lt;="&amp;(A937+1)))</f>
        <v/>
      </c>
      <c r="L937" s="63">
        <f>IF(OR(H937="",K937=0),"—",IF(ISNUMBER(MATCH(H937,'Zgłoszenia'!$S$5:$S$504,0)),RIGHT("0"&amp;DAY(A937),2)&amp;"."&amp;RIGHT("0"&amp;MONTH(A937),2)&amp;"."&amp;YEAR(A937)&amp;": "&amp;INDEX('Zgłoszenia'!$H$5:$H$504,MATCH(H937,'Zgłoszenia'!$S$5:$S$504,0)),RIGHT("0"&amp;DAY((A937+1)),2)&amp;"."&amp;RIGHT("0"&amp;MONTH((A937+1)),2)&amp;"."&amp;YEAR((A937+1))&amp;": "&amp;INDEX('Zgłoszenia'!$H$5:$H$504,MATCH(F937&amp;"|"&amp;(A937+1),'Zgłoszenia'!$S$5:$S$504,0)))&amp;IF(K937&gt;1," (+"&amp;(K937-1)&amp;")",""))</f>
        <v/>
      </c>
      <c r="M937" s="63" t="n">
        <v>12</v>
      </c>
      <c r="N937" s="2" t="n"/>
      <c r="O937" s="2" t="n"/>
    </row>
    <row r="938">
      <c r="A938" s="62">
        <f>IF('12'!$C$1="","",'12'!$C$1)</f>
        <v/>
      </c>
      <c r="B938" s="63">
        <f>Ustawienia!$A$9&amp;""</f>
        <v/>
      </c>
      <c r="C938" s="63">
        <f>Ustawienia!$A$17&amp;""</f>
        <v/>
      </c>
      <c r="D938" s="63" t="n">
        <v>1</v>
      </c>
      <c r="E938" s="63">
        <f>IF('12'!F27="","",TRIM('12'!F27&amp;""))</f>
        <v/>
      </c>
      <c r="F938" s="63">
        <f>IF('12'!G27="","",'12'!G27)</f>
        <v/>
      </c>
      <c r="G938" s="63">
        <f>'12'!H27&amp;""</f>
        <v/>
      </c>
      <c r="H938" s="63">
        <f>IF(OR(A938="",F938=""),"",F938&amp;"|"&amp;A938)</f>
        <v/>
      </c>
      <c r="I938" s="63">
        <f>IF(AND(H938&lt;&gt;"",OR('Historia wózka'!$B$4="",F938='Historia wózka'!$B$4),A938&gt;='Historia wózka'!$B$5,A938&lt;='Historia wózka'!$B$6),A938+0.8+(5000-ROW())/10000000,0)</f>
        <v/>
      </c>
      <c r="J938" s="63">
        <f>Ustawienia!$B$9&amp;""</f>
        <v/>
      </c>
      <c r="K938" s="63">
        <f>IF(H938="","",COUNTIFS('Zgłoszenia'!$B$5:$B$504,F938,'Zgłoszenia'!$D$5:$D$504,"&gt;="&amp;A938,'Zgłoszenia'!$D$5:$D$504,"&lt;="&amp;(A938+1)))</f>
        <v/>
      </c>
      <c r="L938" s="63">
        <f>IF(OR(H938="",K938=0),"—",IF(ISNUMBER(MATCH(H938,'Zgłoszenia'!$S$5:$S$504,0)),RIGHT("0"&amp;DAY(A938),2)&amp;"."&amp;RIGHT("0"&amp;MONTH(A938),2)&amp;"."&amp;YEAR(A938)&amp;": "&amp;INDEX('Zgłoszenia'!$H$5:$H$504,MATCH(H938,'Zgłoszenia'!$S$5:$S$504,0)),RIGHT("0"&amp;DAY((A938+1)),2)&amp;"."&amp;RIGHT("0"&amp;MONTH((A938+1)),2)&amp;"."&amp;YEAR((A938+1))&amp;": "&amp;INDEX('Zgłoszenia'!$H$5:$H$504,MATCH(F938&amp;"|"&amp;(A938+1),'Zgłoszenia'!$S$5:$S$504,0)))&amp;IF(K938&gt;1," (+"&amp;(K938-1)&amp;")",""))</f>
        <v/>
      </c>
      <c r="M938" s="63" t="n">
        <v>12</v>
      </c>
      <c r="N938" s="2" t="n"/>
      <c r="O938" s="2" t="n"/>
    </row>
    <row r="939">
      <c r="A939" s="62">
        <f>IF('12'!$C$1="","",'12'!$C$1)</f>
        <v/>
      </c>
      <c r="B939" s="63">
        <f>Ustawienia!$A$9&amp;""</f>
        <v/>
      </c>
      <c r="C939" s="63">
        <f>Ustawienia!$A$17&amp;""</f>
        <v/>
      </c>
      <c r="D939" s="63" t="n">
        <v>2</v>
      </c>
      <c r="E939" s="63">
        <f>IF('12'!F28="","",TRIM('12'!F28&amp;""))</f>
        <v/>
      </c>
      <c r="F939" s="63">
        <f>IF('12'!G28="","",'12'!G28)</f>
        <v/>
      </c>
      <c r="G939" s="63">
        <f>'12'!H28&amp;""</f>
        <v/>
      </c>
      <c r="H939" s="63">
        <f>IF(OR(A939="",F939=""),"",F939&amp;"|"&amp;A939)</f>
        <v/>
      </c>
      <c r="I939" s="63">
        <f>IF(AND(H939&lt;&gt;"",OR('Historia wózka'!$B$4="",F939='Historia wózka'!$B$4),A939&gt;='Historia wózka'!$B$5,A939&lt;='Historia wózka'!$B$6),A939+0.8+(5000-ROW())/10000000,0)</f>
        <v/>
      </c>
      <c r="J939" s="63">
        <f>Ustawienia!$B$9&amp;""</f>
        <v/>
      </c>
      <c r="K939" s="63">
        <f>IF(H939="","",COUNTIFS('Zgłoszenia'!$B$5:$B$504,F939,'Zgłoszenia'!$D$5:$D$504,"&gt;="&amp;A939,'Zgłoszenia'!$D$5:$D$504,"&lt;="&amp;(A939+1)))</f>
        <v/>
      </c>
      <c r="L939" s="63">
        <f>IF(OR(H939="",K939=0),"—",IF(ISNUMBER(MATCH(H939,'Zgłoszenia'!$S$5:$S$504,0)),RIGHT("0"&amp;DAY(A939),2)&amp;"."&amp;RIGHT("0"&amp;MONTH(A939),2)&amp;"."&amp;YEAR(A939)&amp;": "&amp;INDEX('Zgłoszenia'!$H$5:$H$504,MATCH(H939,'Zgłoszenia'!$S$5:$S$504,0)),RIGHT("0"&amp;DAY((A939+1)),2)&amp;"."&amp;RIGHT("0"&amp;MONTH((A939+1)),2)&amp;"."&amp;YEAR((A939+1))&amp;": "&amp;INDEX('Zgłoszenia'!$H$5:$H$504,MATCH(F939&amp;"|"&amp;(A939+1),'Zgłoszenia'!$S$5:$S$504,0)))&amp;IF(K939&gt;1," (+"&amp;(K939-1)&amp;")",""))</f>
        <v/>
      </c>
      <c r="M939" s="63" t="n">
        <v>12</v>
      </c>
      <c r="N939" s="2" t="n"/>
      <c r="O939" s="2" t="n"/>
    </row>
    <row r="940">
      <c r="A940" s="62">
        <f>IF('12'!$C$1="","",'12'!$C$1)</f>
        <v/>
      </c>
      <c r="B940" s="63">
        <f>Ustawienia!$A$9&amp;""</f>
        <v/>
      </c>
      <c r="C940" s="63">
        <f>Ustawienia!$A$17&amp;""</f>
        <v/>
      </c>
      <c r="D940" s="63" t="n">
        <v>3</v>
      </c>
      <c r="E940" s="63">
        <f>IF('12'!F29="","",TRIM('12'!F29&amp;""))</f>
        <v/>
      </c>
      <c r="F940" s="63">
        <f>IF('12'!G29="","",'12'!G29)</f>
        <v/>
      </c>
      <c r="G940" s="63">
        <f>'12'!H29&amp;""</f>
        <v/>
      </c>
      <c r="H940" s="63">
        <f>IF(OR(A940="",F940=""),"",F940&amp;"|"&amp;A940)</f>
        <v/>
      </c>
      <c r="I940" s="63">
        <f>IF(AND(H940&lt;&gt;"",OR('Historia wózka'!$B$4="",F940='Historia wózka'!$B$4),A940&gt;='Historia wózka'!$B$5,A940&lt;='Historia wózka'!$B$6),A940+0.8+(5000-ROW())/10000000,0)</f>
        <v/>
      </c>
      <c r="J940" s="63">
        <f>Ustawienia!$B$9&amp;""</f>
        <v/>
      </c>
      <c r="K940" s="63">
        <f>IF(H940="","",COUNTIFS('Zgłoszenia'!$B$5:$B$504,F940,'Zgłoszenia'!$D$5:$D$504,"&gt;="&amp;A940,'Zgłoszenia'!$D$5:$D$504,"&lt;="&amp;(A940+1)))</f>
        <v/>
      </c>
      <c r="L940" s="63">
        <f>IF(OR(H940="",K940=0),"—",IF(ISNUMBER(MATCH(H940,'Zgłoszenia'!$S$5:$S$504,0)),RIGHT("0"&amp;DAY(A940),2)&amp;"."&amp;RIGHT("0"&amp;MONTH(A940),2)&amp;"."&amp;YEAR(A940)&amp;": "&amp;INDEX('Zgłoszenia'!$H$5:$H$504,MATCH(H940,'Zgłoszenia'!$S$5:$S$504,0)),RIGHT("0"&amp;DAY((A940+1)),2)&amp;"."&amp;RIGHT("0"&amp;MONTH((A940+1)),2)&amp;"."&amp;YEAR((A940+1))&amp;": "&amp;INDEX('Zgłoszenia'!$H$5:$H$504,MATCH(F940&amp;"|"&amp;(A940+1),'Zgłoszenia'!$S$5:$S$504,0)))&amp;IF(K940&gt;1," (+"&amp;(K940-1)&amp;")",""))</f>
        <v/>
      </c>
      <c r="M940" s="63" t="n">
        <v>12</v>
      </c>
      <c r="N940" s="2" t="n"/>
      <c r="O940" s="2" t="n"/>
    </row>
    <row r="941">
      <c r="A941" s="62">
        <f>IF('12'!$C$1="","",'12'!$C$1)</f>
        <v/>
      </c>
      <c r="B941" s="63">
        <f>Ustawienia!$A$9&amp;""</f>
        <v/>
      </c>
      <c r="C941" s="63">
        <f>Ustawienia!$A$17&amp;""</f>
        <v/>
      </c>
      <c r="D941" s="63" t="n">
        <v>4</v>
      </c>
      <c r="E941" s="63">
        <f>IF('12'!F30="","",TRIM('12'!F30&amp;""))</f>
        <v/>
      </c>
      <c r="F941" s="63">
        <f>IF('12'!G30="","",'12'!G30)</f>
        <v/>
      </c>
      <c r="G941" s="63">
        <f>'12'!H30&amp;""</f>
        <v/>
      </c>
      <c r="H941" s="63">
        <f>IF(OR(A941="",F941=""),"",F941&amp;"|"&amp;A941)</f>
        <v/>
      </c>
      <c r="I941" s="63">
        <f>IF(AND(H941&lt;&gt;"",OR('Historia wózka'!$B$4="",F941='Historia wózka'!$B$4),A941&gt;='Historia wózka'!$B$5,A941&lt;='Historia wózka'!$B$6),A941+0.8+(5000-ROW())/10000000,0)</f>
        <v/>
      </c>
      <c r="J941" s="63">
        <f>Ustawienia!$B$9&amp;""</f>
        <v/>
      </c>
      <c r="K941" s="63">
        <f>IF(H941="","",COUNTIFS('Zgłoszenia'!$B$5:$B$504,F941,'Zgłoszenia'!$D$5:$D$504,"&gt;="&amp;A941,'Zgłoszenia'!$D$5:$D$504,"&lt;="&amp;(A941+1)))</f>
        <v/>
      </c>
      <c r="L941" s="63">
        <f>IF(OR(H941="",K941=0),"—",IF(ISNUMBER(MATCH(H941,'Zgłoszenia'!$S$5:$S$504,0)),RIGHT("0"&amp;DAY(A941),2)&amp;"."&amp;RIGHT("0"&amp;MONTH(A941),2)&amp;"."&amp;YEAR(A941)&amp;": "&amp;INDEX('Zgłoszenia'!$H$5:$H$504,MATCH(H941,'Zgłoszenia'!$S$5:$S$504,0)),RIGHT("0"&amp;DAY((A941+1)),2)&amp;"."&amp;RIGHT("0"&amp;MONTH((A941+1)),2)&amp;"."&amp;YEAR((A941+1))&amp;": "&amp;INDEX('Zgłoszenia'!$H$5:$H$504,MATCH(F941&amp;"|"&amp;(A941+1),'Zgłoszenia'!$S$5:$S$504,0)))&amp;IF(K941&gt;1," (+"&amp;(K941-1)&amp;")",""))</f>
        <v/>
      </c>
      <c r="M941" s="63" t="n">
        <v>12</v>
      </c>
      <c r="N941" s="2" t="n"/>
      <c r="O941" s="2" t="n"/>
    </row>
    <row r="942">
      <c r="A942" s="62">
        <f>IF('12'!$C$1="","",'12'!$C$1)</f>
        <v/>
      </c>
      <c r="B942" s="63">
        <f>Ustawienia!$A$9&amp;""</f>
        <v/>
      </c>
      <c r="C942" s="63">
        <f>Ustawienia!$A$18&amp;""</f>
        <v/>
      </c>
      <c r="D942" s="63" t="n">
        <v>1</v>
      </c>
      <c r="E942" s="63">
        <f>IF('12'!F32="","",TRIM('12'!F32&amp;""))</f>
        <v/>
      </c>
      <c r="F942" s="63">
        <f>IF('12'!G32="","",'12'!G32)</f>
        <v/>
      </c>
      <c r="G942" s="63">
        <f>'12'!H32&amp;""</f>
        <v/>
      </c>
      <c r="H942" s="63">
        <f>IF(OR(A942="",F942=""),"",F942&amp;"|"&amp;A942)</f>
        <v/>
      </c>
      <c r="I942" s="63">
        <f>IF(AND(H942&lt;&gt;"",OR('Historia wózka'!$B$4="",F942='Historia wózka'!$B$4),A942&gt;='Historia wózka'!$B$5,A942&lt;='Historia wózka'!$B$6),A942+0.8+(5000-ROW())/10000000,0)</f>
        <v/>
      </c>
      <c r="J942" s="63">
        <f>Ustawienia!$B$9&amp;""</f>
        <v/>
      </c>
      <c r="K942" s="63">
        <f>IF(H942="","",COUNTIFS('Zgłoszenia'!$B$5:$B$504,F942,'Zgłoszenia'!$D$5:$D$504,"&gt;="&amp;A942,'Zgłoszenia'!$D$5:$D$504,"&lt;="&amp;(A942+1)))</f>
        <v/>
      </c>
      <c r="L942" s="63">
        <f>IF(OR(H942="",K942=0),"—",IF(ISNUMBER(MATCH(H942,'Zgłoszenia'!$S$5:$S$504,0)),RIGHT("0"&amp;DAY(A942),2)&amp;"."&amp;RIGHT("0"&amp;MONTH(A942),2)&amp;"."&amp;YEAR(A942)&amp;": "&amp;INDEX('Zgłoszenia'!$H$5:$H$504,MATCH(H942,'Zgłoszenia'!$S$5:$S$504,0)),RIGHT("0"&amp;DAY((A942+1)),2)&amp;"."&amp;RIGHT("0"&amp;MONTH((A942+1)),2)&amp;"."&amp;YEAR((A942+1))&amp;": "&amp;INDEX('Zgłoszenia'!$H$5:$H$504,MATCH(F942&amp;"|"&amp;(A942+1),'Zgłoszenia'!$S$5:$S$504,0)))&amp;IF(K942&gt;1," (+"&amp;(K942-1)&amp;")",""))</f>
        <v/>
      </c>
      <c r="M942" s="63" t="n">
        <v>12</v>
      </c>
      <c r="N942" s="2" t="n"/>
      <c r="O942" s="2" t="n"/>
    </row>
    <row r="943">
      <c r="A943" s="62">
        <f>IF('12'!$C$1="","",'12'!$C$1)</f>
        <v/>
      </c>
      <c r="B943" s="63">
        <f>Ustawienia!$A$9&amp;""</f>
        <v/>
      </c>
      <c r="C943" s="63">
        <f>Ustawienia!$A$18&amp;""</f>
        <v/>
      </c>
      <c r="D943" s="63" t="n">
        <v>2</v>
      </c>
      <c r="E943" s="63">
        <f>IF('12'!F33="","",TRIM('12'!F33&amp;""))</f>
        <v/>
      </c>
      <c r="F943" s="63">
        <f>IF('12'!G33="","",'12'!G33)</f>
        <v/>
      </c>
      <c r="G943" s="63">
        <f>'12'!H33&amp;""</f>
        <v/>
      </c>
      <c r="H943" s="63">
        <f>IF(OR(A943="",F943=""),"",F943&amp;"|"&amp;A943)</f>
        <v/>
      </c>
      <c r="I943" s="63">
        <f>IF(AND(H943&lt;&gt;"",OR('Historia wózka'!$B$4="",F943='Historia wózka'!$B$4),A943&gt;='Historia wózka'!$B$5,A943&lt;='Historia wózka'!$B$6),A943+0.8+(5000-ROW())/10000000,0)</f>
        <v/>
      </c>
      <c r="J943" s="63">
        <f>Ustawienia!$B$9&amp;""</f>
        <v/>
      </c>
      <c r="K943" s="63">
        <f>IF(H943="","",COUNTIFS('Zgłoszenia'!$B$5:$B$504,F943,'Zgłoszenia'!$D$5:$D$504,"&gt;="&amp;A943,'Zgłoszenia'!$D$5:$D$504,"&lt;="&amp;(A943+1)))</f>
        <v/>
      </c>
      <c r="L943" s="63">
        <f>IF(OR(H943="",K943=0),"—",IF(ISNUMBER(MATCH(H943,'Zgłoszenia'!$S$5:$S$504,0)),RIGHT("0"&amp;DAY(A943),2)&amp;"."&amp;RIGHT("0"&amp;MONTH(A943),2)&amp;"."&amp;YEAR(A943)&amp;": "&amp;INDEX('Zgłoszenia'!$H$5:$H$504,MATCH(H943,'Zgłoszenia'!$S$5:$S$504,0)),RIGHT("0"&amp;DAY((A943+1)),2)&amp;"."&amp;RIGHT("0"&amp;MONTH((A943+1)),2)&amp;"."&amp;YEAR((A943+1))&amp;": "&amp;INDEX('Zgłoszenia'!$H$5:$H$504,MATCH(F943&amp;"|"&amp;(A943+1),'Zgłoszenia'!$S$5:$S$504,0)))&amp;IF(K943&gt;1," (+"&amp;(K943-1)&amp;")",""))</f>
        <v/>
      </c>
      <c r="M943" s="63" t="n">
        <v>12</v>
      </c>
      <c r="N943" s="2" t="n"/>
      <c r="O943" s="2" t="n"/>
    </row>
    <row r="944">
      <c r="A944" s="62">
        <f>IF('12'!$C$1="","",'12'!$C$1)</f>
        <v/>
      </c>
      <c r="B944" s="63">
        <f>Ustawienia!$A$9&amp;""</f>
        <v/>
      </c>
      <c r="C944" s="63">
        <f>Ustawienia!$A$18&amp;""</f>
        <v/>
      </c>
      <c r="D944" s="63" t="n">
        <v>3</v>
      </c>
      <c r="E944" s="63">
        <f>IF('12'!F34="","",TRIM('12'!F34&amp;""))</f>
        <v/>
      </c>
      <c r="F944" s="63">
        <f>IF('12'!G34="","",'12'!G34)</f>
        <v/>
      </c>
      <c r="G944" s="63">
        <f>'12'!H34&amp;""</f>
        <v/>
      </c>
      <c r="H944" s="63">
        <f>IF(OR(A944="",F944=""),"",F944&amp;"|"&amp;A944)</f>
        <v/>
      </c>
      <c r="I944" s="63">
        <f>IF(AND(H944&lt;&gt;"",OR('Historia wózka'!$B$4="",F944='Historia wózka'!$B$4),A944&gt;='Historia wózka'!$B$5,A944&lt;='Historia wózka'!$B$6),A944+0.8+(5000-ROW())/10000000,0)</f>
        <v/>
      </c>
      <c r="J944" s="63">
        <f>Ustawienia!$B$9&amp;""</f>
        <v/>
      </c>
      <c r="K944" s="63">
        <f>IF(H944="","",COUNTIFS('Zgłoszenia'!$B$5:$B$504,F944,'Zgłoszenia'!$D$5:$D$504,"&gt;="&amp;A944,'Zgłoszenia'!$D$5:$D$504,"&lt;="&amp;(A944+1)))</f>
        <v/>
      </c>
      <c r="L944" s="63">
        <f>IF(OR(H944="",K944=0),"—",IF(ISNUMBER(MATCH(H944,'Zgłoszenia'!$S$5:$S$504,0)),RIGHT("0"&amp;DAY(A944),2)&amp;"."&amp;RIGHT("0"&amp;MONTH(A944),2)&amp;"."&amp;YEAR(A944)&amp;": "&amp;INDEX('Zgłoszenia'!$H$5:$H$504,MATCH(H944,'Zgłoszenia'!$S$5:$S$504,0)),RIGHT("0"&amp;DAY((A944+1)),2)&amp;"."&amp;RIGHT("0"&amp;MONTH((A944+1)),2)&amp;"."&amp;YEAR((A944+1))&amp;": "&amp;INDEX('Zgłoszenia'!$H$5:$H$504,MATCH(F944&amp;"|"&amp;(A944+1),'Zgłoszenia'!$S$5:$S$504,0)))&amp;IF(K944&gt;1," (+"&amp;(K944-1)&amp;")",""))</f>
        <v/>
      </c>
      <c r="M944" s="63" t="n">
        <v>12</v>
      </c>
      <c r="N944" s="2" t="n"/>
      <c r="O944" s="2" t="n"/>
    </row>
    <row r="945">
      <c r="A945" s="62">
        <f>IF('12'!$C$1="","",'12'!$C$1)</f>
        <v/>
      </c>
      <c r="B945" s="63">
        <f>Ustawienia!$A$9&amp;""</f>
        <v/>
      </c>
      <c r="C945" s="63">
        <f>Ustawienia!$A$18&amp;""</f>
        <v/>
      </c>
      <c r="D945" s="63" t="n">
        <v>4</v>
      </c>
      <c r="E945" s="63">
        <f>IF('12'!F35="","",TRIM('12'!F35&amp;""))</f>
        <v/>
      </c>
      <c r="F945" s="63">
        <f>IF('12'!G35="","",'12'!G35)</f>
        <v/>
      </c>
      <c r="G945" s="63">
        <f>'12'!H35&amp;""</f>
        <v/>
      </c>
      <c r="H945" s="63">
        <f>IF(OR(A945="",F945=""),"",F945&amp;"|"&amp;A945)</f>
        <v/>
      </c>
      <c r="I945" s="63">
        <f>IF(AND(H945&lt;&gt;"",OR('Historia wózka'!$B$4="",F945='Historia wózka'!$B$4),A945&gt;='Historia wózka'!$B$5,A945&lt;='Historia wózka'!$B$6),A945+0.8+(5000-ROW())/10000000,0)</f>
        <v/>
      </c>
      <c r="J945" s="63">
        <f>Ustawienia!$B$9&amp;""</f>
        <v/>
      </c>
      <c r="K945" s="63">
        <f>IF(H945="","",COUNTIFS('Zgłoszenia'!$B$5:$B$504,F945,'Zgłoszenia'!$D$5:$D$504,"&gt;="&amp;A945,'Zgłoszenia'!$D$5:$D$504,"&lt;="&amp;(A945+1)))</f>
        <v/>
      </c>
      <c r="L945" s="63">
        <f>IF(OR(H945="",K945=0),"—",IF(ISNUMBER(MATCH(H945,'Zgłoszenia'!$S$5:$S$504,0)),RIGHT("0"&amp;DAY(A945),2)&amp;"."&amp;RIGHT("0"&amp;MONTH(A945),2)&amp;"."&amp;YEAR(A945)&amp;": "&amp;INDEX('Zgłoszenia'!$H$5:$H$504,MATCH(H945,'Zgłoszenia'!$S$5:$S$504,0)),RIGHT("0"&amp;DAY((A945+1)),2)&amp;"."&amp;RIGHT("0"&amp;MONTH((A945+1)),2)&amp;"."&amp;YEAR((A945+1))&amp;": "&amp;INDEX('Zgłoszenia'!$H$5:$H$504,MATCH(F945&amp;"|"&amp;(A945+1),'Zgłoszenia'!$S$5:$S$504,0)))&amp;IF(K945&gt;1," (+"&amp;(K945-1)&amp;")",""))</f>
        <v/>
      </c>
      <c r="M945" s="63" t="n">
        <v>12</v>
      </c>
      <c r="N945" s="2" t="n"/>
      <c r="O945" s="2" t="n"/>
    </row>
    <row r="946">
      <c r="A946" s="62">
        <f>IF('12'!$C$1="","",'12'!$C$1)</f>
        <v/>
      </c>
      <c r="B946" s="63">
        <f>Ustawienia!$A$9&amp;""</f>
        <v/>
      </c>
      <c r="C946" s="63">
        <f>Ustawienia!$A$18&amp;""</f>
        <v/>
      </c>
      <c r="D946" s="63" t="n">
        <v>5</v>
      </c>
      <c r="E946" s="63">
        <f>IF('12'!F36="","",TRIM('12'!F36&amp;""))</f>
        <v/>
      </c>
      <c r="F946" s="63">
        <f>IF('12'!G36="","",'12'!G36)</f>
        <v/>
      </c>
      <c r="G946" s="63">
        <f>'12'!H36&amp;""</f>
        <v/>
      </c>
      <c r="H946" s="63">
        <f>IF(OR(A946="",F946=""),"",F946&amp;"|"&amp;A946)</f>
        <v/>
      </c>
      <c r="I946" s="63">
        <f>IF(AND(H946&lt;&gt;"",OR('Historia wózka'!$B$4="",F946='Historia wózka'!$B$4),A946&gt;='Historia wózka'!$B$5,A946&lt;='Historia wózka'!$B$6),A946+0.8+(5000-ROW())/10000000,0)</f>
        <v/>
      </c>
      <c r="J946" s="63">
        <f>Ustawienia!$B$9&amp;""</f>
        <v/>
      </c>
      <c r="K946" s="63">
        <f>IF(H946="","",COUNTIFS('Zgłoszenia'!$B$5:$B$504,F946,'Zgłoszenia'!$D$5:$D$504,"&gt;="&amp;A946,'Zgłoszenia'!$D$5:$D$504,"&lt;="&amp;(A946+1)))</f>
        <v/>
      </c>
      <c r="L946" s="63">
        <f>IF(OR(H946="",K946=0),"—",IF(ISNUMBER(MATCH(H946,'Zgłoszenia'!$S$5:$S$504,0)),RIGHT("0"&amp;DAY(A946),2)&amp;"."&amp;RIGHT("0"&amp;MONTH(A946),2)&amp;"."&amp;YEAR(A946)&amp;": "&amp;INDEX('Zgłoszenia'!$H$5:$H$504,MATCH(H946,'Zgłoszenia'!$S$5:$S$504,0)),RIGHT("0"&amp;DAY((A946+1)),2)&amp;"."&amp;RIGHT("0"&amp;MONTH((A946+1)),2)&amp;"."&amp;YEAR((A946+1))&amp;": "&amp;INDEX('Zgłoszenia'!$H$5:$H$504,MATCH(F946&amp;"|"&amp;(A946+1),'Zgłoszenia'!$S$5:$S$504,0)))&amp;IF(K946&gt;1," (+"&amp;(K946-1)&amp;")",""))</f>
        <v/>
      </c>
      <c r="M946" s="63" t="n">
        <v>12</v>
      </c>
      <c r="N946" s="2" t="n"/>
      <c r="O946" s="2" t="n"/>
    </row>
    <row r="947">
      <c r="A947" s="62">
        <f>IF('12'!$C$1="","",'12'!$C$1)</f>
        <v/>
      </c>
      <c r="B947" s="63">
        <f>Ustawienia!$A$10&amp;""</f>
        <v/>
      </c>
      <c r="C947" s="63">
        <f>Ustawienia!$A$14&amp;""</f>
        <v/>
      </c>
      <c r="D947" s="63" t="n">
        <v>1</v>
      </c>
      <c r="E947" s="63">
        <f>IF('12'!J6="","",TRIM('12'!J6&amp;""))</f>
        <v/>
      </c>
      <c r="F947" s="63">
        <f>IF('12'!K6="","",'12'!K6)</f>
        <v/>
      </c>
      <c r="G947" s="63">
        <f>'12'!L6&amp;""</f>
        <v/>
      </c>
      <c r="H947" s="63">
        <f>IF(OR(A947="",F947=""),"",F947&amp;"|"&amp;A947)</f>
        <v/>
      </c>
      <c r="I947" s="63">
        <f>IF(AND(H947&lt;&gt;"",OR('Historia wózka'!$B$4="",F947='Historia wózka'!$B$4),A947&gt;='Historia wózka'!$B$5,A947&lt;='Historia wózka'!$B$6),A947+0.7+(5000-ROW())/10000000,0)</f>
        <v/>
      </c>
      <c r="J947" s="63">
        <f>Ustawienia!$B$10&amp;""</f>
        <v/>
      </c>
      <c r="K947" s="63">
        <f>IF(H947="","",COUNTIFS('Zgłoszenia'!$B$5:$B$504,F947,'Zgłoszenia'!$D$5:$D$504,"&gt;="&amp;A947,'Zgłoszenia'!$D$5:$D$504,"&lt;="&amp;(A947+1)))</f>
        <v/>
      </c>
      <c r="L947" s="63">
        <f>IF(OR(H947="",K947=0),"—",IF(ISNUMBER(MATCH(H947,'Zgłoszenia'!$S$5:$S$504,0)),RIGHT("0"&amp;DAY(A947),2)&amp;"."&amp;RIGHT("0"&amp;MONTH(A947),2)&amp;"."&amp;YEAR(A947)&amp;": "&amp;INDEX('Zgłoszenia'!$H$5:$H$504,MATCH(H947,'Zgłoszenia'!$S$5:$S$504,0)),RIGHT("0"&amp;DAY((A947+1)),2)&amp;"."&amp;RIGHT("0"&amp;MONTH((A947+1)),2)&amp;"."&amp;YEAR((A947+1))&amp;": "&amp;INDEX('Zgłoszenia'!$H$5:$H$504,MATCH(F947&amp;"|"&amp;(A947+1),'Zgłoszenia'!$S$5:$S$504,0)))&amp;IF(K947&gt;1," (+"&amp;(K947-1)&amp;")",""))</f>
        <v/>
      </c>
      <c r="M947" s="63" t="n">
        <v>12</v>
      </c>
      <c r="N947" s="2" t="n"/>
      <c r="O947" s="2" t="n"/>
    </row>
    <row r="948">
      <c r="A948" s="62">
        <f>IF('12'!$C$1="","",'12'!$C$1)</f>
        <v/>
      </c>
      <c r="B948" s="63">
        <f>Ustawienia!$A$10&amp;""</f>
        <v/>
      </c>
      <c r="C948" s="63">
        <f>Ustawienia!$A$14&amp;""</f>
        <v/>
      </c>
      <c r="D948" s="63" t="n">
        <v>2</v>
      </c>
      <c r="E948" s="63">
        <f>IF('12'!J7="","",TRIM('12'!J7&amp;""))</f>
        <v/>
      </c>
      <c r="F948" s="63">
        <f>IF('12'!K7="","",'12'!K7)</f>
        <v/>
      </c>
      <c r="G948" s="63">
        <f>'12'!L7&amp;""</f>
        <v/>
      </c>
      <c r="H948" s="63">
        <f>IF(OR(A948="",F948=""),"",F948&amp;"|"&amp;A948)</f>
        <v/>
      </c>
      <c r="I948" s="63">
        <f>IF(AND(H948&lt;&gt;"",OR('Historia wózka'!$B$4="",F948='Historia wózka'!$B$4),A948&gt;='Historia wózka'!$B$5,A948&lt;='Historia wózka'!$B$6),A948+0.7+(5000-ROW())/10000000,0)</f>
        <v/>
      </c>
      <c r="J948" s="63">
        <f>Ustawienia!$B$10&amp;""</f>
        <v/>
      </c>
      <c r="K948" s="63">
        <f>IF(H948="","",COUNTIFS('Zgłoszenia'!$B$5:$B$504,F948,'Zgłoszenia'!$D$5:$D$504,"&gt;="&amp;A948,'Zgłoszenia'!$D$5:$D$504,"&lt;="&amp;(A948+1)))</f>
        <v/>
      </c>
      <c r="L948" s="63">
        <f>IF(OR(H948="",K948=0),"—",IF(ISNUMBER(MATCH(H948,'Zgłoszenia'!$S$5:$S$504,0)),RIGHT("0"&amp;DAY(A948),2)&amp;"."&amp;RIGHT("0"&amp;MONTH(A948),2)&amp;"."&amp;YEAR(A948)&amp;": "&amp;INDEX('Zgłoszenia'!$H$5:$H$504,MATCH(H948,'Zgłoszenia'!$S$5:$S$504,0)),RIGHT("0"&amp;DAY((A948+1)),2)&amp;"."&amp;RIGHT("0"&amp;MONTH((A948+1)),2)&amp;"."&amp;YEAR((A948+1))&amp;": "&amp;INDEX('Zgłoszenia'!$H$5:$H$504,MATCH(F948&amp;"|"&amp;(A948+1),'Zgłoszenia'!$S$5:$S$504,0)))&amp;IF(K948&gt;1," (+"&amp;(K948-1)&amp;")",""))</f>
        <v/>
      </c>
      <c r="M948" s="63" t="n">
        <v>12</v>
      </c>
      <c r="N948" s="2" t="n"/>
      <c r="O948" s="2" t="n"/>
    </row>
    <row r="949">
      <c r="A949" s="62">
        <f>IF('12'!$C$1="","",'12'!$C$1)</f>
        <v/>
      </c>
      <c r="B949" s="63">
        <f>Ustawienia!$A$10&amp;""</f>
        <v/>
      </c>
      <c r="C949" s="63">
        <f>Ustawienia!$A$14&amp;""</f>
        <v/>
      </c>
      <c r="D949" s="63" t="n">
        <v>3</v>
      </c>
      <c r="E949" s="63">
        <f>IF('12'!J8="","",TRIM('12'!J8&amp;""))</f>
        <v/>
      </c>
      <c r="F949" s="63">
        <f>IF('12'!K8="","",'12'!K8)</f>
        <v/>
      </c>
      <c r="G949" s="63">
        <f>'12'!L8&amp;""</f>
        <v/>
      </c>
      <c r="H949" s="63">
        <f>IF(OR(A949="",F949=""),"",F949&amp;"|"&amp;A949)</f>
        <v/>
      </c>
      <c r="I949" s="63">
        <f>IF(AND(H949&lt;&gt;"",OR('Historia wózka'!$B$4="",F949='Historia wózka'!$B$4),A949&gt;='Historia wózka'!$B$5,A949&lt;='Historia wózka'!$B$6),A949+0.7+(5000-ROW())/10000000,0)</f>
        <v/>
      </c>
      <c r="J949" s="63">
        <f>Ustawienia!$B$10&amp;""</f>
        <v/>
      </c>
      <c r="K949" s="63">
        <f>IF(H949="","",COUNTIFS('Zgłoszenia'!$B$5:$B$504,F949,'Zgłoszenia'!$D$5:$D$504,"&gt;="&amp;A949,'Zgłoszenia'!$D$5:$D$504,"&lt;="&amp;(A949+1)))</f>
        <v/>
      </c>
      <c r="L949" s="63">
        <f>IF(OR(H949="",K949=0),"—",IF(ISNUMBER(MATCH(H949,'Zgłoszenia'!$S$5:$S$504,0)),RIGHT("0"&amp;DAY(A949),2)&amp;"."&amp;RIGHT("0"&amp;MONTH(A949),2)&amp;"."&amp;YEAR(A949)&amp;": "&amp;INDEX('Zgłoszenia'!$H$5:$H$504,MATCH(H949,'Zgłoszenia'!$S$5:$S$504,0)),RIGHT("0"&amp;DAY((A949+1)),2)&amp;"."&amp;RIGHT("0"&amp;MONTH((A949+1)),2)&amp;"."&amp;YEAR((A949+1))&amp;": "&amp;INDEX('Zgłoszenia'!$H$5:$H$504,MATCH(F949&amp;"|"&amp;(A949+1),'Zgłoszenia'!$S$5:$S$504,0)))&amp;IF(K949&gt;1," (+"&amp;(K949-1)&amp;")",""))</f>
        <v/>
      </c>
      <c r="M949" s="63" t="n">
        <v>12</v>
      </c>
      <c r="N949" s="2" t="n"/>
      <c r="O949" s="2" t="n"/>
    </row>
    <row r="950">
      <c r="A950" s="62">
        <f>IF('12'!$C$1="","",'12'!$C$1)</f>
        <v/>
      </c>
      <c r="B950" s="63">
        <f>Ustawienia!$A$10&amp;""</f>
        <v/>
      </c>
      <c r="C950" s="63">
        <f>Ustawienia!$A$14&amp;""</f>
        <v/>
      </c>
      <c r="D950" s="63" t="n">
        <v>4</v>
      </c>
      <c r="E950" s="63">
        <f>IF('12'!J9="","",TRIM('12'!J9&amp;""))</f>
        <v/>
      </c>
      <c r="F950" s="63">
        <f>IF('12'!K9="","",'12'!K9)</f>
        <v/>
      </c>
      <c r="G950" s="63">
        <f>'12'!L9&amp;""</f>
        <v/>
      </c>
      <c r="H950" s="63">
        <f>IF(OR(A950="",F950=""),"",F950&amp;"|"&amp;A950)</f>
        <v/>
      </c>
      <c r="I950" s="63">
        <f>IF(AND(H950&lt;&gt;"",OR('Historia wózka'!$B$4="",F950='Historia wózka'!$B$4),A950&gt;='Historia wózka'!$B$5,A950&lt;='Historia wózka'!$B$6),A950+0.7+(5000-ROW())/10000000,0)</f>
        <v/>
      </c>
      <c r="J950" s="63">
        <f>Ustawienia!$B$10&amp;""</f>
        <v/>
      </c>
      <c r="K950" s="63">
        <f>IF(H950="","",COUNTIFS('Zgłoszenia'!$B$5:$B$504,F950,'Zgłoszenia'!$D$5:$D$504,"&gt;="&amp;A950,'Zgłoszenia'!$D$5:$D$504,"&lt;="&amp;(A950+1)))</f>
        <v/>
      </c>
      <c r="L950" s="63">
        <f>IF(OR(H950="",K950=0),"—",IF(ISNUMBER(MATCH(H950,'Zgłoszenia'!$S$5:$S$504,0)),RIGHT("0"&amp;DAY(A950),2)&amp;"."&amp;RIGHT("0"&amp;MONTH(A950),2)&amp;"."&amp;YEAR(A950)&amp;": "&amp;INDEX('Zgłoszenia'!$H$5:$H$504,MATCH(H950,'Zgłoszenia'!$S$5:$S$504,0)),RIGHT("0"&amp;DAY((A950+1)),2)&amp;"."&amp;RIGHT("0"&amp;MONTH((A950+1)),2)&amp;"."&amp;YEAR((A950+1))&amp;": "&amp;INDEX('Zgłoszenia'!$H$5:$H$504,MATCH(F950&amp;"|"&amp;(A950+1),'Zgłoszenia'!$S$5:$S$504,0)))&amp;IF(K950&gt;1," (+"&amp;(K950-1)&amp;")",""))</f>
        <v/>
      </c>
      <c r="M950" s="63" t="n">
        <v>12</v>
      </c>
      <c r="N950" s="2" t="n"/>
      <c r="O950" s="2" t="n"/>
    </row>
    <row r="951">
      <c r="A951" s="62">
        <f>IF('12'!$C$1="","",'12'!$C$1)</f>
        <v/>
      </c>
      <c r="B951" s="63">
        <f>Ustawienia!$A$10&amp;""</f>
        <v/>
      </c>
      <c r="C951" s="63">
        <f>Ustawienia!$A$14&amp;""</f>
        <v/>
      </c>
      <c r="D951" s="63" t="n">
        <v>5</v>
      </c>
      <c r="E951" s="63">
        <f>IF('12'!J10="","",TRIM('12'!J10&amp;""))</f>
        <v/>
      </c>
      <c r="F951" s="63">
        <f>IF('12'!K10="","",'12'!K10)</f>
        <v/>
      </c>
      <c r="G951" s="63">
        <f>'12'!L10&amp;""</f>
        <v/>
      </c>
      <c r="H951" s="63">
        <f>IF(OR(A951="",F951=""),"",F951&amp;"|"&amp;A951)</f>
        <v/>
      </c>
      <c r="I951" s="63">
        <f>IF(AND(H951&lt;&gt;"",OR('Historia wózka'!$B$4="",F951='Historia wózka'!$B$4),A951&gt;='Historia wózka'!$B$5,A951&lt;='Historia wózka'!$B$6),A951+0.7+(5000-ROW())/10000000,0)</f>
        <v/>
      </c>
      <c r="J951" s="63">
        <f>Ustawienia!$B$10&amp;""</f>
        <v/>
      </c>
      <c r="K951" s="63">
        <f>IF(H951="","",COUNTIFS('Zgłoszenia'!$B$5:$B$504,F951,'Zgłoszenia'!$D$5:$D$504,"&gt;="&amp;A951,'Zgłoszenia'!$D$5:$D$504,"&lt;="&amp;(A951+1)))</f>
        <v/>
      </c>
      <c r="L951" s="63">
        <f>IF(OR(H951="",K951=0),"—",IF(ISNUMBER(MATCH(H951,'Zgłoszenia'!$S$5:$S$504,0)),RIGHT("0"&amp;DAY(A951),2)&amp;"."&amp;RIGHT("0"&amp;MONTH(A951),2)&amp;"."&amp;YEAR(A951)&amp;": "&amp;INDEX('Zgłoszenia'!$H$5:$H$504,MATCH(H951,'Zgłoszenia'!$S$5:$S$504,0)),RIGHT("0"&amp;DAY((A951+1)),2)&amp;"."&amp;RIGHT("0"&amp;MONTH((A951+1)),2)&amp;"."&amp;YEAR((A951+1))&amp;": "&amp;INDEX('Zgłoszenia'!$H$5:$H$504,MATCH(F951&amp;"|"&amp;(A951+1),'Zgłoszenia'!$S$5:$S$504,0)))&amp;IF(K951&gt;1," (+"&amp;(K951-1)&amp;")",""))</f>
        <v/>
      </c>
      <c r="M951" s="63" t="n">
        <v>12</v>
      </c>
      <c r="N951" s="2" t="n"/>
      <c r="O951" s="2" t="n"/>
    </row>
    <row r="952">
      <c r="A952" s="62">
        <f>IF('12'!$C$1="","",'12'!$C$1)</f>
        <v/>
      </c>
      <c r="B952" s="63">
        <f>Ustawienia!$A$10&amp;""</f>
        <v/>
      </c>
      <c r="C952" s="63">
        <f>Ustawienia!$A$14&amp;""</f>
        <v/>
      </c>
      <c r="D952" s="63" t="n">
        <v>6</v>
      </c>
      <c r="E952" s="63">
        <f>IF('12'!J11="","",TRIM('12'!J11&amp;""))</f>
        <v/>
      </c>
      <c r="F952" s="63">
        <f>IF('12'!K11="","",'12'!K11)</f>
        <v/>
      </c>
      <c r="G952" s="63">
        <f>'12'!L11&amp;""</f>
        <v/>
      </c>
      <c r="H952" s="63">
        <f>IF(OR(A952="",F952=""),"",F952&amp;"|"&amp;A952)</f>
        <v/>
      </c>
      <c r="I952" s="63">
        <f>IF(AND(H952&lt;&gt;"",OR('Historia wózka'!$B$4="",F952='Historia wózka'!$B$4),A952&gt;='Historia wózka'!$B$5,A952&lt;='Historia wózka'!$B$6),A952+0.7+(5000-ROW())/10000000,0)</f>
        <v/>
      </c>
      <c r="J952" s="63">
        <f>Ustawienia!$B$10&amp;""</f>
        <v/>
      </c>
      <c r="K952" s="63">
        <f>IF(H952="","",COUNTIFS('Zgłoszenia'!$B$5:$B$504,F952,'Zgłoszenia'!$D$5:$D$504,"&gt;="&amp;A952,'Zgłoszenia'!$D$5:$D$504,"&lt;="&amp;(A952+1)))</f>
        <v/>
      </c>
      <c r="L952" s="63">
        <f>IF(OR(H952="",K952=0),"—",IF(ISNUMBER(MATCH(H952,'Zgłoszenia'!$S$5:$S$504,0)),RIGHT("0"&amp;DAY(A952),2)&amp;"."&amp;RIGHT("0"&amp;MONTH(A952),2)&amp;"."&amp;YEAR(A952)&amp;": "&amp;INDEX('Zgłoszenia'!$H$5:$H$504,MATCH(H952,'Zgłoszenia'!$S$5:$S$504,0)),RIGHT("0"&amp;DAY((A952+1)),2)&amp;"."&amp;RIGHT("0"&amp;MONTH((A952+1)),2)&amp;"."&amp;YEAR((A952+1))&amp;": "&amp;INDEX('Zgłoszenia'!$H$5:$H$504,MATCH(F952&amp;"|"&amp;(A952+1),'Zgłoszenia'!$S$5:$S$504,0)))&amp;IF(K952&gt;1," (+"&amp;(K952-1)&amp;")",""))</f>
        <v/>
      </c>
      <c r="M952" s="63" t="n">
        <v>12</v>
      </c>
      <c r="N952" s="2" t="n"/>
      <c r="O952" s="2" t="n"/>
    </row>
    <row r="953">
      <c r="A953" s="62">
        <f>IF('12'!$C$1="","",'12'!$C$1)</f>
        <v/>
      </c>
      <c r="B953" s="63">
        <f>Ustawienia!$A$10&amp;""</f>
        <v/>
      </c>
      <c r="C953" s="63">
        <f>Ustawienia!$A$15&amp;""</f>
        <v/>
      </c>
      <c r="D953" s="63" t="n">
        <v>1</v>
      </c>
      <c r="E953" s="63">
        <f>IF('12'!J13="","",TRIM('12'!J13&amp;""))</f>
        <v/>
      </c>
      <c r="F953" s="63">
        <f>IF('12'!K13="","",'12'!K13)</f>
        <v/>
      </c>
      <c r="G953" s="63">
        <f>'12'!L13&amp;""</f>
        <v/>
      </c>
      <c r="H953" s="63">
        <f>IF(OR(A953="",F953=""),"",F953&amp;"|"&amp;A953)</f>
        <v/>
      </c>
      <c r="I953" s="63">
        <f>IF(AND(H953&lt;&gt;"",OR('Historia wózka'!$B$4="",F953='Historia wózka'!$B$4),A953&gt;='Historia wózka'!$B$5,A953&lt;='Historia wózka'!$B$6),A953+0.7+(5000-ROW())/10000000,0)</f>
        <v/>
      </c>
      <c r="J953" s="63">
        <f>Ustawienia!$B$10&amp;""</f>
        <v/>
      </c>
      <c r="K953" s="63">
        <f>IF(H953="","",COUNTIFS('Zgłoszenia'!$B$5:$B$504,F953,'Zgłoszenia'!$D$5:$D$504,"&gt;="&amp;A953,'Zgłoszenia'!$D$5:$D$504,"&lt;="&amp;(A953+1)))</f>
        <v/>
      </c>
      <c r="L953" s="63">
        <f>IF(OR(H953="",K953=0),"—",IF(ISNUMBER(MATCH(H953,'Zgłoszenia'!$S$5:$S$504,0)),RIGHT("0"&amp;DAY(A953),2)&amp;"."&amp;RIGHT("0"&amp;MONTH(A953),2)&amp;"."&amp;YEAR(A953)&amp;": "&amp;INDEX('Zgłoszenia'!$H$5:$H$504,MATCH(H953,'Zgłoszenia'!$S$5:$S$504,0)),RIGHT("0"&amp;DAY((A953+1)),2)&amp;"."&amp;RIGHT("0"&amp;MONTH((A953+1)),2)&amp;"."&amp;YEAR((A953+1))&amp;": "&amp;INDEX('Zgłoszenia'!$H$5:$H$504,MATCH(F953&amp;"|"&amp;(A953+1),'Zgłoszenia'!$S$5:$S$504,0)))&amp;IF(K953&gt;1," (+"&amp;(K953-1)&amp;")",""))</f>
        <v/>
      </c>
      <c r="M953" s="63" t="n">
        <v>12</v>
      </c>
      <c r="N953" s="2" t="n"/>
      <c r="O953" s="2" t="n"/>
    </row>
    <row r="954">
      <c r="A954" s="62">
        <f>IF('12'!$C$1="","",'12'!$C$1)</f>
        <v/>
      </c>
      <c r="B954" s="63">
        <f>Ustawienia!$A$10&amp;""</f>
        <v/>
      </c>
      <c r="C954" s="63">
        <f>Ustawienia!$A$15&amp;""</f>
        <v/>
      </c>
      <c r="D954" s="63" t="n">
        <v>2</v>
      </c>
      <c r="E954" s="63">
        <f>IF('12'!J14="","",TRIM('12'!J14&amp;""))</f>
        <v/>
      </c>
      <c r="F954" s="63">
        <f>IF('12'!K14="","",'12'!K14)</f>
        <v/>
      </c>
      <c r="G954" s="63">
        <f>'12'!L14&amp;""</f>
        <v/>
      </c>
      <c r="H954" s="63">
        <f>IF(OR(A954="",F954=""),"",F954&amp;"|"&amp;A954)</f>
        <v/>
      </c>
      <c r="I954" s="63">
        <f>IF(AND(H954&lt;&gt;"",OR('Historia wózka'!$B$4="",F954='Historia wózka'!$B$4),A954&gt;='Historia wózka'!$B$5,A954&lt;='Historia wózka'!$B$6),A954+0.7+(5000-ROW())/10000000,0)</f>
        <v/>
      </c>
      <c r="J954" s="63">
        <f>Ustawienia!$B$10&amp;""</f>
        <v/>
      </c>
      <c r="K954" s="63">
        <f>IF(H954="","",COUNTIFS('Zgłoszenia'!$B$5:$B$504,F954,'Zgłoszenia'!$D$5:$D$504,"&gt;="&amp;A954,'Zgłoszenia'!$D$5:$D$504,"&lt;="&amp;(A954+1)))</f>
        <v/>
      </c>
      <c r="L954" s="63">
        <f>IF(OR(H954="",K954=0),"—",IF(ISNUMBER(MATCH(H954,'Zgłoszenia'!$S$5:$S$504,0)),RIGHT("0"&amp;DAY(A954),2)&amp;"."&amp;RIGHT("0"&amp;MONTH(A954),2)&amp;"."&amp;YEAR(A954)&amp;": "&amp;INDEX('Zgłoszenia'!$H$5:$H$504,MATCH(H954,'Zgłoszenia'!$S$5:$S$504,0)),RIGHT("0"&amp;DAY((A954+1)),2)&amp;"."&amp;RIGHT("0"&amp;MONTH((A954+1)),2)&amp;"."&amp;YEAR((A954+1))&amp;": "&amp;INDEX('Zgłoszenia'!$H$5:$H$504,MATCH(F954&amp;"|"&amp;(A954+1),'Zgłoszenia'!$S$5:$S$504,0)))&amp;IF(K954&gt;1," (+"&amp;(K954-1)&amp;")",""))</f>
        <v/>
      </c>
      <c r="M954" s="63" t="n">
        <v>12</v>
      </c>
      <c r="N954" s="2" t="n"/>
      <c r="O954" s="2" t="n"/>
    </row>
    <row r="955">
      <c r="A955" s="62">
        <f>IF('12'!$C$1="","",'12'!$C$1)</f>
        <v/>
      </c>
      <c r="B955" s="63">
        <f>Ustawienia!$A$10&amp;""</f>
        <v/>
      </c>
      <c r="C955" s="63">
        <f>Ustawienia!$A$15&amp;""</f>
        <v/>
      </c>
      <c r="D955" s="63" t="n">
        <v>3</v>
      </c>
      <c r="E955" s="63">
        <f>IF('12'!J15="","",TRIM('12'!J15&amp;""))</f>
        <v/>
      </c>
      <c r="F955" s="63">
        <f>IF('12'!K15="","",'12'!K15)</f>
        <v/>
      </c>
      <c r="G955" s="63">
        <f>'12'!L15&amp;""</f>
        <v/>
      </c>
      <c r="H955" s="63">
        <f>IF(OR(A955="",F955=""),"",F955&amp;"|"&amp;A955)</f>
        <v/>
      </c>
      <c r="I955" s="63">
        <f>IF(AND(H955&lt;&gt;"",OR('Historia wózka'!$B$4="",F955='Historia wózka'!$B$4),A955&gt;='Historia wózka'!$B$5,A955&lt;='Historia wózka'!$B$6),A955+0.7+(5000-ROW())/10000000,0)</f>
        <v/>
      </c>
      <c r="J955" s="63">
        <f>Ustawienia!$B$10&amp;""</f>
        <v/>
      </c>
      <c r="K955" s="63">
        <f>IF(H955="","",COUNTIFS('Zgłoszenia'!$B$5:$B$504,F955,'Zgłoszenia'!$D$5:$D$504,"&gt;="&amp;A955,'Zgłoszenia'!$D$5:$D$504,"&lt;="&amp;(A955+1)))</f>
        <v/>
      </c>
      <c r="L955" s="63">
        <f>IF(OR(H955="",K955=0),"—",IF(ISNUMBER(MATCH(H955,'Zgłoszenia'!$S$5:$S$504,0)),RIGHT("0"&amp;DAY(A955),2)&amp;"."&amp;RIGHT("0"&amp;MONTH(A955),2)&amp;"."&amp;YEAR(A955)&amp;": "&amp;INDEX('Zgłoszenia'!$H$5:$H$504,MATCH(H955,'Zgłoszenia'!$S$5:$S$504,0)),RIGHT("0"&amp;DAY((A955+1)),2)&amp;"."&amp;RIGHT("0"&amp;MONTH((A955+1)),2)&amp;"."&amp;YEAR((A955+1))&amp;": "&amp;INDEX('Zgłoszenia'!$H$5:$H$504,MATCH(F955&amp;"|"&amp;(A955+1),'Zgłoszenia'!$S$5:$S$504,0)))&amp;IF(K955&gt;1," (+"&amp;(K955-1)&amp;")",""))</f>
        <v/>
      </c>
      <c r="M955" s="63" t="n">
        <v>12</v>
      </c>
      <c r="N955" s="2" t="n"/>
      <c r="O955" s="2" t="n"/>
    </row>
    <row r="956">
      <c r="A956" s="62">
        <f>IF('12'!$C$1="","",'12'!$C$1)</f>
        <v/>
      </c>
      <c r="B956" s="63">
        <f>Ustawienia!$A$10&amp;""</f>
        <v/>
      </c>
      <c r="C956" s="63">
        <f>Ustawienia!$A$15&amp;""</f>
        <v/>
      </c>
      <c r="D956" s="63" t="n">
        <v>4</v>
      </c>
      <c r="E956" s="63">
        <f>IF('12'!J16="","",TRIM('12'!J16&amp;""))</f>
        <v/>
      </c>
      <c r="F956" s="63">
        <f>IF('12'!K16="","",'12'!K16)</f>
        <v/>
      </c>
      <c r="G956" s="63">
        <f>'12'!L16&amp;""</f>
        <v/>
      </c>
      <c r="H956" s="63">
        <f>IF(OR(A956="",F956=""),"",F956&amp;"|"&amp;A956)</f>
        <v/>
      </c>
      <c r="I956" s="63">
        <f>IF(AND(H956&lt;&gt;"",OR('Historia wózka'!$B$4="",F956='Historia wózka'!$B$4),A956&gt;='Historia wózka'!$B$5,A956&lt;='Historia wózka'!$B$6),A956+0.7+(5000-ROW())/10000000,0)</f>
        <v/>
      </c>
      <c r="J956" s="63">
        <f>Ustawienia!$B$10&amp;""</f>
        <v/>
      </c>
      <c r="K956" s="63">
        <f>IF(H956="","",COUNTIFS('Zgłoszenia'!$B$5:$B$504,F956,'Zgłoszenia'!$D$5:$D$504,"&gt;="&amp;A956,'Zgłoszenia'!$D$5:$D$504,"&lt;="&amp;(A956+1)))</f>
        <v/>
      </c>
      <c r="L956" s="63">
        <f>IF(OR(H956="",K956=0),"—",IF(ISNUMBER(MATCH(H956,'Zgłoszenia'!$S$5:$S$504,0)),RIGHT("0"&amp;DAY(A956),2)&amp;"."&amp;RIGHT("0"&amp;MONTH(A956),2)&amp;"."&amp;YEAR(A956)&amp;": "&amp;INDEX('Zgłoszenia'!$H$5:$H$504,MATCH(H956,'Zgłoszenia'!$S$5:$S$504,0)),RIGHT("0"&amp;DAY((A956+1)),2)&amp;"."&amp;RIGHT("0"&amp;MONTH((A956+1)),2)&amp;"."&amp;YEAR((A956+1))&amp;": "&amp;INDEX('Zgłoszenia'!$H$5:$H$504,MATCH(F956&amp;"|"&amp;(A956+1),'Zgłoszenia'!$S$5:$S$504,0)))&amp;IF(K956&gt;1," (+"&amp;(K956-1)&amp;")",""))</f>
        <v/>
      </c>
      <c r="M956" s="63" t="n">
        <v>12</v>
      </c>
      <c r="N956" s="2" t="n"/>
      <c r="O956" s="2" t="n"/>
    </row>
    <row r="957">
      <c r="A957" s="62">
        <f>IF('12'!$C$1="","",'12'!$C$1)</f>
        <v/>
      </c>
      <c r="B957" s="63">
        <f>Ustawienia!$A$10&amp;""</f>
        <v/>
      </c>
      <c r="C957" s="63">
        <f>Ustawienia!$A$15&amp;""</f>
        <v/>
      </c>
      <c r="D957" s="63" t="n">
        <v>5</v>
      </c>
      <c r="E957" s="63">
        <f>IF('12'!J17="","",TRIM('12'!J17&amp;""))</f>
        <v/>
      </c>
      <c r="F957" s="63">
        <f>IF('12'!K17="","",'12'!K17)</f>
        <v/>
      </c>
      <c r="G957" s="63">
        <f>'12'!L17&amp;""</f>
        <v/>
      </c>
      <c r="H957" s="63">
        <f>IF(OR(A957="",F957=""),"",F957&amp;"|"&amp;A957)</f>
        <v/>
      </c>
      <c r="I957" s="63">
        <f>IF(AND(H957&lt;&gt;"",OR('Historia wózka'!$B$4="",F957='Historia wózka'!$B$4),A957&gt;='Historia wózka'!$B$5,A957&lt;='Historia wózka'!$B$6),A957+0.7+(5000-ROW())/10000000,0)</f>
        <v/>
      </c>
      <c r="J957" s="63">
        <f>Ustawienia!$B$10&amp;""</f>
        <v/>
      </c>
      <c r="K957" s="63">
        <f>IF(H957="","",COUNTIFS('Zgłoszenia'!$B$5:$B$504,F957,'Zgłoszenia'!$D$5:$D$504,"&gt;="&amp;A957,'Zgłoszenia'!$D$5:$D$504,"&lt;="&amp;(A957+1)))</f>
        <v/>
      </c>
      <c r="L957" s="63">
        <f>IF(OR(H957="",K957=0),"—",IF(ISNUMBER(MATCH(H957,'Zgłoszenia'!$S$5:$S$504,0)),RIGHT("0"&amp;DAY(A957),2)&amp;"."&amp;RIGHT("0"&amp;MONTH(A957),2)&amp;"."&amp;YEAR(A957)&amp;": "&amp;INDEX('Zgłoszenia'!$H$5:$H$504,MATCH(H957,'Zgłoszenia'!$S$5:$S$504,0)),RIGHT("0"&amp;DAY((A957+1)),2)&amp;"."&amp;RIGHT("0"&amp;MONTH((A957+1)),2)&amp;"."&amp;YEAR((A957+1))&amp;": "&amp;INDEX('Zgłoszenia'!$H$5:$H$504,MATCH(F957&amp;"|"&amp;(A957+1),'Zgłoszenia'!$S$5:$S$504,0)))&amp;IF(K957&gt;1," (+"&amp;(K957-1)&amp;")",""))</f>
        <v/>
      </c>
      <c r="M957" s="63" t="n">
        <v>12</v>
      </c>
      <c r="N957" s="2" t="n"/>
      <c r="O957" s="2" t="n"/>
    </row>
    <row r="958">
      <c r="A958" s="62">
        <f>IF('12'!$C$1="","",'12'!$C$1)</f>
        <v/>
      </c>
      <c r="B958" s="63">
        <f>Ustawienia!$A$10&amp;""</f>
        <v/>
      </c>
      <c r="C958" s="63">
        <f>Ustawienia!$A$15&amp;""</f>
        <v/>
      </c>
      <c r="D958" s="63" t="n">
        <v>6</v>
      </c>
      <c r="E958" s="63">
        <f>IF('12'!J18="","",TRIM('12'!J18&amp;""))</f>
        <v/>
      </c>
      <c r="F958" s="63">
        <f>IF('12'!K18="","",'12'!K18)</f>
        <v/>
      </c>
      <c r="G958" s="63">
        <f>'12'!L18&amp;""</f>
        <v/>
      </c>
      <c r="H958" s="63">
        <f>IF(OR(A958="",F958=""),"",F958&amp;"|"&amp;A958)</f>
        <v/>
      </c>
      <c r="I958" s="63">
        <f>IF(AND(H958&lt;&gt;"",OR('Historia wózka'!$B$4="",F958='Historia wózka'!$B$4),A958&gt;='Historia wózka'!$B$5,A958&lt;='Historia wózka'!$B$6),A958+0.7+(5000-ROW())/10000000,0)</f>
        <v/>
      </c>
      <c r="J958" s="63">
        <f>Ustawienia!$B$10&amp;""</f>
        <v/>
      </c>
      <c r="K958" s="63">
        <f>IF(H958="","",COUNTIFS('Zgłoszenia'!$B$5:$B$504,F958,'Zgłoszenia'!$D$5:$D$504,"&gt;="&amp;A958,'Zgłoszenia'!$D$5:$D$504,"&lt;="&amp;(A958+1)))</f>
        <v/>
      </c>
      <c r="L958" s="63">
        <f>IF(OR(H958="",K958=0),"—",IF(ISNUMBER(MATCH(H958,'Zgłoszenia'!$S$5:$S$504,0)),RIGHT("0"&amp;DAY(A958),2)&amp;"."&amp;RIGHT("0"&amp;MONTH(A958),2)&amp;"."&amp;YEAR(A958)&amp;": "&amp;INDEX('Zgłoszenia'!$H$5:$H$504,MATCH(H958,'Zgłoszenia'!$S$5:$S$504,0)),RIGHT("0"&amp;DAY((A958+1)),2)&amp;"."&amp;RIGHT("0"&amp;MONTH((A958+1)),2)&amp;"."&amp;YEAR((A958+1))&amp;": "&amp;INDEX('Zgłoszenia'!$H$5:$H$504,MATCH(F958&amp;"|"&amp;(A958+1),'Zgłoszenia'!$S$5:$S$504,0)))&amp;IF(K958&gt;1," (+"&amp;(K958-1)&amp;")",""))</f>
        <v/>
      </c>
      <c r="M958" s="63" t="n">
        <v>12</v>
      </c>
      <c r="N958" s="2" t="n"/>
      <c r="O958" s="2" t="n"/>
    </row>
    <row r="959">
      <c r="A959" s="62">
        <f>IF('12'!$C$1="","",'12'!$C$1)</f>
        <v/>
      </c>
      <c r="B959" s="63">
        <f>Ustawienia!$A$10&amp;""</f>
        <v/>
      </c>
      <c r="C959" s="63">
        <f>Ustawienia!$A$15&amp;""</f>
        <v/>
      </c>
      <c r="D959" s="63" t="n">
        <v>7</v>
      </c>
      <c r="E959" s="63">
        <f>IF('12'!J19="","",TRIM('12'!J19&amp;""))</f>
        <v/>
      </c>
      <c r="F959" s="63">
        <f>IF('12'!K19="","",'12'!K19)</f>
        <v/>
      </c>
      <c r="G959" s="63">
        <f>'12'!L19&amp;""</f>
        <v/>
      </c>
      <c r="H959" s="63">
        <f>IF(OR(A959="",F959=""),"",F959&amp;"|"&amp;A959)</f>
        <v/>
      </c>
      <c r="I959" s="63">
        <f>IF(AND(H959&lt;&gt;"",OR('Historia wózka'!$B$4="",F959='Historia wózka'!$B$4),A959&gt;='Historia wózka'!$B$5,A959&lt;='Historia wózka'!$B$6),A959+0.7+(5000-ROW())/10000000,0)</f>
        <v/>
      </c>
      <c r="J959" s="63">
        <f>Ustawienia!$B$10&amp;""</f>
        <v/>
      </c>
      <c r="K959" s="63">
        <f>IF(H959="","",COUNTIFS('Zgłoszenia'!$B$5:$B$504,F959,'Zgłoszenia'!$D$5:$D$504,"&gt;="&amp;A959,'Zgłoszenia'!$D$5:$D$504,"&lt;="&amp;(A959+1)))</f>
        <v/>
      </c>
      <c r="L959" s="63">
        <f>IF(OR(H959="",K959=0),"—",IF(ISNUMBER(MATCH(H959,'Zgłoszenia'!$S$5:$S$504,0)),RIGHT("0"&amp;DAY(A959),2)&amp;"."&amp;RIGHT("0"&amp;MONTH(A959),2)&amp;"."&amp;YEAR(A959)&amp;": "&amp;INDEX('Zgłoszenia'!$H$5:$H$504,MATCH(H959,'Zgłoszenia'!$S$5:$S$504,0)),RIGHT("0"&amp;DAY((A959+1)),2)&amp;"."&amp;RIGHT("0"&amp;MONTH((A959+1)),2)&amp;"."&amp;YEAR((A959+1))&amp;": "&amp;INDEX('Zgłoszenia'!$H$5:$H$504,MATCH(F959&amp;"|"&amp;(A959+1),'Zgłoszenia'!$S$5:$S$504,0)))&amp;IF(K959&gt;1," (+"&amp;(K959-1)&amp;")",""))</f>
        <v/>
      </c>
      <c r="M959" s="63" t="n">
        <v>12</v>
      </c>
      <c r="N959" s="2" t="n"/>
      <c r="O959" s="2" t="n"/>
    </row>
    <row r="960">
      <c r="A960" s="62">
        <f>IF('12'!$C$1="","",'12'!$C$1)</f>
        <v/>
      </c>
      <c r="B960" s="63">
        <f>Ustawienia!$A$10&amp;""</f>
        <v/>
      </c>
      <c r="C960" s="63">
        <f>Ustawienia!$A$15&amp;""</f>
        <v/>
      </c>
      <c r="D960" s="63" t="n">
        <v>8</v>
      </c>
      <c r="E960" s="63">
        <f>IF('12'!J20="","",TRIM('12'!J20&amp;""))</f>
        <v/>
      </c>
      <c r="F960" s="63">
        <f>IF('12'!K20="","",'12'!K20)</f>
        <v/>
      </c>
      <c r="G960" s="63">
        <f>'12'!L20&amp;""</f>
        <v/>
      </c>
      <c r="H960" s="63">
        <f>IF(OR(A960="",F960=""),"",F960&amp;"|"&amp;A960)</f>
        <v/>
      </c>
      <c r="I960" s="63">
        <f>IF(AND(H960&lt;&gt;"",OR('Historia wózka'!$B$4="",F960='Historia wózka'!$B$4),A960&gt;='Historia wózka'!$B$5,A960&lt;='Historia wózka'!$B$6),A960+0.7+(5000-ROW())/10000000,0)</f>
        <v/>
      </c>
      <c r="J960" s="63">
        <f>Ustawienia!$B$10&amp;""</f>
        <v/>
      </c>
      <c r="K960" s="63">
        <f>IF(H960="","",COUNTIFS('Zgłoszenia'!$B$5:$B$504,F960,'Zgłoszenia'!$D$5:$D$504,"&gt;="&amp;A960,'Zgłoszenia'!$D$5:$D$504,"&lt;="&amp;(A960+1)))</f>
        <v/>
      </c>
      <c r="L960" s="63">
        <f>IF(OR(H960="",K960=0),"—",IF(ISNUMBER(MATCH(H960,'Zgłoszenia'!$S$5:$S$504,0)),RIGHT("0"&amp;DAY(A960),2)&amp;"."&amp;RIGHT("0"&amp;MONTH(A960),2)&amp;"."&amp;YEAR(A960)&amp;": "&amp;INDEX('Zgłoszenia'!$H$5:$H$504,MATCH(H960,'Zgłoszenia'!$S$5:$S$504,0)),RIGHT("0"&amp;DAY((A960+1)),2)&amp;"."&amp;RIGHT("0"&amp;MONTH((A960+1)),2)&amp;"."&amp;YEAR((A960+1))&amp;": "&amp;INDEX('Zgłoszenia'!$H$5:$H$504,MATCH(F960&amp;"|"&amp;(A960+1),'Zgłoszenia'!$S$5:$S$504,0)))&amp;IF(K960&gt;1," (+"&amp;(K960-1)&amp;")",""))</f>
        <v/>
      </c>
      <c r="M960" s="63" t="n">
        <v>12</v>
      </c>
      <c r="N960" s="2" t="n"/>
      <c r="O960" s="2" t="n"/>
    </row>
    <row r="961">
      <c r="A961" s="62">
        <f>IF('12'!$C$1="","",'12'!$C$1)</f>
        <v/>
      </c>
      <c r="B961" s="63">
        <f>Ustawienia!$A$10&amp;""</f>
        <v/>
      </c>
      <c r="C961" s="63">
        <f>Ustawienia!$A$16&amp;""</f>
        <v/>
      </c>
      <c r="D961" s="63" t="n">
        <v>1</v>
      </c>
      <c r="E961" s="63">
        <f>IF('12'!J22="","",TRIM('12'!J22&amp;""))</f>
        <v/>
      </c>
      <c r="F961" s="63">
        <f>IF('12'!K22="","",'12'!K22)</f>
        <v/>
      </c>
      <c r="G961" s="63">
        <f>'12'!L22&amp;""</f>
        <v/>
      </c>
      <c r="H961" s="63">
        <f>IF(OR(A961="",F961=""),"",F961&amp;"|"&amp;A961)</f>
        <v/>
      </c>
      <c r="I961" s="63">
        <f>IF(AND(H961&lt;&gt;"",OR('Historia wózka'!$B$4="",F961='Historia wózka'!$B$4),A961&gt;='Historia wózka'!$B$5,A961&lt;='Historia wózka'!$B$6),A961+0.7+(5000-ROW())/10000000,0)</f>
        <v/>
      </c>
      <c r="J961" s="63">
        <f>Ustawienia!$B$10&amp;""</f>
        <v/>
      </c>
      <c r="K961" s="63">
        <f>IF(H961="","",COUNTIFS('Zgłoszenia'!$B$5:$B$504,F961,'Zgłoszenia'!$D$5:$D$504,"&gt;="&amp;A961,'Zgłoszenia'!$D$5:$D$504,"&lt;="&amp;(A961+1)))</f>
        <v/>
      </c>
      <c r="L961" s="63">
        <f>IF(OR(H961="",K961=0),"—",IF(ISNUMBER(MATCH(H961,'Zgłoszenia'!$S$5:$S$504,0)),RIGHT("0"&amp;DAY(A961),2)&amp;"."&amp;RIGHT("0"&amp;MONTH(A961),2)&amp;"."&amp;YEAR(A961)&amp;": "&amp;INDEX('Zgłoszenia'!$H$5:$H$504,MATCH(H961,'Zgłoszenia'!$S$5:$S$504,0)),RIGHT("0"&amp;DAY((A961+1)),2)&amp;"."&amp;RIGHT("0"&amp;MONTH((A961+1)),2)&amp;"."&amp;YEAR((A961+1))&amp;": "&amp;INDEX('Zgłoszenia'!$H$5:$H$504,MATCH(F961&amp;"|"&amp;(A961+1),'Zgłoszenia'!$S$5:$S$504,0)))&amp;IF(K961&gt;1," (+"&amp;(K961-1)&amp;")",""))</f>
        <v/>
      </c>
      <c r="M961" s="63" t="n">
        <v>12</v>
      </c>
      <c r="N961" s="2" t="n"/>
      <c r="O961" s="2" t="n"/>
    </row>
    <row r="962">
      <c r="A962" s="62">
        <f>IF('12'!$C$1="","",'12'!$C$1)</f>
        <v/>
      </c>
      <c r="B962" s="63">
        <f>Ustawienia!$A$10&amp;""</f>
        <v/>
      </c>
      <c r="C962" s="63">
        <f>Ustawienia!$A$16&amp;""</f>
        <v/>
      </c>
      <c r="D962" s="63" t="n">
        <v>2</v>
      </c>
      <c r="E962" s="63">
        <f>IF('12'!J23="","",TRIM('12'!J23&amp;""))</f>
        <v/>
      </c>
      <c r="F962" s="63">
        <f>IF('12'!K23="","",'12'!K23)</f>
        <v/>
      </c>
      <c r="G962" s="63">
        <f>'12'!L23&amp;""</f>
        <v/>
      </c>
      <c r="H962" s="63">
        <f>IF(OR(A962="",F962=""),"",F962&amp;"|"&amp;A962)</f>
        <v/>
      </c>
      <c r="I962" s="63">
        <f>IF(AND(H962&lt;&gt;"",OR('Historia wózka'!$B$4="",F962='Historia wózka'!$B$4),A962&gt;='Historia wózka'!$B$5,A962&lt;='Historia wózka'!$B$6),A962+0.7+(5000-ROW())/10000000,0)</f>
        <v/>
      </c>
      <c r="J962" s="63">
        <f>Ustawienia!$B$10&amp;""</f>
        <v/>
      </c>
      <c r="K962" s="63">
        <f>IF(H962="","",COUNTIFS('Zgłoszenia'!$B$5:$B$504,F962,'Zgłoszenia'!$D$5:$D$504,"&gt;="&amp;A962,'Zgłoszenia'!$D$5:$D$504,"&lt;="&amp;(A962+1)))</f>
        <v/>
      </c>
      <c r="L962" s="63">
        <f>IF(OR(H962="",K962=0),"—",IF(ISNUMBER(MATCH(H962,'Zgłoszenia'!$S$5:$S$504,0)),RIGHT("0"&amp;DAY(A962),2)&amp;"."&amp;RIGHT("0"&amp;MONTH(A962),2)&amp;"."&amp;YEAR(A962)&amp;": "&amp;INDEX('Zgłoszenia'!$H$5:$H$504,MATCH(H962,'Zgłoszenia'!$S$5:$S$504,0)),RIGHT("0"&amp;DAY((A962+1)),2)&amp;"."&amp;RIGHT("0"&amp;MONTH((A962+1)),2)&amp;"."&amp;YEAR((A962+1))&amp;": "&amp;INDEX('Zgłoszenia'!$H$5:$H$504,MATCH(F962&amp;"|"&amp;(A962+1),'Zgłoszenia'!$S$5:$S$504,0)))&amp;IF(K962&gt;1," (+"&amp;(K962-1)&amp;")",""))</f>
        <v/>
      </c>
      <c r="M962" s="63" t="n">
        <v>12</v>
      </c>
      <c r="N962" s="2" t="n"/>
      <c r="O962" s="2" t="n"/>
    </row>
    <row r="963">
      <c r="A963" s="62">
        <f>IF('12'!$C$1="","",'12'!$C$1)</f>
        <v/>
      </c>
      <c r="B963" s="63">
        <f>Ustawienia!$A$10&amp;""</f>
        <v/>
      </c>
      <c r="C963" s="63">
        <f>Ustawienia!$A$16&amp;""</f>
        <v/>
      </c>
      <c r="D963" s="63" t="n">
        <v>3</v>
      </c>
      <c r="E963" s="63">
        <f>IF('12'!J24="","",TRIM('12'!J24&amp;""))</f>
        <v/>
      </c>
      <c r="F963" s="63">
        <f>IF('12'!K24="","",'12'!K24)</f>
        <v/>
      </c>
      <c r="G963" s="63">
        <f>'12'!L24&amp;""</f>
        <v/>
      </c>
      <c r="H963" s="63">
        <f>IF(OR(A963="",F963=""),"",F963&amp;"|"&amp;A963)</f>
        <v/>
      </c>
      <c r="I963" s="63">
        <f>IF(AND(H963&lt;&gt;"",OR('Historia wózka'!$B$4="",F963='Historia wózka'!$B$4),A963&gt;='Historia wózka'!$B$5,A963&lt;='Historia wózka'!$B$6),A963+0.7+(5000-ROW())/10000000,0)</f>
        <v/>
      </c>
      <c r="J963" s="63">
        <f>Ustawienia!$B$10&amp;""</f>
        <v/>
      </c>
      <c r="K963" s="63">
        <f>IF(H963="","",COUNTIFS('Zgłoszenia'!$B$5:$B$504,F963,'Zgłoszenia'!$D$5:$D$504,"&gt;="&amp;A963,'Zgłoszenia'!$D$5:$D$504,"&lt;="&amp;(A963+1)))</f>
        <v/>
      </c>
      <c r="L963" s="63">
        <f>IF(OR(H963="",K963=0),"—",IF(ISNUMBER(MATCH(H963,'Zgłoszenia'!$S$5:$S$504,0)),RIGHT("0"&amp;DAY(A963),2)&amp;"."&amp;RIGHT("0"&amp;MONTH(A963),2)&amp;"."&amp;YEAR(A963)&amp;": "&amp;INDEX('Zgłoszenia'!$H$5:$H$504,MATCH(H963,'Zgłoszenia'!$S$5:$S$504,0)),RIGHT("0"&amp;DAY((A963+1)),2)&amp;"."&amp;RIGHT("0"&amp;MONTH((A963+1)),2)&amp;"."&amp;YEAR((A963+1))&amp;": "&amp;INDEX('Zgłoszenia'!$H$5:$H$504,MATCH(F963&amp;"|"&amp;(A963+1),'Zgłoszenia'!$S$5:$S$504,0)))&amp;IF(K963&gt;1," (+"&amp;(K963-1)&amp;")",""))</f>
        <v/>
      </c>
      <c r="M963" s="63" t="n">
        <v>12</v>
      </c>
      <c r="N963" s="2" t="n"/>
      <c r="O963" s="2" t="n"/>
    </row>
    <row r="964">
      <c r="A964" s="62">
        <f>IF('12'!$C$1="","",'12'!$C$1)</f>
        <v/>
      </c>
      <c r="B964" s="63">
        <f>Ustawienia!$A$10&amp;""</f>
        <v/>
      </c>
      <c r="C964" s="63">
        <f>Ustawienia!$A$16&amp;""</f>
        <v/>
      </c>
      <c r="D964" s="63" t="n">
        <v>4</v>
      </c>
      <c r="E964" s="63">
        <f>IF('12'!J25="","",TRIM('12'!J25&amp;""))</f>
        <v/>
      </c>
      <c r="F964" s="63">
        <f>IF('12'!K25="","",'12'!K25)</f>
        <v/>
      </c>
      <c r="G964" s="63">
        <f>'12'!L25&amp;""</f>
        <v/>
      </c>
      <c r="H964" s="63">
        <f>IF(OR(A964="",F964=""),"",F964&amp;"|"&amp;A964)</f>
        <v/>
      </c>
      <c r="I964" s="63">
        <f>IF(AND(H964&lt;&gt;"",OR('Historia wózka'!$B$4="",F964='Historia wózka'!$B$4),A964&gt;='Historia wózka'!$B$5,A964&lt;='Historia wózka'!$B$6),A964+0.7+(5000-ROW())/10000000,0)</f>
        <v/>
      </c>
      <c r="J964" s="63">
        <f>Ustawienia!$B$10&amp;""</f>
        <v/>
      </c>
      <c r="K964" s="63">
        <f>IF(H964="","",COUNTIFS('Zgłoszenia'!$B$5:$B$504,F964,'Zgłoszenia'!$D$5:$D$504,"&gt;="&amp;A964,'Zgłoszenia'!$D$5:$D$504,"&lt;="&amp;(A964+1)))</f>
        <v/>
      </c>
      <c r="L964" s="63">
        <f>IF(OR(H964="",K964=0),"—",IF(ISNUMBER(MATCH(H964,'Zgłoszenia'!$S$5:$S$504,0)),RIGHT("0"&amp;DAY(A964),2)&amp;"."&amp;RIGHT("0"&amp;MONTH(A964),2)&amp;"."&amp;YEAR(A964)&amp;": "&amp;INDEX('Zgłoszenia'!$H$5:$H$504,MATCH(H964,'Zgłoszenia'!$S$5:$S$504,0)),RIGHT("0"&amp;DAY((A964+1)),2)&amp;"."&amp;RIGHT("0"&amp;MONTH((A964+1)),2)&amp;"."&amp;YEAR((A964+1))&amp;": "&amp;INDEX('Zgłoszenia'!$H$5:$H$504,MATCH(F964&amp;"|"&amp;(A964+1),'Zgłoszenia'!$S$5:$S$504,0)))&amp;IF(K964&gt;1," (+"&amp;(K964-1)&amp;")",""))</f>
        <v/>
      </c>
      <c r="M964" s="63" t="n">
        <v>12</v>
      </c>
      <c r="N964" s="2" t="n"/>
      <c r="O964" s="2" t="n"/>
    </row>
    <row r="965">
      <c r="A965" s="62">
        <f>IF('12'!$C$1="","",'12'!$C$1)</f>
        <v/>
      </c>
      <c r="B965" s="63">
        <f>Ustawienia!$A$10&amp;""</f>
        <v/>
      </c>
      <c r="C965" s="63">
        <f>Ustawienia!$A$17&amp;""</f>
        <v/>
      </c>
      <c r="D965" s="63" t="n">
        <v>1</v>
      </c>
      <c r="E965" s="63">
        <f>IF('12'!J27="","",TRIM('12'!J27&amp;""))</f>
        <v/>
      </c>
      <c r="F965" s="63">
        <f>IF('12'!K27="","",'12'!K27)</f>
        <v/>
      </c>
      <c r="G965" s="63">
        <f>'12'!L27&amp;""</f>
        <v/>
      </c>
      <c r="H965" s="63">
        <f>IF(OR(A965="",F965=""),"",F965&amp;"|"&amp;A965)</f>
        <v/>
      </c>
      <c r="I965" s="63">
        <f>IF(AND(H965&lt;&gt;"",OR('Historia wózka'!$B$4="",F965='Historia wózka'!$B$4),A965&gt;='Historia wózka'!$B$5,A965&lt;='Historia wózka'!$B$6),A965+0.7+(5000-ROW())/10000000,0)</f>
        <v/>
      </c>
      <c r="J965" s="63">
        <f>Ustawienia!$B$10&amp;""</f>
        <v/>
      </c>
      <c r="K965" s="63">
        <f>IF(H965="","",COUNTIFS('Zgłoszenia'!$B$5:$B$504,F965,'Zgłoszenia'!$D$5:$D$504,"&gt;="&amp;A965,'Zgłoszenia'!$D$5:$D$504,"&lt;="&amp;(A965+1)))</f>
        <v/>
      </c>
      <c r="L965" s="63">
        <f>IF(OR(H965="",K965=0),"—",IF(ISNUMBER(MATCH(H965,'Zgłoszenia'!$S$5:$S$504,0)),RIGHT("0"&amp;DAY(A965),2)&amp;"."&amp;RIGHT("0"&amp;MONTH(A965),2)&amp;"."&amp;YEAR(A965)&amp;": "&amp;INDEX('Zgłoszenia'!$H$5:$H$504,MATCH(H965,'Zgłoszenia'!$S$5:$S$504,0)),RIGHT("0"&amp;DAY((A965+1)),2)&amp;"."&amp;RIGHT("0"&amp;MONTH((A965+1)),2)&amp;"."&amp;YEAR((A965+1))&amp;": "&amp;INDEX('Zgłoszenia'!$H$5:$H$504,MATCH(F965&amp;"|"&amp;(A965+1),'Zgłoszenia'!$S$5:$S$504,0)))&amp;IF(K965&gt;1," (+"&amp;(K965-1)&amp;")",""))</f>
        <v/>
      </c>
      <c r="M965" s="63" t="n">
        <v>12</v>
      </c>
      <c r="N965" s="2" t="n"/>
      <c r="O965" s="2" t="n"/>
    </row>
    <row r="966">
      <c r="A966" s="62">
        <f>IF('12'!$C$1="","",'12'!$C$1)</f>
        <v/>
      </c>
      <c r="B966" s="63">
        <f>Ustawienia!$A$10&amp;""</f>
        <v/>
      </c>
      <c r="C966" s="63">
        <f>Ustawienia!$A$17&amp;""</f>
        <v/>
      </c>
      <c r="D966" s="63" t="n">
        <v>2</v>
      </c>
      <c r="E966" s="63">
        <f>IF('12'!J28="","",TRIM('12'!J28&amp;""))</f>
        <v/>
      </c>
      <c r="F966" s="63">
        <f>IF('12'!K28="","",'12'!K28)</f>
        <v/>
      </c>
      <c r="G966" s="63">
        <f>'12'!L28&amp;""</f>
        <v/>
      </c>
      <c r="H966" s="63">
        <f>IF(OR(A966="",F966=""),"",F966&amp;"|"&amp;A966)</f>
        <v/>
      </c>
      <c r="I966" s="63">
        <f>IF(AND(H966&lt;&gt;"",OR('Historia wózka'!$B$4="",F966='Historia wózka'!$B$4),A966&gt;='Historia wózka'!$B$5,A966&lt;='Historia wózka'!$B$6),A966+0.7+(5000-ROW())/10000000,0)</f>
        <v/>
      </c>
      <c r="J966" s="63">
        <f>Ustawienia!$B$10&amp;""</f>
        <v/>
      </c>
      <c r="K966" s="63">
        <f>IF(H966="","",COUNTIFS('Zgłoszenia'!$B$5:$B$504,F966,'Zgłoszenia'!$D$5:$D$504,"&gt;="&amp;A966,'Zgłoszenia'!$D$5:$D$504,"&lt;="&amp;(A966+1)))</f>
        <v/>
      </c>
      <c r="L966" s="63">
        <f>IF(OR(H966="",K966=0),"—",IF(ISNUMBER(MATCH(H966,'Zgłoszenia'!$S$5:$S$504,0)),RIGHT("0"&amp;DAY(A966),2)&amp;"."&amp;RIGHT("0"&amp;MONTH(A966),2)&amp;"."&amp;YEAR(A966)&amp;": "&amp;INDEX('Zgłoszenia'!$H$5:$H$504,MATCH(H966,'Zgłoszenia'!$S$5:$S$504,0)),RIGHT("0"&amp;DAY((A966+1)),2)&amp;"."&amp;RIGHT("0"&amp;MONTH((A966+1)),2)&amp;"."&amp;YEAR((A966+1))&amp;": "&amp;INDEX('Zgłoszenia'!$H$5:$H$504,MATCH(F966&amp;"|"&amp;(A966+1),'Zgłoszenia'!$S$5:$S$504,0)))&amp;IF(K966&gt;1," (+"&amp;(K966-1)&amp;")",""))</f>
        <v/>
      </c>
      <c r="M966" s="63" t="n">
        <v>12</v>
      </c>
      <c r="N966" s="2" t="n"/>
      <c r="O966" s="2" t="n"/>
    </row>
    <row r="967">
      <c r="A967" s="62">
        <f>IF('12'!$C$1="","",'12'!$C$1)</f>
        <v/>
      </c>
      <c r="B967" s="63">
        <f>Ustawienia!$A$10&amp;""</f>
        <v/>
      </c>
      <c r="C967" s="63">
        <f>Ustawienia!$A$17&amp;""</f>
        <v/>
      </c>
      <c r="D967" s="63" t="n">
        <v>3</v>
      </c>
      <c r="E967" s="63">
        <f>IF('12'!J29="","",TRIM('12'!J29&amp;""))</f>
        <v/>
      </c>
      <c r="F967" s="63">
        <f>IF('12'!K29="","",'12'!K29)</f>
        <v/>
      </c>
      <c r="G967" s="63">
        <f>'12'!L29&amp;""</f>
        <v/>
      </c>
      <c r="H967" s="63">
        <f>IF(OR(A967="",F967=""),"",F967&amp;"|"&amp;A967)</f>
        <v/>
      </c>
      <c r="I967" s="63">
        <f>IF(AND(H967&lt;&gt;"",OR('Historia wózka'!$B$4="",F967='Historia wózka'!$B$4),A967&gt;='Historia wózka'!$B$5,A967&lt;='Historia wózka'!$B$6),A967+0.7+(5000-ROW())/10000000,0)</f>
        <v/>
      </c>
      <c r="J967" s="63">
        <f>Ustawienia!$B$10&amp;""</f>
        <v/>
      </c>
      <c r="K967" s="63">
        <f>IF(H967="","",COUNTIFS('Zgłoszenia'!$B$5:$B$504,F967,'Zgłoszenia'!$D$5:$D$504,"&gt;="&amp;A967,'Zgłoszenia'!$D$5:$D$504,"&lt;="&amp;(A967+1)))</f>
        <v/>
      </c>
      <c r="L967" s="63">
        <f>IF(OR(H967="",K967=0),"—",IF(ISNUMBER(MATCH(H967,'Zgłoszenia'!$S$5:$S$504,0)),RIGHT("0"&amp;DAY(A967),2)&amp;"."&amp;RIGHT("0"&amp;MONTH(A967),2)&amp;"."&amp;YEAR(A967)&amp;": "&amp;INDEX('Zgłoszenia'!$H$5:$H$504,MATCH(H967,'Zgłoszenia'!$S$5:$S$504,0)),RIGHT("0"&amp;DAY((A967+1)),2)&amp;"."&amp;RIGHT("0"&amp;MONTH((A967+1)),2)&amp;"."&amp;YEAR((A967+1))&amp;": "&amp;INDEX('Zgłoszenia'!$H$5:$H$504,MATCH(F967&amp;"|"&amp;(A967+1),'Zgłoszenia'!$S$5:$S$504,0)))&amp;IF(K967&gt;1," (+"&amp;(K967-1)&amp;")",""))</f>
        <v/>
      </c>
      <c r="M967" s="63" t="n">
        <v>12</v>
      </c>
      <c r="N967" s="2" t="n"/>
      <c r="O967" s="2" t="n"/>
    </row>
    <row r="968">
      <c r="A968" s="62">
        <f>IF('12'!$C$1="","",'12'!$C$1)</f>
        <v/>
      </c>
      <c r="B968" s="63">
        <f>Ustawienia!$A$10&amp;""</f>
        <v/>
      </c>
      <c r="C968" s="63">
        <f>Ustawienia!$A$17&amp;""</f>
        <v/>
      </c>
      <c r="D968" s="63" t="n">
        <v>4</v>
      </c>
      <c r="E968" s="63">
        <f>IF('12'!J30="","",TRIM('12'!J30&amp;""))</f>
        <v/>
      </c>
      <c r="F968" s="63">
        <f>IF('12'!K30="","",'12'!K30)</f>
        <v/>
      </c>
      <c r="G968" s="63">
        <f>'12'!L30&amp;""</f>
        <v/>
      </c>
      <c r="H968" s="63">
        <f>IF(OR(A968="",F968=""),"",F968&amp;"|"&amp;A968)</f>
        <v/>
      </c>
      <c r="I968" s="63">
        <f>IF(AND(H968&lt;&gt;"",OR('Historia wózka'!$B$4="",F968='Historia wózka'!$B$4),A968&gt;='Historia wózka'!$B$5,A968&lt;='Historia wózka'!$B$6),A968+0.7+(5000-ROW())/10000000,0)</f>
        <v/>
      </c>
      <c r="J968" s="63">
        <f>Ustawienia!$B$10&amp;""</f>
        <v/>
      </c>
      <c r="K968" s="63">
        <f>IF(H968="","",COUNTIFS('Zgłoszenia'!$B$5:$B$504,F968,'Zgłoszenia'!$D$5:$D$504,"&gt;="&amp;A968,'Zgłoszenia'!$D$5:$D$504,"&lt;="&amp;(A968+1)))</f>
        <v/>
      </c>
      <c r="L968" s="63">
        <f>IF(OR(H968="",K968=0),"—",IF(ISNUMBER(MATCH(H968,'Zgłoszenia'!$S$5:$S$504,0)),RIGHT("0"&amp;DAY(A968),2)&amp;"."&amp;RIGHT("0"&amp;MONTH(A968),2)&amp;"."&amp;YEAR(A968)&amp;": "&amp;INDEX('Zgłoszenia'!$H$5:$H$504,MATCH(H968,'Zgłoszenia'!$S$5:$S$504,0)),RIGHT("0"&amp;DAY((A968+1)),2)&amp;"."&amp;RIGHT("0"&amp;MONTH((A968+1)),2)&amp;"."&amp;YEAR((A968+1))&amp;": "&amp;INDEX('Zgłoszenia'!$H$5:$H$504,MATCH(F968&amp;"|"&amp;(A968+1),'Zgłoszenia'!$S$5:$S$504,0)))&amp;IF(K968&gt;1," (+"&amp;(K968-1)&amp;")",""))</f>
        <v/>
      </c>
      <c r="M968" s="63" t="n">
        <v>12</v>
      </c>
      <c r="N968" s="2" t="n"/>
      <c r="O968" s="2" t="n"/>
    </row>
    <row r="969">
      <c r="A969" s="62">
        <f>IF('12'!$C$1="","",'12'!$C$1)</f>
        <v/>
      </c>
      <c r="B969" s="63">
        <f>Ustawienia!$A$10&amp;""</f>
        <v/>
      </c>
      <c r="C969" s="63">
        <f>Ustawienia!$A$18&amp;""</f>
        <v/>
      </c>
      <c r="D969" s="63" t="n">
        <v>1</v>
      </c>
      <c r="E969" s="63">
        <f>IF('12'!J32="","",TRIM('12'!J32&amp;""))</f>
        <v/>
      </c>
      <c r="F969" s="63">
        <f>IF('12'!K32="","",'12'!K32)</f>
        <v/>
      </c>
      <c r="G969" s="63">
        <f>'12'!L32&amp;""</f>
        <v/>
      </c>
      <c r="H969" s="63">
        <f>IF(OR(A969="",F969=""),"",F969&amp;"|"&amp;A969)</f>
        <v/>
      </c>
      <c r="I969" s="63">
        <f>IF(AND(H969&lt;&gt;"",OR('Historia wózka'!$B$4="",F969='Historia wózka'!$B$4),A969&gt;='Historia wózka'!$B$5,A969&lt;='Historia wózka'!$B$6),A969+0.7+(5000-ROW())/10000000,0)</f>
        <v/>
      </c>
      <c r="J969" s="63">
        <f>Ustawienia!$B$10&amp;""</f>
        <v/>
      </c>
      <c r="K969" s="63">
        <f>IF(H969="","",COUNTIFS('Zgłoszenia'!$B$5:$B$504,F969,'Zgłoszenia'!$D$5:$D$504,"&gt;="&amp;A969,'Zgłoszenia'!$D$5:$D$504,"&lt;="&amp;(A969+1)))</f>
        <v/>
      </c>
      <c r="L969" s="63">
        <f>IF(OR(H969="",K969=0),"—",IF(ISNUMBER(MATCH(H969,'Zgłoszenia'!$S$5:$S$504,0)),RIGHT("0"&amp;DAY(A969),2)&amp;"."&amp;RIGHT("0"&amp;MONTH(A969),2)&amp;"."&amp;YEAR(A969)&amp;": "&amp;INDEX('Zgłoszenia'!$H$5:$H$504,MATCH(H969,'Zgłoszenia'!$S$5:$S$504,0)),RIGHT("0"&amp;DAY((A969+1)),2)&amp;"."&amp;RIGHT("0"&amp;MONTH((A969+1)),2)&amp;"."&amp;YEAR((A969+1))&amp;": "&amp;INDEX('Zgłoszenia'!$H$5:$H$504,MATCH(F969&amp;"|"&amp;(A969+1),'Zgłoszenia'!$S$5:$S$504,0)))&amp;IF(K969&gt;1," (+"&amp;(K969-1)&amp;")",""))</f>
        <v/>
      </c>
      <c r="M969" s="63" t="n">
        <v>12</v>
      </c>
      <c r="N969" s="2" t="n"/>
      <c r="O969" s="2" t="n"/>
    </row>
    <row r="970">
      <c r="A970" s="62">
        <f>IF('12'!$C$1="","",'12'!$C$1)</f>
        <v/>
      </c>
      <c r="B970" s="63">
        <f>Ustawienia!$A$10&amp;""</f>
        <v/>
      </c>
      <c r="C970" s="63">
        <f>Ustawienia!$A$18&amp;""</f>
        <v/>
      </c>
      <c r="D970" s="63" t="n">
        <v>2</v>
      </c>
      <c r="E970" s="63">
        <f>IF('12'!J33="","",TRIM('12'!J33&amp;""))</f>
        <v/>
      </c>
      <c r="F970" s="63">
        <f>IF('12'!K33="","",'12'!K33)</f>
        <v/>
      </c>
      <c r="G970" s="63">
        <f>'12'!L33&amp;""</f>
        <v/>
      </c>
      <c r="H970" s="63">
        <f>IF(OR(A970="",F970=""),"",F970&amp;"|"&amp;A970)</f>
        <v/>
      </c>
      <c r="I970" s="63">
        <f>IF(AND(H970&lt;&gt;"",OR('Historia wózka'!$B$4="",F970='Historia wózka'!$B$4),A970&gt;='Historia wózka'!$B$5,A970&lt;='Historia wózka'!$B$6),A970+0.7+(5000-ROW())/10000000,0)</f>
        <v/>
      </c>
      <c r="J970" s="63">
        <f>Ustawienia!$B$10&amp;""</f>
        <v/>
      </c>
      <c r="K970" s="63">
        <f>IF(H970="","",COUNTIFS('Zgłoszenia'!$B$5:$B$504,F970,'Zgłoszenia'!$D$5:$D$504,"&gt;="&amp;A970,'Zgłoszenia'!$D$5:$D$504,"&lt;="&amp;(A970+1)))</f>
        <v/>
      </c>
      <c r="L970" s="63">
        <f>IF(OR(H970="",K970=0),"—",IF(ISNUMBER(MATCH(H970,'Zgłoszenia'!$S$5:$S$504,0)),RIGHT("0"&amp;DAY(A970),2)&amp;"."&amp;RIGHT("0"&amp;MONTH(A970),2)&amp;"."&amp;YEAR(A970)&amp;": "&amp;INDEX('Zgłoszenia'!$H$5:$H$504,MATCH(H970,'Zgłoszenia'!$S$5:$S$504,0)),RIGHT("0"&amp;DAY((A970+1)),2)&amp;"."&amp;RIGHT("0"&amp;MONTH((A970+1)),2)&amp;"."&amp;YEAR((A970+1))&amp;": "&amp;INDEX('Zgłoszenia'!$H$5:$H$504,MATCH(F970&amp;"|"&amp;(A970+1),'Zgłoszenia'!$S$5:$S$504,0)))&amp;IF(K970&gt;1," (+"&amp;(K970-1)&amp;")",""))</f>
        <v/>
      </c>
      <c r="M970" s="63" t="n">
        <v>12</v>
      </c>
      <c r="N970" s="2" t="n"/>
      <c r="O970" s="2" t="n"/>
    </row>
    <row r="971">
      <c r="A971" s="62">
        <f>IF('12'!$C$1="","",'12'!$C$1)</f>
        <v/>
      </c>
      <c r="B971" s="63">
        <f>Ustawienia!$A$10&amp;""</f>
        <v/>
      </c>
      <c r="C971" s="63">
        <f>Ustawienia!$A$18&amp;""</f>
        <v/>
      </c>
      <c r="D971" s="63" t="n">
        <v>3</v>
      </c>
      <c r="E971" s="63">
        <f>IF('12'!J34="","",TRIM('12'!J34&amp;""))</f>
        <v/>
      </c>
      <c r="F971" s="63">
        <f>IF('12'!K34="","",'12'!K34)</f>
        <v/>
      </c>
      <c r="G971" s="63">
        <f>'12'!L34&amp;""</f>
        <v/>
      </c>
      <c r="H971" s="63">
        <f>IF(OR(A971="",F971=""),"",F971&amp;"|"&amp;A971)</f>
        <v/>
      </c>
      <c r="I971" s="63">
        <f>IF(AND(H971&lt;&gt;"",OR('Historia wózka'!$B$4="",F971='Historia wózka'!$B$4),A971&gt;='Historia wózka'!$B$5,A971&lt;='Historia wózka'!$B$6),A971+0.7+(5000-ROW())/10000000,0)</f>
        <v/>
      </c>
      <c r="J971" s="63">
        <f>Ustawienia!$B$10&amp;""</f>
        <v/>
      </c>
      <c r="K971" s="63">
        <f>IF(H971="","",COUNTIFS('Zgłoszenia'!$B$5:$B$504,F971,'Zgłoszenia'!$D$5:$D$504,"&gt;="&amp;A971,'Zgłoszenia'!$D$5:$D$504,"&lt;="&amp;(A971+1)))</f>
        <v/>
      </c>
      <c r="L971" s="63">
        <f>IF(OR(H971="",K971=0),"—",IF(ISNUMBER(MATCH(H971,'Zgłoszenia'!$S$5:$S$504,0)),RIGHT("0"&amp;DAY(A971),2)&amp;"."&amp;RIGHT("0"&amp;MONTH(A971),2)&amp;"."&amp;YEAR(A971)&amp;": "&amp;INDEX('Zgłoszenia'!$H$5:$H$504,MATCH(H971,'Zgłoszenia'!$S$5:$S$504,0)),RIGHT("0"&amp;DAY((A971+1)),2)&amp;"."&amp;RIGHT("0"&amp;MONTH((A971+1)),2)&amp;"."&amp;YEAR((A971+1))&amp;": "&amp;INDEX('Zgłoszenia'!$H$5:$H$504,MATCH(F971&amp;"|"&amp;(A971+1),'Zgłoszenia'!$S$5:$S$504,0)))&amp;IF(K971&gt;1," (+"&amp;(K971-1)&amp;")",""))</f>
        <v/>
      </c>
      <c r="M971" s="63" t="n">
        <v>12</v>
      </c>
      <c r="N971" s="2" t="n"/>
      <c r="O971" s="2" t="n"/>
    </row>
    <row r="972">
      <c r="A972" s="62">
        <f>IF('12'!$C$1="","",'12'!$C$1)</f>
        <v/>
      </c>
      <c r="B972" s="63">
        <f>Ustawienia!$A$10&amp;""</f>
        <v/>
      </c>
      <c r="C972" s="63">
        <f>Ustawienia!$A$18&amp;""</f>
        <v/>
      </c>
      <c r="D972" s="63" t="n">
        <v>4</v>
      </c>
      <c r="E972" s="63">
        <f>IF('12'!J35="","",TRIM('12'!J35&amp;""))</f>
        <v/>
      </c>
      <c r="F972" s="63">
        <f>IF('12'!K35="","",'12'!K35)</f>
        <v/>
      </c>
      <c r="G972" s="63">
        <f>'12'!L35&amp;""</f>
        <v/>
      </c>
      <c r="H972" s="63">
        <f>IF(OR(A972="",F972=""),"",F972&amp;"|"&amp;A972)</f>
        <v/>
      </c>
      <c r="I972" s="63">
        <f>IF(AND(H972&lt;&gt;"",OR('Historia wózka'!$B$4="",F972='Historia wózka'!$B$4),A972&gt;='Historia wózka'!$B$5,A972&lt;='Historia wózka'!$B$6),A972+0.7+(5000-ROW())/10000000,0)</f>
        <v/>
      </c>
      <c r="J972" s="63">
        <f>Ustawienia!$B$10&amp;""</f>
        <v/>
      </c>
      <c r="K972" s="63">
        <f>IF(H972="","",COUNTIFS('Zgłoszenia'!$B$5:$B$504,F972,'Zgłoszenia'!$D$5:$D$504,"&gt;="&amp;A972,'Zgłoszenia'!$D$5:$D$504,"&lt;="&amp;(A972+1)))</f>
        <v/>
      </c>
      <c r="L972" s="63">
        <f>IF(OR(H972="",K972=0),"—",IF(ISNUMBER(MATCH(H972,'Zgłoszenia'!$S$5:$S$504,0)),RIGHT("0"&amp;DAY(A972),2)&amp;"."&amp;RIGHT("0"&amp;MONTH(A972),2)&amp;"."&amp;YEAR(A972)&amp;": "&amp;INDEX('Zgłoszenia'!$H$5:$H$504,MATCH(H972,'Zgłoszenia'!$S$5:$S$504,0)),RIGHT("0"&amp;DAY((A972+1)),2)&amp;"."&amp;RIGHT("0"&amp;MONTH((A972+1)),2)&amp;"."&amp;YEAR((A972+1))&amp;": "&amp;INDEX('Zgłoszenia'!$H$5:$H$504,MATCH(F972&amp;"|"&amp;(A972+1),'Zgłoszenia'!$S$5:$S$504,0)))&amp;IF(K972&gt;1," (+"&amp;(K972-1)&amp;")",""))</f>
        <v/>
      </c>
      <c r="M972" s="63" t="n">
        <v>12</v>
      </c>
      <c r="N972" s="2" t="n"/>
      <c r="O972" s="2" t="n"/>
    </row>
    <row r="973">
      <c r="A973" s="62">
        <f>IF('12'!$C$1="","",'12'!$C$1)</f>
        <v/>
      </c>
      <c r="B973" s="63">
        <f>Ustawienia!$A$10&amp;""</f>
        <v/>
      </c>
      <c r="C973" s="63">
        <f>Ustawienia!$A$18&amp;""</f>
        <v/>
      </c>
      <c r="D973" s="63" t="n">
        <v>5</v>
      </c>
      <c r="E973" s="63">
        <f>IF('12'!J36="","",TRIM('12'!J36&amp;""))</f>
        <v/>
      </c>
      <c r="F973" s="63">
        <f>IF('12'!K36="","",'12'!K36)</f>
        <v/>
      </c>
      <c r="G973" s="63">
        <f>'12'!L36&amp;""</f>
        <v/>
      </c>
      <c r="H973" s="63">
        <f>IF(OR(A973="",F973=""),"",F973&amp;"|"&amp;A973)</f>
        <v/>
      </c>
      <c r="I973" s="63">
        <f>IF(AND(H973&lt;&gt;"",OR('Historia wózka'!$B$4="",F973='Historia wózka'!$B$4),A973&gt;='Historia wózka'!$B$5,A973&lt;='Historia wózka'!$B$6),A973+0.7+(5000-ROW())/10000000,0)</f>
        <v/>
      </c>
      <c r="J973" s="63">
        <f>Ustawienia!$B$10&amp;""</f>
        <v/>
      </c>
      <c r="K973" s="63">
        <f>IF(H973="","",COUNTIFS('Zgłoszenia'!$B$5:$B$504,F973,'Zgłoszenia'!$D$5:$D$504,"&gt;="&amp;A973,'Zgłoszenia'!$D$5:$D$504,"&lt;="&amp;(A973+1)))</f>
        <v/>
      </c>
      <c r="L973" s="63">
        <f>IF(OR(H973="",K973=0),"—",IF(ISNUMBER(MATCH(H973,'Zgłoszenia'!$S$5:$S$504,0)),RIGHT("0"&amp;DAY(A973),2)&amp;"."&amp;RIGHT("0"&amp;MONTH(A973),2)&amp;"."&amp;YEAR(A973)&amp;": "&amp;INDEX('Zgłoszenia'!$H$5:$H$504,MATCH(H973,'Zgłoszenia'!$S$5:$S$504,0)),RIGHT("0"&amp;DAY((A973+1)),2)&amp;"."&amp;RIGHT("0"&amp;MONTH((A973+1)),2)&amp;"."&amp;YEAR((A973+1))&amp;": "&amp;INDEX('Zgłoszenia'!$H$5:$H$504,MATCH(F973&amp;"|"&amp;(A973+1),'Zgłoszenia'!$S$5:$S$504,0)))&amp;IF(K973&gt;1," (+"&amp;(K973-1)&amp;")",""))</f>
        <v/>
      </c>
      <c r="M973" s="63" t="n">
        <v>12</v>
      </c>
      <c r="N973" s="2" t="n"/>
      <c r="O973" s="2" t="n"/>
    </row>
    <row r="974">
      <c r="A974" s="62">
        <f>IF('13'!$C$1="","",'13'!$C$1)</f>
        <v/>
      </c>
      <c r="B974" s="63">
        <f>Ustawienia!$A$8&amp;""</f>
        <v/>
      </c>
      <c r="C974" s="63">
        <f>Ustawienia!$A$14&amp;""</f>
        <v/>
      </c>
      <c r="D974" s="63" t="n">
        <v>1</v>
      </c>
      <c r="E974" s="63">
        <f>IF('13'!B6="","",TRIM('13'!B6&amp;""))</f>
        <v/>
      </c>
      <c r="F974" s="63">
        <f>IF('13'!C6="","",'13'!C6)</f>
        <v/>
      </c>
      <c r="G974" s="63">
        <f>'13'!D6&amp;""</f>
        <v/>
      </c>
      <c r="H974" s="63">
        <f>IF(OR(A974="",F974=""),"",F974&amp;"|"&amp;A974)</f>
        <v/>
      </c>
      <c r="I974" s="63">
        <f>IF(AND(H974&lt;&gt;"",OR('Historia wózka'!$B$4="",F974='Historia wózka'!$B$4),A974&gt;='Historia wózka'!$B$5,A974&lt;='Historia wózka'!$B$6),A974+0.9+(5000-ROW())/10000000,0)</f>
        <v/>
      </c>
      <c r="J974" s="63">
        <f>Ustawienia!$B$8&amp;""</f>
        <v/>
      </c>
      <c r="K974" s="63">
        <f>IF(H974="","",COUNTIFS('Zgłoszenia'!$B$5:$B$504,F974,'Zgłoszenia'!$D$5:$D$504,"&gt;="&amp;A974,'Zgłoszenia'!$D$5:$D$504,"&lt;="&amp;(A974+1)))</f>
        <v/>
      </c>
      <c r="L974" s="63">
        <f>IF(OR(H974="",K974=0),"—",IF(ISNUMBER(MATCH(H974,'Zgłoszenia'!$S$5:$S$504,0)),RIGHT("0"&amp;DAY(A974),2)&amp;"."&amp;RIGHT("0"&amp;MONTH(A974),2)&amp;"."&amp;YEAR(A974)&amp;": "&amp;INDEX('Zgłoszenia'!$H$5:$H$504,MATCH(H974,'Zgłoszenia'!$S$5:$S$504,0)),RIGHT("0"&amp;DAY((A974+1)),2)&amp;"."&amp;RIGHT("0"&amp;MONTH((A974+1)),2)&amp;"."&amp;YEAR((A974+1))&amp;": "&amp;INDEX('Zgłoszenia'!$H$5:$H$504,MATCH(F974&amp;"|"&amp;(A974+1),'Zgłoszenia'!$S$5:$S$504,0)))&amp;IF(K974&gt;1," (+"&amp;(K974-1)&amp;")",""))</f>
        <v/>
      </c>
      <c r="M974" s="63" t="n">
        <v>13</v>
      </c>
      <c r="N974" s="2" t="n"/>
      <c r="O974" s="2" t="n"/>
    </row>
    <row r="975">
      <c r="A975" s="62">
        <f>IF('13'!$C$1="","",'13'!$C$1)</f>
        <v/>
      </c>
      <c r="B975" s="63">
        <f>Ustawienia!$A$8&amp;""</f>
        <v/>
      </c>
      <c r="C975" s="63">
        <f>Ustawienia!$A$14&amp;""</f>
        <v/>
      </c>
      <c r="D975" s="63" t="n">
        <v>2</v>
      </c>
      <c r="E975" s="63">
        <f>IF('13'!B7="","",TRIM('13'!B7&amp;""))</f>
        <v/>
      </c>
      <c r="F975" s="63">
        <f>IF('13'!C7="","",'13'!C7)</f>
        <v/>
      </c>
      <c r="G975" s="63">
        <f>'13'!D7&amp;""</f>
        <v/>
      </c>
      <c r="H975" s="63">
        <f>IF(OR(A975="",F975=""),"",F975&amp;"|"&amp;A975)</f>
        <v/>
      </c>
      <c r="I975" s="63">
        <f>IF(AND(H975&lt;&gt;"",OR('Historia wózka'!$B$4="",F975='Historia wózka'!$B$4),A975&gt;='Historia wózka'!$B$5,A975&lt;='Historia wózka'!$B$6),A975+0.9+(5000-ROW())/10000000,0)</f>
        <v/>
      </c>
      <c r="J975" s="63">
        <f>Ustawienia!$B$8&amp;""</f>
        <v/>
      </c>
      <c r="K975" s="63">
        <f>IF(H975="","",COUNTIFS('Zgłoszenia'!$B$5:$B$504,F975,'Zgłoszenia'!$D$5:$D$504,"&gt;="&amp;A975,'Zgłoszenia'!$D$5:$D$504,"&lt;="&amp;(A975+1)))</f>
        <v/>
      </c>
      <c r="L975" s="63">
        <f>IF(OR(H975="",K975=0),"—",IF(ISNUMBER(MATCH(H975,'Zgłoszenia'!$S$5:$S$504,0)),RIGHT("0"&amp;DAY(A975),2)&amp;"."&amp;RIGHT("0"&amp;MONTH(A975),2)&amp;"."&amp;YEAR(A975)&amp;": "&amp;INDEX('Zgłoszenia'!$H$5:$H$504,MATCH(H975,'Zgłoszenia'!$S$5:$S$504,0)),RIGHT("0"&amp;DAY((A975+1)),2)&amp;"."&amp;RIGHT("0"&amp;MONTH((A975+1)),2)&amp;"."&amp;YEAR((A975+1))&amp;": "&amp;INDEX('Zgłoszenia'!$H$5:$H$504,MATCH(F975&amp;"|"&amp;(A975+1),'Zgłoszenia'!$S$5:$S$504,0)))&amp;IF(K975&gt;1," (+"&amp;(K975-1)&amp;")",""))</f>
        <v/>
      </c>
      <c r="M975" s="63" t="n">
        <v>13</v>
      </c>
      <c r="N975" s="2" t="n"/>
      <c r="O975" s="2" t="n"/>
    </row>
    <row r="976">
      <c r="A976" s="62">
        <f>IF('13'!$C$1="","",'13'!$C$1)</f>
        <v/>
      </c>
      <c r="B976" s="63">
        <f>Ustawienia!$A$8&amp;""</f>
        <v/>
      </c>
      <c r="C976" s="63">
        <f>Ustawienia!$A$14&amp;""</f>
        <v/>
      </c>
      <c r="D976" s="63" t="n">
        <v>3</v>
      </c>
      <c r="E976" s="63">
        <f>IF('13'!B8="","",TRIM('13'!B8&amp;""))</f>
        <v/>
      </c>
      <c r="F976" s="63">
        <f>IF('13'!C8="","",'13'!C8)</f>
        <v/>
      </c>
      <c r="G976" s="63">
        <f>'13'!D8&amp;""</f>
        <v/>
      </c>
      <c r="H976" s="63">
        <f>IF(OR(A976="",F976=""),"",F976&amp;"|"&amp;A976)</f>
        <v/>
      </c>
      <c r="I976" s="63">
        <f>IF(AND(H976&lt;&gt;"",OR('Historia wózka'!$B$4="",F976='Historia wózka'!$B$4),A976&gt;='Historia wózka'!$B$5,A976&lt;='Historia wózka'!$B$6),A976+0.9+(5000-ROW())/10000000,0)</f>
        <v/>
      </c>
      <c r="J976" s="63">
        <f>Ustawienia!$B$8&amp;""</f>
        <v/>
      </c>
      <c r="K976" s="63">
        <f>IF(H976="","",COUNTIFS('Zgłoszenia'!$B$5:$B$504,F976,'Zgłoszenia'!$D$5:$D$504,"&gt;="&amp;A976,'Zgłoszenia'!$D$5:$D$504,"&lt;="&amp;(A976+1)))</f>
        <v/>
      </c>
      <c r="L976" s="63">
        <f>IF(OR(H976="",K976=0),"—",IF(ISNUMBER(MATCH(H976,'Zgłoszenia'!$S$5:$S$504,0)),RIGHT("0"&amp;DAY(A976),2)&amp;"."&amp;RIGHT("0"&amp;MONTH(A976),2)&amp;"."&amp;YEAR(A976)&amp;": "&amp;INDEX('Zgłoszenia'!$H$5:$H$504,MATCH(H976,'Zgłoszenia'!$S$5:$S$504,0)),RIGHT("0"&amp;DAY((A976+1)),2)&amp;"."&amp;RIGHT("0"&amp;MONTH((A976+1)),2)&amp;"."&amp;YEAR((A976+1))&amp;": "&amp;INDEX('Zgłoszenia'!$H$5:$H$504,MATCH(F976&amp;"|"&amp;(A976+1),'Zgłoszenia'!$S$5:$S$504,0)))&amp;IF(K976&gt;1," (+"&amp;(K976-1)&amp;")",""))</f>
        <v/>
      </c>
      <c r="M976" s="63" t="n">
        <v>13</v>
      </c>
      <c r="N976" s="2" t="n"/>
      <c r="O976" s="2" t="n"/>
    </row>
    <row r="977">
      <c r="A977" s="62">
        <f>IF('13'!$C$1="","",'13'!$C$1)</f>
        <v/>
      </c>
      <c r="B977" s="63">
        <f>Ustawienia!$A$8&amp;""</f>
        <v/>
      </c>
      <c r="C977" s="63">
        <f>Ustawienia!$A$14&amp;""</f>
        <v/>
      </c>
      <c r="D977" s="63" t="n">
        <v>4</v>
      </c>
      <c r="E977" s="63">
        <f>IF('13'!B9="","",TRIM('13'!B9&amp;""))</f>
        <v/>
      </c>
      <c r="F977" s="63">
        <f>IF('13'!C9="","",'13'!C9)</f>
        <v/>
      </c>
      <c r="G977" s="63">
        <f>'13'!D9&amp;""</f>
        <v/>
      </c>
      <c r="H977" s="63">
        <f>IF(OR(A977="",F977=""),"",F977&amp;"|"&amp;A977)</f>
        <v/>
      </c>
      <c r="I977" s="63">
        <f>IF(AND(H977&lt;&gt;"",OR('Historia wózka'!$B$4="",F977='Historia wózka'!$B$4),A977&gt;='Historia wózka'!$B$5,A977&lt;='Historia wózka'!$B$6),A977+0.9+(5000-ROW())/10000000,0)</f>
        <v/>
      </c>
      <c r="J977" s="63">
        <f>Ustawienia!$B$8&amp;""</f>
        <v/>
      </c>
      <c r="K977" s="63">
        <f>IF(H977="","",COUNTIFS('Zgłoszenia'!$B$5:$B$504,F977,'Zgłoszenia'!$D$5:$D$504,"&gt;="&amp;A977,'Zgłoszenia'!$D$5:$D$504,"&lt;="&amp;(A977+1)))</f>
        <v/>
      </c>
      <c r="L977" s="63">
        <f>IF(OR(H977="",K977=0),"—",IF(ISNUMBER(MATCH(H977,'Zgłoszenia'!$S$5:$S$504,0)),RIGHT("0"&amp;DAY(A977),2)&amp;"."&amp;RIGHT("0"&amp;MONTH(A977),2)&amp;"."&amp;YEAR(A977)&amp;": "&amp;INDEX('Zgłoszenia'!$H$5:$H$504,MATCH(H977,'Zgłoszenia'!$S$5:$S$504,0)),RIGHT("0"&amp;DAY((A977+1)),2)&amp;"."&amp;RIGHT("0"&amp;MONTH((A977+1)),2)&amp;"."&amp;YEAR((A977+1))&amp;": "&amp;INDEX('Zgłoszenia'!$H$5:$H$504,MATCH(F977&amp;"|"&amp;(A977+1),'Zgłoszenia'!$S$5:$S$504,0)))&amp;IF(K977&gt;1," (+"&amp;(K977-1)&amp;")",""))</f>
        <v/>
      </c>
      <c r="M977" s="63" t="n">
        <v>13</v>
      </c>
      <c r="N977" s="2" t="n"/>
      <c r="O977" s="2" t="n"/>
    </row>
    <row r="978">
      <c r="A978" s="62">
        <f>IF('13'!$C$1="","",'13'!$C$1)</f>
        <v/>
      </c>
      <c r="B978" s="63">
        <f>Ustawienia!$A$8&amp;""</f>
        <v/>
      </c>
      <c r="C978" s="63">
        <f>Ustawienia!$A$14&amp;""</f>
        <v/>
      </c>
      <c r="D978" s="63" t="n">
        <v>5</v>
      </c>
      <c r="E978" s="63">
        <f>IF('13'!B10="","",TRIM('13'!B10&amp;""))</f>
        <v/>
      </c>
      <c r="F978" s="63">
        <f>IF('13'!C10="","",'13'!C10)</f>
        <v/>
      </c>
      <c r="G978" s="63">
        <f>'13'!D10&amp;""</f>
        <v/>
      </c>
      <c r="H978" s="63">
        <f>IF(OR(A978="",F978=""),"",F978&amp;"|"&amp;A978)</f>
        <v/>
      </c>
      <c r="I978" s="63">
        <f>IF(AND(H978&lt;&gt;"",OR('Historia wózka'!$B$4="",F978='Historia wózka'!$B$4),A978&gt;='Historia wózka'!$B$5,A978&lt;='Historia wózka'!$B$6),A978+0.9+(5000-ROW())/10000000,0)</f>
        <v/>
      </c>
      <c r="J978" s="63">
        <f>Ustawienia!$B$8&amp;""</f>
        <v/>
      </c>
      <c r="K978" s="63">
        <f>IF(H978="","",COUNTIFS('Zgłoszenia'!$B$5:$B$504,F978,'Zgłoszenia'!$D$5:$D$504,"&gt;="&amp;A978,'Zgłoszenia'!$D$5:$D$504,"&lt;="&amp;(A978+1)))</f>
        <v/>
      </c>
      <c r="L978" s="63">
        <f>IF(OR(H978="",K978=0),"—",IF(ISNUMBER(MATCH(H978,'Zgłoszenia'!$S$5:$S$504,0)),RIGHT("0"&amp;DAY(A978),2)&amp;"."&amp;RIGHT("0"&amp;MONTH(A978),2)&amp;"."&amp;YEAR(A978)&amp;": "&amp;INDEX('Zgłoszenia'!$H$5:$H$504,MATCH(H978,'Zgłoszenia'!$S$5:$S$504,0)),RIGHT("0"&amp;DAY((A978+1)),2)&amp;"."&amp;RIGHT("0"&amp;MONTH((A978+1)),2)&amp;"."&amp;YEAR((A978+1))&amp;": "&amp;INDEX('Zgłoszenia'!$H$5:$H$504,MATCH(F978&amp;"|"&amp;(A978+1),'Zgłoszenia'!$S$5:$S$504,0)))&amp;IF(K978&gt;1," (+"&amp;(K978-1)&amp;")",""))</f>
        <v/>
      </c>
      <c r="M978" s="63" t="n">
        <v>13</v>
      </c>
      <c r="N978" s="2" t="n"/>
      <c r="O978" s="2" t="n"/>
    </row>
    <row r="979">
      <c r="A979" s="62">
        <f>IF('13'!$C$1="","",'13'!$C$1)</f>
        <v/>
      </c>
      <c r="B979" s="63">
        <f>Ustawienia!$A$8&amp;""</f>
        <v/>
      </c>
      <c r="C979" s="63">
        <f>Ustawienia!$A$14&amp;""</f>
        <v/>
      </c>
      <c r="D979" s="63" t="n">
        <v>6</v>
      </c>
      <c r="E979" s="63">
        <f>IF('13'!B11="","",TRIM('13'!B11&amp;""))</f>
        <v/>
      </c>
      <c r="F979" s="63">
        <f>IF('13'!C11="","",'13'!C11)</f>
        <v/>
      </c>
      <c r="G979" s="63">
        <f>'13'!D11&amp;""</f>
        <v/>
      </c>
      <c r="H979" s="63">
        <f>IF(OR(A979="",F979=""),"",F979&amp;"|"&amp;A979)</f>
        <v/>
      </c>
      <c r="I979" s="63">
        <f>IF(AND(H979&lt;&gt;"",OR('Historia wózka'!$B$4="",F979='Historia wózka'!$B$4),A979&gt;='Historia wózka'!$B$5,A979&lt;='Historia wózka'!$B$6),A979+0.9+(5000-ROW())/10000000,0)</f>
        <v/>
      </c>
      <c r="J979" s="63">
        <f>Ustawienia!$B$8&amp;""</f>
        <v/>
      </c>
      <c r="K979" s="63">
        <f>IF(H979="","",COUNTIFS('Zgłoszenia'!$B$5:$B$504,F979,'Zgłoszenia'!$D$5:$D$504,"&gt;="&amp;A979,'Zgłoszenia'!$D$5:$D$504,"&lt;="&amp;(A979+1)))</f>
        <v/>
      </c>
      <c r="L979" s="63">
        <f>IF(OR(H979="",K979=0),"—",IF(ISNUMBER(MATCH(H979,'Zgłoszenia'!$S$5:$S$504,0)),RIGHT("0"&amp;DAY(A979),2)&amp;"."&amp;RIGHT("0"&amp;MONTH(A979),2)&amp;"."&amp;YEAR(A979)&amp;": "&amp;INDEX('Zgłoszenia'!$H$5:$H$504,MATCH(H979,'Zgłoszenia'!$S$5:$S$504,0)),RIGHT("0"&amp;DAY((A979+1)),2)&amp;"."&amp;RIGHT("0"&amp;MONTH((A979+1)),2)&amp;"."&amp;YEAR((A979+1))&amp;": "&amp;INDEX('Zgłoszenia'!$H$5:$H$504,MATCH(F979&amp;"|"&amp;(A979+1),'Zgłoszenia'!$S$5:$S$504,0)))&amp;IF(K979&gt;1," (+"&amp;(K979-1)&amp;")",""))</f>
        <v/>
      </c>
      <c r="M979" s="63" t="n">
        <v>13</v>
      </c>
      <c r="N979" s="2" t="n"/>
      <c r="O979" s="2" t="n"/>
    </row>
    <row r="980">
      <c r="A980" s="62">
        <f>IF('13'!$C$1="","",'13'!$C$1)</f>
        <v/>
      </c>
      <c r="B980" s="63">
        <f>Ustawienia!$A$8&amp;""</f>
        <v/>
      </c>
      <c r="C980" s="63">
        <f>Ustawienia!$A$15&amp;""</f>
        <v/>
      </c>
      <c r="D980" s="63" t="n">
        <v>1</v>
      </c>
      <c r="E980" s="63">
        <f>IF('13'!B13="","",TRIM('13'!B13&amp;""))</f>
        <v/>
      </c>
      <c r="F980" s="63">
        <f>IF('13'!C13="","",'13'!C13)</f>
        <v/>
      </c>
      <c r="G980" s="63">
        <f>'13'!D13&amp;""</f>
        <v/>
      </c>
      <c r="H980" s="63">
        <f>IF(OR(A980="",F980=""),"",F980&amp;"|"&amp;A980)</f>
        <v/>
      </c>
      <c r="I980" s="63">
        <f>IF(AND(H980&lt;&gt;"",OR('Historia wózka'!$B$4="",F980='Historia wózka'!$B$4),A980&gt;='Historia wózka'!$B$5,A980&lt;='Historia wózka'!$B$6),A980+0.9+(5000-ROW())/10000000,0)</f>
        <v/>
      </c>
      <c r="J980" s="63">
        <f>Ustawienia!$B$8&amp;""</f>
        <v/>
      </c>
      <c r="K980" s="63">
        <f>IF(H980="","",COUNTIFS('Zgłoszenia'!$B$5:$B$504,F980,'Zgłoszenia'!$D$5:$D$504,"&gt;="&amp;A980,'Zgłoszenia'!$D$5:$D$504,"&lt;="&amp;(A980+1)))</f>
        <v/>
      </c>
      <c r="L980" s="63">
        <f>IF(OR(H980="",K980=0),"—",IF(ISNUMBER(MATCH(H980,'Zgłoszenia'!$S$5:$S$504,0)),RIGHT("0"&amp;DAY(A980),2)&amp;"."&amp;RIGHT("0"&amp;MONTH(A980),2)&amp;"."&amp;YEAR(A980)&amp;": "&amp;INDEX('Zgłoszenia'!$H$5:$H$504,MATCH(H980,'Zgłoszenia'!$S$5:$S$504,0)),RIGHT("0"&amp;DAY((A980+1)),2)&amp;"."&amp;RIGHT("0"&amp;MONTH((A980+1)),2)&amp;"."&amp;YEAR((A980+1))&amp;": "&amp;INDEX('Zgłoszenia'!$H$5:$H$504,MATCH(F980&amp;"|"&amp;(A980+1),'Zgłoszenia'!$S$5:$S$504,0)))&amp;IF(K980&gt;1," (+"&amp;(K980-1)&amp;")",""))</f>
        <v/>
      </c>
      <c r="M980" s="63" t="n">
        <v>13</v>
      </c>
      <c r="N980" s="2" t="n"/>
      <c r="O980" s="2" t="n"/>
    </row>
    <row r="981">
      <c r="A981" s="62">
        <f>IF('13'!$C$1="","",'13'!$C$1)</f>
        <v/>
      </c>
      <c r="B981" s="63">
        <f>Ustawienia!$A$8&amp;""</f>
        <v/>
      </c>
      <c r="C981" s="63">
        <f>Ustawienia!$A$15&amp;""</f>
        <v/>
      </c>
      <c r="D981" s="63" t="n">
        <v>2</v>
      </c>
      <c r="E981" s="63">
        <f>IF('13'!B14="","",TRIM('13'!B14&amp;""))</f>
        <v/>
      </c>
      <c r="F981" s="63">
        <f>IF('13'!C14="","",'13'!C14)</f>
        <v/>
      </c>
      <c r="G981" s="63">
        <f>'13'!D14&amp;""</f>
        <v/>
      </c>
      <c r="H981" s="63">
        <f>IF(OR(A981="",F981=""),"",F981&amp;"|"&amp;A981)</f>
        <v/>
      </c>
      <c r="I981" s="63">
        <f>IF(AND(H981&lt;&gt;"",OR('Historia wózka'!$B$4="",F981='Historia wózka'!$B$4),A981&gt;='Historia wózka'!$B$5,A981&lt;='Historia wózka'!$B$6),A981+0.9+(5000-ROW())/10000000,0)</f>
        <v/>
      </c>
      <c r="J981" s="63">
        <f>Ustawienia!$B$8&amp;""</f>
        <v/>
      </c>
      <c r="K981" s="63">
        <f>IF(H981="","",COUNTIFS('Zgłoszenia'!$B$5:$B$504,F981,'Zgłoszenia'!$D$5:$D$504,"&gt;="&amp;A981,'Zgłoszenia'!$D$5:$D$504,"&lt;="&amp;(A981+1)))</f>
        <v/>
      </c>
      <c r="L981" s="63">
        <f>IF(OR(H981="",K981=0),"—",IF(ISNUMBER(MATCH(H981,'Zgłoszenia'!$S$5:$S$504,0)),RIGHT("0"&amp;DAY(A981),2)&amp;"."&amp;RIGHT("0"&amp;MONTH(A981),2)&amp;"."&amp;YEAR(A981)&amp;": "&amp;INDEX('Zgłoszenia'!$H$5:$H$504,MATCH(H981,'Zgłoszenia'!$S$5:$S$504,0)),RIGHT("0"&amp;DAY((A981+1)),2)&amp;"."&amp;RIGHT("0"&amp;MONTH((A981+1)),2)&amp;"."&amp;YEAR((A981+1))&amp;": "&amp;INDEX('Zgłoszenia'!$H$5:$H$504,MATCH(F981&amp;"|"&amp;(A981+1),'Zgłoszenia'!$S$5:$S$504,0)))&amp;IF(K981&gt;1," (+"&amp;(K981-1)&amp;")",""))</f>
        <v/>
      </c>
      <c r="M981" s="63" t="n">
        <v>13</v>
      </c>
      <c r="N981" s="2" t="n"/>
      <c r="O981" s="2" t="n"/>
    </row>
    <row r="982">
      <c r="A982" s="62">
        <f>IF('13'!$C$1="","",'13'!$C$1)</f>
        <v/>
      </c>
      <c r="B982" s="63">
        <f>Ustawienia!$A$8&amp;""</f>
        <v/>
      </c>
      <c r="C982" s="63">
        <f>Ustawienia!$A$15&amp;""</f>
        <v/>
      </c>
      <c r="D982" s="63" t="n">
        <v>3</v>
      </c>
      <c r="E982" s="63">
        <f>IF('13'!B15="","",TRIM('13'!B15&amp;""))</f>
        <v/>
      </c>
      <c r="F982" s="63">
        <f>IF('13'!C15="","",'13'!C15)</f>
        <v/>
      </c>
      <c r="G982" s="63">
        <f>'13'!D15&amp;""</f>
        <v/>
      </c>
      <c r="H982" s="63">
        <f>IF(OR(A982="",F982=""),"",F982&amp;"|"&amp;A982)</f>
        <v/>
      </c>
      <c r="I982" s="63">
        <f>IF(AND(H982&lt;&gt;"",OR('Historia wózka'!$B$4="",F982='Historia wózka'!$B$4),A982&gt;='Historia wózka'!$B$5,A982&lt;='Historia wózka'!$B$6),A982+0.9+(5000-ROW())/10000000,0)</f>
        <v/>
      </c>
      <c r="J982" s="63">
        <f>Ustawienia!$B$8&amp;""</f>
        <v/>
      </c>
      <c r="K982" s="63">
        <f>IF(H982="","",COUNTIFS('Zgłoszenia'!$B$5:$B$504,F982,'Zgłoszenia'!$D$5:$D$504,"&gt;="&amp;A982,'Zgłoszenia'!$D$5:$D$504,"&lt;="&amp;(A982+1)))</f>
        <v/>
      </c>
      <c r="L982" s="63">
        <f>IF(OR(H982="",K982=0),"—",IF(ISNUMBER(MATCH(H982,'Zgłoszenia'!$S$5:$S$504,0)),RIGHT("0"&amp;DAY(A982),2)&amp;"."&amp;RIGHT("0"&amp;MONTH(A982),2)&amp;"."&amp;YEAR(A982)&amp;": "&amp;INDEX('Zgłoszenia'!$H$5:$H$504,MATCH(H982,'Zgłoszenia'!$S$5:$S$504,0)),RIGHT("0"&amp;DAY((A982+1)),2)&amp;"."&amp;RIGHT("0"&amp;MONTH((A982+1)),2)&amp;"."&amp;YEAR((A982+1))&amp;": "&amp;INDEX('Zgłoszenia'!$H$5:$H$504,MATCH(F982&amp;"|"&amp;(A982+1),'Zgłoszenia'!$S$5:$S$504,0)))&amp;IF(K982&gt;1," (+"&amp;(K982-1)&amp;")",""))</f>
        <v/>
      </c>
      <c r="M982" s="63" t="n">
        <v>13</v>
      </c>
      <c r="N982" s="2" t="n"/>
      <c r="O982" s="2" t="n"/>
    </row>
    <row r="983">
      <c r="A983" s="62">
        <f>IF('13'!$C$1="","",'13'!$C$1)</f>
        <v/>
      </c>
      <c r="B983" s="63">
        <f>Ustawienia!$A$8&amp;""</f>
        <v/>
      </c>
      <c r="C983" s="63">
        <f>Ustawienia!$A$15&amp;""</f>
        <v/>
      </c>
      <c r="D983" s="63" t="n">
        <v>4</v>
      </c>
      <c r="E983" s="63">
        <f>IF('13'!B16="","",TRIM('13'!B16&amp;""))</f>
        <v/>
      </c>
      <c r="F983" s="63">
        <f>IF('13'!C16="","",'13'!C16)</f>
        <v/>
      </c>
      <c r="G983" s="63">
        <f>'13'!D16&amp;""</f>
        <v/>
      </c>
      <c r="H983" s="63">
        <f>IF(OR(A983="",F983=""),"",F983&amp;"|"&amp;A983)</f>
        <v/>
      </c>
      <c r="I983" s="63">
        <f>IF(AND(H983&lt;&gt;"",OR('Historia wózka'!$B$4="",F983='Historia wózka'!$B$4),A983&gt;='Historia wózka'!$B$5,A983&lt;='Historia wózka'!$B$6),A983+0.9+(5000-ROW())/10000000,0)</f>
        <v/>
      </c>
      <c r="J983" s="63">
        <f>Ustawienia!$B$8&amp;""</f>
        <v/>
      </c>
      <c r="K983" s="63">
        <f>IF(H983="","",COUNTIFS('Zgłoszenia'!$B$5:$B$504,F983,'Zgłoszenia'!$D$5:$D$504,"&gt;="&amp;A983,'Zgłoszenia'!$D$5:$D$504,"&lt;="&amp;(A983+1)))</f>
        <v/>
      </c>
      <c r="L983" s="63">
        <f>IF(OR(H983="",K983=0),"—",IF(ISNUMBER(MATCH(H983,'Zgłoszenia'!$S$5:$S$504,0)),RIGHT("0"&amp;DAY(A983),2)&amp;"."&amp;RIGHT("0"&amp;MONTH(A983),2)&amp;"."&amp;YEAR(A983)&amp;": "&amp;INDEX('Zgłoszenia'!$H$5:$H$504,MATCH(H983,'Zgłoszenia'!$S$5:$S$504,0)),RIGHT("0"&amp;DAY((A983+1)),2)&amp;"."&amp;RIGHT("0"&amp;MONTH((A983+1)),2)&amp;"."&amp;YEAR((A983+1))&amp;": "&amp;INDEX('Zgłoszenia'!$H$5:$H$504,MATCH(F983&amp;"|"&amp;(A983+1),'Zgłoszenia'!$S$5:$S$504,0)))&amp;IF(K983&gt;1," (+"&amp;(K983-1)&amp;")",""))</f>
        <v/>
      </c>
      <c r="M983" s="63" t="n">
        <v>13</v>
      </c>
      <c r="N983" s="2" t="n"/>
      <c r="O983" s="2" t="n"/>
    </row>
    <row r="984">
      <c r="A984" s="62">
        <f>IF('13'!$C$1="","",'13'!$C$1)</f>
        <v/>
      </c>
      <c r="B984" s="63">
        <f>Ustawienia!$A$8&amp;""</f>
        <v/>
      </c>
      <c r="C984" s="63">
        <f>Ustawienia!$A$15&amp;""</f>
        <v/>
      </c>
      <c r="D984" s="63" t="n">
        <v>5</v>
      </c>
      <c r="E984" s="63">
        <f>IF('13'!B17="","",TRIM('13'!B17&amp;""))</f>
        <v/>
      </c>
      <c r="F984" s="63">
        <f>IF('13'!C17="","",'13'!C17)</f>
        <v/>
      </c>
      <c r="G984" s="63">
        <f>'13'!D17&amp;""</f>
        <v/>
      </c>
      <c r="H984" s="63">
        <f>IF(OR(A984="",F984=""),"",F984&amp;"|"&amp;A984)</f>
        <v/>
      </c>
      <c r="I984" s="63">
        <f>IF(AND(H984&lt;&gt;"",OR('Historia wózka'!$B$4="",F984='Historia wózka'!$B$4),A984&gt;='Historia wózka'!$B$5,A984&lt;='Historia wózka'!$B$6),A984+0.9+(5000-ROW())/10000000,0)</f>
        <v/>
      </c>
      <c r="J984" s="63">
        <f>Ustawienia!$B$8&amp;""</f>
        <v/>
      </c>
      <c r="K984" s="63">
        <f>IF(H984="","",COUNTIFS('Zgłoszenia'!$B$5:$B$504,F984,'Zgłoszenia'!$D$5:$D$504,"&gt;="&amp;A984,'Zgłoszenia'!$D$5:$D$504,"&lt;="&amp;(A984+1)))</f>
        <v/>
      </c>
      <c r="L984" s="63">
        <f>IF(OR(H984="",K984=0),"—",IF(ISNUMBER(MATCH(H984,'Zgłoszenia'!$S$5:$S$504,0)),RIGHT("0"&amp;DAY(A984),2)&amp;"."&amp;RIGHT("0"&amp;MONTH(A984),2)&amp;"."&amp;YEAR(A984)&amp;": "&amp;INDEX('Zgłoszenia'!$H$5:$H$504,MATCH(H984,'Zgłoszenia'!$S$5:$S$504,0)),RIGHT("0"&amp;DAY((A984+1)),2)&amp;"."&amp;RIGHT("0"&amp;MONTH((A984+1)),2)&amp;"."&amp;YEAR((A984+1))&amp;": "&amp;INDEX('Zgłoszenia'!$H$5:$H$504,MATCH(F984&amp;"|"&amp;(A984+1),'Zgłoszenia'!$S$5:$S$504,0)))&amp;IF(K984&gt;1," (+"&amp;(K984-1)&amp;")",""))</f>
        <v/>
      </c>
      <c r="M984" s="63" t="n">
        <v>13</v>
      </c>
      <c r="N984" s="2" t="n"/>
      <c r="O984" s="2" t="n"/>
    </row>
    <row r="985">
      <c r="A985" s="62">
        <f>IF('13'!$C$1="","",'13'!$C$1)</f>
        <v/>
      </c>
      <c r="B985" s="63">
        <f>Ustawienia!$A$8&amp;""</f>
        <v/>
      </c>
      <c r="C985" s="63">
        <f>Ustawienia!$A$15&amp;""</f>
        <v/>
      </c>
      <c r="D985" s="63" t="n">
        <v>6</v>
      </c>
      <c r="E985" s="63">
        <f>IF('13'!B18="","",TRIM('13'!B18&amp;""))</f>
        <v/>
      </c>
      <c r="F985" s="63">
        <f>IF('13'!C18="","",'13'!C18)</f>
        <v/>
      </c>
      <c r="G985" s="63">
        <f>'13'!D18&amp;""</f>
        <v/>
      </c>
      <c r="H985" s="63">
        <f>IF(OR(A985="",F985=""),"",F985&amp;"|"&amp;A985)</f>
        <v/>
      </c>
      <c r="I985" s="63">
        <f>IF(AND(H985&lt;&gt;"",OR('Historia wózka'!$B$4="",F985='Historia wózka'!$B$4),A985&gt;='Historia wózka'!$B$5,A985&lt;='Historia wózka'!$B$6),A985+0.9+(5000-ROW())/10000000,0)</f>
        <v/>
      </c>
      <c r="J985" s="63">
        <f>Ustawienia!$B$8&amp;""</f>
        <v/>
      </c>
      <c r="K985" s="63">
        <f>IF(H985="","",COUNTIFS('Zgłoszenia'!$B$5:$B$504,F985,'Zgłoszenia'!$D$5:$D$504,"&gt;="&amp;A985,'Zgłoszenia'!$D$5:$D$504,"&lt;="&amp;(A985+1)))</f>
        <v/>
      </c>
      <c r="L985" s="63">
        <f>IF(OR(H985="",K985=0),"—",IF(ISNUMBER(MATCH(H985,'Zgłoszenia'!$S$5:$S$504,0)),RIGHT("0"&amp;DAY(A985),2)&amp;"."&amp;RIGHT("0"&amp;MONTH(A985),2)&amp;"."&amp;YEAR(A985)&amp;": "&amp;INDEX('Zgłoszenia'!$H$5:$H$504,MATCH(H985,'Zgłoszenia'!$S$5:$S$504,0)),RIGHT("0"&amp;DAY((A985+1)),2)&amp;"."&amp;RIGHT("0"&amp;MONTH((A985+1)),2)&amp;"."&amp;YEAR((A985+1))&amp;": "&amp;INDEX('Zgłoszenia'!$H$5:$H$504,MATCH(F985&amp;"|"&amp;(A985+1),'Zgłoszenia'!$S$5:$S$504,0)))&amp;IF(K985&gt;1," (+"&amp;(K985-1)&amp;")",""))</f>
        <v/>
      </c>
      <c r="M985" s="63" t="n">
        <v>13</v>
      </c>
      <c r="N985" s="2" t="n"/>
      <c r="O985" s="2" t="n"/>
    </row>
    <row r="986">
      <c r="A986" s="62">
        <f>IF('13'!$C$1="","",'13'!$C$1)</f>
        <v/>
      </c>
      <c r="B986" s="63">
        <f>Ustawienia!$A$8&amp;""</f>
        <v/>
      </c>
      <c r="C986" s="63">
        <f>Ustawienia!$A$15&amp;""</f>
        <v/>
      </c>
      <c r="D986" s="63" t="n">
        <v>7</v>
      </c>
      <c r="E986" s="63">
        <f>IF('13'!B19="","",TRIM('13'!B19&amp;""))</f>
        <v/>
      </c>
      <c r="F986" s="63">
        <f>IF('13'!C19="","",'13'!C19)</f>
        <v/>
      </c>
      <c r="G986" s="63">
        <f>'13'!D19&amp;""</f>
        <v/>
      </c>
      <c r="H986" s="63">
        <f>IF(OR(A986="",F986=""),"",F986&amp;"|"&amp;A986)</f>
        <v/>
      </c>
      <c r="I986" s="63">
        <f>IF(AND(H986&lt;&gt;"",OR('Historia wózka'!$B$4="",F986='Historia wózka'!$B$4),A986&gt;='Historia wózka'!$B$5,A986&lt;='Historia wózka'!$B$6),A986+0.9+(5000-ROW())/10000000,0)</f>
        <v/>
      </c>
      <c r="J986" s="63">
        <f>Ustawienia!$B$8&amp;""</f>
        <v/>
      </c>
      <c r="K986" s="63">
        <f>IF(H986="","",COUNTIFS('Zgłoszenia'!$B$5:$B$504,F986,'Zgłoszenia'!$D$5:$D$504,"&gt;="&amp;A986,'Zgłoszenia'!$D$5:$D$504,"&lt;="&amp;(A986+1)))</f>
        <v/>
      </c>
      <c r="L986" s="63">
        <f>IF(OR(H986="",K986=0),"—",IF(ISNUMBER(MATCH(H986,'Zgłoszenia'!$S$5:$S$504,0)),RIGHT("0"&amp;DAY(A986),2)&amp;"."&amp;RIGHT("0"&amp;MONTH(A986),2)&amp;"."&amp;YEAR(A986)&amp;": "&amp;INDEX('Zgłoszenia'!$H$5:$H$504,MATCH(H986,'Zgłoszenia'!$S$5:$S$504,0)),RIGHT("0"&amp;DAY((A986+1)),2)&amp;"."&amp;RIGHT("0"&amp;MONTH((A986+1)),2)&amp;"."&amp;YEAR((A986+1))&amp;": "&amp;INDEX('Zgłoszenia'!$H$5:$H$504,MATCH(F986&amp;"|"&amp;(A986+1),'Zgłoszenia'!$S$5:$S$504,0)))&amp;IF(K986&gt;1," (+"&amp;(K986-1)&amp;")",""))</f>
        <v/>
      </c>
      <c r="M986" s="63" t="n">
        <v>13</v>
      </c>
      <c r="N986" s="2" t="n"/>
      <c r="O986" s="2" t="n"/>
    </row>
    <row r="987">
      <c r="A987" s="62">
        <f>IF('13'!$C$1="","",'13'!$C$1)</f>
        <v/>
      </c>
      <c r="B987" s="63">
        <f>Ustawienia!$A$8&amp;""</f>
        <v/>
      </c>
      <c r="C987" s="63">
        <f>Ustawienia!$A$15&amp;""</f>
        <v/>
      </c>
      <c r="D987" s="63" t="n">
        <v>8</v>
      </c>
      <c r="E987" s="63">
        <f>IF('13'!B20="","",TRIM('13'!B20&amp;""))</f>
        <v/>
      </c>
      <c r="F987" s="63">
        <f>IF('13'!C20="","",'13'!C20)</f>
        <v/>
      </c>
      <c r="G987" s="63">
        <f>'13'!D20&amp;""</f>
        <v/>
      </c>
      <c r="H987" s="63">
        <f>IF(OR(A987="",F987=""),"",F987&amp;"|"&amp;A987)</f>
        <v/>
      </c>
      <c r="I987" s="63">
        <f>IF(AND(H987&lt;&gt;"",OR('Historia wózka'!$B$4="",F987='Historia wózka'!$B$4),A987&gt;='Historia wózka'!$B$5,A987&lt;='Historia wózka'!$B$6),A987+0.9+(5000-ROW())/10000000,0)</f>
        <v/>
      </c>
      <c r="J987" s="63">
        <f>Ustawienia!$B$8&amp;""</f>
        <v/>
      </c>
      <c r="K987" s="63">
        <f>IF(H987="","",COUNTIFS('Zgłoszenia'!$B$5:$B$504,F987,'Zgłoszenia'!$D$5:$D$504,"&gt;="&amp;A987,'Zgłoszenia'!$D$5:$D$504,"&lt;="&amp;(A987+1)))</f>
        <v/>
      </c>
      <c r="L987" s="63">
        <f>IF(OR(H987="",K987=0),"—",IF(ISNUMBER(MATCH(H987,'Zgłoszenia'!$S$5:$S$504,0)),RIGHT("0"&amp;DAY(A987),2)&amp;"."&amp;RIGHT("0"&amp;MONTH(A987),2)&amp;"."&amp;YEAR(A987)&amp;": "&amp;INDEX('Zgłoszenia'!$H$5:$H$504,MATCH(H987,'Zgłoszenia'!$S$5:$S$504,0)),RIGHT("0"&amp;DAY((A987+1)),2)&amp;"."&amp;RIGHT("0"&amp;MONTH((A987+1)),2)&amp;"."&amp;YEAR((A987+1))&amp;": "&amp;INDEX('Zgłoszenia'!$H$5:$H$504,MATCH(F987&amp;"|"&amp;(A987+1),'Zgłoszenia'!$S$5:$S$504,0)))&amp;IF(K987&gt;1," (+"&amp;(K987-1)&amp;")",""))</f>
        <v/>
      </c>
      <c r="M987" s="63" t="n">
        <v>13</v>
      </c>
      <c r="N987" s="2" t="n"/>
      <c r="O987" s="2" t="n"/>
    </row>
    <row r="988">
      <c r="A988" s="62">
        <f>IF('13'!$C$1="","",'13'!$C$1)</f>
        <v/>
      </c>
      <c r="B988" s="63">
        <f>Ustawienia!$A$8&amp;""</f>
        <v/>
      </c>
      <c r="C988" s="63">
        <f>Ustawienia!$A$16&amp;""</f>
        <v/>
      </c>
      <c r="D988" s="63" t="n">
        <v>1</v>
      </c>
      <c r="E988" s="63">
        <f>IF('13'!B22="","",TRIM('13'!B22&amp;""))</f>
        <v/>
      </c>
      <c r="F988" s="63">
        <f>IF('13'!C22="","",'13'!C22)</f>
        <v/>
      </c>
      <c r="G988" s="63">
        <f>'13'!D22&amp;""</f>
        <v/>
      </c>
      <c r="H988" s="63">
        <f>IF(OR(A988="",F988=""),"",F988&amp;"|"&amp;A988)</f>
        <v/>
      </c>
      <c r="I988" s="63">
        <f>IF(AND(H988&lt;&gt;"",OR('Historia wózka'!$B$4="",F988='Historia wózka'!$B$4),A988&gt;='Historia wózka'!$B$5,A988&lt;='Historia wózka'!$B$6),A988+0.9+(5000-ROW())/10000000,0)</f>
        <v/>
      </c>
      <c r="J988" s="63">
        <f>Ustawienia!$B$8&amp;""</f>
        <v/>
      </c>
      <c r="K988" s="63">
        <f>IF(H988="","",COUNTIFS('Zgłoszenia'!$B$5:$B$504,F988,'Zgłoszenia'!$D$5:$D$504,"&gt;="&amp;A988,'Zgłoszenia'!$D$5:$D$504,"&lt;="&amp;(A988+1)))</f>
        <v/>
      </c>
      <c r="L988" s="63">
        <f>IF(OR(H988="",K988=0),"—",IF(ISNUMBER(MATCH(H988,'Zgłoszenia'!$S$5:$S$504,0)),RIGHT("0"&amp;DAY(A988),2)&amp;"."&amp;RIGHT("0"&amp;MONTH(A988),2)&amp;"."&amp;YEAR(A988)&amp;": "&amp;INDEX('Zgłoszenia'!$H$5:$H$504,MATCH(H988,'Zgłoszenia'!$S$5:$S$504,0)),RIGHT("0"&amp;DAY((A988+1)),2)&amp;"."&amp;RIGHT("0"&amp;MONTH((A988+1)),2)&amp;"."&amp;YEAR((A988+1))&amp;": "&amp;INDEX('Zgłoszenia'!$H$5:$H$504,MATCH(F988&amp;"|"&amp;(A988+1),'Zgłoszenia'!$S$5:$S$504,0)))&amp;IF(K988&gt;1," (+"&amp;(K988-1)&amp;")",""))</f>
        <v/>
      </c>
      <c r="M988" s="63" t="n">
        <v>13</v>
      </c>
      <c r="N988" s="2" t="n"/>
      <c r="O988" s="2" t="n"/>
    </row>
    <row r="989">
      <c r="A989" s="62">
        <f>IF('13'!$C$1="","",'13'!$C$1)</f>
        <v/>
      </c>
      <c r="B989" s="63">
        <f>Ustawienia!$A$8&amp;""</f>
        <v/>
      </c>
      <c r="C989" s="63">
        <f>Ustawienia!$A$16&amp;""</f>
        <v/>
      </c>
      <c r="D989" s="63" t="n">
        <v>2</v>
      </c>
      <c r="E989" s="63">
        <f>IF('13'!B23="","",TRIM('13'!B23&amp;""))</f>
        <v/>
      </c>
      <c r="F989" s="63">
        <f>IF('13'!C23="","",'13'!C23)</f>
        <v/>
      </c>
      <c r="G989" s="63">
        <f>'13'!D23&amp;""</f>
        <v/>
      </c>
      <c r="H989" s="63">
        <f>IF(OR(A989="",F989=""),"",F989&amp;"|"&amp;A989)</f>
        <v/>
      </c>
      <c r="I989" s="63">
        <f>IF(AND(H989&lt;&gt;"",OR('Historia wózka'!$B$4="",F989='Historia wózka'!$B$4),A989&gt;='Historia wózka'!$B$5,A989&lt;='Historia wózka'!$B$6),A989+0.9+(5000-ROW())/10000000,0)</f>
        <v/>
      </c>
      <c r="J989" s="63">
        <f>Ustawienia!$B$8&amp;""</f>
        <v/>
      </c>
      <c r="K989" s="63">
        <f>IF(H989="","",COUNTIFS('Zgłoszenia'!$B$5:$B$504,F989,'Zgłoszenia'!$D$5:$D$504,"&gt;="&amp;A989,'Zgłoszenia'!$D$5:$D$504,"&lt;="&amp;(A989+1)))</f>
        <v/>
      </c>
      <c r="L989" s="63">
        <f>IF(OR(H989="",K989=0),"—",IF(ISNUMBER(MATCH(H989,'Zgłoszenia'!$S$5:$S$504,0)),RIGHT("0"&amp;DAY(A989),2)&amp;"."&amp;RIGHT("0"&amp;MONTH(A989),2)&amp;"."&amp;YEAR(A989)&amp;": "&amp;INDEX('Zgłoszenia'!$H$5:$H$504,MATCH(H989,'Zgłoszenia'!$S$5:$S$504,0)),RIGHT("0"&amp;DAY((A989+1)),2)&amp;"."&amp;RIGHT("0"&amp;MONTH((A989+1)),2)&amp;"."&amp;YEAR((A989+1))&amp;": "&amp;INDEX('Zgłoszenia'!$H$5:$H$504,MATCH(F989&amp;"|"&amp;(A989+1),'Zgłoszenia'!$S$5:$S$504,0)))&amp;IF(K989&gt;1," (+"&amp;(K989-1)&amp;")",""))</f>
        <v/>
      </c>
      <c r="M989" s="63" t="n">
        <v>13</v>
      </c>
      <c r="N989" s="2" t="n"/>
      <c r="O989" s="2" t="n"/>
    </row>
    <row r="990">
      <c r="A990" s="62">
        <f>IF('13'!$C$1="","",'13'!$C$1)</f>
        <v/>
      </c>
      <c r="B990" s="63">
        <f>Ustawienia!$A$8&amp;""</f>
        <v/>
      </c>
      <c r="C990" s="63">
        <f>Ustawienia!$A$16&amp;""</f>
        <v/>
      </c>
      <c r="D990" s="63" t="n">
        <v>3</v>
      </c>
      <c r="E990" s="63">
        <f>IF('13'!B24="","",TRIM('13'!B24&amp;""))</f>
        <v/>
      </c>
      <c r="F990" s="63">
        <f>IF('13'!C24="","",'13'!C24)</f>
        <v/>
      </c>
      <c r="G990" s="63">
        <f>'13'!D24&amp;""</f>
        <v/>
      </c>
      <c r="H990" s="63">
        <f>IF(OR(A990="",F990=""),"",F990&amp;"|"&amp;A990)</f>
        <v/>
      </c>
      <c r="I990" s="63">
        <f>IF(AND(H990&lt;&gt;"",OR('Historia wózka'!$B$4="",F990='Historia wózka'!$B$4),A990&gt;='Historia wózka'!$B$5,A990&lt;='Historia wózka'!$B$6),A990+0.9+(5000-ROW())/10000000,0)</f>
        <v/>
      </c>
      <c r="J990" s="63">
        <f>Ustawienia!$B$8&amp;""</f>
        <v/>
      </c>
      <c r="K990" s="63">
        <f>IF(H990="","",COUNTIFS('Zgłoszenia'!$B$5:$B$504,F990,'Zgłoszenia'!$D$5:$D$504,"&gt;="&amp;A990,'Zgłoszenia'!$D$5:$D$504,"&lt;="&amp;(A990+1)))</f>
        <v/>
      </c>
      <c r="L990" s="63">
        <f>IF(OR(H990="",K990=0),"—",IF(ISNUMBER(MATCH(H990,'Zgłoszenia'!$S$5:$S$504,0)),RIGHT("0"&amp;DAY(A990),2)&amp;"."&amp;RIGHT("0"&amp;MONTH(A990),2)&amp;"."&amp;YEAR(A990)&amp;": "&amp;INDEX('Zgłoszenia'!$H$5:$H$504,MATCH(H990,'Zgłoszenia'!$S$5:$S$504,0)),RIGHT("0"&amp;DAY((A990+1)),2)&amp;"."&amp;RIGHT("0"&amp;MONTH((A990+1)),2)&amp;"."&amp;YEAR((A990+1))&amp;": "&amp;INDEX('Zgłoszenia'!$H$5:$H$504,MATCH(F990&amp;"|"&amp;(A990+1),'Zgłoszenia'!$S$5:$S$504,0)))&amp;IF(K990&gt;1," (+"&amp;(K990-1)&amp;")",""))</f>
        <v/>
      </c>
      <c r="M990" s="63" t="n">
        <v>13</v>
      </c>
      <c r="N990" s="2" t="n"/>
      <c r="O990" s="2" t="n"/>
    </row>
    <row r="991">
      <c r="A991" s="62">
        <f>IF('13'!$C$1="","",'13'!$C$1)</f>
        <v/>
      </c>
      <c r="B991" s="63">
        <f>Ustawienia!$A$8&amp;""</f>
        <v/>
      </c>
      <c r="C991" s="63">
        <f>Ustawienia!$A$16&amp;""</f>
        <v/>
      </c>
      <c r="D991" s="63" t="n">
        <v>4</v>
      </c>
      <c r="E991" s="63">
        <f>IF('13'!B25="","",TRIM('13'!B25&amp;""))</f>
        <v/>
      </c>
      <c r="F991" s="63">
        <f>IF('13'!C25="","",'13'!C25)</f>
        <v/>
      </c>
      <c r="G991" s="63">
        <f>'13'!D25&amp;""</f>
        <v/>
      </c>
      <c r="H991" s="63">
        <f>IF(OR(A991="",F991=""),"",F991&amp;"|"&amp;A991)</f>
        <v/>
      </c>
      <c r="I991" s="63">
        <f>IF(AND(H991&lt;&gt;"",OR('Historia wózka'!$B$4="",F991='Historia wózka'!$B$4),A991&gt;='Historia wózka'!$B$5,A991&lt;='Historia wózka'!$B$6),A991+0.9+(5000-ROW())/10000000,0)</f>
        <v/>
      </c>
      <c r="J991" s="63">
        <f>Ustawienia!$B$8&amp;""</f>
        <v/>
      </c>
      <c r="K991" s="63">
        <f>IF(H991="","",COUNTIFS('Zgłoszenia'!$B$5:$B$504,F991,'Zgłoszenia'!$D$5:$D$504,"&gt;="&amp;A991,'Zgłoszenia'!$D$5:$D$504,"&lt;="&amp;(A991+1)))</f>
        <v/>
      </c>
      <c r="L991" s="63">
        <f>IF(OR(H991="",K991=0),"—",IF(ISNUMBER(MATCH(H991,'Zgłoszenia'!$S$5:$S$504,0)),RIGHT("0"&amp;DAY(A991),2)&amp;"."&amp;RIGHT("0"&amp;MONTH(A991),2)&amp;"."&amp;YEAR(A991)&amp;": "&amp;INDEX('Zgłoszenia'!$H$5:$H$504,MATCH(H991,'Zgłoszenia'!$S$5:$S$504,0)),RIGHT("0"&amp;DAY((A991+1)),2)&amp;"."&amp;RIGHT("0"&amp;MONTH((A991+1)),2)&amp;"."&amp;YEAR((A991+1))&amp;": "&amp;INDEX('Zgłoszenia'!$H$5:$H$504,MATCH(F991&amp;"|"&amp;(A991+1),'Zgłoszenia'!$S$5:$S$504,0)))&amp;IF(K991&gt;1," (+"&amp;(K991-1)&amp;")",""))</f>
        <v/>
      </c>
      <c r="M991" s="63" t="n">
        <v>13</v>
      </c>
      <c r="N991" s="2" t="n"/>
      <c r="O991" s="2" t="n"/>
    </row>
    <row r="992">
      <c r="A992" s="62">
        <f>IF('13'!$C$1="","",'13'!$C$1)</f>
        <v/>
      </c>
      <c r="B992" s="63">
        <f>Ustawienia!$A$8&amp;""</f>
        <v/>
      </c>
      <c r="C992" s="63">
        <f>Ustawienia!$A$17&amp;""</f>
        <v/>
      </c>
      <c r="D992" s="63" t="n">
        <v>1</v>
      </c>
      <c r="E992" s="63">
        <f>IF('13'!B27="","",TRIM('13'!B27&amp;""))</f>
        <v/>
      </c>
      <c r="F992" s="63">
        <f>IF('13'!C27="","",'13'!C27)</f>
        <v/>
      </c>
      <c r="G992" s="63">
        <f>'13'!D27&amp;""</f>
        <v/>
      </c>
      <c r="H992" s="63">
        <f>IF(OR(A992="",F992=""),"",F992&amp;"|"&amp;A992)</f>
        <v/>
      </c>
      <c r="I992" s="63">
        <f>IF(AND(H992&lt;&gt;"",OR('Historia wózka'!$B$4="",F992='Historia wózka'!$B$4),A992&gt;='Historia wózka'!$B$5,A992&lt;='Historia wózka'!$B$6),A992+0.9+(5000-ROW())/10000000,0)</f>
        <v/>
      </c>
      <c r="J992" s="63">
        <f>Ustawienia!$B$8&amp;""</f>
        <v/>
      </c>
      <c r="K992" s="63">
        <f>IF(H992="","",COUNTIFS('Zgłoszenia'!$B$5:$B$504,F992,'Zgłoszenia'!$D$5:$D$504,"&gt;="&amp;A992,'Zgłoszenia'!$D$5:$D$504,"&lt;="&amp;(A992+1)))</f>
        <v/>
      </c>
      <c r="L992" s="63">
        <f>IF(OR(H992="",K992=0),"—",IF(ISNUMBER(MATCH(H992,'Zgłoszenia'!$S$5:$S$504,0)),RIGHT("0"&amp;DAY(A992),2)&amp;"."&amp;RIGHT("0"&amp;MONTH(A992),2)&amp;"."&amp;YEAR(A992)&amp;": "&amp;INDEX('Zgłoszenia'!$H$5:$H$504,MATCH(H992,'Zgłoszenia'!$S$5:$S$504,0)),RIGHT("0"&amp;DAY((A992+1)),2)&amp;"."&amp;RIGHT("0"&amp;MONTH((A992+1)),2)&amp;"."&amp;YEAR((A992+1))&amp;": "&amp;INDEX('Zgłoszenia'!$H$5:$H$504,MATCH(F992&amp;"|"&amp;(A992+1),'Zgłoszenia'!$S$5:$S$504,0)))&amp;IF(K992&gt;1," (+"&amp;(K992-1)&amp;")",""))</f>
        <v/>
      </c>
      <c r="M992" s="63" t="n">
        <v>13</v>
      </c>
      <c r="N992" s="2" t="n"/>
      <c r="O992" s="2" t="n"/>
    </row>
    <row r="993">
      <c r="A993" s="62">
        <f>IF('13'!$C$1="","",'13'!$C$1)</f>
        <v/>
      </c>
      <c r="B993" s="63">
        <f>Ustawienia!$A$8&amp;""</f>
        <v/>
      </c>
      <c r="C993" s="63">
        <f>Ustawienia!$A$17&amp;""</f>
        <v/>
      </c>
      <c r="D993" s="63" t="n">
        <v>2</v>
      </c>
      <c r="E993" s="63">
        <f>IF('13'!B28="","",TRIM('13'!B28&amp;""))</f>
        <v/>
      </c>
      <c r="F993" s="63">
        <f>IF('13'!C28="","",'13'!C28)</f>
        <v/>
      </c>
      <c r="G993" s="63">
        <f>'13'!D28&amp;""</f>
        <v/>
      </c>
      <c r="H993" s="63">
        <f>IF(OR(A993="",F993=""),"",F993&amp;"|"&amp;A993)</f>
        <v/>
      </c>
      <c r="I993" s="63">
        <f>IF(AND(H993&lt;&gt;"",OR('Historia wózka'!$B$4="",F993='Historia wózka'!$B$4),A993&gt;='Historia wózka'!$B$5,A993&lt;='Historia wózka'!$B$6),A993+0.9+(5000-ROW())/10000000,0)</f>
        <v/>
      </c>
      <c r="J993" s="63">
        <f>Ustawienia!$B$8&amp;""</f>
        <v/>
      </c>
      <c r="K993" s="63">
        <f>IF(H993="","",COUNTIFS('Zgłoszenia'!$B$5:$B$504,F993,'Zgłoszenia'!$D$5:$D$504,"&gt;="&amp;A993,'Zgłoszenia'!$D$5:$D$504,"&lt;="&amp;(A993+1)))</f>
        <v/>
      </c>
      <c r="L993" s="63">
        <f>IF(OR(H993="",K993=0),"—",IF(ISNUMBER(MATCH(H993,'Zgłoszenia'!$S$5:$S$504,0)),RIGHT("0"&amp;DAY(A993),2)&amp;"."&amp;RIGHT("0"&amp;MONTH(A993),2)&amp;"."&amp;YEAR(A993)&amp;": "&amp;INDEX('Zgłoszenia'!$H$5:$H$504,MATCH(H993,'Zgłoszenia'!$S$5:$S$504,0)),RIGHT("0"&amp;DAY((A993+1)),2)&amp;"."&amp;RIGHT("0"&amp;MONTH((A993+1)),2)&amp;"."&amp;YEAR((A993+1))&amp;": "&amp;INDEX('Zgłoszenia'!$H$5:$H$504,MATCH(F993&amp;"|"&amp;(A993+1),'Zgłoszenia'!$S$5:$S$504,0)))&amp;IF(K993&gt;1," (+"&amp;(K993-1)&amp;")",""))</f>
        <v/>
      </c>
      <c r="M993" s="63" t="n">
        <v>13</v>
      </c>
      <c r="N993" s="2" t="n"/>
      <c r="O993" s="2" t="n"/>
    </row>
    <row r="994">
      <c r="A994" s="62">
        <f>IF('13'!$C$1="","",'13'!$C$1)</f>
        <v/>
      </c>
      <c r="B994" s="63">
        <f>Ustawienia!$A$8&amp;""</f>
        <v/>
      </c>
      <c r="C994" s="63">
        <f>Ustawienia!$A$17&amp;""</f>
        <v/>
      </c>
      <c r="D994" s="63" t="n">
        <v>3</v>
      </c>
      <c r="E994" s="63">
        <f>IF('13'!B29="","",TRIM('13'!B29&amp;""))</f>
        <v/>
      </c>
      <c r="F994" s="63">
        <f>IF('13'!C29="","",'13'!C29)</f>
        <v/>
      </c>
      <c r="G994" s="63">
        <f>'13'!D29&amp;""</f>
        <v/>
      </c>
      <c r="H994" s="63">
        <f>IF(OR(A994="",F994=""),"",F994&amp;"|"&amp;A994)</f>
        <v/>
      </c>
      <c r="I994" s="63">
        <f>IF(AND(H994&lt;&gt;"",OR('Historia wózka'!$B$4="",F994='Historia wózka'!$B$4),A994&gt;='Historia wózka'!$B$5,A994&lt;='Historia wózka'!$B$6),A994+0.9+(5000-ROW())/10000000,0)</f>
        <v/>
      </c>
      <c r="J994" s="63">
        <f>Ustawienia!$B$8&amp;""</f>
        <v/>
      </c>
      <c r="K994" s="63">
        <f>IF(H994="","",COUNTIFS('Zgłoszenia'!$B$5:$B$504,F994,'Zgłoszenia'!$D$5:$D$504,"&gt;="&amp;A994,'Zgłoszenia'!$D$5:$D$504,"&lt;="&amp;(A994+1)))</f>
        <v/>
      </c>
      <c r="L994" s="63">
        <f>IF(OR(H994="",K994=0),"—",IF(ISNUMBER(MATCH(H994,'Zgłoszenia'!$S$5:$S$504,0)),RIGHT("0"&amp;DAY(A994),2)&amp;"."&amp;RIGHT("0"&amp;MONTH(A994),2)&amp;"."&amp;YEAR(A994)&amp;": "&amp;INDEX('Zgłoszenia'!$H$5:$H$504,MATCH(H994,'Zgłoszenia'!$S$5:$S$504,0)),RIGHT("0"&amp;DAY((A994+1)),2)&amp;"."&amp;RIGHT("0"&amp;MONTH((A994+1)),2)&amp;"."&amp;YEAR((A994+1))&amp;": "&amp;INDEX('Zgłoszenia'!$H$5:$H$504,MATCH(F994&amp;"|"&amp;(A994+1),'Zgłoszenia'!$S$5:$S$504,0)))&amp;IF(K994&gt;1," (+"&amp;(K994-1)&amp;")",""))</f>
        <v/>
      </c>
      <c r="M994" s="63" t="n">
        <v>13</v>
      </c>
      <c r="N994" s="2" t="n"/>
      <c r="O994" s="2" t="n"/>
    </row>
    <row r="995">
      <c r="A995" s="62">
        <f>IF('13'!$C$1="","",'13'!$C$1)</f>
        <v/>
      </c>
      <c r="B995" s="63">
        <f>Ustawienia!$A$8&amp;""</f>
        <v/>
      </c>
      <c r="C995" s="63">
        <f>Ustawienia!$A$17&amp;""</f>
        <v/>
      </c>
      <c r="D995" s="63" t="n">
        <v>4</v>
      </c>
      <c r="E995" s="63">
        <f>IF('13'!B30="","",TRIM('13'!B30&amp;""))</f>
        <v/>
      </c>
      <c r="F995" s="63">
        <f>IF('13'!C30="","",'13'!C30)</f>
        <v/>
      </c>
      <c r="G995" s="63">
        <f>'13'!D30&amp;""</f>
        <v/>
      </c>
      <c r="H995" s="63">
        <f>IF(OR(A995="",F995=""),"",F995&amp;"|"&amp;A995)</f>
        <v/>
      </c>
      <c r="I995" s="63">
        <f>IF(AND(H995&lt;&gt;"",OR('Historia wózka'!$B$4="",F995='Historia wózka'!$B$4),A995&gt;='Historia wózka'!$B$5,A995&lt;='Historia wózka'!$B$6),A995+0.9+(5000-ROW())/10000000,0)</f>
        <v/>
      </c>
      <c r="J995" s="63">
        <f>Ustawienia!$B$8&amp;""</f>
        <v/>
      </c>
      <c r="K995" s="63">
        <f>IF(H995="","",COUNTIFS('Zgłoszenia'!$B$5:$B$504,F995,'Zgłoszenia'!$D$5:$D$504,"&gt;="&amp;A995,'Zgłoszenia'!$D$5:$D$504,"&lt;="&amp;(A995+1)))</f>
        <v/>
      </c>
      <c r="L995" s="63">
        <f>IF(OR(H995="",K995=0),"—",IF(ISNUMBER(MATCH(H995,'Zgłoszenia'!$S$5:$S$504,0)),RIGHT("0"&amp;DAY(A995),2)&amp;"."&amp;RIGHT("0"&amp;MONTH(A995),2)&amp;"."&amp;YEAR(A995)&amp;": "&amp;INDEX('Zgłoszenia'!$H$5:$H$504,MATCH(H995,'Zgłoszenia'!$S$5:$S$504,0)),RIGHT("0"&amp;DAY((A995+1)),2)&amp;"."&amp;RIGHT("0"&amp;MONTH((A995+1)),2)&amp;"."&amp;YEAR((A995+1))&amp;": "&amp;INDEX('Zgłoszenia'!$H$5:$H$504,MATCH(F995&amp;"|"&amp;(A995+1),'Zgłoszenia'!$S$5:$S$504,0)))&amp;IF(K995&gt;1," (+"&amp;(K995-1)&amp;")",""))</f>
        <v/>
      </c>
      <c r="M995" s="63" t="n">
        <v>13</v>
      </c>
      <c r="N995" s="2" t="n"/>
      <c r="O995" s="2" t="n"/>
    </row>
    <row r="996">
      <c r="A996" s="62">
        <f>IF('13'!$C$1="","",'13'!$C$1)</f>
        <v/>
      </c>
      <c r="B996" s="63">
        <f>Ustawienia!$A$8&amp;""</f>
        <v/>
      </c>
      <c r="C996" s="63">
        <f>Ustawienia!$A$18&amp;""</f>
        <v/>
      </c>
      <c r="D996" s="63" t="n">
        <v>1</v>
      </c>
      <c r="E996" s="63">
        <f>IF('13'!B32="","",TRIM('13'!B32&amp;""))</f>
        <v/>
      </c>
      <c r="F996" s="63">
        <f>IF('13'!C32="","",'13'!C32)</f>
        <v/>
      </c>
      <c r="G996" s="63">
        <f>'13'!D32&amp;""</f>
        <v/>
      </c>
      <c r="H996" s="63">
        <f>IF(OR(A996="",F996=""),"",F996&amp;"|"&amp;A996)</f>
        <v/>
      </c>
      <c r="I996" s="63">
        <f>IF(AND(H996&lt;&gt;"",OR('Historia wózka'!$B$4="",F996='Historia wózka'!$B$4),A996&gt;='Historia wózka'!$B$5,A996&lt;='Historia wózka'!$B$6),A996+0.9+(5000-ROW())/10000000,0)</f>
        <v/>
      </c>
      <c r="J996" s="63">
        <f>Ustawienia!$B$8&amp;""</f>
        <v/>
      </c>
      <c r="K996" s="63">
        <f>IF(H996="","",COUNTIFS('Zgłoszenia'!$B$5:$B$504,F996,'Zgłoszenia'!$D$5:$D$504,"&gt;="&amp;A996,'Zgłoszenia'!$D$5:$D$504,"&lt;="&amp;(A996+1)))</f>
        <v/>
      </c>
      <c r="L996" s="63">
        <f>IF(OR(H996="",K996=0),"—",IF(ISNUMBER(MATCH(H996,'Zgłoszenia'!$S$5:$S$504,0)),RIGHT("0"&amp;DAY(A996),2)&amp;"."&amp;RIGHT("0"&amp;MONTH(A996),2)&amp;"."&amp;YEAR(A996)&amp;": "&amp;INDEX('Zgłoszenia'!$H$5:$H$504,MATCH(H996,'Zgłoszenia'!$S$5:$S$504,0)),RIGHT("0"&amp;DAY((A996+1)),2)&amp;"."&amp;RIGHT("0"&amp;MONTH((A996+1)),2)&amp;"."&amp;YEAR((A996+1))&amp;": "&amp;INDEX('Zgłoszenia'!$H$5:$H$504,MATCH(F996&amp;"|"&amp;(A996+1),'Zgłoszenia'!$S$5:$S$504,0)))&amp;IF(K996&gt;1," (+"&amp;(K996-1)&amp;")",""))</f>
        <v/>
      </c>
      <c r="M996" s="63" t="n">
        <v>13</v>
      </c>
      <c r="N996" s="2" t="n"/>
      <c r="O996" s="2" t="n"/>
    </row>
    <row r="997">
      <c r="A997" s="62">
        <f>IF('13'!$C$1="","",'13'!$C$1)</f>
        <v/>
      </c>
      <c r="B997" s="63">
        <f>Ustawienia!$A$8&amp;""</f>
        <v/>
      </c>
      <c r="C997" s="63">
        <f>Ustawienia!$A$18&amp;""</f>
        <v/>
      </c>
      <c r="D997" s="63" t="n">
        <v>2</v>
      </c>
      <c r="E997" s="63">
        <f>IF('13'!B33="","",TRIM('13'!B33&amp;""))</f>
        <v/>
      </c>
      <c r="F997" s="63">
        <f>IF('13'!C33="","",'13'!C33)</f>
        <v/>
      </c>
      <c r="G997" s="63">
        <f>'13'!D33&amp;""</f>
        <v/>
      </c>
      <c r="H997" s="63">
        <f>IF(OR(A997="",F997=""),"",F997&amp;"|"&amp;A997)</f>
        <v/>
      </c>
      <c r="I997" s="63">
        <f>IF(AND(H997&lt;&gt;"",OR('Historia wózka'!$B$4="",F997='Historia wózka'!$B$4),A997&gt;='Historia wózka'!$B$5,A997&lt;='Historia wózka'!$B$6),A997+0.9+(5000-ROW())/10000000,0)</f>
        <v/>
      </c>
      <c r="J997" s="63">
        <f>Ustawienia!$B$8&amp;""</f>
        <v/>
      </c>
      <c r="K997" s="63">
        <f>IF(H997="","",COUNTIFS('Zgłoszenia'!$B$5:$B$504,F997,'Zgłoszenia'!$D$5:$D$504,"&gt;="&amp;A997,'Zgłoszenia'!$D$5:$D$504,"&lt;="&amp;(A997+1)))</f>
        <v/>
      </c>
      <c r="L997" s="63">
        <f>IF(OR(H997="",K997=0),"—",IF(ISNUMBER(MATCH(H997,'Zgłoszenia'!$S$5:$S$504,0)),RIGHT("0"&amp;DAY(A997),2)&amp;"."&amp;RIGHT("0"&amp;MONTH(A997),2)&amp;"."&amp;YEAR(A997)&amp;": "&amp;INDEX('Zgłoszenia'!$H$5:$H$504,MATCH(H997,'Zgłoszenia'!$S$5:$S$504,0)),RIGHT("0"&amp;DAY((A997+1)),2)&amp;"."&amp;RIGHT("0"&amp;MONTH((A997+1)),2)&amp;"."&amp;YEAR((A997+1))&amp;": "&amp;INDEX('Zgłoszenia'!$H$5:$H$504,MATCH(F997&amp;"|"&amp;(A997+1),'Zgłoszenia'!$S$5:$S$504,0)))&amp;IF(K997&gt;1," (+"&amp;(K997-1)&amp;")",""))</f>
        <v/>
      </c>
      <c r="M997" s="63" t="n">
        <v>13</v>
      </c>
      <c r="N997" s="2" t="n"/>
      <c r="O997" s="2" t="n"/>
    </row>
    <row r="998">
      <c r="A998" s="62">
        <f>IF('13'!$C$1="","",'13'!$C$1)</f>
        <v/>
      </c>
      <c r="B998" s="63">
        <f>Ustawienia!$A$8&amp;""</f>
        <v/>
      </c>
      <c r="C998" s="63">
        <f>Ustawienia!$A$18&amp;""</f>
        <v/>
      </c>
      <c r="D998" s="63" t="n">
        <v>3</v>
      </c>
      <c r="E998" s="63">
        <f>IF('13'!B34="","",TRIM('13'!B34&amp;""))</f>
        <v/>
      </c>
      <c r="F998" s="63">
        <f>IF('13'!C34="","",'13'!C34)</f>
        <v/>
      </c>
      <c r="G998" s="63">
        <f>'13'!D34&amp;""</f>
        <v/>
      </c>
      <c r="H998" s="63">
        <f>IF(OR(A998="",F998=""),"",F998&amp;"|"&amp;A998)</f>
        <v/>
      </c>
      <c r="I998" s="63">
        <f>IF(AND(H998&lt;&gt;"",OR('Historia wózka'!$B$4="",F998='Historia wózka'!$B$4),A998&gt;='Historia wózka'!$B$5,A998&lt;='Historia wózka'!$B$6),A998+0.9+(5000-ROW())/10000000,0)</f>
        <v/>
      </c>
      <c r="J998" s="63">
        <f>Ustawienia!$B$8&amp;""</f>
        <v/>
      </c>
      <c r="K998" s="63">
        <f>IF(H998="","",COUNTIFS('Zgłoszenia'!$B$5:$B$504,F998,'Zgłoszenia'!$D$5:$D$504,"&gt;="&amp;A998,'Zgłoszenia'!$D$5:$D$504,"&lt;="&amp;(A998+1)))</f>
        <v/>
      </c>
      <c r="L998" s="63">
        <f>IF(OR(H998="",K998=0),"—",IF(ISNUMBER(MATCH(H998,'Zgłoszenia'!$S$5:$S$504,0)),RIGHT("0"&amp;DAY(A998),2)&amp;"."&amp;RIGHT("0"&amp;MONTH(A998),2)&amp;"."&amp;YEAR(A998)&amp;": "&amp;INDEX('Zgłoszenia'!$H$5:$H$504,MATCH(H998,'Zgłoszenia'!$S$5:$S$504,0)),RIGHT("0"&amp;DAY((A998+1)),2)&amp;"."&amp;RIGHT("0"&amp;MONTH((A998+1)),2)&amp;"."&amp;YEAR((A998+1))&amp;": "&amp;INDEX('Zgłoszenia'!$H$5:$H$504,MATCH(F998&amp;"|"&amp;(A998+1),'Zgłoszenia'!$S$5:$S$504,0)))&amp;IF(K998&gt;1," (+"&amp;(K998-1)&amp;")",""))</f>
        <v/>
      </c>
      <c r="M998" s="63" t="n">
        <v>13</v>
      </c>
      <c r="N998" s="2" t="n"/>
      <c r="O998" s="2" t="n"/>
    </row>
    <row r="999">
      <c r="A999" s="62">
        <f>IF('13'!$C$1="","",'13'!$C$1)</f>
        <v/>
      </c>
      <c r="B999" s="63">
        <f>Ustawienia!$A$8&amp;""</f>
        <v/>
      </c>
      <c r="C999" s="63">
        <f>Ustawienia!$A$18&amp;""</f>
        <v/>
      </c>
      <c r="D999" s="63" t="n">
        <v>4</v>
      </c>
      <c r="E999" s="63">
        <f>IF('13'!B35="","",TRIM('13'!B35&amp;""))</f>
        <v/>
      </c>
      <c r="F999" s="63">
        <f>IF('13'!C35="","",'13'!C35)</f>
        <v/>
      </c>
      <c r="G999" s="63">
        <f>'13'!D35&amp;""</f>
        <v/>
      </c>
      <c r="H999" s="63">
        <f>IF(OR(A999="",F999=""),"",F999&amp;"|"&amp;A999)</f>
        <v/>
      </c>
      <c r="I999" s="63">
        <f>IF(AND(H999&lt;&gt;"",OR('Historia wózka'!$B$4="",F999='Historia wózka'!$B$4),A999&gt;='Historia wózka'!$B$5,A999&lt;='Historia wózka'!$B$6),A999+0.9+(5000-ROW())/10000000,0)</f>
        <v/>
      </c>
      <c r="J999" s="63">
        <f>Ustawienia!$B$8&amp;""</f>
        <v/>
      </c>
      <c r="K999" s="63">
        <f>IF(H999="","",COUNTIFS('Zgłoszenia'!$B$5:$B$504,F999,'Zgłoszenia'!$D$5:$D$504,"&gt;="&amp;A999,'Zgłoszenia'!$D$5:$D$504,"&lt;="&amp;(A999+1)))</f>
        <v/>
      </c>
      <c r="L999" s="63">
        <f>IF(OR(H999="",K999=0),"—",IF(ISNUMBER(MATCH(H999,'Zgłoszenia'!$S$5:$S$504,0)),RIGHT("0"&amp;DAY(A999),2)&amp;"."&amp;RIGHT("0"&amp;MONTH(A999),2)&amp;"."&amp;YEAR(A999)&amp;": "&amp;INDEX('Zgłoszenia'!$H$5:$H$504,MATCH(H999,'Zgłoszenia'!$S$5:$S$504,0)),RIGHT("0"&amp;DAY((A999+1)),2)&amp;"."&amp;RIGHT("0"&amp;MONTH((A999+1)),2)&amp;"."&amp;YEAR((A999+1))&amp;": "&amp;INDEX('Zgłoszenia'!$H$5:$H$504,MATCH(F999&amp;"|"&amp;(A999+1),'Zgłoszenia'!$S$5:$S$504,0)))&amp;IF(K999&gt;1," (+"&amp;(K999-1)&amp;")",""))</f>
        <v/>
      </c>
      <c r="M999" s="63" t="n">
        <v>13</v>
      </c>
      <c r="N999" s="2" t="n"/>
      <c r="O999" s="2" t="n"/>
    </row>
    <row r="1000">
      <c r="A1000" s="62">
        <f>IF('13'!$C$1="","",'13'!$C$1)</f>
        <v/>
      </c>
      <c r="B1000" s="63">
        <f>Ustawienia!$A$8&amp;""</f>
        <v/>
      </c>
      <c r="C1000" s="63">
        <f>Ustawienia!$A$18&amp;""</f>
        <v/>
      </c>
      <c r="D1000" s="63" t="n">
        <v>5</v>
      </c>
      <c r="E1000" s="63">
        <f>IF('13'!B36="","",TRIM('13'!B36&amp;""))</f>
        <v/>
      </c>
      <c r="F1000" s="63">
        <f>IF('13'!C36="","",'13'!C36)</f>
        <v/>
      </c>
      <c r="G1000" s="63">
        <f>'13'!D36&amp;""</f>
        <v/>
      </c>
      <c r="H1000" s="63">
        <f>IF(OR(A1000="",F1000=""),"",F1000&amp;"|"&amp;A1000)</f>
        <v/>
      </c>
      <c r="I1000" s="63">
        <f>IF(AND(H1000&lt;&gt;"",OR('Historia wózka'!$B$4="",F1000='Historia wózka'!$B$4),A1000&gt;='Historia wózka'!$B$5,A1000&lt;='Historia wózka'!$B$6),A1000+0.9+(5000-ROW())/10000000,0)</f>
        <v/>
      </c>
      <c r="J1000" s="63">
        <f>Ustawienia!$B$8&amp;""</f>
        <v/>
      </c>
      <c r="K1000" s="63">
        <f>IF(H1000="","",COUNTIFS('Zgłoszenia'!$B$5:$B$504,F1000,'Zgłoszenia'!$D$5:$D$504,"&gt;="&amp;A1000,'Zgłoszenia'!$D$5:$D$504,"&lt;="&amp;(A1000+1)))</f>
        <v/>
      </c>
      <c r="L1000" s="63">
        <f>IF(OR(H1000="",K1000=0),"—",IF(ISNUMBER(MATCH(H1000,'Zgłoszenia'!$S$5:$S$504,0)),RIGHT("0"&amp;DAY(A1000),2)&amp;"."&amp;RIGHT("0"&amp;MONTH(A1000),2)&amp;"."&amp;YEAR(A1000)&amp;": "&amp;INDEX('Zgłoszenia'!$H$5:$H$504,MATCH(H1000,'Zgłoszenia'!$S$5:$S$504,0)),RIGHT("0"&amp;DAY((A1000+1)),2)&amp;"."&amp;RIGHT("0"&amp;MONTH((A1000+1)),2)&amp;"."&amp;YEAR((A1000+1))&amp;": "&amp;INDEX('Zgłoszenia'!$H$5:$H$504,MATCH(F1000&amp;"|"&amp;(A1000+1),'Zgłoszenia'!$S$5:$S$504,0)))&amp;IF(K1000&gt;1," (+"&amp;(K1000-1)&amp;")",""))</f>
        <v/>
      </c>
      <c r="M1000" s="63" t="n">
        <v>13</v>
      </c>
      <c r="N1000" s="2" t="n"/>
      <c r="O1000" s="2" t="n"/>
    </row>
    <row r="1001">
      <c r="A1001" s="62">
        <f>IF('13'!$C$1="","",'13'!$C$1)</f>
        <v/>
      </c>
      <c r="B1001" s="63">
        <f>Ustawienia!$A$9&amp;""</f>
        <v/>
      </c>
      <c r="C1001" s="63">
        <f>Ustawienia!$A$14&amp;""</f>
        <v/>
      </c>
      <c r="D1001" s="63" t="n">
        <v>1</v>
      </c>
      <c r="E1001" s="63">
        <f>IF('13'!F6="","",TRIM('13'!F6&amp;""))</f>
        <v/>
      </c>
      <c r="F1001" s="63">
        <f>IF('13'!G6="","",'13'!G6)</f>
        <v/>
      </c>
      <c r="G1001" s="63">
        <f>'13'!H6&amp;""</f>
        <v/>
      </c>
      <c r="H1001" s="63">
        <f>IF(OR(A1001="",F1001=""),"",F1001&amp;"|"&amp;A1001)</f>
        <v/>
      </c>
      <c r="I1001" s="63">
        <f>IF(AND(H1001&lt;&gt;"",OR('Historia wózka'!$B$4="",F1001='Historia wózka'!$B$4),A1001&gt;='Historia wózka'!$B$5,A1001&lt;='Historia wózka'!$B$6),A1001+0.8+(5000-ROW())/10000000,0)</f>
        <v/>
      </c>
      <c r="J1001" s="63">
        <f>Ustawienia!$B$9&amp;""</f>
        <v/>
      </c>
      <c r="K1001" s="63">
        <f>IF(H1001="","",COUNTIFS('Zgłoszenia'!$B$5:$B$504,F1001,'Zgłoszenia'!$D$5:$D$504,"&gt;="&amp;A1001,'Zgłoszenia'!$D$5:$D$504,"&lt;="&amp;(A1001+1)))</f>
        <v/>
      </c>
      <c r="L1001" s="63">
        <f>IF(OR(H1001="",K1001=0),"—",IF(ISNUMBER(MATCH(H1001,'Zgłoszenia'!$S$5:$S$504,0)),RIGHT("0"&amp;DAY(A1001),2)&amp;"."&amp;RIGHT("0"&amp;MONTH(A1001),2)&amp;"."&amp;YEAR(A1001)&amp;": "&amp;INDEX('Zgłoszenia'!$H$5:$H$504,MATCH(H1001,'Zgłoszenia'!$S$5:$S$504,0)),RIGHT("0"&amp;DAY((A1001+1)),2)&amp;"."&amp;RIGHT("0"&amp;MONTH((A1001+1)),2)&amp;"."&amp;YEAR((A1001+1))&amp;": "&amp;INDEX('Zgłoszenia'!$H$5:$H$504,MATCH(F1001&amp;"|"&amp;(A1001+1),'Zgłoszenia'!$S$5:$S$504,0)))&amp;IF(K1001&gt;1," (+"&amp;(K1001-1)&amp;")",""))</f>
        <v/>
      </c>
      <c r="M1001" s="63" t="n">
        <v>13</v>
      </c>
      <c r="N1001" s="2" t="n"/>
      <c r="O1001" s="2" t="n"/>
    </row>
    <row r="1002">
      <c r="A1002" s="62">
        <f>IF('13'!$C$1="","",'13'!$C$1)</f>
        <v/>
      </c>
      <c r="B1002" s="63">
        <f>Ustawienia!$A$9&amp;""</f>
        <v/>
      </c>
      <c r="C1002" s="63">
        <f>Ustawienia!$A$14&amp;""</f>
        <v/>
      </c>
      <c r="D1002" s="63" t="n">
        <v>2</v>
      </c>
      <c r="E1002" s="63">
        <f>IF('13'!F7="","",TRIM('13'!F7&amp;""))</f>
        <v/>
      </c>
      <c r="F1002" s="63">
        <f>IF('13'!G7="","",'13'!G7)</f>
        <v/>
      </c>
      <c r="G1002" s="63">
        <f>'13'!H7&amp;""</f>
        <v/>
      </c>
      <c r="H1002" s="63">
        <f>IF(OR(A1002="",F1002=""),"",F1002&amp;"|"&amp;A1002)</f>
        <v/>
      </c>
      <c r="I1002" s="63">
        <f>IF(AND(H1002&lt;&gt;"",OR('Historia wózka'!$B$4="",F1002='Historia wózka'!$B$4),A1002&gt;='Historia wózka'!$B$5,A1002&lt;='Historia wózka'!$B$6),A1002+0.8+(5000-ROW())/10000000,0)</f>
        <v/>
      </c>
      <c r="J1002" s="63">
        <f>Ustawienia!$B$9&amp;""</f>
        <v/>
      </c>
      <c r="K1002" s="63">
        <f>IF(H1002="","",COUNTIFS('Zgłoszenia'!$B$5:$B$504,F1002,'Zgłoszenia'!$D$5:$D$504,"&gt;="&amp;A1002,'Zgłoszenia'!$D$5:$D$504,"&lt;="&amp;(A1002+1)))</f>
        <v/>
      </c>
      <c r="L1002" s="63">
        <f>IF(OR(H1002="",K1002=0),"—",IF(ISNUMBER(MATCH(H1002,'Zgłoszenia'!$S$5:$S$504,0)),RIGHT("0"&amp;DAY(A1002),2)&amp;"."&amp;RIGHT("0"&amp;MONTH(A1002),2)&amp;"."&amp;YEAR(A1002)&amp;": "&amp;INDEX('Zgłoszenia'!$H$5:$H$504,MATCH(H1002,'Zgłoszenia'!$S$5:$S$504,0)),RIGHT("0"&amp;DAY((A1002+1)),2)&amp;"."&amp;RIGHT("0"&amp;MONTH((A1002+1)),2)&amp;"."&amp;YEAR((A1002+1))&amp;": "&amp;INDEX('Zgłoszenia'!$H$5:$H$504,MATCH(F1002&amp;"|"&amp;(A1002+1),'Zgłoszenia'!$S$5:$S$504,0)))&amp;IF(K1002&gt;1," (+"&amp;(K1002-1)&amp;")",""))</f>
        <v/>
      </c>
      <c r="M1002" s="63" t="n">
        <v>13</v>
      </c>
      <c r="N1002" s="2" t="n"/>
      <c r="O1002" s="2" t="n"/>
    </row>
    <row r="1003">
      <c r="A1003" s="62">
        <f>IF('13'!$C$1="","",'13'!$C$1)</f>
        <v/>
      </c>
      <c r="B1003" s="63">
        <f>Ustawienia!$A$9&amp;""</f>
        <v/>
      </c>
      <c r="C1003" s="63">
        <f>Ustawienia!$A$14&amp;""</f>
        <v/>
      </c>
      <c r="D1003" s="63" t="n">
        <v>3</v>
      </c>
      <c r="E1003" s="63">
        <f>IF('13'!F8="","",TRIM('13'!F8&amp;""))</f>
        <v/>
      </c>
      <c r="F1003" s="63">
        <f>IF('13'!G8="","",'13'!G8)</f>
        <v/>
      </c>
      <c r="G1003" s="63">
        <f>'13'!H8&amp;""</f>
        <v/>
      </c>
      <c r="H1003" s="63">
        <f>IF(OR(A1003="",F1003=""),"",F1003&amp;"|"&amp;A1003)</f>
        <v/>
      </c>
      <c r="I1003" s="63">
        <f>IF(AND(H1003&lt;&gt;"",OR('Historia wózka'!$B$4="",F1003='Historia wózka'!$B$4),A1003&gt;='Historia wózka'!$B$5,A1003&lt;='Historia wózka'!$B$6),A1003+0.8+(5000-ROW())/10000000,0)</f>
        <v/>
      </c>
      <c r="J1003" s="63">
        <f>Ustawienia!$B$9&amp;""</f>
        <v/>
      </c>
      <c r="K1003" s="63">
        <f>IF(H1003="","",COUNTIFS('Zgłoszenia'!$B$5:$B$504,F1003,'Zgłoszenia'!$D$5:$D$504,"&gt;="&amp;A1003,'Zgłoszenia'!$D$5:$D$504,"&lt;="&amp;(A1003+1)))</f>
        <v/>
      </c>
      <c r="L1003" s="63">
        <f>IF(OR(H1003="",K1003=0),"—",IF(ISNUMBER(MATCH(H1003,'Zgłoszenia'!$S$5:$S$504,0)),RIGHT("0"&amp;DAY(A1003),2)&amp;"."&amp;RIGHT("0"&amp;MONTH(A1003),2)&amp;"."&amp;YEAR(A1003)&amp;": "&amp;INDEX('Zgłoszenia'!$H$5:$H$504,MATCH(H1003,'Zgłoszenia'!$S$5:$S$504,0)),RIGHT("0"&amp;DAY((A1003+1)),2)&amp;"."&amp;RIGHT("0"&amp;MONTH((A1003+1)),2)&amp;"."&amp;YEAR((A1003+1))&amp;": "&amp;INDEX('Zgłoszenia'!$H$5:$H$504,MATCH(F1003&amp;"|"&amp;(A1003+1),'Zgłoszenia'!$S$5:$S$504,0)))&amp;IF(K1003&gt;1," (+"&amp;(K1003-1)&amp;")",""))</f>
        <v/>
      </c>
      <c r="M1003" s="63" t="n">
        <v>13</v>
      </c>
      <c r="N1003" s="2" t="n"/>
      <c r="O1003" s="2" t="n"/>
    </row>
    <row r="1004">
      <c r="A1004" s="62">
        <f>IF('13'!$C$1="","",'13'!$C$1)</f>
        <v/>
      </c>
      <c r="B1004" s="63">
        <f>Ustawienia!$A$9&amp;""</f>
        <v/>
      </c>
      <c r="C1004" s="63">
        <f>Ustawienia!$A$14&amp;""</f>
        <v/>
      </c>
      <c r="D1004" s="63" t="n">
        <v>4</v>
      </c>
      <c r="E1004" s="63">
        <f>IF('13'!F9="","",TRIM('13'!F9&amp;""))</f>
        <v/>
      </c>
      <c r="F1004" s="63">
        <f>IF('13'!G9="","",'13'!G9)</f>
        <v/>
      </c>
      <c r="G1004" s="63">
        <f>'13'!H9&amp;""</f>
        <v/>
      </c>
      <c r="H1004" s="63">
        <f>IF(OR(A1004="",F1004=""),"",F1004&amp;"|"&amp;A1004)</f>
        <v/>
      </c>
      <c r="I1004" s="63">
        <f>IF(AND(H1004&lt;&gt;"",OR('Historia wózka'!$B$4="",F1004='Historia wózka'!$B$4),A1004&gt;='Historia wózka'!$B$5,A1004&lt;='Historia wózka'!$B$6),A1004+0.8+(5000-ROW())/10000000,0)</f>
        <v/>
      </c>
      <c r="J1004" s="63">
        <f>Ustawienia!$B$9&amp;""</f>
        <v/>
      </c>
      <c r="K1004" s="63">
        <f>IF(H1004="","",COUNTIFS('Zgłoszenia'!$B$5:$B$504,F1004,'Zgłoszenia'!$D$5:$D$504,"&gt;="&amp;A1004,'Zgłoszenia'!$D$5:$D$504,"&lt;="&amp;(A1004+1)))</f>
        <v/>
      </c>
      <c r="L1004" s="63">
        <f>IF(OR(H1004="",K1004=0),"—",IF(ISNUMBER(MATCH(H1004,'Zgłoszenia'!$S$5:$S$504,0)),RIGHT("0"&amp;DAY(A1004),2)&amp;"."&amp;RIGHT("0"&amp;MONTH(A1004),2)&amp;"."&amp;YEAR(A1004)&amp;": "&amp;INDEX('Zgłoszenia'!$H$5:$H$504,MATCH(H1004,'Zgłoszenia'!$S$5:$S$504,0)),RIGHT("0"&amp;DAY((A1004+1)),2)&amp;"."&amp;RIGHT("0"&amp;MONTH((A1004+1)),2)&amp;"."&amp;YEAR((A1004+1))&amp;": "&amp;INDEX('Zgłoszenia'!$H$5:$H$504,MATCH(F1004&amp;"|"&amp;(A1004+1),'Zgłoszenia'!$S$5:$S$504,0)))&amp;IF(K1004&gt;1," (+"&amp;(K1004-1)&amp;")",""))</f>
        <v/>
      </c>
      <c r="M1004" s="63" t="n">
        <v>13</v>
      </c>
      <c r="N1004" s="2" t="n"/>
      <c r="O1004" s="2" t="n"/>
    </row>
    <row r="1005">
      <c r="A1005" s="62">
        <f>IF('13'!$C$1="","",'13'!$C$1)</f>
        <v/>
      </c>
      <c r="B1005" s="63">
        <f>Ustawienia!$A$9&amp;""</f>
        <v/>
      </c>
      <c r="C1005" s="63">
        <f>Ustawienia!$A$14&amp;""</f>
        <v/>
      </c>
      <c r="D1005" s="63" t="n">
        <v>5</v>
      </c>
      <c r="E1005" s="63">
        <f>IF('13'!F10="","",TRIM('13'!F10&amp;""))</f>
        <v/>
      </c>
      <c r="F1005" s="63">
        <f>IF('13'!G10="","",'13'!G10)</f>
        <v/>
      </c>
      <c r="G1005" s="63">
        <f>'13'!H10&amp;""</f>
        <v/>
      </c>
      <c r="H1005" s="63">
        <f>IF(OR(A1005="",F1005=""),"",F1005&amp;"|"&amp;A1005)</f>
        <v/>
      </c>
      <c r="I1005" s="63">
        <f>IF(AND(H1005&lt;&gt;"",OR('Historia wózka'!$B$4="",F1005='Historia wózka'!$B$4),A1005&gt;='Historia wózka'!$B$5,A1005&lt;='Historia wózka'!$B$6),A1005+0.8+(5000-ROW())/10000000,0)</f>
        <v/>
      </c>
      <c r="J1005" s="63">
        <f>Ustawienia!$B$9&amp;""</f>
        <v/>
      </c>
      <c r="K1005" s="63">
        <f>IF(H1005="","",COUNTIFS('Zgłoszenia'!$B$5:$B$504,F1005,'Zgłoszenia'!$D$5:$D$504,"&gt;="&amp;A1005,'Zgłoszenia'!$D$5:$D$504,"&lt;="&amp;(A1005+1)))</f>
        <v/>
      </c>
      <c r="L1005" s="63">
        <f>IF(OR(H1005="",K1005=0),"—",IF(ISNUMBER(MATCH(H1005,'Zgłoszenia'!$S$5:$S$504,0)),RIGHT("0"&amp;DAY(A1005),2)&amp;"."&amp;RIGHT("0"&amp;MONTH(A1005),2)&amp;"."&amp;YEAR(A1005)&amp;": "&amp;INDEX('Zgłoszenia'!$H$5:$H$504,MATCH(H1005,'Zgłoszenia'!$S$5:$S$504,0)),RIGHT("0"&amp;DAY((A1005+1)),2)&amp;"."&amp;RIGHT("0"&amp;MONTH((A1005+1)),2)&amp;"."&amp;YEAR((A1005+1))&amp;": "&amp;INDEX('Zgłoszenia'!$H$5:$H$504,MATCH(F1005&amp;"|"&amp;(A1005+1),'Zgłoszenia'!$S$5:$S$504,0)))&amp;IF(K1005&gt;1," (+"&amp;(K1005-1)&amp;")",""))</f>
        <v/>
      </c>
      <c r="M1005" s="63" t="n">
        <v>13</v>
      </c>
      <c r="N1005" s="2" t="n"/>
      <c r="O1005" s="2" t="n"/>
    </row>
    <row r="1006">
      <c r="A1006" s="62">
        <f>IF('13'!$C$1="","",'13'!$C$1)</f>
        <v/>
      </c>
      <c r="B1006" s="63">
        <f>Ustawienia!$A$9&amp;""</f>
        <v/>
      </c>
      <c r="C1006" s="63">
        <f>Ustawienia!$A$14&amp;""</f>
        <v/>
      </c>
      <c r="D1006" s="63" t="n">
        <v>6</v>
      </c>
      <c r="E1006" s="63">
        <f>IF('13'!F11="","",TRIM('13'!F11&amp;""))</f>
        <v/>
      </c>
      <c r="F1006" s="63">
        <f>IF('13'!G11="","",'13'!G11)</f>
        <v/>
      </c>
      <c r="G1006" s="63">
        <f>'13'!H11&amp;""</f>
        <v/>
      </c>
      <c r="H1006" s="63">
        <f>IF(OR(A1006="",F1006=""),"",F1006&amp;"|"&amp;A1006)</f>
        <v/>
      </c>
      <c r="I1006" s="63">
        <f>IF(AND(H1006&lt;&gt;"",OR('Historia wózka'!$B$4="",F1006='Historia wózka'!$B$4),A1006&gt;='Historia wózka'!$B$5,A1006&lt;='Historia wózka'!$B$6),A1006+0.8+(5000-ROW())/10000000,0)</f>
        <v/>
      </c>
      <c r="J1006" s="63">
        <f>Ustawienia!$B$9&amp;""</f>
        <v/>
      </c>
      <c r="K1006" s="63">
        <f>IF(H1006="","",COUNTIFS('Zgłoszenia'!$B$5:$B$504,F1006,'Zgłoszenia'!$D$5:$D$504,"&gt;="&amp;A1006,'Zgłoszenia'!$D$5:$D$504,"&lt;="&amp;(A1006+1)))</f>
        <v/>
      </c>
      <c r="L1006" s="63">
        <f>IF(OR(H1006="",K1006=0),"—",IF(ISNUMBER(MATCH(H1006,'Zgłoszenia'!$S$5:$S$504,0)),RIGHT("0"&amp;DAY(A1006),2)&amp;"."&amp;RIGHT("0"&amp;MONTH(A1006),2)&amp;"."&amp;YEAR(A1006)&amp;": "&amp;INDEX('Zgłoszenia'!$H$5:$H$504,MATCH(H1006,'Zgłoszenia'!$S$5:$S$504,0)),RIGHT("0"&amp;DAY((A1006+1)),2)&amp;"."&amp;RIGHT("0"&amp;MONTH((A1006+1)),2)&amp;"."&amp;YEAR((A1006+1))&amp;": "&amp;INDEX('Zgłoszenia'!$H$5:$H$504,MATCH(F1006&amp;"|"&amp;(A1006+1),'Zgłoszenia'!$S$5:$S$504,0)))&amp;IF(K1006&gt;1," (+"&amp;(K1006-1)&amp;")",""))</f>
        <v/>
      </c>
      <c r="M1006" s="63" t="n">
        <v>13</v>
      </c>
      <c r="N1006" s="2" t="n"/>
      <c r="O1006" s="2" t="n"/>
    </row>
    <row r="1007">
      <c r="A1007" s="62">
        <f>IF('13'!$C$1="","",'13'!$C$1)</f>
        <v/>
      </c>
      <c r="B1007" s="63">
        <f>Ustawienia!$A$9&amp;""</f>
        <v/>
      </c>
      <c r="C1007" s="63">
        <f>Ustawienia!$A$15&amp;""</f>
        <v/>
      </c>
      <c r="D1007" s="63" t="n">
        <v>1</v>
      </c>
      <c r="E1007" s="63">
        <f>IF('13'!F13="","",TRIM('13'!F13&amp;""))</f>
        <v/>
      </c>
      <c r="F1007" s="63">
        <f>IF('13'!G13="","",'13'!G13)</f>
        <v/>
      </c>
      <c r="G1007" s="63">
        <f>'13'!H13&amp;""</f>
        <v/>
      </c>
      <c r="H1007" s="63">
        <f>IF(OR(A1007="",F1007=""),"",F1007&amp;"|"&amp;A1007)</f>
        <v/>
      </c>
      <c r="I1007" s="63">
        <f>IF(AND(H1007&lt;&gt;"",OR('Historia wózka'!$B$4="",F1007='Historia wózka'!$B$4),A1007&gt;='Historia wózka'!$B$5,A1007&lt;='Historia wózka'!$B$6),A1007+0.8+(5000-ROW())/10000000,0)</f>
        <v/>
      </c>
      <c r="J1007" s="63">
        <f>Ustawienia!$B$9&amp;""</f>
        <v/>
      </c>
      <c r="K1007" s="63">
        <f>IF(H1007="","",COUNTIFS('Zgłoszenia'!$B$5:$B$504,F1007,'Zgłoszenia'!$D$5:$D$504,"&gt;="&amp;A1007,'Zgłoszenia'!$D$5:$D$504,"&lt;="&amp;(A1007+1)))</f>
        <v/>
      </c>
      <c r="L1007" s="63">
        <f>IF(OR(H1007="",K1007=0),"—",IF(ISNUMBER(MATCH(H1007,'Zgłoszenia'!$S$5:$S$504,0)),RIGHT("0"&amp;DAY(A1007),2)&amp;"."&amp;RIGHT("0"&amp;MONTH(A1007),2)&amp;"."&amp;YEAR(A1007)&amp;": "&amp;INDEX('Zgłoszenia'!$H$5:$H$504,MATCH(H1007,'Zgłoszenia'!$S$5:$S$504,0)),RIGHT("0"&amp;DAY((A1007+1)),2)&amp;"."&amp;RIGHT("0"&amp;MONTH((A1007+1)),2)&amp;"."&amp;YEAR((A1007+1))&amp;": "&amp;INDEX('Zgłoszenia'!$H$5:$H$504,MATCH(F1007&amp;"|"&amp;(A1007+1),'Zgłoszenia'!$S$5:$S$504,0)))&amp;IF(K1007&gt;1," (+"&amp;(K1007-1)&amp;")",""))</f>
        <v/>
      </c>
      <c r="M1007" s="63" t="n">
        <v>13</v>
      </c>
      <c r="N1007" s="2" t="n"/>
      <c r="O1007" s="2" t="n"/>
    </row>
    <row r="1008">
      <c r="A1008" s="62">
        <f>IF('13'!$C$1="","",'13'!$C$1)</f>
        <v/>
      </c>
      <c r="B1008" s="63">
        <f>Ustawienia!$A$9&amp;""</f>
        <v/>
      </c>
      <c r="C1008" s="63">
        <f>Ustawienia!$A$15&amp;""</f>
        <v/>
      </c>
      <c r="D1008" s="63" t="n">
        <v>2</v>
      </c>
      <c r="E1008" s="63">
        <f>IF('13'!F14="","",TRIM('13'!F14&amp;""))</f>
        <v/>
      </c>
      <c r="F1008" s="63">
        <f>IF('13'!G14="","",'13'!G14)</f>
        <v/>
      </c>
      <c r="G1008" s="63">
        <f>'13'!H14&amp;""</f>
        <v/>
      </c>
      <c r="H1008" s="63">
        <f>IF(OR(A1008="",F1008=""),"",F1008&amp;"|"&amp;A1008)</f>
        <v/>
      </c>
      <c r="I1008" s="63">
        <f>IF(AND(H1008&lt;&gt;"",OR('Historia wózka'!$B$4="",F1008='Historia wózka'!$B$4),A1008&gt;='Historia wózka'!$B$5,A1008&lt;='Historia wózka'!$B$6),A1008+0.8+(5000-ROW())/10000000,0)</f>
        <v/>
      </c>
      <c r="J1008" s="63">
        <f>Ustawienia!$B$9&amp;""</f>
        <v/>
      </c>
      <c r="K1008" s="63">
        <f>IF(H1008="","",COUNTIFS('Zgłoszenia'!$B$5:$B$504,F1008,'Zgłoszenia'!$D$5:$D$504,"&gt;="&amp;A1008,'Zgłoszenia'!$D$5:$D$504,"&lt;="&amp;(A1008+1)))</f>
        <v/>
      </c>
      <c r="L1008" s="63">
        <f>IF(OR(H1008="",K1008=0),"—",IF(ISNUMBER(MATCH(H1008,'Zgłoszenia'!$S$5:$S$504,0)),RIGHT("0"&amp;DAY(A1008),2)&amp;"."&amp;RIGHT("0"&amp;MONTH(A1008),2)&amp;"."&amp;YEAR(A1008)&amp;": "&amp;INDEX('Zgłoszenia'!$H$5:$H$504,MATCH(H1008,'Zgłoszenia'!$S$5:$S$504,0)),RIGHT("0"&amp;DAY((A1008+1)),2)&amp;"."&amp;RIGHT("0"&amp;MONTH((A1008+1)),2)&amp;"."&amp;YEAR((A1008+1))&amp;": "&amp;INDEX('Zgłoszenia'!$H$5:$H$504,MATCH(F1008&amp;"|"&amp;(A1008+1),'Zgłoszenia'!$S$5:$S$504,0)))&amp;IF(K1008&gt;1," (+"&amp;(K1008-1)&amp;")",""))</f>
        <v/>
      </c>
      <c r="M1008" s="63" t="n">
        <v>13</v>
      </c>
      <c r="N1008" s="2" t="n"/>
      <c r="O1008" s="2" t="n"/>
    </row>
    <row r="1009">
      <c r="A1009" s="62">
        <f>IF('13'!$C$1="","",'13'!$C$1)</f>
        <v/>
      </c>
      <c r="B1009" s="63">
        <f>Ustawienia!$A$9&amp;""</f>
        <v/>
      </c>
      <c r="C1009" s="63">
        <f>Ustawienia!$A$15&amp;""</f>
        <v/>
      </c>
      <c r="D1009" s="63" t="n">
        <v>3</v>
      </c>
      <c r="E1009" s="63">
        <f>IF('13'!F15="","",TRIM('13'!F15&amp;""))</f>
        <v/>
      </c>
      <c r="F1009" s="63">
        <f>IF('13'!G15="","",'13'!G15)</f>
        <v/>
      </c>
      <c r="G1009" s="63">
        <f>'13'!H15&amp;""</f>
        <v/>
      </c>
      <c r="H1009" s="63">
        <f>IF(OR(A1009="",F1009=""),"",F1009&amp;"|"&amp;A1009)</f>
        <v/>
      </c>
      <c r="I1009" s="63">
        <f>IF(AND(H1009&lt;&gt;"",OR('Historia wózka'!$B$4="",F1009='Historia wózka'!$B$4),A1009&gt;='Historia wózka'!$B$5,A1009&lt;='Historia wózka'!$B$6),A1009+0.8+(5000-ROW())/10000000,0)</f>
        <v/>
      </c>
      <c r="J1009" s="63">
        <f>Ustawienia!$B$9&amp;""</f>
        <v/>
      </c>
      <c r="K1009" s="63">
        <f>IF(H1009="","",COUNTIFS('Zgłoszenia'!$B$5:$B$504,F1009,'Zgłoszenia'!$D$5:$D$504,"&gt;="&amp;A1009,'Zgłoszenia'!$D$5:$D$504,"&lt;="&amp;(A1009+1)))</f>
        <v/>
      </c>
      <c r="L1009" s="63">
        <f>IF(OR(H1009="",K1009=0),"—",IF(ISNUMBER(MATCH(H1009,'Zgłoszenia'!$S$5:$S$504,0)),RIGHT("0"&amp;DAY(A1009),2)&amp;"."&amp;RIGHT("0"&amp;MONTH(A1009),2)&amp;"."&amp;YEAR(A1009)&amp;": "&amp;INDEX('Zgłoszenia'!$H$5:$H$504,MATCH(H1009,'Zgłoszenia'!$S$5:$S$504,0)),RIGHT("0"&amp;DAY((A1009+1)),2)&amp;"."&amp;RIGHT("0"&amp;MONTH((A1009+1)),2)&amp;"."&amp;YEAR((A1009+1))&amp;": "&amp;INDEX('Zgłoszenia'!$H$5:$H$504,MATCH(F1009&amp;"|"&amp;(A1009+1),'Zgłoszenia'!$S$5:$S$504,0)))&amp;IF(K1009&gt;1," (+"&amp;(K1009-1)&amp;")",""))</f>
        <v/>
      </c>
      <c r="M1009" s="63" t="n">
        <v>13</v>
      </c>
      <c r="N1009" s="2" t="n"/>
      <c r="O1009" s="2" t="n"/>
    </row>
    <row r="1010">
      <c r="A1010" s="62">
        <f>IF('13'!$C$1="","",'13'!$C$1)</f>
        <v/>
      </c>
      <c r="B1010" s="63">
        <f>Ustawienia!$A$9&amp;""</f>
        <v/>
      </c>
      <c r="C1010" s="63">
        <f>Ustawienia!$A$15&amp;""</f>
        <v/>
      </c>
      <c r="D1010" s="63" t="n">
        <v>4</v>
      </c>
      <c r="E1010" s="63">
        <f>IF('13'!F16="","",TRIM('13'!F16&amp;""))</f>
        <v/>
      </c>
      <c r="F1010" s="63">
        <f>IF('13'!G16="","",'13'!G16)</f>
        <v/>
      </c>
      <c r="G1010" s="63">
        <f>'13'!H16&amp;""</f>
        <v/>
      </c>
      <c r="H1010" s="63">
        <f>IF(OR(A1010="",F1010=""),"",F1010&amp;"|"&amp;A1010)</f>
        <v/>
      </c>
      <c r="I1010" s="63">
        <f>IF(AND(H1010&lt;&gt;"",OR('Historia wózka'!$B$4="",F1010='Historia wózka'!$B$4),A1010&gt;='Historia wózka'!$B$5,A1010&lt;='Historia wózka'!$B$6),A1010+0.8+(5000-ROW())/10000000,0)</f>
        <v/>
      </c>
      <c r="J1010" s="63">
        <f>Ustawienia!$B$9&amp;""</f>
        <v/>
      </c>
      <c r="K1010" s="63">
        <f>IF(H1010="","",COUNTIFS('Zgłoszenia'!$B$5:$B$504,F1010,'Zgłoszenia'!$D$5:$D$504,"&gt;="&amp;A1010,'Zgłoszenia'!$D$5:$D$504,"&lt;="&amp;(A1010+1)))</f>
        <v/>
      </c>
      <c r="L1010" s="63">
        <f>IF(OR(H1010="",K1010=0),"—",IF(ISNUMBER(MATCH(H1010,'Zgłoszenia'!$S$5:$S$504,0)),RIGHT("0"&amp;DAY(A1010),2)&amp;"."&amp;RIGHT("0"&amp;MONTH(A1010),2)&amp;"."&amp;YEAR(A1010)&amp;": "&amp;INDEX('Zgłoszenia'!$H$5:$H$504,MATCH(H1010,'Zgłoszenia'!$S$5:$S$504,0)),RIGHT("0"&amp;DAY((A1010+1)),2)&amp;"."&amp;RIGHT("0"&amp;MONTH((A1010+1)),2)&amp;"."&amp;YEAR((A1010+1))&amp;": "&amp;INDEX('Zgłoszenia'!$H$5:$H$504,MATCH(F1010&amp;"|"&amp;(A1010+1),'Zgłoszenia'!$S$5:$S$504,0)))&amp;IF(K1010&gt;1," (+"&amp;(K1010-1)&amp;")",""))</f>
        <v/>
      </c>
      <c r="M1010" s="63" t="n">
        <v>13</v>
      </c>
      <c r="N1010" s="2" t="n"/>
      <c r="O1010" s="2" t="n"/>
    </row>
    <row r="1011">
      <c r="A1011" s="62">
        <f>IF('13'!$C$1="","",'13'!$C$1)</f>
        <v/>
      </c>
      <c r="B1011" s="63">
        <f>Ustawienia!$A$9&amp;""</f>
        <v/>
      </c>
      <c r="C1011" s="63">
        <f>Ustawienia!$A$15&amp;""</f>
        <v/>
      </c>
      <c r="D1011" s="63" t="n">
        <v>5</v>
      </c>
      <c r="E1011" s="63">
        <f>IF('13'!F17="","",TRIM('13'!F17&amp;""))</f>
        <v/>
      </c>
      <c r="F1011" s="63">
        <f>IF('13'!G17="","",'13'!G17)</f>
        <v/>
      </c>
      <c r="G1011" s="63">
        <f>'13'!H17&amp;""</f>
        <v/>
      </c>
      <c r="H1011" s="63">
        <f>IF(OR(A1011="",F1011=""),"",F1011&amp;"|"&amp;A1011)</f>
        <v/>
      </c>
      <c r="I1011" s="63">
        <f>IF(AND(H1011&lt;&gt;"",OR('Historia wózka'!$B$4="",F1011='Historia wózka'!$B$4),A1011&gt;='Historia wózka'!$B$5,A1011&lt;='Historia wózka'!$B$6),A1011+0.8+(5000-ROW())/10000000,0)</f>
        <v/>
      </c>
      <c r="J1011" s="63">
        <f>Ustawienia!$B$9&amp;""</f>
        <v/>
      </c>
      <c r="K1011" s="63">
        <f>IF(H1011="","",COUNTIFS('Zgłoszenia'!$B$5:$B$504,F1011,'Zgłoszenia'!$D$5:$D$504,"&gt;="&amp;A1011,'Zgłoszenia'!$D$5:$D$504,"&lt;="&amp;(A1011+1)))</f>
        <v/>
      </c>
      <c r="L1011" s="63">
        <f>IF(OR(H1011="",K1011=0),"—",IF(ISNUMBER(MATCH(H1011,'Zgłoszenia'!$S$5:$S$504,0)),RIGHT("0"&amp;DAY(A1011),2)&amp;"."&amp;RIGHT("0"&amp;MONTH(A1011),2)&amp;"."&amp;YEAR(A1011)&amp;": "&amp;INDEX('Zgłoszenia'!$H$5:$H$504,MATCH(H1011,'Zgłoszenia'!$S$5:$S$504,0)),RIGHT("0"&amp;DAY((A1011+1)),2)&amp;"."&amp;RIGHT("0"&amp;MONTH((A1011+1)),2)&amp;"."&amp;YEAR((A1011+1))&amp;": "&amp;INDEX('Zgłoszenia'!$H$5:$H$504,MATCH(F1011&amp;"|"&amp;(A1011+1),'Zgłoszenia'!$S$5:$S$504,0)))&amp;IF(K1011&gt;1," (+"&amp;(K1011-1)&amp;")",""))</f>
        <v/>
      </c>
      <c r="M1011" s="63" t="n">
        <v>13</v>
      </c>
      <c r="N1011" s="2" t="n"/>
      <c r="O1011" s="2" t="n"/>
    </row>
    <row r="1012">
      <c r="A1012" s="62">
        <f>IF('13'!$C$1="","",'13'!$C$1)</f>
        <v/>
      </c>
      <c r="B1012" s="63">
        <f>Ustawienia!$A$9&amp;""</f>
        <v/>
      </c>
      <c r="C1012" s="63">
        <f>Ustawienia!$A$15&amp;""</f>
        <v/>
      </c>
      <c r="D1012" s="63" t="n">
        <v>6</v>
      </c>
      <c r="E1012" s="63">
        <f>IF('13'!F18="","",TRIM('13'!F18&amp;""))</f>
        <v/>
      </c>
      <c r="F1012" s="63">
        <f>IF('13'!G18="","",'13'!G18)</f>
        <v/>
      </c>
      <c r="G1012" s="63">
        <f>'13'!H18&amp;""</f>
        <v/>
      </c>
      <c r="H1012" s="63">
        <f>IF(OR(A1012="",F1012=""),"",F1012&amp;"|"&amp;A1012)</f>
        <v/>
      </c>
      <c r="I1012" s="63">
        <f>IF(AND(H1012&lt;&gt;"",OR('Historia wózka'!$B$4="",F1012='Historia wózka'!$B$4),A1012&gt;='Historia wózka'!$B$5,A1012&lt;='Historia wózka'!$B$6),A1012+0.8+(5000-ROW())/10000000,0)</f>
        <v/>
      </c>
      <c r="J1012" s="63">
        <f>Ustawienia!$B$9&amp;""</f>
        <v/>
      </c>
      <c r="K1012" s="63">
        <f>IF(H1012="","",COUNTIFS('Zgłoszenia'!$B$5:$B$504,F1012,'Zgłoszenia'!$D$5:$D$504,"&gt;="&amp;A1012,'Zgłoszenia'!$D$5:$D$504,"&lt;="&amp;(A1012+1)))</f>
        <v/>
      </c>
      <c r="L1012" s="63">
        <f>IF(OR(H1012="",K1012=0),"—",IF(ISNUMBER(MATCH(H1012,'Zgłoszenia'!$S$5:$S$504,0)),RIGHT("0"&amp;DAY(A1012),2)&amp;"."&amp;RIGHT("0"&amp;MONTH(A1012),2)&amp;"."&amp;YEAR(A1012)&amp;": "&amp;INDEX('Zgłoszenia'!$H$5:$H$504,MATCH(H1012,'Zgłoszenia'!$S$5:$S$504,0)),RIGHT("0"&amp;DAY((A1012+1)),2)&amp;"."&amp;RIGHT("0"&amp;MONTH((A1012+1)),2)&amp;"."&amp;YEAR((A1012+1))&amp;": "&amp;INDEX('Zgłoszenia'!$H$5:$H$504,MATCH(F1012&amp;"|"&amp;(A1012+1),'Zgłoszenia'!$S$5:$S$504,0)))&amp;IF(K1012&gt;1," (+"&amp;(K1012-1)&amp;")",""))</f>
        <v/>
      </c>
      <c r="M1012" s="63" t="n">
        <v>13</v>
      </c>
      <c r="N1012" s="2" t="n"/>
      <c r="O1012" s="2" t="n"/>
    </row>
    <row r="1013">
      <c r="A1013" s="62">
        <f>IF('13'!$C$1="","",'13'!$C$1)</f>
        <v/>
      </c>
      <c r="B1013" s="63">
        <f>Ustawienia!$A$9&amp;""</f>
        <v/>
      </c>
      <c r="C1013" s="63">
        <f>Ustawienia!$A$15&amp;""</f>
        <v/>
      </c>
      <c r="D1013" s="63" t="n">
        <v>7</v>
      </c>
      <c r="E1013" s="63">
        <f>IF('13'!F19="","",TRIM('13'!F19&amp;""))</f>
        <v/>
      </c>
      <c r="F1013" s="63">
        <f>IF('13'!G19="","",'13'!G19)</f>
        <v/>
      </c>
      <c r="G1013" s="63">
        <f>'13'!H19&amp;""</f>
        <v/>
      </c>
      <c r="H1013" s="63">
        <f>IF(OR(A1013="",F1013=""),"",F1013&amp;"|"&amp;A1013)</f>
        <v/>
      </c>
      <c r="I1013" s="63">
        <f>IF(AND(H1013&lt;&gt;"",OR('Historia wózka'!$B$4="",F1013='Historia wózka'!$B$4),A1013&gt;='Historia wózka'!$B$5,A1013&lt;='Historia wózka'!$B$6),A1013+0.8+(5000-ROW())/10000000,0)</f>
        <v/>
      </c>
      <c r="J1013" s="63">
        <f>Ustawienia!$B$9&amp;""</f>
        <v/>
      </c>
      <c r="K1013" s="63">
        <f>IF(H1013="","",COUNTIFS('Zgłoszenia'!$B$5:$B$504,F1013,'Zgłoszenia'!$D$5:$D$504,"&gt;="&amp;A1013,'Zgłoszenia'!$D$5:$D$504,"&lt;="&amp;(A1013+1)))</f>
        <v/>
      </c>
      <c r="L1013" s="63">
        <f>IF(OR(H1013="",K1013=0),"—",IF(ISNUMBER(MATCH(H1013,'Zgłoszenia'!$S$5:$S$504,0)),RIGHT("0"&amp;DAY(A1013),2)&amp;"."&amp;RIGHT("0"&amp;MONTH(A1013),2)&amp;"."&amp;YEAR(A1013)&amp;": "&amp;INDEX('Zgłoszenia'!$H$5:$H$504,MATCH(H1013,'Zgłoszenia'!$S$5:$S$504,0)),RIGHT("0"&amp;DAY((A1013+1)),2)&amp;"."&amp;RIGHT("0"&amp;MONTH((A1013+1)),2)&amp;"."&amp;YEAR((A1013+1))&amp;": "&amp;INDEX('Zgłoszenia'!$H$5:$H$504,MATCH(F1013&amp;"|"&amp;(A1013+1),'Zgłoszenia'!$S$5:$S$504,0)))&amp;IF(K1013&gt;1," (+"&amp;(K1013-1)&amp;")",""))</f>
        <v/>
      </c>
      <c r="M1013" s="63" t="n">
        <v>13</v>
      </c>
      <c r="N1013" s="2" t="n"/>
      <c r="O1013" s="2" t="n"/>
    </row>
    <row r="1014">
      <c r="A1014" s="62">
        <f>IF('13'!$C$1="","",'13'!$C$1)</f>
        <v/>
      </c>
      <c r="B1014" s="63">
        <f>Ustawienia!$A$9&amp;""</f>
        <v/>
      </c>
      <c r="C1014" s="63">
        <f>Ustawienia!$A$15&amp;""</f>
        <v/>
      </c>
      <c r="D1014" s="63" t="n">
        <v>8</v>
      </c>
      <c r="E1014" s="63">
        <f>IF('13'!F20="","",TRIM('13'!F20&amp;""))</f>
        <v/>
      </c>
      <c r="F1014" s="63">
        <f>IF('13'!G20="","",'13'!G20)</f>
        <v/>
      </c>
      <c r="G1014" s="63">
        <f>'13'!H20&amp;""</f>
        <v/>
      </c>
      <c r="H1014" s="63">
        <f>IF(OR(A1014="",F1014=""),"",F1014&amp;"|"&amp;A1014)</f>
        <v/>
      </c>
      <c r="I1014" s="63">
        <f>IF(AND(H1014&lt;&gt;"",OR('Historia wózka'!$B$4="",F1014='Historia wózka'!$B$4),A1014&gt;='Historia wózka'!$B$5,A1014&lt;='Historia wózka'!$B$6),A1014+0.8+(5000-ROW())/10000000,0)</f>
        <v/>
      </c>
      <c r="J1014" s="63">
        <f>Ustawienia!$B$9&amp;""</f>
        <v/>
      </c>
      <c r="K1014" s="63">
        <f>IF(H1014="","",COUNTIFS('Zgłoszenia'!$B$5:$B$504,F1014,'Zgłoszenia'!$D$5:$D$504,"&gt;="&amp;A1014,'Zgłoszenia'!$D$5:$D$504,"&lt;="&amp;(A1014+1)))</f>
        <v/>
      </c>
      <c r="L1014" s="63">
        <f>IF(OR(H1014="",K1014=0),"—",IF(ISNUMBER(MATCH(H1014,'Zgłoszenia'!$S$5:$S$504,0)),RIGHT("0"&amp;DAY(A1014),2)&amp;"."&amp;RIGHT("0"&amp;MONTH(A1014),2)&amp;"."&amp;YEAR(A1014)&amp;": "&amp;INDEX('Zgłoszenia'!$H$5:$H$504,MATCH(H1014,'Zgłoszenia'!$S$5:$S$504,0)),RIGHT("0"&amp;DAY((A1014+1)),2)&amp;"."&amp;RIGHT("0"&amp;MONTH((A1014+1)),2)&amp;"."&amp;YEAR((A1014+1))&amp;": "&amp;INDEX('Zgłoszenia'!$H$5:$H$504,MATCH(F1014&amp;"|"&amp;(A1014+1),'Zgłoszenia'!$S$5:$S$504,0)))&amp;IF(K1014&gt;1," (+"&amp;(K1014-1)&amp;")",""))</f>
        <v/>
      </c>
      <c r="M1014" s="63" t="n">
        <v>13</v>
      </c>
      <c r="N1014" s="2" t="n"/>
      <c r="O1014" s="2" t="n"/>
    </row>
    <row r="1015">
      <c r="A1015" s="62">
        <f>IF('13'!$C$1="","",'13'!$C$1)</f>
        <v/>
      </c>
      <c r="B1015" s="63">
        <f>Ustawienia!$A$9&amp;""</f>
        <v/>
      </c>
      <c r="C1015" s="63">
        <f>Ustawienia!$A$16&amp;""</f>
        <v/>
      </c>
      <c r="D1015" s="63" t="n">
        <v>1</v>
      </c>
      <c r="E1015" s="63">
        <f>IF('13'!F22="","",TRIM('13'!F22&amp;""))</f>
        <v/>
      </c>
      <c r="F1015" s="63">
        <f>IF('13'!G22="","",'13'!G22)</f>
        <v/>
      </c>
      <c r="G1015" s="63">
        <f>'13'!H22&amp;""</f>
        <v/>
      </c>
      <c r="H1015" s="63">
        <f>IF(OR(A1015="",F1015=""),"",F1015&amp;"|"&amp;A1015)</f>
        <v/>
      </c>
      <c r="I1015" s="63">
        <f>IF(AND(H1015&lt;&gt;"",OR('Historia wózka'!$B$4="",F1015='Historia wózka'!$B$4),A1015&gt;='Historia wózka'!$B$5,A1015&lt;='Historia wózka'!$B$6),A1015+0.8+(5000-ROW())/10000000,0)</f>
        <v/>
      </c>
      <c r="J1015" s="63">
        <f>Ustawienia!$B$9&amp;""</f>
        <v/>
      </c>
      <c r="K1015" s="63">
        <f>IF(H1015="","",COUNTIFS('Zgłoszenia'!$B$5:$B$504,F1015,'Zgłoszenia'!$D$5:$D$504,"&gt;="&amp;A1015,'Zgłoszenia'!$D$5:$D$504,"&lt;="&amp;(A1015+1)))</f>
        <v/>
      </c>
      <c r="L1015" s="63">
        <f>IF(OR(H1015="",K1015=0),"—",IF(ISNUMBER(MATCH(H1015,'Zgłoszenia'!$S$5:$S$504,0)),RIGHT("0"&amp;DAY(A1015),2)&amp;"."&amp;RIGHT("0"&amp;MONTH(A1015),2)&amp;"."&amp;YEAR(A1015)&amp;": "&amp;INDEX('Zgłoszenia'!$H$5:$H$504,MATCH(H1015,'Zgłoszenia'!$S$5:$S$504,0)),RIGHT("0"&amp;DAY((A1015+1)),2)&amp;"."&amp;RIGHT("0"&amp;MONTH((A1015+1)),2)&amp;"."&amp;YEAR((A1015+1))&amp;": "&amp;INDEX('Zgłoszenia'!$H$5:$H$504,MATCH(F1015&amp;"|"&amp;(A1015+1),'Zgłoszenia'!$S$5:$S$504,0)))&amp;IF(K1015&gt;1," (+"&amp;(K1015-1)&amp;")",""))</f>
        <v/>
      </c>
      <c r="M1015" s="63" t="n">
        <v>13</v>
      </c>
      <c r="N1015" s="2" t="n"/>
      <c r="O1015" s="2" t="n"/>
    </row>
    <row r="1016">
      <c r="A1016" s="62">
        <f>IF('13'!$C$1="","",'13'!$C$1)</f>
        <v/>
      </c>
      <c r="B1016" s="63">
        <f>Ustawienia!$A$9&amp;""</f>
        <v/>
      </c>
      <c r="C1016" s="63">
        <f>Ustawienia!$A$16&amp;""</f>
        <v/>
      </c>
      <c r="D1016" s="63" t="n">
        <v>2</v>
      </c>
      <c r="E1016" s="63">
        <f>IF('13'!F23="","",TRIM('13'!F23&amp;""))</f>
        <v/>
      </c>
      <c r="F1016" s="63">
        <f>IF('13'!G23="","",'13'!G23)</f>
        <v/>
      </c>
      <c r="G1016" s="63">
        <f>'13'!H23&amp;""</f>
        <v/>
      </c>
      <c r="H1016" s="63">
        <f>IF(OR(A1016="",F1016=""),"",F1016&amp;"|"&amp;A1016)</f>
        <v/>
      </c>
      <c r="I1016" s="63">
        <f>IF(AND(H1016&lt;&gt;"",OR('Historia wózka'!$B$4="",F1016='Historia wózka'!$B$4),A1016&gt;='Historia wózka'!$B$5,A1016&lt;='Historia wózka'!$B$6),A1016+0.8+(5000-ROW())/10000000,0)</f>
        <v/>
      </c>
      <c r="J1016" s="63">
        <f>Ustawienia!$B$9&amp;""</f>
        <v/>
      </c>
      <c r="K1016" s="63">
        <f>IF(H1016="","",COUNTIFS('Zgłoszenia'!$B$5:$B$504,F1016,'Zgłoszenia'!$D$5:$D$504,"&gt;="&amp;A1016,'Zgłoszenia'!$D$5:$D$504,"&lt;="&amp;(A1016+1)))</f>
        <v/>
      </c>
      <c r="L1016" s="63">
        <f>IF(OR(H1016="",K1016=0),"—",IF(ISNUMBER(MATCH(H1016,'Zgłoszenia'!$S$5:$S$504,0)),RIGHT("0"&amp;DAY(A1016),2)&amp;"."&amp;RIGHT("0"&amp;MONTH(A1016),2)&amp;"."&amp;YEAR(A1016)&amp;": "&amp;INDEX('Zgłoszenia'!$H$5:$H$504,MATCH(H1016,'Zgłoszenia'!$S$5:$S$504,0)),RIGHT("0"&amp;DAY((A1016+1)),2)&amp;"."&amp;RIGHT("0"&amp;MONTH((A1016+1)),2)&amp;"."&amp;YEAR((A1016+1))&amp;": "&amp;INDEX('Zgłoszenia'!$H$5:$H$504,MATCH(F1016&amp;"|"&amp;(A1016+1),'Zgłoszenia'!$S$5:$S$504,0)))&amp;IF(K1016&gt;1," (+"&amp;(K1016-1)&amp;")",""))</f>
        <v/>
      </c>
      <c r="M1016" s="63" t="n">
        <v>13</v>
      </c>
      <c r="N1016" s="2" t="n"/>
      <c r="O1016" s="2" t="n"/>
    </row>
    <row r="1017">
      <c r="A1017" s="62">
        <f>IF('13'!$C$1="","",'13'!$C$1)</f>
        <v/>
      </c>
      <c r="B1017" s="63">
        <f>Ustawienia!$A$9&amp;""</f>
        <v/>
      </c>
      <c r="C1017" s="63">
        <f>Ustawienia!$A$16&amp;""</f>
        <v/>
      </c>
      <c r="D1017" s="63" t="n">
        <v>3</v>
      </c>
      <c r="E1017" s="63">
        <f>IF('13'!F24="","",TRIM('13'!F24&amp;""))</f>
        <v/>
      </c>
      <c r="F1017" s="63">
        <f>IF('13'!G24="","",'13'!G24)</f>
        <v/>
      </c>
      <c r="G1017" s="63">
        <f>'13'!H24&amp;""</f>
        <v/>
      </c>
      <c r="H1017" s="63">
        <f>IF(OR(A1017="",F1017=""),"",F1017&amp;"|"&amp;A1017)</f>
        <v/>
      </c>
      <c r="I1017" s="63">
        <f>IF(AND(H1017&lt;&gt;"",OR('Historia wózka'!$B$4="",F1017='Historia wózka'!$B$4),A1017&gt;='Historia wózka'!$B$5,A1017&lt;='Historia wózka'!$B$6),A1017+0.8+(5000-ROW())/10000000,0)</f>
        <v/>
      </c>
      <c r="J1017" s="63">
        <f>Ustawienia!$B$9&amp;""</f>
        <v/>
      </c>
      <c r="K1017" s="63">
        <f>IF(H1017="","",COUNTIFS('Zgłoszenia'!$B$5:$B$504,F1017,'Zgłoszenia'!$D$5:$D$504,"&gt;="&amp;A1017,'Zgłoszenia'!$D$5:$D$504,"&lt;="&amp;(A1017+1)))</f>
        <v/>
      </c>
      <c r="L1017" s="63">
        <f>IF(OR(H1017="",K1017=0),"—",IF(ISNUMBER(MATCH(H1017,'Zgłoszenia'!$S$5:$S$504,0)),RIGHT("0"&amp;DAY(A1017),2)&amp;"."&amp;RIGHT("0"&amp;MONTH(A1017),2)&amp;"."&amp;YEAR(A1017)&amp;": "&amp;INDEX('Zgłoszenia'!$H$5:$H$504,MATCH(H1017,'Zgłoszenia'!$S$5:$S$504,0)),RIGHT("0"&amp;DAY((A1017+1)),2)&amp;"."&amp;RIGHT("0"&amp;MONTH((A1017+1)),2)&amp;"."&amp;YEAR((A1017+1))&amp;": "&amp;INDEX('Zgłoszenia'!$H$5:$H$504,MATCH(F1017&amp;"|"&amp;(A1017+1),'Zgłoszenia'!$S$5:$S$504,0)))&amp;IF(K1017&gt;1," (+"&amp;(K1017-1)&amp;")",""))</f>
        <v/>
      </c>
      <c r="M1017" s="63" t="n">
        <v>13</v>
      </c>
      <c r="N1017" s="2" t="n"/>
      <c r="O1017" s="2" t="n"/>
    </row>
    <row r="1018">
      <c r="A1018" s="62">
        <f>IF('13'!$C$1="","",'13'!$C$1)</f>
        <v/>
      </c>
      <c r="B1018" s="63">
        <f>Ustawienia!$A$9&amp;""</f>
        <v/>
      </c>
      <c r="C1018" s="63">
        <f>Ustawienia!$A$16&amp;""</f>
        <v/>
      </c>
      <c r="D1018" s="63" t="n">
        <v>4</v>
      </c>
      <c r="E1018" s="63">
        <f>IF('13'!F25="","",TRIM('13'!F25&amp;""))</f>
        <v/>
      </c>
      <c r="F1018" s="63">
        <f>IF('13'!G25="","",'13'!G25)</f>
        <v/>
      </c>
      <c r="G1018" s="63">
        <f>'13'!H25&amp;""</f>
        <v/>
      </c>
      <c r="H1018" s="63">
        <f>IF(OR(A1018="",F1018=""),"",F1018&amp;"|"&amp;A1018)</f>
        <v/>
      </c>
      <c r="I1018" s="63">
        <f>IF(AND(H1018&lt;&gt;"",OR('Historia wózka'!$B$4="",F1018='Historia wózka'!$B$4),A1018&gt;='Historia wózka'!$B$5,A1018&lt;='Historia wózka'!$B$6),A1018+0.8+(5000-ROW())/10000000,0)</f>
        <v/>
      </c>
      <c r="J1018" s="63">
        <f>Ustawienia!$B$9&amp;""</f>
        <v/>
      </c>
      <c r="K1018" s="63">
        <f>IF(H1018="","",COUNTIFS('Zgłoszenia'!$B$5:$B$504,F1018,'Zgłoszenia'!$D$5:$D$504,"&gt;="&amp;A1018,'Zgłoszenia'!$D$5:$D$504,"&lt;="&amp;(A1018+1)))</f>
        <v/>
      </c>
      <c r="L1018" s="63">
        <f>IF(OR(H1018="",K1018=0),"—",IF(ISNUMBER(MATCH(H1018,'Zgłoszenia'!$S$5:$S$504,0)),RIGHT("0"&amp;DAY(A1018),2)&amp;"."&amp;RIGHT("0"&amp;MONTH(A1018),2)&amp;"."&amp;YEAR(A1018)&amp;": "&amp;INDEX('Zgłoszenia'!$H$5:$H$504,MATCH(H1018,'Zgłoszenia'!$S$5:$S$504,0)),RIGHT("0"&amp;DAY((A1018+1)),2)&amp;"."&amp;RIGHT("0"&amp;MONTH((A1018+1)),2)&amp;"."&amp;YEAR((A1018+1))&amp;": "&amp;INDEX('Zgłoszenia'!$H$5:$H$504,MATCH(F1018&amp;"|"&amp;(A1018+1),'Zgłoszenia'!$S$5:$S$504,0)))&amp;IF(K1018&gt;1," (+"&amp;(K1018-1)&amp;")",""))</f>
        <v/>
      </c>
      <c r="M1018" s="63" t="n">
        <v>13</v>
      </c>
      <c r="N1018" s="2" t="n"/>
      <c r="O1018" s="2" t="n"/>
    </row>
    <row r="1019">
      <c r="A1019" s="62">
        <f>IF('13'!$C$1="","",'13'!$C$1)</f>
        <v/>
      </c>
      <c r="B1019" s="63">
        <f>Ustawienia!$A$9&amp;""</f>
        <v/>
      </c>
      <c r="C1019" s="63">
        <f>Ustawienia!$A$17&amp;""</f>
        <v/>
      </c>
      <c r="D1019" s="63" t="n">
        <v>1</v>
      </c>
      <c r="E1019" s="63">
        <f>IF('13'!F27="","",TRIM('13'!F27&amp;""))</f>
        <v/>
      </c>
      <c r="F1019" s="63">
        <f>IF('13'!G27="","",'13'!G27)</f>
        <v/>
      </c>
      <c r="G1019" s="63">
        <f>'13'!H27&amp;""</f>
        <v/>
      </c>
      <c r="H1019" s="63">
        <f>IF(OR(A1019="",F1019=""),"",F1019&amp;"|"&amp;A1019)</f>
        <v/>
      </c>
      <c r="I1019" s="63">
        <f>IF(AND(H1019&lt;&gt;"",OR('Historia wózka'!$B$4="",F1019='Historia wózka'!$B$4),A1019&gt;='Historia wózka'!$B$5,A1019&lt;='Historia wózka'!$B$6),A1019+0.8+(5000-ROW())/10000000,0)</f>
        <v/>
      </c>
      <c r="J1019" s="63">
        <f>Ustawienia!$B$9&amp;""</f>
        <v/>
      </c>
      <c r="K1019" s="63">
        <f>IF(H1019="","",COUNTIFS('Zgłoszenia'!$B$5:$B$504,F1019,'Zgłoszenia'!$D$5:$D$504,"&gt;="&amp;A1019,'Zgłoszenia'!$D$5:$D$504,"&lt;="&amp;(A1019+1)))</f>
        <v/>
      </c>
      <c r="L1019" s="63">
        <f>IF(OR(H1019="",K1019=0),"—",IF(ISNUMBER(MATCH(H1019,'Zgłoszenia'!$S$5:$S$504,0)),RIGHT("0"&amp;DAY(A1019),2)&amp;"."&amp;RIGHT("0"&amp;MONTH(A1019),2)&amp;"."&amp;YEAR(A1019)&amp;": "&amp;INDEX('Zgłoszenia'!$H$5:$H$504,MATCH(H1019,'Zgłoszenia'!$S$5:$S$504,0)),RIGHT("0"&amp;DAY((A1019+1)),2)&amp;"."&amp;RIGHT("0"&amp;MONTH((A1019+1)),2)&amp;"."&amp;YEAR((A1019+1))&amp;": "&amp;INDEX('Zgłoszenia'!$H$5:$H$504,MATCH(F1019&amp;"|"&amp;(A1019+1),'Zgłoszenia'!$S$5:$S$504,0)))&amp;IF(K1019&gt;1," (+"&amp;(K1019-1)&amp;")",""))</f>
        <v/>
      </c>
      <c r="M1019" s="63" t="n">
        <v>13</v>
      </c>
      <c r="N1019" s="2" t="n"/>
      <c r="O1019" s="2" t="n"/>
    </row>
    <row r="1020">
      <c r="A1020" s="62">
        <f>IF('13'!$C$1="","",'13'!$C$1)</f>
        <v/>
      </c>
      <c r="B1020" s="63">
        <f>Ustawienia!$A$9&amp;""</f>
        <v/>
      </c>
      <c r="C1020" s="63">
        <f>Ustawienia!$A$17&amp;""</f>
        <v/>
      </c>
      <c r="D1020" s="63" t="n">
        <v>2</v>
      </c>
      <c r="E1020" s="63">
        <f>IF('13'!F28="","",TRIM('13'!F28&amp;""))</f>
        <v/>
      </c>
      <c r="F1020" s="63">
        <f>IF('13'!G28="","",'13'!G28)</f>
        <v/>
      </c>
      <c r="G1020" s="63">
        <f>'13'!H28&amp;""</f>
        <v/>
      </c>
      <c r="H1020" s="63">
        <f>IF(OR(A1020="",F1020=""),"",F1020&amp;"|"&amp;A1020)</f>
        <v/>
      </c>
      <c r="I1020" s="63">
        <f>IF(AND(H1020&lt;&gt;"",OR('Historia wózka'!$B$4="",F1020='Historia wózka'!$B$4),A1020&gt;='Historia wózka'!$B$5,A1020&lt;='Historia wózka'!$B$6),A1020+0.8+(5000-ROW())/10000000,0)</f>
        <v/>
      </c>
      <c r="J1020" s="63">
        <f>Ustawienia!$B$9&amp;""</f>
        <v/>
      </c>
      <c r="K1020" s="63">
        <f>IF(H1020="","",COUNTIFS('Zgłoszenia'!$B$5:$B$504,F1020,'Zgłoszenia'!$D$5:$D$504,"&gt;="&amp;A1020,'Zgłoszenia'!$D$5:$D$504,"&lt;="&amp;(A1020+1)))</f>
        <v/>
      </c>
      <c r="L1020" s="63">
        <f>IF(OR(H1020="",K1020=0),"—",IF(ISNUMBER(MATCH(H1020,'Zgłoszenia'!$S$5:$S$504,0)),RIGHT("0"&amp;DAY(A1020),2)&amp;"."&amp;RIGHT("0"&amp;MONTH(A1020),2)&amp;"."&amp;YEAR(A1020)&amp;": "&amp;INDEX('Zgłoszenia'!$H$5:$H$504,MATCH(H1020,'Zgłoszenia'!$S$5:$S$504,0)),RIGHT("0"&amp;DAY((A1020+1)),2)&amp;"."&amp;RIGHT("0"&amp;MONTH((A1020+1)),2)&amp;"."&amp;YEAR((A1020+1))&amp;": "&amp;INDEX('Zgłoszenia'!$H$5:$H$504,MATCH(F1020&amp;"|"&amp;(A1020+1),'Zgłoszenia'!$S$5:$S$504,0)))&amp;IF(K1020&gt;1," (+"&amp;(K1020-1)&amp;")",""))</f>
        <v/>
      </c>
      <c r="M1020" s="63" t="n">
        <v>13</v>
      </c>
      <c r="N1020" s="2" t="n"/>
      <c r="O1020" s="2" t="n"/>
    </row>
    <row r="1021">
      <c r="A1021" s="62">
        <f>IF('13'!$C$1="","",'13'!$C$1)</f>
        <v/>
      </c>
      <c r="B1021" s="63">
        <f>Ustawienia!$A$9&amp;""</f>
        <v/>
      </c>
      <c r="C1021" s="63">
        <f>Ustawienia!$A$17&amp;""</f>
        <v/>
      </c>
      <c r="D1021" s="63" t="n">
        <v>3</v>
      </c>
      <c r="E1021" s="63">
        <f>IF('13'!F29="","",TRIM('13'!F29&amp;""))</f>
        <v/>
      </c>
      <c r="F1021" s="63">
        <f>IF('13'!G29="","",'13'!G29)</f>
        <v/>
      </c>
      <c r="G1021" s="63">
        <f>'13'!H29&amp;""</f>
        <v/>
      </c>
      <c r="H1021" s="63">
        <f>IF(OR(A1021="",F1021=""),"",F1021&amp;"|"&amp;A1021)</f>
        <v/>
      </c>
      <c r="I1021" s="63">
        <f>IF(AND(H1021&lt;&gt;"",OR('Historia wózka'!$B$4="",F1021='Historia wózka'!$B$4),A1021&gt;='Historia wózka'!$B$5,A1021&lt;='Historia wózka'!$B$6),A1021+0.8+(5000-ROW())/10000000,0)</f>
        <v/>
      </c>
      <c r="J1021" s="63">
        <f>Ustawienia!$B$9&amp;""</f>
        <v/>
      </c>
      <c r="K1021" s="63">
        <f>IF(H1021="","",COUNTIFS('Zgłoszenia'!$B$5:$B$504,F1021,'Zgłoszenia'!$D$5:$D$504,"&gt;="&amp;A1021,'Zgłoszenia'!$D$5:$D$504,"&lt;="&amp;(A1021+1)))</f>
        <v/>
      </c>
      <c r="L1021" s="63">
        <f>IF(OR(H1021="",K1021=0),"—",IF(ISNUMBER(MATCH(H1021,'Zgłoszenia'!$S$5:$S$504,0)),RIGHT("0"&amp;DAY(A1021),2)&amp;"."&amp;RIGHT("0"&amp;MONTH(A1021),2)&amp;"."&amp;YEAR(A1021)&amp;": "&amp;INDEX('Zgłoszenia'!$H$5:$H$504,MATCH(H1021,'Zgłoszenia'!$S$5:$S$504,0)),RIGHT("0"&amp;DAY((A1021+1)),2)&amp;"."&amp;RIGHT("0"&amp;MONTH((A1021+1)),2)&amp;"."&amp;YEAR((A1021+1))&amp;": "&amp;INDEX('Zgłoszenia'!$H$5:$H$504,MATCH(F1021&amp;"|"&amp;(A1021+1),'Zgłoszenia'!$S$5:$S$504,0)))&amp;IF(K1021&gt;1," (+"&amp;(K1021-1)&amp;")",""))</f>
        <v/>
      </c>
      <c r="M1021" s="63" t="n">
        <v>13</v>
      </c>
      <c r="N1021" s="2" t="n"/>
      <c r="O1021" s="2" t="n"/>
    </row>
    <row r="1022">
      <c r="A1022" s="62">
        <f>IF('13'!$C$1="","",'13'!$C$1)</f>
        <v/>
      </c>
      <c r="B1022" s="63">
        <f>Ustawienia!$A$9&amp;""</f>
        <v/>
      </c>
      <c r="C1022" s="63">
        <f>Ustawienia!$A$17&amp;""</f>
        <v/>
      </c>
      <c r="D1022" s="63" t="n">
        <v>4</v>
      </c>
      <c r="E1022" s="63">
        <f>IF('13'!F30="","",TRIM('13'!F30&amp;""))</f>
        <v/>
      </c>
      <c r="F1022" s="63">
        <f>IF('13'!G30="","",'13'!G30)</f>
        <v/>
      </c>
      <c r="G1022" s="63">
        <f>'13'!H30&amp;""</f>
        <v/>
      </c>
      <c r="H1022" s="63">
        <f>IF(OR(A1022="",F1022=""),"",F1022&amp;"|"&amp;A1022)</f>
        <v/>
      </c>
      <c r="I1022" s="63">
        <f>IF(AND(H1022&lt;&gt;"",OR('Historia wózka'!$B$4="",F1022='Historia wózka'!$B$4),A1022&gt;='Historia wózka'!$B$5,A1022&lt;='Historia wózka'!$B$6),A1022+0.8+(5000-ROW())/10000000,0)</f>
        <v/>
      </c>
      <c r="J1022" s="63">
        <f>Ustawienia!$B$9&amp;""</f>
        <v/>
      </c>
      <c r="K1022" s="63">
        <f>IF(H1022="","",COUNTIFS('Zgłoszenia'!$B$5:$B$504,F1022,'Zgłoszenia'!$D$5:$D$504,"&gt;="&amp;A1022,'Zgłoszenia'!$D$5:$D$504,"&lt;="&amp;(A1022+1)))</f>
        <v/>
      </c>
      <c r="L1022" s="63">
        <f>IF(OR(H1022="",K1022=0),"—",IF(ISNUMBER(MATCH(H1022,'Zgłoszenia'!$S$5:$S$504,0)),RIGHT("0"&amp;DAY(A1022),2)&amp;"."&amp;RIGHT("0"&amp;MONTH(A1022),2)&amp;"."&amp;YEAR(A1022)&amp;": "&amp;INDEX('Zgłoszenia'!$H$5:$H$504,MATCH(H1022,'Zgłoszenia'!$S$5:$S$504,0)),RIGHT("0"&amp;DAY((A1022+1)),2)&amp;"."&amp;RIGHT("0"&amp;MONTH((A1022+1)),2)&amp;"."&amp;YEAR((A1022+1))&amp;": "&amp;INDEX('Zgłoszenia'!$H$5:$H$504,MATCH(F1022&amp;"|"&amp;(A1022+1),'Zgłoszenia'!$S$5:$S$504,0)))&amp;IF(K1022&gt;1," (+"&amp;(K1022-1)&amp;")",""))</f>
        <v/>
      </c>
      <c r="M1022" s="63" t="n">
        <v>13</v>
      </c>
      <c r="N1022" s="2" t="n"/>
      <c r="O1022" s="2" t="n"/>
    </row>
    <row r="1023">
      <c r="A1023" s="62">
        <f>IF('13'!$C$1="","",'13'!$C$1)</f>
        <v/>
      </c>
      <c r="B1023" s="63">
        <f>Ustawienia!$A$9&amp;""</f>
        <v/>
      </c>
      <c r="C1023" s="63">
        <f>Ustawienia!$A$18&amp;""</f>
        <v/>
      </c>
      <c r="D1023" s="63" t="n">
        <v>1</v>
      </c>
      <c r="E1023" s="63">
        <f>IF('13'!F32="","",TRIM('13'!F32&amp;""))</f>
        <v/>
      </c>
      <c r="F1023" s="63">
        <f>IF('13'!G32="","",'13'!G32)</f>
        <v/>
      </c>
      <c r="G1023" s="63">
        <f>'13'!H32&amp;""</f>
        <v/>
      </c>
      <c r="H1023" s="63">
        <f>IF(OR(A1023="",F1023=""),"",F1023&amp;"|"&amp;A1023)</f>
        <v/>
      </c>
      <c r="I1023" s="63">
        <f>IF(AND(H1023&lt;&gt;"",OR('Historia wózka'!$B$4="",F1023='Historia wózka'!$B$4),A1023&gt;='Historia wózka'!$B$5,A1023&lt;='Historia wózka'!$B$6),A1023+0.8+(5000-ROW())/10000000,0)</f>
        <v/>
      </c>
      <c r="J1023" s="63">
        <f>Ustawienia!$B$9&amp;""</f>
        <v/>
      </c>
      <c r="K1023" s="63">
        <f>IF(H1023="","",COUNTIFS('Zgłoszenia'!$B$5:$B$504,F1023,'Zgłoszenia'!$D$5:$D$504,"&gt;="&amp;A1023,'Zgłoszenia'!$D$5:$D$504,"&lt;="&amp;(A1023+1)))</f>
        <v/>
      </c>
      <c r="L1023" s="63">
        <f>IF(OR(H1023="",K1023=0),"—",IF(ISNUMBER(MATCH(H1023,'Zgłoszenia'!$S$5:$S$504,0)),RIGHT("0"&amp;DAY(A1023),2)&amp;"."&amp;RIGHT("0"&amp;MONTH(A1023),2)&amp;"."&amp;YEAR(A1023)&amp;": "&amp;INDEX('Zgłoszenia'!$H$5:$H$504,MATCH(H1023,'Zgłoszenia'!$S$5:$S$504,0)),RIGHT("0"&amp;DAY((A1023+1)),2)&amp;"."&amp;RIGHT("0"&amp;MONTH((A1023+1)),2)&amp;"."&amp;YEAR((A1023+1))&amp;": "&amp;INDEX('Zgłoszenia'!$H$5:$H$504,MATCH(F1023&amp;"|"&amp;(A1023+1),'Zgłoszenia'!$S$5:$S$504,0)))&amp;IF(K1023&gt;1," (+"&amp;(K1023-1)&amp;")",""))</f>
        <v/>
      </c>
      <c r="M1023" s="63" t="n">
        <v>13</v>
      </c>
      <c r="N1023" s="2" t="n"/>
      <c r="O1023" s="2" t="n"/>
    </row>
    <row r="1024">
      <c r="A1024" s="62">
        <f>IF('13'!$C$1="","",'13'!$C$1)</f>
        <v/>
      </c>
      <c r="B1024" s="63">
        <f>Ustawienia!$A$9&amp;""</f>
        <v/>
      </c>
      <c r="C1024" s="63">
        <f>Ustawienia!$A$18&amp;""</f>
        <v/>
      </c>
      <c r="D1024" s="63" t="n">
        <v>2</v>
      </c>
      <c r="E1024" s="63">
        <f>IF('13'!F33="","",TRIM('13'!F33&amp;""))</f>
        <v/>
      </c>
      <c r="F1024" s="63">
        <f>IF('13'!G33="","",'13'!G33)</f>
        <v/>
      </c>
      <c r="G1024" s="63">
        <f>'13'!H33&amp;""</f>
        <v/>
      </c>
      <c r="H1024" s="63">
        <f>IF(OR(A1024="",F1024=""),"",F1024&amp;"|"&amp;A1024)</f>
        <v/>
      </c>
      <c r="I1024" s="63">
        <f>IF(AND(H1024&lt;&gt;"",OR('Historia wózka'!$B$4="",F1024='Historia wózka'!$B$4),A1024&gt;='Historia wózka'!$B$5,A1024&lt;='Historia wózka'!$B$6),A1024+0.8+(5000-ROW())/10000000,0)</f>
        <v/>
      </c>
      <c r="J1024" s="63">
        <f>Ustawienia!$B$9&amp;""</f>
        <v/>
      </c>
      <c r="K1024" s="63">
        <f>IF(H1024="","",COUNTIFS('Zgłoszenia'!$B$5:$B$504,F1024,'Zgłoszenia'!$D$5:$D$504,"&gt;="&amp;A1024,'Zgłoszenia'!$D$5:$D$504,"&lt;="&amp;(A1024+1)))</f>
        <v/>
      </c>
      <c r="L1024" s="63">
        <f>IF(OR(H1024="",K1024=0),"—",IF(ISNUMBER(MATCH(H1024,'Zgłoszenia'!$S$5:$S$504,0)),RIGHT("0"&amp;DAY(A1024),2)&amp;"."&amp;RIGHT("0"&amp;MONTH(A1024),2)&amp;"."&amp;YEAR(A1024)&amp;": "&amp;INDEX('Zgłoszenia'!$H$5:$H$504,MATCH(H1024,'Zgłoszenia'!$S$5:$S$504,0)),RIGHT("0"&amp;DAY((A1024+1)),2)&amp;"."&amp;RIGHT("0"&amp;MONTH((A1024+1)),2)&amp;"."&amp;YEAR((A1024+1))&amp;": "&amp;INDEX('Zgłoszenia'!$H$5:$H$504,MATCH(F1024&amp;"|"&amp;(A1024+1),'Zgłoszenia'!$S$5:$S$504,0)))&amp;IF(K1024&gt;1," (+"&amp;(K1024-1)&amp;")",""))</f>
        <v/>
      </c>
      <c r="M1024" s="63" t="n">
        <v>13</v>
      </c>
      <c r="N1024" s="2" t="n"/>
      <c r="O1024" s="2" t="n"/>
    </row>
    <row r="1025">
      <c r="A1025" s="62">
        <f>IF('13'!$C$1="","",'13'!$C$1)</f>
        <v/>
      </c>
      <c r="B1025" s="63">
        <f>Ustawienia!$A$9&amp;""</f>
        <v/>
      </c>
      <c r="C1025" s="63">
        <f>Ustawienia!$A$18&amp;""</f>
        <v/>
      </c>
      <c r="D1025" s="63" t="n">
        <v>3</v>
      </c>
      <c r="E1025" s="63">
        <f>IF('13'!F34="","",TRIM('13'!F34&amp;""))</f>
        <v/>
      </c>
      <c r="F1025" s="63">
        <f>IF('13'!G34="","",'13'!G34)</f>
        <v/>
      </c>
      <c r="G1025" s="63">
        <f>'13'!H34&amp;""</f>
        <v/>
      </c>
      <c r="H1025" s="63">
        <f>IF(OR(A1025="",F1025=""),"",F1025&amp;"|"&amp;A1025)</f>
        <v/>
      </c>
      <c r="I1025" s="63">
        <f>IF(AND(H1025&lt;&gt;"",OR('Historia wózka'!$B$4="",F1025='Historia wózka'!$B$4),A1025&gt;='Historia wózka'!$B$5,A1025&lt;='Historia wózka'!$B$6),A1025+0.8+(5000-ROW())/10000000,0)</f>
        <v/>
      </c>
      <c r="J1025" s="63">
        <f>Ustawienia!$B$9&amp;""</f>
        <v/>
      </c>
      <c r="K1025" s="63">
        <f>IF(H1025="","",COUNTIFS('Zgłoszenia'!$B$5:$B$504,F1025,'Zgłoszenia'!$D$5:$D$504,"&gt;="&amp;A1025,'Zgłoszenia'!$D$5:$D$504,"&lt;="&amp;(A1025+1)))</f>
        <v/>
      </c>
      <c r="L1025" s="63">
        <f>IF(OR(H1025="",K1025=0),"—",IF(ISNUMBER(MATCH(H1025,'Zgłoszenia'!$S$5:$S$504,0)),RIGHT("0"&amp;DAY(A1025),2)&amp;"."&amp;RIGHT("0"&amp;MONTH(A1025),2)&amp;"."&amp;YEAR(A1025)&amp;": "&amp;INDEX('Zgłoszenia'!$H$5:$H$504,MATCH(H1025,'Zgłoszenia'!$S$5:$S$504,0)),RIGHT("0"&amp;DAY((A1025+1)),2)&amp;"."&amp;RIGHT("0"&amp;MONTH((A1025+1)),2)&amp;"."&amp;YEAR((A1025+1))&amp;": "&amp;INDEX('Zgłoszenia'!$H$5:$H$504,MATCH(F1025&amp;"|"&amp;(A1025+1),'Zgłoszenia'!$S$5:$S$504,0)))&amp;IF(K1025&gt;1," (+"&amp;(K1025-1)&amp;")",""))</f>
        <v/>
      </c>
      <c r="M1025" s="63" t="n">
        <v>13</v>
      </c>
      <c r="N1025" s="2" t="n"/>
      <c r="O1025" s="2" t="n"/>
    </row>
    <row r="1026">
      <c r="A1026" s="62">
        <f>IF('13'!$C$1="","",'13'!$C$1)</f>
        <v/>
      </c>
      <c r="B1026" s="63">
        <f>Ustawienia!$A$9&amp;""</f>
        <v/>
      </c>
      <c r="C1026" s="63">
        <f>Ustawienia!$A$18&amp;""</f>
        <v/>
      </c>
      <c r="D1026" s="63" t="n">
        <v>4</v>
      </c>
      <c r="E1026" s="63">
        <f>IF('13'!F35="","",TRIM('13'!F35&amp;""))</f>
        <v/>
      </c>
      <c r="F1026" s="63">
        <f>IF('13'!G35="","",'13'!G35)</f>
        <v/>
      </c>
      <c r="G1026" s="63">
        <f>'13'!H35&amp;""</f>
        <v/>
      </c>
      <c r="H1026" s="63">
        <f>IF(OR(A1026="",F1026=""),"",F1026&amp;"|"&amp;A1026)</f>
        <v/>
      </c>
      <c r="I1026" s="63">
        <f>IF(AND(H1026&lt;&gt;"",OR('Historia wózka'!$B$4="",F1026='Historia wózka'!$B$4),A1026&gt;='Historia wózka'!$B$5,A1026&lt;='Historia wózka'!$B$6),A1026+0.8+(5000-ROW())/10000000,0)</f>
        <v/>
      </c>
      <c r="J1026" s="63">
        <f>Ustawienia!$B$9&amp;""</f>
        <v/>
      </c>
      <c r="K1026" s="63">
        <f>IF(H1026="","",COUNTIFS('Zgłoszenia'!$B$5:$B$504,F1026,'Zgłoszenia'!$D$5:$D$504,"&gt;="&amp;A1026,'Zgłoszenia'!$D$5:$D$504,"&lt;="&amp;(A1026+1)))</f>
        <v/>
      </c>
      <c r="L1026" s="63">
        <f>IF(OR(H1026="",K1026=0),"—",IF(ISNUMBER(MATCH(H1026,'Zgłoszenia'!$S$5:$S$504,0)),RIGHT("0"&amp;DAY(A1026),2)&amp;"."&amp;RIGHT("0"&amp;MONTH(A1026),2)&amp;"."&amp;YEAR(A1026)&amp;": "&amp;INDEX('Zgłoszenia'!$H$5:$H$504,MATCH(H1026,'Zgłoszenia'!$S$5:$S$504,0)),RIGHT("0"&amp;DAY((A1026+1)),2)&amp;"."&amp;RIGHT("0"&amp;MONTH((A1026+1)),2)&amp;"."&amp;YEAR((A1026+1))&amp;": "&amp;INDEX('Zgłoszenia'!$H$5:$H$504,MATCH(F1026&amp;"|"&amp;(A1026+1),'Zgłoszenia'!$S$5:$S$504,0)))&amp;IF(K1026&gt;1," (+"&amp;(K1026-1)&amp;")",""))</f>
        <v/>
      </c>
      <c r="M1026" s="63" t="n">
        <v>13</v>
      </c>
      <c r="N1026" s="2" t="n"/>
      <c r="O1026" s="2" t="n"/>
    </row>
    <row r="1027">
      <c r="A1027" s="62">
        <f>IF('13'!$C$1="","",'13'!$C$1)</f>
        <v/>
      </c>
      <c r="B1027" s="63">
        <f>Ustawienia!$A$9&amp;""</f>
        <v/>
      </c>
      <c r="C1027" s="63">
        <f>Ustawienia!$A$18&amp;""</f>
        <v/>
      </c>
      <c r="D1027" s="63" t="n">
        <v>5</v>
      </c>
      <c r="E1027" s="63">
        <f>IF('13'!F36="","",TRIM('13'!F36&amp;""))</f>
        <v/>
      </c>
      <c r="F1027" s="63">
        <f>IF('13'!G36="","",'13'!G36)</f>
        <v/>
      </c>
      <c r="G1027" s="63">
        <f>'13'!H36&amp;""</f>
        <v/>
      </c>
      <c r="H1027" s="63">
        <f>IF(OR(A1027="",F1027=""),"",F1027&amp;"|"&amp;A1027)</f>
        <v/>
      </c>
      <c r="I1027" s="63">
        <f>IF(AND(H1027&lt;&gt;"",OR('Historia wózka'!$B$4="",F1027='Historia wózka'!$B$4),A1027&gt;='Historia wózka'!$B$5,A1027&lt;='Historia wózka'!$B$6),A1027+0.8+(5000-ROW())/10000000,0)</f>
        <v/>
      </c>
      <c r="J1027" s="63">
        <f>Ustawienia!$B$9&amp;""</f>
        <v/>
      </c>
      <c r="K1027" s="63">
        <f>IF(H1027="","",COUNTIFS('Zgłoszenia'!$B$5:$B$504,F1027,'Zgłoszenia'!$D$5:$D$504,"&gt;="&amp;A1027,'Zgłoszenia'!$D$5:$D$504,"&lt;="&amp;(A1027+1)))</f>
        <v/>
      </c>
      <c r="L1027" s="63">
        <f>IF(OR(H1027="",K1027=0),"—",IF(ISNUMBER(MATCH(H1027,'Zgłoszenia'!$S$5:$S$504,0)),RIGHT("0"&amp;DAY(A1027),2)&amp;"."&amp;RIGHT("0"&amp;MONTH(A1027),2)&amp;"."&amp;YEAR(A1027)&amp;": "&amp;INDEX('Zgłoszenia'!$H$5:$H$504,MATCH(H1027,'Zgłoszenia'!$S$5:$S$504,0)),RIGHT("0"&amp;DAY((A1027+1)),2)&amp;"."&amp;RIGHT("0"&amp;MONTH((A1027+1)),2)&amp;"."&amp;YEAR((A1027+1))&amp;": "&amp;INDEX('Zgłoszenia'!$H$5:$H$504,MATCH(F1027&amp;"|"&amp;(A1027+1),'Zgłoszenia'!$S$5:$S$504,0)))&amp;IF(K1027&gt;1," (+"&amp;(K1027-1)&amp;")",""))</f>
        <v/>
      </c>
      <c r="M1027" s="63" t="n">
        <v>13</v>
      </c>
      <c r="N1027" s="2" t="n"/>
      <c r="O1027" s="2" t="n"/>
    </row>
    <row r="1028">
      <c r="A1028" s="62">
        <f>IF('13'!$C$1="","",'13'!$C$1)</f>
        <v/>
      </c>
      <c r="B1028" s="63">
        <f>Ustawienia!$A$10&amp;""</f>
        <v/>
      </c>
      <c r="C1028" s="63">
        <f>Ustawienia!$A$14&amp;""</f>
        <v/>
      </c>
      <c r="D1028" s="63" t="n">
        <v>1</v>
      </c>
      <c r="E1028" s="63">
        <f>IF('13'!J6="","",TRIM('13'!J6&amp;""))</f>
        <v/>
      </c>
      <c r="F1028" s="63">
        <f>IF('13'!K6="","",'13'!K6)</f>
        <v/>
      </c>
      <c r="G1028" s="63">
        <f>'13'!L6&amp;""</f>
        <v/>
      </c>
      <c r="H1028" s="63">
        <f>IF(OR(A1028="",F1028=""),"",F1028&amp;"|"&amp;A1028)</f>
        <v/>
      </c>
      <c r="I1028" s="63">
        <f>IF(AND(H1028&lt;&gt;"",OR('Historia wózka'!$B$4="",F1028='Historia wózka'!$B$4),A1028&gt;='Historia wózka'!$B$5,A1028&lt;='Historia wózka'!$B$6),A1028+0.7+(5000-ROW())/10000000,0)</f>
        <v/>
      </c>
      <c r="J1028" s="63">
        <f>Ustawienia!$B$10&amp;""</f>
        <v/>
      </c>
      <c r="K1028" s="63">
        <f>IF(H1028="","",COUNTIFS('Zgłoszenia'!$B$5:$B$504,F1028,'Zgłoszenia'!$D$5:$D$504,"&gt;="&amp;A1028,'Zgłoszenia'!$D$5:$D$504,"&lt;="&amp;(A1028+1)))</f>
        <v/>
      </c>
      <c r="L1028" s="63">
        <f>IF(OR(H1028="",K1028=0),"—",IF(ISNUMBER(MATCH(H1028,'Zgłoszenia'!$S$5:$S$504,0)),RIGHT("0"&amp;DAY(A1028),2)&amp;"."&amp;RIGHT("0"&amp;MONTH(A1028),2)&amp;"."&amp;YEAR(A1028)&amp;": "&amp;INDEX('Zgłoszenia'!$H$5:$H$504,MATCH(H1028,'Zgłoszenia'!$S$5:$S$504,0)),RIGHT("0"&amp;DAY((A1028+1)),2)&amp;"."&amp;RIGHT("0"&amp;MONTH((A1028+1)),2)&amp;"."&amp;YEAR((A1028+1))&amp;": "&amp;INDEX('Zgłoszenia'!$H$5:$H$504,MATCH(F1028&amp;"|"&amp;(A1028+1),'Zgłoszenia'!$S$5:$S$504,0)))&amp;IF(K1028&gt;1," (+"&amp;(K1028-1)&amp;")",""))</f>
        <v/>
      </c>
      <c r="M1028" s="63" t="n">
        <v>13</v>
      </c>
      <c r="N1028" s="2" t="n"/>
      <c r="O1028" s="2" t="n"/>
    </row>
    <row r="1029">
      <c r="A1029" s="62">
        <f>IF('13'!$C$1="","",'13'!$C$1)</f>
        <v/>
      </c>
      <c r="B1029" s="63">
        <f>Ustawienia!$A$10&amp;""</f>
        <v/>
      </c>
      <c r="C1029" s="63">
        <f>Ustawienia!$A$14&amp;""</f>
        <v/>
      </c>
      <c r="D1029" s="63" t="n">
        <v>2</v>
      </c>
      <c r="E1029" s="63">
        <f>IF('13'!J7="","",TRIM('13'!J7&amp;""))</f>
        <v/>
      </c>
      <c r="F1029" s="63">
        <f>IF('13'!K7="","",'13'!K7)</f>
        <v/>
      </c>
      <c r="G1029" s="63">
        <f>'13'!L7&amp;""</f>
        <v/>
      </c>
      <c r="H1029" s="63">
        <f>IF(OR(A1029="",F1029=""),"",F1029&amp;"|"&amp;A1029)</f>
        <v/>
      </c>
      <c r="I1029" s="63">
        <f>IF(AND(H1029&lt;&gt;"",OR('Historia wózka'!$B$4="",F1029='Historia wózka'!$B$4),A1029&gt;='Historia wózka'!$B$5,A1029&lt;='Historia wózka'!$B$6),A1029+0.7+(5000-ROW())/10000000,0)</f>
        <v/>
      </c>
      <c r="J1029" s="63">
        <f>Ustawienia!$B$10&amp;""</f>
        <v/>
      </c>
      <c r="K1029" s="63">
        <f>IF(H1029="","",COUNTIFS('Zgłoszenia'!$B$5:$B$504,F1029,'Zgłoszenia'!$D$5:$D$504,"&gt;="&amp;A1029,'Zgłoszenia'!$D$5:$D$504,"&lt;="&amp;(A1029+1)))</f>
        <v/>
      </c>
      <c r="L1029" s="63">
        <f>IF(OR(H1029="",K1029=0),"—",IF(ISNUMBER(MATCH(H1029,'Zgłoszenia'!$S$5:$S$504,0)),RIGHT("0"&amp;DAY(A1029),2)&amp;"."&amp;RIGHT("0"&amp;MONTH(A1029),2)&amp;"."&amp;YEAR(A1029)&amp;": "&amp;INDEX('Zgłoszenia'!$H$5:$H$504,MATCH(H1029,'Zgłoszenia'!$S$5:$S$504,0)),RIGHT("0"&amp;DAY((A1029+1)),2)&amp;"."&amp;RIGHT("0"&amp;MONTH((A1029+1)),2)&amp;"."&amp;YEAR((A1029+1))&amp;": "&amp;INDEX('Zgłoszenia'!$H$5:$H$504,MATCH(F1029&amp;"|"&amp;(A1029+1),'Zgłoszenia'!$S$5:$S$504,0)))&amp;IF(K1029&gt;1," (+"&amp;(K1029-1)&amp;")",""))</f>
        <v/>
      </c>
      <c r="M1029" s="63" t="n">
        <v>13</v>
      </c>
      <c r="N1029" s="2" t="n"/>
      <c r="O1029" s="2" t="n"/>
    </row>
    <row r="1030">
      <c r="A1030" s="62">
        <f>IF('13'!$C$1="","",'13'!$C$1)</f>
        <v/>
      </c>
      <c r="B1030" s="63">
        <f>Ustawienia!$A$10&amp;""</f>
        <v/>
      </c>
      <c r="C1030" s="63">
        <f>Ustawienia!$A$14&amp;""</f>
        <v/>
      </c>
      <c r="D1030" s="63" t="n">
        <v>3</v>
      </c>
      <c r="E1030" s="63">
        <f>IF('13'!J8="","",TRIM('13'!J8&amp;""))</f>
        <v/>
      </c>
      <c r="F1030" s="63">
        <f>IF('13'!K8="","",'13'!K8)</f>
        <v/>
      </c>
      <c r="G1030" s="63">
        <f>'13'!L8&amp;""</f>
        <v/>
      </c>
      <c r="H1030" s="63">
        <f>IF(OR(A1030="",F1030=""),"",F1030&amp;"|"&amp;A1030)</f>
        <v/>
      </c>
      <c r="I1030" s="63">
        <f>IF(AND(H1030&lt;&gt;"",OR('Historia wózka'!$B$4="",F1030='Historia wózka'!$B$4),A1030&gt;='Historia wózka'!$B$5,A1030&lt;='Historia wózka'!$B$6),A1030+0.7+(5000-ROW())/10000000,0)</f>
        <v/>
      </c>
      <c r="J1030" s="63">
        <f>Ustawienia!$B$10&amp;""</f>
        <v/>
      </c>
      <c r="K1030" s="63">
        <f>IF(H1030="","",COUNTIFS('Zgłoszenia'!$B$5:$B$504,F1030,'Zgłoszenia'!$D$5:$D$504,"&gt;="&amp;A1030,'Zgłoszenia'!$D$5:$D$504,"&lt;="&amp;(A1030+1)))</f>
        <v/>
      </c>
      <c r="L1030" s="63">
        <f>IF(OR(H1030="",K1030=0),"—",IF(ISNUMBER(MATCH(H1030,'Zgłoszenia'!$S$5:$S$504,0)),RIGHT("0"&amp;DAY(A1030),2)&amp;"."&amp;RIGHT("0"&amp;MONTH(A1030),2)&amp;"."&amp;YEAR(A1030)&amp;": "&amp;INDEX('Zgłoszenia'!$H$5:$H$504,MATCH(H1030,'Zgłoszenia'!$S$5:$S$504,0)),RIGHT("0"&amp;DAY((A1030+1)),2)&amp;"."&amp;RIGHT("0"&amp;MONTH((A1030+1)),2)&amp;"."&amp;YEAR((A1030+1))&amp;": "&amp;INDEX('Zgłoszenia'!$H$5:$H$504,MATCH(F1030&amp;"|"&amp;(A1030+1),'Zgłoszenia'!$S$5:$S$504,0)))&amp;IF(K1030&gt;1," (+"&amp;(K1030-1)&amp;")",""))</f>
        <v/>
      </c>
      <c r="M1030" s="63" t="n">
        <v>13</v>
      </c>
      <c r="N1030" s="2" t="n"/>
      <c r="O1030" s="2" t="n"/>
    </row>
    <row r="1031">
      <c r="A1031" s="62">
        <f>IF('13'!$C$1="","",'13'!$C$1)</f>
        <v/>
      </c>
      <c r="B1031" s="63">
        <f>Ustawienia!$A$10&amp;""</f>
        <v/>
      </c>
      <c r="C1031" s="63">
        <f>Ustawienia!$A$14&amp;""</f>
        <v/>
      </c>
      <c r="D1031" s="63" t="n">
        <v>4</v>
      </c>
      <c r="E1031" s="63">
        <f>IF('13'!J9="","",TRIM('13'!J9&amp;""))</f>
        <v/>
      </c>
      <c r="F1031" s="63">
        <f>IF('13'!K9="","",'13'!K9)</f>
        <v/>
      </c>
      <c r="G1031" s="63">
        <f>'13'!L9&amp;""</f>
        <v/>
      </c>
      <c r="H1031" s="63">
        <f>IF(OR(A1031="",F1031=""),"",F1031&amp;"|"&amp;A1031)</f>
        <v/>
      </c>
      <c r="I1031" s="63">
        <f>IF(AND(H1031&lt;&gt;"",OR('Historia wózka'!$B$4="",F1031='Historia wózka'!$B$4),A1031&gt;='Historia wózka'!$B$5,A1031&lt;='Historia wózka'!$B$6),A1031+0.7+(5000-ROW())/10000000,0)</f>
        <v/>
      </c>
      <c r="J1031" s="63">
        <f>Ustawienia!$B$10&amp;""</f>
        <v/>
      </c>
      <c r="K1031" s="63">
        <f>IF(H1031="","",COUNTIFS('Zgłoszenia'!$B$5:$B$504,F1031,'Zgłoszenia'!$D$5:$D$504,"&gt;="&amp;A1031,'Zgłoszenia'!$D$5:$D$504,"&lt;="&amp;(A1031+1)))</f>
        <v/>
      </c>
      <c r="L1031" s="63">
        <f>IF(OR(H1031="",K1031=0),"—",IF(ISNUMBER(MATCH(H1031,'Zgłoszenia'!$S$5:$S$504,0)),RIGHT("0"&amp;DAY(A1031),2)&amp;"."&amp;RIGHT("0"&amp;MONTH(A1031),2)&amp;"."&amp;YEAR(A1031)&amp;": "&amp;INDEX('Zgłoszenia'!$H$5:$H$504,MATCH(H1031,'Zgłoszenia'!$S$5:$S$504,0)),RIGHT("0"&amp;DAY((A1031+1)),2)&amp;"."&amp;RIGHT("0"&amp;MONTH((A1031+1)),2)&amp;"."&amp;YEAR((A1031+1))&amp;": "&amp;INDEX('Zgłoszenia'!$H$5:$H$504,MATCH(F1031&amp;"|"&amp;(A1031+1),'Zgłoszenia'!$S$5:$S$504,0)))&amp;IF(K1031&gt;1," (+"&amp;(K1031-1)&amp;")",""))</f>
        <v/>
      </c>
      <c r="M1031" s="63" t="n">
        <v>13</v>
      </c>
      <c r="N1031" s="2" t="n"/>
      <c r="O1031" s="2" t="n"/>
    </row>
    <row r="1032">
      <c r="A1032" s="62">
        <f>IF('13'!$C$1="","",'13'!$C$1)</f>
        <v/>
      </c>
      <c r="B1032" s="63">
        <f>Ustawienia!$A$10&amp;""</f>
        <v/>
      </c>
      <c r="C1032" s="63">
        <f>Ustawienia!$A$14&amp;""</f>
        <v/>
      </c>
      <c r="D1032" s="63" t="n">
        <v>5</v>
      </c>
      <c r="E1032" s="63">
        <f>IF('13'!J10="","",TRIM('13'!J10&amp;""))</f>
        <v/>
      </c>
      <c r="F1032" s="63">
        <f>IF('13'!K10="","",'13'!K10)</f>
        <v/>
      </c>
      <c r="G1032" s="63">
        <f>'13'!L10&amp;""</f>
        <v/>
      </c>
      <c r="H1032" s="63">
        <f>IF(OR(A1032="",F1032=""),"",F1032&amp;"|"&amp;A1032)</f>
        <v/>
      </c>
      <c r="I1032" s="63">
        <f>IF(AND(H1032&lt;&gt;"",OR('Historia wózka'!$B$4="",F1032='Historia wózka'!$B$4),A1032&gt;='Historia wózka'!$B$5,A1032&lt;='Historia wózka'!$B$6),A1032+0.7+(5000-ROW())/10000000,0)</f>
        <v/>
      </c>
      <c r="J1032" s="63">
        <f>Ustawienia!$B$10&amp;""</f>
        <v/>
      </c>
      <c r="K1032" s="63">
        <f>IF(H1032="","",COUNTIFS('Zgłoszenia'!$B$5:$B$504,F1032,'Zgłoszenia'!$D$5:$D$504,"&gt;="&amp;A1032,'Zgłoszenia'!$D$5:$D$504,"&lt;="&amp;(A1032+1)))</f>
        <v/>
      </c>
      <c r="L1032" s="63">
        <f>IF(OR(H1032="",K1032=0),"—",IF(ISNUMBER(MATCH(H1032,'Zgłoszenia'!$S$5:$S$504,0)),RIGHT("0"&amp;DAY(A1032),2)&amp;"."&amp;RIGHT("0"&amp;MONTH(A1032),2)&amp;"."&amp;YEAR(A1032)&amp;": "&amp;INDEX('Zgłoszenia'!$H$5:$H$504,MATCH(H1032,'Zgłoszenia'!$S$5:$S$504,0)),RIGHT("0"&amp;DAY((A1032+1)),2)&amp;"."&amp;RIGHT("0"&amp;MONTH((A1032+1)),2)&amp;"."&amp;YEAR((A1032+1))&amp;": "&amp;INDEX('Zgłoszenia'!$H$5:$H$504,MATCH(F1032&amp;"|"&amp;(A1032+1),'Zgłoszenia'!$S$5:$S$504,0)))&amp;IF(K1032&gt;1," (+"&amp;(K1032-1)&amp;")",""))</f>
        <v/>
      </c>
      <c r="M1032" s="63" t="n">
        <v>13</v>
      </c>
      <c r="N1032" s="2" t="n"/>
      <c r="O1032" s="2" t="n"/>
    </row>
    <row r="1033">
      <c r="A1033" s="62">
        <f>IF('13'!$C$1="","",'13'!$C$1)</f>
        <v/>
      </c>
      <c r="B1033" s="63">
        <f>Ustawienia!$A$10&amp;""</f>
        <v/>
      </c>
      <c r="C1033" s="63">
        <f>Ustawienia!$A$14&amp;""</f>
        <v/>
      </c>
      <c r="D1033" s="63" t="n">
        <v>6</v>
      </c>
      <c r="E1033" s="63">
        <f>IF('13'!J11="","",TRIM('13'!J11&amp;""))</f>
        <v/>
      </c>
      <c r="F1033" s="63">
        <f>IF('13'!K11="","",'13'!K11)</f>
        <v/>
      </c>
      <c r="G1033" s="63">
        <f>'13'!L11&amp;""</f>
        <v/>
      </c>
      <c r="H1033" s="63">
        <f>IF(OR(A1033="",F1033=""),"",F1033&amp;"|"&amp;A1033)</f>
        <v/>
      </c>
      <c r="I1033" s="63">
        <f>IF(AND(H1033&lt;&gt;"",OR('Historia wózka'!$B$4="",F1033='Historia wózka'!$B$4),A1033&gt;='Historia wózka'!$B$5,A1033&lt;='Historia wózka'!$B$6),A1033+0.7+(5000-ROW())/10000000,0)</f>
        <v/>
      </c>
      <c r="J1033" s="63">
        <f>Ustawienia!$B$10&amp;""</f>
        <v/>
      </c>
      <c r="K1033" s="63">
        <f>IF(H1033="","",COUNTIFS('Zgłoszenia'!$B$5:$B$504,F1033,'Zgłoszenia'!$D$5:$D$504,"&gt;="&amp;A1033,'Zgłoszenia'!$D$5:$D$504,"&lt;="&amp;(A1033+1)))</f>
        <v/>
      </c>
      <c r="L1033" s="63">
        <f>IF(OR(H1033="",K1033=0),"—",IF(ISNUMBER(MATCH(H1033,'Zgłoszenia'!$S$5:$S$504,0)),RIGHT("0"&amp;DAY(A1033),2)&amp;"."&amp;RIGHT("0"&amp;MONTH(A1033),2)&amp;"."&amp;YEAR(A1033)&amp;": "&amp;INDEX('Zgłoszenia'!$H$5:$H$504,MATCH(H1033,'Zgłoszenia'!$S$5:$S$504,0)),RIGHT("0"&amp;DAY((A1033+1)),2)&amp;"."&amp;RIGHT("0"&amp;MONTH((A1033+1)),2)&amp;"."&amp;YEAR((A1033+1))&amp;": "&amp;INDEX('Zgłoszenia'!$H$5:$H$504,MATCH(F1033&amp;"|"&amp;(A1033+1),'Zgłoszenia'!$S$5:$S$504,0)))&amp;IF(K1033&gt;1," (+"&amp;(K1033-1)&amp;")",""))</f>
        <v/>
      </c>
      <c r="M1033" s="63" t="n">
        <v>13</v>
      </c>
      <c r="N1033" s="2" t="n"/>
      <c r="O1033" s="2" t="n"/>
    </row>
    <row r="1034">
      <c r="A1034" s="62">
        <f>IF('13'!$C$1="","",'13'!$C$1)</f>
        <v/>
      </c>
      <c r="B1034" s="63">
        <f>Ustawienia!$A$10&amp;""</f>
        <v/>
      </c>
      <c r="C1034" s="63">
        <f>Ustawienia!$A$15&amp;""</f>
        <v/>
      </c>
      <c r="D1034" s="63" t="n">
        <v>1</v>
      </c>
      <c r="E1034" s="63">
        <f>IF('13'!J13="","",TRIM('13'!J13&amp;""))</f>
        <v/>
      </c>
      <c r="F1034" s="63">
        <f>IF('13'!K13="","",'13'!K13)</f>
        <v/>
      </c>
      <c r="G1034" s="63">
        <f>'13'!L13&amp;""</f>
        <v/>
      </c>
      <c r="H1034" s="63">
        <f>IF(OR(A1034="",F1034=""),"",F1034&amp;"|"&amp;A1034)</f>
        <v/>
      </c>
      <c r="I1034" s="63">
        <f>IF(AND(H1034&lt;&gt;"",OR('Historia wózka'!$B$4="",F1034='Historia wózka'!$B$4),A1034&gt;='Historia wózka'!$B$5,A1034&lt;='Historia wózka'!$B$6),A1034+0.7+(5000-ROW())/10000000,0)</f>
        <v/>
      </c>
      <c r="J1034" s="63">
        <f>Ustawienia!$B$10&amp;""</f>
        <v/>
      </c>
      <c r="K1034" s="63">
        <f>IF(H1034="","",COUNTIFS('Zgłoszenia'!$B$5:$B$504,F1034,'Zgłoszenia'!$D$5:$D$504,"&gt;="&amp;A1034,'Zgłoszenia'!$D$5:$D$504,"&lt;="&amp;(A1034+1)))</f>
        <v/>
      </c>
      <c r="L1034" s="63">
        <f>IF(OR(H1034="",K1034=0),"—",IF(ISNUMBER(MATCH(H1034,'Zgłoszenia'!$S$5:$S$504,0)),RIGHT("0"&amp;DAY(A1034),2)&amp;"."&amp;RIGHT("0"&amp;MONTH(A1034),2)&amp;"."&amp;YEAR(A1034)&amp;": "&amp;INDEX('Zgłoszenia'!$H$5:$H$504,MATCH(H1034,'Zgłoszenia'!$S$5:$S$504,0)),RIGHT("0"&amp;DAY((A1034+1)),2)&amp;"."&amp;RIGHT("0"&amp;MONTH((A1034+1)),2)&amp;"."&amp;YEAR((A1034+1))&amp;": "&amp;INDEX('Zgłoszenia'!$H$5:$H$504,MATCH(F1034&amp;"|"&amp;(A1034+1),'Zgłoszenia'!$S$5:$S$504,0)))&amp;IF(K1034&gt;1," (+"&amp;(K1034-1)&amp;")",""))</f>
        <v/>
      </c>
      <c r="M1034" s="63" t="n">
        <v>13</v>
      </c>
      <c r="N1034" s="2" t="n"/>
      <c r="O1034" s="2" t="n"/>
    </row>
    <row r="1035">
      <c r="A1035" s="62">
        <f>IF('13'!$C$1="","",'13'!$C$1)</f>
        <v/>
      </c>
      <c r="B1035" s="63">
        <f>Ustawienia!$A$10&amp;""</f>
        <v/>
      </c>
      <c r="C1035" s="63">
        <f>Ustawienia!$A$15&amp;""</f>
        <v/>
      </c>
      <c r="D1035" s="63" t="n">
        <v>2</v>
      </c>
      <c r="E1035" s="63">
        <f>IF('13'!J14="","",TRIM('13'!J14&amp;""))</f>
        <v/>
      </c>
      <c r="F1035" s="63">
        <f>IF('13'!K14="","",'13'!K14)</f>
        <v/>
      </c>
      <c r="G1035" s="63">
        <f>'13'!L14&amp;""</f>
        <v/>
      </c>
      <c r="H1035" s="63">
        <f>IF(OR(A1035="",F1035=""),"",F1035&amp;"|"&amp;A1035)</f>
        <v/>
      </c>
      <c r="I1035" s="63">
        <f>IF(AND(H1035&lt;&gt;"",OR('Historia wózka'!$B$4="",F1035='Historia wózka'!$B$4),A1035&gt;='Historia wózka'!$B$5,A1035&lt;='Historia wózka'!$B$6),A1035+0.7+(5000-ROW())/10000000,0)</f>
        <v/>
      </c>
      <c r="J1035" s="63">
        <f>Ustawienia!$B$10&amp;""</f>
        <v/>
      </c>
      <c r="K1035" s="63">
        <f>IF(H1035="","",COUNTIFS('Zgłoszenia'!$B$5:$B$504,F1035,'Zgłoszenia'!$D$5:$D$504,"&gt;="&amp;A1035,'Zgłoszenia'!$D$5:$D$504,"&lt;="&amp;(A1035+1)))</f>
        <v/>
      </c>
      <c r="L1035" s="63">
        <f>IF(OR(H1035="",K1035=0),"—",IF(ISNUMBER(MATCH(H1035,'Zgłoszenia'!$S$5:$S$504,0)),RIGHT("0"&amp;DAY(A1035),2)&amp;"."&amp;RIGHT("0"&amp;MONTH(A1035),2)&amp;"."&amp;YEAR(A1035)&amp;": "&amp;INDEX('Zgłoszenia'!$H$5:$H$504,MATCH(H1035,'Zgłoszenia'!$S$5:$S$504,0)),RIGHT("0"&amp;DAY((A1035+1)),2)&amp;"."&amp;RIGHT("0"&amp;MONTH((A1035+1)),2)&amp;"."&amp;YEAR((A1035+1))&amp;": "&amp;INDEX('Zgłoszenia'!$H$5:$H$504,MATCH(F1035&amp;"|"&amp;(A1035+1),'Zgłoszenia'!$S$5:$S$504,0)))&amp;IF(K1035&gt;1," (+"&amp;(K1035-1)&amp;")",""))</f>
        <v/>
      </c>
      <c r="M1035" s="63" t="n">
        <v>13</v>
      </c>
      <c r="N1035" s="2" t="n"/>
      <c r="O1035" s="2" t="n"/>
    </row>
    <row r="1036">
      <c r="A1036" s="62">
        <f>IF('13'!$C$1="","",'13'!$C$1)</f>
        <v/>
      </c>
      <c r="B1036" s="63">
        <f>Ustawienia!$A$10&amp;""</f>
        <v/>
      </c>
      <c r="C1036" s="63">
        <f>Ustawienia!$A$15&amp;""</f>
        <v/>
      </c>
      <c r="D1036" s="63" t="n">
        <v>3</v>
      </c>
      <c r="E1036" s="63">
        <f>IF('13'!J15="","",TRIM('13'!J15&amp;""))</f>
        <v/>
      </c>
      <c r="F1036" s="63">
        <f>IF('13'!K15="","",'13'!K15)</f>
        <v/>
      </c>
      <c r="G1036" s="63">
        <f>'13'!L15&amp;""</f>
        <v/>
      </c>
      <c r="H1036" s="63">
        <f>IF(OR(A1036="",F1036=""),"",F1036&amp;"|"&amp;A1036)</f>
        <v/>
      </c>
      <c r="I1036" s="63">
        <f>IF(AND(H1036&lt;&gt;"",OR('Historia wózka'!$B$4="",F1036='Historia wózka'!$B$4),A1036&gt;='Historia wózka'!$B$5,A1036&lt;='Historia wózka'!$B$6),A1036+0.7+(5000-ROW())/10000000,0)</f>
        <v/>
      </c>
      <c r="J1036" s="63">
        <f>Ustawienia!$B$10&amp;""</f>
        <v/>
      </c>
      <c r="K1036" s="63">
        <f>IF(H1036="","",COUNTIFS('Zgłoszenia'!$B$5:$B$504,F1036,'Zgłoszenia'!$D$5:$D$504,"&gt;="&amp;A1036,'Zgłoszenia'!$D$5:$D$504,"&lt;="&amp;(A1036+1)))</f>
        <v/>
      </c>
      <c r="L1036" s="63">
        <f>IF(OR(H1036="",K1036=0),"—",IF(ISNUMBER(MATCH(H1036,'Zgłoszenia'!$S$5:$S$504,0)),RIGHT("0"&amp;DAY(A1036),2)&amp;"."&amp;RIGHT("0"&amp;MONTH(A1036),2)&amp;"."&amp;YEAR(A1036)&amp;": "&amp;INDEX('Zgłoszenia'!$H$5:$H$504,MATCH(H1036,'Zgłoszenia'!$S$5:$S$504,0)),RIGHT("0"&amp;DAY((A1036+1)),2)&amp;"."&amp;RIGHT("0"&amp;MONTH((A1036+1)),2)&amp;"."&amp;YEAR((A1036+1))&amp;": "&amp;INDEX('Zgłoszenia'!$H$5:$H$504,MATCH(F1036&amp;"|"&amp;(A1036+1),'Zgłoszenia'!$S$5:$S$504,0)))&amp;IF(K1036&gt;1," (+"&amp;(K1036-1)&amp;")",""))</f>
        <v/>
      </c>
      <c r="M1036" s="63" t="n">
        <v>13</v>
      </c>
      <c r="N1036" s="2" t="n"/>
      <c r="O1036" s="2" t="n"/>
    </row>
    <row r="1037">
      <c r="A1037" s="62">
        <f>IF('13'!$C$1="","",'13'!$C$1)</f>
        <v/>
      </c>
      <c r="B1037" s="63">
        <f>Ustawienia!$A$10&amp;""</f>
        <v/>
      </c>
      <c r="C1037" s="63">
        <f>Ustawienia!$A$15&amp;""</f>
        <v/>
      </c>
      <c r="D1037" s="63" t="n">
        <v>4</v>
      </c>
      <c r="E1037" s="63">
        <f>IF('13'!J16="","",TRIM('13'!J16&amp;""))</f>
        <v/>
      </c>
      <c r="F1037" s="63">
        <f>IF('13'!K16="","",'13'!K16)</f>
        <v/>
      </c>
      <c r="G1037" s="63">
        <f>'13'!L16&amp;""</f>
        <v/>
      </c>
      <c r="H1037" s="63">
        <f>IF(OR(A1037="",F1037=""),"",F1037&amp;"|"&amp;A1037)</f>
        <v/>
      </c>
      <c r="I1037" s="63">
        <f>IF(AND(H1037&lt;&gt;"",OR('Historia wózka'!$B$4="",F1037='Historia wózka'!$B$4),A1037&gt;='Historia wózka'!$B$5,A1037&lt;='Historia wózka'!$B$6),A1037+0.7+(5000-ROW())/10000000,0)</f>
        <v/>
      </c>
      <c r="J1037" s="63">
        <f>Ustawienia!$B$10&amp;""</f>
        <v/>
      </c>
      <c r="K1037" s="63">
        <f>IF(H1037="","",COUNTIFS('Zgłoszenia'!$B$5:$B$504,F1037,'Zgłoszenia'!$D$5:$D$504,"&gt;="&amp;A1037,'Zgłoszenia'!$D$5:$D$504,"&lt;="&amp;(A1037+1)))</f>
        <v/>
      </c>
      <c r="L1037" s="63">
        <f>IF(OR(H1037="",K1037=0),"—",IF(ISNUMBER(MATCH(H1037,'Zgłoszenia'!$S$5:$S$504,0)),RIGHT("0"&amp;DAY(A1037),2)&amp;"."&amp;RIGHT("0"&amp;MONTH(A1037),2)&amp;"."&amp;YEAR(A1037)&amp;": "&amp;INDEX('Zgłoszenia'!$H$5:$H$504,MATCH(H1037,'Zgłoszenia'!$S$5:$S$504,0)),RIGHT("0"&amp;DAY((A1037+1)),2)&amp;"."&amp;RIGHT("0"&amp;MONTH((A1037+1)),2)&amp;"."&amp;YEAR((A1037+1))&amp;": "&amp;INDEX('Zgłoszenia'!$H$5:$H$504,MATCH(F1037&amp;"|"&amp;(A1037+1),'Zgłoszenia'!$S$5:$S$504,0)))&amp;IF(K1037&gt;1," (+"&amp;(K1037-1)&amp;")",""))</f>
        <v/>
      </c>
      <c r="M1037" s="63" t="n">
        <v>13</v>
      </c>
      <c r="N1037" s="2" t="n"/>
      <c r="O1037" s="2" t="n"/>
    </row>
    <row r="1038">
      <c r="A1038" s="62">
        <f>IF('13'!$C$1="","",'13'!$C$1)</f>
        <v/>
      </c>
      <c r="B1038" s="63">
        <f>Ustawienia!$A$10&amp;""</f>
        <v/>
      </c>
      <c r="C1038" s="63">
        <f>Ustawienia!$A$15&amp;""</f>
        <v/>
      </c>
      <c r="D1038" s="63" t="n">
        <v>5</v>
      </c>
      <c r="E1038" s="63">
        <f>IF('13'!J17="","",TRIM('13'!J17&amp;""))</f>
        <v/>
      </c>
      <c r="F1038" s="63">
        <f>IF('13'!K17="","",'13'!K17)</f>
        <v/>
      </c>
      <c r="G1038" s="63">
        <f>'13'!L17&amp;""</f>
        <v/>
      </c>
      <c r="H1038" s="63">
        <f>IF(OR(A1038="",F1038=""),"",F1038&amp;"|"&amp;A1038)</f>
        <v/>
      </c>
      <c r="I1038" s="63">
        <f>IF(AND(H1038&lt;&gt;"",OR('Historia wózka'!$B$4="",F1038='Historia wózka'!$B$4),A1038&gt;='Historia wózka'!$B$5,A1038&lt;='Historia wózka'!$B$6),A1038+0.7+(5000-ROW())/10000000,0)</f>
        <v/>
      </c>
      <c r="J1038" s="63">
        <f>Ustawienia!$B$10&amp;""</f>
        <v/>
      </c>
      <c r="K1038" s="63">
        <f>IF(H1038="","",COUNTIFS('Zgłoszenia'!$B$5:$B$504,F1038,'Zgłoszenia'!$D$5:$D$504,"&gt;="&amp;A1038,'Zgłoszenia'!$D$5:$D$504,"&lt;="&amp;(A1038+1)))</f>
        <v/>
      </c>
      <c r="L1038" s="63">
        <f>IF(OR(H1038="",K1038=0),"—",IF(ISNUMBER(MATCH(H1038,'Zgłoszenia'!$S$5:$S$504,0)),RIGHT("0"&amp;DAY(A1038),2)&amp;"."&amp;RIGHT("0"&amp;MONTH(A1038),2)&amp;"."&amp;YEAR(A1038)&amp;": "&amp;INDEX('Zgłoszenia'!$H$5:$H$504,MATCH(H1038,'Zgłoszenia'!$S$5:$S$504,0)),RIGHT("0"&amp;DAY((A1038+1)),2)&amp;"."&amp;RIGHT("0"&amp;MONTH((A1038+1)),2)&amp;"."&amp;YEAR((A1038+1))&amp;": "&amp;INDEX('Zgłoszenia'!$H$5:$H$504,MATCH(F1038&amp;"|"&amp;(A1038+1),'Zgłoszenia'!$S$5:$S$504,0)))&amp;IF(K1038&gt;1," (+"&amp;(K1038-1)&amp;")",""))</f>
        <v/>
      </c>
      <c r="M1038" s="63" t="n">
        <v>13</v>
      </c>
      <c r="N1038" s="2" t="n"/>
      <c r="O1038" s="2" t="n"/>
    </row>
    <row r="1039">
      <c r="A1039" s="62">
        <f>IF('13'!$C$1="","",'13'!$C$1)</f>
        <v/>
      </c>
      <c r="B1039" s="63">
        <f>Ustawienia!$A$10&amp;""</f>
        <v/>
      </c>
      <c r="C1039" s="63">
        <f>Ustawienia!$A$15&amp;""</f>
        <v/>
      </c>
      <c r="D1039" s="63" t="n">
        <v>6</v>
      </c>
      <c r="E1039" s="63">
        <f>IF('13'!J18="","",TRIM('13'!J18&amp;""))</f>
        <v/>
      </c>
      <c r="F1039" s="63">
        <f>IF('13'!K18="","",'13'!K18)</f>
        <v/>
      </c>
      <c r="G1039" s="63">
        <f>'13'!L18&amp;""</f>
        <v/>
      </c>
      <c r="H1039" s="63">
        <f>IF(OR(A1039="",F1039=""),"",F1039&amp;"|"&amp;A1039)</f>
        <v/>
      </c>
      <c r="I1039" s="63">
        <f>IF(AND(H1039&lt;&gt;"",OR('Historia wózka'!$B$4="",F1039='Historia wózka'!$B$4),A1039&gt;='Historia wózka'!$B$5,A1039&lt;='Historia wózka'!$B$6),A1039+0.7+(5000-ROW())/10000000,0)</f>
        <v/>
      </c>
      <c r="J1039" s="63">
        <f>Ustawienia!$B$10&amp;""</f>
        <v/>
      </c>
      <c r="K1039" s="63">
        <f>IF(H1039="","",COUNTIFS('Zgłoszenia'!$B$5:$B$504,F1039,'Zgłoszenia'!$D$5:$D$504,"&gt;="&amp;A1039,'Zgłoszenia'!$D$5:$D$504,"&lt;="&amp;(A1039+1)))</f>
        <v/>
      </c>
      <c r="L1039" s="63">
        <f>IF(OR(H1039="",K1039=0),"—",IF(ISNUMBER(MATCH(H1039,'Zgłoszenia'!$S$5:$S$504,0)),RIGHT("0"&amp;DAY(A1039),2)&amp;"."&amp;RIGHT("0"&amp;MONTH(A1039),2)&amp;"."&amp;YEAR(A1039)&amp;": "&amp;INDEX('Zgłoszenia'!$H$5:$H$504,MATCH(H1039,'Zgłoszenia'!$S$5:$S$504,0)),RIGHT("0"&amp;DAY((A1039+1)),2)&amp;"."&amp;RIGHT("0"&amp;MONTH((A1039+1)),2)&amp;"."&amp;YEAR((A1039+1))&amp;": "&amp;INDEX('Zgłoszenia'!$H$5:$H$504,MATCH(F1039&amp;"|"&amp;(A1039+1),'Zgłoszenia'!$S$5:$S$504,0)))&amp;IF(K1039&gt;1," (+"&amp;(K1039-1)&amp;")",""))</f>
        <v/>
      </c>
      <c r="M1039" s="63" t="n">
        <v>13</v>
      </c>
      <c r="N1039" s="2" t="n"/>
      <c r="O1039" s="2" t="n"/>
    </row>
    <row r="1040">
      <c r="A1040" s="62">
        <f>IF('13'!$C$1="","",'13'!$C$1)</f>
        <v/>
      </c>
      <c r="B1040" s="63">
        <f>Ustawienia!$A$10&amp;""</f>
        <v/>
      </c>
      <c r="C1040" s="63">
        <f>Ustawienia!$A$15&amp;""</f>
        <v/>
      </c>
      <c r="D1040" s="63" t="n">
        <v>7</v>
      </c>
      <c r="E1040" s="63">
        <f>IF('13'!J19="","",TRIM('13'!J19&amp;""))</f>
        <v/>
      </c>
      <c r="F1040" s="63">
        <f>IF('13'!K19="","",'13'!K19)</f>
        <v/>
      </c>
      <c r="G1040" s="63">
        <f>'13'!L19&amp;""</f>
        <v/>
      </c>
      <c r="H1040" s="63">
        <f>IF(OR(A1040="",F1040=""),"",F1040&amp;"|"&amp;A1040)</f>
        <v/>
      </c>
      <c r="I1040" s="63">
        <f>IF(AND(H1040&lt;&gt;"",OR('Historia wózka'!$B$4="",F1040='Historia wózka'!$B$4),A1040&gt;='Historia wózka'!$B$5,A1040&lt;='Historia wózka'!$B$6),A1040+0.7+(5000-ROW())/10000000,0)</f>
        <v/>
      </c>
      <c r="J1040" s="63">
        <f>Ustawienia!$B$10&amp;""</f>
        <v/>
      </c>
      <c r="K1040" s="63">
        <f>IF(H1040="","",COUNTIFS('Zgłoszenia'!$B$5:$B$504,F1040,'Zgłoszenia'!$D$5:$D$504,"&gt;="&amp;A1040,'Zgłoszenia'!$D$5:$D$504,"&lt;="&amp;(A1040+1)))</f>
        <v/>
      </c>
      <c r="L1040" s="63">
        <f>IF(OR(H1040="",K1040=0),"—",IF(ISNUMBER(MATCH(H1040,'Zgłoszenia'!$S$5:$S$504,0)),RIGHT("0"&amp;DAY(A1040),2)&amp;"."&amp;RIGHT("0"&amp;MONTH(A1040),2)&amp;"."&amp;YEAR(A1040)&amp;": "&amp;INDEX('Zgłoszenia'!$H$5:$H$504,MATCH(H1040,'Zgłoszenia'!$S$5:$S$504,0)),RIGHT("0"&amp;DAY((A1040+1)),2)&amp;"."&amp;RIGHT("0"&amp;MONTH((A1040+1)),2)&amp;"."&amp;YEAR((A1040+1))&amp;": "&amp;INDEX('Zgłoszenia'!$H$5:$H$504,MATCH(F1040&amp;"|"&amp;(A1040+1),'Zgłoszenia'!$S$5:$S$504,0)))&amp;IF(K1040&gt;1," (+"&amp;(K1040-1)&amp;")",""))</f>
        <v/>
      </c>
      <c r="M1040" s="63" t="n">
        <v>13</v>
      </c>
      <c r="N1040" s="2" t="n"/>
      <c r="O1040" s="2" t="n"/>
    </row>
    <row r="1041">
      <c r="A1041" s="62">
        <f>IF('13'!$C$1="","",'13'!$C$1)</f>
        <v/>
      </c>
      <c r="B1041" s="63">
        <f>Ustawienia!$A$10&amp;""</f>
        <v/>
      </c>
      <c r="C1041" s="63">
        <f>Ustawienia!$A$15&amp;""</f>
        <v/>
      </c>
      <c r="D1041" s="63" t="n">
        <v>8</v>
      </c>
      <c r="E1041" s="63">
        <f>IF('13'!J20="","",TRIM('13'!J20&amp;""))</f>
        <v/>
      </c>
      <c r="F1041" s="63">
        <f>IF('13'!K20="","",'13'!K20)</f>
        <v/>
      </c>
      <c r="G1041" s="63">
        <f>'13'!L20&amp;""</f>
        <v/>
      </c>
      <c r="H1041" s="63">
        <f>IF(OR(A1041="",F1041=""),"",F1041&amp;"|"&amp;A1041)</f>
        <v/>
      </c>
      <c r="I1041" s="63">
        <f>IF(AND(H1041&lt;&gt;"",OR('Historia wózka'!$B$4="",F1041='Historia wózka'!$B$4),A1041&gt;='Historia wózka'!$B$5,A1041&lt;='Historia wózka'!$B$6),A1041+0.7+(5000-ROW())/10000000,0)</f>
        <v/>
      </c>
      <c r="J1041" s="63">
        <f>Ustawienia!$B$10&amp;""</f>
        <v/>
      </c>
      <c r="K1041" s="63">
        <f>IF(H1041="","",COUNTIFS('Zgłoszenia'!$B$5:$B$504,F1041,'Zgłoszenia'!$D$5:$D$504,"&gt;="&amp;A1041,'Zgłoszenia'!$D$5:$D$504,"&lt;="&amp;(A1041+1)))</f>
        <v/>
      </c>
      <c r="L1041" s="63">
        <f>IF(OR(H1041="",K1041=0),"—",IF(ISNUMBER(MATCH(H1041,'Zgłoszenia'!$S$5:$S$504,0)),RIGHT("0"&amp;DAY(A1041),2)&amp;"."&amp;RIGHT("0"&amp;MONTH(A1041),2)&amp;"."&amp;YEAR(A1041)&amp;": "&amp;INDEX('Zgłoszenia'!$H$5:$H$504,MATCH(H1041,'Zgłoszenia'!$S$5:$S$504,0)),RIGHT("0"&amp;DAY((A1041+1)),2)&amp;"."&amp;RIGHT("0"&amp;MONTH((A1041+1)),2)&amp;"."&amp;YEAR((A1041+1))&amp;": "&amp;INDEX('Zgłoszenia'!$H$5:$H$504,MATCH(F1041&amp;"|"&amp;(A1041+1),'Zgłoszenia'!$S$5:$S$504,0)))&amp;IF(K1041&gt;1," (+"&amp;(K1041-1)&amp;")",""))</f>
        <v/>
      </c>
      <c r="M1041" s="63" t="n">
        <v>13</v>
      </c>
      <c r="N1041" s="2" t="n"/>
      <c r="O1041" s="2" t="n"/>
    </row>
    <row r="1042">
      <c r="A1042" s="62">
        <f>IF('13'!$C$1="","",'13'!$C$1)</f>
        <v/>
      </c>
      <c r="B1042" s="63">
        <f>Ustawienia!$A$10&amp;""</f>
        <v/>
      </c>
      <c r="C1042" s="63">
        <f>Ustawienia!$A$16&amp;""</f>
        <v/>
      </c>
      <c r="D1042" s="63" t="n">
        <v>1</v>
      </c>
      <c r="E1042" s="63">
        <f>IF('13'!J22="","",TRIM('13'!J22&amp;""))</f>
        <v/>
      </c>
      <c r="F1042" s="63">
        <f>IF('13'!K22="","",'13'!K22)</f>
        <v/>
      </c>
      <c r="G1042" s="63">
        <f>'13'!L22&amp;""</f>
        <v/>
      </c>
      <c r="H1042" s="63">
        <f>IF(OR(A1042="",F1042=""),"",F1042&amp;"|"&amp;A1042)</f>
        <v/>
      </c>
      <c r="I1042" s="63">
        <f>IF(AND(H1042&lt;&gt;"",OR('Historia wózka'!$B$4="",F1042='Historia wózka'!$B$4),A1042&gt;='Historia wózka'!$B$5,A1042&lt;='Historia wózka'!$B$6),A1042+0.7+(5000-ROW())/10000000,0)</f>
        <v/>
      </c>
      <c r="J1042" s="63">
        <f>Ustawienia!$B$10&amp;""</f>
        <v/>
      </c>
      <c r="K1042" s="63">
        <f>IF(H1042="","",COUNTIFS('Zgłoszenia'!$B$5:$B$504,F1042,'Zgłoszenia'!$D$5:$D$504,"&gt;="&amp;A1042,'Zgłoszenia'!$D$5:$D$504,"&lt;="&amp;(A1042+1)))</f>
        <v/>
      </c>
      <c r="L1042" s="63">
        <f>IF(OR(H1042="",K1042=0),"—",IF(ISNUMBER(MATCH(H1042,'Zgłoszenia'!$S$5:$S$504,0)),RIGHT("0"&amp;DAY(A1042),2)&amp;"."&amp;RIGHT("0"&amp;MONTH(A1042),2)&amp;"."&amp;YEAR(A1042)&amp;": "&amp;INDEX('Zgłoszenia'!$H$5:$H$504,MATCH(H1042,'Zgłoszenia'!$S$5:$S$504,0)),RIGHT("0"&amp;DAY((A1042+1)),2)&amp;"."&amp;RIGHT("0"&amp;MONTH((A1042+1)),2)&amp;"."&amp;YEAR((A1042+1))&amp;": "&amp;INDEX('Zgłoszenia'!$H$5:$H$504,MATCH(F1042&amp;"|"&amp;(A1042+1),'Zgłoszenia'!$S$5:$S$504,0)))&amp;IF(K1042&gt;1," (+"&amp;(K1042-1)&amp;")",""))</f>
        <v/>
      </c>
      <c r="M1042" s="63" t="n">
        <v>13</v>
      </c>
      <c r="N1042" s="2" t="n"/>
      <c r="O1042" s="2" t="n"/>
    </row>
    <row r="1043">
      <c r="A1043" s="62">
        <f>IF('13'!$C$1="","",'13'!$C$1)</f>
        <v/>
      </c>
      <c r="B1043" s="63">
        <f>Ustawienia!$A$10&amp;""</f>
        <v/>
      </c>
      <c r="C1043" s="63">
        <f>Ustawienia!$A$16&amp;""</f>
        <v/>
      </c>
      <c r="D1043" s="63" t="n">
        <v>2</v>
      </c>
      <c r="E1043" s="63">
        <f>IF('13'!J23="","",TRIM('13'!J23&amp;""))</f>
        <v/>
      </c>
      <c r="F1043" s="63">
        <f>IF('13'!K23="","",'13'!K23)</f>
        <v/>
      </c>
      <c r="G1043" s="63">
        <f>'13'!L23&amp;""</f>
        <v/>
      </c>
      <c r="H1043" s="63">
        <f>IF(OR(A1043="",F1043=""),"",F1043&amp;"|"&amp;A1043)</f>
        <v/>
      </c>
      <c r="I1043" s="63">
        <f>IF(AND(H1043&lt;&gt;"",OR('Historia wózka'!$B$4="",F1043='Historia wózka'!$B$4),A1043&gt;='Historia wózka'!$B$5,A1043&lt;='Historia wózka'!$B$6),A1043+0.7+(5000-ROW())/10000000,0)</f>
        <v/>
      </c>
      <c r="J1043" s="63">
        <f>Ustawienia!$B$10&amp;""</f>
        <v/>
      </c>
      <c r="K1043" s="63">
        <f>IF(H1043="","",COUNTIFS('Zgłoszenia'!$B$5:$B$504,F1043,'Zgłoszenia'!$D$5:$D$504,"&gt;="&amp;A1043,'Zgłoszenia'!$D$5:$D$504,"&lt;="&amp;(A1043+1)))</f>
        <v/>
      </c>
      <c r="L1043" s="63">
        <f>IF(OR(H1043="",K1043=0),"—",IF(ISNUMBER(MATCH(H1043,'Zgłoszenia'!$S$5:$S$504,0)),RIGHT("0"&amp;DAY(A1043),2)&amp;"."&amp;RIGHT("0"&amp;MONTH(A1043),2)&amp;"."&amp;YEAR(A1043)&amp;": "&amp;INDEX('Zgłoszenia'!$H$5:$H$504,MATCH(H1043,'Zgłoszenia'!$S$5:$S$504,0)),RIGHT("0"&amp;DAY((A1043+1)),2)&amp;"."&amp;RIGHT("0"&amp;MONTH((A1043+1)),2)&amp;"."&amp;YEAR((A1043+1))&amp;": "&amp;INDEX('Zgłoszenia'!$H$5:$H$504,MATCH(F1043&amp;"|"&amp;(A1043+1),'Zgłoszenia'!$S$5:$S$504,0)))&amp;IF(K1043&gt;1," (+"&amp;(K1043-1)&amp;")",""))</f>
        <v/>
      </c>
      <c r="M1043" s="63" t="n">
        <v>13</v>
      </c>
      <c r="N1043" s="2" t="n"/>
      <c r="O1043" s="2" t="n"/>
    </row>
    <row r="1044">
      <c r="A1044" s="62">
        <f>IF('13'!$C$1="","",'13'!$C$1)</f>
        <v/>
      </c>
      <c r="B1044" s="63">
        <f>Ustawienia!$A$10&amp;""</f>
        <v/>
      </c>
      <c r="C1044" s="63">
        <f>Ustawienia!$A$16&amp;""</f>
        <v/>
      </c>
      <c r="D1044" s="63" t="n">
        <v>3</v>
      </c>
      <c r="E1044" s="63">
        <f>IF('13'!J24="","",TRIM('13'!J24&amp;""))</f>
        <v/>
      </c>
      <c r="F1044" s="63">
        <f>IF('13'!K24="","",'13'!K24)</f>
        <v/>
      </c>
      <c r="G1044" s="63">
        <f>'13'!L24&amp;""</f>
        <v/>
      </c>
      <c r="H1044" s="63">
        <f>IF(OR(A1044="",F1044=""),"",F1044&amp;"|"&amp;A1044)</f>
        <v/>
      </c>
      <c r="I1044" s="63">
        <f>IF(AND(H1044&lt;&gt;"",OR('Historia wózka'!$B$4="",F1044='Historia wózka'!$B$4),A1044&gt;='Historia wózka'!$B$5,A1044&lt;='Historia wózka'!$B$6),A1044+0.7+(5000-ROW())/10000000,0)</f>
        <v/>
      </c>
      <c r="J1044" s="63">
        <f>Ustawienia!$B$10&amp;""</f>
        <v/>
      </c>
      <c r="K1044" s="63">
        <f>IF(H1044="","",COUNTIFS('Zgłoszenia'!$B$5:$B$504,F1044,'Zgłoszenia'!$D$5:$D$504,"&gt;="&amp;A1044,'Zgłoszenia'!$D$5:$D$504,"&lt;="&amp;(A1044+1)))</f>
        <v/>
      </c>
      <c r="L1044" s="63">
        <f>IF(OR(H1044="",K1044=0),"—",IF(ISNUMBER(MATCH(H1044,'Zgłoszenia'!$S$5:$S$504,0)),RIGHT("0"&amp;DAY(A1044),2)&amp;"."&amp;RIGHT("0"&amp;MONTH(A1044),2)&amp;"."&amp;YEAR(A1044)&amp;": "&amp;INDEX('Zgłoszenia'!$H$5:$H$504,MATCH(H1044,'Zgłoszenia'!$S$5:$S$504,0)),RIGHT("0"&amp;DAY((A1044+1)),2)&amp;"."&amp;RIGHT("0"&amp;MONTH((A1044+1)),2)&amp;"."&amp;YEAR((A1044+1))&amp;": "&amp;INDEX('Zgłoszenia'!$H$5:$H$504,MATCH(F1044&amp;"|"&amp;(A1044+1),'Zgłoszenia'!$S$5:$S$504,0)))&amp;IF(K1044&gt;1," (+"&amp;(K1044-1)&amp;")",""))</f>
        <v/>
      </c>
      <c r="M1044" s="63" t="n">
        <v>13</v>
      </c>
      <c r="N1044" s="2" t="n"/>
      <c r="O1044" s="2" t="n"/>
    </row>
    <row r="1045">
      <c r="A1045" s="62">
        <f>IF('13'!$C$1="","",'13'!$C$1)</f>
        <v/>
      </c>
      <c r="B1045" s="63">
        <f>Ustawienia!$A$10&amp;""</f>
        <v/>
      </c>
      <c r="C1045" s="63">
        <f>Ustawienia!$A$16&amp;""</f>
        <v/>
      </c>
      <c r="D1045" s="63" t="n">
        <v>4</v>
      </c>
      <c r="E1045" s="63">
        <f>IF('13'!J25="","",TRIM('13'!J25&amp;""))</f>
        <v/>
      </c>
      <c r="F1045" s="63">
        <f>IF('13'!K25="","",'13'!K25)</f>
        <v/>
      </c>
      <c r="G1045" s="63">
        <f>'13'!L25&amp;""</f>
        <v/>
      </c>
      <c r="H1045" s="63">
        <f>IF(OR(A1045="",F1045=""),"",F1045&amp;"|"&amp;A1045)</f>
        <v/>
      </c>
      <c r="I1045" s="63">
        <f>IF(AND(H1045&lt;&gt;"",OR('Historia wózka'!$B$4="",F1045='Historia wózka'!$B$4),A1045&gt;='Historia wózka'!$B$5,A1045&lt;='Historia wózka'!$B$6),A1045+0.7+(5000-ROW())/10000000,0)</f>
        <v/>
      </c>
      <c r="J1045" s="63">
        <f>Ustawienia!$B$10&amp;""</f>
        <v/>
      </c>
      <c r="K1045" s="63">
        <f>IF(H1045="","",COUNTIFS('Zgłoszenia'!$B$5:$B$504,F1045,'Zgłoszenia'!$D$5:$D$504,"&gt;="&amp;A1045,'Zgłoszenia'!$D$5:$D$504,"&lt;="&amp;(A1045+1)))</f>
        <v/>
      </c>
      <c r="L1045" s="63">
        <f>IF(OR(H1045="",K1045=0),"—",IF(ISNUMBER(MATCH(H1045,'Zgłoszenia'!$S$5:$S$504,0)),RIGHT("0"&amp;DAY(A1045),2)&amp;"."&amp;RIGHT("0"&amp;MONTH(A1045),2)&amp;"."&amp;YEAR(A1045)&amp;": "&amp;INDEX('Zgłoszenia'!$H$5:$H$504,MATCH(H1045,'Zgłoszenia'!$S$5:$S$504,0)),RIGHT("0"&amp;DAY((A1045+1)),2)&amp;"."&amp;RIGHT("0"&amp;MONTH((A1045+1)),2)&amp;"."&amp;YEAR((A1045+1))&amp;": "&amp;INDEX('Zgłoszenia'!$H$5:$H$504,MATCH(F1045&amp;"|"&amp;(A1045+1),'Zgłoszenia'!$S$5:$S$504,0)))&amp;IF(K1045&gt;1," (+"&amp;(K1045-1)&amp;")",""))</f>
        <v/>
      </c>
      <c r="M1045" s="63" t="n">
        <v>13</v>
      </c>
      <c r="N1045" s="2" t="n"/>
      <c r="O1045" s="2" t="n"/>
    </row>
    <row r="1046">
      <c r="A1046" s="62">
        <f>IF('13'!$C$1="","",'13'!$C$1)</f>
        <v/>
      </c>
      <c r="B1046" s="63">
        <f>Ustawienia!$A$10&amp;""</f>
        <v/>
      </c>
      <c r="C1046" s="63">
        <f>Ustawienia!$A$17&amp;""</f>
        <v/>
      </c>
      <c r="D1046" s="63" t="n">
        <v>1</v>
      </c>
      <c r="E1046" s="63">
        <f>IF('13'!J27="","",TRIM('13'!J27&amp;""))</f>
        <v/>
      </c>
      <c r="F1046" s="63">
        <f>IF('13'!K27="","",'13'!K27)</f>
        <v/>
      </c>
      <c r="G1046" s="63">
        <f>'13'!L27&amp;""</f>
        <v/>
      </c>
      <c r="H1046" s="63">
        <f>IF(OR(A1046="",F1046=""),"",F1046&amp;"|"&amp;A1046)</f>
        <v/>
      </c>
      <c r="I1046" s="63">
        <f>IF(AND(H1046&lt;&gt;"",OR('Historia wózka'!$B$4="",F1046='Historia wózka'!$B$4),A1046&gt;='Historia wózka'!$B$5,A1046&lt;='Historia wózka'!$B$6),A1046+0.7+(5000-ROW())/10000000,0)</f>
        <v/>
      </c>
      <c r="J1046" s="63">
        <f>Ustawienia!$B$10&amp;""</f>
        <v/>
      </c>
      <c r="K1046" s="63">
        <f>IF(H1046="","",COUNTIFS('Zgłoszenia'!$B$5:$B$504,F1046,'Zgłoszenia'!$D$5:$D$504,"&gt;="&amp;A1046,'Zgłoszenia'!$D$5:$D$504,"&lt;="&amp;(A1046+1)))</f>
        <v/>
      </c>
      <c r="L1046" s="63">
        <f>IF(OR(H1046="",K1046=0),"—",IF(ISNUMBER(MATCH(H1046,'Zgłoszenia'!$S$5:$S$504,0)),RIGHT("0"&amp;DAY(A1046),2)&amp;"."&amp;RIGHT("0"&amp;MONTH(A1046),2)&amp;"."&amp;YEAR(A1046)&amp;": "&amp;INDEX('Zgłoszenia'!$H$5:$H$504,MATCH(H1046,'Zgłoszenia'!$S$5:$S$504,0)),RIGHT("0"&amp;DAY((A1046+1)),2)&amp;"."&amp;RIGHT("0"&amp;MONTH((A1046+1)),2)&amp;"."&amp;YEAR((A1046+1))&amp;": "&amp;INDEX('Zgłoszenia'!$H$5:$H$504,MATCH(F1046&amp;"|"&amp;(A1046+1),'Zgłoszenia'!$S$5:$S$504,0)))&amp;IF(K1046&gt;1," (+"&amp;(K1046-1)&amp;")",""))</f>
        <v/>
      </c>
      <c r="M1046" s="63" t="n">
        <v>13</v>
      </c>
      <c r="N1046" s="2" t="n"/>
      <c r="O1046" s="2" t="n"/>
    </row>
    <row r="1047">
      <c r="A1047" s="62">
        <f>IF('13'!$C$1="","",'13'!$C$1)</f>
        <v/>
      </c>
      <c r="B1047" s="63">
        <f>Ustawienia!$A$10&amp;""</f>
        <v/>
      </c>
      <c r="C1047" s="63">
        <f>Ustawienia!$A$17&amp;""</f>
        <v/>
      </c>
      <c r="D1047" s="63" t="n">
        <v>2</v>
      </c>
      <c r="E1047" s="63">
        <f>IF('13'!J28="","",TRIM('13'!J28&amp;""))</f>
        <v/>
      </c>
      <c r="F1047" s="63">
        <f>IF('13'!K28="","",'13'!K28)</f>
        <v/>
      </c>
      <c r="G1047" s="63">
        <f>'13'!L28&amp;""</f>
        <v/>
      </c>
      <c r="H1047" s="63">
        <f>IF(OR(A1047="",F1047=""),"",F1047&amp;"|"&amp;A1047)</f>
        <v/>
      </c>
      <c r="I1047" s="63">
        <f>IF(AND(H1047&lt;&gt;"",OR('Historia wózka'!$B$4="",F1047='Historia wózka'!$B$4),A1047&gt;='Historia wózka'!$B$5,A1047&lt;='Historia wózka'!$B$6),A1047+0.7+(5000-ROW())/10000000,0)</f>
        <v/>
      </c>
      <c r="J1047" s="63">
        <f>Ustawienia!$B$10&amp;""</f>
        <v/>
      </c>
      <c r="K1047" s="63">
        <f>IF(H1047="","",COUNTIFS('Zgłoszenia'!$B$5:$B$504,F1047,'Zgłoszenia'!$D$5:$D$504,"&gt;="&amp;A1047,'Zgłoszenia'!$D$5:$D$504,"&lt;="&amp;(A1047+1)))</f>
        <v/>
      </c>
      <c r="L1047" s="63">
        <f>IF(OR(H1047="",K1047=0),"—",IF(ISNUMBER(MATCH(H1047,'Zgłoszenia'!$S$5:$S$504,0)),RIGHT("0"&amp;DAY(A1047),2)&amp;"."&amp;RIGHT("0"&amp;MONTH(A1047),2)&amp;"."&amp;YEAR(A1047)&amp;": "&amp;INDEX('Zgłoszenia'!$H$5:$H$504,MATCH(H1047,'Zgłoszenia'!$S$5:$S$504,0)),RIGHT("0"&amp;DAY((A1047+1)),2)&amp;"."&amp;RIGHT("0"&amp;MONTH((A1047+1)),2)&amp;"."&amp;YEAR((A1047+1))&amp;": "&amp;INDEX('Zgłoszenia'!$H$5:$H$504,MATCH(F1047&amp;"|"&amp;(A1047+1),'Zgłoszenia'!$S$5:$S$504,0)))&amp;IF(K1047&gt;1," (+"&amp;(K1047-1)&amp;")",""))</f>
        <v/>
      </c>
      <c r="M1047" s="63" t="n">
        <v>13</v>
      </c>
      <c r="N1047" s="2" t="n"/>
      <c r="O1047" s="2" t="n"/>
    </row>
    <row r="1048">
      <c r="A1048" s="62">
        <f>IF('13'!$C$1="","",'13'!$C$1)</f>
        <v/>
      </c>
      <c r="B1048" s="63">
        <f>Ustawienia!$A$10&amp;""</f>
        <v/>
      </c>
      <c r="C1048" s="63">
        <f>Ustawienia!$A$17&amp;""</f>
        <v/>
      </c>
      <c r="D1048" s="63" t="n">
        <v>3</v>
      </c>
      <c r="E1048" s="63">
        <f>IF('13'!J29="","",TRIM('13'!J29&amp;""))</f>
        <v/>
      </c>
      <c r="F1048" s="63">
        <f>IF('13'!K29="","",'13'!K29)</f>
        <v/>
      </c>
      <c r="G1048" s="63">
        <f>'13'!L29&amp;""</f>
        <v/>
      </c>
      <c r="H1048" s="63">
        <f>IF(OR(A1048="",F1048=""),"",F1048&amp;"|"&amp;A1048)</f>
        <v/>
      </c>
      <c r="I1048" s="63">
        <f>IF(AND(H1048&lt;&gt;"",OR('Historia wózka'!$B$4="",F1048='Historia wózka'!$B$4),A1048&gt;='Historia wózka'!$B$5,A1048&lt;='Historia wózka'!$B$6),A1048+0.7+(5000-ROW())/10000000,0)</f>
        <v/>
      </c>
      <c r="J1048" s="63">
        <f>Ustawienia!$B$10&amp;""</f>
        <v/>
      </c>
      <c r="K1048" s="63">
        <f>IF(H1048="","",COUNTIFS('Zgłoszenia'!$B$5:$B$504,F1048,'Zgłoszenia'!$D$5:$D$504,"&gt;="&amp;A1048,'Zgłoszenia'!$D$5:$D$504,"&lt;="&amp;(A1048+1)))</f>
        <v/>
      </c>
      <c r="L1048" s="63">
        <f>IF(OR(H1048="",K1048=0),"—",IF(ISNUMBER(MATCH(H1048,'Zgłoszenia'!$S$5:$S$504,0)),RIGHT("0"&amp;DAY(A1048),2)&amp;"."&amp;RIGHT("0"&amp;MONTH(A1048),2)&amp;"."&amp;YEAR(A1048)&amp;": "&amp;INDEX('Zgłoszenia'!$H$5:$H$504,MATCH(H1048,'Zgłoszenia'!$S$5:$S$504,0)),RIGHT("0"&amp;DAY((A1048+1)),2)&amp;"."&amp;RIGHT("0"&amp;MONTH((A1048+1)),2)&amp;"."&amp;YEAR((A1048+1))&amp;": "&amp;INDEX('Zgłoszenia'!$H$5:$H$504,MATCH(F1048&amp;"|"&amp;(A1048+1),'Zgłoszenia'!$S$5:$S$504,0)))&amp;IF(K1048&gt;1," (+"&amp;(K1048-1)&amp;")",""))</f>
        <v/>
      </c>
      <c r="M1048" s="63" t="n">
        <v>13</v>
      </c>
      <c r="N1048" s="2" t="n"/>
      <c r="O1048" s="2" t="n"/>
    </row>
    <row r="1049">
      <c r="A1049" s="62">
        <f>IF('13'!$C$1="","",'13'!$C$1)</f>
        <v/>
      </c>
      <c r="B1049" s="63">
        <f>Ustawienia!$A$10&amp;""</f>
        <v/>
      </c>
      <c r="C1049" s="63">
        <f>Ustawienia!$A$17&amp;""</f>
        <v/>
      </c>
      <c r="D1049" s="63" t="n">
        <v>4</v>
      </c>
      <c r="E1049" s="63">
        <f>IF('13'!J30="","",TRIM('13'!J30&amp;""))</f>
        <v/>
      </c>
      <c r="F1049" s="63">
        <f>IF('13'!K30="","",'13'!K30)</f>
        <v/>
      </c>
      <c r="G1049" s="63">
        <f>'13'!L30&amp;""</f>
        <v/>
      </c>
      <c r="H1049" s="63">
        <f>IF(OR(A1049="",F1049=""),"",F1049&amp;"|"&amp;A1049)</f>
        <v/>
      </c>
      <c r="I1049" s="63">
        <f>IF(AND(H1049&lt;&gt;"",OR('Historia wózka'!$B$4="",F1049='Historia wózka'!$B$4),A1049&gt;='Historia wózka'!$B$5,A1049&lt;='Historia wózka'!$B$6),A1049+0.7+(5000-ROW())/10000000,0)</f>
        <v/>
      </c>
      <c r="J1049" s="63">
        <f>Ustawienia!$B$10&amp;""</f>
        <v/>
      </c>
      <c r="K1049" s="63">
        <f>IF(H1049="","",COUNTIFS('Zgłoszenia'!$B$5:$B$504,F1049,'Zgłoszenia'!$D$5:$D$504,"&gt;="&amp;A1049,'Zgłoszenia'!$D$5:$D$504,"&lt;="&amp;(A1049+1)))</f>
        <v/>
      </c>
      <c r="L1049" s="63">
        <f>IF(OR(H1049="",K1049=0),"—",IF(ISNUMBER(MATCH(H1049,'Zgłoszenia'!$S$5:$S$504,0)),RIGHT("0"&amp;DAY(A1049),2)&amp;"."&amp;RIGHT("0"&amp;MONTH(A1049),2)&amp;"."&amp;YEAR(A1049)&amp;": "&amp;INDEX('Zgłoszenia'!$H$5:$H$504,MATCH(H1049,'Zgłoszenia'!$S$5:$S$504,0)),RIGHT("0"&amp;DAY((A1049+1)),2)&amp;"."&amp;RIGHT("0"&amp;MONTH((A1049+1)),2)&amp;"."&amp;YEAR((A1049+1))&amp;": "&amp;INDEX('Zgłoszenia'!$H$5:$H$504,MATCH(F1049&amp;"|"&amp;(A1049+1),'Zgłoszenia'!$S$5:$S$504,0)))&amp;IF(K1049&gt;1," (+"&amp;(K1049-1)&amp;")",""))</f>
        <v/>
      </c>
      <c r="M1049" s="63" t="n">
        <v>13</v>
      </c>
      <c r="N1049" s="2" t="n"/>
      <c r="O1049" s="2" t="n"/>
    </row>
    <row r="1050">
      <c r="A1050" s="62">
        <f>IF('13'!$C$1="","",'13'!$C$1)</f>
        <v/>
      </c>
      <c r="B1050" s="63">
        <f>Ustawienia!$A$10&amp;""</f>
        <v/>
      </c>
      <c r="C1050" s="63">
        <f>Ustawienia!$A$18&amp;""</f>
        <v/>
      </c>
      <c r="D1050" s="63" t="n">
        <v>1</v>
      </c>
      <c r="E1050" s="63">
        <f>IF('13'!J32="","",TRIM('13'!J32&amp;""))</f>
        <v/>
      </c>
      <c r="F1050" s="63">
        <f>IF('13'!K32="","",'13'!K32)</f>
        <v/>
      </c>
      <c r="G1050" s="63">
        <f>'13'!L32&amp;""</f>
        <v/>
      </c>
      <c r="H1050" s="63">
        <f>IF(OR(A1050="",F1050=""),"",F1050&amp;"|"&amp;A1050)</f>
        <v/>
      </c>
      <c r="I1050" s="63">
        <f>IF(AND(H1050&lt;&gt;"",OR('Historia wózka'!$B$4="",F1050='Historia wózka'!$B$4),A1050&gt;='Historia wózka'!$B$5,A1050&lt;='Historia wózka'!$B$6),A1050+0.7+(5000-ROW())/10000000,0)</f>
        <v/>
      </c>
      <c r="J1050" s="63">
        <f>Ustawienia!$B$10&amp;""</f>
        <v/>
      </c>
      <c r="K1050" s="63">
        <f>IF(H1050="","",COUNTIFS('Zgłoszenia'!$B$5:$B$504,F1050,'Zgłoszenia'!$D$5:$D$504,"&gt;="&amp;A1050,'Zgłoszenia'!$D$5:$D$504,"&lt;="&amp;(A1050+1)))</f>
        <v/>
      </c>
      <c r="L1050" s="63">
        <f>IF(OR(H1050="",K1050=0),"—",IF(ISNUMBER(MATCH(H1050,'Zgłoszenia'!$S$5:$S$504,0)),RIGHT("0"&amp;DAY(A1050),2)&amp;"."&amp;RIGHT("0"&amp;MONTH(A1050),2)&amp;"."&amp;YEAR(A1050)&amp;": "&amp;INDEX('Zgłoszenia'!$H$5:$H$504,MATCH(H1050,'Zgłoszenia'!$S$5:$S$504,0)),RIGHT("0"&amp;DAY((A1050+1)),2)&amp;"."&amp;RIGHT("0"&amp;MONTH((A1050+1)),2)&amp;"."&amp;YEAR((A1050+1))&amp;": "&amp;INDEX('Zgłoszenia'!$H$5:$H$504,MATCH(F1050&amp;"|"&amp;(A1050+1),'Zgłoszenia'!$S$5:$S$504,0)))&amp;IF(K1050&gt;1," (+"&amp;(K1050-1)&amp;")",""))</f>
        <v/>
      </c>
      <c r="M1050" s="63" t="n">
        <v>13</v>
      </c>
      <c r="N1050" s="2" t="n"/>
      <c r="O1050" s="2" t="n"/>
    </row>
    <row r="1051">
      <c r="A1051" s="62">
        <f>IF('13'!$C$1="","",'13'!$C$1)</f>
        <v/>
      </c>
      <c r="B1051" s="63">
        <f>Ustawienia!$A$10&amp;""</f>
        <v/>
      </c>
      <c r="C1051" s="63">
        <f>Ustawienia!$A$18&amp;""</f>
        <v/>
      </c>
      <c r="D1051" s="63" t="n">
        <v>2</v>
      </c>
      <c r="E1051" s="63">
        <f>IF('13'!J33="","",TRIM('13'!J33&amp;""))</f>
        <v/>
      </c>
      <c r="F1051" s="63">
        <f>IF('13'!K33="","",'13'!K33)</f>
        <v/>
      </c>
      <c r="G1051" s="63">
        <f>'13'!L33&amp;""</f>
        <v/>
      </c>
      <c r="H1051" s="63">
        <f>IF(OR(A1051="",F1051=""),"",F1051&amp;"|"&amp;A1051)</f>
        <v/>
      </c>
      <c r="I1051" s="63">
        <f>IF(AND(H1051&lt;&gt;"",OR('Historia wózka'!$B$4="",F1051='Historia wózka'!$B$4),A1051&gt;='Historia wózka'!$B$5,A1051&lt;='Historia wózka'!$B$6),A1051+0.7+(5000-ROW())/10000000,0)</f>
        <v/>
      </c>
      <c r="J1051" s="63">
        <f>Ustawienia!$B$10&amp;""</f>
        <v/>
      </c>
      <c r="K1051" s="63">
        <f>IF(H1051="","",COUNTIFS('Zgłoszenia'!$B$5:$B$504,F1051,'Zgłoszenia'!$D$5:$D$504,"&gt;="&amp;A1051,'Zgłoszenia'!$D$5:$D$504,"&lt;="&amp;(A1051+1)))</f>
        <v/>
      </c>
      <c r="L1051" s="63">
        <f>IF(OR(H1051="",K1051=0),"—",IF(ISNUMBER(MATCH(H1051,'Zgłoszenia'!$S$5:$S$504,0)),RIGHT("0"&amp;DAY(A1051),2)&amp;"."&amp;RIGHT("0"&amp;MONTH(A1051),2)&amp;"."&amp;YEAR(A1051)&amp;": "&amp;INDEX('Zgłoszenia'!$H$5:$H$504,MATCH(H1051,'Zgłoszenia'!$S$5:$S$504,0)),RIGHT("0"&amp;DAY((A1051+1)),2)&amp;"."&amp;RIGHT("0"&amp;MONTH((A1051+1)),2)&amp;"."&amp;YEAR((A1051+1))&amp;": "&amp;INDEX('Zgłoszenia'!$H$5:$H$504,MATCH(F1051&amp;"|"&amp;(A1051+1),'Zgłoszenia'!$S$5:$S$504,0)))&amp;IF(K1051&gt;1," (+"&amp;(K1051-1)&amp;")",""))</f>
        <v/>
      </c>
      <c r="M1051" s="63" t="n">
        <v>13</v>
      </c>
      <c r="N1051" s="2" t="n"/>
      <c r="O1051" s="2" t="n"/>
    </row>
    <row r="1052">
      <c r="A1052" s="62">
        <f>IF('13'!$C$1="","",'13'!$C$1)</f>
        <v/>
      </c>
      <c r="B1052" s="63">
        <f>Ustawienia!$A$10&amp;""</f>
        <v/>
      </c>
      <c r="C1052" s="63">
        <f>Ustawienia!$A$18&amp;""</f>
        <v/>
      </c>
      <c r="D1052" s="63" t="n">
        <v>3</v>
      </c>
      <c r="E1052" s="63">
        <f>IF('13'!J34="","",TRIM('13'!J34&amp;""))</f>
        <v/>
      </c>
      <c r="F1052" s="63">
        <f>IF('13'!K34="","",'13'!K34)</f>
        <v/>
      </c>
      <c r="G1052" s="63">
        <f>'13'!L34&amp;""</f>
        <v/>
      </c>
      <c r="H1052" s="63">
        <f>IF(OR(A1052="",F1052=""),"",F1052&amp;"|"&amp;A1052)</f>
        <v/>
      </c>
      <c r="I1052" s="63">
        <f>IF(AND(H1052&lt;&gt;"",OR('Historia wózka'!$B$4="",F1052='Historia wózka'!$B$4),A1052&gt;='Historia wózka'!$B$5,A1052&lt;='Historia wózka'!$B$6),A1052+0.7+(5000-ROW())/10000000,0)</f>
        <v/>
      </c>
      <c r="J1052" s="63">
        <f>Ustawienia!$B$10&amp;""</f>
        <v/>
      </c>
      <c r="K1052" s="63">
        <f>IF(H1052="","",COUNTIFS('Zgłoszenia'!$B$5:$B$504,F1052,'Zgłoszenia'!$D$5:$D$504,"&gt;="&amp;A1052,'Zgłoszenia'!$D$5:$D$504,"&lt;="&amp;(A1052+1)))</f>
        <v/>
      </c>
      <c r="L1052" s="63">
        <f>IF(OR(H1052="",K1052=0),"—",IF(ISNUMBER(MATCH(H1052,'Zgłoszenia'!$S$5:$S$504,0)),RIGHT("0"&amp;DAY(A1052),2)&amp;"."&amp;RIGHT("0"&amp;MONTH(A1052),2)&amp;"."&amp;YEAR(A1052)&amp;": "&amp;INDEX('Zgłoszenia'!$H$5:$H$504,MATCH(H1052,'Zgłoszenia'!$S$5:$S$504,0)),RIGHT("0"&amp;DAY((A1052+1)),2)&amp;"."&amp;RIGHT("0"&amp;MONTH((A1052+1)),2)&amp;"."&amp;YEAR((A1052+1))&amp;": "&amp;INDEX('Zgłoszenia'!$H$5:$H$504,MATCH(F1052&amp;"|"&amp;(A1052+1),'Zgłoszenia'!$S$5:$S$504,0)))&amp;IF(K1052&gt;1," (+"&amp;(K1052-1)&amp;")",""))</f>
        <v/>
      </c>
      <c r="M1052" s="63" t="n">
        <v>13</v>
      </c>
      <c r="N1052" s="2" t="n"/>
      <c r="O1052" s="2" t="n"/>
    </row>
    <row r="1053">
      <c r="A1053" s="62">
        <f>IF('13'!$C$1="","",'13'!$C$1)</f>
        <v/>
      </c>
      <c r="B1053" s="63">
        <f>Ustawienia!$A$10&amp;""</f>
        <v/>
      </c>
      <c r="C1053" s="63">
        <f>Ustawienia!$A$18&amp;""</f>
        <v/>
      </c>
      <c r="D1053" s="63" t="n">
        <v>4</v>
      </c>
      <c r="E1053" s="63">
        <f>IF('13'!J35="","",TRIM('13'!J35&amp;""))</f>
        <v/>
      </c>
      <c r="F1053" s="63">
        <f>IF('13'!K35="","",'13'!K35)</f>
        <v/>
      </c>
      <c r="G1053" s="63">
        <f>'13'!L35&amp;""</f>
        <v/>
      </c>
      <c r="H1053" s="63">
        <f>IF(OR(A1053="",F1053=""),"",F1053&amp;"|"&amp;A1053)</f>
        <v/>
      </c>
      <c r="I1053" s="63">
        <f>IF(AND(H1053&lt;&gt;"",OR('Historia wózka'!$B$4="",F1053='Historia wózka'!$B$4),A1053&gt;='Historia wózka'!$B$5,A1053&lt;='Historia wózka'!$B$6),A1053+0.7+(5000-ROW())/10000000,0)</f>
        <v/>
      </c>
      <c r="J1053" s="63">
        <f>Ustawienia!$B$10&amp;""</f>
        <v/>
      </c>
      <c r="K1053" s="63">
        <f>IF(H1053="","",COUNTIFS('Zgłoszenia'!$B$5:$B$504,F1053,'Zgłoszenia'!$D$5:$D$504,"&gt;="&amp;A1053,'Zgłoszenia'!$D$5:$D$504,"&lt;="&amp;(A1053+1)))</f>
        <v/>
      </c>
      <c r="L1053" s="63">
        <f>IF(OR(H1053="",K1053=0),"—",IF(ISNUMBER(MATCH(H1053,'Zgłoszenia'!$S$5:$S$504,0)),RIGHT("0"&amp;DAY(A1053),2)&amp;"."&amp;RIGHT("0"&amp;MONTH(A1053),2)&amp;"."&amp;YEAR(A1053)&amp;": "&amp;INDEX('Zgłoszenia'!$H$5:$H$504,MATCH(H1053,'Zgłoszenia'!$S$5:$S$504,0)),RIGHT("0"&amp;DAY((A1053+1)),2)&amp;"."&amp;RIGHT("0"&amp;MONTH((A1053+1)),2)&amp;"."&amp;YEAR((A1053+1))&amp;": "&amp;INDEX('Zgłoszenia'!$H$5:$H$504,MATCH(F1053&amp;"|"&amp;(A1053+1),'Zgłoszenia'!$S$5:$S$504,0)))&amp;IF(K1053&gt;1," (+"&amp;(K1053-1)&amp;")",""))</f>
        <v/>
      </c>
      <c r="M1053" s="63" t="n">
        <v>13</v>
      </c>
      <c r="N1053" s="2" t="n"/>
      <c r="O1053" s="2" t="n"/>
    </row>
    <row r="1054">
      <c r="A1054" s="62">
        <f>IF('13'!$C$1="","",'13'!$C$1)</f>
        <v/>
      </c>
      <c r="B1054" s="63">
        <f>Ustawienia!$A$10&amp;""</f>
        <v/>
      </c>
      <c r="C1054" s="63">
        <f>Ustawienia!$A$18&amp;""</f>
        <v/>
      </c>
      <c r="D1054" s="63" t="n">
        <v>5</v>
      </c>
      <c r="E1054" s="63">
        <f>IF('13'!J36="","",TRIM('13'!J36&amp;""))</f>
        <v/>
      </c>
      <c r="F1054" s="63">
        <f>IF('13'!K36="","",'13'!K36)</f>
        <v/>
      </c>
      <c r="G1054" s="63">
        <f>'13'!L36&amp;""</f>
        <v/>
      </c>
      <c r="H1054" s="63">
        <f>IF(OR(A1054="",F1054=""),"",F1054&amp;"|"&amp;A1054)</f>
        <v/>
      </c>
      <c r="I1054" s="63">
        <f>IF(AND(H1054&lt;&gt;"",OR('Historia wózka'!$B$4="",F1054='Historia wózka'!$B$4),A1054&gt;='Historia wózka'!$B$5,A1054&lt;='Historia wózka'!$B$6),A1054+0.7+(5000-ROW())/10000000,0)</f>
        <v/>
      </c>
      <c r="J1054" s="63">
        <f>Ustawienia!$B$10&amp;""</f>
        <v/>
      </c>
      <c r="K1054" s="63">
        <f>IF(H1054="","",COUNTIFS('Zgłoszenia'!$B$5:$B$504,F1054,'Zgłoszenia'!$D$5:$D$504,"&gt;="&amp;A1054,'Zgłoszenia'!$D$5:$D$504,"&lt;="&amp;(A1054+1)))</f>
        <v/>
      </c>
      <c r="L1054" s="63">
        <f>IF(OR(H1054="",K1054=0),"—",IF(ISNUMBER(MATCH(H1054,'Zgłoszenia'!$S$5:$S$504,0)),RIGHT("0"&amp;DAY(A1054),2)&amp;"."&amp;RIGHT("0"&amp;MONTH(A1054),2)&amp;"."&amp;YEAR(A1054)&amp;": "&amp;INDEX('Zgłoszenia'!$H$5:$H$504,MATCH(H1054,'Zgłoszenia'!$S$5:$S$504,0)),RIGHT("0"&amp;DAY((A1054+1)),2)&amp;"."&amp;RIGHT("0"&amp;MONTH((A1054+1)),2)&amp;"."&amp;YEAR((A1054+1))&amp;": "&amp;INDEX('Zgłoszenia'!$H$5:$H$504,MATCH(F1054&amp;"|"&amp;(A1054+1),'Zgłoszenia'!$S$5:$S$504,0)))&amp;IF(K1054&gt;1," (+"&amp;(K1054-1)&amp;")",""))</f>
        <v/>
      </c>
      <c r="M1054" s="63" t="n">
        <v>13</v>
      </c>
      <c r="N1054" s="2" t="n"/>
      <c r="O1054" s="2" t="n"/>
    </row>
    <row r="1055">
      <c r="A1055" s="62">
        <f>IF('14'!$C$1="","",'14'!$C$1)</f>
        <v/>
      </c>
      <c r="B1055" s="63">
        <f>Ustawienia!$A$8&amp;""</f>
        <v/>
      </c>
      <c r="C1055" s="63">
        <f>Ustawienia!$A$14&amp;""</f>
        <v/>
      </c>
      <c r="D1055" s="63" t="n">
        <v>1</v>
      </c>
      <c r="E1055" s="63">
        <f>IF('14'!B6="","",TRIM('14'!B6&amp;""))</f>
        <v/>
      </c>
      <c r="F1055" s="63">
        <f>IF('14'!C6="","",'14'!C6)</f>
        <v/>
      </c>
      <c r="G1055" s="63">
        <f>'14'!D6&amp;""</f>
        <v/>
      </c>
      <c r="H1055" s="63">
        <f>IF(OR(A1055="",F1055=""),"",F1055&amp;"|"&amp;A1055)</f>
        <v/>
      </c>
      <c r="I1055" s="63">
        <f>IF(AND(H1055&lt;&gt;"",OR('Historia wózka'!$B$4="",F1055='Historia wózka'!$B$4),A1055&gt;='Historia wózka'!$B$5,A1055&lt;='Historia wózka'!$B$6),A1055+0.9+(5000-ROW())/10000000,0)</f>
        <v/>
      </c>
      <c r="J1055" s="63">
        <f>Ustawienia!$B$8&amp;""</f>
        <v/>
      </c>
      <c r="K1055" s="63">
        <f>IF(H1055="","",COUNTIFS('Zgłoszenia'!$B$5:$B$504,F1055,'Zgłoszenia'!$D$5:$D$504,"&gt;="&amp;A1055,'Zgłoszenia'!$D$5:$D$504,"&lt;="&amp;(A1055+1)))</f>
        <v/>
      </c>
      <c r="L1055" s="63">
        <f>IF(OR(H1055="",K1055=0),"—",IF(ISNUMBER(MATCH(H1055,'Zgłoszenia'!$S$5:$S$504,0)),RIGHT("0"&amp;DAY(A1055),2)&amp;"."&amp;RIGHT("0"&amp;MONTH(A1055),2)&amp;"."&amp;YEAR(A1055)&amp;": "&amp;INDEX('Zgłoszenia'!$H$5:$H$504,MATCH(H1055,'Zgłoszenia'!$S$5:$S$504,0)),RIGHT("0"&amp;DAY((A1055+1)),2)&amp;"."&amp;RIGHT("0"&amp;MONTH((A1055+1)),2)&amp;"."&amp;YEAR((A1055+1))&amp;": "&amp;INDEX('Zgłoszenia'!$H$5:$H$504,MATCH(F1055&amp;"|"&amp;(A1055+1),'Zgłoszenia'!$S$5:$S$504,0)))&amp;IF(K1055&gt;1," (+"&amp;(K1055-1)&amp;")",""))</f>
        <v/>
      </c>
      <c r="M1055" s="63" t="n">
        <v>14</v>
      </c>
      <c r="N1055" s="2" t="n"/>
      <c r="O1055" s="2" t="n"/>
    </row>
    <row r="1056">
      <c r="A1056" s="62">
        <f>IF('14'!$C$1="","",'14'!$C$1)</f>
        <v/>
      </c>
      <c r="B1056" s="63">
        <f>Ustawienia!$A$8&amp;""</f>
        <v/>
      </c>
      <c r="C1056" s="63">
        <f>Ustawienia!$A$14&amp;""</f>
        <v/>
      </c>
      <c r="D1056" s="63" t="n">
        <v>2</v>
      </c>
      <c r="E1056" s="63">
        <f>IF('14'!B7="","",TRIM('14'!B7&amp;""))</f>
        <v/>
      </c>
      <c r="F1056" s="63">
        <f>IF('14'!C7="","",'14'!C7)</f>
        <v/>
      </c>
      <c r="G1056" s="63">
        <f>'14'!D7&amp;""</f>
        <v/>
      </c>
      <c r="H1056" s="63">
        <f>IF(OR(A1056="",F1056=""),"",F1056&amp;"|"&amp;A1056)</f>
        <v/>
      </c>
      <c r="I1056" s="63">
        <f>IF(AND(H1056&lt;&gt;"",OR('Historia wózka'!$B$4="",F1056='Historia wózka'!$B$4),A1056&gt;='Historia wózka'!$B$5,A1056&lt;='Historia wózka'!$B$6),A1056+0.9+(5000-ROW())/10000000,0)</f>
        <v/>
      </c>
      <c r="J1056" s="63">
        <f>Ustawienia!$B$8&amp;""</f>
        <v/>
      </c>
      <c r="K1056" s="63">
        <f>IF(H1056="","",COUNTIFS('Zgłoszenia'!$B$5:$B$504,F1056,'Zgłoszenia'!$D$5:$D$504,"&gt;="&amp;A1056,'Zgłoszenia'!$D$5:$D$504,"&lt;="&amp;(A1056+1)))</f>
        <v/>
      </c>
      <c r="L1056" s="63">
        <f>IF(OR(H1056="",K1056=0),"—",IF(ISNUMBER(MATCH(H1056,'Zgłoszenia'!$S$5:$S$504,0)),RIGHT("0"&amp;DAY(A1056),2)&amp;"."&amp;RIGHT("0"&amp;MONTH(A1056),2)&amp;"."&amp;YEAR(A1056)&amp;": "&amp;INDEX('Zgłoszenia'!$H$5:$H$504,MATCH(H1056,'Zgłoszenia'!$S$5:$S$504,0)),RIGHT("0"&amp;DAY((A1056+1)),2)&amp;"."&amp;RIGHT("0"&amp;MONTH((A1056+1)),2)&amp;"."&amp;YEAR((A1056+1))&amp;": "&amp;INDEX('Zgłoszenia'!$H$5:$H$504,MATCH(F1056&amp;"|"&amp;(A1056+1),'Zgłoszenia'!$S$5:$S$504,0)))&amp;IF(K1056&gt;1," (+"&amp;(K1056-1)&amp;")",""))</f>
        <v/>
      </c>
      <c r="M1056" s="63" t="n">
        <v>14</v>
      </c>
      <c r="N1056" s="2" t="n"/>
      <c r="O1056" s="2" t="n"/>
    </row>
    <row r="1057">
      <c r="A1057" s="62">
        <f>IF('14'!$C$1="","",'14'!$C$1)</f>
        <v/>
      </c>
      <c r="B1057" s="63">
        <f>Ustawienia!$A$8&amp;""</f>
        <v/>
      </c>
      <c r="C1057" s="63">
        <f>Ustawienia!$A$14&amp;""</f>
        <v/>
      </c>
      <c r="D1057" s="63" t="n">
        <v>3</v>
      </c>
      <c r="E1057" s="63">
        <f>IF('14'!B8="","",TRIM('14'!B8&amp;""))</f>
        <v/>
      </c>
      <c r="F1057" s="63">
        <f>IF('14'!C8="","",'14'!C8)</f>
        <v/>
      </c>
      <c r="G1057" s="63">
        <f>'14'!D8&amp;""</f>
        <v/>
      </c>
      <c r="H1057" s="63">
        <f>IF(OR(A1057="",F1057=""),"",F1057&amp;"|"&amp;A1057)</f>
        <v/>
      </c>
      <c r="I1057" s="63">
        <f>IF(AND(H1057&lt;&gt;"",OR('Historia wózka'!$B$4="",F1057='Historia wózka'!$B$4),A1057&gt;='Historia wózka'!$B$5,A1057&lt;='Historia wózka'!$B$6),A1057+0.9+(5000-ROW())/10000000,0)</f>
        <v/>
      </c>
      <c r="J1057" s="63">
        <f>Ustawienia!$B$8&amp;""</f>
        <v/>
      </c>
      <c r="K1057" s="63">
        <f>IF(H1057="","",COUNTIFS('Zgłoszenia'!$B$5:$B$504,F1057,'Zgłoszenia'!$D$5:$D$504,"&gt;="&amp;A1057,'Zgłoszenia'!$D$5:$D$504,"&lt;="&amp;(A1057+1)))</f>
        <v/>
      </c>
      <c r="L1057" s="63">
        <f>IF(OR(H1057="",K1057=0),"—",IF(ISNUMBER(MATCH(H1057,'Zgłoszenia'!$S$5:$S$504,0)),RIGHT("0"&amp;DAY(A1057),2)&amp;"."&amp;RIGHT("0"&amp;MONTH(A1057),2)&amp;"."&amp;YEAR(A1057)&amp;": "&amp;INDEX('Zgłoszenia'!$H$5:$H$504,MATCH(H1057,'Zgłoszenia'!$S$5:$S$504,0)),RIGHT("0"&amp;DAY((A1057+1)),2)&amp;"."&amp;RIGHT("0"&amp;MONTH((A1057+1)),2)&amp;"."&amp;YEAR((A1057+1))&amp;": "&amp;INDEX('Zgłoszenia'!$H$5:$H$504,MATCH(F1057&amp;"|"&amp;(A1057+1),'Zgłoszenia'!$S$5:$S$504,0)))&amp;IF(K1057&gt;1," (+"&amp;(K1057-1)&amp;")",""))</f>
        <v/>
      </c>
      <c r="M1057" s="63" t="n">
        <v>14</v>
      </c>
      <c r="N1057" s="2" t="n"/>
      <c r="O1057" s="2" t="n"/>
    </row>
    <row r="1058">
      <c r="A1058" s="62">
        <f>IF('14'!$C$1="","",'14'!$C$1)</f>
        <v/>
      </c>
      <c r="B1058" s="63">
        <f>Ustawienia!$A$8&amp;""</f>
        <v/>
      </c>
      <c r="C1058" s="63">
        <f>Ustawienia!$A$14&amp;""</f>
        <v/>
      </c>
      <c r="D1058" s="63" t="n">
        <v>4</v>
      </c>
      <c r="E1058" s="63">
        <f>IF('14'!B9="","",TRIM('14'!B9&amp;""))</f>
        <v/>
      </c>
      <c r="F1058" s="63">
        <f>IF('14'!C9="","",'14'!C9)</f>
        <v/>
      </c>
      <c r="G1058" s="63">
        <f>'14'!D9&amp;""</f>
        <v/>
      </c>
      <c r="H1058" s="63">
        <f>IF(OR(A1058="",F1058=""),"",F1058&amp;"|"&amp;A1058)</f>
        <v/>
      </c>
      <c r="I1058" s="63">
        <f>IF(AND(H1058&lt;&gt;"",OR('Historia wózka'!$B$4="",F1058='Historia wózka'!$B$4),A1058&gt;='Historia wózka'!$B$5,A1058&lt;='Historia wózka'!$B$6),A1058+0.9+(5000-ROW())/10000000,0)</f>
        <v/>
      </c>
      <c r="J1058" s="63">
        <f>Ustawienia!$B$8&amp;""</f>
        <v/>
      </c>
      <c r="K1058" s="63">
        <f>IF(H1058="","",COUNTIFS('Zgłoszenia'!$B$5:$B$504,F1058,'Zgłoszenia'!$D$5:$D$504,"&gt;="&amp;A1058,'Zgłoszenia'!$D$5:$D$504,"&lt;="&amp;(A1058+1)))</f>
        <v/>
      </c>
      <c r="L1058" s="63">
        <f>IF(OR(H1058="",K1058=0),"—",IF(ISNUMBER(MATCH(H1058,'Zgłoszenia'!$S$5:$S$504,0)),RIGHT("0"&amp;DAY(A1058),2)&amp;"."&amp;RIGHT("0"&amp;MONTH(A1058),2)&amp;"."&amp;YEAR(A1058)&amp;": "&amp;INDEX('Zgłoszenia'!$H$5:$H$504,MATCH(H1058,'Zgłoszenia'!$S$5:$S$504,0)),RIGHT("0"&amp;DAY((A1058+1)),2)&amp;"."&amp;RIGHT("0"&amp;MONTH((A1058+1)),2)&amp;"."&amp;YEAR((A1058+1))&amp;": "&amp;INDEX('Zgłoszenia'!$H$5:$H$504,MATCH(F1058&amp;"|"&amp;(A1058+1),'Zgłoszenia'!$S$5:$S$504,0)))&amp;IF(K1058&gt;1," (+"&amp;(K1058-1)&amp;")",""))</f>
        <v/>
      </c>
      <c r="M1058" s="63" t="n">
        <v>14</v>
      </c>
      <c r="N1058" s="2" t="n"/>
      <c r="O1058" s="2" t="n"/>
    </row>
    <row r="1059">
      <c r="A1059" s="62">
        <f>IF('14'!$C$1="","",'14'!$C$1)</f>
        <v/>
      </c>
      <c r="B1059" s="63">
        <f>Ustawienia!$A$8&amp;""</f>
        <v/>
      </c>
      <c r="C1059" s="63">
        <f>Ustawienia!$A$14&amp;""</f>
        <v/>
      </c>
      <c r="D1059" s="63" t="n">
        <v>5</v>
      </c>
      <c r="E1059" s="63">
        <f>IF('14'!B10="","",TRIM('14'!B10&amp;""))</f>
        <v/>
      </c>
      <c r="F1059" s="63">
        <f>IF('14'!C10="","",'14'!C10)</f>
        <v/>
      </c>
      <c r="G1059" s="63">
        <f>'14'!D10&amp;""</f>
        <v/>
      </c>
      <c r="H1059" s="63">
        <f>IF(OR(A1059="",F1059=""),"",F1059&amp;"|"&amp;A1059)</f>
        <v/>
      </c>
      <c r="I1059" s="63">
        <f>IF(AND(H1059&lt;&gt;"",OR('Historia wózka'!$B$4="",F1059='Historia wózka'!$B$4),A1059&gt;='Historia wózka'!$B$5,A1059&lt;='Historia wózka'!$B$6),A1059+0.9+(5000-ROW())/10000000,0)</f>
        <v/>
      </c>
      <c r="J1059" s="63">
        <f>Ustawienia!$B$8&amp;""</f>
        <v/>
      </c>
      <c r="K1059" s="63">
        <f>IF(H1059="","",COUNTIFS('Zgłoszenia'!$B$5:$B$504,F1059,'Zgłoszenia'!$D$5:$D$504,"&gt;="&amp;A1059,'Zgłoszenia'!$D$5:$D$504,"&lt;="&amp;(A1059+1)))</f>
        <v/>
      </c>
      <c r="L1059" s="63">
        <f>IF(OR(H1059="",K1059=0),"—",IF(ISNUMBER(MATCH(H1059,'Zgłoszenia'!$S$5:$S$504,0)),RIGHT("0"&amp;DAY(A1059),2)&amp;"."&amp;RIGHT("0"&amp;MONTH(A1059),2)&amp;"."&amp;YEAR(A1059)&amp;": "&amp;INDEX('Zgłoszenia'!$H$5:$H$504,MATCH(H1059,'Zgłoszenia'!$S$5:$S$504,0)),RIGHT("0"&amp;DAY((A1059+1)),2)&amp;"."&amp;RIGHT("0"&amp;MONTH((A1059+1)),2)&amp;"."&amp;YEAR((A1059+1))&amp;": "&amp;INDEX('Zgłoszenia'!$H$5:$H$504,MATCH(F1059&amp;"|"&amp;(A1059+1),'Zgłoszenia'!$S$5:$S$504,0)))&amp;IF(K1059&gt;1," (+"&amp;(K1059-1)&amp;")",""))</f>
        <v/>
      </c>
      <c r="M1059" s="63" t="n">
        <v>14</v>
      </c>
      <c r="N1059" s="2" t="n"/>
      <c r="O1059" s="2" t="n"/>
    </row>
    <row r="1060">
      <c r="A1060" s="62">
        <f>IF('14'!$C$1="","",'14'!$C$1)</f>
        <v/>
      </c>
      <c r="B1060" s="63">
        <f>Ustawienia!$A$8&amp;""</f>
        <v/>
      </c>
      <c r="C1060" s="63">
        <f>Ustawienia!$A$14&amp;""</f>
        <v/>
      </c>
      <c r="D1060" s="63" t="n">
        <v>6</v>
      </c>
      <c r="E1060" s="63">
        <f>IF('14'!B11="","",TRIM('14'!B11&amp;""))</f>
        <v/>
      </c>
      <c r="F1060" s="63">
        <f>IF('14'!C11="","",'14'!C11)</f>
        <v/>
      </c>
      <c r="G1060" s="63">
        <f>'14'!D11&amp;""</f>
        <v/>
      </c>
      <c r="H1060" s="63">
        <f>IF(OR(A1060="",F1060=""),"",F1060&amp;"|"&amp;A1060)</f>
        <v/>
      </c>
      <c r="I1060" s="63">
        <f>IF(AND(H1060&lt;&gt;"",OR('Historia wózka'!$B$4="",F1060='Historia wózka'!$B$4),A1060&gt;='Historia wózka'!$B$5,A1060&lt;='Historia wózka'!$B$6),A1060+0.9+(5000-ROW())/10000000,0)</f>
        <v/>
      </c>
      <c r="J1060" s="63">
        <f>Ustawienia!$B$8&amp;""</f>
        <v/>
      </c>
      <c r="K1060" s="63">
        <f>IF(H1060="","",COUNTIFS('Zgłoszenia'!$B$5:$B$504,F1060,'Zgłoszenia'!$D$5:$D$504,"&gt;="&amp;A1060,'Zgłoszenia'!$D$5:$D$504,"&lt;="&amp;(A1060+1)))</f>
        <v/>
      </c>
      <c r="L1060" s="63">
        <f>IF(OR(H1060="",K1060=0),"—",IF(ISNUMBER(MATCH(H1060,'Zgłoszenia'!$S$5:$S$504,0)),RIGHT("0"&amp;DAY(A1060),2)&amp;"."&amp;RIGHT("0"&amp;MONTH(A1060),2)&amp;"."&amp;YEAR(A1060)&amp;": "&amp;INDEX('Zgłoszenia'!$H$5:$H$504,MATCH(H1060,'Zgłoszenia'!$S$5:$S$504,0)),RIGHT("0"&amp;DAY((A1060+1)),2)&amp;"."&amp;RIGHT("0"&amp;MONTH((A1060+1)),2)&amp;"."&amp;YEAR((A1060+1))&amp;": "&amp;INDEX('Zgłoszenia'!$H$5:$H$504,MATCH(F1060&amp;"|"&amp;(A1060+1),'Zgłoszenia'!$S$5:$S$504,0)))&amp;IF(K1060&gt;1," (+"&amp;(K1060-1)&amp;")",""))</f>
        <v/>
      </c>
      <c r="M1060" s="63" t="n">
        <v>14</v>
      </c>
      <c r="N1060" s="2" t="n"/>
      <c r="O1060" s="2" t="n"/>
    </row>
    <row r="1061">
      <c r="A1061" s="62">
        <f>IF('14'!$C$1="","",'14'!$C$1)</f>
        <v/>
      </c>
      <c r="B1061" s="63">
        <f>Ustawienia!$A$8&amp;""</f>
        <v/>
      </c>
      <c r="C1061" s="63">
        <f>Ustawienia!$A$15&amp;""</f>
        <v/>
      </c>
      <c r="D1061" s="63" t="n">
        <v>1</v>
      </c>
      <c r="E1061" s="63">
        <f>IF('14'!B13="","",TRIM('14'!B13&amp;""))</f>
        <v/>
      </c>
      <c r="F1061" s="63">
        <f>IF('14'!C13="","",'14'!C13)</f>
        <v/>
      </c>
      <c r="G1061" s="63">
        <f>'14'!D13&amp;""</f>
        <v/>
      </c>
      <c r="H1061" s="63">
        <f>IF(OR(A1061="",F1061=""),"",F1061&amp;"|"&amp;A1061)</f>
        <v/>
      </c>
      <c r="I1061" s="63">
        <f>IF(AND(H1061&lt;&gt;"",OR('Historia wózka'!$B$4="",F1061='Historia wózka'!$B$4),A1061&gt;='Historia wózka'!$B$5,A1061&lt;='Historia wózka'!$B$6),A1061+0.9+(5000-ROW())/10000000,0)</f>
        <v/>
      </c>
      <c r="J1061" s="63">
        <f>Ustawienia!$B$8&amp;""</f>
        <v/>
      </c>
      <c r="K1061" s="63">
        <f>IF(H1061="","",COUNTIFS('Zgłoszenia'!$B$5:$B$504,F1061,'Zgłoszenia'!$D$5:$D$504,"&gt;="&amp;A1061,'Zgłoszenia'!$D$5:$D$504,"&lt;="&amp;(A1061+1)))</f>
        <v/>
      </c>
      <c r="L1061" s="63">
        <f>IF(OR(H1061="",K1061=0),"—",IF(ISNUMBER(MATCH(H1061,'Zgłoszenia'!$S$5:$S$504,0)),RIGHT("0"&amp;DAY(A1061),2)&amp;"."&amp;RIGHT("0"&amp;MONTH(A1061),2)&amp;"."&amp;YEAR(A1061)&amp;": "&amp;INDEX('Zgłoszenia'!$H$5:$H$504,MATCH(H1061,'Zgłoszenia'!$S$5:$S$504,0)),RIGHT("0"&amp;DAY((A1061+1)),2)&amp;"."&amp;RIGHT("0"&amp;MONTH((A1061+1)),2)&amp;"."&amp;YEAR((A1061+1))&amp;": "&amp;INDEX('Zgłoszenia'!$H$5:$H$504,MATCH(F1061&amp;"|"&amp;(A1061+1),'Zgłoszenia'!$S$5:$S$504,0)))&amp;IF(K1061&gt;1," (+"&amp;(K1061-1)&amp;")",""))</f>
        <v/>
      </c>
      <c r="M1061" s="63" t="n">
        <v>14</v>
      </c>
      <c r="N1061" s="2" t="n"/>
      <c r="O1061" s="2" t="n"/>
    </row>
    <row r="1062">
      <c r="A1062" s="62">
        <f>IF('14'!$C$1="","",'14'!$C$1)</f>
        <v/>
      </c>
      <c r="B1062" s="63">
        <f>Ustawienia!$A$8&amp;""</f>
        <v/>
      </c>
      <c r="C1062" s="63">
        <f>Ustawienia!$A$15&amp;""</f>
        <v/>
      </c>
      <c r="D1062" s="63" t="n">
        <v>2</v>
      </c>
      <c r="E1062" s="63">
        <f>IF('14'!B14="","",TRIM('14'!B14&amp;""))</f>
        <v/>
      </c>
      <c r="F1062" s="63">
        <f>IF('14'!C14="","",'14'!C14)</f>
        <v/>
      </c>
      <c r="G1062" s="63">
        <f>'14'!D14&amp;""</f>
        <v/>
      </c>
      <c r="H1062" s="63">
        <f>IF(OR(A1062="",F1062=""),"",F1062&amp;"|"&amp;A1062)</f>
        <v/>
      </c>
      <c r="I1062" s="63">
        <f>IF(AND(H1062&lt;&gt;"",OR('Historia wózka'!$B$4="",F1062='Historia wózka'!$B$4),A1062&gt;='Historia wózka'!$B$5,A1062&lt;='Historia wózka'!$B$6),A1062+0.9+(5000-ROW())/10000000,0)</f>
        <v/>
      </c>
      <c r="J1062" s="63">
        <f>Ustawienia!$B$8&amp;""</f>
        <v/>
      </c>
      <c r="K1062" s="63">
        <f>IF(H1062="","",COUNTIFS('Zgłoszenia'!$B$5:$B$504,F1062,'Zgłoszenia'!$D$5:$D$504,"&gt;="&amp;A1062,'Zgłoszenia'!$D$5:$D$504,"&lt;="&amp;(A1062+1)))</f>
        <v/>
      </c>
      <c r="L1062" s="63">
        <f>IF(OR(H1062="",K1062=0),"—",IF(ISNUMBER(MATCH(H1062,'Zgłoszenia'!$S$5:$S$504,0)),RIGHT("0"&amp;DAY(A1062),2)&amp;"."&amp;RIGHT("0"&amp;MONTH(A1062),2)&amp;"."&amp;YEAR(A1062)&amp;": "&amp;INDEX('Zgłoszenia'!$H$5:$H$504,MATCH(H1062,'Zgłoszenia'!$S$5:$S$504,0)),RIGHT("0"&amp;DAY((A1062+1)),2)&amp;"."&amp;RIGHT("0"&amp;MONTH((A1062+1)),2)&amp;"."&amp;YEAR((A1062+1))&amp;": "&amp;INDEX('Zgłoszenia'!$H$5:$H$504,MATCH(F1062&amp;"|"&amp;(A1062+1),'Zgłoszenia'!$S$5:$S$504,0)))&amp;IF(K1062&gt;1," (+"&amp;(K1062-1)&amp;")",""))</f>
        <v/>
      </c>
      <c r="M1062" s="63" t="n">
        <v>14</v>
      </c>
      <c r="N1062" s="2" t="n"/>
      <c r="O1062" s="2" t="n"/>
    </row>
    <row r="1063">
      <c r="A1063" s="62">
        <f>IF('14'!$C$1="","",'14'!$C$1)</f>
        <v/>
      </c>
      <c r="B1063" s="63">
        <f>Ustawienia!$A$8&amp;""</f>
        <v/>
      </c>
      <c r="C1063" s="63">
        <f>Ustawienia!$A$15&amp;""</f>
        <v/>
      </c>
      <c r="D1063" s="63" t="n">
        <v>3</v>
      </c>
      <c r="E1063" s="63">
        <f>IF('14'!B15="","",TRIM('14'!B15&amp;""))</f>
        <v/>
      </c>
      <c r="F1063" s="63">
        <f>IF('14'!C15="","",'14'!C15)</f>
        <v/>
      </c>
      <c r="G1063" s="63">
        <f>'14'!D15&amp;""</f>
        <v/>
      </c>
      <c r="H1063" s="63">
        <f>IF(OR(A1063="",F1063=""),"",F1063&amp;"|"&amp;A1063)</f>
        <v/>
      </c>
      <c r="I1063" s="63">
        <f>IF(AND(H1063&lt;&gt;"",OR('Historia wózka'!$B$4="",F1063='Historia wózka'!$B$4),A1063&gt;='Historia wózka'!$B$5,A1063&lt;='Historia wózka'!$B$6),A1063+0.9+(5000-ROW())/10000000,0)</f>
        <v/>
      </c>
      <c r="J1063" s="63">
        <f>Ustawienia!$B$8&amp;""</f>
        <v/>
      </c>
      <c r="K1063" s="63">
        <f>IF(H1063="","",COUNTIFS('Zgłoszenia'!$B$5:$B$504,F1063,'Zgłoszenia'!$D$5:$D$504,"&gt;="&amp;A1063,'Zgłoszenia'!$D$5:$D$504,"&lt;="&amp;(A1063+1)))</f>
        <v/>
      </c>
      <c r="L1063" s="63">
        <f>IF(OR(H1063="",K1063=0),"—",IF(ISNUMBER(MATCH(H1063,'Zgłoszenia'!$S$5:$S$504,0)),RIGHT("0"&amp;DAY(A1063),2)&amp;"."&amp;RIGHT("0"&amp;MONTH(A1063),2)&amp;"."&amp;YEAR(A1063)&amp;": "&amp;INDEX('Zgłoszenia'!$H$5:$H$504,MATCH(H1063,'Zgłoszenia'!$S$5:$S$504,0)),RIGHT("0"&amp;DAY((A1063+1)),2)&amp;"."&amp;RIGHT("0"&amp;MONTH((A1063+1)),2)&amp;"."&amp;YEAR((A1063+1))&amp;": "&amp;INDEX('Zgłoszenia'!$H$5:$H$504,MATCH(F1063&amp;"|"&amp;(A1063+1),'Zgłoszenia'!$S$5:$S$504,0)))&amp;IF(K1063&gt;1," (+"&amp;(K1063-1)&amp;")",""))</f>
        <v/>
      </c>
      <c r="M1063" s="63" t="n">
        <v>14</v>
      </c>
      <c r="N1063" s="2" t="n"/>
      <c r="O1063" s="2" t="n"/>
    </row>
    <row r="1064">
      <c r="A1064" s="62">
        <f>IF('14'!$C$1="","",'14'!$C$1)</f>
        <v/>
      </c>
      <c r="B1064" s="63">
        <f>Ustawienia!$A$8&amp;""</f>
        <v/>
      </c>
      <c r="C1064" s="63">
        <f>Ustawienia!$A$15&amp;""</f>
        <v/>
      </c>
      <c r="D1064" s="63" t="n">
        <v>4</v>
      </c>
      <c r="E1064" s="63">
        <f>IF('14'!B16="","",TRIM('14'!B16&amp;""))</f>
        <v/>
      </c>
      <c r="F1064" s="63">
        <f>IF('14'!C16="","",'14'!C16)</f>
        <v/>
      </c>
      <c r="G1064" s="63">
        <f>'14'!D16&amp;""</f>
        <v/>
      </c>
      <c r="H1064" s="63">
        <f>IF(OR(A1064="",F1064=""),"",F1064&amp;"|"&amp;A1064)</f>
        <v/>
      </c>
      <c r="I1064" s="63">
        <f>IF(AND(H1064&lt;&gt;"",OR('Historia wózka'!$B$4="",F1064='Historia wózka'!$B$4),A1064&gt;='Historia wózka'!$B$5,A1064&lt;='Historia wózka'!$B$6),A1064+0.9+(5000-ROW())/10000000,0)</f>
        <v/>
      </c>
      <c r="J1064" s="63">
        <f>Ustawienia!$B$8&amp;""</f>
        <v/>
      </c>
      <c r="K1064" s="63">
        <f>IF(H1064="","",COUNTIFS('Zgłoszenia'!$B$5:$B$504,F1064,'Zgłoszenia'!$D$5:$D$504,"&gt;="&amp;A1064,'Zgłoszenia'!$D$5:$D$504,"&lt;="&amp;(A1064+1)))</f>
        <v/>
      </c>
      <c r="L1064" s="63">
        <f>IF(OR(H1064="",K1064=0),"—",IF(ISNUMBER(MATCH(H1064,'Zgłoszenia'!$S$5:$S$504,0)),RIGHT("0"&amp;DAY(A1064),2)&amp;"."&amp;RIGHT("0"&amp;MONTH(A1064),2)&amp;"."&amp;YEAR(A1064)&amp;": "&amp;INDEX('Zgłoszenia'!$H$5:$H$504,MATCH(H1064,'Zgłoszenia'!$S$5:$S$504,0)),RIGHT("0"&amp;DAY((A1064+1)),2)&amp;"."&amp;RIGHT("0"&amp;MONTH((A1064+1)),2)&amp;"."&amp;YEAR((A1064+1))&amp;": "&amp;INDEX('Zgłoszenia'!$H$5:$H$504,MATCH(F1064&amp;"|"&amp;(A1064+1),'Zgłoszenia'!$S$5:$S$504,0)))&amp;IF(K1064&gt;1," (+"&amp;(K1064-1)&amp;")",""))</f>
        <v/>
      </c>
      <c r="M1064" s="63" t="n">
        <v>14</v>
      </c>
      <c r="N1064" s="2" t="n"/>
      <c r="O1064" s="2" t="n"/>
    </row>
    <row r="1065">
      <c r="A1065" s="62">
        <f>IF('14'!$C$1="","",'14'!$C$1)</f>
        <v/>
      </c>
      <c r="B1065" s="63">
        <f>Ustawienia!$A$8&amp;""</f>
        <v/>
      </c>
      <c r="C1065" s="63">
        <f>Ustawienia!$A$15&amp;""</f>
        <v/>
      </c>
      <c r="D1065" s="63" t="n">
        <v>5</v>
      </c>
      <c r="E1065" s="63">
        <f>IF('14'!B17="","",TRIM('14'!B17&amp;""))</f>
        <v/>
      </c>
      <c r="F1065" s="63">
        <f>IF('14'!C17="","",'14'!C17)</f>
        <v/>
      </c>
      <c r="G1065" s="63">
        <f>'14'!D17&amp;""</f>
        <v/>
      </c>
      <c r="H1065" s="63">
        <f>IF(OR(A1065="",F1065=""),"",F1065&amp;"|"&amp;A1065)</f>
        <v/>
      </c>
      <c r="I1065" s="63">
        <f>IF(AND(H1065&lt;&gt;"",OR('Historia wózka'!$B$4="",F1065='Historia wózka'!$B$4),A1065&gt;='Historia wózka'!$B$5,A1065&lt;='Historia wózka'!$B$6),A1065+0.9+(5000-ROW())/10000000,0)</f>
        <v/>
      </c>
      <c r="J1065" s="63">
        <f>Ustawienia!$B$8&amp;""</f>
        <v/>
      </c>
      <c r="K1065" s="63">
        <f>IF(H1065="","",COUNTIFS('Zgłoszenia'!$B$5:$B$504,F1065,'Zgłoszenia'!$D$5:$D$504,"&gt;="&amp;A1065,'Zgłoszenia'!$D$5:$D$504,"&lt;="&amp;(A1065+1)))</f>
        <v/>
      </c>
      <c r="L1065" s="63">
        <f>IF(OR(H1065="",K1065=0),"—",IF(ISNUMBER(MATCH(H1065,'Zgłoszenia'!$S$5:$S$504,0)),RIGHT("0"&amp;DAY(A1065),2)&amp;"."&amp;RIGHT("0"&amp;MONTH(A1065),2)&amp;"."&amp;YEAR(A1065)&amp;": "&amp;INDEX('Zgłoszenia'!$H$5:$H$504,MATCH(H1065,'Zgłoszenia'!$S$5:$S$504,0)),RIGHT("0"&amp;DAY((A1065+1)),2)&amp;"."&amp;RIGHT("0"&amp;MONTH((A1065+1)),2)&amp;"."&amp;YEAR((A1065+1))&amp;": "&amp;INDEX('Zgłoszenia'!$H$5:$H$504,MATCH(F1065&amp;"|"&amp;(A1065+1),'Zgłoszenia'!$S$5:$S$504,0)))&amp;IF(K1065&gt;1," (+"&amp;(K1065-1)&amp;")",""))</f>
        <v/>
      </c>
      <c r="M1065" s="63" t="n">
        <v>14</v>
      </c>
      <c r="N1065" s="2" t="n"/>
      <c r="O1065" s="2" t="n"/>
    </row>
    <row r="1066">
      <c r="A1066" s="62">
        <f>IF('14'!$C$1="","",'14'!$C$1)</f>
        <v/>
      </c>
      <c r="B1066" s="63">
        <f>Ustawienia!$A$8&amp;""</f>
        <v/>
      </c>
      <c r="C1066" s="63">
        <f>Ustawienia!$A$15&amp;""</f>
        <v/>
      </c>
      <c r="D1066" s="63" t="n">
        <v>6</v>
      </c>
      <c r="E1066" s="63">
        <f>IF('14'!B18="","",TRIM('14'!B18&amp;""))</f>
        <v/>
      </c>
      <c r="F1066" s="63">
        <f>IF('14'!C18="","",'14'!C18)</f>
        <v/>
      </c>
      <c r="G1066" s="63">
        <f>'14'!D18&amp;""</f>
        <v/>
      </c>
      <c r="H1066" s="63">
        <f>IF(OR(A1066="",F1066=""),"",F1066&amp;"|"&amp;A1066)</f>
        <v/>
      </c>
      <c r="I1066" s="63">
        <f>IF(AND(H1066&lt;&gt;"",OR('Historia wózka'!$B$4="",F1066='Historia wózka'!$B$4),A1066&gt;='Historia wózka'!$B$5,A1066&lt;='Historia wózka'!$B$6),A1066+0.9+(5000-ROW())/10000000,0)</f>
        <v/>
      </c>
      <c r="J1066" s="63">
        <f>Ustawienia!$B$8&amp;""</f>
        <v/>
      </c>
      <c r="K1066" s="63">
        <f>IF(H1066="","",COUNTIFS('Zgłoszenia'!$B$5:$B$504,F1066,'Zgłoszenia'!$D$5:$D$504,"&gt;="&amp;A1066,'Zgłoszenia'!$D$5:$D$504,"&lt;="&amp;(A1066+1)))</f>
        <v/>
      </c>
      <c r="L1066" s="63">
        <f>IF(OR(H1066="",K1066=0),"—",IF(ISNUMBER(MATCH(H1066,'Zgłoszenia'!$S$5:$S$504,0)),RIGHT("0"&amp;DAY(A1066),2)&amp;"."&amp;RIGHT("0"&amp;MONTH(A1066),2)&amp;"."&amp;YEAR(A1066)&amp;": "&amp;INDEX('Zgłoszenia'!$H$5:$H$504,MATCH(H1066,'Zgłoszenia'!$S$5:$S$504,0)),RIGHT("0"&amp;DAY((A1066+1)),2)&amp;"."&amp;RIGHT("0"&amp;MONTH((A1066+1)),2)&amp;"."&amp;YEAR((A1066+1))&amp;": "&amp;INDEX('Zgłoszenia'!$H$5:$H$504,MATCH(F1066&amp;"|"&amp;(A1066+1),'Zgłoszenia'!$S$5:$S$504,0)))&amp;IF(K1066&gt;1," (+"&amp;(K1066-1)&amp;")",""))</f>
        <v/>
      </c>
      <c r="M1066" s="63" t="n">
        <v>14</v>
      </c>
      <c r="N1066" s="2" t="n"/>
      <c r="O1066" s="2" t="n"/>
    </row>
    <row r="1067">
      <c r="A1067" s="62">
        <f>IF('14'!$C$1="","",'14'!$C$1)</f>
        <v/>
      </c>
      <c r="B1067" s="63">
        <f>Ustawienia!$A$8&amp;""</f>
        <v/>
      </c>
      <c r="C1067" s="63">
        <f>Ustawienia!$A$15&amp;""</f>
        <v/>
      </c>
      <c r="D1067" s="63" t="n">
        <v>7</v>
      </c>
      <c r="E1067" s="63">
        <f>IF('14'!B19="","",TRIM('14'!B19&amp;""))</f>
        <v/>
      </c>
      <c r="F1067" s="63">
        <f>IF('14'!C19="","",'14'!C19)</f>
        <v/>
      </c>
      <c r="G1067" s="63">
        <f>'14'!D19&amp;""</f>
        <v/>
      </c>
      <c r="H1067" s="63">
        <f>IF(OR(A1067="",F1067=""),"",F1067&amp;"|"&amp;A1067)</f>
        <v/>
      </c>
      <c r="I1067" s="63">
        <f>IF(AND(H1067&lt;&gt;"",OR('Historia wózka'!$B$4="",F1067='Historia wózka'!$B$4),A1067&gt;='Historia wózka'!$B$5,A1067&lt;='Historia wózka'!$B$6),A1067+0.9+(5000-ROW())/10000000,0)</f>
        <v/>
      </c>
      <c r="J1067" s="63">
        <f>Ustawienia!$B$8&amp;""</f>
        <v/>
      </c>
      <c r="K1067" s="63">
        <f>IF(H1067="","",COUNTIFS('Zgłoszenia'!$B$5:$B$504,F1067,'Zgłoszenia'!$D$5:$D$504,"&gt;="&amp;A1067,'Zgłoszenia'!$D$5:$D$504,"&lt;="&amp;(A1067+1)))</f>
        <v/>
      </c>
      <c r="L1067" s="63">
        <f>IF(OR(H1067="",K1067=0),"—",IF(ISNUMBER(MATCH(H1067,'Zgłoszenia'!$S$5:$S$504,0)),RIGHT("0"&amp;DAY(A1067),2)&amp;"."&amp;RIGHT("0"&amp;MONTH(A1067),2)&amp;"."&amp;YEAR(A1067)&amp;": "&amp;INDEX('Zgłoszenia'!$H$5:$H$504,MATCH(H1067,'Zgłoszenia'!$S$5:$S$504,0)),RIGHT("0"&amp;DAY((A1067+1)),2)&amp;"."&amp;RIGHT("0"&amp;MONTH((A1067+1)),2)&amp;"."&amp;YEAR((A1067+1))&amp;": "&amp;INDEX('Zgłoszenia'!$H$5:$H$504,MATCH(F1067&amp;"|"&amp;(A1067+1),'Zgłoszenia'!$S$5:$S$504,0)))&amp;IF(K1067&gt;1," (+"&amp;(K1067-1)&amp;")",""))</f>
        <v/>
      </c>
      <c r="M1067" s="63" t="n">
        <v>14</v>
      </c>
      <c r="N1067" s="2" t="n"/>
      <c r="O1067" s="2" t="n"/>
    </row>
    <row r="1068">
      <c r="A1068" s="62">
        <f>IF('14'!$C$1="","",'14'!$C$1)</f>
        <v/>
      </c>
      <c r="B1068" s="63">
        <f>Ustawienia!$A$8&amp;""</f>
        <v/>
      </c>
      <c r="C1068" s="63">
        <f>Ustawienia!$A$15&amp;""</f>
        <v/>
      </c>
      <c r="D1068" s="63" t="n">
        <v>8</v>
      </c>
      <c r="E1068" s="63">
        <f>IF('14'!B20="","",TRIM('14'!B20&amp;""))</f>
        <v/>
      </c>
      <c r="F1068" s="63">
        <f>IF('14'!C20="","",'14'!C20)</f>
        <v/>
      </c>
      <c r="G1068" s="63">
        <f>'14'!D20&amp;""</f>
        <v/>
      </c>
      <c r="H1068" s="63">
        <f>IF(OR(A1068="",F1068=""),"",F1068&amp;"|"&amp;A1068)</f>
        <v/>
      </c>
      <c r="I1068" s="63">
        <f>IF(AND(H1068&lt;&gt;"",OR('Historia wózka'!$B$4="",F1068='Historia wózka'!$B$4),A1068&gt;='Historia wózka'!$B$5,A1068&lt;='Historia wózka'!$B$6),A1068+0.9+(5000-ROW())/10000000,0)</f>
        <v/>
      </c>
      <c r="J1068" s="63">
        <f>Ustawienia!$B$8&amp;""</f>
        <v/>
      </c>
      <c r="K1068" s="63">
        <f>IF(H1068="","",COUNTIFS('Zgłoszenia'!$B$5:$B$504,F1068,'Zgłoszenia'!$D$5:$D$504,"&gt;="&amp;A1068,'Zgłoszenia'!$D$5:$D$504,"&lt;="&amp;(A1068+1)))</f>
        <v/>
      </c>
      <c r="L1068" s="63">
        <f>IF(OR(H1068="",K1068=0),"—",IF(ISNUMBER(MATCH(H1068,'Zgłoszenia'!$S$5:$S$504,0)),RIGHT("0"&amp;DAY(A1068),2)&amp;"."&amp;RIGHT("0"&amp;MONTH(A1068),2)&amp;"."&amp;YEAR(A1068)&amp;": "&amp;INDEX('Zgłoszenia'!$H$5:$H$504,MATCH(H1068,'Zgłoszenia'!$S$5:$S$504,0)),RIGHT("0"&amp;DAY((A1068+1)),2)&amp;"."&amp;RIGHT("0"&amp;MONTH((A1068+1)),2)&amp;"."&amp;YEAR((A1068+1))&amp;": "&amp;INDEX('Zgłoszenia'!$H$5:$H$504,MATCH(F1068&amp;"|"&amp;(A1068+1),'Zgłoszenia'!$S$5:$S$504,0)))&amp;IF(K1068&gt;1," (+"&amp;(K1068-1)&amp;")",""))</f>
        <v/>
      </c>
      <c r="M1068" s="63" t="n">
        <v>14</v>
      </c>
      <c r="N1068" s="2" t="n"/>
      <c r="O1068" s="2" t="n"/>
    </row>
    <row r="1069">
      <c r="A1069" s="62">
        <f>IF('14'!$C$1="","",'14'!$C$1)</f>
        <v/>
      </c>
      <c r="B1069" s="63">
        <f>Ustawienia!$A$8&amp;""</f>
        <v/>
      </c>
      <c r="C1069" s="63">
        <f>Ustawienia!$A$16&amp;""</f>
        <v/>
      </c>
      <c r="D1069" s="63" t="n">
        <v>1</v>
      </c>
      <c r="E1069" s="63">
        <f>IF('14'!B22="","",TRIM('14'!B22&amp;""))</f>
        <v/>
      </c>
      <c r="F1069" s="63">
        <f>IF('14'!C22="","",'14'!C22)</f>
        <v/>
      </c>
      <c r="G1069" s="63">
        <f>'14'!D22&amp;""</f>
        <v/>
      </c>
      <c r="H1069" s="63">
        <f>IF(OR(A1069="",F1069=""),"",F1069&amp;"|"&amp;A1069)</f>
        <v/>
      </c>
      <c r="I1069" s="63">
        <f>IF(AND(H1069&lt;&gt;"",OR('Historia wózka'!$B$4="",F1069='Historia wózka'!$B$4),A1069&gt;='Historia wózka'!$B$5,A1069&lt;='Historia wózka'!$B$6),A1069+0.9+(5000-ROW())/10000000,0)</f>
        <v/>
      </c>
      <c r="J1069" s="63">
        <f>Ustawienia!$B$8&amp;""</f>
        <v/>
      </c>
      <c r="K1069" s="63">
        <f>IF(H1069="","",COUNTIFS('Zgłoszenia'!$B$5:$B$504,F1069,'Zgłoszenia'!$D$5:$D$504,"&gt;="&amp;A1069,'Zgłoszenia'!$D$5:$D$504,"&lt;="&amp;(A1069+1)))</f>
        <v/>
      </c>
      <c r="L1069" s="63">
        <f>IF(OR(H1069="",K1069=0),"—",IF(ISNUMBER(MATCH(H1069,'Zgłoszenia'!$S$5:$S$504,0)),RIGHT("0"&amp;DAY(A1069),2)&amp;"."&amp;RIGHT("0"&amp;MONTH(A1069),2)&amp;"."&amp;YEAR(A1069)&amp;": "&amp;INDEX('Zgłoszenia'!$H$5:$H$504,MATCH(H1069,'Zgłoszenia'!$S$5:$S$504,0)),RIGHT("0"&amp;DAY((A1069+1)),2)&amp;"."&amp;RIGHT("0"&amp;MONTH((A1069+1)),2)&amp;"."&amp;YEAR((A1069+1))&amp;": "&amp;INDEX('Zgłoszenia'!$H$5:$H$504,MATCH(F1069&amp;"|"&amp;(A1069+1),'Zgłoszenia'!$S$5:$S$504,0)))&amp;IF(K1069&gt;1," (+"&amp;(K1069-1)&amp;")",""))</f>
        <v/>
      </c>
      <c r="M1069" s="63" t="n">
        <v>14</v>
      </c>
      <c r="N1069" s="2" t="n"/>
      <c r="O1069" s="2" t="n"/>
    </row>
    <row r="1070">
      <c r="A1070" s="62">
        <f>IF('14'!$C$1="","",'14'!$C$1)</f>
        <v/>
      </c>
      <c r="B1070" s="63">
        <f>Ustawienia!$A$8&amp;""</f>
        <v/>
      </c>
      <c r="C1070" s="63">
        <f>Ustawienia!$A$16&amp;""</f>
        <v/>
      </c>
      <c r="D1070" s="63" t="n">
        <v>2</v>
      </c>
      <c r="E1070" s="63">
        <f>IF('14'!B23="","",TRIM('14'!B23&amp;""))</f>
        <v/>
      </c>
      <c r="F1070" s="63">
        <f>IF('14'!C23="","",'14'!C23)</f>
        <v/>
      </c>
      <c r="G1070" s="63">
        <f>'14'!D23&amp;""</f>
        <v/>
      </c>
      <c r="H1070" s="63">
        <f>IF(OR(A1070="",F1070=""),"",F1070&amp;"|"&amp;A1070)</f>
        <v/>
      </c>
      <c r="I1070" s="63">
        <f>IF(AND(H1070&lt;&gt;"",OR('Historia wózka'!$B$4="",F1070='Historia wózka'!$B$4),A1070&gt;='Historia wózka'!$B$5,A1070&lt;='Historia wózka'!$B$6),A1070+0.9+(5000-ROW())/10000000,0)</f>
        <v/>
      </c>
      <c r="J1070" s="63">
        <f>Ustawienia!$B$8&amp;""</f>
        <v/>
      </c>
      <c r="K1070" s="63">
        <f>IF(H1070="","",COUNTIFS('Zgłoszenia'!$B$5:$B$504,F1070,'Zgłoszenia'!$D$5:$D$504,"&gt;="&amp;A1070,'Zgłoszenia'!$D$5:$D$504,"&lt;="&amp;(A1070+1)))</f>
        <v/>
      </c>
      <c r="L1070" s="63">
        <f>IF(OR(H1070="",K1070=0),"—",IF(ISNUMBER(MATCH(H1070,'Zgłoszenia'!$S$5:$S$504,0)),RIGHT("0"&amp;DAY(A1070),2)&amp;"."&amp;RIGHT("0"&amp;MONTH(A1070),2)&amp;"."&amp;YEAR(A1070)&amp;": "&amp;INDEX('Zgłoszenia'!$H$5:$H$504,MATCH(H1070,'Zgłoszenia'!$S$5:$S$504,0)),RIGHT("0"&amp;DAY((A1070+1)),2)&amp;"."&amp;RIGHT("0"&amp;MONTH((A1070+1)),2)&amp;"."&amp;YEAR((A1070+1))&amp;": "&amp;INDEX('Zgłoszenia'!$H$5:$H$504,MATCH(F1070&amp;"|"&amp;(A1070+1),'Zgłoszenia'!$S$5:$S$504,0)))&amp;IF(K1070&gt;1," (+"&amp;(K1070-1)&amp;")",""))</f>
        <v/>
      </c>
      <c r="M1070" s="63" t="n">
        <v>14</v>
      </c>
      <c r="N1070" s="2" t="n"/>
      <c r="O1070" s="2" t="n"/>
    </row>
    <row r="1071">
      <c r="A1071" s="62">
        <f>IF('14'!$C$1="","",'14'!$C$1)</f>
        <v/>
      </c>
      <c r="B1071" s="63">
        <f>Ustawienia!$A$8&amp;""</f>
        <v/>
      </c>
      <c r="C1071" s="63">
        <f>Ustawienia!$A$16&amp;""</f>
        <v/>
      </c>
      <c r="D1071" s="63" t="n">
        <v>3</v>
      </c>
      <c r="E1071" s="63">
        <f>IF('14'!B24="","",TRIM('14'!B24&amp;""))</f>
        <v/>
      </c>
      <c r="F1071" s="63">
        <f>IF('14'!C24="","",'14'!C24)</f>
        <v/>
      </c>
      <c r="G1071" s="63">
        <f>'14'!D24&amp;""</f>
        <v/>
      </c>
      <c r="H1071" s="63">
        <f>IF(OR(A1071="",F1071=""),"",F1071&amp;"|"&amp;A1071)</f>
        <v/>
      </c>
      <c r="I1071" s="63">
        <f>IF(AND(H1071&lt;&gt;"",OR('Historia wózka'!$B$4="",F1071='Historia wózka'!$B$4),A1071&gt;='Historia wózka'!$B$5,A1071&lt;='Historia wózka'!$B$6),A1071+0.9+(5000-ROW())/10000000,0)</f>
        <v/>
      </c>
      <c r="J1071" s="63">
        <f>Ustawienia!$B$8&amp;""</f>
        <v/>
      </c>
      <c r="K1071" s="63">
        <f>IF(H1071="","",COUNTIFS('Zgłoszenia'!$B$5:$B$504,F1071,'Zgłoszenia'!$D$5:$D$504,"&gt;="&amp;A1071,'Zgłoszenia'!$D$5:$D$504,"&lt;="&amp;(A1071+1)))</f>
        <v/>
      </c>
      <c r="L1071" s="63">
        <f>IF(OR(H1071="",K1071=0),"—",IF(ISNUMBER(MATCH(H1071,'Zgłoszenia'!$S$5:$S$504,0)),RIGHT("0"&amp;DAY(A1071),2)&amp;"."&amp;RIGHT("0"&amp;MONTH(A1071),2)&amp;"."&amp;YEAR(A1071)&amp;": "&amp;INDEX('Zgłoszenia'!$H$5:$H$504,MATCH(H1071,'Zgłoszenia'!$S$5:$S$504,0)),RIGHT("0"&amp;DAY((A1071+1)),2)&amp;"."&amp;RIGHT("0"&amp;MONTH((A1071+1)),2)&amp;"."&amp;YEAR((A1071+1))&amp;": "&amp;INDEX('Zgłoszenia'!$H$5:$H$504,MATCH(F1071&amp;"|"&amp;(A1071+1),'Zgłoszenia'!$S$5:$S$504,0)))&amp;IF(K1071&gt;1," (+"&amp;(K1071-1)&amp;")",""))</f>
        <v/>
      </c>
      <c r="M1071" s="63" t="n">
        <v>14</v>
      </c>
      <c r="N1071" s="2" t="n"/>
      <c r="O1071" s="2" t="n"/>
    </row>
    <row r="1072">
      <c r="A1072" s="62">
        <f>IF('14'!$C$1="","",'14'!$C$1)</f>
        <v/>
      </c>
      <c r="B1072" s="63">
        <f>Ustawienia!$A$8&amp;""</f>
        <v/>
      </c>
      <c r="C1072" s="63">
        <f>Ustawienia!$A$16&amp;""</f>
        <v/>
      </c>
      <c r="D1072" s="63" t="n">
        <v>4</v>
      </c>
      <c r="E1072" s="63">
        <f>IF('14'!B25="","",TRIM('14'!B25&amp;""))</f>
        <v/>
      </c>
      <c r="F1072" s="63">
        <f>IF('14'!C25="","",'14'!C25)</f>
        <v/>
      </c>
      <c r="G1072" s="63">
        <f>'14'!D25&amp;""</f>
        <v/>
      </c>
      <c r="H1072" s="63">
        <f>IF(OR(A1072="",F1072=""),"",F1072&amp;"|"&amp;A1072)</f>
        <v/>
      </c>
      <c r="I1072" s="63">
        <f>IF(AND(H1072&lt;&gt;"",OR('Historia wózka'!$B$4="",F1072='Historia wózka'!$B$4),A1072&gt;='Historia wózka'!$B$5,A1072&lt;='Historia wózka'!$B$6),A1072+0.9+(5000-ROW())/10000000,0)</f>
        <v/>
      </c>
      <c r="J1072" s="63">
        <f>Ustawienia!$B$8&amp;""</f>
        <v/>
      </c>
      <c r="K1072" s="63">
        <f>IF(H1072="","",COUNTIFS('Zgłoszenia'!$B$5:$B$504,F1072,'Zgłoszenia'!$D$5:$D$504,"&gt;="&amp;A1072,'Zgłoszenia'!$D$5:$D$504,"&lt;="&amp;(A1072+1)))</f>
        <v/>
      </c>
      <c r="L1072" s="63">
        <f>IF(OR(H1072="",K1072=0),"—",IF(ISNUMBER(MATCH(H1072,'Zgłoszenia'!$S$5:$S$504,0)),RIGHT("0"&amp;DAY(A1072),2)&amp;"."&amp;RIGHT("0"&amp;MONTH(A1072),2)&amp;"."&amp;YEAR(A1072)&amp;": "&amp;INDEX('Zgłoszenia'!$H$5:$H$504,MATCH(H1072,'Zgłoszenia'!$S$5:$S$504,0)),RIGHT("0"&amp;DAY((A1072+1)),2)&amp;"."&amp;RIGHT("0"&amp;MONTH((A1072+1)),2)&amp;"."&amp;YEAR((A1072+1))&amp;": "&amp;INDEX('Zgłoszenia'!$H$5:$H$504,MATCH(F1072&amp;"|"&amp;(A1072+1),'Zgłoszenia'!$S$5:$S$504,0)))&amp;IF(K1072&gt;1," (+"&amp;(K1072-1)&amp;")",""))</f>
        <v/>
      </c>
      <c r="M1072" s="63" t="n">
        <v>14</v>
      </c>
      <c r="N1072" s="2" t="n"/>
      <c r="O1072" s="2" t="n"/>
    </row>
    <row r="1073">
      <c r="A1073" s="62">
        <f>IF('14'!$C$1="","",'14'!$C$1)</f>
        <v/>
      </c>
      <c r="B1073" s="63">
        <f>Ustawienia!$A$8&amp;""</f>
        <v/>
      </c>
      <c r="C1073" s="63">
        <f>Ustawienia!$A$17&amp;""</f>
        <v/>
      </c>
      <c r="D1073" s="63" t="n">
        <v>1</v>
      </c>
      <c r="E1073" s="63">
        <f>IF('14'!B27="","",TRIM('14'!B27&amp;""))</f>
        <v/>
      </c>
      <c r="F1073" s="63">
        <f>IF('14'!C27="","",'14'!C27)</f>
        <v/>
      </c>
      <c r="G1073" s="63">
        <f>'14'!D27&amp;""</f>
        <v/>
      </c>
      <c r="H1073" s="63">
        <f>IF(OR(A1073="",F1073=""),"",F1073&amp;"|"&amp;A1073)</f>
        <v/>
      </c>
      <c r="I1073" s="63">
        <f>IF(AND(H1073&lt;&gt;"",OR('Historia wózka'!$B$4="",F1073='Historia wózka'!$B$4),A1073&gt;='Historia wózka'!$B$5,A1073&lt;='Historia wózka'!$B$6),A1073+0.9+(5000-ROW())/10000000,0)</f>
        <v/>
      </c>
      <c r="J1073" s="63">
        <f>Ustawienia!$B$8&amp;""</f>
        <v/>
      </c>
      <c r="K1073" s="63">
        <f>IF(H1073="","",COUNTIFS('Zgłoszenia'!$B$5:$B$504,F1073,'Zgłoszenia'!$D$5:$D$504,"&gt;="&amp;A1073,'Zgłoszenia'!$D$5:$D$504,"&lt;="&amp;(A1073+1)))</f>
        <v/>
      </c>
      <c r="L1073" s="63">
        <f>IF(OR(H1073="",K1073=0),"—",IF(ISNUMBER(MATCH(H1073,'Zgłoszenia'!$S$5:$S$504,0)),RIGHT("0"&amp;DAY(A1073),2)&amp;"."&amp;RIGHT("0"&amp;MONTH(A1073),2)&amp;"."&amp;YEAR(A1073)&amp;": "&amp;INDEX('Zgłoszenia'!$H$5:$H$504,MATCH(H1073,'Zgłoszenia'!$S$5:$S$504,0)),RIGHT("0"&amp;DAY((A1073+1)),2)&amp;"."&amp;RIGHT("0"&amp;MONTH((A1073+1)),2)&amp;"."&amp;YEAR((A1073+1))&amp;": "&amp;INDEX('Zgłoszenia'!$H$5:$H$504,MATCH(F1073&amp;"|"&amp;(A1073+1),'Zgłoszenia'!$S$5:$S$504,0)))&amp;IF(K1073&gt;1," (+"&amp;(K1073-1)&amp;")",""))</f>
        <v/>
      </c>
      <c r="M1073" s="63" t="n">
        <v>14</v>
      </c>
      <c r="N1073" s="2" t="n"/>
      <c r="O1073" s="2" t="n"/>
    </row>
    <row r="1074">
      <c r="A1074" s="62">
        <f>IF('14'!$C$1="","",'14'!$C$1)</f>
        <v/>
      </c>
      <c r="B1074" s="63">
        <f>Ustawienia!$A$8&amp;""</f>
        <v/>
      </c>
      <c r="C1074" s="63">
        <f>Ustawienia!$A$17&amp;""</f>
        <v/>
      </c>
      <c r="D1074" s="63" t="n">
        <v>2</v>
      </c>
      <c r="E1074" s="63">
        <f>IF('14'!B28="","",TRIM('14'!B28&amp;""))</f>
        <v/>
      </c>
      <c r="F1074" s="63">
        <f>IF('14'!C28="","",'14'!C28)</f>
        <v/>
      </c>
      <c r="G1074" s="63">
        <f>'14'!D28&amp;""</f>
        <v/>
      </c>
      <c r="H1074" s="63">
        <f>IF(OR(A1074="",F1074=""),"",F1074&amp;"|"&amp;A1074)</f>
        <v/>
      </c>
      <c r="I1074" s="63">
        <f>IF(AND(H1074&lt;&gt;"",OR('Historia wózka'!$B$4="",F1074='Historia wózka'!$B$4),A1074&gt;='Historia wózka'!$B$5,A1074&lt;='Historia wózka'!$B$6),A1074+0.9+(5000-ROW())/10000000,0)</f>
        <v/>
      </c>
      <c r="J1074" s="63">
        <f>Ustawienia!$B$8&amp;""</f>
        <v/>
      </c>
      <c r="K1074" s="63">
        <f>IF(H1074="","",COUNTIFS('Zgłoszenia'!$B$5:$B$504,F1074,'Zgłoszenia'!$D$5:$D$504,"&gt;="&amp;A1074,'Zgłoszenia'!$D$5:$D$504,"&lt;="&amp;(A1074+1)))</f>
        <v/>
      </c>
      <c r="L1074" s="63">
        <f>IF(OR(H1074="",K1074=0),"—",IF(ISNUMBER(MATCH(H1074,'Zgłoszenia'!$S$5:$S$504,0)),RIGHT("0"&amp;DAY(A1074),2)&amp;"."&amp;RIGHT("0"&amp;MONTH(A1074),2)&amp;"."&amp;YEAR(A1074)&amp;": "&amp;INDEX('Zgłoszenia'!$H$5:$H$504,MATCH(H1074,'Zgłoszenia'!$S$5:$S$504,0)),RIGHT("0"&amp;DAY((A1074+1)),2)&amp;"."&amp;RIGHT("0"&amp;MONTH((A1074+1)),2)&amp;"."&amp;YEAR((A1074+1))&amp;": "&amp;INDEX('Zgłoszenia'!$H$5:$H$504,MATCH(F1074&amp;"|"&amp;(A1074+1),'Zgłoszenia'!$S$5:$S$504,0)))&amp;IF(K1074&gt;1," (+"&amp;(K1074-1)&amp;")",""))</f>
        <v/>
      </c>
      <c r="M1074" s="63" t="n">
        <v>14</v>
      </c>
      <c r="N1074" s="2" t="n"/>
      <c r="O1074" s="2" t="n"/>
    </row>
    <row r="1075">
      <c r="A1075" s="62">
        <f>IF('14'!$C$1="","",'14'!$C$1)</f>
        <v/>
      </c>
      <c r="B1075" s="63">
        <f>Ustawienia!$A$8&amp;""</f>
        <v/>
      </c>
      <c r="C1075" s="63">
        <f>Ustawienia!$A$17&amp;""</f>
        <v/>
      </c>
      <c r="D1075" s="63" t="n">
        <v>3</v>
      </c>
      <c r="E1075" s="63">
        <f>IF('14'!B29="","",TRIM('14'!B29&amp;""))</f>
        <v/>
      </c>
      <c r="F1075" s="63">
        <f>IF('14'!C29="","",'14'!C29)</f>
        <v/>
      </c>
      <c r="G1075" s="63">
        <f>'14'!D29&amp;""</f>
        <v/>
      </c>
      <c r="H1075" s="63">
        <f>IF(OR(A1075="",F1075=""),"",F1075&amp;"|"&amp;A1075)</f>
        <v/>
      </c>
      <c r="I1075" s="63">
        <f>IF(AND(H1075&lt;&gt;"",OR('Historia wózka'!$B$4="",F1075='Historia wózka'!$B$4),A1075&gt;='Historia wózka'!$B$5,A1075&lt;='Historia wózka'!$B$6),A1075+0.9+(5000-ROW())/10000000,0)</f>
        <v/>
      </c>
      <c r="J1075" s="63">
        <f>Ustawienia!$B$8&amp;""</f>
        <v/>
      </c>
      <c r="K1075" s="63">
        <f>IF(H1075="","",COUNTIFS('Zgłoszenia'!$B$5:$B$504,F1075,'Zgłoszenia'!$D$5:$D$504,"&gt;="&amp;A1075,'Zgłoszenia'!$D$5:$D$504,"&lt;="&amp;(A1075+1)))</f>
        <v/>
      </c>
      <c r="L1075" s="63">
        <f>IF(OR(H1075="",K1075=0),"—",IF(ISNUMBER(MATCH(H1075,'Zgłoszenia'!$S$5:$S$504,0)),RIGHT("0"&amp;DAY(A1075),2)&amp;"."&amp;RIGHT("0"&amp;MONTH(A1075),2)&amp;"."&amp;YEAR(A1075)&amp;": "&amp;INDEX('Zgłoszenia'!$H$5:$H$504,MATCH(H1075,'Zgłoszenia'!$S$5:$S$504,0)),RIGHT("0"&amp;DAY((A1075+1)),2)&amp;"."&amp;RIGHT("0"&amp;MONTH((A1075+1)),2)&amp;"."&amp;YEAR((A1075+1))&amp;": "&amp;INDEX('Zgłoszenia'!$H$5:$H$504,MATCH(F1075&amp;"|"&amp;(A1075+1),'Zgłoszenia'!$S$5:$S$504,0)))&amp;IF(K1075&gt;1," (+"&amp;(K1075-1)&amp;")",""))</f>
        <v/>
      </c>
      <c r="M1075" s="63" t="n">
        <v>14</v>
      </c>
      <c r="N1075" s="2" t="n"/>
      <c r="O1075" s="2" t="n"/>
    </row>
    <row r="1076">
      <c r="A1076" s="62">
        <f>IF('14'!$C$1="","",'14'!$C$1)</f>
        <v/>
      </c>
      <c r="B1076" s="63">
        <f>Ustawienia!$A$8&amp;""</f>
        <v/>
      </c>
      <c r="C1076" s="63">
        <f>Ustawienia!$A$17&amp;""</f>
        <v/>
      </c>
      <c r="D1076" s="63" t="n">
        <v>4</v>
      </c>
      <c r="E1076" s="63">
        <f>IF('14'!B30="","",TRIM('14'!B30&amp;""))</f>
        <v/>
      </c>
      <c r="F1076" s="63">
        <f>IF('14'!C30="","",'14'!C30)</f>
        <v/>
      </c>
      <c r="G1076" s="63">
        <f>'14'!D30&amp;""</f>
        <v/>
      </c>
      <c r="H1076" s="63">
        <f>IF(OR(A1076="",F1076=""),"",F1076&amp;"|"&amp;A1076)</f>
        <v/>
      </c>
      <c r="I1076" s="63">
        <f>IF(AND(H1076&lt;&gt;"",OR('Historia wózka'!$B$4="",F1076='Historia wózka'!$B$4),A1076&gt;='Historia wózka'!$B$5,A1076&lt;='Historia wózka'!$B$6),A1076+0.9+(5000-ROW())/10000000,0)</f>
        <v/>
      </c>
      <c r="J1076" s="63">
        <f>Ustawienia!$B$8&amp;""</f>
        <v/>
      </c>
      <c r="K1076" s="63">
        <f>IF(H1076="","",COUNTIFS('Zgłoszenia'!$B$5:$B$504,F1076,'Zgłoszenia'!$D$5:$D$504,"&gt;="&amp;A1076,'Zgłoszenia'!$D$5:$D$504,"&lt;="&amp;(A1076+1)))</f>
        <v/>
      </c>
      <c r="L1076" s="63">
        <f>IF(OR(H1076="",K1076=0),"—",IF(ISNUMBER(MATCH(H1076,'Zgłoszenia'!$S$5:$S$504,0)),RIGHT("0"&amp;DAY(A1076),2)&amp;"."&amp;RIGHT("0"&amp;MONTH(A1076),2)&amp;"."&amp;YEAR(A1076)&amp;": "&amp;INDEX('Zgłoszenia'!$H$5:$H$504,MATCH(H1076,'Zgłoszenia'!$S$5:$S$504,0)),RIGHT("0"&amp;DAY((A1076+1)),2)&amp;"."&amp;RIGHT("0"&amp;MONTH((A1076+1)),2)&amp;"."&amp;YEAR((A1076+1))&amp;": "&amp;INDEX('Zgłoszenia'!$H$5:$H$504,MATCH(F1076&amp;"|"&amp;(A1076+1),'Zgłoszenia'!$S$5:$S$504,0)))&amp;IF(K1076&gt;1," (+"&amp;(K1076-1)&amp;")",""))</f>
        <v/>
      </c>
      <c r="M1076" s="63" t="n">
        <v>14</v>
      </c>
      <c r="N1076" s="2" t="n"/>
      <c r="O1076" s="2" t="n"/>
    </row>
    <row r="1077">
      <c r="A1077" s="62">
        <f>IF('14'!$C$1="","",'14'!$C$1)</f>
        <v/>
      </c>
      <c r="B1077" s="63">
        <f>Ustawienia!$A$8&amp;""</f>
        <v/>
      </c>
      <c r="C1077" s="63">
        <f>Ustawienia!$A$18&amp;""</f>
        <v/>
      </c>
      <c r="D1077" s="63" t="n">
        <v>1</v>
      </c>
      <c r="E1077" s="63">
        <f>IF('14'!B32="","",TRIM('14'!B32&amp;""))</f>
        <v/>
      </c>
      <c r="F1077" s="63">
        <f>IF('14'!C32="","",'14'!C32)</f>
        <v/>
      </c>
      <c r="G1077" s="63">
        <f>'14'!D32&amp;""</f>
        <v/>
      </c>
      <c r="H1077" s="63">
        <f>IF(OR(A1077="",F1077=""),"",F1077&amp;"|"&amp;A1077)</f>
        <v/>
      </c>
      <c r="I1077" s="63">
        <f>IF(AND(H1077&lt;&gt;"",OR('Historia wózka'!$B$4="",F1077='Historia wózka'!$B$4),A1077&gt;='Historia wózka'!$B$5,A1077&lt;='Historia wózka'!$B$6),A1077+0.9+(5000-ROW())/10000000,0)</f>
        <v/>
      </c>
      <c r="J1077" s="63">
        <f>Ustawienia!$B$8&amp;""</f>
        <v/>
      </c>
      <c r="K1077" s="63">
        <f>IF(H1077="","",COUNTIFS('Zgłoszenia'!$B$5:$B$504,F1077,'Zgłoszenia'!$D$5:$D$504,"&gt;="&amp;A1077,'Zgłoszenia'!$D$5:$D$504,"&lt;="&amp;(A1077+1)))</f>
        <v/>
      </c>
      <c r="L1077" s="63">
        <f>IF(OR(H1077="",K1077=0),"—",IF(ISNUMBER(MATCH(H1077,'Zgłoszenia'!$S$5:$S$504,0)),RIGHT("0"&amp;DAY(A1077),2)&amp;"."&amp;RIGHT("0"&amp;MONTH(A1077),2)&amp;"."&amp;YEAR(A1077)&amp;": "&amp;INDEX('Zgłoszenia'!$H$5:$H$504,MATCH(H1077,'Zgłoszenia'!$S$5:$S$504,0)),RIGHT("0"&amp;DAY((A1077+1)),2)&amp;"."&amp;RIGHT("0"&amp;MONTH((A1077+1)),2)&amp;"."&amp;YEAR((A1077+1))&amp;": "&amp;INDEX('Zgłoszenia'!$H$5:$H$504,MATCH(F1077&amp;"|"&amp;(A1077+1),'Zgłoszenia'!$S$5:$S$504,0)))&amp;IF(K1077&gt;1," (+"&amp;(K1077-1)&amp;")",""))</f>
        <v/>
      </c>
      <c r="M1077" s="63" t="n">
        <v>14</v>
      </c>
      <c r="N1077" s="2" t="n"/>
      <c r="O1077" s="2" t="n"/>
    </row>
    <row r="1078">
      <c r="A1078" s="62">
        <f>IF('14'!$C$1="","",'14'!$C$1)</f>
        <v/>
      </c>
      <c r="B1078" s="63">
        <f>Ustawienia!$A$8&amp;""</f>
        <v/>
      </c>
      <c r="C1078" s="63">
        <f>Ustawienia!$A$18&amp;""</f>
        <v/>
      </c>
      <c r="D1078" s="63" t="n">
        <v>2</v>
      </c>
      <c r="E1078" s="63">
        <f>IF('14'!B33="","",TRIM('14'!B33&amp;""))</f>
        <v/>
      </c>
      <c r="F1078" s="63">
        <f>IF('14'!C33="","",'14'!C33)</f>
        <v/>
      </c>
      <c r="G1078" s="63">
        <f>'14'!D33&amp;""</f>
        <v/>
      </c>
      <c r="H1078" s="63">
        <f>IF(OR(A1078="",F1078=""),"",F1078&amp;"|"&amp;A1078)</f>
        <v/>
      </c>
      <c r="I1078" s="63">
        <f>IF(AND(H1078&lt;&gt;"",OR('Historia wózka'!$B$4="",F1078='Historia wózka'!$B$4),A1078&gt;='Historia wózka'!$B$5,A1078&lt;='Historia wózka'!$B$6),A1078+0.9+(5000-ROW())/10000000,0)</f>
        <v/>
      </c>
      <c r="J1078" s="63">
        <f>Ustawienia!$B$8&amp;""</f>
        <v/>
      </c>
      <c r="K1078" s="63">
        <f>IF(H1078="","",COUNTIFS('Zgłoszenia'!$B$5:$B$504,F1078,'Zgłoszenia'!$D$5:$D$504,"&gt;="&amp;A1078,'Zgłoszenia'!$D$5:$D$504,"&lt;="&amp;(A1078+1)))</f>
        <v/>
      </c>
      <c r="L1078" s="63">
        <f>IF(OR(H1078="",K1078=0),"—",IF(ISNUMBER(MATCH(H1078,'Zgłoszenia'!$S$5:$S$504,0)),RIGHT("0"&amp;DAY(A1078),2)&amp;"."&amp;RIGHT("0"&amp;MONTH(A1078),2)&amp;"."&amp;YEAR(A1078)&amp;": "&amp;INDEX('Zgłoszenia'!$H$5:$H$504,MATCH(H1078,'Zgłoszenia'!$S$5:$S$504,0)),RIGHT("0"&amp;DAY((A1078+1)),2)&amp;"."&amp;RIGHT("0"&amp;MONTH((A1078+1)),2)&amp;"."&amp;YEAR((A1078+1))&amp;": "&amp;INDEX('Zgłoszenia'!$H$5:$H$504,MATCH(F1078&amp;"|"&amp;(A1078+1),'Zgłoszenia'!$S$5:$S$504,0)))&amp;IF(K1078&gt;1," (+"&amp;(K1078-1)&amp;")",""))</f>
        <v/>
      </c>
      <c r="M1078" s="63" t="n">
        <v>14</v>
      </c>
      <c r="N1078" s="2" t="n"/>
      <c r="O1078" s="2" t="n"/>
    </row>
    <row r="1079">
      <c r="A1079" s="62">
        <f>IF('14'!$C$1="","",'14'!$C$1)</f>
        <v/>
      </c>
      <c r="B1079" s="63">
        <f>Ustawienia!$A$8&amp;""</f>
        <v/>
      </c>
      <c r="C1079" s="63">
        <f>Ustawienia!$A$18&amp;""</f>
        <v/>
      </c>
      <c r="D1079" s="63" t="n">
        <v>3</v>
      </c>
      <c r="E1079" s="63">
        <f>IF('14'!B34="","",TRIM('14'!B34&amp;""))</f>
        <v/>
      </c>
      <c r="F1079" s="63">
        <f>IF('14'!C34="","",'14'!C34)</f>
        <v/>
      </c>
      <c r="G1079" s="63">
        <f>'14'!D34&amp;""</f>
        <v/>
      </c>
      <c r="H1079" s="63">
        <f>IF(OR(A1079="",F1079=""),"",F1079&amp;"|"&amp;A1079)</f>
        <v/>
      </c>
      <c r="I1079" s="63">
        <f>IF(AND(H1079&lt;&gt;"",OR('Historia wózka'!$B$4="",F1079='Historia wózka'!$B$4),A1079&gt;='Historia wózka'!$B$5,A1079&lt;='Historia wózka'!$B$6),A1079+0.9+(5000-ROW())/10000000,0)</f>
        <v/>
      </c>
      <c r="J1079" s="63">
        <f>Ustawienia!$B$8&amp;""</f>
        <v/>
      </c>
      <c r="K1079" s="63">
        <f>IF(H1079="","",COUNTIFS('Zgłoszenia'!$B$5:$B$504,F1079,'Zgłoszenia'!$D$5:$D$504,"&gt;="&amp;A1079,'Zgłoszenia'!$D$5:$D$504,"&lt;="&amp;(A1079+1)))</f>
        <v/>
      </c>
      <c r="L1079" s="63">
        <f>IF(OR(H1079="",K1079=0),"—",IF(ISNUMBER(MATCH(H1079,'Zgłoszenia'!$S$5:$S$504,0)),RIGHT("0"&amp;DAY(A1079),2)&amp;"."&amp;RIGHT("0"&amp;MONTH(A1079),2)&amp;"."&amp;YEAR(A1079)&amp;": "&amp;INDEX('Zgłoszenia'!$H$5:$H$504,MATCH(H1079,'Zgłoszenia'!$S$5:$S$504,0)),RIGHT("0"&amp;DAY((A1079+1)),2)&amp;"."&amp;RIGHT("0"&amp;MONTH((A1079+1)),2)&amp;"."&amp;YEAR((A1079+1))&amp;": "&amp;INDEX('Zgłoszenia'!$H$5:$H$504,MATCH(F1079&amp;"|"&amp;(A1079+1),'Zgłoszenia'!$S$5:$S$504,0)))&amp;IF(K1079&gt;1," (+"&amp;(K1079-1)&amp;")",""))</f>
        <v/>
      </c>
      <c r="M1079" s="63" t="n">
        <v>14</v>
      </c>
      <c r="N1079" s="2" t="n"/>
      <c r="O1079" s="2" t="n"/>
    </row>
    <row r="1080">
      <c r="A1080" s="62">
        <f>IF('14'!$C$1="","",'14'!$C$1)</f>
        <v/>
      </c>
      <c r="B1080" s="63">
        <f>Ustawienia!$A$8&amp;""</f>
        <v/>
      </c>
      <c r="C1080" s="63">
        <f>Ustawienia!$A$18&amp;""</f>
        <v/>
      </c>
      <c r="D1080" s="63" t="n">
        <v>4</v>
      </c>
      <c r="E1080" s="63">
        <f>IF('14'!B35="","",TRIM('14'!B35&amp;""))</f>
        <v/>
      </c>
      <c r="F1080" s="63">
        <f>IF('14'!C35="","",'14'!C35)</f>
        <v/>
      </c>
      <c r="G1080" s="63">
        <f>'14'!D35&amp;""</f>
        <v/>
      </c>
      <c r="H1080" s="63">
        <f>IF(OR(A1080="",F1080=""),"",F1080&amp;"|"&amp;A1080)</f>
        <v/>
      </c>
      <c r="I1080" s="63">
        <f>IF(AND(H1080&lt;&gt;"",OR('Historia wózka'!$B$4="",F1080='Historia wózka'!$B$4),A1080&gt;='Historia wózka'!$B$5,A1080&lt;='Historia wózka'!$B$6),A1080+0.9+(5000-ROW())/10000000,0)</f>
        <v/>
      </c>
      <c r="J1080" s="63">
        <f>Ustawienia!$B$8&amp;""</f>
        <v/>
      </c>
      <c r="K1080" s="63">
        <f>IF(H1080="","",COUNTIFS('Zgłoszenia'!$B$5:$B$504,F1080,'Zgłoszenia'!$D$5:$D$504,"&gt;="&amp;A1080,'Zgłoszenia'!$D$5:$D$504,"&lt;="&amp;(A1080+1)))</f>
        <v/>
      </c>
      <c r="L1080" s="63">
        <f>IF(OR(H1080="",K1080=0),"—",IF(ISNUMBER(MATCH(H1080,'Zgłoszenia'!$S$5:$S$504,0)),RIGHT("0"&amp;DAY(A1080),2)&amp;"."&amp;RIGHT("0"&amp;MONTH(A1080),2)&amp;"."&amp;YEAR(A1080)&amp;": "&amp;INDEX('Zgłoszenia'!$H$5:$H$504,MATCH(H1080,'Zgłoszenia'!$S$5:$S$504,0)),RIGHT("0"&amp;DAY((A1080+1)),2)&amp;"."&amp;RIGHT("0"&amp;MONTH((A1080+1)),2)&amp;"."&amp;YEAR((A1080+1))&amp;": "&amp;INDEX('Zgłoszenia'!$H$5:$H$504,MATCH(F1080&amp;"|"&amp;(A1080+1),'Zgłoszenia'!$S$5:$S$504,0)))&amp;IF(K1080&gt;1," (+"&amp;(K1080-1)&amp;")",""))</f>
        <v/>
      </c>
      <c r="M1080" s="63" t="n">
        <v>14</v>
      </c>
      <c r="N1080" s="2" t="n"/>
      <c r="O1080" s="2" t="n"/>
    </row>
    <row r="1081">
      <c r="A1081" s="62">
        <f>IF('14'!$C$1="","",'14'!$C$1)</f>
        <v/>
      </c>
      <c r="B1081" s="63">
        <f>Ustawienia!$A$8&amp;""</f>
        <v/>
      </c>
      <c r="C1081" s="63">
        <f>Ustawienia!$A$18&amp;""</f>
        <v/>
      </c>
      <c r="D1081" s="63" t="n">
        <v>5</v>
      </c>
      <c r="E1081" s="63">
        <f>IF('14'!B36="","",TRIM('14'!B36&amp;""))</f>
        <v/>
      </c>
      <c r="F1081" s="63">
        <f>IF('14'!C36="","",'14'!C36)</f>
        <v/>
      </c>
      <c r="G1081" s="63">
        <f>'14'!D36&amp;""</f>
        <v/>
      </c>
      <c r="H1081" s="63">
        <f>IF(OR(A1081="",F1081=""),"",F1081&amp;"|"&amp;A1081)</f>
        <v/>
      </c>
      <c r="I1081" s="63">
        <f>IF(AND(H1081&lt;&gt;"",OR('Historia wózka'!$B$4="",F1081='Historia wózka'!$B$4),A1081&gt;='Historia wózka'!$B$5,A1081&lt;='Historia wózka'!$B$6),A1081+0.9+(5000-ROW())/10000000,0)</f>
        <v/>
      </c>
      <c r="J1081" s="63">
        <f>Ustawienia!$B$8&amp;""</f>
        <v/>
      </c>
      <c r="K1081" s="63">
        <f>IF(H1081="","",COUNTIFS('Zgłoszenia'!$B$5:$B$504,F1081,'Zgłoszenia'!$D$5:$D$504,"&gt;="&amp;A1081,'Zgłoszenia'!$D$5:$D$504,"&lt;="&amp;(A1081+1)))</f>
        <v/>
      </c>
      <c r="L1081" s="63">
        <f>IF(OR(H1081="",K1081=0),"—",IF(ISNUMBER(MATCH(H1081,'Zgłoszenia'!$S$5:$S$504,0)),RIGHT("0"&amp;DAY(A1081),2)&amp;"."&amp;RIGHT("0"&amp;MONTH(A1081),2)&amp;"."&amp;YEAR(A1081)&amp;": "&amp;INDEX('Zgłoszenia'!$H$5:$H$504,MATCH(H1081,'Zgłoszenia'!$S$5:$S$504,0)),RIGHT("0"&amp;DAY((A1081+1)),2)&amp;"."&amp;RIGHT("0"&amp;MONTH((A1081+1)),2)&amp;"."&amp;YEAR((A1081+1))&amp;": "&amp;INDEX('Zgłoszenia'!$H$5:$H$504,MATCH(F1081&amp;"|"&amp;(A1081+1),'Zgłoszenia'!$S$5:$S$504,0)))&amp;IF(K1081&gt;1," (+"&amp;(K1081-1)&amp;")",""))</f>
        <v/>
      </c>
      <c r="M1081" s="63" t="n">
        <v>14</v>
      </c>
      <c r="N1081" s="2" t="n"/>
      <c r="O1081" s="2" t="n"/>
    </row>
    <row r="1082">
      <c r="A1082" s="62">
        <f>IF('14'!$C$1="","",'14'!$C$1)</f>
        <v/>
      </c>
      <c r="B1082" s="63">
        <f>Ustawienia!$A$9&amp;""</f>
        <v/>
      </c>
      <c r="C1082" s="63">
        <f>Ustawienia!$A$14&amp;""</f>
        <v/>
      </c>
      <c r="D1082" s="63" t="n">
        <v>1</v>
      </c>
      <c r="E1082" s="63">
        <f>IF('14'!F6="","",TRIM('14'!F6&amp;""))</f>
        <v/>
      </c>
      <c r="F1082" s="63">
        <f>IF('14'!G6="","",'14'!G6)</f>
        <v/>
      </c>
      <c r="G1082" s="63">
        <f>'14'!H6&amp;""</f>
        <v/>
      </c>
      <c r="H1082" s="63">
        <f>IF(OR(A1082="",F1082=""),"",F1082&amp;"|"&amp;A1082)</f>
        <v/>
      </c>
      <c r="I1082" s="63">
        <f>IF(AND(H1082&lt;&gt;"",OR('Historia wózka'!$B$4="",F1082='Historia wózka'!$B$4),A1082&gt;='Historia wózka'!$B$5,A1082&lt;='Historia wózka'!$B$6),A1082+0.8+(5000-ROW())/10000000,0)</f>
        <v/>
      </c>
      <c r="J1082" s="63">
        <f>Ustawienia!$B$9&amp;""</f>
        <v/>
      </c>
      <c r="K1082" s="63">
        <f>IF(H1082="","",COUNTIFS('Zgłoszenia'!$B$5:$B$504,F1082,'Zgłoszenia'!$D$5:$D$504,"&gt;="&amp;A1082,'Zgłoszenia'!$D$5:$D$504,"&lt;="&amp;(A1082+1)))</f>
        <v/>
      </c>
      <c r="L1082" s="63">
        <f>IF(OR(H1082="",K1082=0),"—",IF(ISNUMBER(MATCH(H1082,'Zgłoszenia'!$S$5:$S$504,0)),RIGHT("0"&amp;DAY(A1082),2)&amp;"."&amp;RIGHT("0"&amp;MONTH(A1082),2)&amp;"."&amp;YEAR(A1082)&amp;": "&amp;INDEX('Zgłoszenia'!$H$5:$H$504,MATCH(H1082,'Zgłoszenia'!$S$5:$S$504,0)),RIGHT("0"&amp;DAY((A1082+1)),2)&amp;"."&amp;RIGHT("0"&amp;MONTH((A1082+1)),2)&amp;"."&amp;YEAR((A1082+1))&amp;": "&amp;INDEX('Zgłoszenia'!$H$5:$H$504,MATCH(F1082&amp;"|"&amp;(A1082+1),'Zgłoszenia'!$S$5:$S$504,0)))&amp;IF(K1082&gt;1," (+"&amp;(K1082-1)&amp;")",""))</f>
        <v/>
      </c>
      <c r="M1082" s="63" t="n">
        <v>14</v>
      </c>
      <c r="N1082" s="2" t="n"/>
      <c r="O1082" s="2" t="n"/>
    </row>
    <row r="1083">
      <c r="A1083" s="62">
        <f>IF('14'!$C$1="","",'14'!$C$1)</f>
        <v/>
      </c>
      <c r="B1083" s="63">
        <f>Ustawienia!$A$9&amp;""</f>
        <v/>
      </c>
      <c r="C1083" s="63">
        <f>Ustawienia!$A$14&amp;""</f>
        <v/>
      </c>
      <c r="D1083" s="63" t="n">
        <v>2</v>
      </c>
      <c r="E1083" s="63">
        <f>IF('14'!F7="","",TRIM('14'!F7&amp;""))</f>
        <v/>
      </c>
      <c r="F1083" s="63">
        <f>IF('14'!G7="","",'14'!G7)</f>
        <v/>
      </c>
      <c r="G1083" s="63">
        <f>'14'!H7&amp;""</f>
        <v/>
      </c>
      <c r="H1083" s="63">
        <f>IF(OR(A1083="",F1083=""),"",F1083&amp;"|"&amp;A1083)</f>
        <v/>
      </c>
      <c r="I1083" s="63">
        <f>IF(AND(H1083&lt;&gt;"",OR('Historia wózka'!$B$4="",F1083='Historia wózka'!$B$4),A1083&gt;='Historia wózka'!$B$5,A1083&lt;='Historia wózka'!$B$6),A1083+0.8+(5000-ROW())/10000000,0)</f>
        <v/>
      </c>
      <c r="J1083" s="63">
        <f>Ustawienia!$B$9&amp;""</f>
        <v/>
      </c>
      <c r="K1083" s="63">
        <f>IF(H1083="","",COUNTIFS('Zgłoszenia'!$B$5:$B$504,F1083,'Zgłoszenia'!$D$5:$D$504,"&gt;="&amp;A1083,'Zgłoszenia'!$D$5:$D$504,"&lt;="&amp;(A1083+1)))</f>
        <v/>
      </c>
      <c r="L1083" s="63">
        <f>IF(OR(H1083="",K1083=0),"—",IF(ISNUMBER(MATCH(H1083,'Zgłoszenia'!$S$5:$S$504,0)),RIGHT("0"&amp;DAY(A1083),2)&amp;"."&amp;RIGHT("0"&amp;MONTH(A1083),2)&amp;"."&amp;YEAR(A1083)&amp;": "&amp;INDEX('Zgłoszenia'!$H$5:$H$504,MATCH(H1083,'Zgłoszenia'!$S$5:$S$504,0)),RIGHT("0"&amp;DAY((A1083+1)),2)&amp;"."&amp;RIGHT("0"&amp;MONTH((A1083+1)),2)&amp;"."&amp;YEAR((A1083+1))&amp;": "&amp;INDEX('Zgłoszenia'!$H$5:$H$504,MATCH(F1083&amp;"|"&amp;(A1083+1),'Zgłoszenia'!$S$5:$S$504,0)))&amp;IF(K1083&gt;1," (+"&amp;(K1083-1)&amp;")",""))</f>
        <v/>
      </c>
      <c r="M1083" s="63" t="n">
        <v>14</v>
      </c>
      <c r="N1083" s="2" t="n"/>
      <c r="O1083" s="2" t="n"/>
    </row>
    <row r="1084">
      <c r="A1084" s="62">
        <f>IF('14'!$C$1="","",'14'!$C$1)</f>
        <v/>
      </c>
      <c r="B1084" s="63">
        <f>Ustawienia!$A$9&amp;""</f>
        <v/>
      </c>
      <c r="C1084" s="63">
        <f>Ustawienia!$A$14&amp;""</f>
        <v/>
      </c>
      <c r="D1084" s="63" t="n">
        <v>3</v>
      </c>
      <c r="E1084" s="63">
        <f>IF('14'!F8="","",TRIM('14'!F8&amp;""))</f>
        <v/>
      </c>
      <c r="F1084" s="63">
        <f>IF('14'!G8="","",'14'!G8)</f>
        <v/>
      </c>
      <c r="G1084" s="63">
        <f>'14'!H8&amp;""</f>
        <v/>
      </c>
      <c r="H1084" s="63">
        <f>IF(OR(A1084="",F1084=""),"",F1084&amp;"|"&amp;A1084)</f>
        <v/>
      </c>
      <c r="I1084" s="63">
        <f>IF(AND(H1084&lt;&gt;"",OR('Historia wózka'!$B$4="",F1084='Historia wózka'!$B$4),A1084&gt;='Historia wózka'!$B$5,A1084&lt;='Historia wózka'!$B$6),A1084+0.8+(5000-ROW())/10000000,0)</f>
        <v/>
      </c>
      <c r="J1084" s="63">
        <f>Ustawienia!$B$9&amp;""</f>
        <v/>
      </c>
      <c r="K1084" s="63">
        <f>IF(H1084="","",COUNTIFS('Zgłoszenia'!$B$5:$B$504,F1084,'Zgłoszenia'!$D$5:$D$504,"&gt;="&amp;A1084,'Zgłoszenia'!$D$5:$D$504,"&lt;="&amp;(A1084+1)))</f>
        <v/>
      </c>
      <c r="L1084" s="63">
        <f>IF(OR(H1084="",K1084=0),"—",IF(ISNUMBER(MATCH(H1084,'Zgłoszenia'!$S$5:$S$504,0)),RIGHT("0"&amp;DAY(A1084),2)&amp;"."&amp;RIGHT("0"&amp;MONTH(A1084),2)&amp;"."&amp;YEAR(A1084)&amp;": "&amp;INDEX('Zgłoszenia'!$H$5:$H$504,MATCH(H1084,'Zgłoszenia'!$S$5:$S$504,0)),RIGHT("0"&amp;DAY((A1084+1)),2)&amp;"."&amp;RIGHT("0"&amp;MONTH((A1084+1)),2)&amp;"."&amp;YEAR((A1084+1))&amp;": "&amp;INDEX('Zgłoszenia'!$H$5:$H$504,MATCH(F1084&amp;"|"&amp;(A1084+1),'Zgłoszenia'!$S$5:$S$504,0)))&amp;IF(K1084&gt;1," (+"&amp;(K1084-1)&amp;")",""))</f>
        <v/>
      </c>
      <c r="M1084" s="63" t="n">
        <v>14</v>
      </c>
      <c r="N1084" s="2" t="n"/>
      <c r="O1084" s="2" t="n"/>
    </row>
    <row r="1085">
      <c r="A1085" s="62">
        <f>IF('14'!$C$1="","",'14'!$C$1)</f>
        <v/>
      </c>
      <c r="B1085" s="63">
        <f>Ustawienia!$A$9&amp;""</f>
        <v/>
      </c>
      <c r="C1085" s="63">
        <f>Ustawienia!$A$14&amp;""</f>
        <v/>
      </c>
      <c r="D1085" s="63" t="n">
        <v>4</v>
      </c>
      <c r="E1085" s="63">
        <f>IF('14'!F9="","",TRIM('14'!F9&amp;""))</f>
        <v/>
      </c>
      <c r="F1085" s="63">
        <f>IF('14'!G9="","",'14'!G9)</f>
        <v/>
      </c>
      <c r="G1085" s="63">
        <f>'14'!H9&amp;""</f>
        <v/>
      </c>
      <c r="H1085" s="63">
        <f>IF(OR(A1085="",F1085=""),"",F1085&amp;"|"&amp;A1085)</f>
        <v/>
      </c>
      <c r="I1085" s="63">
        <f>IF(AND(H1085&lt;&gt;"",OR('Historia wózka'!$B$4="",F1085='Historia wózka'!$B$4),A1085&gt;='Historia wózka'!$B$5,A1085&lt;='Historia wózka'!$B$6),A1085+0.8+(5000-ROW())/10000000,0)</f>
        <v/>
      </c>
      <c r="J1085" s="63">
        <f>Ustawienia!$B$9&amp;""</f>
        <v/>
      </c>
      <c r="K1085" s="63">
        <f>IF(H1085="","",COUNTIFS('Zgłoszenia'!$B$5:$B$504,F1085,'Zgłoszenia'!$D$5:$D$504,"&gt;="&amp;A1085,'Zgłoszenia'!$D$5:$D$504,"&lt;="&amp;(A1085+1)))</f>
        <v/>
      </c>
      <c r="L1085" s="63">
        <f>IF(OR(H1085="",K1085=0),"—",IF(ISNUMBER(MATCH(H1085,'Zgłoszenia'!$S$5:$S$504,0)),RIGHT("0"&amp;DAY(A1085),2)&amp;"."&amp;RIGHT("0"&amp;MONTH(A1085),2)&amp;"."&amp;YEAR(A1085)&amp;": "&amp;INDEX('Zgłoszenia'!$H$5:$H$504,MATCH(H1085,'Zgłoszenia'!$S$5:$S$504,0)),RIGHT("0"&amp;DAY((A1085+1)),2)&amp;"."&amp;RIGHT("0"&amp;MONTH((A1085+1)),2)&amp;"."&amp;YEAR((A1085+1))&amp;": "&amp;INDEX('Zgłoszenia'!$H$5:$H$504,MATCH(F1085&amp;"|"&amp;(A1085+1),'Zgłoszenia'!$S$5:$S$504,0)))&amp;IF(K1085&gt;1," (+"&amp;(K1085-1)&amp;")",""))</f>
        <v/>
      </c>
      <c r="M1085" s="63" t="n">
        <v>14</v>
      </c>
      <c r="N1085" s="2" t="n"/>
      <c r="O1085" s="2" t="n"/>
    </row>
    <row r="1086">
      <c r="A1086" s="62">
        <f>IF('14'!$C$1="","",'14'!$C$1)</f>
        <v/>
      </c>
      <c r="B1086" s="63">
        <f>Ustawienia!$A$9&amp;""</f>
        <v/>
      </c>
      <c r="C1086" s="63">
        <f>Ustawienia!$A$14&amp;""</f>
        <v/>
      </c>
      <c r="D1086" s="63" t="n">
        <v>5</v>
      </c>
      <c r="E1086" s="63">
        <f>IF('14'!F10="","",TRIM('14'!F10&amp;""))</f>
        <v/>
      </c>
      <c r="F1086" s="63">
        <f>IF('14'!G10="","",'14'!G10)</f>
        <v/>
      </c>
      <c r="G1086" s="63">
        <f>'14'!H10&amp;""</f>
        <v/>
      </c>
      <c r="H1086" s="63">
        <f>IF(OR(A1086="",F1086=""),"",F1086&amp;"|"&amp;A1086)</f>
        <v/>
      </c>
      <c r="I1086" s="63">
        <f>IF(AND(H1086&lt;&gt;"",OR('Historia wózka'!$B$4="",F1086='Historia wózka'!$B$4),A1086&gt;='Historia wózka'!$B$5,A1086&lt;='Historia wózka'!$B$6),A1086+0.8+(5000-ROW())/10000000,0)</f>
        <v/>
      </c>
      <c r="J1086" s="63">
        <f>Ustawienia!$B$9&amp;""</f>
        <v/>
      </c>
      <c r="K1086" s="63">
        <f>IF(H1086="","",COUNTIFS('Zgłoszenia'!$B$5:$B$504,F1086,'Zgłoszenia'!$D$5:$D$504,"&gt;="&amp;A1086,'Zgłoszenia'!$D$5:$D$504,"&lt;="&amp;(A1086+1)))</f>
        <v/>
      </c>
      <c r="L1086" s="63">
        <f>IF(OR(H1086="",K1086=0),"—",IF(ISNUMBER(MATCH(H1086,'Zgłoszenia'!$S$5:$S$504,0)),RIGHT("0"&amp;DAY(A1086),2)&amp;"."&amp;RIGHT("0"&amp;MONTH(A1086),2)&amp;"."&amp;YEAR(A1086)&amp;": "&amp;INDEX('Zgłoszenia'!$H$5:$H$504,MATCH(H1086,'Zgłoszenia'!$S$5:$S$504,0)),RIGHT("0"&amp;DAY((A1086+1)),2)&amp;"."&amp;RIGHT("0"&amp;MONTH((A1086+1)),2)&amp;"."&amp;YEAR((A1086+1))&amp;": "&amp;INDEX('Zgłoszenia'!$H$5:$H$504,MATCH(F1086&amp;"|"&amp;(A1086+1),'Zgłoszenia'!$S$5:$S$504,0)))&amp;IF(K1086&gt;1," (+"&amp;(K1086-1)&amp;")",""))</f>
        <v/>
      </c>
      <c r="M1086" s="63" t="n">
        <v>14</v>
      </c>
      <c r="N1086" s="2" t="n"/>
      <c r="O1086" s="2" t="n"/>
    </row>
    <row r="1087">
      <c r="A1087" s="62">
        <f>IF('14'!$C$1="","",'14'!$C$1)</f>
        <v/>
      </c>
      <c r="B1087" s="63">
        <f>Ustawienia!$A$9&amp;""</f>
        <v/>
      </c>
      <c r="C1087" s="63">
        <f>Ustawienia!$A$14&amp;""</f>
        <v/>
      </c>
      <c r="D1087" s="63" t="n">
        <v>6</v>
      </c>
      <c r="E1087" s="63">
        <f>IF('14'!F11="","",TRIM('14'!F11&amp;""))</f>
        <v/>
      </c>
      <c r="F1087" s="63">
        <f>IF('14'!G11="","",'14'!G11)</f>
        <v/>
      </c>
      <c r="G1087" s="63">
        <f>'14'!H11&amp;""</f>
        <v/>
      </c>
      <c r="H1087" s="63">
        <f>IF(OR(A1087="",F1087=""),"",F1087&amp;"|"&amp;A1087)</f>
        <v/>
      </c>
      <c r="I1087" s="63">
        <f>IF(AND(H1087&lt;&gt;"",OR('Historia wózka'!$B$4="",F1087='Historia wózka'!$B$4),A1087&gt;='Historia wózka'!$B$5,A1087&lt;='Historia wózka'!$B$6),A1087+0.8+(5000-ROW())/10000000,0)</f>
        <v/>
      </c>
      <c r="J1087" s="63">
        <f>Ustawienia!$B$9&amp;""</f>
        <v/>
      </c>
      <c r="K1087" s="63">
        <f>IF(H1087="","",COUNTIFS('Zgłoszenia'!$B$5:$B$504,F1087,'Zgłoszenia'!$D$5:$D$504,"&gt;="&amp;A1087,'Zgłoszenia'!$D$5:$D$504,"&lt;="&amp;(A1087+1)))</f>
        <v/>
      </c>
      <c r="L1087" s="63">
        <f>IF(OR(H1087="",K1087=0),"—",IF(ISNUMBER(MATCH(H1087,'Zgłoszenia'!$S$5:$S$504,0)),RIGHT("0"&amp;DAY(A1087),2)&amp;"."&amp;RIGHT("0"&amp;MONTH(A1087),2)&amp;"."&amp;YEAR(A1087)&amp;": "&amp;INDEX('Zgłoszenia'!$H$5:$H$504,MATCH(H1087,'Zgłoszenia'!$S$5:$S$504,0)),RIGHT("0"&amp;DAY((A1087+1)),2)&amp;"."&amp;RIGHT("0"&amp;MONTH((A1087+1)),2)&amp;"."&amp;YEAR((A1087+1))&amp;": "&amp;INDEX('Zgłoszenia'!$H$5:$H$504,MATCH(F1087&amp;"|"&amp;(A1087+1),'Zgłoszenia'!$S$5:$S$504,0)))&amp;IF(K1087&gt;1," (+"&amp;(K1087-1)&amp;")",""))</f>
        <v/>
      </c>
      <c r="M1087" s="63" t="n">
        <v>14</v>
      </c>
      <c r="N1087" s="2" t="n"/>
      <c r="O1087" s="2" t="n"/>
    </row>
    <row r="1088">
      <c r="A1088" s="62">
        <f>IF('14'!$C$1="","",'14'!$C$1)</f>
        <v/>
      </c>
      <c r="B1088" s="63">
        <f>Ustawienia!$A$9&amp;""</f>
        <v/>
      </c>
      <c r="C1088" s="63">
        <f>Ustawienia!$A$15&amp;""</f>
        <v/>
      </c>
      <c r="D1088" s="63" t="n">
        <v>1</v>
      </c>
      <c r="E1088" s="63">
        <f>IF('14'!F13="","",TRIM('14'!F13&amp;""))</f>
        <v/>
      </c>
      <c r="F1088" s="63">
        <f>IF('14'!G13="","",'14'!G13)</f>
        <v/>
      </c>
      <c r="G1088" s="63">
        <f>'14'!H13&amp;""</f>
        <v/>
      </c>
      <c r="H1088" s="63">
        <f>IF(OR(A1088="",F1088=""),"",F1088&amp;"|"&amp;A1088)</f>
        <v/>
      </c>
      <c r="I1088" s="63">
        <f>IF(AND(H1088&lt;&gt;"",OR('Historia wózka'!$B$4="",F1088='Historia wózka'!$B$4),A1088&gt;='Historia wózka'!$B$5,A1088&lt;='Historia wózka'!$B$6),A1088+0.8+(5000-ROW())/10000000,0)</f>
        <v/>
      </c>
      <c r="J1088" s="63">
        <f>Ustawienia!$B$9&amp;""</f>
        <v/>
      </c>
      <c r="K1088" s="63">
        <f>IF(H1088="","",COUNTIFS('Zgłoszenia'!$B$5:$B$504,F1088,'Zgłoszenia'!$D$5:$D$504,"&gt;="&amp;A1088,'Zgłoszenia'!$D$5:$D$504,"&lt;="&amp;(A1088+1)))</f>
        <v/>
      </c>
      <c r="L1088" s="63">
        <f>IF(OR(H1088="",K1088=0),"—",IF(ISNUMBER(MATCH(H1088,'Zgłoszenia'!$S$5:$S$504,0)),RIGHT("0"&amp;DAY(A1088),2)&amp;"."&amp;RIGHT("0"&amp;MONTH(A1088),2)&amp;"."&amp;YEAR(A1088)&amp;": "&amp;INDEX('Zgłoszenia'!$H$5:$H$504,MATCH(H1088,'Zgłoszenia'!$S$5:$S$504,0)),RIGHT("0"&amp;DAY((A1088+1)),2)&amp;"."&amp;RIGHT("0"&amp;MONTH((A1088+1)),2)&amp;"."&amp;YEAR((A1088+1))&amp;": "&amp;INDEX('Zgłoszenia'!$H$5:$H$504,MATCH(F1088&amp;"|"&amp;(A1088+1),'Zgłoszenia'!$S$5:$S$504,0)))&amp;IF(K1088&gt;1," (+"&amp;(K1088-1)&amp;")",""))</f>
        <v/>
      </c>
      <c r="M1088" s="63" t="n">
        <v>14</v>
      </c>
      <c r="N1088" s="2" t="n"/>
      <c r="O1088" s="2" t="n"/>
    </row>
    <row r="1089">
      <c r="A1089" s="62">
        <f>IF('14'!$C$1="","",'14'!$C$1)</f>
        <v/>
      </c>
      <c r="B1089" s="63">
        <f>Ustawienia!$A$9&amp;""</f>
        <v/>
      </c>
      <c r="C1089" s="63">
        <f>Ustawienia!$A$15&amp;""</f>
        <v/>
      </c>
      <c r="D1089" s="63" t="n">
        <v>2</v>
      </c>
      <c r="E1089" s="63">
        <f>IF('14'!F14="","",TRIM('14'!F14&amp;""))</f>
        <v/>
      </c>
      <c r="F1089" s="63">
        <f>IF('14'!G14="","",'14'!G14)</f>
        <v/>
      </c>
      <c r="G1089" s="63">
        <f>'14'!H14&amp;""</f>
        <v/>
      </c>
      <c r="H1089" s="63">
        <f>IF(OR(A1089="",F1089=""),"",F1089&amp;"|"&amp;A1089)</f>
        <v/>
      </c>
      <c r="I1089" s="63">
        <f>IF(AND(H1089&lt;&gt;"",OR('Historia wózka'!$B$4="",F1089='Historia wózka'!$B$4),A1089&gt;='Historia wózka'!$B$5,A1089&lt;='Historia wózka'!$B$6),A1089+0.8+(5000-ROW())/10000000,0)</f>
        <v/>
      </c>
      <c r="J1089" s="63">
        <f>Ustawienia!$B$9&amp;""</f>
        <v/>
      </c>
      <c r="K1089" s="63">
        <f>IF(H1089="","",COUNTIFS('Zgłoszenia'!$B$5:$B$504,F1089,'Zgłoszenia'!$D$5:$D$504,"&gt;="&amp;A1089,'Zgłoszenia'!$D$5:$D$504,"&lt;="&amp;(A1089+1)))</f>
        <v/>
      </c>
      <c r="L1089" s="63">
        <f>IF(OR(H1089="",K1089=0),"—",IF(ISNUMBER(MATCH(H1089,'Zgłoszenia'!$S$5:$S$504,0)),RIGHT("0"&amp;DAY(A1089),2)&amp;"."&amp;RIGHT("0"&amp;MONTH(A1089),2)&amp;"."&amp;YEAR(A1089)&amp;": "&amp;INDEX('Zgłoszenia'!$H$5:$H$504,MATCH(H1089,'Zgłoszenia'!$S$5:$S$504,0)),RIGHT("0"&amp;DAY((A1089+1)),2)&amp;"."&amp;RIGHT("0"&amp;MONTH((A1089+1)),2)&amp;"."&amp;YEAR((A1089+1))&amp;": "&amp;INDEX('Zgłoszenia'!$H$5:$H$504,MATCH(F1089&amp;"|"&amp;(A1089+1),'Zgłoszenia'!$S$5:$S$504,0)))&amp;IF(K1089&gt;1," (+"&amp;(K1089-1)&amp;")",""))</f>
        <v/>
      </c>
      <c r="M1089" s="63" t="n">
        <v>14</v>
      </c>
      <c r="N1089" s="2" t="n"/>
      <c r="O1089" s="2" t="n"/>
    </row>
    <row r="1090">
      <c r="A1090" s="62">
        <f>IF('14'!$C$1="","",'14'!$C$1)</f>
        <v/>
      </c>
      <c r="B1090" s="63">
        <f>Ustawienia!$A$9&amp;""</f>
        <v/>
      </c>
      <c r="C1090" s="63">
        <f>Ustawienia!$A$15&amp;""</f>
        <v/>
      </c>
      <c r="D1090" s="63" t="n">
        <v>3</v>
      </c>
      <c r="E1090" s="63">
        <f>IF('14'!F15="","",TRIM('14'!F15&amp;""))</f>
        <v/>
      </c>
      <c r="F1090" s="63">
        <f>IF('14'!G15="","",'14'!G15)</f>
        <v/>
      </c>
      <c r="G1090" s="63">
        <f>'14'!H15&amp;""</f>
        <v/>
      </c>
      <c r="H1090" s="63">
        <f>IF(OR(A1090="",F1090=""),"",F1090&amp;"|"&amp;A1090)</f>
        <v/>
      </c>
      <c r="I1090" s="63">
        <f>IF(AND(H1090&lt;&gt;"",OR('Historia wózka'!$B$4="",F1090='Historia wózka'!$B$4),A1090&gt;='Historia wózka'!$B$5,A1090&lt;='Historia wózka'!$B$6),A1090+0.8+(5000-ROW())/10000000,0)</f>
        <v/>
      </c>
      <c r="J1090" s="63">
        <f>Ustawienia!$B$9&amp;""</f>
        <v/>
      </c>
      <c r="K1090" s="63">
        <f>IF(H1090="","",COUNTIFS('Zgłoszenia'!$B$5:$B$504,F1090,'Zgłoszenia'!$D$5:$D$504,"&gt;="&amp;A1090,'Zgłoszenia'!$D$5:$D$504,"&lt;="&amp;(A1090+1)))</f>
        <v/>
      </c>
      <c r="L1090" s="63">
        <f>IF(OR(H1090="",K1090=0),"—",IF(ISNUMBER(MATCH(H1090,'Zgłoszenia'!$S$5:$S$504,0)),RIGHT("0"&amp;DAY(A1090),2)&amp;"."&amp;RIGHT("0"&amp;MONTH(A1090),2)&amp;"."&amp;YEAR(A1090)&amp;": "&amp;INDEX('Zgłoszenia'!$H$5:$H$504,MATCH(H1090,'Zgłoszenia'!$S$5:$S$504,0)),RIGHT("0"&amp;DAY((A1090+1)),2)&amp;"."&amp;RIGHT("0"&amp;MONTH((A1090+1)),2)&amp;"."&amp;YEAR((A1090+1))&amp;": "&amp;INDEX('Zgłoszenia'!$H$5:$H$504,MATCH(F1090&amp;"|"&amp;(A1090+1),'Zgłoszenia'!$S$5:$S$504,0)))&amp;IF(K1090&gt;1," (+"&amp;(K1090-1)&amp;")",""))</f>
        <v/>
      </c>
      <c r="M1090" s="63" t="n">
        <v>14</v>
      </c>
      <c r="N1090" s="2" t="n"/>
      <c r="O1090" s="2" t="n"/>
    </row>
    <row r="1091">
      <c r="A1091" s="62">
        <f>IF('14'!$C$1="","",'14'!$C$1)</f>
        <v/>
      </c>
      <c r="B1091" s="63">
        <f>Ustawienia!$A$9&amp;""</f>
        <v/>
      </c>
      <c r="C1091" s="63">
        <f>Ustawienia!$A$15&amp;""</f>
        <v/>
      </c>
      <c r="D1091" s="63" t="n">
        <v>4</v>
      </c>
      <c r="E1091" s="63">
        <f>IF('14'!F16="","",TRIM('14'!F16&amp;""))</f>
        <v/>
      </c>
      <c r="F1091" s="63">
        <f>IF('14'!G16="","",'14'!G16)</f>
        <v/>
      </c>
      <c r="G1091" s="63">
        <f>'14'!H16&amp;""</f>
        <v/>
      </c>
      <c r="H1091" s="63">
        <f>IF(OR(A1091="",F1091=""),"",F1091&amp;"|"&amp;A1091)</f>
        <v/>
      </c>
      <c r="I1091" s="63">
        <f>IF(AND(H1091&lt;&gt;"",OR('Historia wózka'!$B$4="",F1091='Historia wózka'!$B$4),A1091&gt;='Historia wózka'!$B$5,A1091&lt;='Historia wózka'!$B$6),A1091+0.8+(5000-ROW())/10000000,0)</f>
        <v/>
      </c>
      <c r="J1091" s="63">
        <f>Ustawienia!$B$9&amp;""</f>
        <v/>
      </c>
      <c r="K1091" s="63">
        <f>IF(H1091="","",COUNTIFS('Zgłoszenia'!$B$5:$B$504,F1091,'Zgłoszenia'!$D$5:$D$504,"&gt;="&amp;A1091,'Zgłoszenia'!$D$5:$D$504,"&lt;="&amp;(A1091+1)))</f>
        <v/>
      </c>
      <c r="L1091" s="63">
        <f>IF(OR(H1091="",K1091=0),"—",IF(ISNUMBER(MATCH(H1091,'Zgłoszenia'!$S$5:$S$504,0)),RIGHT("0"&amp;DAY(A1091),2)&amp;"."&amp;RIGHT("0"&amp;MONTH(A1091),2)&amp;"."&amp;YEAR(A1091)&amp;": "&amp;INDEX('Zgłoszenia'!$H$5:$H$504,MATCH(H1091,'Zgłoszenia'!$S$5:$S$504,0)),RIGHT("0"&amp;DAY((A1091+1)),2)&amp;"."&amp;RIGHT("0"&amp;MONTH((A1091+1)),2)&amp;"."&amp;YEAR((A1091+1))&amp;": "&amp;INDEX('Zgłoszenia'!$H$5:$H$504,MATCH(F1091&amp;"|"&amp;(A1091+1),'Zgłoszenia'!$S$5:$S$504,0)))&amp;IF(K1091&gt;1," (+"&amp;(K1091-1)&amp;")",""))</f>
        <v/>
      </c>
      <c r="M1091" s="63" t="n">
        <v>14</v>
      </c>
      <c r="N1091" s="2" t="n"/>
      <c r="O1091" s="2" t="n"/>
    </row>
    <row r="1092">
      <c r="A1092" s="62">
        <f>IF('14'!$C$1="","",'14'!$C$1)</f>
        <v/>
      </c>
      <c r="B1092" s="63">
        <f>Ustawienia!$A$9&amp;""</f>
        <v/>
      </c>
      <c r="C1092" s="63">
        <f>Ustawienia!$A$15&amp;""</f>
        <v/>
      </c>
      <c r="D1092" s="63" t="n">
        <v>5</v>
      </c>
      <c r="E1092" s="63">
        <f>IF('14'!F17="","",TRIM('14'!F17&amp;""))</f>
        <v/>
      </c>
      <c r="F1092" s="63">
        <f>IF('14'!G17="","",'14'!G17)</f>
        <v/>
      </c>
      <c r="G1092" s="63">
        <f>'14'!H17&amp;""</f>
        <v/>
      </c>
      <c r="H1092" s="63">
        <f>IF(OR(A1092="",F1092=""),"",F1092&amp;"|"&amp;A1092)</f>
        <v/>
      </c>
      <c r="I1092" s="63">
        <f>IF(AND(H1092&lt;&gt;"",OR('Historia wózka'!$B$4="",F1092='Historia wózka'!$B$4),A1092&gt;='Historia wózka'!$B$5,A1092&lt;='Historia wózka'!$B$6),A1092+0.8+(5000-ROW())/10000000,0)</f>
        <v/>
      </c>
      <c r="J1092" s="63">
        <f>Ustawienia!$B$9&amp;""</f>
        <v/>
      </c>
      <c r="K1092" s="63">
        <f>IF(H1092="","",COUNTIFS('Zgłoszenia'!$B$5:$B$504,F1092,'Zgłoszenia'!$D$5:$D$504,"&gt;="&amp;A1092,'Zgłoszenia'!$D$5:$D$504,"&lt;="&amp;(A1092+1)))</f>
        <v/>
      </c>
      <c r="L1092" s="63">
        <f>IF(OR(H1092="",K1092=0),"—",IF(ISNUMBER(MATCH(H1092,'Zgłoszenia'!$S$5:$S$504,0)),RIGHT("0"&amp;DAY(A1092),2)&amp;"."&amp;RIGHT("0"&amp;MONTH(A1092),2)&amp;"."&amp;YEAR(A1092)&amp;": "&amp;INDEX('Zgłoszenia'!$H$5:$H$504,MATCH(H1092,'Zgłoszenia'!$S$5:$S$504,0)),RIGHT("0"&amp;DAY((A1092+1)),2)&amp;"."&amp;RIGHT("0"&amp;MONTH((A1092+1)),2)&amp;"."&amp;YEAR((A1092+1))&amp;": "&amp;INDEX('Zgłoszenia'!$H$5:$H$504,MATCH(F1092&amp;"|"&amp;(A1092+1),'Zgłoszenia'!$S$5:$S$504,0)))&amp;IF(K1092&gt;1," (+"&amp;(K1092-1)&amp;")",""))</f>
        <v/>
      </c>
      <c r="M1092" s="63" t="n">
        <v>14</v>
      </c>
      <c r="N1092" s="2" t="n"/>
      <c r="O1092" s="2" t="n"/>
    </row>
    <row r="1093">
      <c r="A1093" s="62">
        <f>IF('14'!$C$1="","",'14'!$C$1)</f>
        <v/>
      </c>
      <c r="B1093" s="63">
        <f>Ustawienia!$A$9&amp;""</f>
        <v/>
      </c>
      <c r="C1093" s="63">
        <f>Ustawienia!$A$15&amp;""</f>
        <v/>
      </c>
      <c r="D1093" s="63" t="n">
        <v>6</v>
      </c>
      <c r="E1093" s="63">
        <f>IF('14'!F18="","",TRIM('14'!F18&amp;""))</f>
        <v/>
      </c>
      <c r="F1093" s="63">
        <f>IF('14'!G18="","",'14'!G18)</f>
        <v/>
      </c>
      <c r="G1093" s="63">
        <f>'14'!H18&amp;""</f>
        <v/>
      </c>
      <c r="H1093" s="63">
        <f>IF(OR(A1093="",F1093=""),"",F1093&amp;"|"&amp;A1093)</f>
        <v/>
      </c>
      <c r="I1093" s="63">
        <f>IF(AND(H1093&lt;&gt;"",OR('Historia wózka'!$B$4="",F1093='Historia wózka'!$B$4),A1093&gt;='Historia wózka'!$B$5,A1093&lt;='Historia wózka'!$B$6),A1093+0.8+(5000-ROW())/10000000,0)</f>
        <v/>
      </c>
      <c r="J1093" s="63">
        <f>Ustawienia!$B$9&amp;""</f>
        <v/>
      </c>
      <c r="K1093" s="63">
        <f>IF(H1093="","",COUNTIFS('Zgłoszenia'!$B$5:$B$504,F1093,'Zgłoszenia'!$D$5:$D$504,"&gt;="&amp;A1093,'Zgłoszenia'!$D$5:$D$504,"&lt;="&amp;(A1093+1)))</f>
        <v/>
      </c>
      <c r="L1093" s="63">
        <f>IF(OR(H1093="",K1093=0),"—",IF(ISNUMBER(MATCH(H1093,'Zgłoszenia'!$S$5:$S$504,0)),RIGHT("0"&amp;DAY(A1093),2)&amp;"."&amp;RIGHT("0"&amp;MONTH(A1093),2)&amp;"."&amp;YEAR(A1093)&amp;": "&amp;INDEX('Zgłoszenia'!$H$5:$H$504,MATCH(H1093,'Zgłoszenia'!$S$5:$S$504,0)),RIGHT("0"&amp;DAY((A1093+1)),2)&amp;"."&amp;RIGHT("0"&amp;MONTH((A1093+1)),2)&amp;"."&amp;YEAR((A1093+1))&amp;": "&amp;INDEX('Zgłoszenia'!$H$5:$H$504,MATCH(F1093&amp;"|"&amp;(A1093+1),'Zgłoszenia'!$S$5:$S$504,0)))&amp;IF(K1093&gt;1," (+"&amp;(K1093-1)&amp;")",""))</f>
        <v/>
      </c>
      <c r="M1093" s="63" t="n">
        <v>14</v>
      </c>
      <c r="N1093" s="2" t="n"/>
      <c r="O1093" s="2" t="n"/>
    </row>
    <row r="1094">
      <c r="A1094" s="62">
        <f>IF('14'!$C$1="","",'14'!$C$1)</f>
        <v/>
      </c>
      <c r="B1094" s="63">
        <f>Ustawienia!$A$9&amp;""</f>
        <v/>
      </c>
      <c r="C1094" s="63">
        <f>Ustawienia!$A$15&amp;""</f>
        <v/>
      </c>
      <c r="D1094" s="63" t="n">
        <v>7</v>
      </c>
      <c r="E1094" s="63">
        <f>IF('14'!F19="","",TRIM('14'!F19&amp;""))</f>
        <v/>
      </c>
      <c r="F1094" s="63">
        <f>IF('14'!G19="","",'14'!G19)</f>
        <v/>
      </c>
      <c r="G1094" s="63">
        <f>'14'!H19&amp;""</f>
        <v/>
      </c>
      <c r="H1094" s="63">
        <f>IF(OR(A1094="",F1094=""),"",F1094&amp;"|"&amp;A1094)</f>
        <v/>
      </c>
      <c r="I1094" s="63">
        <f>IF(AND(H1094&lt;&gt;"",OR('Historia wózka'!$B$4="",F1094='Historia wózka'!$B$4),A1094&gt;='Historia wózka'!$B$5,A1094&lt;='Historia wózka'!$B$6),A1094+0.8+(5000-ROW())/10000000,0)</f>
        <v/>
      </c>
      <c r="J1094" s="63">
        <f>Ustawienia!$B$9&amp;""</f>
        <v/>
      </c>
      <c r="K1094" s="63">
        <f>IF(H1094="","",COUNTIFS('Zgłoszenia'!$B$5:$B$504,F1094,'Zgłoszenia'!$D$5:$D$504,"&gt;="&amp;A1094,'Zgłoszenia'!$D$5:$D$504,"&lt;="&amp;(A1094+1)))</f>
        <v/>
      </c>
      <c r="L1094" s="63">
        <f>IF(OR(H1094="",K1094=0),"—",IF(ISNUMBER(MATCH(H1094,'Zgłoszenia'!$S$5:$S$504,0)),RIGHT("0"&amp;DAY(A1094),2)&amp;"."&amp;RIGHT("0"&amp;MONTH(A1094),2)&amp;"."&amp;YEAR(A1094)&amp;": "&amp;INDEX('Zgłoszenia'!$H$5:$H$504,MATCH(H1094,'Zgłoszenia'!$S$5:$S$504,0)),RIGHT("0"&amp;DAY((A1094+1)),2)&amp;"."&amp;RIGHT("0"&amp;MONTH((A1094+1)),2)&amp;"."&amp;YEAR((A1094+1))&amp;": "&amp;INDEX('Zgłoszenia'!$H$5:$H$504,MATCH(F1094&amp;"|"&amp;(A1094+1),'Zgłoszenia'!$S$5:$S$504,0)))&amp;IF(K1094&gt;1," (+"&amp;(K1094-1)&amp;")",""))</f>
        <v/>
      </c>
      <c r="M1094" s="63" t="n">
        <v>14</v>
      </c>
      <c r="N1094" s="2" t="n"/>
      <c r="O1094" s="2" t="n"/>
    </row>
    <row r="1095">
      <c r="A1095" s="62">
        <f>IF('14'!$C$1="","",'14'!$C$1)</f>
        <v/>
      </c>
      <c r="B1095" s="63">
        <f>Ustawienia!$A$9&amp;""</f>
        <v/>
      </c>
      <c r="C1095" s="63">
        <f>Ustawienia!$A$15&amp;""</f>
        <v/>
      </c>
      <c r="D1095" s="63" t="n">
        <v>8</v>
      </c>
      <c r="E1095" s="63">
        <f>IF('14'!F20="","",TRIM('14'!F20&amp;""))</f>
        <v/>
      </c>
      <c r="F1095" s="63">
        <f>IF('14'!G20="","",'14'!G20)</f>
        <v/>
      </c>
      <c r="G1095" s="63">
        <f>'14'!H20&amp;""</f>
        <v/>
      </c>
      <c r="H1095" s="63">
        <f>IF(OR(A1095="",F1095=""),"",F1095&amp;"|"&amp;A1095)</f>
        <v/>
      </c>
      <c r="I1095" s="63">
        <f>IF(AND(H1095&lt;&gt;"",OR('Historia wózka'!$B$4="",F1095='Historia wózka'!$B$4),A1095&gt;='Historia wózka'!$B$5,A1095&lt;='Historia wózka'!$B$6),A1095+0.8+(5000-ROW())/10000000,0)</f>
        <v/>
      </c>
      <c r="J1095" s="63">
        <f>Ustawienia!$B$9&amp;""</f>
        <v/>
      </c>
      <c r="K1095" s="63">
        <f>IF(H1095="","",COUNTIFS('Zgłoszenia'!$B$5:$B$504,F1095,'Zgłoszenia'!$D$5:$D$504,"&gt;="&amp;A1095,'Zgłoszenia'!$D$5:$D$504,"&lt;="&amp;(A1095+1)))</f>
        <v/>
      </c>
      <c r="L1095" s="63">
        <f>IF(OR(H1095="",K1095=0),"—",IF(ISNUMBER(MATCH(H1095,'Zgłoszenia'!$S$5:$S$504,0)),RIGHT("0"&amp;DAY(A1095),2)&amp;"."&amp;RIGHT("0"&amp;MONTH(A1095),2)&amp;"."&amp;YEAR(A1095)&amp;": "&amp;INDEX('Zgłoszenia'!$H$5:$H$504,MATCH(H1095,'Zgłoszenia'!$S$5:$S$504,0)),RIGHT("0"&amp;DAY((A1095+1)),2)&amp;"."&amp;RIGHT("0"&amp;MONTH((A1095+1)),2)&amp;"."&amp;YEAR((A1095+1))&amp;": "&amp;INDEX('Zgłoszenia'!$H$5:$H$504,MATCH(F1095&amp;"|"&amp;(A1095+1),'Zgłoszenia'!$S$5:$S$504,0)))&amp;IF(K1095&gt;1," (+"&amp;(K1095-1)&amp;")",""))</f>
        <v/>
      </c>
      <c r="M1095" s="63" t="n">
        <v>14</v>
      </c>
      <c r="N1095" s="2" t="n"/>
      <c r="O1095" s="2" t="n"/>
    </row>
    <row r="1096">
      <c r="A1096" s="62">
        <f>IF('14'!$C$1="","",'14'!$C$1)</f>
        <v/>
      </c>
      <c r="B1096" s="63">
        <f>Ustawienia!$A$9&amp;""</f>
        <v/>
      </c>
      <c r="C1096" s="63">
        <f>Ustawienia!$A$16&amp;""</f>
        <v/>
      </c>
      <c r="D1096" s="63" t="n">
        <v>1</v>
      </c>
      <c r="E1096" s="63">
        <f>IF('14'!F22="","",TRIM('14'!F22&amp;""))</f>
        <v/>
      </c>
      <c r="F1096" s="63">
        <f>IF('14'!G22="","",'14'!G22)</f>
        <v/>
      </c>
      <c r="G1096" s="63">
        <f>'14'!H22&amp;""</f>
        <v/>
      </c>
      <c r="H1096" s="63">
        <f>IF(OR(A1096="",F1096=""),"",F1096&amp;"|"&amp;A1096)</f>
        <v/>
      </c>
      <c r="I1096" s="63">
        <f>IF(AND(H1096&lt;&gt;"",OR('Historia wózka'!$B$4="",F1096='Historia wózka'!$B$4),A1096&gt;='Historia wózka'!$B$5,A1096&lt;='Historia wózka'!$B$6),A1096+0.8+(5000-ROW())/10000000,0)</f>
        <v/>
      </c>
      <c r="J1096" s="63">
        <f>Ustawienia!$B$9&amp;""</f>
        <v/>
      </c>
      <c r="K1096" s="63">
        <f>IF(H1096="","",COUNTIFS('Zgłoszenia'!$B$5:$B$504,F1096,'Zgłoszenia'!$D$5:$D$504,"&gt;="&amp;A1096,'Zgłoszenia'!$D$5:$D$504,"&lt;="&amp;(A1096+1)))</f>
        <v/>
      </c>
      <c r="L1096" s="63">
        <f>IF(OR(H1096="",K1096=0),"—",IF(ISNUMBER(MATCH(H1096,'Zgłoszenia'!$S$5:$S$504,0)),RIGHT("0"&amp;DAY(A1096),2)&amp;"."&amp;RIGHT("0"&amp;MONTH(A1096),2)&amp;"."&amp;YEAR(A1096)&amp;": "&amp;INDEX('Zgłoszenia'!$H$5:$H$504,MATCH(H1096,'Zgłoszenia'!$S$5:$S$504,0)),RIGHT("0"&amp;DAY((A1096+1)),2)&amp;"."&amp;RIGHT("0"&amp;MONTH((A1096+1)),2)&amp;"."&amp;YEAR((A1096+1))&amp;": "&amp;INDEX('Zgłoszenia'!$H$5:$H$504,MATCH(F1096&amp;"|"&amp;(A1096+1),'Zgłoszenia'!$S$5:$S$504,0)))&amp;IF(K1096&gt;1," (+"&amp;(K1096-1)&amp;")",""))</f>
        <v/>
      </c>
      <c r="M1096" s="63" t="n">
        <v>14</v>
      </c>
      <c r="N1096" s="2" t="n"/>
      <c r="O1096" s="2" t="n"/>
    </row>
    <row r="1097">
      <c r="A1097" s="62">
        <f>IF('14'!$C$1="","",'14'!$C$1)</f>
        <v/>
      </c>
      <c r="B1097" s="63">
        <f>Ustawienia!$A$9&amp;""</f>
        <v/>
      </c>
      <c r="C1097" s="63">
        <f>Ustawienia!$A$16&amp;""</f>
        <v/>
      </c>
      <c r="D1097" s="63" t="n">
        <v>2</v>
      </c>
      <c r="E1097" s="63">
        <f>IF('14'!F23="","",TRIM('14'!F23&amp;""))</f>
        <v/>
      </c>
      <c r="F1097" s="63">
        <f>IF('14'!G23="","",'14'!G23)</f>
        <v/>
      </c>
      <c r="G1097" s="63">
        <f>'14'!H23&amp;""</f>
        <v/>
      </c>
      <c r="H1097" s="63">
        <f>IF(OR(A1097="",F1097=""),"",F1097&amp;"|"&amp;A1097)</f>
        <v/>
      </c>
      <c r="I1097" s="63">
        <f>IF(AND(H1097&lt;&gt;"",OR('Historia wózka'!$B$4="",F1097='Historia wózka'!$B$4),A1097&gt;='Historia wózka'!$B$5,A1097&lt;='Historia wózka'!$B$6),A1097+0.8+(5000-ROW())/10000000,0)</f>
        <v/>
      </c>
      <c r="J1097" s="63">
        <f>Ustawienia!$B$9&amp;""</f>
        <v/>
      </c>
      <c r="K1097" s="63">
        <f>IF(H1097="","",COUNTIFS('Zgłoszenia'!$B$5:$B$504,F1097,'Zgłoszenia'!$D$5:$D$504,"&gt;="&amp;A1097,'Zgłoszenia'!$D$5:$D$504,"&lt;="&amp;(A1097+1)))</f>
        <v/>
      </c>
      <c r="L1097" s="63">
        <f>IF(OR(H1097="",K1097=0),"—",IF(ISNUMBER(MATCH(H1097,'Zgłoszenia'!$S$5:$S$504,0)),RIGHT("0"&amp;DAY(A1097),2)&amp;"."&amp;RIGHT("0"&amp;MONTH(A1097),2)&amp;"."&amp;YEAR(A1097)&amp;": "&amp;INDEX('Zgłoszenia'!$H$5:$H$504,MATCH(H1097,'Zgłoszenia'!$S$5:$S$504,0)),RIGHT("0"&amp;DAY((A1097+1)),2)&amp;"."&amp;RIGHT("0"&amp;MONTH((A1097+1)),2)&amp;"."&amp;YEAR((A1097+1))&amp;": "&amp;INDEX('Zgłoszenia'!$H$5:$H$504,MATCH(F1097&amp;"|"&amp;(A1097+1),'Zgłoszenia'!$S$5:$S$504,0)))&amp;IF(K1097&gt;1," (+"&amp;(K1097-1)&amp;")",""))</f>
        <v/>
      </c>
      <c r="M1097" s="63" t="n">
        <v>14</v>
      </c>
      <c r="N1097" s="2" t="n"/>
      <c r="O1097" s="2" t="n"/>
    </row>
    <row r="1098">
      <c r="A1098" s="62">
        <f>IF('14'!$C$1="","",'14'!$C$1)</f>
        <v/>
      </c>
      <c r="B1098" s="63">
        <f>Ustawienia!$A$9&amp;""</f>
        <v/>
      </c>
      <c r="C1098" s="63">
        <f>Ustawienia!$A$16&amp;""</f>
        <v/>
      </c>
      <c r="D1098" s="63" t="n">
        <v>3</v>
      </c>
      <c r="E1098" s="63">
        <f>IF('14'!F24="","",TRIM('14'!F24&amp;""))</f>
        <v/>
      </c>
      <c r="F1098" s="63">
        <f>IF('14'!G24="","",'14'!G24)</f>
        <v/>
      </c>
      <c r="G1098" s="63">
        <f>'14'!H24&amp;""</f>
        <v/>
      </c>
      <c r="H1098" s="63">
        <f>IF(OR(A1098="",F1098=""),"",F1098&amp;"|"&amp;A1098)</f>
        <v/>
      </c>
      <c r="I1098" s="63">
        <f>IF(AND(H1098&lt;&gt;"",OR('Historia wózka'!$B$4="",F1098='Historia wózka'!$B$4),A1098&gt;='Historia wózka'!$B$5,A1098&lt;='Historia wózka'!$B$6),A1098+0.8+(5000-ROW())/10000000,0)</f>
        <v/>
      </c>
      <c r="J1098" s="63">
        <f>Ustawienia!$B$9&amp;""</f>
        <v/>
      </c>
      <c r="K1098" s="63">
        <f>IF(H1098="","",COUNTIFS('Zgłoszenia'!$B$5:$B$504,F1098,'Zgłoszenia'!$D$5:$D$504,"&gt;="&amp;A1098,'Zgłoszenia'!$D$5:$D$504,"&lt;="&amp;(A1098+1)))</f>
        <v/>
      </c>
      <c r="L1098" s="63">
        <f>IF(OR(H1098="",K1098=0),"—",IF(ISNUMBER(MATCH(H1098,'Zgłoszenia'!$S$5:$S$504,0)),RIGHT("0"&amp;DAY(A1098),2)&amp;"."&amp;RIGHT("0"&amp;MONTH(A1098),2)&amp;"."&amp;YEAR(A1098)&amp;": "&amp;INDEX('Zgłoszenia'!$H$5:$H$504,MATCH(H1098,'Zgłoszenia'!$S$5:$S$504,0)),RIGHT("0"&amp;DAY((A1098+1)),2)&amp;"."&amp;RIGHT("0"&amp;MONTH((A1098+1)),2)&amp;"."&amp;YEAR((A1098+1))&amp;": "&amp;INDEX('Zgłoszenia'!$H$5:$H$504,MATCH(F1098&amp;"|"&amp;(A1098+1),'Zgłoszenia'!$S$5:$S$504,0)))&amp;IF(K1098&gt;1," (+"&amp;(K1098-1)&amp;")",""))</f>
        <v/>
      </c>
      <c r="M1098" s="63" t="n">
        <v>14</v>
      </c>
      <c r="N1098" s="2" t="n"/>
      <c r="O1098" s="2" t="n"/>
    </row>
    <row r="1099">
      <c r="A1099" s="62">
        <f>IF('14'!$C$1="","",'14'!$C$1)</f>
        <v/>
      </c>
      <c r="B1099" s="63">
        <f>Ustawienia!$A$9&amp;""</f>
        <v/>
      </c>
      <c r="C1099" s="63">
        <f>Ustawienia!$A$16&amp;""</f>
        <v/>
      </c>
      <c r="D1099" s="63" t="n">
        <v>4</v>
      </c>
      <c r="E1099" s="63">
        <f>IF('14'!F25="","",TRIM('14'!F25&amp;""))</f>
        <v/>
      </c>
      <c r="F1099" s="63">
        <f>IF('14'!G25="","",'14'!G25)</f>
        <v/>
      </c>
      <c r="G1099" s="63">
        <f>'14'!H25&amp;""</f>
        <v/>
      </c>
      <c r="H1099" s="63">
        <f>IF(OR(A1099="",F1099=""),"",F1099&amp;"|"&amp;A1099)</f>
        <v/>
      </c>
      <c r="I1099" s="63">
        <f>IF(AND(H1099&lt;&gt;"",OR('Historia wózka'!$B$4="",F1099='Historia wózka'!$B$4),A1099&gt;='Historia wózka'!$B$5,A1099&lt;='Historia wózka'!$B$6),A1099+0.8+(5000-ROW())/10000000,0)</f>
        <v/>
      </c>
      <c r="J1099" s="63">
        <f>Ustawienia!$B$9&amp;""</f>
        <v/>
      </c>
      <c r="K1099" s="63">
        <f>IF(H1099="","",COUNTIFS('Zgłoszenia'!$B$5:$B$504,F1099,'Zgłoszenia'!$D$5:$D$504,"&gt;="&amp;A1099,'Zgłoszenia'!$D$5:$D$504,"&lt;="&amp;(A1099+1)))</f>
        <v/>
      </c>
      <c r="L1099" s="63">
        <f>IF(OR(H1099="",K1099=0),"—",IF(ISNUMBER(MATCH(H1099,'Zgłoszenia'!$S$5:$S$504,0)),RIGHT("0"&amp;DAY(A1099),2)&amp;"."&amp;RIGHT("0"&amp;MONTH(A1099),2)&amp;"."&amp;YEAR(A1099)&amp;": "&amp;INDEX('Zgłoszenia'!$H$5:$H$504,MATCH(H1099,'Zgłoszenia'!$S$5:$S$504,0)),RIGHT("0"&amp;DAY((A1099+1)),2)&amp;"."&amp;RIGHT("0"&amp;MONTH((A1099+1)),2)&amp;"."&amp;YEAR((A1099+1))&amp;": "&amp;INDEX('Zgłoszenia'!$H$5:$H$504,MATCH(F1099&amp;"|"&amp;(A1099+1),'Zgłoszenia'!$S$5:$S$504,0)))&amp;IF(K1099&gt;1," (+"&amp;(K1099-1)&amp;")",""))</f>
        <v/>
      </c>
      <c r="M1099" s="63" t="n">
        <v>14</v>
      </c>
      <c r="N1099" s="2" t="n"/>
      <c r="O1099" s="2" t="n"/>
    </row>
    <row r="1100">
      <c r="A1100" s="62">
        <f>IF('14'!$C$1="","",'14'!$C$1)</f>
        <v/>
      </c>
      <c r="B1100" s="63">
        <f>Ustawienia!$A$9&amp;""</f>
        <v/>
      </c>
      <c r="C1100" s="63">
        <f>Ustawienia!$A$17&amp;""</f>
        <v/>
      </c>
      <c r="D1100" s="63" t="n">
        <v>1</v>
      </c>
      <c r="E1100" s="63">
        <f>IF('14'!F27="","",TRIM('14'!F27&amp;""))</f>
        <v/>
      </c>
      <c r="F1100" s="63">
        <f>IF('14'!G27="","",'14'!G27)</f>
        <v/>
      </c>
      <c r="G1100" s="63">
        <f>'14'!H27&amp;""</f>
        <v/>
      </c>
      <c r="H1100" s="63">
        <f>IF(OR(A1100="",F1100=""),"",F1100&amp;"|"&amp;A1100)</f>
        <v/>
      </c>
      <c r="I1100" s="63">
        <f>IF(AND(H1100&lt;&gt;"",OR('Historia wózka'!$B$4="",F1100='Historia wózka'!$B$4),A1100&gt;='Historia wózka'!$B$5,A1100&lt;='Historia wózka'!$B$6),A1100+0.8+(5000-ROW())/10000000,0)</f>
        <v/>
      </c>
      <c r="J1100" s="63">
        <f>Ustawienia!$B$9&amp;""</f>
        <v/>
      </c>
      <c r="K1100" s="63">
        <f>IF(H1100="","",COUNTIFS('Zgłoszenia'!$B$5:$B$504,F1100,'Zgłoszenia'!$D$5:$D$504,"&gt;="&amp;A1100,'Zgłoszenia'!$D$5:$D$504,"&lt;="&amp;(A1100+1)))</f>
        <v/>
      </c>
      <c r="L1100" s="63">
        <f>IF(OR(H1100="",K1100=0),"—",IF(ISNUMBER(MATCH(H1100,'Zgłoszenia'!$S$5:$S$504,0)),RIGHT("0"&amp;DAY(A1100),2)&amp;"."&amp;RIGHT("0"&amp;MONTH(A1100),2)&amp;"."&amp;YEAR(A1100)&amp;": "&amp;INDEX('Zgłoszenia'!$H$5:$H$504,MATCH(H1100,'Zgłoszenia'!$S$5:$S$504,0)),RIGHT("0"&amp;DAY((A1100+1)),2)&amp;"."&amp;RIGHT("0"&amp;MONTH((A1100+1)),2)&amp;"."&amp;YEAR((A1100+1))&amp;": "&amp;INDEX('Zgłoszenia'!$H$5:$H$504,MATCH(F1100&amp;"|"&amp;(A1100+1),'Zgłoszenia'!$S$5:$S$504,0)))&amp;IF(K1100&gt;1," (+"&amp;(K1100-1)&amp;")",""))</f>
        <v/>
      </c>
      <c r="M1100" s="63" t="n">
        <v>14</v>
      </c>
      <c r="N1100" s="2" t="n"/>
      <c r="O1100" s="2" t="n"/>
    </row>
    <row r="1101">
      <c r="A1101" s="62">
        <f>IF('14'!$C$1="","",'14'!$C$1)</f>
        <v/>
      </c>
      <c r="B1101" s="63">
        <f>Ustawienia!$A$9&amp;""</f>
        <v/>
      </c>
      <c r="C1101" s="63">
        <f>Ustawienia!$A$17&amp;""</f>
        <v/>
      </c>
      <c r="D1101" s="63" t="n">
        <v>2</v>
      </c>
      <c r="E1101" s="63">
        <f>IF('14'!F28="","",TRIM('14'!F28&amp;""))</f>
        <v/>
      </c>
      <c r="F1101" s="63">
        <f>IF('14'!G28="","",'14'!G28)</f>
        <v/>
      </c>
      <c r="G1101" s="63">
        <f>'14'!H28&amp;""</f>
        <v/>
      </c>
      <c r="H1101" s="63">
        <f>IF(OR(A1101="",F1101=""),"",F1101&amp;"|"&amp;A1101)</f>
        <v/>
      </c>
      <c r="I1101" s="63">
        <f>IF(AND(H1101&lt;&gt;"",OR('Historia wózka'!$B$4="",F1101='Historia wózka'!$B$4),A1101&gt;='Historia wózka'!$B$5,A1101&lt;='Historia wózka'!$B$6),A1101+0.8+(5000-ROW())/10000000,0)</f>
        <v/>
      </c>
      <c r="J1101" s="63">
        <f>Ustawienia!$B$9&amp;""</f>
        <v/>
      </c>
      <c r="K1101" s="63">
        <f>IF(H1101="","",COUNTIFS('Zgłoszenia'!$B$5:$B$504,F1101,'Zgłoszenia'!$D$5:$D$504,"&gt;="&amp;A1101,'Zgłoszenia'!$D$5:$D$504,"&lt;="&amp;(A1101+1)))</f>
        <v/>
      </c>
      <c r="L1101" s="63">
        <f>IF(OR(H1101="",K1101=0),"—",IF(ISNUMBER(MATCH(H1101,'Zgłoszenia'!$S$5:$S$504,0)),RIGHT("0"&amp;DAY(A1101),2)&amp;"."&amp;RIGHT("0"&amp;MONTH(A1101),2)&amp;"."&amp;YEAR(A1101)&amp;": "&amp;INDEX('Zgłoszenia'!$H$5:$H$504,MATCH(H1101,'Zgłoszenia'!$S$5:$S$504,0)),RIGHT("0"&amp;DAY((A1101+1)),2)&amp;"."&amp;RIGHT("0"&amp;MONTH((A1101+1)),2)&amp;"."&amp;YEAR((A1101+1))&amp;": "&amp;INDEX('Zgłoszenia'!$H$5:$H$504,MATCH(F1101&amp;"|"&amp;(A1101+1),'Zgłoszenia'!$S$5:$S$504,0)))&amp;IF(K1101&gt;1," (+"&amp;(K1101-1)&amp;")",""))</f>
        <v/>
      </c>
      <c r="M1101" s="63" t="n">
        <v>14</v>
      </c>
      <c r="N1101" s="2" t="n"/>
      <c r="O1101" s="2" t="n"/>
    </row>
    <row r="1102">
      <c r="A1102" s="62">
        <f>IF('14'!$C$1="","",'14'!$C$1)</f>
        <v/>
      </c>
      <c r="B1102" s="63">
        <f>Ustawienia!$A$9&amp;""</f>
        <v/>
      </c>
      <c r="C1102" s="63">
        <f>Ustawienia!$A$17&amp;""</f>
        <v/>
      </c>
      <c r="D1102" s="63" t="n">
        <v>3</v>
      </c>
      <c r="E1102" s="63">
        <f>IF('14'!F29="","",TRIM('14'!F29&amp;""))</f>
        <v/>
      </c>
      <c r="F1102" s="63">
        <f>IF('14'!G29="","",'14'!G29)</f>
        <v/>
      </c>
      <c r="G1102" s="63">
        <f>'14'!H29&amp;""</f>
        <v/>
      </c>
      <c r="H1102" s="63">
        <f>IF(OR(A1102="",F1102=""),"",F1102&amp;"|"&amp;A1102)</f>
        <v/>
      </c>
      <c r="I1102" s="63">
        <f>IF(AND(H1102&lt;&gt;"",OR('Historia wózka'!$B$4="",F1102='Historia wózka'!$B$4),A1102&gt;='Historia wózka'!$B$5,A1102&lt;='Historia wózka'!$B$6),A1102+0.8+(5000-ROW())/10000000,0)</f>
        <v/>
      </c>
      <c r="J1102" s="63">
        <f>Ustawienia!$B$9&amp;""</f>
        <v/>
      </c>
      <c r="K1102" s="63">
        <f>IF(H1102="","",COUNTIFS('Zgłoszenia'!$B$5:$B$504,F1102,'Zgłoszenia'!$D$5:$D$504,"&gt;="&amp;A1102,'Zgłoszenia'!$D$5:$D$504,"&lt;="&amp;(A1102+1)))</f>
        <v/>
      </c>
      <c r="L1102" s="63">
        <f>IF(OR(H1102="",K1102=0),"—",IF(ISNUMBER(MATCH(H1102,'Zgłoszenia'!$S$5:$S$504,0)),RIGHT("0"&amp;DAY(A1102),2)&amp;"."&amp;RIGHT("0"&amp;MONTH(A1102),2)&amp;"."&amp;YEAR(A1102)&amp;": "&amp;INDEX('Zgłoszenia'!$H$5:$H$504,MATCH(H1102,'Zgłoszenia'!$S$5:$S$504,0)),RIGHT("0"&amp;DAY((A1102+1)),2)&amp;"."&amp;RIGHT("0"&amp;MONTH((A1102+1)),2)&amp;"."&amp;YEAR((A1102+1))&amp;": "&amp;INDEX('Zgłoszenia'!$H$5:$H$504,MATCH(F1102&amp;"|"&amp;(A1102+1),'Zgłoszenia'!$S$5:$S$504,0)))&amp;IF(K1102&gt;1," (+"&amp;(K1102-1)&amp;")",""))</f>
        <v/>
      </c>
      <c r="M1102" s="63" t="n">
        <v>14</v>
      </c>
      <c r="N1102" s="2" t="n"/>
      <c r="O1102" s="2" t="n"/>
    </row>
    <row r="1103">
      <c r="A1103" s="62">
        <f>IF('14'!$C$1="","",'14'!$C$1)</f>
        <v/>
      </c>
      <c r="B1103" s="63">
        <f>Ustawienia!$A$9&amp;""</f>
        <v/>
      </c>
      <c r="C1103" s="63">
        <f>Ustawienia!$A$17&amp;""</f>
        <v/>
      </c>
      <c r="D1103" s="63" t="n">
        <v>4</v>
      </c>
      <c r="E1103" s="63">
        <f>IF('14'!F30="","",TRIM('14'!F30&amp;""))</f>
        <v/>
      </c>
      <c r="F1103" s="63">
        <f>IF('14'!G30="","",'14'!G30)</f>
        <v/>
      </c>
      <c r="G1103" s="63">
        <f>'14'!H30&amp;""</f>
        <v/>
      </c>
      <c r="H1103" s="63">
        <f>IF(OR(A1103="",F1103=""),"",F1103&amp;"|"&amp;A1103)</f>
        <v/>
      </c>
      <c r="I1103" s="63">
        <f>IF(AND(H1103&lt;&gt;"",OR('Historia wózka'!$B$4="",F1103='Historia wózka'!$B$4),A1103&gt;='Historia wózka'!$B$5,A1103&lt;='Historia wózka'!$B$6),A1103+0.8+(5000-ROW())/10000000,0)</f>
        <v/>
      </c>
      <c r="J1103" s="63">
        <f>Ustawienia!$B$9&amp;""</f>
        <v/>
      </c>
      <c r="K1103" s="63">
        <f>IF(H1103="","",COUNTIFS('Zgłoszenia'!$B$5:$B$504,F1103,'Zgłoszenia'!$D$5:$D$504,"&gt;="&amp;A1103,'Zgłoszenia'!$D$5:$D$504,"&lt;="&amp;(A1103+1)))</f>
        <v/>
      </c>
      <c r="L1103" s="63">
        <f>IF(OR(H1103="",K1103=0),"—",IF(ISNUMBER(MATCH(H1103,'Zgłoszenia'!$S$5:$S$504,0)),RIGHT("0"&amp;DAY(A1103),2)&amp;"."&amp;RIGHT("0"&amp;MONTH(A1103),2)&amp;"."&amp;YEAR(A1103)&amp;": "&amp;INDEX('Zgłoszenia'!$H$5:$H$504,MATCH(H1103,'Zgłoszenia'!$S$5:$S$504,0)),RIGHT("0"&amp;DAY((A1103+1)),2)&amp;"."&amp;RIGHT("0"&amp;MONTH((A1103+1)),2)&amp;"."&amp;YEAR((A1103+1))&amp;": "&amp;INDEX('Zgłoszenia'!$H$5:$H$504,MATCH(F1103&amp;"|"&amp;(A1103+1),'Zgłoszenia'!$S$5:$S$504,0)))&amp;IF(K1103&gt;1," (+"&amp;(K1103-1)&amp;")",""))</f>
        <v/>
      </c>
      <c r="M1103" s="63" t="n">
        <v>14</v>
      </c>
      <c r="N1103" s="2" t="n"/>
      <c r="O1103" s="2" t="n"/>
    </row>
    <row r="1104">
      <c r="A1104" s="62">
        <f>IF('14'!$C$1="","",'14'!$C$1)</f>
        <v/>
      </c>
      <c r="B1104" s="63">
        <f>Ustawienia!$A$9&amp;""</f>
        <v/>
      </c>
      <c r="C1104" s="63">
        <f>Ustawienia!$A$18&amp;""</f>
        <v/>
      </c>
      <c r="D1104" s="63" t="n">
        <v>1</v>
      </c>
      <c r="E1104" s="63">
        <f>IF('14'!F32="","",TRIM('14'!F32&amp;""))</f>
        <v/>
      </c>
      <c r="F1104" s="63">
        <f>IF('14'!G32="","",'14'!G32)</f>
        <v/>
      </c>
      <c r="G1104" s="63">
        <f>'14'!H32&amp;""</f>
        <v/>
      </c>
      <c r="H1104" s="63">
        <f>IF(OR(A1104="",F1104=""),"",F1104&amp;"|"&amp;A1104)</f>
        <v/>
      </c>
      <c r="I1104" s="63">
        <f>IF(AND(H1104&lt;&gt;"",OR('Historia wózka'!$B$4="",F1104='Historia wózka'!$B$4),A1104&gt;='Historia wózka'!$B$5,A1104&lt;='Historia wózka'!$B$6),A1104+0.8+(5000-ROW())/10000000,0)</f>
        <v/>
      </c>
      <c r="J1104" s="63">
        <f>Ustawienia!$B$9&amp;""</f>
        <v/>
      </c>
      <c r="K1104" s="63">
        <f>IF(H1104="","",COUNTIFS('Zgłoszenia'!$B$5:$B$504,F1104,'Zgłoszenia'!$D$5:$D$504,"&gt;="&amp;A1104,'Zgłoszenia'!$D$5:$D$504,"&lt;="&amp;(A1104+1)))</f>
        <v/>
      </c>
      <c r="L1104" s="63">
        <f>IF(OR(H1104="",K1104=0),"—",IF(ISNUMBER(MATCH(H1104,'Zgłoszenia'!$S$5:$S$504,0)),RIGHT("0"&amp;DAY(A1104),2)&amp;"."&amp;RIGHT("0"&amp;MONTH(A1104),2)&amp;"."&amp;YEAR(A1104)&amp;": "&amp;INDEX('Zgłoszenia'!$H$5:$H$504,MATCH(H1104,'Zgłoszenia'!$S$5:$S$504,0)),RIGHT("0"&amp;DAY((A1104+1)),2)&amp;"."&amp;RIGHT("0"&amp;MONTH((A1104+1)),2)&amp;"."&amp;YEAR((A1104+1))&amp;": "&amp;INDEX('Zgłoszenia'!$H$5:$H$504,MATCH(F1104&amp;"|"&amp;(A1104+1),'Zgłoszenia'!$S$5:$S$504,0)))&amp;IF(K1104&gt;1," (+"&amp;(K1104-1)&amp;")",""))</f>
        <v/>
      </c>
      <c r="M1104" s="63" t="n">
        <v>14</v>
      </c>
      <c r="N1104" s="2" t="n"/>
      <c r="O1104" s="2" t="n"/>
    </row>
    <row r="1105">
      <c r="A1105" s="62">
        <f>IF('14'!$C$1="","",'14'!$C$1)</f>
        <v/>
      </c>
      <c r="B1105" s="63">
        <f>Ustawienia!$A$9&amp;""</f>
        <v/>
      </c>
      <c r="C1105" s="63">
        <f>Ustawienia!$A$18&amp;""</f>
        <v/>
      </c>
      <c r="D1105" s="63" t="n">
        <v>2</v>
      </c>
      <c r="E1105" s="63">
        <f>IF('14'!F33="","",TRIM('14'!F33&amp;""))</f>
        <v/>
      </c>
      <c r="F1105" s="63">
        <f>IF('14'!G33="","",'14'!G33)</f>
        <v/>
      </c>
      <c r="G1105" s="63">
        <f>'14'!H33&amp;""</f>
        <v/>
      </c>
      <c r="H1105" s="63">
        <f>IF(OR(A1105="",F1105=""),"",F1105&amp;"|"&amp;A1105)</f>
        <v/>
      </c>
      <c r="I1105" s="63">
        <f>IF(AND(H1105&lt;&gt;"",OR('Historia wózka'!$B$4="",F1105='Historia wózka'!$B$4),A1105&gt;='Historia wózka'!$B$5,A1105&lt;='Historia wózka'!$B$6),A1105+0.8+(5000-ROW())/10000000,0)</f>
        <v/>
      </c>
      <c r="J1105" s="63">
        <f>Ustawienia!$B$9&amp;""</f>
        <v/>
      </c>
      <c r="K1105" s="63">
        <f>IF(H1105="","",COUNTIFS('Zgłoszenia'!$B$5:$B$504,F1105,'Zgłoszenia'!$D$5:$D$504,"&gt;="&amp;A1105,'Zgłoszenia'!$D$5:$D$504,"&lt;="&amp;(A1105+1)))</f>
        <v/>
      </c>
      <c r="L1105" s="63">
        <f>IF(OR(H1105="",K1105=0),"—",IF(ISNUMBER(MATCH(H1105,'Zgłoszenia'!$S$5:$S$504,0)),RIGHT("0"&amp;DAY(A1105),2)&amp;"."&amp;RIGHT("0"&amp;MONTH(A1105),2)&amp;"."&amp;YEAR(A1105)&amp;": "&amp;INDEX('Zgłoszenia'!$H$5:$H$504,MATCH(H1105,'Zgłoszenia'!$S$5:$S$504,0)),RIGHT("0"&amp;DAY((A1105+1)),2)&amp;"."&amp;RIGHT("0"&amp;MONTH((A1105+1)),2)&amp;"."&amp;YEAR((A1105+1))&amp;": "&amp;INDEX('Zgłoszenia'!$H$5:$H$504,MATCH(F1105&amp;"|"&amp;(A1105+1),'Zgłoszenia'!$S$5:$S$504,0)))&amp;IF(K1105&gt;1," (+"&amp;(K1105-1)&amp;")",""))</f>
        <v/>
      </c>
      <c r="M1105" s="63" t="n">
        <v>14</v>
      </c>
      <c r="N1105" s="2" t="n"/>
      <c r="O1105" s="2" t="n"/>
    </row>
    <row r="1106">
      <c r="A1106" s="62">
        <f>IF('14'!$C$1="","",'14'!$C$1)</f>
        <v/>
      </c>
      <c r="B1106" s="63">
        <f>Ustawienia!$A$9&amp;""</f>
        <v/>
      </c>
      <c r="C1106" s="63">
        <f>Ustawienia!$A$18&amp;""</f>
        <v/>
      </c>
      <c r="D1106" s="63" t="n">
        <v>3</v>
      </c>
      <c r="E1106" s="63">
        <f>IF('14'!F34="","",TRIM('14'!F34&amp;""))</f>
        <v/>
      </c>
      <c r="F1106" s="63">
        <f>IF('14'!G34="","",'14'!G34)</f>
        <v/>
      </c>
      <c r="G1106" s="63">
        <f>'14'!H34&amp;""</f>
        <v/>
      </c>
      <c r="H1106" s="63">
        <f>IF(OR(A1106="",F1106=""),"",F1106&amp;"|"&amp;A1106)</f>
        <v/>
      </c>
      <c r="I1106" s="63">
        <f>IF(AND(H1106&lt;&gt;"",OR('Historia wózka'!$B$4="",F1106='Historia wózka'!$B$4),A1106&gt;='Historia wózka'!$B$5,A1106&lt;='Historia wózka'!$B$6),A1106+0.8+(5000-ROW())/10000000,0)</f>
        <v/>
      </c>
      <c r="J1106" s="63">
        <f>Ustawienia!$B$9&amp;""</f>
        <v/>
      </c>
      <c r="K1106" s="63">
        <f>IF(H1106="","",COUNTIFS('Zgłoszenia'!$B$5:$B$504,F1106,'Zgłoszenia'!$D$5:$D$504,"&gt;="&amp;A1106,'Zgłoszenia'!$D$5:$D$504,"&lt;="&amp;(A1106+1)))</f>
        <v/>
      </c>
      <c r="L1106" s="63">
        <f>IF(OR(H1106="",K1106=0),"—",IF(ISNUMBER(MATCH(H1106,'Zgłoszenia'!$S$5:$S$504,0)),RIGHT("0"&amp;DAY(A1106),2)&amp;"."&amp;RIGHT("0"&amp;MONTH(A1106),2)&amp;"."&amp;YEAR(A1106)&amp;": "&amp;INDEX('Zgłoszenia'!$H$5:$H$504,MATCH(H1106,'Zgłoszenia'!$S$5:$S$504,0)),RIGHT("0"&amp;DAY((A1106+1)),2)&amp;"."&amp;RIGHT("0"&amp;MONTH((A1106+1)),2)&amp;"."&amp;YEAR((A1106+1))&amp;": "&amp;INDEX('Zgłoszenia'!$H$5:$H$504,MATCH(F1106&amp;"|"&amp;(A1106+1),'Zgłoszenia'!$S$5:$S$504,0)))&amp;IF(K1106&gt;1," (+"&amp;(K1106-1)&amp;")",""))</f>
        <v/>
      </c>
      <c r="M1106" s="63" t="n">
        <v>14</v>
      </c>
      <c r="N1106" s="2" t="n"/>
      <c r="O1106" s="2" t="n"/>
    </row>
    <row r="1107">
      <c r="A1107" s="62">
        <f>IF('14'!$C$1="","",'14'!$C$1)</f>
        <v/>
      </c>
      <c r="B1107" s="63">
        <f>Ustawienia!$A$9&amp;""</f>
        <v/>
      </c>
      <c r="C1107" s="63">
        <f>Ustawienia!$A$18&amp;""</f>
        <v/>
      </c>
      <c r="D1107" s="63" t="n">
        <v>4</v>
      </c>
      <c r="E1107" s="63">
        <f>IF('14'!F35="","",TRIM('14'!F35&amp;""))</f>
        <v/>
      </c>
      <c r="F1107" s="63">
        <f>IF('14'!G35="","",'14'!G35)</f>
        <v/>
      </c>
      <c r="G1107" s="63">
        <f>'14'!H35&amp;""</f>
        <v/>
      </c>
      <c r="H1107" s="63">
        <f>IF(OR(A1107="",F1107=""),"",F1107&amp;"|"&amp;A1107)</f>
        <v/>
      </c>
      <c r="I1107" s="63">
        <f>IF(AND(H1107&lt;&gt;"",OR('Historia wózka'!$B$4="",F1107='Historia wózka'!$B$4),A1107&gt;='Historia wózka'!$B$5,A1107&lt;='Historia wózka'!$B$6),A1107+0.8+(5000-ROW())/10000000,0)</f>
        <v/>
      </c>
      <c r="J1107" s="63">
        <f>Ustawienia!$B$9&amp;""</f>
        <v/>
      </c>
      <c r="K1107" s="63">
        <f>IF(H1107="","",COUNTIFS('Zgłoszenia'!$B$5:$B$504,F1107,'Zgłoszenia'!$D$5:$D$504,"&gt;="&amp;A1107,'Zgłoszenia'!$D$5:$D$504,"&lt;="&amp;(A1107+1)))</f>
        <v/>
      </c>
      <c r="L1107" s="63">
        <f>IF(OR(H1107="",K1107=0),"—",IF(ISNUMBER(MATCH(H1107,'Zgłoszenia'!$S$5:$S$504,0)),RIGHT("0"&amp;DAY(A1107),2)&amp;"."&amp;RIGHT("0"&amp;MONTH(A1107),2)&amp;"."&amp;YEAR(A1107)&amp;": "&amp;INDEX('Zgłoszenia'!$H$5:$H$504,MATCH(H1107,'Zgłoszenia'!$S$5:$S$504,0)),RIGHT("0"&amp;DAY((A1107+1)),2)&amp;"."&amp;RIGHT("0"&amp;MONTH((A1107+1)),2)&amp;"."&amp;YEAR((A1107+1))&amp;": "&amp;INDEX('Zgłoszenia'!$H$5:$H$504,MATCH(F1107&amp;"|"&amp;(A1107+1),'Zgłoszenia'!$S$5:$S$504,0)))&amp;IF(K1107&gt;1," (+"&amp;(K1107-1)&amp;")",""))</f>
        <v/>
      </c>
      <c r="M1107" s="63" t="n">
        <v>14</v>
      </c>
      <c r="N1107" s="2" t="n"/>
      <c r="O1107" s="2" t="n"/>
    </row>
    <row r="1108">
      <c r="A1108" s="62">
        <f>IF('14'!$C$1="","",'14'!$C$1)</f>
        <v/>
      </c>
      <c r="B1108" s="63">
        <f>Ustawienia!$A$9&amp;""</f>
        <v/>
      </c>
      <c r="C1108" s="63">
        <f>Ustawienia!$A$18&amp;""</f>
        <v/>
      </c>
      <c r="D1108" s="63" t="n">
        <v>5</v>
      </c>
      <c r="E1108" s="63">
        <f>IF('14'!F36="","",TRIM('14'!F36&amp;""))</f>
        <v/>
      </c>
      <c r="F1108" s="63">
        <f>IF('14'!G36="","",'14'!G36)</f>
        <v/>
      </c>
      <c r="G1108" s="63">
        <f>'14'!H36&amp;""</f>
        <v/>
      </c>
      <c r="H1108" s="63">
        <f>IF(OR(A1108="",F1108=""),"",F1108&amp;"|"&amp;A1108)</f>
        <v/>
      </c>
      <c r="I1108" s="63">
        <f>IF(AND(H1108&lt;&gt;"",OR('Historia wózka'!$B$4="",F1108='Historia wózka'!$B$4),A1108&gt;='Historia wózka'!$B$5,A1108&lt;='Historia wózka'!$B$6),A1108+0.8+(5000-ROW())/10000000,0)</f>
        <v/>
      </c>
      <c r="J1108" s="63">
        <f>Ustawienia!$B$9&amp;""</f>
        <v/>
      </c>
      <c r="K1108" s="63">
        <f>IF(H1108="","",COUNTIFS('Zgłoszenia'!$B$5:$B$504,F1108,'Zgłoszenia'!$D$5:$D$504,"&gt;="&amp;A1108,'Zgłoszenia'!$D$5:$D$504,"&lt;="&amp;(A1108+1)))</f>
        <v/>
      </c>
      <c r="L1108" s="63">
        <f>IF(OR(H1108="",K1108=0),"—",IF(ISNUMBER(MATCH(H1108,'Zgłoszenia'!$S$5:$S$504,0)),RIGHT("0"&amp;DAY(A1108),2)&amp;"."&amp;RIGHT("0"&amp;MONTH(A1108),2)&amp;"."&amp;YEAR(A1108)&amp;": "&amp;INDEX('Zgłoszenia'!$H$5:$H$504,MATCH(H1108,'Zgłoszenia'!$S$5:$S$504,0)),RIGHT("0"&amp;DAY((A1108+1)),2)&amp;"."&amp;RIGHT("0"&amp;MONTH((A1108+1)),2)&amp;"."&amp;YEAR((A1108+1))&amp;": "&amp;INDEX('Zgłoszenia'!$H$5:$H$504,MATCH(F1108&amp;"|"&amp;(A1108+1),'Zgłoszenia'!$S$5:$S$504,0)))&amp;IF(K1108&gt;1," (+"&amp;(K1108-1)&amp;")",""))</f>
        <v/>
      </c>
      <c r="M1108" s="63" t="n">
        <v>14</v>
      </c>
      <c r="N1108" s="2" t="n"/>
      <c r="O1108" s="2" t="n"/>
    </row>
    <row r="1109">
      <c r="A1109" s="62">
        <f>IF('14'!$C$1="","",'14'!$C$1)</f>
        <v/>
      </c>
      <c r="B1109" s="63">
        <f>Ustawienia!$A$10&amp;""</f>
        <v/>
      </c>
      <c r="C1109" s="63">
        <f>Ustawienia!$A$14&amp;""</f>
        <v/>
      </c>
      <c r="D1109" s="63" t="n">
        <v>1</v>
      </c>
      <c r="E1109" s="63">
        <f>IF('14'!J6="","",TRIM('14'!J6&amp;""))</f>
        <v/>
      </c>
      <c r="F1109" s="63">
        <f>IF('14'!K6="","",'14'!K6)</f>
        <v/>
      </c>
      <c r="G1109" s="63">
        <f>'14'!L6&amp;""</f>
        <v/>
      </c>
      <c r="H1109" s="63">
        <f>IF(OR(A1109="",F1109=""),"",F1109&amp;"|"&amp;A1109)</f>
        <v/>
      </c>
      <c r="I1109" s="63">
        <f>IF(AND(H1109&lt;&gt;"",OR('Historia wózka'!$B$4="",F1109='Historia wózka'!$B$4),A1109&gt;='Historia wózka'!$B$5,A1109&lt;='Historia wózka'!$B$6),A1109+0.7+(5000-ROW())/10000000,0)</f>
        <v/>
      </c>
      <c r="J1109" s="63">
        <f>Ustawienia!$B$10&amp;""</f>
        <v/>
      </c>
      <c r="K1109" s="63">
        <f>IF(H1109="","",COUNTIFS('Zgłoszenia'!$B$5:$B$504,F1109,'Zgłoszenia'!$D$5:$D$504,"&gt;="&amp;A1109,'Zgłoszenia'!$D$5:$D$504,"&lt;="&amp;(A1109+1)))</f>
        <v/>
      </c>
      <c r="L1109" s="63">
        <f>IF(OR(H1109="",K1109=0),"—",IF(ISNUMBER(MATCH(H1109,'Zgłoszenia'!$S$5:$S$504,0)),RIGHT("0"&amp;DAY(A1109),2)&amp;"."&amp;RIGHT("0"&amp;MONTH(A1109),2)&amp;"."&amp;YEAR(A1109)&amp;": "&amp;INDEX('Zgłoszenia'!$H$5:$H$504,MATCH(H1109,'Zgłoszenia'!$S$5:$S$504,0)),RIGHT("0"&amp;DAY((A1109+1)),2)&amp;"."&amp;RIGHT("0"&amp;MONTH((A1109+1)),2)&amp;"."&amp;YEAR((A1109+1))&amp;": "&amp;INDEX('Zgłoszenia'!$H$5:$H$504,MATCH(F1109&amp;"|"&amp;(A1109+1),'Zgłoszenia'!$S$5:$S$504,0)))&amp;IF(K1109&gt;1," (+"&amp;(K1109-1)&amp;")",""))</f>
        <v/>
      </c>
      <c r="M1109" s="63" t="n">
        <v>14</v>
      </c>
      <c r="N1109" s="2" t="n"/>
      <c r="O1109" s="2" t="n"/>
    </row>
    <row r="1110">
      <c r="A1110" s="62">
        <f>IF('14'!$C$1="","",'14'!$C$1)</f>
        <v/>
      </c>
      <c r="B1110" s="63">
        <f>Ustawienia!$A$10&amp;""</f>
        <v/>
      </c>
      <c r="C1110" s="63">
        <f>Ustawienia!$A$14&amp;""</f>
        <v/>
      </c>
      <c r="D1110" s="63" t="n">
        <v>2</v>
      </c>
      <c r="E1110" s="63">
        <f>IF('14'!J7="","",TRIM('14'!J7&amp;""))</f>
        <v/>
      </c>
      <c r="F1110" s="63">
        <f>IF('14'!K7="","",'14'!K7)</f>
        <v/>
      </c>
      <c r="G1110" s="63">
        <f>'14'!L7&amp;""</f>
        <v/>
      </c>
      <c r="H1110" s="63">
        <f>IF(OR(A1110="",F1110=""),"",F1110&amp;"|"&amp;A1110)</f>
        <v/>
      </c>
      <c r="I1110" s="63">
        <f>IF(AND(H1110&lt;&gt;"",OR('Historia wózka'!$B$4="",F1110='Historia wózka'!$B$4),A1110&gt;='Historia wózka'!$B$5,A1110&lt;='Historia wózka'!$B$6),A1110+0.7+(5000-ROW())/10000000,0)</f>
        <v/>
      </c>
      <c r="J1110" s="63">
        <f>Ustawienia!$B$10&amp;""</f>
        <v/>
      </c>
      <c r="K1110" s="63">
        <f>IF(H1110="","",COUNTIFS('Zgłoszenia'!$B$5:$B$504,F1110,'Zgłoszenia'!$D$5:$D$504,"&gt;="&amp;A1110,'Zgłoszenia'!$D$5:$D$504,"&lt;="&amp;(A1110+1)))</f>
        <v/>
      </c>
      <c r="L1110" s="63">
        <f>IF(OR(H1110="",K1110=0),"—",IF(ISNUMBER(MATCH(H1110,'Zgłoszenia'!$S$5:$S$504,0)),RIGHT("0"&amp;DAY(A1110),2)&amp;"."&amp;RIGHT("0"&amp;MONTH(A1110),2)&amp;"."&amp;YEAR(A1110)&amp;": "&amp;INDEX('Zgłoszenia'!$H$5:$H$504,MATCH(H1110,'Zgłoszenia'!$S$5:$S$504,0)),RIGHT("0"&amp;DAY((A1110+1)),2)&amp;"."&amp;RIGHT("0"&amp;MONTH((A1110+1)),2)&amp;"."&amp;YEAR((A1110+1))&amp;": "&amp;INDEX('Zgłoszenia'!$H$5:$H$504,MATCH(F1110&amp;"|"&amp;(A1110+1),'Zgłoszenia'!$S$5:$S$504,0)))&amp;IF(K1110&gt;1," (+"&amp;(K1110-1)&amp;")",""))</f>
        <v/>
      </c>
      <c r="M1110" s="63" t="n">
        <v>14</v>
      </c>
      <c r="N1110" s="2" t="n"/>
      <c r="O1110" s="2" t="n"/>
    </row>
    <row r="1111">
      <c r="A1111" s="62">
        <f>IF('14'!$C$1="","",'14'!$C$1)</f>
        <v/>
      </c>
      <c r="B1111" s="63">
        <f>Ustawienia!$A$10&amp;""</f>
        <v/>
      </c>
      <c r="C1111" s="63">
        <f>Ustawienia!$A$14&amp;""</f>
        <v/>
      </c>
      <c r="D1111" s="63" t="n">
        <v>3</v>
      </c>
      <c r="E1111" s="63">
        <f>IF('14'!J8="","",TRIM('14'!J8&amp;""))</f>
        <v/>
      </c>
      <c r="F1111" s="63">
        <f>IF('14'!K8="","",'14'!K8)</f>
        <v/>
      </c>
      <c r="G1111" s="63">
        <f>'14'!L8&amp;""</f>
        <v/>
      </c>
      <c r="H1111" s="63">
        <f>IF(OR(A1111="",F1111=""),"",F1111&amp;"|"&amp;A1111)</f>
        <v/>
      </c>
      <c r="I1111" s="63">
        <f>IF(AND(H1111&lt;&gt;"",OR('Historia wózka'!$B$4="",F1111='Historia wózka'!$B$4),A1111&gt;='Historia wózka'!$B$5,A1111&lt;='Historia wózka'!$B$6),A1111+0.7+(5000-ROW())/10000000,0)</f>
        <v/>
      </c>
      <c r="J1111" s="63">
        <f>Ustawienia!$B$10&amp;""</f>
        <v/>
      </c>
      <c r="K1111" s="63">
        <f>IF(H1111="","",COUNTIFS('Zgłoszenia'!$B$5:$B$504,F1111,'Zgłoszenia'!$D$5:$D$504,"&gt;="&amp;A1111,'Zgłoszenia'!$D$5:$D$504,"&lt;="&amp;(A1111+1)))</f>
        <v/>
      </c>
      <c r="L1111" s="63">
        <f>IF(OR(H1111="",K1111=0),"—",IF(ISNUMBER(MATCH(H1111,'Zgłoszenia'!$S$5:$S$504,0)),RIGHT("0"&amp;DAY(A1111),2)&amp;"."&amp;RIGHT("0"&amp;MONTH(A1111),2)&amp;"."&amp;YEAR(A1111)&amp;": "&amp;INDEX('Zgłoszenia'!$H$5:$H$504,MATCH(H1111,'Zgłoszenia'!$S$5:$S$504,0)),RIGHT("0"&amp;DAY((A1111+1)),2)&amp;"."&amp;RIGHT("0"&amp;MONTH((A1111+1)),2)&amp;"."&amp;YEAR((A1111+1))&amp;": "&amp;INDEX('Zgłoszenia'!$H$5:$H$504,MATCH(F1111&amp;"|"&amp;(A1111+1),'Zgłoszenia'!$S$5:$S$504,0)))&amp;IF(K1111&gt;1," (+"&amp;(K1111-1)&amp;")",""))</f>
        <v/>
      </c>
      <c r="M1111" s="63" t="n">
        <v>14</v>
      </c>
      <c r="N1111" s="2" t="n"/>
      <c r="O1111" s="2" t="n"/>
    </row>
    <row r="1112">
      <c r="A1112" s="62">
        <f>IF('14'!$C$1="","",'14'!$C$1)</f>
        <v/>
      </c>
      <c r="B1112" s="63">
        <f>Ustawienia!$A$10&amp;""</f>
        <v/>
      </c>
      <c r="C1112" s="63">
        <f>Ustawienia!$A$14&amp;""</f>
        <v/>
      </c>
      <c r="D1112" s="63" t="n">
        <v>4</v>
      </c>
      <c r="E1112" s="63">
        <f>IF('14'!J9="","",TRIM('14'!J9&amp;""))</f>
        <v/>
      </c>
      <c r="F1112" s="63">
        <f>IF('14'!K9="","",'14'!K9)</f>
        <v/>
      </c>
      <c r="G1112" s="63">
        <f>'14'!L9&amp;""</f>
        <v/>
      </c>
      <c r="H1112" s="63">
        <f>IF(OR(A1112="",F1112=""),"",F1112&amp;"|"&amp;A1112)</f>
        <v/>
      </c>
      <c r="I1112" s="63">
        <f>IF(AND(H1112&lt;&gt;"",OR('Historia wózka'!$B$4="",F1112='Historia wózka'!$B$4),A1112&gt;='Historia wózka'!$B$5,A1112&lt;='Historia wózka'!$B$6),A1112+0.7+(5000-ROW())/10000000,0)</f>
        <v/>
      </c>
      <c r="J1112" s="63">
        <f>Ustawienia!$B$10&amp;""</f>
        <v/>
      </c>
      <c r="K1112" s="63">
        <f>IF(H1112="","",COUNTIFS('Zgłoszenia'!$B$5:$B$504,F1112,'Zgłoszenia'!$D$5:$D$504,"&gt;="&amp;A1112,'Zgłoszenia'!$D$5:$D$504,"&lt;="&amp;(A1112+1)))</f>
        <v/>
      </c>
      <c r="L1112" s="63">
        <f>IF(OR(H1112="",K1112=0),"—",IF(ISNUMBER(MATCH(H1112,'Zgłoszenia'!$S$5:$S$504,0)),RIGHT("0"&amp;DAY(A1112),2)&amp;"."&amp;RIGHT("0"&amp;MONTH(A1112),2)&amp;"."&amp;YEAR(A1112)&amp;": "&amp;INDEX('Zgłoszenia'!$H$5:$H$504,MATCH(H1112,'Zgłoszenia'!$S$5:$S$504,0)),RIGHT("0"&amp;DAY((A1112+1)),2)&amp;"."&amp;RIGHT("0"&amp;MONTH((A1112+1)),2)&amp;"."&amp;YEAR((A1112+1))&amp;": "&amp;INDEX('Zgłoszenia'!$H$5:$H$504,MATCH(F1112&amp;"|"&amp;(A1112+1),'Zgłoszenia'!$S$5:$S$504,0)))&amp;IF(K1112&gt;1," (+"&amp;(K1112-1)&amp;")",""))</f>
        <v/>
      </c>
      <c r="M1112" s="63" t="n">
        <v>14</v>
      </c>
      <c r="N1112" s="2" t="n"/>
      <c r="O1112" s="2" t="n"/>
    </row>
    <row r="1113">
      <c r="A1113" s="62">
        <f>IF('14'!$C$1="","",'14'!$C$1)</f>
        <v/>
      </c>
      <c r="B1113" s="63">
        <f>Ustawienia!$A$10&amp;""</f>
        <v/>
      </c>
      <c r="C1113" s="63">
        <f>Ustawienia!$A$14&amp;""</f>
        <v/>
      </c>
      <c r="D1113" s="63" t="n">
        <v>5</v>
      </c>
      <c r="E1113" s="63">
        <f>IF('14'!J10="","",TRIM('14'!J10&amp;""))</f>
        <v/>
      </c>
      <c r="F1113" s="63">
        <f>IF('14'!K10="","",'14'!K10)</f>
        <v/>
      </c>
      <c r="G1113" s="63">
        <f>'14'!L10&amp;""</f>
        <v/>
      </c>
      <c r="H1113" s="63">
        <f>IF(OR(A1113="",F1113=""),"",F1113&amp;"|"&amp;A1113)</f>
        <v/>
      </c>
      <c r="I1113" s="63">
        <f>IF(AND(H1113&lt;&gt;"",OR('Historia wózka'!$B$4="",F1113='Historia wózka'!$B$4),A1113&gt;='Historia wózka'!$B$5,A1113&lt;='Historia wózka'!$B$6),A1113+0.7+(5000-ROW())/10000000,0)</f>
        <v/>
      </c>
      <c r="J1113" s="63">
        <f>Ustawienia!$B$10&amp;""</f>
        <v/>
      </c>
      <c r="K1113" s="63">
        <f>IF(H1113="","",COUNTIFS('Zgłoszenia'!$B$5:$B$504,F1113,'Zgłoszenia'!$D$5:$D$504,"&gt;="&amp;A1113,'Zgłoszenia'!$D$5:$D$504,"&lt;="&amp;(A1113+1)))</f>
        <v/>
      </c>
      <c r="L1113" s="63">
        <f>IF(OR(H1113="",K1113=0),"—",IF(ISNUMBER(MATCH(H1113,'Zgłoszenia'!$S$5:$S$504,0)),RIGHT("0"&amp;DAY(A1113),2)&amp;"."&amp;RIGHT("0"&amp;MONTH(A1113),2)&amp;"."&amp;YEAR(A1113)&amp;": "&amp;INDEX('Zgłoszenia'!$H$5:$H$504,MATCH(H1113,'Zgłoszenia'!$S$5:$S$504,0)),RIGHT("0"&amp;DAY((A1113+1)),2)&amp;"."&amp;RIGHT("0"&amp;MONTH((A1113+1)),2)&amp;"."&amp;YEAR((A1113+1))&amp;": "&amp;INDEX('Zgłoszenia'!$H$5:$H$504,MATCH(F1113&amp;"|"&amp;(A1113+1),'Zgłoszenia'!$S$5:$S$504,0)))&amp;IF(K1113&gt;1," (+"&amp;(K1113-1)&amp;")",""))</f>
        <v/>
      </c>
      <c r="M1113" s="63" t="n">
        <v>14</v>
      </c>
      <c r="N1113" s="2" t="n"/>
      <c r="O1113" s="2" t="n"/>
    </row>
    <row r="1114">
      <c r="A1114" s="62">
        <f>IF('14'!$C$1="","",'14'!$C$1)</f>
        <v/>
      </c>
      <c r="B1114" s="63">
        <f>Ustawienia!$A$10&amp;""</f>
        <v/>
      </c>
      <c r="C1114" s="63">
        <f>Ustawienia!$A$14&amp;""</f>
        <v/>
      </c>
      <c r="D1114" s="63" t="n">
        <v>6</v>
      </c>
      <c r="E1114" s="63">
        <f>IF('14'!J11="","",TRIM('14'!J11&amp;""))</f>
        <v/>
      </c>
      <c r="F1114" s="63">
        <f>IF('14'!K11="","",'14'!K11)</f>
        <v/>
      </c>
      <c r="G1114" s="63">
        <f>'14'!L11&amp;""</f>
        <v/>
      </c>
      <c r="H1114" s="63">
        <f>IF(OR(A1114="",F1114=""),"",F1114&amp;"|"&amp;A1114)</f>
        <v/>
      </c>
      <c r="I1114" s="63">
        <f>IF(AND(H1114&lt;&gt;"",OR('Historia wózka'!$B$4="",F1114='Historia wózka'!$B$4),A1114&gt;='Historia wózka'!$B$5,A1114&lt;='Historia wózka'!$B$6),A1114+0.7+(5000-ROW())/10000000,0)</f>
        <v/>
      </c>
      <c r="J1114" s="63">
        <f>Ustawienia!$B$10&amp;""</f>
        <v/>
      </c>
      <c r="K1114" s="63">
        <f>IF(H1114="","",COUNTIFS('Zgłoszenia'!$B$5:$B$504,F1114,'Zgłoszenia'!$D$5:$D$504,"&gt;="&amp;A1114,'Zgłoszenia'!$D$5:$D$504,"&lt;="&amp;(A1114+1)))</f>
        <v/>
      </c>
      <c r="L1114" s="63">
        <f>IF(OR(H1114="",K1114=0),"—",IF(ISNUMBER(MATCH(H1114,'Zgłoszenia'!$S$5:$S$504,0)),RIGHT("0"&amp;DAY(A1114),2)&amp;"."&amp;RIGHT("0"&amp;MONTH(A1114),2)&amp;"."&amp;YEAR(A1114)&amp;": "&amp;INDEX('Zgłoszenia'!$H$5:$H$504,MATCH(H1114,'Zgłoszenia'!$S$5:$S$504,0)),RIGHT("0"&amp;DAY((A1114+1)),2)&amp;"."&amp;RIGHT("0"&amp;MONTH((A1114+1)),2)&amp;"."&amp;YEAR((A1114+1))&amp;": "&amp;INDEX('Zgłoszenia'!$H$5:$H$504,MATCH(F1114&amp;"|"&amp;(A1114+1),'Zgłoszenia'!$S$5:$S$504,0)))&amp;IF(K1114&gt;1," (+"&amp;(K1114-1)&amp;")",""))</f>
        <v/>
      </c>
      <c r="M1114" s="63" t="n">
        <v>14</v>
      </c>
      <c r="N1114" s="2" t="n"/>
      <c r="O1114" s="2" t="n"/>
    </row>
    <row r="1115">
      <c r="A1115" s="62">
        <f>IF('14'!$C$1="","",'14'!$C$1)</f>
        <v/>
      </c>
      <c r="B1115" s="63">
        <f>Ustawienia!$A$10&amp;""</f>
        <v/>
      </c>
      <c r="C1115" s="63">
        <f>Ustawienia!$A$15&amp;""</f>
        <v/>
      </c>
      <c r="D1115" s="63" t="n">
        <v>1</v>
      </c>
      <c r="E1115" s="63">
        <f>IF('14'!J13="","",TRIM('14'!J13&amp;""))</f>
        <v/>
      </c>
      <c r="F1115" s="63">
        <f>IF('14'!K13="","",'14'!K13)</f>
        <v/>
      </c>
      <c r="G1115" s="63">
        <f>'14'!L13&amp;""</f>
        <v/>
      </c>
      <c r="H1115" s="63">
        <f>IF(OR(A1115="",F1115=""),"",F1115&amp;"|"&amp;A1115)</f>
        <v/>
      </c>
      <c r="I1115" s="63">
        <f>IF(AND(H1115&lt;&gt;"",OR('Historia wózka'!$B$4="",F1115='Historia wózka'!$B$4),A1115&gt;='Historia wózka'!$B$5,A1115&lt;='Historia wózka'!$B$6),A1115+0.7+(5000-ROW())/10000000,0)</f>
        <v/>
      </c>
      <c r="J1115" s="63">
        <f>Ustawienia!$B$10&amp;""</f>
        <v/>
      </c>
      <c r="K1115" s="63">
        <f>IF(H1115="","",COUNTIFS('Zgłoszenia'!$B$5:$B$504,F1115,'Zgłoszenia'!$D$5:$D$504,"&gt;="&amp;A1115,'Zgłoszenia'!$D$5:$D$504,"&lt;="&amp;(A1115+1)))</f>
        <v/>
      </c>
      <c r="L1115" s="63">
        <f>IF(OR(H1115="",K1115=0),"—",IF(ISNUMBER(MATCH(H1115,'Zgłoszenia'!$S$5:$S$504,0)),RIGHT("0"&amp;DAY(A1115),2)&amp;"."&amp;RIGHT("0"&amp;MONTH(A1115),2)&amp;"."&amp;YEAR(A1115)&amp;": "&amp;INDEX('Zgłoszenia'!$H$5:$H$504,MATCH(H1115,'Zgłoszenia'!$S$5:$S$504,0)),RIGHT("0"&amp;DAY((A1115+1)),2)&amp;"."&amp;RIGHT("0"&amp;MONTH((A1115+1)),2)&amp;"."&amp;YEAR((A1115+1))&amp;": "&amp;INDEX('Zgłoszenia'!$H$5:$H$504,MATCH(F1115&amp;"|"&amp;(A1115+1),'Zgłoszenia'!$S$5:$S$504,0)))&amp;IF(K1115&gt;1," (+"&amp;(K1115-1)&amp;")",""))</f>
        <v/>
      </c>
      <c r="M1115" s="63" t="n">
        <v>14</v>
      </c>
      <c r="N1115" s="2" t="n"/>
      <c r="O1115" s="2" t="n"/>
    </row>
    <row r="1116">
      <c r="A1116" s="62">
        <f>IF('14'!$C$1="","",'14'!$C$1)</f>
        <v/>
      </c>
      <c r="B1116" s="63">
        <f>Ustawienia!$A$10&amp;""</f>
        <v/>
      </c>
      <c r="C1116" s="63">
        <f>Ustawienia!$A$15&amp;""</f>
        <v/>
      </c>
      <c r="D1116" s="63" t="n">
        <v>2</v>
      </c>
      <c r="E1116" s="63">
        <f>IF('14'!J14="","",TRIM('14'!J14&amp;""))</f>
        <v/>
      </c>
      <c r="F1116" s="63">
        <f>IF('14'!K14="","",'14'!K14)</f>
        <v/>
      </c>
      <c r="G1116" s="63">
        <f>'14'!L14&amp;""</f>
        <v/>
      </c>
      <c r="H1116" s="63">
        <f>IF(OR(A1116="",F1116=""),"",F1116&amp;"|"&amp;A1116)</f>
        <v/>
      </c>
      <c r="I1116" s="63">
        <f>IF(AND(H1116&lt;&gt;"",OR('Historia wózka'!$B$4="",F1116='Historia wózka'!$B$4),A1116&gt;='Historia wózka'!$B$5,A1116&lt;='Historia wózka'!$B$6),A1116+0.7+(5000-ROW())/10000000,0)</f>
        <v/>
      </c>
      <c r="J1116" s="63">
        <f>Ustawienia!$B$10&amp;""</f>
        <v/>
      </c>
      <c r="K1116" s="63">
        <f>IF(H1116="","",COUNTIFS('Zgłoszenia'!$B$5:$B$504,F1116,'Zgłoszenia'!$D$5:$D$504,"&gt;="&amp;A1116,'Zgłoszenia'!$D$5:$D$504,"&lt;="&amp;(A1116+1)))</f>
        <v/>
      </c>
      <c r="L1116" s="63">
        <f>IF(OR(H1116="",K1116=0),"—",IF(ISNUMBER(MATCH(H1116,'Zgłoszenia'!$S$5:$S$504,0)),RIGHT("0"&amp;DAY(A1116),2)&amp;"."&amp;RIGHT("0"&amp;MONTH(A1116),2)&amp;"."&amp;YEAR(A1116)&amp;": "&amp;INDEX('Zgłoszenia'!$H$5:$H$504,MATCH(H1116,'Zgłoszenia'!$S$5:$S$504,0)),RIGHT("0"&amp;DAY((A1116+1)),2)&amp;"."&amp;RIGHT("0"&amp;MONTH((A1116+1)),2)&amp;"."&amp;YEAR((A1116+1))&amp;": "&amp;INDEX('Zgłoszenia'!$H$5:$H$504,MATCH(F1116&amp;"|"&amp;(A1116+1),'Zgłoszenia'!$S$5:$S$504,0)))&amp;IF(K1116&gt;1," (+"&amp;(K1116-1)&amp;")",""))</f>
        <v/>
      </c>
      <c r="M1116" s="63" t="n">
        <v>14</v>
      </c>
      <c r="N1116" s="2" t="n"/>
      <c r="O1116" s="2" t="n"/>
    </row>
    <row r="1117">
      <c r="A1117" s="62">
        <f>IF('14'!$C$1="","",'14'!$C$1)</f>
        <v/>
      </c>
      <c r="B1117" s="63">
        <f>Ustawienia!$A$10&amp;""</f>
        <v/>
      </c>
      <c r="C1117" s="63">
        <f>Ustawienia!$A$15&amp;""</f>
        <v/>
      </c>
      <c r="D1117" s="63" t="n">
        <v>3</v>
      </c>
      <c r="E1117" s="63">
        <f>IF('14'!J15="","",TRIM('14'!J15&amp;""))</f>
        <v/>
      </c>
      <c r="F1117" s="63">
        <f>IF('14'!K15="","",'14'!K15)</f>
        <v/>
      </c>
      <c r="G1117" s="63">
        <f>'14'!L15&amp;""</f>
        <v/>
      </c>
      <c r="H1117" s="63">
        <f>IF(OR(A1117="",F1117=""),"",F1117&amp;"|"&amp;A1117)</f>
        <v/>
      </c>
      <c r="I1117" s="63">
        <f>IF(AND(H1117&lt;&gt;"",OR('Historia wózka'!$B$4="",F1117='Historia wózka'!$B$4),A1117&gt;='Historia wózka'!$B$5,A1117&lt;='Historia wózka'!$B$6),A1117+0.7+(5000-ROW())/10000000,0)</f>
        <v/>
      </c>
      <c r="J1117" s="63">
        <f>Ustawienia!$B$10&amp;""</f>
        <v/>
      </c>
      <c r="K1117" s="63">
        <f>IF(H1117="","",COUNTIFS('Zgłoszenia'!$B$5:$B$504,F1117,'Zgłoszenia'!$D$5:$D$504,"&gt;="&amp;A1117,'Zgłoszenia'!$D$5:$D$504,"&lt;="&amp;(A1117+1)))</f>
        <v/>
      </c>
      <c r="L1117" s="63">
        <f>IF(OR(H1117="",K1117=0),"—",IF(ISNUMBER(MATCH(H1117,'Zgłoszenia'!$S$5:$S$504,0)),RIGHT("0"&amp;DAY(A1117),2)&amp;"."&amp;RIGHT("0"&amp;MONTH(A1117),2)&amp;"."&amp;YEAR(A1117)&amp;": "&amp;INDEX('Zgłoszenia'!$H$5:$H$504,MATCH(H1117,'Zgłoszenia'!$S$5:$S$504,0)),RIGHT("0"&amp;DAY((A1117+1)),2)&amp;"."&amp;RIGHT("0"&amp;MONTH((A1117+1)),2)&amp;"."&amp;YEAR((A1117+1))&amp;": "&amp;INDEX('Zgłoszenia'!$H$5:$H$504,MATCH(F1117&amp;"|"&amp;(A1117+1),'Zgłoszenia'!$S$5:$S$504,0)))&amp;IF(K1117&gt;1," (+"&amp;(K1117-1)&amp;")",""))</f>
        <v/>
      </c>
      <c r="M1117" s="63" t="n">
        <v>14</v>
      </c>
      <c r="N1117" s="2" t="n"/>
      <c r="O1117" s="2" t="n"/>
    </row>
    <row r="1118">
      <c r="A1118" s="62">
        <f>IF('14'!$C$1="","",'14'!$C$1)</f>
        <v/>
      </c>
      <c r="B1118" s="63">
        <f>Ustawienia!$A$10&amp;""</f>
        <v/>
      </c>
      <c r="C1118" s="63">
        <f>Ustawienia!$A$15&amp;""</f>
        <v/>
      </c>
      <c r="D1118" s="63" t="n">
        <v>4</v>
      </c>
      <c r="E1118" s="63">
        <f>IF('14'!J16="","",TRIM('14'!J16&amp;""))</f>
        <v/>
      </c>
      <c r="F1118" s="63">
        <f>IF('14'!K16="","",'14'!K16)</f>
        <v/>
      </c>
      <c r="G1118" s="63">
        <f>'14'!L16&amp;""</f>
        <v/>
      </c>
      <c r="H1118" s="63">
        <f>IF(OR(A1118="",F1118=""),"",F1118&amp;"|"&amp;A1118)</f>
        <v/>
      </c>
      <c r="I1118" s="63">
        <f>IF(AND(H1118&lt;&gt;"",OR('Historia wózka'!$B$4="",F1118='Historia wózka'!$B$4),A1118&gt;='Historia wózka'!$B$5,A1118&lt;='Historia wózka'!$B$6),A1118+0.7+(5000-ROW())/10000000,0)</f>
        <v/>
      </c>
      <c r="J1118" s="63">
        <f>Ustawienia!$B$10&amp;""</f>
        <v/>
      </c>
      <c r="K1118" s="63">
        <f>IF(H1118="","",COUNTIFS('Zgłoszenia'!$B$5:$B$504,F1118,'Zgłoszenia'!$D$5:$D$504,"&gt;="&amp;A1118,'Zgłoszenia'!$D$5:$D$504,"&lt;="&amp;(A1118+1)))</f>
        <v/>
      </c>
      <c r="L1118" s="63">
        <f>IF(OR(H1118="",K1118=0),"—",IF(ISNUMBER(MATCH(H1118,'Zgłoszenia'!$S$5:$S$504,0)),RIGHT("0"&amp;DAY(A1118),2)&amp;"."&amp;RIGHT("0"&amp;MONTH(A1118),2)&amp;"."&amp;YEAR(A1118)&amp;": "&amp;INDEX('Zgłoszenia'!$H$5:$H$504,MATCH(H1118,'Zgłoszenia'!$S$5:$S$504,0)),RIGHT("0"&amp;DAY((A1118+1)),2)&amp;"."&amp;RIGHT("0"&amp;MONTH((A1118+1)),2)&amp;"."&amp;YEAR((A1118+1))&amp;": "&amp;INDEX('Zgłoszenia'!$H$5:$H$504,MATCH(F1118&amp;"|"&amp;(A1118+1),'Zgłoszenia'!$S$5:$S$504,0)))&amp;IF(K1118&gt;1," (+"&amp;(K1118-1)&amp;")",""))</f>
        <v/>
      </c>
      <c r="M1118" s="63" t="n">
        <v>14</v>
      </c>
      <c r="N1118" s="2" t="n"/>
      <c r="O1118" s="2" t="n"/>
    </row>
    <row r="1119">
      <c r="A1119" s="62">
        <f>IF('14'!$C$1="","",'14'!$C$1)</f>
        <v/>
      </c>
      <c r="B1119" s="63">
        <f>Ustawienia!$A$10&amp;""</f>
        <v/>
      </c>
      <c r="C1119" s="63">
        <f>Ustawienia!$A$15&amp;""</f>
        <v/>
      </c>
      <c r="D1119" s="63" t="n">
        <v>5</v>
      </c>
      <c r="E1119" s="63">
        <f>IF('14'!J17="","",TRIM('14'!J17&amp;""))</f>
        <v/>
      </c>
      <c r="F1119" s="63">
        <f>IF('14'!K17="","",'14'!K17)</f>
        <v/>
      </c>
      <c r="G1119" s="63">
        <f>'14'!L17&amp;""</f>
        <v/>
      </c>
      <c r="H1119" s="63">
        <f>IF(OR(A1119="",F1119=""),"",F1119&amp;"|"&amp;A1119)</f>
        <v/>
      </c>
      <c r="I1119" s="63">
        <f>IF(AND(H1119&lt;&gt;"",OR('Historia wózka'!$B$4="",F1119='Historia wózka'!$B$4),A1119&gt;='Historia wózka'!$B$5,A1119&lt;='Historia wózka'!$B$6),A1119+0.7+(5000-ROW())/10000000,0)</f>
        <v/>
      </c>
      <c r="J1119" s="63">
        <f>Ustawienia!$B$10&amp;""</f>
        <v/>
      </c>
      <c r="K1119" s="63">
        <f>IF(H1119="","",COUNTIFS('Zgłoszenia'!$B$5:$B$504,F1119,'Zgłoszenia'!$D$5:$D$504,"&gt;="&amp;A1119,'Zgłoszenia'!$D$5:$D$504,"&lt;="&amp;(A1119+1)))</f>
        <v/>
      </c>
      <c r="L1119" s="63">
        <f>IF(OR(H1119="",K1119=0),"—",IF(ISNUMBER(MATCH(H1119,'Zgłoszenia'!$S$5:$S$504,0)),RIGHT("0"&amp;DAY(A1119),2)&amp;"."&amp;RIGHT("0"&amp;MONTH(A1119),2)&amp;"."&amp;YEAR(A1119)&amp;": "&amp;INDEX('Zgłoszenia'!$H$5:$H$504,MATCH(H1119,'Zgłoszenia'!$S$5:$S$504,0)),RIGHT("0"&amp;DAY((A1119+1)),2)&amp;"."&amp;RIGHT("0"&amp;MONTH((A1119+1)),2)&amp;"."&amp;YEAR((A1119+1))&amp;": "&amp;INDEX('Zgłoszenia'!$H$5:$H$504,MATCH(F1119&amp;"|"&amp;(A1119+1),'Zgłoszenia'!$S$5:$S$504,0)))&amp;IF(K1119&gt;1," (+"&amp;(K1119-1)&amp;")",""))</f>
        <v/>
      </c>
      <c r="M1119" s="63" t="n">
        <v>14</v>
      </c>
      <c r="N1119" s="2" t="n"/>
      <c r="O1119" s="2" t="n"/>
    </row>
    <row r="1120">
      <c r="A1120" s="62">
        <f>IF('14'!$C$1="","",'14'!$C$1)</f>
        <v/>
      </c>
      <c r="B1120" s="63">
        <f>Ustawienia!$A$10&amp;""</f>
        <v/>
      </c>
      <c r="C1120" s="63">
        <f>Ustawienia!$A$15&amp;""</f>
        <v/>
      </c>
      <c r="D1120" s="63" t="n">
        <v>6</v>
      </c>
      <c r="E1120" s="63">
        <f>IF('14'!J18="","",TRIM('14'!J18&amp;""))</f>
        <v/>
      </c>
      <c r="F1120" s="63">
        <f>IF('14'!K18="","",'14'!K18)</f>
        <v/>
      </c>
      <c r="G1120" s="63">
        <f>'14'!L18&amp;""</f>
        <v/>
      </c>
      <c r="H1120" s="63">
        <f>IF(OR(A1120="",F1120=""),"",F1120&amp;"|"&amp;A1120)</f>
        <v/>
      </c>
      <c r="I1120" s="63">
        <f>IF(AND(H1120&lt;&gt;"",OR('Historia wózka'!$B$4="",F1120='Historia wózka'!$B$4),A1120&gt;='Historia wózka'!$B$5,A1120&lt;='Historia wózka'!$B$6),A1120+0.7+(5000-ROW())/10000000,0)</f>
        <v/>
      </c>
      <c r="J1120" s="63">
        <f>Ustawienia!$B$10&amp;""</f>
        <v/>
      </c>
      <c r="K1120" s="63">
        <f>IF(H1120="","",COUNTIFS('Zgłoszenia'!$B$5:$B$504,F1120,'Zgłoszenia'!$D$5:$D$504,"&gt;="&amp;A1120,'Zgłoszenia'!$D$5:$D$504,"&lt;="&amp;(A1120+1)))</f>
        <v/>
      </c>
      <c r="L1120" s="63">
        <f>IF(OR(H1120="",K1120=0),"—",IF(ISNUMBER(MATCH(H1120,'Zgłoszenia'!$S$5:$S$504,0)),RIGHT("0"&amp;DAY(A1120),2)&amp;"."&amp;RIGHT("0"&amp;MONTH(A1120),2)&amp;"."&amp;YEAR(A1120)&amp;": "&amp;INDEX('Zgłoszenia'!$H$5:$H$504,MATCH(H1120,'Zgłoszenia'!$S$5:$S$504,0)),RIGHT("0"&amp;DAY((A1120+1)),2)&amp;"."&amp;RIGHT("0"&amp;MONTH((A1120+1)),2)&amp;"."&amp;YEAR((A1120+1))&amp;": "&amp;INDEX('Zgłoszenia'!$H$5:$H$504,MATCH(F1120&amp;"|"&amp;(A1120+1),'Zgłoszenia'!$S$5:$S$504,0)))&amp;IF(K1120&gt;1," (+"&amp;(K1120-1)&amp;")",""))</f>
        <v/>
      </c>
      <c r="M1120" s="63" t="n">
        <v>14</v>
      </c>
      <c r="N1120" s="2" t="n"/>
      <c r="O1120" s="2" t="n"/>
    </row>
    <row r="1121">
      <c r="A1121" s="62">
        <f>IF('14'!$C$1="","",'14'!$C$1)</f>
        <v/>
      </c>
      <c r="B1121" s="63">
        <f>Ustawienia!$A$10&amp;""</f>
        <v/>
      </c>
      <c r="C1121" s="63">
        <f>Ustawienia!$A$15&amp;""</f>
        <v/>
      </c>
      <c r="D1121" s="63" t="n">
        <v>7</v>
      </c>
      <c r="E1121" s="63">
        <f>IF('14'!J19="","",TRIM('14'!J19&amp;""))</f>
        <v/>
      </c>
      <c r="F1121" s="63">
        <f>IF('14'!K19="","",'14'!K19)</f>
        <v/>
      </c>
      <c r="G1121" s="63">
        <f>'14'!L19&amp;""</f>
        <v/>
      </c>
      <c r="H1121" s="63">
        <f>IF(OR(A1121="",F1121=""),"",F1121&amp;"|"&amp;A1121)</f>
        <v/>
      </c>
      <c r="I1121" s="63">
        <f>IF(AND(H1121&lt;&gt;"",OR('Historia wózka'!$B$4="",F1121='Historia wózka'!$B$4),A1121&gt;='Historia wózka'!$B$5,A1121&lt;='Historia wózka'!$B$6),A1121+0.7+(5000-ROW())/10000000,0)</f>
        <v/>
      </c>
      <c r="J1121" s="63">
        <f>Ustawienia!$B$10&amp;""</f>
        <v/>
      </c>
      <c r="K1121" s="63">
        <f>IF(H1121="","",COUNTIFS('Zgłoszenia'!$B$5:$B$504,F1121,'Zgłoszenia'!$D$5:$D$504,"&gt;="&amp;A1121,'Zgłoszenia'!$D$5:$D$504,"&lt;="&amp;(A1121+1)))</f>
        <v/>
      </c>
      <c r="L1121" s="63">
        <f>IF(OR(H1121="",K1121=0),"—",IF(ISNUMBER(MATCH(H1121,'Zgłoszenia'!$S$5:$S$504,0)),RIGHT("0"&amp;DAY(A1121),2)&amp;"."&amp;RIGHT("0"&amp;MONTH(A1121),2)&amp;"."&amp;YEAR(A1121)&amp;": "&amp;INDEX('Zgłoszenia'!$H$5:$H$504,MATCH(H1121,'Zgłoszenia'!$S$5:$S$504,0)),RIGHT("0"&amp;DAY((A1121+1)),2)&amp;"."&amp;RIGHT("0"&amp;MONTH((A1121+1)),2)&amp;"."&amp;YEAR((A1121+1))&amp;": "&amp;INDEX('Zgłoszenia'!$H$5:$H$504,MATCH(F1121&amp;"|"&amp;(A1121+1),'Zgłoszenia'!$S$5:$S$504,0)))&amp;IF(K1121&gt;1," (+"&amp;(K1121-1)&amp;")",""))</f>
        <v/>
      </c>
      <c r="M1121" s="63" t="n">
        <v>14</v>
      </c>
      <c r="N1121" s="2" t="n"/>
      <c r="O1121" s="2" t="n"/>
    </row>
    <row r="1122">
      <c r="A1122" s="62">
        <f>IF('14'!$C$1="","",'14'!$C$1)</f>
        <v/>
      </c>
      <c r="B1122" s="63">
        <f>Ustawienia!$A$10&amp;""</f>
        <v/>
      </c>
      <c r="C1122" s="63">
        <f>Ustawienia!$A$15&amp;""</f>
        <v/>
      </c>
      <c r="D1122" s="63" t="n">
        <v>8</v>
      </c>
      <c r="E1122" s="63">
        <f>IF('14'!J20="","",TRIM('14'!J20&amp;""))</f>
        <v/>
      </c>
      <c r="F1122" s="63">
        <f>IF('14'!K20="","",'14'!K20)</f>
        <v/>
      </c>
      <c r="G1122" s="63">
        <f>'14'!L20&amp;""</f>
        <v/>
      </c>
      <c r="H1122" s="63">
        <f>IF(OR(A1122="",F1122=""),"",F1122&amp;"|"&amp;A1122)</f>
        <v/>
      </c>
      <c r="I1122" s="63">
        <f>IF(AND(H1122&lt;&gt;"",OR('Historia wózka'!$B$4="",F1122='Historia wózka'!$B$4),A1122&gt;='Historia wózka'!$B$5,A1122&lt;='Historia wózka'!$B$6),A1122+0.7+(5000-ROW())/10000000,0)</f>
        <v/>
      </c>
      <c r="J1122" s="63">
        <f>Ustawienia!$B$10&amp;""</f>
        <v/>
      </c>
      <c r="K1122" s="63">
        <f>IF(H1122="","",COUNTIFS('Zgłoszenia'!$B$5:$B$504,F1122,'Zgłoszenia'!$D$5:$D$504,"&gt;="&amp;A1122,'Zgłoszenia'!$D$5:$D$504,"&lt;="&amp;(A1122+1)))</f>
        <v/>
      </c>
      <c r="L1122" s="63">
        <f>IF(OR(H1122="",K1122=0),"—",IF(ISNUMBER(MATCH(H1122,'Zgłoszenia'!$S$5:$S$504,0)),RIGHT("0"&amp;DAY(A1122),2)&amp;"."&amp;RIGHT("0"&amp;MONTH(A1122),2)&amp;"."&amp;YEAR(A1122)&amp;": "&amp;INDEX('Zgłoszenia'!$H$5:$H$504,MATCH(H1122,'Zgłoszenia'!$S$5:$S$504,0)),RIGHT("0"&amp;DAY((A1122+1)),2)&amp;"."&amp;RIGHT("0"&amp;MONTH((A1122+1)),2)&amp;"."&amp;YEAR((A1122+1))&amp;": "&amp;INDEX('Zgłoszenia'!$H$5:$H$504,MATCH(F1122&amp;"|"&amp;(A1122+1),'Zgłoszenia'!$S$5:$S$504,0)))&amp;IF(K1122&gt;1," (+"&amp;(K1122-1)&amp;")",""))</f>
        <v/>
      </c>
      <c r="M1122" s="63" t="n">
        <v>14</v>
      </c>
      <c r="N1122" s="2" t="n"/>
      <c r="O1122" s="2" t="n"/>
    </row>
    <row r="1123">
      <c r="A1123" s="62">
        <f>IF('14'!$C$1="","",'14'!$C$1)</f>
        <v/>
      </c>
      <c r="B1123" s="63">
        <f>Ustawienia!$A$10&amp;""</f>
        <v/>
      </c>
      <c r="C1123" s="63">
        <f>Ustawienia!$A$16&amp;""</f>
        <v/>
      </c>
      <c r="D1123" s="63" t="n">
        <v>1</v>
      </c>
      <c r="E1123" s="63">
        <f>IF('14'!J22="","",TRIM('14'!J22&amp;""))</f>
        <v/>
      </c>
      <c r="F1123" s="63">
        <f>IF('14'!K22="","",'14'!K22)</f>
        <v/>
      </c>
      <c r="G1123" s="63">
        <f>'14'!L22&amp;""</f>
        <v/>
      </c>
      <c r="H1123" s="63">
        <f>IF(OR(A1123="",F1123=""),"",F1123&amp;"|"&amp;A1123)</f>
        <v/>
      </c>
      <c r="I1123" s="63">
        <f>IF(AND(H1123&lt;&gt;"",OR('Historia wózka'!$B$4="",F1123='Historia wózka'!$B$4),A1123&gt;='Historia wózka'!$B$5,A1123&lt;='Historia wózka'!$B$6),A1123+0.7+(5000-ROW())/10000000,0)</f>
        <v/>
      </c>
      <c r="J1123" s="63">
        <f>Ustawienia!$B$10&amp;""</f>
        <v/>
      </c>
      <c r="K1123" s="63">
        <f>IF(H1123="","",COUNTIFS('Zgłoszenia'!$B$5:$B$504,F1123,'Zgłoszenia'!$D$5:$D$504,"&gt;="&amp;A1123,'Zgłoszenia'!$D$5:$D$504,"&lt;="&amp;(A1123+1)))</f>
        <v/>
      </c>
      <c r="L1123" s="63">
        <f>IF(OR(H1123="",K1123=0),"—",IF(ISNUMBER(MATCH(H1123,'Zgłoszenia'!$S$5:$S$504,0)),RIGHT("0"&amp;DAY(A1123),2)&amp;"."&amp;RIGHT("0"&amp;MONTH(A1123),2)&amp;"."&amp;YEAR(A1123)&amp;": "&amp;INDEX('Zgłoszenia'!$H$5:$H$504,MATCH(H1123,'Zgłoszenia'!$S$5:$S$504,0)),RIGHT("0"&amp;DAY((A1123+1)),2)&amp;"."&amp;RIGHT("0"&amp;MONTH((A1123+1)),2)&amp;"."&amp;YEAR((A1123+1))&amp;": "&amp;INDEX('Zgłoszenia'!$H$5:$H$504,MATCH(F1123&amp;"|"&amp;(A1123+1),'Zgłoszenia'!$S$5:$S$504,0)))&amp;IF(K1123&gt;1," (+"&amp;(K1123-1)&amp;")",""))</f>
        <v/>
      </c>
      <c r="M1123" s="63" t="n">
        <v>14</v>
      </c>
      <c r="N1123" s="2" t="n"/>
      <c r="O1123" s="2" t="n"/>
    </row>
    <row r="1124">
      <c r="A1124" s="62">
        <f>IF('14'!$C$1="","",'14'!$C$1)</f>
        <v/>
      </c>
      <c r="B1124" s="63">
        <f>Ustawienia!$A$10&amp;""</f>
        <v/>
      </c>
      <c r="C1124" s="63">
        <f>Ustawienia!$A$16&amp;""</f>
        <v/>
      </c>
      <c r="D1124" s="63" t="n">
        <v>2</v>
      </c>
      <c r="E1124" s="63">
        <f>IF('14'!J23="","",TRIM('14'!J23&amp;""))</f>
        <v/>
      </c>
      <c r="F1124" s="63">
        <f>IF('14'!K23="","",'14'!K23)</f>
        <v/>
      </c>
      <c r="G1124" s="63">
        <f>'14'!L23&amp;""</f>
        <v/>
      </c>
      <c r="H1124" s="63">
        <f>IF(OR(A1124="",F1124=""),"",F1124&amp;"|"&amp;A1124)</f>
        <v/>
      </c>
      <c r="I1124" s="63">
        <f>IF(AND(H1124&lt;&gt;"",OR('Historia wózka'!$B$4="",F1124='Historia wózka'!$B$4),A1124&gt;='Historia wózka'!$B$5,A1124&lt;='Historia wózka'!$B$6),A1124+0.7+(5000-ROW())/10000000,0)</f>
        <v/>
      </c>
      <c r="J1124" s="63">
        <f>Ustawienia!$B$10&amp;""</f>
        <v/>
      </c>
      <c r="K1124" s="63">
        <f>IF(H1124="","",COUNTIFS('Zgłoszenia'!$B$5:$B$504,F1124,'Zgłoszenia'!$D$5:$D$504,"&gt;="&amp;A1124,'Zgłoszenia'!$D$5:$D$504,"&lt;="&amp;(A1124+1)))</f>
        <v/>
      </c>
      <c r="L1124" s="63">
        <f>IF(OR(H1124="",K1124=0),"—",IF(ISNUMBER(MATCH(H1124,'Zgłoszenia'!$S$5:$S$504,0)),RIGHT("0"&amp;DAY(A1124),2)&amp;"."&amp;RIGHT("0"&amp;MONTH(A1124),2)&amp;"."&amp;YEAR(A1124)&amp;": "&amp;INDEX('Zgłoszenia'!$H$5:$H$504,MATCH(H1124,'Zgłoszenia'!$S$5:$S$504,0)),RIGHT("0"&amp;DAY((A1124+1)),2)&amp;"."&amp;RIGHT("0"&amp;MONTH((A1124+1)),2)&amp;"."&amp;YEAR((A1124+1))&amp;": "&amp;INDEX('Zgłoszenia'!$H$5:$H$504,MATCH(F1124&amp;"|"&amp;(A1124+1),'Zgłoszenia'!$S$5:$S$504,0)))&amp;IF(K1124&gt;1," (+"&amp;(K1124-1)&amp;")",""))</f>
        <v/>
      </c>
      <c r="M1124" s="63" t="n">
        <v>14</v>
      </c>
      <c r="N1124" s="2" t="n"/>
      <c r="O1124" s="2" t="n"/>
    </row>
    <row r="1125">
      <c r="A1125" s="62">
        <f>IF('14'!$C$1="","",'14'!$C$1)</f>
        <v/>
      </c>
      <c r="B1125" s="63">
        <f>Ustawienia!$A$10&amp;""</f>
        <v/>
      </c>
      <c r="C1125" s="63">
        <f>Ustawienia!$A$16&amp;""</f>
        <v/>
      </c>
      <c r="D1125" s="63" t="n">
        <v>3</v>
      </c>
      <c r="E1125" s="63">
        <f>IF('14'!J24="","",TRIM('14'!J24&amp;""))</f>
        <v/>
      </c>
      <c r="F1125" s="63">
        <f>IF('14'!K24="","",'14'!K24)</f>
        <v/>
      </c>
      <c r="G1125" s="63">
        <f>'14'!L24&amp;""</f>
        <v/>
      </c>
      <c r="H1125" s="63">
        <f>IF(OR(A1125="",F1125=""),"",F1125&amp;"|"&amp;A1125)</f>
        <v/>
      </c>
      <c r="I1125" s="63">
        <f>IF(AND(H1125&lt;&gt;"",OR('Historia wózka'!$B$4="",F1125='Historia wózka'!$B$4),A1125&gt;='Historia wózka'!$B$5,A1125&lt;='Historia wózka'!$B$6),A1125+0.7+(5000-ROW())/10000000,0)</f>
        <v/>
      </c>
      <c r="J1125" s="63">
        <f>Ustawienia!$B$10&amp;""</f>
        <v/>
      </c>
      <c r="K1125" s="63">
        <f>IF(H1125="","",COUNTIFS('Zgłoszenia'!$B$5:$B$504,F1125,'Zgłoszenia'!$D$5:$D$504,"&gt;="&amp;A1125,'Zgłoszenia'!$D$5:$D$504,"&lt;="&amp;(A1125+1)))</f>
        <v/>
      </c>
      <c r="L1125" s="63">
        <f>IF(OR(H1125="",K1125=0),"—",IF(ISNUMBER(MATCH(H1125,'Zgłoszenia'!$S$5:$S$504,0)),RIGHT("0"&amp;DAY(A1125),2)&amp;"."&amp;RIGHT("0"&amp;MONTH(A1125),2)&amp;"."&amp;YEAR(A1125)&amp;": "&amp;INDEX('Zgłoszenia'!$H$5:$H$504,MATCH(H1125,'Zgłoszenia'!$S$5:$S$504,0)),RIGHT("0"&amp;DAY((A1125+1)),2)&amp;"."&amp;RIGHT("0"&amp;MONTH((A1125+1)),2)&amp;"."&amp;YEAR((A1125+1))&amp;": "&amp;INDEX('Zgłoszenia'!$H$5:$H$504,MATCH(F1125&amp;"|"&amp;(A1125+1),'Zgłoszenia'!$S$5:$S$504,0)))&amp;IF(K1125&gt;1," (+"&amp;(K1125-1)&amp;")",""))</f>
        <v/>
      </c>
      <c r="M1125" s="63" t="n">
        <v>14</v>
      </c>
      <c r="N1125" s="2" t="n"/>
      <c r="O1125" s="2" t="n"/>
    </row>
    <row r="1126">
      <c r="A1126" s="62">
        <f>IF('14'!$C$1="","",'14'!$C$1)</f>
        <v/>
      </c>
      <c r="B1126" s="63">
        <f>Ustawienia!$A$10&amp;""</f>
        <v/>
      </c>
      <c r="C1126" s="63">
        <f>Ustawienia!$A$16&amp;""</f>
        <v/>
      </c>
      <c r="D1126" s="63" t="n">
        <v>4</v>
      </c>
      <c r="E1126" s="63">
        <f>IF('14'!J25="","",TRIM('14'!J25&amp;""))</f>
        <v/>
      </c>
      <c r="F1126" s="63">
        <f>IF('14'!K25="","",'14'!K25)</f>
        <v/>
      </c>
      <c r="G1126" s="63">
        <f>'14'!L25&amp;""</f>
        <v/>
      </c>
      <c r="H1126" s="63">
        <f>IF(OR(A1126="",F1126=""),"",F1126&amp;"|"&amp;A1126)</f>
        <v/>
      </c>
      <c r="I1126" s="63">
        <f>IF(AND(H1126&lt;&gt;"",OR('Historia wózka'!$B$4="",F1126='Historia wózka'!$B$4),A1126&gt;='Historia wózka'!$B$5,A1126&lt;='Historia wózka'!$B$6),A1126+0.7+(5000-ROW())/10000000,0)</f>
        <v/>
      </c>
      <c r="J1126" s="63">
        <f>Ustawienia!$B$10&amp;""</f>
        <v/>
      </c>
      <c r="K1126" s="63">
        <f>IF(H1126="","",COUNTIFS('Zgłoszenia'!$B$5:$B$504,F1126,'Zgłoszenia'!$D$5:$D$504,"&gt;="&amp;A1126,'Zgłoszenia'!$D$5:$D$504,"&lt;="&amp;(A1126+1)))</f>
        <v/>
      </c>
      <c r="L1126" s="63">
        <f>IF(OR(H1126="",K1126=0),"—",IF(ISNUMBER(MATCH(H1126,'Zgłoszenia'!$S$5:$S$504,0)),RIGHT("0"&amp;DAY(A1126),2)&amp;"."&amp;RIGHT("0"&amp;MONTH(A1126),2)&amp;"."&amp;YEAR(A1126)&amp;": "&amp;INDEX('Zgłoszenia'!$H$5:$H$504,MATCH(H1126,'Zgłoszenia'!$S$5:$S$504,0)),RIGHT("0"&amp;DAY((A1126+1)),2)&amp;"."&amp;RIGHT("0"&amp;MONTH((A1126+1)),2)&amp;"."&amp;YEAR((A1126+1))&amp;": "&amp;INDEX('Zgłoszenia'!$H$5:$H$504,MATCH(F1126&amp;"|"&amp;(A1126+1),'Zgłoszenia'!$S$5:$S$504,0)))&amp;IF(K1126&gt;1," (+"&amp;(K1126-1)&amp;")",""))</f>
        <v/>
      </c>
      <c r="M1126" s="63" t="n">
        <v>14</v>
      </c>
      <c r="N1126" s="2" t="n"/>
      <c r="O1126" s="2" t="n"/>
    </row>
    <row r="1127">
      <c r="A1127" s="62">
        <f>IF('14'!$C$1="","",'14'!$C$1)</f>
        <v/>
      </c>
      <c r="B1127" s="63">
        <f>Ustawienia!$A$10&amp;""</f>
        <v/>
      </c>
      <c r="C1127" s="63">
        <f>Ustawienia!$A$17&amp;""</f>
        <v/>
      </c>
      <c r="D1127" s="63" t="n">
        <v>1</v>
      </c>
      <c r="E1127" s="63">
        <f>IF('14'!J27="","",TRIM('14'!J27&amp;""))</f>
        <v/>
      </c>
      <c r="F1127" s="63">
        <f>IF('14'!K27="","",'14'!K27)</f>
        <v/>
      </c>
      <c r="G1127" s="63">
        <f>'14'!L27&amp;""</f>
        <v/>
      </c>
      <c r="H1127" s="63">
        <f>IF(OR(A1127="",F1127=""),"",F1127&amp;"|"&amp;A1127)</f>
        <v/>
      </c>
      <c r="I1127" s="63">
        <f>IF(AND(H1127&lt;&gt;"",OR('Historia wózka'!$B$4="",F1127='Historia wózka'!$B$4),A1127&gt;='Historia wózka'!$B$5,A1127&lt;='Historia wózka'!$B$6),A1127+0.7+(5000-ROW())/10000000,0)</f>
        <v/>
      </c>
      <c r="J1127" s="63">
        <f>Ustawienia!$B$10&amp;""</f>
        <v/>
      </c>
      <c r="K1127" s="63">
        <f>IF(H1127="","",COUNTIFS('Zgłoszenia'!$B$5:$B$504,F1127,'Zgłoszenia'!$D$5:$D$504,"&gt;="&amp;A1127,'Zgłoszenia'!$D$5:$D$504,"&lt;="&amp;(A1127+1)))</f>
        <v/>
      </c>
      <c r="L1127" s="63">
        <f>IF(OR(H1127="",K1127=0),"—",IF(ISNUMBER(MATCH(H1127,'Zgłoszenia'!$S$5:$S$504,0)),RIGHT("0"&amp;DAY(A1127),2)&amp;"."&amp;RIGHT("0"&amp;MONTH(A1127),2)&amp;"."&amp;YEAR(A1127)&amp;": "&amp;INDEX('Zgłoszenia'!$H$5:$H$504,MATCH(H1127,'Zgłoszenia'!$S$5:$S$504,0)),RIGHT("0"&amp;DAY((A1127+1)),2)&amp;"."&amp;RIGHT("0"&amp;MONTH((A1127+1)),2)&amp;"."&amp;YEAR((A1127+1))&amp;": "&amp;INDEX('Zgłoszenia'!$H$5:$H$504,MATCH(F1127&amp;"|"&amp;(A1127+1),'Zgłoszenia'!$S$5:$S$504,0)))&amp;IF(K1127&gt;1," (+"&amp;(K1127-1)&amp;")",""))</f>
        <v/>
      </c>
      <c r="M1127" s="63" t="n">
        <v>14</v>
      </c>
      <c r="N1127" s="2" t="n"/>
      <c r="O1127" s="2" t="n"/>
    </row>
    <row r="1128">
      <c r="A1128" s="62">
        <f>IF('14'!$C$1="","",'14'!$C$1)</f>
        <v/>
      </c>
      <c r="B1128" s="63">
        <f>Ustawienia!$A$10&amp;""</f>
        <v/>
      </c>
      <c r="C1128" s="63">
        <f>Ustawienia!$A$17&amp;""</f>
        <v/>
      </c>
      <c r="D1128" s="63" t="n">
        <v>2</v>
      </c>
      <c r="E1128" s="63">
        <f>IF('14'!J28="","",TRIM('14'!J28&amp;""))</f>
        <v/>
      </c>
      <c r="F1128" s="63">
        <f>IF('14'!K28="","",'14'!K28)</f>
        <v/>
      </c>
      <c r="G1128" s="63">
        <f>'14'!L28&amp;""</f>
        <v/>
      </c>
      <c r="H1128" s="63">
        <f>IF(OR(A1128="",F1128=""),"",F1128&amp;"|"&amp;A1128)</f>
        <v/>
      </c>
      <c r="I1128" s="63">
        <f>IF(AND(H1128&lt;&gt;"",OR('Historia wózka'!$B$4="",F1128='Historia wózka'!$B$4),A1128&gt;='Historia wózka'!$B$5,A1128&lt;='Historia wózka'!$B$6),A1128+0.7+(5000-ROW())/10000000,0)</f>
        <v/>
      </c>
      <c r="J1128" s="63">
        <f>Ustawienia!$B$10&amp;""</f>
        <v/>
      </c>
      <c r="K1128" s="63">
        <f>IF(H1128="","",COUNTIFS('Zgłoszenia'!$B$5:$B$504,F1128,'Zgłoszenia'!$D$5:$D$504,"&gt;="&amp;A1128,'Zgłoszenia'!$D$5:$D$504,"&lt;="&amp;(A1128+1)))</f>
        <v/>
      </c>
      <c r="L1128" s="63">
        <f>IF(OR(H1128="",K1128=0),"—",IF(ISNUMBER(MATCH(H1128,'Zgłoszenia'!$S$5:$S$504,0)),RIGHT("0"&amp;DAY(A1128),2)&amp;"."&amp;RIGHT("0"&amp;MONTH(A1128),2)&amp;"."&amp;YEAR(A1128)&amp;": "&amp;INDEX('Zgłoszenia'!$H$5:$H$504,MATCH(H1128,'Zgłoszenia'!$S$5:$S$504,0)),RIGHT("0"&amp;DAY((A1128+1)),2)&amp;"."&amp;RIGHT("0"&amp;MONTH((A1128+1)),2)&amp;"."&amp;YEAR((A1128+1))&amp;": "&amp;INDEX('Zgłoszenia'!$H$5:$H$504,MATCH(F1128&amp;"|"&amp;(A1128+1),'Zgłoszenia'!$S$5:$S$504,0)))&amp;IF(K1128&gt;1," (+"&amp;(K1128-1)&amp;")",""))</f>
        <v/>
      </c>
      <c r="M1128" s="63" t="n">
        <v>14</v>
      </c>
      <c r="N1128" s="2" t="n"/>
      <c r="O1128" s="2" t="n"/>
    </row>
    <row r="1129">
      <c r="A1129" s="62">
        <f>IF('14'!$C$1="","",'14'!$C$1)</f>
        <v/>
      </c>
      <c r="B1129" s="63">
        <f>Ustawienia!$A$10&amp;""</f>
        <v/>
      </c>
      <c r="C1129" s="63">
        <f>Ustawienia!$A$17&amp;""</f>
        <v/>
      </c>
      <c r="D1129" s="63" t="n">
        <v>3</v>
      </c>
      <c r="E1129" s="63">
        <f>IF('14'!J29="","",TRIM('14'!J29&amp;""))</f>
        <v/>
      </c>
      <c r="F1129" s="63">
        <f>IF('14'!K29="","",'14'!K29)</f>
        <v/>
      </c>
      <c r="G1129" s="63">
        <f>'14'!L29&amp;""</f>
        <v/>
      </c>
      <c r="H1129" s="63">
        <f>IF(OR(A1129="",F1129=""),"",F1129&amp;"|"&amp;A1129)</f>
        <v/>
      </c>
      <c r="I1129" s="63">
        <f>IF(AND(H1129&lt;&gt;"",OR('Historia wózka'!$B$4="",F1129='Historia wózka'!$B$4),A1129&gt;='Historia wózka'!$B$5,A1129&lt;='Historia wózka'!$B$6),A1129+0.7+(5000-ROW())/10000000,0)</f>
        <v/>
      </c>
      <c r="J1129" s="63">
        <f>Ustawienia!$B$10&amp;""</f>
        <v/>
      </c>
      <c r="K1129" s="63">
        <f>IF(H1129="","",COUNTIFS('Zgłoszenia'!$B$5:$B$504,F1129,'Zgłoszenia'!$D$5:$D$504,"&gt;="&amp;A1129,'Zgłoszenia'!$D$5:$D$504,"&lt;="&amp;(A1129+1)))</f>
        <v/>
      </c>
      <c r="L1129" s="63">
        <f>IF(OR(H1129="",K1129=0),"—",IF(ISNUMBER(MATCH(H1129,'Zgłoszenia'!$S$5:$S$504,0)),RIGHT("0"&amp;DAY(A1129),2)&amp;"."&amp;RIGHT("0"&amp;MONTH(A1129),2)&amp;"."&amp;YEAR(A1129)&amp;": "&amp;INDEX('Zgłoszenia'!$H$5:$H$504,MATCH(H1129,'Zgłoszenia'!$S$5:$S$504,0)),RIGHT("0"&amp;DAY((A1129+1)),2)&amp;"."&amp;RIGHT("0"&amp;MONTH((A1129+1)),2)&amp;"."&amp;YEAR((A1129+1))&amp;": "&amp;INDEX('Zgłoszenia'!$H$5:$H$504,MATCH(F1129&amp;"|"&amp;(A1129+1),'Zgłoszenia'!$S$5:$S$504,0)))&amp;IF(K1129&gt;1," (+"&amp;(K1129-1)&amp;")",""))</f>
        <v/>
      </c>
      <c r="M1129" s="63" t="n">
        <v>14</v>
      </c>
      <c r="N1129" s="2" t="n"/>
      <c r="O1129" s="2" t="n"/>
    </row>
    <row r="1130">
      <c r="A1130" s="62">
        <f>IF('14'!$C$1="","",'14'!$C$1)</f>
        <v/>
      </c>
      <c r="B1130" s="63">
        <f>Ustawienia!$A$10&amp;""</f>
        <v/>
      </c>
      <c r="C1130" s="63">
        <f>Ustawienia!$A$17&amp;""</f>
        <v/>
      </c>
      <c r="D1130" s="63" t="n">
        <v>4</v>
      </c>
      <c r="E1130" s="63">
        <f>IF('14'!J30="","",TRIM('14'!J30&amp;""))</f>
        <v/>
      </c>
      <c r="F1130" s="63">
        <f>IF('14'!K30="","",'14'!K30)</f>
        <v/>
      </c>
      <c r="G1130" s="63">
        <f>'14'!L30&amp;""</f>
        <v/>
      </c>
      <c r="H1130" s="63">
        <f>IF(OR(A1130="",F1130=""),"",F1130&amp;"|"&amp;A1130)</f>
        <v/>
      </c>
      <c r="I1130" s="63">
        <f>IF(AND(H1130&lt;&gt;"",OR('Historia wózka'!$B$4="",F1130='Historia wózka'!$B$4),A1130&gt;='Historia wózka'!$B$5,A1130&lt;='Historia wózka'!$B$6),A1130+0.7+(5000-ROW())/10000000,0)</f>
        <v/>
      </c>
      <c r="J1130" s="63">
        <f>Ustawienia!$B$10&amp;""</f>
        <v/>
      </c>
      <c r="K1130" s="63">
        <f>IF(H1130="","",COUNTIFS('Zgłoszenia'!$B$5:$B$504,F1130,'Zgłoszenia'!$D$5:$D$504,"&gt;="&amp;A1130,'Zgłoszenia'!$D$5:$D$504,"&lt;="&amp;(A1130+1)))</f>
        <v/>
      </c>
      <c r="L1130" s="63">
        <f>IF(OR(H1130="",K1130=0),"—",IF(ISNUMBER(MATCH(H1130,'Zgłoszenia'!$S$5:$S$504,0)),RIGHT("0"&amp;DAY(A1130),2)&amp;"."&amp;RIGHT("0"&amp;MONTH(A1130),2)&amp;"."&amp;YEAR(A1130)&amp;": "&amp;INDEX('Zgłoszenia'!$H$5:$H$504,MATCH(H1130,'Zgłoszenia'!$S$5:$S$504,0)),RIGHT("0"&amp;DAY((A1130+1)),2)&amp;"."&amp;RIGHT("0"&amp;MONTH((A1130+1)),2)&amp;"."&amp;YEAR((A1130+1))&amp;": "&amp;INDEX('Zgłoszenia'!$H$5:$H$504,MATCH(F1130&amp;"|"&amp;(A1130+1),'Zgłoszenia'!$S$5:$S$504,0)))&amp;IF(K1130&gt;1," (+"&amp;(K1130-1)&amp;")",""))</f>
        <v/>
      </c>
      <c r="M1130" s="63" t="n">
        <v>14</v>
      </c>
      <c r="N1130" s="2" t="n"/>
      <c r="O1130" s="2" t="n"/>
    </row>
    <row r="1131">
      <c r="A1131" s="62">
        <f>IF('14'!$C$1="","",'14'!$C$1)</f>
        <v/>
      </c>
      <c r="B1131" s="63">
        <f>Ustawienia!$A$10&amp;""</f>
        <v/>
      </c>
      <c r="C1131" s="63">
        <f>Ustawienia!$A$18&amp;""</f>
        <v/>
      </c>
      <c r="D1131" s="63" t="n">
        <v>1</v>
      </c>
      <c r="E1131" s="63">
        <f>IF('14'!J32="","",TRIM('14'!J32&amp;""))</f>
        <v/>
      </c>
      <c r="F1131" s="63">
        <f>IF('14'!K32="","",'14'!K32)</f>
        <v/>
      </c>
      <c r="G1131" s="63">
        <f>'14'!L32&amp;""</f>
        <v/>
      </c>
      <c r="H1131" s="63">
        <f>IF(OR(A1131="",F1131=""),"",F1131&amp;"|"&amp;A1131)</f>
        <v/>
      </c>
      <c r="I1131" s="63">
        <f>IF(AND(H1131&lt;&gt;"",OR('Historia wózka'!$B$4="",F1131='Historia wózka'!$B$4),A1131&gt;='Historia wózka'!$B$5,A1131&lt;='Historia wózka'!$B$6),A1131+0.7+(5000-ROW())/10000000,0)</f>
        <v/>
      </c>
      <c r="J1131" s="63">
        <f>Ustawienia!$B$10&amp;""</f>
        <v/>
      </c>
      <c r="K1131" s="63">
        <f>IF(H1131="","",COUNTIFS('Zgłoszenia'!$B$5:$B$504,F1131,'Zgłoszenia'!$D$5:$D$504,"&gt;="&amp;A1131,'Zgłoszenia'!$D$5:$D$504,"&lt;="&amp;(A1131+1)))</f>
        <v/>
      </c>
      <c r="L1131" s="63">
        <f>IF(OR(H1131="",K1131=0),"—",IF(ISNUMBER(MATCH(H1131,'Zgłoszenia'!$S$5:$S$504,0)),RIGHT("0"&amp;DAY(A1131),2)&amp;"."&amp;RIGHT("0"&amp;MONTH(A1131),2)&amp;"."&amp;YEAR(A1131)&amp;": "&amp;INDEX('Zgłoszenia'!$H$5:$H$504,MATCH(H1131,'Zgłoszenia'!$S$5:$S$504,0)),RIGHT("0"&amp;DAY((A1131+1)),2)&amp;"."&amp;RIGHT("0"&amp;MONTH((A1131+1)),2)&amp;"."&amp;YEAR((A1131+1))&amp;": "&amp;INDEX('Zgłoszenia'!$H$5:$H$504,MATCH(F1131&amp;"|"&amp;(A1131+1),'Zgłoszenia'!$S$5:$S$504,0)))&amp;IF(K1131&gt;1," (+"&amp;(K1131-1)&amp;")",""))</f>
        <v/>
      </c>
      <c r="M1131" s="63" t="n">
        <v>14</v>
      </c>
      <c r="N1131" s="2" t="n"/>
      <c r="O1131" s="2" t="n"/>
    </row>
    <row r="1132">
      <c r="A1132" s="62">
        <f>IF('14'!$C$1="","",'14'!$C$1)</f>
        <v/>
      </c>
      <c r="B1132" s="63">
        <f>Ustawienia!$A$10&amp;""</f>
        <v/>
      </c>
      <c r="C1132" s="63">
        <f>Ustawienia!$A$18&amp;""</f>
        <v/>
      </c>
      <c r="D1132" s="63" t="n">
        <v>2</v>
      </c>
      <c r="E1132" s="63">
        <f>IF('14'!J33="","",TRIM('14'!J33&amp;""))</f>
        <v/>
      </c>
      <c r="F1132" s="63">
        <f>IF('14'!K33="","",'14'!K33)</f>
        <v/>
      </c>
      <c r="G1132" s="63">
        <f>'14'!L33&amp;""</f>
        <v/>
      </c>
      <c r="H1132" s="63">
        <f>IF(OR(A1132="",F1132=""),"",F1132&amp;"|"&amp;A1132)</f>
        <v/>
      </c>
      <c r="I1132" s="63">
        <f>IF(AND(H1132&lt;&gt;"",OR('Historia wózka'!$B$4="",F1132='Historia wózka'!$B$4),A1132&gt;='Historia wózka'!$B$5,A1132&lt;='Historia wózka'!$B$6),A1132+0.7+(5000-ROW())/10000000,0)</f>
        <v/>
      </c>
      <c r="J1132" s="63">
        <f>Ustawienia!$B$10&amp;""</f>
        <v/>
      </c>
      <c r="K1132" s="63">
        <f>IF(H1132="","",COUNTIFS('Zgłoszenia'!$B$5:$B$504,F1132,'Zgłoszenia'!$D$5:$D$504,"&gt;="&amp;A1132,'Zgłoszenia'!$D$5:$D$504,"&lt;="&amp;(A1132+1)))</f>
        <v/>
      </c>
      <c r="L1132" s="63">
        <f>IF(OR(H1132="",K1132=0),"—",IF(ISNUMBER(MATCH(H1132,'Zgłoszenia'!$S$5:$S$504,0)),RIGHT("0"&amp;DAY(A1132),2)&amp;"."&amp;RIGHT("0"&amp;MONTH(A1132),2)&amp;"."&amp;YEAR(A1132)&amp;": "&amp;INDEX('Zgłoszenia'!$H$5:$H$504,MATCH(H1132,'Zgłoszenia'!$S$5:$S$504,0)),RIGHT("0"&amp;DAY((A1132+1)),2)&amp;"."&amp;RIGHT("0"&amp;MONTH((A1132+1)),2)&amp;"."&amp;YEAR((A1132+1))&amp;": "&amp;INDEX('Zgłoszenia'!$H$5:$H$504,MATCH(F1132&amp;"|"&amp;(A1132+1),'Zgłoszenia'!$S$5:$S$504,0)))&amp;IF(K1132&gt;1," (+"&amp;(K1132-1)&amp;")",""))</f>
        <v/>
      </c>
      <c r="M1132" s="63" t="n">
        <v>14</v>
      </c>
      <c r="N1132" s="2" t="n"/>
      <c r="O1132" s="2" t="n"/>
    </row>
    <row r="1133">
      <c r="A1133" s="62">
        <f>IF('14'!$C$1="","",'14'!$C$1)</f>
        <v/>
      </c>
      <c r="B1133" s="63">
        <f>Ustawienia!$A$10&amp;""</f>
        <v/>
      </c>
      <c r="C1133" s="63">
        <f>Ustawienia!$A$18&amp;""</f>
        <v/>
      </c>
      <c r="D1133" s="63" t="n">
        <v>3</v>
      </c>
      <c r="E1133" s="63">
        <f>IF('14'!J34="","",TRIM('14'!J34&amp;""))</f>
        <v/>
      </c>
      <c r="F1133" s="63">
        <f>IF('14'!K34="","",'14'!K34)</f>
        <v/>
      </c>
      <c r="G1133" s="63">
        <f>'14'!L34&amp;""</f>
        <v/>
      </c>
      <c r="H1133" s="63">
        <f>IF(OR(A1133="",F1133=""),"",F1133&amp;"|"&amp;A1133)</f>
        <v/>
      </c>
      <c r="I1133" s="63">
        <f>IF(AND(H1133&lt;&gt;"",OR('Historia wózka'!$B$4="",F1133='Historia wózka'!$B$4),A1133&gt;='Historia wózka'!$B$5,A1133&lt;='Historia wózka'!$B$6),A1133+0.7+(5000-ROW())/10000000,0)</f>
        <v/>
      </c>
      <c r="J1133" s="63">
        <f>Ustawienia!$B$10&amp;""</f>
        <v/>
      </c>
      <c r="K1133" s="63">
        <f>IF(H1133="","",COUNTIFS('Zgłoszenia'!$B$5:$B$504,F1133,'Zgłoszenia'!$D$5:$D$504,"&gt;="&amp;A1133,'Zgłoszenia'!$D$5:$D$504,"&lt;="&amp;(A1133+1)))</f>
        <v/>
      </c>
      <c r="L1133" s="63">
        <f>IF(OR(H1133="",K1133=0),"—",IF(ISNUMBER(MATCH(H1133,'Zgłoszenia'!$S$5:$S$504,0)),RIGHT("0"&amp;DAY(A1133),2)&amp;"."&amp;RIGHT("0"&amp;MONTH(A1133),2)&amp;"."&amp;YEAR(A1133)&amp;": "&amp;INDEX('Zgłoszenia'!$H$5:$H$504,MATCH(H1133,'Zgłoszenia'!$S$5:$S$504,0)),RIGHT("0"&amp;DAY((A1133+1)),2)&amp;"."&amp;RIGHT("0"&amp;MONTH((A1133+1)),2)&amp;"."&amp;YEAR((A1133+1))&amp;": "&amp;INDEX('Zgłoszenia'!$H$5:$H$504,MATCH(F1133&amp;"|"&amp;(A1133+1),'Zgłoszenia'!$S$5:$S$504,0)))&amp;IF(K1133&gt;1," (+"&amp;(K1133-1)&amp;")",""))</f>
        <v/>
      </c>
      <c r="M1133" s="63" t="n">
        <v>14</v>
      </c>
      <c r="N1133" s="2" t="n"/>
      <c r="O1133" s="2" t="n"/>
    </row>
    <row r="1134">
      <c r="A1134" s="62">
        <f>IF('14'!$C$1="","",'14'!$C$1)</f>
        <v/>
      </c>
      <c r="B1134" s="63">
        <f>Ustawienia!$A$10&amp;""</f>
        <v/>
      </c>
      <c r="C1134" s="63">
        <f>Ustawienia!$A$18&amp;""</f>
        <v/>
      </c>
      <c r="D1134" s="63" t="n">
        <v>4</v>
      </c>
      <c r="E1134" s="63">
        <f>IF('14'!J35="","",TRIM('14'!J35&amp;""))</f>
        <v/>
      </c>
      <c r="F1134" s="63">
        <f>IF('14'!K35="","",'14'!K35)</f>
        <v/>
      </c>
      <c r="G1134" s="63">
        <f>'14'!L35&amp;""</f>
        <v/>
      </c>
      <c r="H1134" s="63">
        <f>IF(OR(A1134="",F1134=""),"",F1134&amp;"|"&amp;A1134)</f>
        <v/>
      </c>
      <c r="I1134" s="63">
        <f>IF(AND(H1134&lt;&gt;"",OR('Historia wózka'!$B$4="",F1134='Historia wózka'!$B$4),A1134&gt;='Historia wózka'!$B$5,A1134&lt;='Historia wózka'!$B$6),A1134+0.7+(5000-ROW())/10000000,0)</f>
        <v/>
      </c>
      <c r="J1134" s="63">
        <f>Ustawienia!$B$10&amp;""</f>
        <v/>
      </c>
      <c r="K1134" s="63">
        <f>IF(H1134="","",COUNTIFS('Zgłoszenia'!$B$5:$B$504,F1134,'Zgłoszenia'!$D$5:$D$504,"&gt;="&amp;A1134,'Zgłoszenia'!$D$5:$D$504,"&lt;="&amp;(A1134+1)))</f>
        <v/>
      </c>
      <c r="L1134" s="63">
        <f>IF(OR(H1134="",K1134=0),"—",IF(ISNUMBER(MATCH(H1134,'Zgłoszenia'!$S$5:$S$504,0)),RIGHT("0"&amp;DAY(A1134),2)&amp;"."&amp;RIGHT("0"&amp;MONTH(A1134),2)&amp;"."&amp;YEAR(A1134)&amp;": "&amp;INDEX('Zgłoszenia'!$H$5:$H$504,MATCH(H1134,'Zgłoszenia'!$S$5:$S$504,0)),RIGHT("0"&amp;DAY((A1134+1)),2)&amp;"."&amp;RIGHT("0"&amp;MONTH((A1134+1)),2)&amp;"."&amp;YEAR((A1134+1))&amp;": "&amp;INDEX('Zgłoszenia'!$H$5:$H$504,MATCH(F1134&amp;"|"&amp;(A1134+1),'Zgłoszenia'!$S$5:$S$504,0)))&amp;IF(K1134&gt;1," (+"&amp;(K1134-1)&amp;")",""))</f>
        <v/>
      </c>
      <c r="M1134" s="63" t="n">
        <v>14</v>
      </c>
      <c r="N1134" s="2" t="n"/>
      <c r="O1134" s="2" t="n"/>
    </row>
    <row r="1135">
      <c r="A1135" s="62">
        <f>IF('14'!$C$1="","",'14'!$C$1)</f>
        <v/>
      </c>
      <c r="B1135" s="63">
        <f>Ustawienia!$A$10&amp;""</f>
        <v/>
      </c>
      <c r="C1135" s="63">
        <f>Ustawienia!$A$18&amp;""</f>
        <v/>
      </c>
      <c r="D1135" s="63" t="n">
        <v>5</v>
      </c>
      <c r="E1135" s="63">
        <f>IF('14'!J36="","",TRIM('14'!J36&amp;""))</f>
        <v/>
      </c>
      <c r="F1135" s="63">
        <f>IF('14'!K36="","",'14'!K36)</f>
        <v/>
      </c>
      <c r="G1135" s="63">
        <f>'14'!L36&amp;""</f>
        <v/>
      </c>
      <c r="H1135" s="63">
        <f>IF(OR(A1135="",F1135=""),"",F1135&amp;"|"&amp;A1135)</f>
        <v/>
      </c>
      <c r="I1135" s="63">
        <f>IF(AND(H1135&lt;&gt;"",OR('Historia wózka'!$B$4="",F1135='Historia wózka'!$B$4),A1135&gt;='Historia wózka'!$B$5,A1135&lt;='Historia wózka'!$B$6),A1135+0.7+(5000-ROW())/10000000,0)</f>
        <v/>
      </c>
      <c r="J1135" s="63">
        <f>Ustawienia!$B$10&amp;""</f>
        <v/>
      </c>
      <c r="K1135" s="63">
        <f>IF(H1135="","",COUNTIFS('Zgłoszenia'!$B$5:$B$504,F1135,'Zgłoszenia'!$D$5:$D$504,"&gt;="&amp;A1135,'Zgłoszenia'!$D$5:$D$504,"&lt;="&amp;(A1135+1)))</f>
        <v/>
      </c>
      <c r="L1135" s="63">
        <f>IF(OR(H1135="",K1135=0),"—",IF(ISNUMBER(MATCH(H1135,'Zgłoszenia'!$S$5:$S$504,0)),RIGHT("0"&amp;DAY(A1135),2)&amp;"."&amp;RIGHT("0"&amp;MONTH(A1135),2)&amp;"."&amp;YEAR(A1135)&amp;": "&amp;INDEX('Zgłoszenia'!$H$5:$H$504,MATCH(H1135,'Zgłoszenia'!$S$5:$S$504,0)),RIGHT("0"&amp;DAY((A1135+1)),2)&amp;"."&amp;RIGHT("0"&amp;MONTH((A1135+1)),2)&amp;"."&amp;YEAR((A1135+1))&amp;": "&amp;INDEX('Zgłoszenia'!$H$5:$H$504,MATCH(F1135&amp;"|"&amp;(A1135+1),'Zgłoszenia'!$S$5:$S$504,0)))&amp;IF(K1135&gt;1," (+"&amp;(K1135-1)&amp;")",""))</f>
        <v/>
      </c>
      <c r="M1135" s="63" t="n">
        <v>14</v>
      </c>
      <c r="N1135" s="2" t="n"/>
      <c r="O1135" s="2" t="n"/>
    </row>
    <row r="1136">
      <c r="A1136" s="62">
        <f>IF('15'!$C$1="","",'15'!$C$1)</f>
        <v/>
      </c>
      <c r="B1136" s="63">
        <f>Ustawienia!$A$8&amp;""</f>
        <v/>
      </c>
      <c r="C1136" s="63">
        <f>Ustawienia!$A$14&amp;""</f>
        <v/>
      </c>
      <c r="D1136" s="63" t="n">
        <v>1</v>
      </c>
      <c r="E1136" s="63">
        <f>IF('15'!B6="","",TRIM('15'!B6&amp;""))</f>
        <v/>
      </c>
      <c r="F1136" s="63">
        <f>IF('15'!C6="","",'15'!C6)</f>
        <v/>
      </c>
      <c r="G1136" s="63">
        <f>'15'!D6&amp;""</f>
        <v/>
      </c>
      <c r="H1136" s="63">
        <f>IF(OR(A1136="",F1136=""),"",F1136&amp;"|"&amp;A1136)</f>
        <v/>
      </c>
      <c r="I1136" s="63">
        <f>IF(AND(H1136&lt;&gt;"",OR('Historia wózka'!$B$4="",F1136='Historia wózka'!$B$4),A1136&gt;='Historia wózka'!$B$5,A1136&lt;='Historia wózka'!$B$6),A1136+0.9+(5000-ROW())/10000000,0)</f>
        <v/>
      </c>
      <c r="J1136" s="63">
        <f>Ustawienia!$B$8&amp;""</f>
        <v/>
      </c>
      <c r="K1136" s="63">
        <f>IF(H1136="","",COUNTIFS('Zgłoszenia'!$B$5:$B$504,F1136,'Zgłoszenia'!$D$5:$D$504,"&gt;="&amp;A1136,'Zgłoszenia'!$D$5:$D$504,"&lt;="&amp;(A1136+1)))</f>
        <v/>
      </c>
      <c r="L1136" s="63">
        <f>IF(OR(H1136="",K1136=0),"—",IF(ISNUMBER(MATCH(H1136,'Zgłoszenia'!$S$5:$S$504,0)),RIGHT("0"&amp;DAY(A1136),2)&amp;"."&amp;RIGHT("0"&amp;MONTH(A1136),2)&amp;"."&amp;YEAR(A1136)&amp;": "&amp;INDEX('Zgłoszenia'!$H$5:$H$504,MATCH(H1136,'Zgłoszenia'!$S$5:$S$504,0)),RIGHT("0"&amp;DAY((A1136+1)),2)&amp;"."&amp;RIGHT("0"&amp;MONTH((A1136+1)),2)&amp;"."&amp;YEAR((A1136+1))&amp;": "&amp;INDEX('Zgłoszenia'!$H$5:$H$504,MATCH(F1136&amp;"|"&amp;(A1136+1),'Zgłoszenia'!$S$5:$S$504,0)))&amp;IF(K1136&gt;1," (+"&amp;(K1136-1)&amp;")",""))</f>
        <v/>
      </c>
      <c r="M1136" s="63" t="n">
        <v>15</v>
      </c>
      <c r="N1136" s="2" t="n"/>
      <c r="O1136" s="2" t="n"/>
    </row>
    <row r="1137">
      <c r="A1137" s="62">
        <f>IF('15'!$C$1="","",'15'!$C$1)</f>
        <v/>
      </c>
      <c r="B1137" s="63">
        <f>Ustawienia!$A$8&amp;""</f>
        <v/>
      </c>
      <c r="C1137" s="63">
        <f>Ustawienia!$A$14&amp;""</f>
        <v/>
      </c>
      <c r="D1137" s="63" t="n">
        <v>2</v>
      </c>
      <c r="E1137" s="63">
        <f>IF('15'!B7="","",TRIM('15'!B7&amp;""))</f>
        <v/>
      </c>
      <c r="F1137" s="63">
        <f>IF('15'!C7="","",'15'!C7)</f>
        <v/>
      </c>
      <c r="G1137" s="63">
        <f>'15'!D7&amp;""</f>
        <v/>
      </c>
      <c r="H1137" s="63">
        <f>IF(OR(A1137="",F1137=""),"",F1137&amp;"|"&amp;A1137)</f>
        <v/>
      </c>
      <c r="I1137" s="63">
        <f>IF(AND(H1137&lt;&gt;"",OR('Historia wózka'!$B$4="",F1137='Historia wózka'!$B$4),A1137&gt;='Historia wózka'!$B$5,A1137&lt;='Historia wózka'!$B$6),A1137+0.9+(5000-ROW())/10000000,0)</f>
        <v/>
      </c>
      <c r="J1137" s="63">
        <f>Ustawienia!$B$8&amp;""</f>
        <v/>
      </c>
      <c r="K1137" s="63">
        <f>IF(H1137="","",COUNTIFS('Zgłoszenia'!$B$5:$B$504,F1137,'Zgłoszenia'!$D$5:$D$504,"&gt;="&amp;A1137,'Zgłoszenia'!$D$5:$D$504,"&lt;="&amp;(A1137+1)))</f>
        <v/>
      </c>
      <c r="L1137" s="63">
        <f>IF(OR(H1137="",K1137=0),"—",IF(ISNUMBER(MATCH(H1137,'Zgłoszenia'!$S$5:$S$504,0)),RIGHT("0"&amp;DAY(A1137),2)&amp;"."&amp;RIGHT("0"&amp;MONTH(A1137),2)&amp;"."&amp;YEAR(A1137)&amp;": "&amp;INDEX('Zgłoszenia'!$H$5:$H$504,MATCH(H1137,'Zgłoszenia'!$S$5:$S$504,0)),RIGHT("0"&amp;DAY((A1137+1)),2)&amp;"."&amp;RIGHT("0"&amp;MONTH((A1137+1)),2)&amp;"."&amp;YEAR((A1137+1))&amp;": "&amp;INDEX('Zgłoszenia'!$H$5:$H$504,MATCH(F1137&amp;"|"&amp;(A1137+1),'Zgłoszenia'!$S$5:$S$504,0)))&amp;IF(K1137&gt;1," (+"&amp;(K1137-1)&amp;")",""))</f>
        <v/>
      </c>
      <c r="M1137" s="63" t="n">
        <v>15</v>
      </c>
      <c r="N1137" s="2" t="n"/>
      <c r="O1137" s="2" t="n"/>
    </row>
    <row r="1138">
      <c r="A1138" s="62">
        <f>IF('15'!$C$1="","",'15'!$C$1)</f>
        <v/>
      </c>
      <c r="B1138" s="63">
        <f>Ustawienia!$A$8&amp;""</f>
        <v/>
      </c>
      <c r="C1138" s="63">
        <f>Ustawienia!$A$14&amp;""</f>
        <v/>
      </c>
      <c r="D1138" s="63" t="n">
        <v>3</v>
      </c>
      <c r="E1138" s="63">
        <f>IF('15'!B8="","",TRIM('15'!B8&amp;""))</f>
        <v/>
      </c>
      <c r="F1138" s="63">
        <f>IF('15'!C8="","",'15'!C8)</f>
        <v/>
      </c>
      <c r="G1138" s="63">
        <f>'15'!D8&amp;""</f>
        <v/>
      </c>
      <c r="H1138" s="63">
        <f>IF(OR(A1138="",F1138=""),"",F1138&amp;"|"&amp;A1138)</f>
        <v/>
      </c>
      <c r="I1138" s="63">
        <f>IF(AND(H1138&lt;&gt;"",OR('Historia wózka'!$B$4="",F1138='Historia wózka'!$B$4),A1138&gt;='Historia wózka'!$B$5,A1138&lt;='Historia wózka'!$B$6),A1138+0.9+(5000-ROW())/10000000,0)</f>
        <v/>
      </c>
      <c r="J1138" s="63">
        <f>Ustawienia!$B$8&amp;""</f>
        <v/>
      </c>
      <c r="K1138" s="63">
        <f>IF(H1138="","",COUNTIFS('Zgłoszenia'!$B$5:$B$504,F1138,'Zgłoszenia'!$D$5:$D$504,"&gt;="&amp;A1138,'Zgłoszenia'!$D$5:$D$504,"&lt;="&amp;(A1138+1)))</f>
        <v/>
      </c>
      <c r="L1138" s="63">
        <f>IF(OR(H1138="",K1138=0),"—",IF(ISNUMBER(MATCH(H1138,'Zgłoszenia'!$S$5:$S$504,0)),RIGHT("0"&amp;DAY(A1138),2)&amp;"."&amp;RIGHT("0"&amp;MONTH(A1138),2)&amp;"."&amp;YEAR(A1138)&amp;": "&amp;INDEX('Zgłoszenia'!$H$5:$H$504,MATCH(H1138,'Zgłoszenia'!$S$5:$S$504,0)),RIGHT("0"&amp;DAY((A1138+1)),2)&amp;"."&amp;RIGHT("0"&amp;MONTH((A1138+1)),2)&amp;"."&amp;YEAR((A1138+1))&amp;": "&amp;INDEX('Zgłoszenia'!$H$5:$H$504,MATCH(F1138&amp;"|"&amp;(A1138+1),'Zgłoszenia'!$S$5:$S$504,0)))&amp;IF(K1138&gt;1," (+"&amp;(K1138-1)&amp;")",""))</f>
        <v/>
      </c>
      <c r="M1138" s="63" t="n">
        <v>15</v>
      </c>
      <c r="N1138" s="2" t="n"/>
      <c r="O1138" s="2" t="n"/>
    </row>
    <row r="1139">
      <c r="A1139" s="62">
        <f>IF('15'!$C$1="","",'15'!$C$1)</f>
        <v/>
      </c>
      <c r="B1139" s="63">
        <f>Ustawienia!$A$8&amp;""</f>
        <v/>
      </c>
      <c r="C1139" s="63">
        <f>Ustawienia!$A$14&amp;""</f>
        <v/>
      </c>
      <c r="D1139" s="63" t="n">
        <v>4</v>
      </c>
      <c r="E1139" s="63">
        <f>IF('15'!B9="","",TRIM('15'!B9&amp;""))</f>
        <v/>
      </c>
      <c r="F1139" s="63">
        <f>IF('15'!C9="","",'15'!C9)</f>
        <v/>
      </c>
      <c r="G1139" s="63">
        <f>'15'!D9&amp;""</f>
        <v/>
      </c>
      <c r="H1139" s="63">
        <f>IF(OR(A1139="",F1139=""),"",F1139&amp;"|"&amp;A1139)</f>
        <v/>
      </c>
      <c r="I1139" s="63">
        <f>IF(AND(H1139&lt;&gt;"",OR('Historia wózka'!$B$4="",F1139='Historia wózka'!$B$4),A1139&gt;='Historia wózka'!$B$5,A1139&lt;='Historia wózka'!$B$6),A1139+0.9+(5000-ROW())/10000000,0)</f>
        <v/>
      </c>
      <c r="J1139" s="63">
        <f>Ustawienia!$B$8&amp;""</f>
        <v/>
      </c>
      <c r="K1139" s="63">
        <f>IF(H1139="","",COUNTIFS('Zgłoszenia'!$B$5:$B$504,F1139,'Zgłoszenia'!$D$5:$D$504,"&gt;="&amp;A1139,'Zgłoszenia'!$D$5:$D$504,"&lt;="&amp;(A1139+1)))</f>
        <v/>
      </c>
      <c r="L1139" s="63">
        <f>IF(OR(H1139="",K1139=0),"—",IF(ISNUMBER(MATCH(H1139,'Zgłoszenia'!$S$5:$S$504,0)),RIGHT("0"&amp;DAY(A1139),2)&amp;"."&amp;RIGHT("0"&amp;MONTH(A1139),2)&amp;"."&amp;YEAR(A1139)&amp;": "&amp;INDEX('Zgłoszenia'!$H$5:$H$504,MATCH(H1139,'Zgłoszenia'!$S$5:$S$504,0)),RIGHT("0"&amp;DAY((A1139+1)),2)&amp;"."&amp;RIGHT("0"&amp;MONTH((A1139+1)),2)&amp;"."&amp;YEAR((A1139+1))&amp;": "&amp;INDEX('Zgłoszenia'!$H$5:$H$504,MATCH(F1139&amp;"|"&amp;(A1139+1),'Zgłoszenia'!$S$5:$S$504,0)))&amp;IF(K1139&gt;1," (+"&amp;(K1139-1)&amp;")",""))</f>
        <v/>
      </c>
      <c r="M1139" s="63" t="n">
        <v>15</v>
      </c>
      <c r="N1139" s="2" t="n"/>
      <c r="O1139" s="2" t="n"/>
    </row>
    <row r="1140">
      <c r="A1140" s="62">
        <f>IF('15'!$C$1="","",'15'!$C$1)</f>
        <v/>
      </c>
      <c r="B1140" s="63">
        <f>Ustawienia!$A$8&amp;""</f>
        <v/>
      </c>
      <c r="C1140" s="63">
        <f>Ustawienia!$A$14&amp;""</f>
        <v/>
      </c>
      <c r="D1140" s="63" t="n">
        <v>5</v>
      </c>
      <c r="E1140" s="63">
        <f>IF('15'!B10="","",TRIM('15'!B10&amp;""))</f>
        <v/>
      </c>
      <c r="F1140" s="63">
        <f>IF('15'!C10="","",'15'!C10)</f>
        <v/>
      </c>
      <c r="G1140" s="63">
        <f>'15'!D10&amp;""</f>
        <v/>
      </c>
      <c r="H1140" s="63">
        <f>IF(OR(A1140="",F1140=""),"",F1140&amp;"|"&amp;A1140)</f>
        <v/>
      </c>
      <c r="I1140" s="63">
        <f>IF(AND(H1140&lt;&gt;"",OR('Historia wózka'!$B$4="",F1140='Historia wózka'!$B$4),A1140&gt;='Historia wózka'!$B$5,A1140&lt;='Historia wózka'!$B$6),A1140+0.9+(5000-ROW())/10000000,0)</f>
        <v/>
      </c>
      <c r="J1140" s="63">
        <f>Ustawienia!$B$8&amp;""</f>
        <v/>
      </c>
      <c r="K1140" s="63">
        <f>IF(H1140="","",COUNTIFS('Zgłoszenia'!$B$5:$B$504,F1140,'Zgłoszenia'!$D$5:$D$504,"&gt;="&amp;A1140,'Zgłoszenia'!$D$5:$D$504,"&lt;="&amp;(A1140+1)))</f>
        <v/>
      </c>
      <c r="L1140" s="63">
        <f>IF(OR(H1140="",K1140=0),"—",IF(ISNUMBER(MATCH(H1140,'Zgłoszenia'!$S$5:$S$504,0)),RIGHT("0"&amp;DAY(A1140),2)&amp;"."&amp;RIGHT("0"&amp;MONTH(A1140),2)&amp;"."&amp;YEAR(A1140)&amp;": "&amp;INDEX('Zgłoszenia'!$H$5:$H$504,MATCH(H1140,'Zgłoszenia'!$S$5:$S$504,0)),RIGHT("0"&amp;DAY((A1140+1)),2)&amp;"."&amp;RIGHT("0"&amp;MONTH((A1140+1)),2)&amp;"."&amp;YEAR((A1140+1))&amp;": "&amp;INDEX('Zgłoszenia'!$H$5:$H$504,MATCH(F1140&amp;"|"&amp;(A1140+1),'Zgłoszenia'!$S$5:$S$504,0)))&amp;IF(K1140&gt;1," (+"&amp;(K1140-1)&amp;")",""))</f>
        <v/>
      </c>
      <c r="M1140" s="63" t="n">
        <v>15</v>
      </c>
      <c r="N1140" s="2" t="n"/>
      <c r="O1140" s="2" t="n"/>
    </row>
    <row r="1141">
      <c r="A1141" s="62">
        <f>IF('15'!$C$1="","",'15'!$C$1)</f>
        <v/>
      </c>
      <c r="B1141" s="63">
        <f>Ustawienia!$A$8&amp;""</f>
        <v/>
      </c>
      <c r="C1141" s="63">
        <f>Ustawienia!$A$14&amp;""</f>
        <v/>
      </c>
      <c r="D1141" s="63" t="n">
        <v>6</v>
      </c>
      <c r="E1141" s="63">
        <f>IF('15'!B11="","",TRIM('15'!B11&amp;""))</f>
        <v/>
      </c>
      <c r="F1141" s="63">
        <f>IF('15'!C11="","",'15'!C11)</f>
        <v/>
      </c>
      <c r="G1141" s="63">
        <f>'15'!D11&amp;""</f>
        <v/>
      </c>
      <c r="H1141" s="63">
        <f>IF(OR(A1141="",F1141=""),"",F1141&amp;"|"&amp;A1141)</f>
        <v/>
      </c>
      <c r="I1141" s="63">
        <f>IF(AND(H1141&lt;&gt;"",OR('Historia wózka'!$B$4="",F1141='Historia wózka'!$B$4),A1141&gt;='Historia wózka'!$B$5,A1141&lt;='Historia wózka'!$B$6),A1141+0.9+(5000-ROW())/10000000,0)</f>
        <v/>
      </c>
      <c r="J1141" s="63">
        <f>Ustawienia!$B$8&amp;""</f>
        <v/>
      </c>
      <c r="K1141" s="63">
        <f>IF(H1141="","",COUNTIFS('Zgłoszenia'!$B$5:$B$504,F1141,'Zgłoszenia'!$D$5:$D$504,"&gt;="&amp;A1141,'Zgłoszenia'!$D$5:$D$504,"&lt;="&amp;(A1141+1)))</f>
        <v/>
      </c>
      <c r="L1141" s="63">
        <f>IF(OR(H1141="",K1141=0),"—",IF(ISNUMBER(MATCH(H1141,'Zgłoszenia'!$S$5:$S$504,0)),RIGHT("0"&amp;DAY(A1141),2)&amp;"."&amp;RIGHT("0"&amp;MONTH(A1141),2)&amp;"."&amp;YEAR(A1141)&amp;": "&amp;INDEX('Zgłoszenia'!$H$5:$H$504,MATCH(H1141,'Zgłoszenia'!$S$5:$S$504,0)),RIGHT("0"&amp;DAY((A1141+1)),2)&amp;"."&amp;RIGHT("0"&amp;MONTH((A1141+1)),2)&amp;"."&amp;YEAR((A1141+1))&amp;": "&amp;INDEX('Zgłoszenia'!$H$5:$H$504,MATCH(F1141&amp;"|"&amp;(A1141+1),'Zgłoszenia'!$S$5:$S$504,0)))&amp;IF(K1141&gt;1," (+"&amp;(K1141-1)&amp;")",""))</f>
        <v/>
      </c>
      <c r="M1141" s="63" t="n">
        <v>15</v>
      </c>
      <c r="N1141" s="2" t="n"/>
      <c r="O1141" s="2" t="n"/>
    </row>
    <row r="1142">
      <c r="A1142" s="62">
        <f>IF('15'!$C$1="","",'15'!$C$1)</f>
        <v/>
      </c>
      <c r="B1142" s="63">
        <f>Ustawienia!$A$8&amp;""</f>
        <v/>
      </c>
      <c r="C1142" s="63">
        <f>Ustawienia!$A$15&amp;""</f>
        <v/>
      </c>
      <c r="D1142" s="63" t="n">
        <v>1</v>
      </c>
      <c r="E1142" s="63">
        <f>IF('15'!B13="","",TRIM('15'!B13&amp;""))</f>
        <v/>
      </c>
      <c r="F1142" s="63">
        <f>IF('15'!C13="","",'15'!C13)</f>
        <v/>
      </c>
      <c r="G1142" s="63">
        <f>'15'!D13&amp;""</f>
        <v/>
      </c>
      <c r="H1142" s="63">
        <f>IF(OR(A1142="",F1142=""),"",F1142&amp;"|"&amp;A1142)</f>
        <v/>
      </c>
      <c r="I1142" s="63">
        <f>IF(AND(H1142&lt;&gt;"",OR('Historia wózka'!$B$4="",F1142='Historia wózka'!$B$4),A1142&gt;='Historia wózka'!$B$5,A1142&lt;='Historia wózka'!$B$6),A1142+0.9+(5000-ROW())/10000000,0)</f>
        <v/>
      </c>
      <c r="J1142" s="63">
        <f>Ustawienia!$B$8&amp;""</f>
        <v/>
      </c>
      <c r="K1142" s="63">
        <f>IF(H1142="","",COUNTIFS('Zgłoszenia'!$B$5:$B$504,F1142,'Zgłoszenia'!$D$5:$D$504,"&gt;="&amp;A1142,'Zgłoszenia'!$D$5:$D$504,"&lt;="&amp;(A1142+1)))</f>
        <v/>
      </c>
      <c r="L1142" s="63">
        <f>IF(OR(H1142="",K1142=0),"—",IF(ISNUMBER(MATCH(H1142,'Zgłoszenia'!$S$5:$S$504,0)),RIGHT("0"&amp;DAY(A1142),2)&amp;"."&amp;RIGHT("0"&amp;MONTH(A1142),2)&amp;"."&amp;YEAR(A1142)&amp;": "&amp;INDEX('Zgłoszenia'!$H$5:$H$504,MATCH(H1142,'Zgłoszenia'!$S$5:$S$504,0)),RIGHT("0"&amp;DAY((A1142+1)),2)&amp;"."&amp;RIGHT("0"&amp;MONTH((A1142+1)),2)&amp;"."&amp;YEAR((A1142+1))&amp;": "&amp;INDEX('Zgłoszenia'!$H$5:$H$504,MATCH(F1142&amp;"|"&amp;(A1142+1),'Zgłoszenia'!$S$5:$S$504,0)))&amp;IF(K1142&gt;1," (+"&amp;(K1142-1)&amp;")",""))</f>
        <v/>
      </c>
      <c r="M1142" s="63" t="n">
        <v>15</v>
      </c>
      <c r="N1142" s="2" t="n"/>
      <c r="O1142" s="2" t="n"/>
    </row>
    <row r="1143">
      <c r="A1143" s="62">
        <f>IF('15'!$C$1="","",'15'!$C$1)</f>
        <v/>
      </c>
      <c r="B1143" s="63">
        <f>Ustawienia!$A$8&amp;""</f>
        <v/>
      </c>
      <c r="C1143" s="63">
        <f>Ustawienia!$A$15&amp;""</f>
        <v/>
      </c>
      <c r="D1143" s="63" t="n">
        <v>2</v>
      </c>
      <c r="E1143" s="63">
        <f>IF('15'!B14="","",TRIM('15'!B14&amp;""))</f>
        <v/>
      </c>
      <c r="F1143" s="63">
        <f>IF('15'!C14="","",'15'!C14)</f>
        <v/>
      </c>
      <c r="G1143" s="63">
        <f>'15'!D14&amp;""</f>
        <v/>
      </c>
      <c r="H1143" s="63">
        <f>IF(OR(A1143="",F1143=""),"",F1143&amp;"|"&amp;A1143)</f>
        <v/>
      </c>
      <c r="I1143" s="63">
        <f>IF(AND(H1143&lt;&gt;"",OR('Historia wózka'!$B$4="",F1143='Historia wózka'!$B$4),A1143&gt;='Historia wózka'!$B$5,A1143&lt;='Historia wózka'!$B$6),A1143+0.9+(5000-ROW())/10000000,0)</f>
        <v/>
      </c>
      <c r="J1143" s="63">
        <f>Ustawienia!$B$8&amp;""</f>
        <v/>
      </c>
      <c r="K1143" s="63">
        <f>IF(H1143="","",COUNTIFS('Zgłoszenia'!$B$5:$B$504,F1143,'Zgłoszenia'!$D$5:$D$504,"&gt;="&amp;A1143,'Zgłoszenia'!$D$5:$D$504,"&lt;="&amp;(A1143+1)))</f>
        <v/>
      </c>
      <c r="L1143" s="63">
        <f>IF(OR(H1143="",K1143=0),"—",IF(ISNUMBER(MATCH(H1143,'Zgłoszenia'!$S$5:$S$504,0)),RIGHT("0"&amp;DAY(A1143),2)&amp;"."&amp;RIGHT("0"&amp;MONTH(A1143),2)&amp;"."&amp;YEAR(A1143)&amp;": "&amp;INDEX('Zgłoszenia'!$H$5:$H$504,MATCH(H1143,'Zgłoszenia'!$S$5:$S$504,0)),RIGHT("0"&amp;DAY((A1143+1)),2)&amp;"."&amp;RIGHT("0"&amp;MONTH((A1143+1)),2)&amp;"."&amp;YEAR((A1143+1))&amp;": "&amp;INDEX('Zgłoszenia'!$H$5:$H$504,MATCH(F1143&amp;"|"&amp;(A1143+1),'Zgłoszenia'!$S$5:$S$504,0)))&amp;IF(K1143&gt;1," (+"&amp;(K1143-1)&amp;")",""))</f>
        <v/>
      </c>
      <c r="M1143" s="63" t="n">
        <v>15</v>
      </c>
      <c r="N1143" s="2" t="n"/>
      <c r="O1143" s="2" t="n"/>
    </row>
    <row r="1144">
      <c r="A1144" s="62">
        <f>IF('15'!$C$1="","",'15'!$C$1)</f>
        <v/>
      </c>
      <c r="B1144" s="63">
        <f>Ustawienia!$A$8&amp;""</f>
        <v/>
      </c>
      <c r="C1144" s="63">
        <f>Ustawienia!$A$15&amp;""</f>
        <v/>
      </c>
      <c r="D1144" s="63" t="n">
        <v>3</v>
      </c>
      <c r="E1144" s="63">
        <f>IF('15'!B15="","",TRIM('15'!B15&amp;""))</f>
        <v/>
      </c>
      <c r="F1144" s="63">
        <f>IF('15'!C15="","",'15'!C15)</f>
        <v/>
      </c>
      <c r="G1144" s="63">
        <f>'15'!D15&amp;""</f>
        <v/>
      </c>
      <c r="H1144" s="63">
        <f>IF(OR(A1144="",F1144=""),"",F1144&amp;"|"&amp;A1144)</f>
        <v/>
      </c>
      <c r="I1144" s="63">
        <f>IF(AND(H1144&lt;&gt;"",OR('Historia wózka'!$B$4="",F1144='Historia wózka'!$B$4),A1144&gt;='Historia wózka'!$B$5,A1144&lt;='Historia wózka'!$B$6),A1144+0.9+(5000-ROW())/10000000,0)</f>
        <v/>
      </c>
      <c r="J1144" s="63">
        <f>Ustawienia!$B$8&amp;""</f>
        <v/>
      </c>
      <c r="K1144" s="63">
        <f>IF(H1144="","",COUNTIFS('Zgłoszenia'!$B$5:$B$504,F1144,'Zgłoszenia'!$D$5:$D$504,"&gt;="&amp;A1144,'Zgłoszenia'!$D$5:$D$504,"&lt;="&amp;(A1144+1)))</f>
        <v/>
      </c>
      <c r="L1144" s="63">
        <f>IF(OR(H1144="",K1144=0),"—",IF(ISNUMBER(MATCH(H1144,'Zgłoszenia'!$S$5:$S$504,0)),RIGHT("0"&amp;DAY(A1144),2)&amp;"."&amp;RIGHT("0"&amp;MONTH(A1144),2)&amp;"."&amp;YEAR(A1144)&amp;": "&amp;INDEX('Zgłoszenia'!$H$5:$H$504,MATCH(H1144,'Zgłoszenia'!$S$5:$S$504,0)),RIGHT("0"&amp;DAY((A1144+1)),2)&amp;"."&amp;RIGHT("0"&amp;MONTH((A1144+1)),2)&amp;"."&amp;YEAR((A1144+1))&amp;": "&amp;INDEX('Zgłoszenia'!$H$5:$H$504,MATCH(F1144&amp;"|"&amp;(A1144+1),'Zgłoszenia'!$S$5:$S$504,0)))&amp;IF(K1144&gt;1," (+"&amp;(K1144-1)&amp;")",""))</f>
        <v/>
      </c>
      <c r="M1144" s="63" t="n">
        <v>15</v>
      </c>
      <c r="N1144" s="2" t="n"/>
      <c r="O1144" s="2" t="n"/>
    </row>
    <row r="1145">
      <c r="A1145" s="62">
        <f>IF('15'!$C$1="","",'15'!$C$1)</f>
        <v/>
      </c>
      <c r="B1145" s="63">
        <f>Ustawienia!$A$8&amp;""</f>
        <v/>
      </c>
      <c r="C1145" s="63">
        <f>Ustawienia!$A$15&amp;""</f>
        <v/>
      </c>
      <c r="D1145" s="63" t="n">
        <v>4</v>
      </c>
      <c r="E1145" s="63">
        <f>IF('15'!B16="","",TRIM('15'!B16&amp;""))</f>
        <v/>
      </c>
      <c r="F1145" s="63">
        <f>IF('15'!C16="","",'15'!C16)</f>
        <v/>
      </c>
      <c r="G1145" s="63">
        <f>'15'!D16&amp;""</f>
        <v/>
      </c>
      <c r="H1145" s="63">
        <f>IF(OR(A1145="",F1145=""),"",F1145&amp;"|"&amp;A1145)</f>
        <v/>
      </c>
      <c r="I1145" s="63">
        <f>IF(AND(H1145&lt;&gt;"",OR('Historia wózka'!$B$4="",F1145='Historia wózka'!$B$4),A1145&gt;='Historia wózka'!$B$5,A1145&lt;='Historia wózka'!$B$6),A1145+0.9+(5000-ROW())/10000000,0)</f>
        <v/>
      </c>
      <c r="J1145" s="63">
        <f>Ustawienia!$B$8&amp;""</f>
        <v/>
      </c>
      <c r="K1145" s="63">
        <f>IF(H1145="","",COUNTIFS('Zgłoszenia'!$B$5:$B$504,F1145,'Zgłoszenia'!$D$5:$D$504,"&gt;="&amp;A1145,'Zgłoszenia'!$D$5:$D$504,"&lt;="&amp;(A1145+1)))</f>
        <v/>
      </c>
      <c r="L1145" s="63">
        <f>IF(OR(H1145="",K1145=0),"—",IF(ISNUMBER(MATCH(H1145,'Zgłoszenia'!$S$5:$S$504,0)),RIGHT("0"&amp;DAY(A1145),2)&amp;"."&amp;RIGHT("0"&amp;MONTH(A1145),2)&amp;"."&amp;YEAR(A1145)&amp;": "&amp;INDEX('Zgłoszenia'!$H$5:$H$504,MATCH(H1145,'Zgłoszenia'!$S$5:$S$504,0)),RIGHT("0"&amp;DAY((A1145+1)),2)&amp;"."&amp;RIGHT("0"&amp;MONTH((A1145+1)),2)&amp;"."&amp;YEAR((A1145+1))&amp;": "&amp;INDEX('Zgłoszenia'!$H$5:$H$504,MATCH(F1145&amp;"|"&amp;(A1145+1),'Zgłoszenia'!$S$5:$S$504,0)))&amp;IF(K1145&gt;1," (+"&amp;(K1145-1)&amp;")",""))</f>
        <v/>
      </c>
      <c r="M1145" s="63" t="n">
        <v>15</v>
      </c>
      <c r="N1145" s="2" t="n"/>
      <c r="O1145" s="2" t="n"/>
    </row>
    <row r="1146">
      <c r="A1146" s="62">
        <f>IF('15'!$C$1="","",'15'!$C$1)</f>
        <v/>
      </c>
      <c r="B1146" s="63">
        <f>Ustawienia!$A$8&amp;""</f>
        <v/>
      </c>
      <c r="C1146" s="63">
        <f>Ustawienia!$A$15&amp;""</f>
        <v/>
      </c>
      <c r="D1146" s="63" t="n">
        <v>5</v>
      </c>
      <c r="E1146" s="63">
        <f>IF('15'!B17="","",TRIM('15'!B17&amp;""))</f>
        <v/>
      </c>
      <c r="F1146" s="63">
        <f>IF('15'!C17="","",'15'!C17)</f>
        <v/>
      </c>
      <c r="G1146" s="63">
        <f>'15'!D17&amp;""</f>
        <v/>
      </c>
      <c r="H1146" s="63">
        <f>IF(OR(A1146="",F1146=""),"",F1146&amp;"|"&amp;A1146)</f>
        <v/>
      </c>
      <c r="I1146" s="63">
        <f>IF(AND(H1146&lt;&gt;"",OR('Historia wózka'!$B$4="",F1146='Historia wózka'!$B$4),A1146&gt;='Historia wózka'!$B$5,A1146&lt;='Historia wózka'!$B$6),A1146+0.9+(5000-ROW())/10000000,0)</f>
        <v/>
      </c>
      <c r="J1146" s="63">
        <f>Ustawienia!$B$8&amp;""</f>
        <v/>
      </c>
      <c r="K1146" s="63">
        <f>IF(H1146="","",COUNTIFS('Zgłoszenia'!$B$5:$B$504,F1146,'Zgłoszenia'!$D$5:$D$504,"&gt;="&amp;A1146,'Zgłoszenia'!$D$5:$D$504,"&lt;="&amp;(A1146+1)))</f>
        <v/>
      </c>
      <c r="L1146" s="63">
        <f>IF(OR(H1146="",K1146=0),"—",IF(ISNUMBER(MATCH(H1146,'Zgłoszenia'!$S$5:$S$504,0)),RIGHT("0"&amp;DAY(A1146),2)&amp;"."&amp;RIGHT("0"&amp;MONTH(A1146),2)&amp;"."&amp;YEAR(A1146)&amp;": "&amp;INDEX('Zgłoszenia'!$H$5:$H$504,MATCH(H1146,'Zgłoszenia'!$S$5:$S$504,0)),RIGHT("0"&amp;DAY((A1146+1)),2)&amp;"."&amp;RIGHT("0"&amp;MONTH((A1146+1)),2)&amp;"."&amp;YEAR((A1146+1))&amp;": "&amp;INDEX('Zgłoszenia'!$H$5:$H$504,MATCH(F1146&amp;"|"&amp;(A1146+1),'Zgłoszenia'!$S$5:$S$504,0)))&amp;IF(K1146&gt;1," (+"&amp;(K1146-1)&amp;")",""))</f>
        <v/>
      </c>
      <c r="M1146" s="63" t="n">
        <v>15</v>
      </c>
      <c r="N1146" s="2" t="n"/>
      <c r="O1146" s="2" t="n"/>
    </row>
    <row r="1147">
      <c r="A1147" s="62">
        <f>IF('15'!$C$1="","",'15'!$C$1)</f>
        <v/>
      </c>
      <c r="B1147" s="63">
        <f>Ustawienia!$A$8&amp;""</f>
        <v/>
      </c>
      <c r="C1147" s="63">
        <f>Ustawienia!$A$15&amp;""</f>
        <v/>
      </c>
      <c r="D1147" s="63" t="n">
        <v>6</v>
      </c>
      <c r="E1147" s="63">
        <f>IF('15'!B18="","",TRIM('15'!B18&amp;""))</f>
        <v/>
      </c>
      <c r="F1147" s="63">
        <f>IF('15'!C18="","",'15'!C18)</f>
        <v/>
      </c>
      <c r="G1147" s="63">
        <f>'15'!D18&amp;""</f>
        <v/>
      </c>
      <c r="H1147" s="63">
        <f>IF(OR(A1147="",F1147=""),"",F1147&amp;"|"&amp;A1147)</f>
        <v/>
      </c>
      <c r="I1147" s="63">
        <f>IF(AND(H1147&lt;&gt;"",OR('Historia wózka'!$B$4="",F1147='Historia wózka'!$B$4),A1147&gt;='Historia wózka'!$B$5,A1147&lt;='Historia wózka'!$B$6),A1147+0.9+(5000-ROW())/10000000,0)</f>
        <v/>
      </c>
      <c r="J1147" s="63">
        <f>Ustawienia!$B$8&amp;""</f>
        <v/>
      </c>
      <c r="K1147" s="63">
        <f>IF(H1147="","",COUNTIFS('Zgłoszenia'!$B$5:$B$504,F1147,'Zgłoszenia'!$D$5:$D$504,"&gt;="&amp;A1147,'Zgłoszenia'!$D$5:$D$504,"&lt;="&amp;(A1147+1)))</f>
        <v/>
      </c>
      <c r="L1147" s="63">
        <f>IF(OR(H1147="",K1147=0),"—",IF(ISNUMBER(MATCH(H1147,'Zgłoszenia'!$S$5:$S$504,0)),RIGHT("0"&amp;DAY(A1147),2)&amp;"."&amp;RIGHT("0"&amp;MONTH(A1147),2)&amp;"."&amp;YEAR(A1147)&amp;": "&amp;INDEX('Zgłoszenia'!$H$5:$H$504,MATCH(H1147,'Zgłoszenia'!$S$5:$S$504,0)),RIGHT("0"&amp;DAY((A1147+1)),2)&amp;"."&amp;RIGHT("0"&amp;MONTH((A1147+1)),2)&amp;"."&amp;YEAR((A1147+1))&amp;": "&amp;INDEX('Zgłoszenia'!$H$5:$H$504,MATCH(F1147&amp;"|"&amp;(A1147+1),'Zgłoszenia'!$S$5:$S$504,0)))&amp;IF(K1147&gt;1," (+"&amp;(K1147-1)&amp;")",""))</f>
        <v/>
      </c>
      <c r="M1147" s="63" t="n">
        <v>15</v>
      </c>
      <c r="N1147" s="2" t="n"/>
      <c r="O1147" s="2" t="n"/>
    </row>
    <row r="1148">
      <c r="A1148" s="62">
        <f>IF('15'!$C$1="","",'15'!$C$1)</f>
        <v/>
      </c>
      <c r="B1148" s="63">
        <f>Ustawienia!$A$8&amp;""</f>
        <v/>
      </c>
      <c r="C1148" s="63">
        <f>Ustawienia!$A$15&amp;""</f>
        <v/>
      </c>
      <c r="D1148" s="63" t="n">
        <v>7</v>
      </c>
      <c r="E1148" s="63">
        <f>IF('15'!B19="","",TRIM('15'!B19&amp;""))</f>
        <v/>
      </c>
      <c r="F1148" s="63">
        <f>IF('15'!C19="","",'15'!C19)</f>
        <v/>
      </c>
      <c r="G1148" s="63">
        <f>'15'!D19&amp;""</f>
        <v/>
      </c>
      <c r="H1148" s="63">
        <f>IF(OR(A1148="",F1148=""),"",F1148&amp;"|"&amp;A1148)</f>
        <v/>
      </c>
      <c r="I1148" s="63">
        <f>IF(AND(H1148&lt;&gt;"",OR('Historia wózka'!$B$4="",F1148='Historia wózka'!$B$4),A1148&gt;='Historia wózka'!$B$5,A1148&lt;='Historia wózka'!$B$6),A1148+0.9+(5000-ROW())/10000000,0)</f>
        <v/>
      </c>
      <c r="J1148" s="63">
        <f>Ustawienia!$B$8&amp;""</f>
        <v/>
      </c>
      <c r="K1148" s="63">
        <f>IF(H1148="","",COUNTIFS('Zgłoszenia'!$B$5:$B$504,F1148,'Zgłoszenia'!$D$5:$D$504,"&gt;="&amp;A1148,'Zgłoszenia'!$D$5:$D$504,"&lt;="&amp;(A1148+1)))</f>
        <v/>
      </c>
      <c r="L1148" s="63">
        <f>IF(OR(H1148="",K1148=0),"—",IF(ISNUMBER(MATCH(H1148,'Zgłoszenia'!$S$5:$S$504,0)),RIGHT("0"&amp;DAY(A1148),2)&amp;"."&amp;RIGHT("0"&amp;MONTH(A1148),2)&amp;"."&amp;YEAR(A1148)&amp;": "&amp;INDEX('Zgłoszenia'!$H$5:$H$504,MATCH(H1148,'Zgłoszenia'!$S$5:$S$504,0)),RIGHT("0"&amp;DAY((A1148+1)),2)&amp;"."&amp;RIGHT("0"&amp;MONTH((A1148+1)),2)&amp;"."&amp;YEAR((A1148+1))&amp;": "&amp;INDEX('Zgłoszenia'!$H$5:$H$504,MATCH(F1148&amp;"|"&amp;(A1148+1),'Zgłoszenia'!$S$5:$S$504,0)))&amp;IF(K1148&gt;1," (+"&amp;(K1148-1)&amp;")",""))</f>
        <v/>
      </c>
      <c r="M1148" s="63" t="n">
        <v>15</v>
      </c>
      <c r="N1148" s="2" t="n"/>
      <c r="O1148" s="2" t="n"/>
    </row>
    <row r="1149">
      <c r="A1149" s="62">
        <f>IF('15'!$C$1="","",'15'!$C$1)</f>
        <v/>
      </c>
      <c r="B1149" s="63">
        <f>Ustawienia!$A$8&amp;""</f>
        <v/>
      </c>
      <c r="C1149" s="63">
        <f>Ustawienia!$A$15&amp;""</f>
        <v/>
      </c>
      <c r="D1149" s="63" t="n">
        <v>8</v>
      </c>
      <c r="E1149" s="63">
        <f>IF('15'!B20="","",TRIM('15'!B20&amp;""))</f>
        <v/>
      </c>
      <c r="F1149" s="63">
        <f>IF('15'!C20="","",'15'!C20)</f>
        <v/>
      </c>
      <c r="G1149" s="63">
        <f>'15'!D20&amp;""</f>
        <v/>
      </c>
      <c r="H1149" s="63">
        <f>IF(OR(A1149="",F1149=""),"",F1149&amp;"|"&amp;A1149)</f>
        <v/>
      </c>
      <c r="I1149" s="63">
        <f>IF(AND(H1149&lt;&gt;"",OR('Historia wózka'!$B$4="",F1149='Historia wózka'!$B$4),A1149&gt;='Historia wózka'!$B$5,A1149&lt;='Historia wózka'!$B$6),A1149+0.9+(5000-ROW())/10000000,0)</f>
        <v/>
      </c>
      <c r="J1149" s="63">
        <f>Ustawienia!$B$8&amp;""</f>
        <v/>
      </c>
      <c r="K1149" s="63">
        <f>IF(H1149="","",COUNTIFS('Zgłoszenia'!$B$5:$B$504,F1149,'Zgłoszenia'!$D$5:$D$504,"&gt;="&amp;A1149,'Zgłoszenia'!$D$5:$D$504,"&lt;="&amp;(A1149+1)))</f>
        <v/>
      </c>
      <c r="L1149" s="63">
        <f>IF(OR(H1149="",K1149=0),"—",IF(ISNUMBER(MATCH(H1149,'Zgłoszenia'!$S$5:$S$504,0)),RIGHT("0"&amp;DAY(A1149),2)&amp;"."&amp;RIGHT("0"&amp;MONTH(A1149),2)&amp;"."&amp;YEAR(A1149)&amp;": "&amp;INDEX('Zgłoszenia'!$H$5:$H$504,MATCH(H1149,'Zgłoszenia'!$S$5:$S$504,0)),RIGHT("0"&amp;DAY((A1149+1)),2)&amp;"."&amp;RIGHT("0"&amp;MONTH((A1149+1)),2)&amp;"."&amp;YEAR((A1149+1))&amp;": "&amp;INDEX('Zgłoszenia'!$H$5:$H$504,MATCH(F1149&amp;"|"&amp;(A1149+1),'Zgłoszenia'!$S$5:$S$504,0)))&amp;IF(K1149&gt;1," (+"&amp;(K1149-1)&amp;")",""))</f>
        <v/>
      </c>
      <c r="M1149" s="63" t="n">
        <v>15</v>
      </c>
      <c r="N1149" s="2" t="n"/>
      <c r="O1149" s="2" t="n"/>
    </row>
    <row r="1150">
      <c r="A1150" s="62">
        <f>IF('15'!$C$1="","",'15'!$C$1)</f>
        <v/>
      </c>
      <c r="B1150" s="63">
        <f>Ustawienia!$A$8&amp;""</f>
        <v/>
      </c>
      <c r="C1150" s="63">
        <f>Ustawienia!$A$16&amp;""</f>
        <v/>
      </c>
      <c r="D1150" s="63" t="n">
        <v>1</v>
      </c>
      <c r="E1150" s="63">
        <f>IF('15'!B22="","",TRIM('15'!B22&amp;""))</f>
        <v/>
      </c>
      <c r="F1150" s="63">
        <f>IF('15'!C22="","",'15'!C22)</f>
        <v/>
      </c>
      <c r="G1150" s="63">
        <f>'15'!D22&amp;""</f>
        <v/>
      </c>
      <c r="H1150" s="63">
        <f>IF(OR(A1150="",F1150=""),"",F1150&amp;"|"&amp;A1150)</f>
        <v/>
      </c>
      <c r="I1150" s="63">
        <f>IF(AND(H1150&lt;&gt;"",OR('Historia wózka'!$B$4="",F1150='Historia wózka'!$B$4),A1150&gt;='Historia wózka'!$B$5,A1150&lt;='Historia wózka'!$B$6),A1150+0.9+(5000-ROW())/10000000,0)</f>
        <v/>
      </c>
      <c r="J1150" s="63">
        <f>Ustawienia!$B$8&amp;""</f>
        <v/>
      </c>
      <c r="K1150" s="63">
        <f>IF(H1150="","",COUNTIFS('Zgłoszenia'!$B$5:$B$504,F1150,'Zgłoszenia'!$D$5:$D$504,"&gt;="&amp;A1150,'Zgłoszenia'!$D$5:$D$504,"&lt;="&amp;(A1150+1)))</f>
        <v/>
      </c>
      <c r="L1150" s="63">
        <f>IF(OR(H1150="",K1150=0),"—",IF(ISNUMBER(MATCH(H1150,'Zgłoszenia'!$S$5:$S$504,0)),RIGHT("0"&amp;DAY(A1150),2)&amp;"."&amp;RIGHT("0"&amp;MONTH(A1150),2)&amp;"."&amp;YEAR(A1150)&amp;": "&amp;INDEX('Zgłoszenia'!$H$5:$H$504,MATCH(H1150,'Zgłoszenia'!$S$5:$S$504,0)),RIGHT("0"&amp;DAY((A1150+1)),2)&amp;"."&amp;RIGHT("0"&amp;MONTH((A1150+1)),2)&amp;"."&amp;YEAR((A1150+1))&amp;": "&amp;INDEX('Zgłoszenia'!$H$5:$H$504,MATCH(F1150&amp;"|"&amp;(A1150+1),'Zgłoszenia'!$S$5:$S$504,0)))&amp;IF(K1150&gt;1," (+"&amp;(K1150-1)&amp;")",""))</f>
        <v/>
      </c>
      <c r="M1150" s="63" t="n">
        <v>15</v>
      </c>
      <c r="N1150" s="2" t="n"/>
      <c r="O1150" s="2" t="n"/>
    </row>
    <row r="1151">
      <c r="A1151" s="62">
        <f>IF('15'!$C$1="","",'15'!$C$1)</f>
        <v/>
      </c>
      <c r="B1151" s="63">
        <f>Ustawienia!$A$8&amp;""</f>
        <v/>
      </c>
      <c r="C1151" s="63">
        <f>Ustawienia!$A$16&amp;""</f>
        <v/>
      </c>
      <c r="D1151" s="63" t="n">
        <v>2</v>
      </c>
      <c r="E1151" s="63">
        <f>IF('15'!B23="","",TRIM('15'!B23&amp;""))</f>
        <v/>
      </c>
      <c r="F1151" s="63">
        <f>IF('15'!C23="","",'15'!C23)</f>
        <v/>
      </c>
      <c r="G1151" s="63">
        <f>'15'!D23&amp;""</f>
        <v/>
      </c>
      <c r="H1151" s="63">
        <f>IF(OR(A1151="",F1151=""),"",F1151&amp;"|"&amp;A1151)</f>
        <v/>
      </c>
      <c r="I1151" s="63">
        <f>IF(AND(H1151&lt;&gt;"",OR('Historia wózka'!$B$4="",F1151='Historia wózka'!$B$4),A1151&gt;='Historia wózka'!$B$5,A1151&lt;='Historia wózka'!$B$6),A1151+0.9+(5000-ROW())/10000000,0)</f>
        <v/>
      </c>
      <c r="J1151" s="63">
        <f>Ustawienia!$B$8&amp;""</f>
        <v/>
      </c>
      <c r="K1151" s="63">
        <f>IF(H1151="","",COUNTIFS('Zgłoszenia'!$B$5:$B$504,F1151,'Zgłoszenia'!$D$5:$D$504,"&gt;="&amp;A1151,'Zgłoszenia'!$D$5:$D$504,"&lt;="&amp;(A1151+1)))</f>
        <v/>
      </c>
      <c r="L1151" s="63">
        <f>IF(OR(H1151="",K1151=0),"—",IF(ISNUMBER(MATCH(H1151,'Zgłoszenia'!$S$5:$S$504,0)),RIGHT("0"&amp;DAY(A1151),2)&amp;"."&amp;RIGHT("0"&amp;MONTH(A1151),2)&amp;"."&amp;YEAR(A1151)&amp;": "&amp;INDEX('Zgłoszenia'!$H$5:$H$504,MATCH(H1151,'Zgłoszenia'!$S$5:$S$504,0)),RIGHT("0"&amp;DAY((A1151+1)),2)&amp;"."&amp;RIGHT("0"&amp;MONTH((A1151+1)),2)&amp;"."&amp;YEAR((A1151+1))&amp;": "&amp;INDEX('Zgłoszenia'!$H$5:$H$504,MATCH(F1151&amp;"|"&amp;(A1151+1),'Zgłoszenia'!$S$5:$S$504,0)))&amp;IF(K1151&gt;1," (+"&amp;(K1151-1)&amp;")",""))</f>
        <v/>
      </c>
      <c r="M1151" s="63" t="n">
        <v>15</v>
      </c>
      <c r="N1151" s="2" t="n"/>
      <c r="O1151" s="2" t="n"/>
    </row>
    <row r="1152">
      <c r="A1152" s="62">
        <f>IF('15'!$C$1="","",'15'!$C$1)</f>
        <v/>
      </c>
      <c r="B1152" s="63">
        <f>Ustawienia!$A$8&amp;""</f>
        <v/>
      </c>
      <c r="C1152" s="63">
        <f>Ustawienia!$A$16&amp;""</f>
        <v/>
      </c>
      <c r="D1152" s="63" t="n">
        <v>3</v>
      </c>
      <c r="E1152" s="63">
        <f>IF('15'!B24="","",TRIM('15'!B24&amp;""))</f>
        <v/>
      </c>
      <c r="F1152" s="63">
        <f>IF('15'!C24="","",'15'!C24)</f>
        <v/>
      </c>
      <c r="G1152" s="63">
        <f>'15'!D24&amp;""</f>
        <v/>
      </c>
      <c r="H1152" s="63">
        <f>IF(OR(A1152="",F1152=""),"",F1152&amp;"|"&amp;A1152)</f>
        <v/>
      </c>
      <c r="I1152" s="63">
        <f>IF(AND(H1152&lt;&gt;"",OR('Historia wózka'!$B$4="",F1152='Historia wózka'!$B$4),A1152&gt;='Historia wózka'!$B$5,A1152&lt;='Historia wózka'!$B$6),A1152+0.9+(5000-ROW())/10000000,0)</f>
        <v/>
      </c>
      <c r="J1152" s="63">
        <f>Ustawienia!$B$8&amp;""</f>
        <v/>
      </c>
      <c r="K1152" s="63">
        <f>IF(H1152="","",COUNTIFS('Zgłoszenia'!$B$5:$B$504,F1152,'Zgłoszenia'!$D$5:$D$504,"&gt;="&amp;A1152,'Zgłoszenia'!$D$5:$D$504,"&lt;="&amp;(A1152+1)))</f>
        <v/>
      </c>
      <c r="L1152" s="63">
        <f>IF(OR(H1152="",K1152=0),"—",IF(ISNUMBER(MATCH(H1152,'Zgłoszenia'!$S$5:$S$504,0)),RIGHT("0"&amp;DAY(A1152),2)&amp;"."&amp;RIGHT("0"&amp;MONTH(A1152),2)&amp;"."&amp;YEAR(A1152)&amp;": "&amp;INDEX('Zgłoszenia'!$H$5:$H$504,MATCH(H1152,'Zgłoszenia'!$S$5:$S$504,0)),RIGHT("0"&amp;DAY((A1152+1)),2)&amp;"."&amp;RIGHT("0"&amp;MONTH((A1152+1)),2)&amp;"."&amp;YEAR((A1152+1))&amp;": "&amp;INDEX('Zgłoszenia'!$H$5:$H$504,MATCH(F1152&amp;"|"&amp;(A1152+1),'Zgłoszenia'!$S$5:$S$504,0)))&amp;IF(K1152&gt;1," (+"&amp;(K1152-1)&amp;")",""))</f>
        <v/>
      </c>
      <c r="M1152" s="63" t="n">
        <v>15</v>
      </c>
      <c r="N1152" s="2" t="n"/>
      <c r="O1152" s="2" t="n"/>
    </row>
    <row r="1153">
      <c r="A1153" s="62">
        <f>IF('15'!$C$1="","",'15'!$C$1)</f>
        <v/>
      </c>
      <c r="B1153" s="63">
        <f>Ustawienia!$A$8&amp;""</f>
        <v/>
      </c>
      <c r="C1153" s="63">
        <f>Ustawienia!$A$16&amp;""</f>
        <v/>
      </c>
      <c r="D1153" s="63" t="n">
        <v>4</v>
      </c>
      <c r="E1153" s="63">
        <f>IF('15'!B25="","",TRIM('15'!B25&amp;""))</f>
        <v/>
      </c>
      <c r="F1153" s="63">
        <f>IF('15'!C25="","",'15'!C25)</f>
        <v/>
      </c>
      <c r="G1153" s="63">
        <f>'15'!D25&amp;""</f>
        <v/>
      </c>
      <c r="H1153" s="63">
        <f>IF(OR(A1153="",F1153=""),"",F1153&amp;"|"&amp;A1153)</f>
        <v/>
      </c>
      <c r="I1153" s="63">
        <f>IF(AND(H1153&lt;&gt;"",OR('Historia wózka'!$B$4="",F1153='Historia wózka'!$B$4),A1153&gt;='Historia wózka'!$B$5,A1153&lt;='Historia wózka'!$B$6),A1153+0.9+(5000-ROW())/10000000,0)</f>
        <v/>
      </c>
      <c r="J1153" s="63">
        <f>Ustawienia!$B$8&amp;""</f>
        <v/>
      </c>
      <c r="K1153" s="63">
        <f>IF(H1153="","",COUNTIFS('Zgłoszenia'!$B$5:$B$504,F1153,'Zgłoszenia'!$D$5:$D$504,"&gt;="&amp;A1153,'Zgłoszenia'!$D$5:$D$504,"&lt;="&amp;(A1153+1)))</f>
        <v/>
      </c>
      <c r="L1153" s="63">
        <f>IF(OR(H1153="",K1153=0),"—",IF(ISNUMBER(MATCH(H1153,'Zgłoszenia'!$S$5:$S$504,0)),RIGHT("0"&amp;DAY(A1153),2)&amp;"."&amp;RIGHT("0"&amp;MONTH(A1153),2)&amp;"."&amp;YEAR(A1153)&amp;": "&amp;INDEX('Zgłoszenia'!$H$5:$H$504,MATCH(H1153,'Zgłoszenia'!$S$5:$S$504,0)),RIGHT("0"&amp;DAY((A1153+1)),2)&amp;"."&amp;RIGHT("0"&amp;MONTH((A1153+1)),2)&amp;"."&amp;YEAR((A1153+1))&amp;": "&amp;INDEX('Zgłoszenia'!$H$5:$H$504,MATCH(F1153&amp;"|"&amp;(A1153+1),'Zgłoszenia'!$S$5:$S$504,0)))&amp;IF(K1153&gt;1," (+"&amp;(K1153-1)&amp;")",""))</f>
        <v/>
      </c>
      <c r="M1153" s="63" t="n">
        <v>15</v>
      </c>
      <c r="N1153" s="2" t="n"/>
      <c r="O1153" s="2" t="n"/>
    </row>
    <row r="1154">
      <c r="A1154" s="62">
        <f>IF('15'!$C$1="","",'15'!$C$1)</f>
        <v/>
      </c>
      <c r="B1154" s="63">
        <f>Ustawienia!$A$8&amp;""</f>
        <v/>
      </c>
      <c r="C1154" s="63">
        <f>Ustawienia!$A$17&amp;""</f>
        <v/>
      </c>
      <c r="D1154" s="63" t="n">
        <v>1</v>
      </c>
      <c r="E1154" s="63">
        <f>IF('15'!B27="","",TRIM('15'!B27&amp;""))</f>
        <v/>
      </c>
      <c r="F1154" s="63">
        <f>IF('15'!C27="","",'15'!C27)</f>
        <v/>
      </c>
      <c r="G1154" s="63">
        <f>'15'!D27&amp;""</f>
        <v/>
      </c>
      <c r="H1154" s="63">
        <f>IF(OR(A1154="",F1154=""),"",F1154&amp;"|"&amp;A1154)</f>
        <v/>
      </c>
      <c r="I1154" s="63">
        <f>IF(AND(H1154&lt;&gt;"",OR('Historia wózka'!$B$4="",F1154='Historia wózka'!$B$4),A1154&gt;='Historia wózka'!$B$5,A1154&lt;='Historia wózka'!$B$6),A1154+0.9+(5000-ROW())/10000000,0)</f>
        <v/>
      </c>
      <c r="J1154" s="63">
        <f>Ustawienia!$B$8&amp;""</f>
        <v/>
      </c>
      <c r="K1154" s="63">
        <f>IF(H1154="","",COUNTIFS('Zgłoszenia'!$B$5:$B$504,F1154,'Zgłoszenia'!$D$5:$D$504,"&gt;="&amp;A1154,'Zgłoszenia'!$D$5:$D$504,"&lt;="&amp;(A1154+1)))</f>
        <v/>
      </c>
      <c r="L1154" s="63">
        <f>IF(OR(H1154="",K1154=0),"—",IF(ISNUMBER(MATCH(H1154,'Zgłoszenia'!$S$5:$S$504,0)),RIGHT("0"&amp;DAY(A1154),2)&amp;"."&amp;RIGHT("0"&amp;MONTH(A1154),2)&amp;"."&amp;YEAR(A1154)&amp;": "&amp;INDEX('Zgłoszenia'!$H$5:$H$504,MATCH(H1154,'Zgłoszenia'!$S$5:$S$504,0)),RIGHT("0"&amp;DAY((A1154+1)),2)&amp;"."&amp;RIGHT("0"&amp;MONTH((A1154+1)),2)&amp;"."&amp;YEAR((A1154+1))&amp;": "&amp;INDEX('Zgłoszenia'!$H$5:$H$504,MATCH(F1154&amp;"|"&amp;(A1154+1),'Zgłoszenia'!$S$5:$S$504,0)))&amp;IF(K1154&gt;1," (+"&amp;(K1154-1)&amp;")",""))</f>
        <v/>
      </c>
      <c r="M1154" s="63" t="n">
        <v>15</v>
      </c>
      <c r="N1154" s="2" t="n"/>
      <c r="O1154" s="2" t="n"/>
    </row>
    <row r="1155">
      <c r="A1155" s="62">
        <f>IF('15'!$C$1="","",'15'!$C$1)</f>
        <v/>
      </c>
      <c r="B1155" s="63">
        <f>Ustawienia!$A$8&amp;""</f>
        <v/>
      </c>
      <c r="C1155" s="63">
        <f>Ustawienia!$A$17&amp;""</f>
        <v/>
      </c>
      <c r="D1155" s="63" t="n">
        <v>2</v>
      </c>
      <c r="E1155" s="63">
        <f>IF('15'!B28="","",TRIM('15'!B28&amp;""))</f>
        <v/>
      </c>
      <c r="F1155" s="63">
        <f>IF('15'!C28="","",'15'!C28)</f>
        <v/>
      </c>
      <c r="G1155" s="63">
        <f>'15'!D28&amp;""</f>
        <v/>
      </c>
      <c r="H1155" s="63">
        <f>IF(OR(A1155="",F1155=""),"",F1155&amp;"|"&amp;A1155)</f>
        <v/>
      </c>
      <c r="I1155" s="63">
        <f>IF(AND(H1155&lt;&gt;"",OR('Historia wózka'!$B$4="",F1155='Historia wózka'!$B$4),A1155&gt;='Historia wózka'!$B$5,A1155&lt;='Historia wózka'!$B$6),A1155+0.9+(5000-ROW())/10000000,0)</f>
        <v/>
      </c>
      <c r="J1155" s="63">
        <f>Ustawienia!$B$8&amp;""</f>
        <v/>
      </c>
      <c r="K1155" s="63">
        <f>IF(H1155="","",COUNTIFS('Zgłoszenia'!$B$5:$B$504,F1155,'Zgłoszenia'!$D$5:$D$504,"&gt;="&amp;A1155,'Zgłoszenia'!$D$5:$D$504,"&lt;="&amp;(A1155+1)))</f>
        <v/>
      </c>
      <c r="L1155" s="63">
        <f>IF(OR(H1155="",K1155=0),"—",IF(ISNUMBER(MATCH(H1155,'Zgłoszenia'!$S$5:$S$504,0)),RIGHT("0"&amp;DAY(A1155),2)&amp;"."&amp;RIGHT("0"&amp;MONTH(A1155),2)&amp;"."&amp;YEAR(A1155)&amp;": "&amp;INDEX('Zgłoszenia'!$H$5:$H$504,MATCH(H1155,'Zgłoszenia'!$S$5:$S$504,0)),RIGHT("0"&amp;DAY((A1155+1)),2)&amp;"."&amp;RIGHT("0"&amp;MONTH((A1155+1)),2)&amp;"."&amp;YEAR((A1155+1))&amp;": "&amp;INDEX('Zgłoszenia'!$H$5:$H$504,MATCH(F1155&amp;"|"&amp;(A1155+1),'Zgłoszenia'!$S$5:$S$504,0)))&amp;IF(K1155&gt;1," (+"&amp;(K1155-1)&amp;")",""))</f>
        <v/>
      </c>
      <c r="M1155" s="63" t="n">
        <v>15</v>
      </c>
      <c r="N1155" s="2" t="n"/>
      <c r="O1155" s="2" t="n"/>
    </row>
    <row r="1156">
      <c r="A1156" s="62">
        <f>IF('15'!$C$1="","",'15'!$C$1)</f>
        <v/>
      </c>
      <c r="B1156" s="63">
        <f>Ustawienia!$A$8&amp;""</f>
        <v/>
      </c>
      <c r="C1156" s="63">
        <f>Ustawienia!$A$17&amp;""</f>
        <v/>
      </c>
      <c r="D1156" s="63" t="n">
        <v>3</v>
      </c>
      <c r="E1156" s="63">
        <f>IF('15'!B29="","",TRIM('15'!B29&amp;""))</f>
        <v/>
      </c>
      <c r="F1156" s="63">
        <f>IF('15'!C29="","",'15'!C29)</f>
        <v/>
      </c>
      <c r="G1156" s="63">
        <f>'15'!D29&amp;""</f>
        <v/>
      </c>
      <c r="H1156" s="63">
        <f>IF(OR(A1156="",F1156=""),"",F1156&amp;"|"&amp;A1156)</f>
        <v/>
      </c>
      <c r="I1156" s="63">
        <f>IF(AND(H1156&lt;&gt;"",OR('Historia wózka'!$B$4="",F1156='Historia wózka'!$B$4),A1156&gt;='Historia wózka'!$B$5,A1156&lt;='Historia wózka'!$B$6),A1156+0.9+(5000-ROW())/10000000,0)</f>
        <v/>
      </c>
      <c r="J1156" s="63">
        <f>Ustawienia!$B$8&amp;""</f>
        <v/>
      </c>
      <c r="K1156" s="63">
        <f>IF(H1156="","",COUNTIFS('Zgłoszenia'!$B$5:$B$504,F1156,'Zgłoszenia'!$D$5:$D$504,"&gt;="&amp;A1156,'Zgłoszenia'!$D$5:$D$504,"&lt;="&amp;(A1156+1)))</f>
        <v/>
      </c>
      <c r="L1156" s="63">
        <f>IF(OR(H1156="",K1156=0),"—",IF(ISNUMBER(MATCH(H1156,'Zgłoszenia'!$S$5:$S$504,0)),RIGHT("0"&amp;DAY(A1156),2)&amp;"."&amp;RIGHT("0"&amp;MONTH(A1156),2)&amp;"."&amp;YEAR(A1156)&amp;": "&amp;INDEX('Zgłoszenia'!$H$5:$H$504,MATCH(H1156,'Zgłoszenia'!$S$5:$S$504,0)),RIGHT("0"&amp;DAY((A1156+1)),2)&amp;"."&amp;RIGHT("0"&amp;MONTH((A1156+1)),2)&amp;"."&amp;YEAR((A1156+1))&amp;": "&amp;INDEX('Zgłoszenia'!$H$5:$H$504,MATCH(F1156&amp;"|"&amp;(A1156+1),'Zgłoszenia'!$S$5:$S$504,0)))&amp;IF(K1156&gt;1," (+"&amp;(K1156-1)&amp;")",""))</f>
        <v/>
      </c>
      <c r="M1156" s="63" t="n">
        <v>15</v>
      </c>
      <c r="N1156" s="2" t="n"/>
      <c r="O1156" s="2" t="n"/>
    </row>
    <row r="1157">
      <c r="A1157" s="62">
        <f>IF('15'!$C$1="","",'15'!$C$1)</f>
        <v/>
      </c>
      <c r="B1157" s="63">
        <f>Ustawienia!$A$8&amp;""</f>
        <v/>
      </c>
      <c r="C1157" s="63">
        <f>Ustawienia!$A$17&amp;""</f>
        <v/>
      </c>
      <c r="D1157" s="63" t="n">
        <v>4</v>
      </c>
      <c r="E1157" s="63">
        <f>IF('15'!B30="","",TRIM('15'!B30&amp;""))</f>
        <v/>
      </c>
      <c r="F1157" s="63">
        <f>IF('15'!C30="","",'15'!C30)</f>
        <v/>
      </c>
      <c r="G1157" s="63">
        <f>'15'!D30&amp;""</f>
        <v/>
      </c>
      <c r="H1157" s="63">
        <f>IF(OR(A1157="",F1157=""),"",F1157&amp;"|"&amp;A1157)</f>
        <v/>
      </c>
      <c r="I1157" s="63">
        <f>IF(AND(H1157&lt;&gt;"",OR('Historia wózka'!$B$4="",F1157='Historia wózka'!$B$4),A1157&gt;='Historia wózka'!$B$5,A1157&lt;='Historia wózka'!$B$6),A1157+0.9+(5000-ROW())/10000000,0)</f>
        <v/>
      </c>
      <c r="J1157" s="63">
        <f>Ustawienia!$B$8&amp;""</f>
        <v/>
      </c>
      <c r="K1157" s="63">
        <f>IF(H1157="","",COUNTIFS('Zgłoszenia'!$B$5:$B$504,F1157,'Zgłoszenia'!$D$5:$D$504,"&gt;="&amp;A1157,'Zgłoszenia'!$D$5:$D$504,"&lt;="&amp;(A1157+1)))</f>
        <v/>
      </c>
      <c r="L1157" s="63">
        <f>IF(OR(H1157="",K1157=0),"—",IF(ISNUMBER(MATCH(H1157,'Zgłoszenia'!$S$5:$S$504,0)),RIGHT("0"&amp;DAY(A1157),2)&amp;"."&amp;RIGHT("0"&amp;MONTH(A1157),2)&amp;"."&amp;YEAR(A1157)&amp;": "&amp;INDEX('Zgłoszenia'!$H$5:$H$504,MATCH(H1157,'Zgłoszenia'!$S$5:$S$504,0)),RIGHT("0"&amp;DAY((A1157+1)),2)&amp;"."&amp;RIGHT("0"&amp;MONTH((A1157+1)),2)&amp;"."&amp;YEAR((A1157+1))&amp;": "&amp;INDEX('Zgłoszenia'!$H$5:$H$504,MATCH(F1157&amp;"|"&amp;(A1157+1),'Zgłoszenia'!$S$5:$S$504,0)))&amp;IF(K1157&gt;1," (+"&amp;(K1157-1)&amp;")",""))</f>
        <v/>
      </c>
      <c r="M1157" s="63" t="n">
        <v>15</v>
      </c>
      <c r="N1157" s="2" t="n"/>
      <c r="O1157" s="2" t="n"/>
    </row>
    <row r="1158">
      <c r="A1158" s="62">
        <f>IF('15'!$C$1="","",'15'!$C$1)</f>
        <v/>
      </c>
      <c r="B1158" s="63">
        <f>Ustawienia!$A$8&amp;""</f>
        <v/>
      </c>
      <c r="C1158" s="63">
        <f>Ustawienia!$A$18&amp;""</f>
        <v/>
      </c>
      <c r="D1158" s="63" t="n">
        <v>1</v>
      </c>
      <c r="E1158" s="63">
        <f>IF('15'!B32="","",TRIM('15'!B32&amp;""))</f>
        <v/>
      </c>
      <c r="F1158" s="63">
        <f>IF('15'!C32="","",'15'!C32)</f>
        <v/>
      </c>
      <c r="G1158" s="63">
        <f>'15'!D32&amp;""</f>
        <v/>
      </c>
      <c r="H1158" s="63">
        <f>IF(OR(A1158="",F1158=""),"",F1158&amp;"|"&amp;A1158)</f>
        <v/>
      </c>
      <c r="I1158" s="63">
        <f>IF(AND(H1158&lt;&gt;"",OR('Historia wózka'!$B$4="",F1158='Historia wózka'!$B$4),A1158&gt;='Historia wózka'!$B$5,A1158&lt;='Historia wózka'!$B$6),A1158+0.9+(5000-ROW())/10000000,0)</f>
        <v/>
      </c>
      <c r="J1158" s="63">
        <f>Ustawienia!$B$8&amp;""</f>
        <v/>
      </c>
      <c r="K1158" s="63">
        <f>IF(H1158="","",COUNTIFS('Zgłoszenia'!$B$5:$B$504,F1158,'Zgłoszenia'!$D$5:$D$504,"&gt;="&amp;A1158,'Zgłoszenia'!$D$5:$D$504,"&lt;="&amp;(A1158+1)))</f>
        <v/>
      </c>
      <c r="L1158" s="63">
        <f>IF(OR(H1158="",K1158=0),"—",IF(ISNUMBER(MATCH(H1158,'Zgłoszenia'!$S$5:$S$504,0)),RIGHT("0"&amp;DAY(A1158),2)&amp;"."&amp;RIGHT("0"&amp;MONTH(A1158),2)&amp;"."&amp;YEAR(A1158)&amp;": "&amp;INDEX('Zgłoszenia'!$H$5:$H$504,MATCH(H1158,'Zgłoszenia'!$S$5:$S$504,0)),RIGHT("0"&amp;DAY((A1158+1)),2)&amp;"."&amp;RIGHT("0"&amp;MONTH((A1158+1)),2)&amp;"."&amp;YEAR((A1158+1))&amp;": "&amp;INDEX('Zgłoszenia'!$H$5:$H$504,MATCH(F1158&amp;"|"&amp;(A1158+1),'Zgłoszenia'!$S$5:$S$504,0)))&amp;IF(K1158&gt;1," (+"&amp;(K1158-1)&amp;")",""))</f>
        <v/>
      </c>
      <c r="M1158" s="63" t="n">
        <v>15</v>
      </c>
      <c r="N1158" s="2" t="n"/>
      <c r="O1158" s="2" t="n"/>
    </row>
    <row r="1159">
      <c r="A1159" s="62">
        <f>IF('15'!$C$1="","",'15'!$C$1)</f>
        <v/>
      </c>
      <c r="B1159" s="63">
        <f>Ustawienia!$A$8&amp;""</f>
        <v/>
      </c>
      <c r="C1159" s="63">
        <f>Ustawienia!$A$18&amp;""</f>
        <v/>
      </c>
      <c r="D1159" s="63" t="n">
        <v>2</v>
      </c>
      <c r="E1159" s="63">
        <f>IF('15'!B33="","",TRIM('15'!B33&amp;""))</f>
        <v/>
      </c>
      <c r="F1159" s="63">
        <f>IF('15'!C33="","",'15'!C33)</f>
        <v/>
      </c>
      <c r="G1159" s="63">
        <f>'15'!D33&amp;""</f>
        <v/>
      </c>
      <c r="H1159" s="63">
        <f>IF(OR(A1159="",F1159=""),"",F1159&amp;"|"&amp;A1159)</f>
        <v/>
      </c>
      <c r="I1159" s="63">
        <f>IF(AND(H1159&lt;&gt;"",OR('Historia wózka'!$B$4="",F1159='Historia wózka'!$B$4),A1159&gt;='Historia wózka'!$B$5,A1159&lt;='Historia wózka'!$B$6),A1159+0.9+(5000-ROW())/10000000,0)</f>
        <v/>
      </c>
      <c r="J1159" s="63">
        <f>Ustawienia!$B$8&amp;""</f>
        <v/>
      </c>
      <c r="K1159" s="63">
        <f>IF(H1159="","",COUNTIFS('Zgłoszenia'!$B$5:$B$504,F1159,'Zgłoszenia'!$D$5:$D$504,"&gt;="&amp;A1159,'Zgłoszenia'!$D$5:$D$504,"&lt;="&amp;(A1159+1)))</f>
        <v/>
      </c>
      <c r="L1159" s="63">
        <f>IF(OR(H1159="",K1159=0),"—",IF(ISNUMBER(MATCH(H1159,'Zgłoszenia'!$S$5:$S$504,0)),RIGHT("0"&amp;DAY(A1159),2)&amp;"."&amp;RIGHT("0"&amp;MONTH(A1159),2)&amp;"."&amp;YEAR(A1159)&amp;": "&amp;INDEX('Zgłoszenia'!$H$5:$H$504,MATCH(H1159,'Zgłoszenia'!$S$5:$S$504,0)),RIGHT("0"&amp;DAY((A1159+1)),2)&amp;"."&amp;RIGHT("0"&amp;MONTH((A1159+1)),2)&amp;"."&amp;YEAR((A1159+1))&amp;": "&amp;INDEX('Zgłoszenia'!$H$5:$H$504,MATCH(F1159&amp;"|"&amp;(A1159+1),'Zgłoszenia'!$S$5:$S$504,0)))&amp;IF(K1159&gt;1," (+"&amp;(K1159-1)&amp;")",""))</f>
        <v/>
      </c>
      <c r="M1159" s="63" t="n">
        <v>15</v>
      </c>
      <c r="N1159" s="2" t="n"/>
      <c r="O1159" s="2" t="n"/>
    </row>
    <row r="1160">
      <c r="A1160" s="62">
        <f>IF('15'!$C$1="","",'15'!$C$1)</f>
        <v/>
      </c>
      <c r="B1160" s="63">
        <f>Ustawienia!$A$8&amp;""</f>
        <v/>
      </c>
      <c r="C1160" s="63">
        <f>Ustawienia!$A$18&amp;""</f>
        <v/>
      </c>
      <c r="D1160" s="63" t="n">
        <v>3</v>
      </c>
      <c r="E1160" s="63">
        <f>IF('15'!B34="","",TRIM('15'!B34&amp;""))</f>
        <v/>
      </c>
      <c r="F1160" s="63">
        <f>IF('15'!C34="","",'15'!C34)</f>
        <v/>
      </c>
      <c r="G1160" s="63">
        <f>'15'!D34&amp;""</f>
        <v/>
      </c>
      <c r="H1160" s="63">
        <f>IF(OR(A1160="",F1160=""),"",F1160&amp;"|"&amp;A1160)</f>
        <v/>
      </c>
      <c r="I1160" s="63">
        <f>IF(AND(H1160&lt;&gt;"",OR('Historia wózka'!$B$4="",F1160='Historia wózka'!$B$4),A1160&gt;='Historia wózka'!$B$5,A1160&lt;='Historia wózka'!$B$6),A1160+0.9+(5000-ROW())/10000000,0)</f>
        <v/>
      </c>
      <c r="J1160" s="63">
        <f>Ustawienia!$B$8&amp;""</f>
        <v/>
      </c>
      <c r="K1160" s="63">
        <f>IF(H1160="","",COUNTIFS('Zgłoszenia'!$B$5:$B$504,F1160,'Zgłoszenia'!$D$5:$D$504,"&gt;="&amp;A1160,'Zgłoszenia'!$D$5:$D$504,"&lt;="&amp;(A1160+1)))</f>
        <v/>
      </c>
      <c r="L1160" s="63">
        <f>IF(OR(H1160="",K1160=0),"—",IF(ISNUMBER(MATCH(H1160,'Zgłoszenia'!$S$5:$S$504,0)),RIGHT("0"&amp;DAY(A1160),2)&amp;"."&amp;RIGHT("0"&amp;MONTH(A1160),2)&amp;"."&amp;YEAR(A1160)&amp;": "&amp;INDEX('Zgłoszenia'!$H$5:$H$504,MATCH(H1160,'Zgłoszenia'!$S$5:$S$504,0)),RIGHT("0"&amp;DAY((A1160+1)),2)&amp;"."&amp;RIGHT("0"&amp;MONTH((A1160+1)),2)&amp;"."&amp;YEAR((A1160+1))&amp;": "&amp;INDEX('Zgłoszenia'!$H$5:$H$504,MATCH(F1160&amp;"|"&amp;(A1160+1),'Zgłoszenia'!$S$5:$S$504,0)))&amp;IF(K1160&gt;1," (+"&amp;(K1160-1)&amp;")",""))</f>
        <v/>
      </c>
      <c r="M1160" s="63" t="n">
        <v>15</v>
      </c>
      <c r="N1160" s="2" t="n"/>
      <c r="O1160" s="2" t="n"/>
    </row>
    <row r="1161">
      <c r="A1161" s="62">
        <f>IF('15'!$C$1="","",'15'!$C$1)</f>
        <v/>
      </c>
      <c r="B1161" s="63">
        <f>Ustawienia!$A$8&amp;""</f>
        <v/>
      </c>
      <c r="C1161" s="63">
        <f>Ustawienia!$A$18&amp;""</f>
        <v/>
      </c>
      <c r="D1161" s="63" t="n">
        <v>4</v>
      </c>
      <c r="E1161" s="63">
        <f>IF('15'!B35="","",TRIM('15'!B35&amp;""))</f>
        <v/>
      </c>
      <c r="F1161" s="63">
        <f>IF('15'!C35="","",'15'!C35)</f>
        <v/>
      </c>
      <c r="G1161" s="63">
        <f>'15'!D35&amp;""</f>
        <v/>
      </c>
      <c r="H1161" s="63">
        <f>IF(OR(A1161="",F1161=""),"",F1161&amp;"|"&amp;A1161)</f>
        <v/>
      </c>
      <c r="I1161" s="63">
        <f>IF(AND(H1161&lt;&gt;"",OR('Historia wózka'!$B$4="",F1161='Historia wózka'!$B$4),A1161&gt;='Historia wózka'!$B$5,A1161&lt;='Historia wózka'!$B$6),A1161+0.9+(5000-ROW())/10000000,0)</f>
        <v/>
      </c>
      <c r="J1161" s="63">
        <f>Ustawienia!$B$8&amp;""</f>
        <v/>
      </c>
      <c r="K1161" s="63">
        <f>IF(H1161="","",COUNTIFS('Zgłoszenia'!$B$5:$B$504,F1161,'Zgłoszenia'!$D$5:$D$504,"&gt;="&amp;A1161,'Zgłoszenia'!$D$5:$D$504,"&lt;="&amp;(A1161+1)))</f>
        <v/>
      </c>
      <c r="L1161" s="63">
        <f>IF(OR(H1161="",K1161=0),"—",IF(ISNUMBER(MATCH(H1161,'Zgłoszenia'!$S$5:$S$504,0)),RIGHT("0"&amp;DAY(A1161),2)&amp;"."&amp;RIGHT("0"&amp;MONTH(A1161),2)&amp;"."&amp;YEAR(A1161)&amp;": "&amp;INDEX('Zgłoszenia'!$H$5:$H$504,MATCH(H1161,'Zgłoszenia'!$S$5:$S$504,0)),RIGHT("0"&amp;DAY((A1161+1)),2)&amp;"."&amp;RIGHT("0"&amp;MONTH((A1161+1)),2)&amp;"."&amp;YEAR((A1161+1))&amp;": "&amp;INDEX('Zgłoszenia'!$H$5:$H$504,MATCH(F1161&amp;"|"&amp;(A1161+1),'Zgłoszenia'!$S$5:$S$504,0)))&amp;IF(K1161&gt;1," (+"&amp;(K1161-1)&amp;")",""))</f>
        <v/>
      </c>
      <c r="M1161" s="63" t="n">
        <v>15</v>
      </c>
      <c r="N1161" s="2" t="n"/>
      <c r="O1161" s="2" t="n"/>
    </row>
    <row r="1162">
      <c r="A1162" s="62">
        <f>IF('15'!$C$1="","",'15'!$C$1)</f>
        <v/>
      </c>
      <c r="B1162" s="63">
        <f>Ustawienia!$A$8&amp;""</f>
        <v/>
      </c>
      <c r="C1162" s="63">
        <f>Ustawienia!$A$18&amp;""</f>
        <v/>
      </c>
      <c r="D1162" s="63" t="n">
        <v>5</v>
      </c>
      <c r="E1162" s="63">
        <f>IF('15'!B36="","",TRIM('15'!B36&amp;""))</f>
        <v/>
      </c>
      <c r="F1162" s="63">
        <f>IF('15'!C36="","",'15'!C36)</f>
        <v/>
      </c>
      <c r="G1162" s="63">
        <f>'15'!D36&amp;""</f>
        <v/>
      </c>
      <c r="H1162" s="63">
        <f>IF(OR(A1162="",F1162=""),"",F1162&amp;"|"&amp;A1162)</f>
        <v/>
      </c>
      <c r="I1162" s="63">
        <f>IF(AND(H1162&lt;&gt;"",OR('Historia wózka'!$B$4="",F1162='Historia wózka'!$B$4),A1162&gt;='Historia wózka'!$B$5,A1162&lt;='Historia wózka'!$B$6),A1162+0.9+(5000-ROW())/10000000,0)</f>
        <v/>
      </c>
      <c r="J1162" s="63">
        <f>Ustawienia!$B$8&amp;""</f>
        <v/>
      </c>
      <c r="K1162" s="63">
        <f>IF(H1162="","",COUNTIFS('Zgłoszenia'!$B$5:$B$504,F1162,'Zgłoszenia'!$D$5:$D$504,"&gt;="&amp;A1162,'Zgłoszenia'!$D$5:$D$504,"&lt;="&amp;(A1162+1)))</f>
        <v/>
      </c>
      <c r="L1162" s="63">
        <f>IF(OR(H1162="",K1162=0),"—",IF(ISNUMBER(MATCH(H1162,'Zgłoszenia'!$S$5:$S$504,0)),RIGHT("0"&amp;DAY(A1162),2)&amp;"."&amp;RIGHT("0"&amp;MONTH(A1162),2)&amp;"."&amp;YEAR(A1162)&amp;": "&amp;INDEX('Zgłoszenia'!$H$5:$H$504,MATCH(H1162,'Zgłoszenia'!$S$5:$S$504,0)),RIGHT("0"&amp;DAY((A1162+1)),2)&amp;"."&amp;RIGHT("0"&amp;MONTH((A1162+1)),2)&amp;"."&amp;YEAR((A1162+1))&amp;": "&amp;INDEX('Zgłoszenia'!$H$5:$H$504,MATCH(F1162&amp;"|"&amp;(A1162+1),'Zgłoszenia'!$S$5:$S$504,0)))&amp;IF(K1162&gt;1," (+"&amp;(K1162-1)&amp;")",""))</f>
        <v/>
      </c>
      <c r="M1162" s="63" t="n">
        <v>15</v>
      </c>
      <c r="N1162" s="2" t="n"/>
      <c r="O1162" s="2" t="n"/>
    </row>
    <row r="1163">
      <c r="A1163" s="62">
        <f>IF('15'!$C$1="","",'15'!$C$1)</f>
        <v/>
      </c>
      <c r="B1163" s="63">
        <f>Ustawienia!$A$9&amp;""</f>
        <v/>
      </c>
      <c r="C1163" s="63">
        <f>Ustawienia!$A$14&amp;""</f>
        <v/>
      </c>
      <c r="D1163" s="63" t="n">
        <v>1</v>
      </c>
      <c r="E1163" s="63">
        <f>IF('15'!F6="","",TRIM('15'!F6&amp;""))</f>
        <v/>
      </c>
      <c r="F1163" s="63">
        <f>IF('15'!G6="","",'15'!G6)</f>
        <v/>
      </c>
      <c r="G1163" s="63">
        <f>'15'!H6&amp;""</f>
        <v/>
      </c>
      <c r="H1163" s="63">
        <f>IF(OR(A1163="",F1163=""),"",F1163&amp;"|"&amp;A1163)</f>
        <v/>
      </c>
      <c r="I1163" s="63">
        <f>IF(AND(H1163&lt;&gt;"",OR('Historia wózka'!$B$4="",F1163='Historia wózka'!$B$4),A1163&gt;='Historia wózka'!$B$5,A1163&lt;='Historia wózka'!$B$6),A1163+0.8+(5000-ROW())/10000000,0)</f>
        <v/>
      </c>
      <c r="J1163" s="63">
        <f>Ustawienia!$B$9&amp;""</f>
        <v/>
      </c>
      <c r="K1163" s="63">
        <f>IF(H1163="","",COUNTIFS('Zgłoszenia'!$B$5:$B$504,F1163,'Zgłoszenia'!$D$5:$D$504,"&gt;="&amp;A1163,'Zgłoszenia'!$D$5:$D$504,"&lt;="&amp;(A1163+1)))</f>
        <v/>
      </c>
      <c r="L1163" s="63">
        <f>IF(OR(H1163="",K1163=0),"—",IF(ISNUMBER(MATCH(H1163,'Zgłoszenia'!$S$5:$S$504,0)),RIGHT("0"&amp;DAY(A1163),2)&amp;"."&amp;RIGHT("0"&amp;MONTH(A1163),2)&amp;"."&amp;YEAR(A1163)&amp;": "&amp;INDEX('Zgłoszenia'!$H$5:$H$504,MATCH(H1163,'Zgłoszenia'!$S$5:$S$504,0)),RIGHT("0"&amp;DAY((A1163+1)),2)&amp;"."&amp;RIGHT("0"&amp;MONTH((A1163+1)),2)&amp;"."&amp;YEAR((A1163+1))&amp;": "&amp;INDEX('Zgłoszenia'!$H$5:$H$504,MATCH(F1163&amp;"|"&amp;(A1163+1),'Zgłoszenia'!$S$5:$S$504,0)))&amp;IF(K1163&gt;1," (+"&amp;(K1163-1)&amp;")",""))</f>
        <v/>
      </c>
      <c r="M1163" s="63" t="n">
        <v>15</v>
      </c>
      <c r="N1163" s="2" t="n"/>
      <c r="O1163" s="2" t="n"/>
    </row>
    <row r="1164">
      <c r="A1164" s="62">
        <f>IF('15'!$C$1="","",'15'!$C$1)</f>
        <v/>
      </c>
      <c r="B1164" s="63">
        <f>Ustawienia!$A$9&amp;""</f>
        <v/>
      </c>
      <c r="C1164" s="63">
        <f>Ustawienia!$A$14&amp;""</f>
        <v/>
      </c>
      <c r="D1164" s="63" t="n">
        <v>2</v>
      </c>
      <c r="E1164" s="63">
        <f>IF('15'!F7="","",TRIM('15'!F7&amp;""))</f>
        <v/>
      </c>
      <c r="F1164" s="63">
        <f>IF('15'!G7="","",'15'!G7)</f>
        <v/>
      </c>
      <c r="G1164" s="63">
        <f>'15'!H7&amp;""</f>
        <v/>
      </c>
      <c r="H1164" s="63">
        <f>IF(OR(A1164="",F1164=""),"",F1164&amp;"|"&amp;A1164)</f>
        <v/>
      </c>
      <c r="I1164" s="63">
        <f>IF(AND(H1164&lt;&gt;"",OR('Historia wózka'!$B$4="",F1164='Historia wózka'!$B$4),A1164&gt;='Historia wózka'!$B$5,A1164&lt;='Historia wózka'!$B$6),A1164+0.8+(5000-ROW())/10000000,0)</f>
        <v/>
      </c>
      <c r="J1164" s="63">
        <f>Ustawienia!$B$9&amp;""</f>
        <v/>
      </c>
      <c r="K1164" s="63">
        <f>IF(H1164="","",COUNTIFS('Zgłoszenia'!$B$5:$B$504,F1164,'Zgłoszenia'!$D$5:$D$504,"&gt;="&amp;A1164,'Zgłoszenia'!$D$5:$D$504,"&lt;="&amp;(A1164+1)))</f>
        <v/>
      </c>
      <c r="L1164" s="63">
        <f>IF(OR(H1164="",K1164=0),"—",IF(ISNUMBER(MATCH(H1164,'Zgłoszenia'!$S$5:$S$504,0)),RIGHT("0"&amp;DAY(A1164),2)&amp;"."&amp;RIGHT("0"&amp;MONTH(A1164),2)&amp;"."&amp;YEAR(A1164)&amp;": "&amp;INDEX('Zgłoszenia'!$H$5:$H$504,MATCH(H1164,'Zgłoszenia'!$S$5:$S$504,0)),RIGHT("0"&amp;DAY((A1164+1)),2)&amp;"."&amp;RIGHT("0"&amp;MONTH((A1164+1)),2)&amp;"."&amp;YEAR((A1164+1))&amp;": "&amp;INDEX('Zgłoszenia'!$H$5:$H$504,MATCH(F1164&amp;"|"&amp;(A1164+1),'Zgłoszenia'!$S$5:$S$504,0)))&amp;IF(K1164&gt;1," (+"&amp;(K1164-1)&amp;")",""))</f>
        <v/>
      </c>
      <c r="M1164" s="63" t="n">
        <v>15</v>
      </c>
      <c r="N1164" s="2" t="n"/>
      <c r="O1164" s="2" t="n"/>
    </row>
    <row r="1165">
      <c r="A1165" s="62">
        <f>IF('15'!$C$1="","",'15'!$C$1)</f>
        <v/>
      </c>
      <c r="B1165" s="63">
        <f>Ustawienia!$A$9&amp;""</f>
        <v/>
      </c>
      <c r="C1165" s="63">
        <f>Ustawienia!$A$14&amp;""</f>
        <v/>
      </c>
      <c r="D1165" s="63" t="n">
        <v>3</v>
      </c>
      <c r="E1165" s="63">
        <f>IF('15'!F8="","",TRIM('15'!F8&amp;""))</f>
        <v/>
      </c>
      <c r="F1165" s="63">
        <f>IF('15'!G8="","",'15'!G8)</f>
        <v/>
      </c>
      <c r="G1165" s="63">
        <f>'15'!H8&amp;""</f>
        <v/>
      </c>
      <c r="H1165" s="63">
        <f>IF(OR(A1165="",F1165=""),"",F1165&amp;"|"&amp;A1165)</f>
        <v/>
      </c>
      <c r="I1165" s="63">
        <f>IF(AND(H1165&lt;&gt;"",OR('Historia wózka'!$B$4="",F1165='Historia wózka'!$B$4),A1165&gt;='Historia wózka'!$B$5,A1165&lt;='Historia wózka'!$B$6),A1165+0.8+(5000-ROW())/10000000,0)</f>
        <v/>
      </c>
      <c r="J1165" s="63">
        <f>Ustawienia!$B$9&amp;""</f>
        <v/>
      </c>
      <c r="K1165" s="63">
        <f>IF(H1165="","",COUNTIFS('Zgłoszenia'!$B$5:$B$504,F1165,'Zgłoszenia'!$D$5:$D$504,"&gt;="&amp;A1165,'Zgłoszenia'!$D$5:$D$504,"&lt;="&amp;(A1165+1)))</f>
        <v/>
      </c>
      <c r="L1165" s="63">
        <f>IF(OR(H1165="",K1165=0),"—",IF(ISNUMBER(MATCH(H1165,'Zgłoszenia'!$S$5:$S$504,0)),RIGHT("0"&amp;DAY(A1165),2)&amp;"."&amp;RIGHT("0"&amp;MONTH(A1165),2)&amp;"."&amp;YEAR(A1165)&amp;": "&amp;INDEX('Zgłoszenia'!$H$5:$H$504,MATCH(H1165,'Zgłoszenia'!$S$5:$S$504,0)),RIGHT("0"&amp;DAY((A1165+1)),2)&amp;"."&amp;RIGHT("0"&amp;MONTH((A1165+1)),2)&amp;"."&amp;YEAR((A1165+1))&amp;": "&amp;INDEX('Zgłoszenia'!$H$5:$H$504,MATCH(F1165&amp;"|"&amp;(A1165+1),'Zgłoszenia'!$S$5:$S$504,0)))&amp;IF(K1165&gt;1," (+"&amp;(K1165-1)&amp;")",""))</f>
        <v/>
      </c>
      <c r="M1165" s="63" t="n">
        <v>15</v>
      </c>
      <c r="N1165" s="2" t="n"/>
      <c r="O1165" s="2" t="n"/>
    </row>
    <row r="1166">
      <c r="A1166" s="62">
        <f>IF('15'!$C$1="","",'15'!$C$1)</f>
        <v/>
      </c>
      <c r="B1166" s="63">
        <f>Ustawienia!$A$9&amp;""</f>
        <v/>
      </c>
      <c r="C1166" s="63">
        <f>Ustawienia!$A$14&amp;""</f>
        <v/>
      </c>
      <c r="D1166" s="63" t="n">
        <v>4</v>
      </c>
      <c r="E1166" s="63">
        <f>IF('15'!F9="","",TRIM('15'!F9&amp;""))</f>
        <v/>
      </c>
      <c r="F1166" s="63">
        <f>IF('15'!G9="","",'15'!G9)</f>
        <v/>
      </c>
      <c r="G1166" s="63">
        <f>'15'!H9&amp;""</f>
        <v/>
      </c>
      <c r="H1166" s="63">
        <f>IF(OR(A1166="",F1166=""),"",F1166&amp;"|"&amp;A1166)</f>
        <v/>
      </c>
      <c r="I1166" s="63">
        <f>IF(AND(H1166&lt;&gt;"",OR('Historia wózka'!$B$4="",F1166='Historia wózka'!$B$4),A1166&gt;='Historia wózka'!$B$5,A1166&lt;='Historia wózka'!$B$6),A1166+0.8+(5000-ROW())/10000000,0)</f>
        <v/>
      </c>
      <c r="J1166" s="63">
        <f>Ustawienia!$B$9&amp;""</f>
        <v/>
      </c>
      <c r="K1166" s="63">
        <f>IF(H1166="","",COUNTIFS('Zgłoszenia'!$B$5:$B$504,F1166,'Zgłoszenia'!$D$5:$D$504,"&gt;="&amp;A1166,'Zgłoszenia'!$D$5:$D$504,"&lt;="&amp;(A1166+1)))</f>
        <v/>
      </c>
      <c r="L1166" s="63">
        <f>IF(OR(H1166="",K1166=0),"—",IF(ISNUMBER(MATCH(H1166,'Zgłoszenia'!$S$5:$S$504,0)),RIGHT("0"&amp;DAY(A1166),2)&amp;"."&amp;RIGHT("0"&amp;MONTH(A1166),2)&amp;"."&amp;YEAR(A1166)&amp;": "&amp;INDEX('Zgłoszenia'!$H$5:$H$504,MATCH(H1166,'Zgłoszenia'!$S$5:$S$504,0)),RIGHT("0"&amp;DAY((A1166+1)),2)&amp;"."&amp;RIGHT("0"&amp;MONTH((A1166+1)),2)&amp;"."&amp;YEAR((A1166+1))&amp;": "&amp;INDEX('Zgłoszenia'!$H$5:$H$504,MATCH(F1166&amp;"|"&amp;(A1166+1),'Zgłoszenia'!$S$5:$S$504,0)))&amp;IF(K1166&gt;1," (+"&amp;(K1166-1)&amp;")",""))</f>
        <v/>
      </c>
      <c r="M1166" s="63" t="n">
        <v>15</v>
      </c>
      <c r="N1166" s="2" t="n"/>
      <c r="O1166" s="2" t="n"/>
    </row>
    <row r="1167">
      <c r="A1167" s="62">
        <f>IF('15'!$C$1="","",'15'!$C$1)</f>
        <v/>
      </c>
      <c r="B1167" s="63">
        <f>Ustawienia!$A$9&amp;""</f>
        <v/>
      </c>
      <c r="C1167" s="63">
        <f>Ustawienia!$A$14&amp;""</f>
        <v/>
      </c>
      <c r="D1167" s="63" t="n">
        <v>5</v>
      </c>
      <c r="E1167" s="63">
        <f>IF('15'!F10="","",TRIM('15'!F10&amp;""))</f>
        <v/>
      </c>
      <c r="F1167" s="63">
        <f>IF('15'!G10="","",'15'!G10)</f>
        <v/>
      </c>
      <c r="G1167" s="63">
        <f>'15'!H10&amp;""</f>
        <v/>
      </c>
      <c r="H1167" s="63">
        <f>IF(OR(A1167="",F1167=""),"",F1167&amp;"|"&amp;A1167)</f>
        <v/>
      </c>
      <c r="I1167" s="63">
        <f>IF(AND(H1167&lt;&gt;"",OR('Historia wózka'!$B$4="",F1167='Historia wózka'!$B$4),A1167&gt;='Historia wózka'!$B$5,A1167&lt;='Historia wózka'!$B$6),A1167+0.8+(5000-ROW())/10000000,0)</f>
        <v/>
      </c>
      <c r="J1167" s="63">
        <f>Ustawienia!$B$9&amp;""</f>
        <v/>
      </c>
      <c r="K1167" s="63">
        <f>IF(H1167="","",COUNTIFS('Zgłoszenia'!$B$5:$B$504,F1167,'Zgłoszenia'!$D$5:$D$504,"&gt;="&amp;A1167,'Zgłoszenia'!$D$5:$D$504,"&lt;="&amp;(A1167+1)))</f>
        <v/>
      </c>
      <c r="L1167" s="63">
        <f>IF(OR(H1167="",K1167=0),"—",IF(ISNUMBER(MATCH(H1167,'Zgłoszenia'!$S$5:$S$504,0)),RIGHT("0"&amp;DAY(A1167),2)&amp;"."&amp;RIGHT("0"&amp;MONTH(A1167),2)&amp;"."&amp;YEAR(A1167)&amp;": "&amp;INDEX('Zgłoszenia'!$H$5:$H$504,MATCH(H1167,'Zgłoszenia'!$S$5:$S$504,0)),RIGHT("0"&amp;DAY((A1167+1)),2)&amp;"."&amp;RIGHT("0"&amp;MONTH((A1167+1)),2)&amp;"."&amp;YEAR((A1167+1))&amp;": "&amp;INDEX('Zgłoszenia'!$H$5:$H$504,MATCH(F1167&amp;"|"&amp;(A1167+1),'Zgłoszenia'!$S$5:$S$504,0)))&amp;IF(K1167&gt;1," (+"&amp;(K1167-1)&amp;")",""))</f>
        <v/>
      </c>
      <c r="M1167" s="63" t="n">
        <v>15</v>
      </c>
      <c r="N1167" s="2" t="n"/>
      <c r="O1167" s="2" t="n"/>
    </row>
    <row r="1168">
      <c r="A1168" s="62">
        <f>IF('15'!$C$1="","",'15'!$C$1)</f>
        <v/>
      </c>
      <c r="B1168" s="63">
        <f>Ustawienia!$A$9&amp;""</f>
        <v/>
      </c>
      <c r="C1168" s="63">
        <f>Ustawienia!$A$14&amp;""</f>
        <v/>
      </c>
      <c r="D1168" s="63" t="n">
        <v>6</v>
      </c>
      <c r="E1168" s="63">
        <f>IF('15'!F11="","",TRIM('15'!F11&amp;""))</f>
        <v/>
      </c>
      <c r="F1168" s="63">
        <f>IF('15'!G11="","",'15'!G11)</f>
        <v/>
      </c>
      <c r="G1168" s="63">
        <f>'15'!H11&amp;""</f>
        <v/>
      </c>
      <c r="H1168" s="63">
        <f>IF(OR(A1168="",F1168=""),"",F1168&amp;"|"&amp;A1168)</f>
        <v/>
      </c>
      <c r="I1168" s="63">
        <f>IF(AND(H1168&lt;&gt;"",OR('Historia wózka'!$B$4="",F1168='Historia wózka'!$B$4),A1168&gt;='Historia wózka'!$B$5,A1168&lt;='Historia wózka'!$B$6),A1168+0.8+(5000-ROW())/10000000,0)</f>
        <v/>
      </c>
      <c r="J1168" s="63">
        <f>Ustawienia!$B$9&amp;""</f>
        <v/>
      </c>
      <c r="K1168" s="63">
        <f>IF(H1168="","",COUNTIFS('Zgłoszenia'!$B$5:$B$504,F1168,'Zgłoszenia'!$D$5:$D$504,"&gt;="&amp;A1168,'Zgłoszenia'!$D$5:$D$504,"&lt;="&amp;(A1168+1)))</f>
        <v/>
      </c>
      <c r="L1168" s="63">
        <f>IF(OR(H1168="",K1168=0),"—",IF(ISNUMBER(MATCH(H1168,'Zgłoszenia'!$S$5:$S$504,0)),RIGHT("0"&amp;DAY(A1168),2)&amp;"."&amp;RIGHT("0"&amp;MONTH(A1168),2)&amp;"."&amp;YEAR(A1168)&amp;": "&amp;INDEX('Zgłoszenia'!$H$5:$H$504,MATCH(H1168,'Zgłoszenia'!$S$5:$S$504,0)),RIGHT("0"&amp;DAY((A1168+1)),2)&amp;"."&amp;RIGHT("0"&amp;MONTH((A1168+1)),2)&amp;"."&amp;YEAR((A1168+1))&amp;": "&amp;INDEX('Zgłoszenia'!$H$5:$H$504,MATCH(F1168&amp;"|"&amp;(A1168+1),'Zgłoszenia'!$S$5:$S$504,0)))&amp;IF(K1168&gt;1," (+"&amp;(K1168-1)&amp;")",""))</f>
        <v/>
      </c>
      <c r="M1168" s="63" t="n">
        <v>15</v>
      </c>
      <c r="N1168" s="2" t="n"/>
      <c r="O1168" s="2" t="n"/>
    </row>
    <row r="1169">
      <c r="A1169" s="62">
        <f>IF('15'!$C$1="","",'15'!$C$1)</f>
        <v/>
      </c>
      <c r="B1169" s="63">
        <f>Ustawienia!$A$9&amp;""</f>
        <v/>
      </c>
      <c r="C1169" s="63">
        <f>Ustawienia!$A$15&amp;""</f>
        <v/>
      </c>
      <c r="D1169" s="63" t="n">
        <v>1</v>
      </c>
      <c r="E1169" s="63">
        <f>IF('15'!F13="","",TRIM('15'!F13&amp;""))</f>
        <v/>
      </c>
      <c r="F1169" s="63">
        <f>IF('15'!G13="","",'15'!G13)</f>
        <v/>
      </c>
      <c r="G1169" s="63">
        <f>'15'!H13&amp;""</f>
        <v/>
      </c>
      <c r="H1169" s="63">
        <f>IF(OR(A1169="",F1169=""),"",F1169&amp;"|"&amp;A1169)</f>
        <v/>
      </c>
      <c r="I1169" s="63">
        <f>IF(AND(H1169&lt;&gt;"",OR('Historia wózka'!$B$4="",F1169='Historia wózka'!$B$4),A1169&gt;='Historia wózka'!$B$5,A1169&lt;='Historia wózka'!$B$6),A1169+0.8+(5000-ROW())/10000000,0)</f>
        <v/>
      </c>
      <c r="J1169" s="63">
        <f>Ustawienia!$B$9&amp;""</f>
        <v/>
      </c>
      <c r="K1169" s="63">
        <f>IF(H1169="","",COUNTIFS('Zgłoszenia'!$B$5:$B$504,F1169,'Zgłoszenia'!$D$5:$D$504,"&gt;="&amp;A1169,'Zgłoszenia'!$D$5:$D$504,"&lt;="&amp;(A1169+1)))</f>
        <v/>
      </c>
      <c r="L1169" s="63">
        <f>IF(OR(H1169="",K1169=0),"—",IF(ISNUMBER(MATCH(H1169,'Zgłoszenia'!$S$5:$S$504,0)),RIGHT("0"&amp;DAY(A1169),2)&amp;"."&amp;RIGHT("0"&amp;MONTH(A1169),2)&amp;"."&amp;YEAR(A1169)&amp;": "&amp;INDEX('Zgłoszenia'!$H$5:$H$504,MATCH(H1169,'Zgłoszenia'!$S$5:$S$504,0)),RIGHT("0"&amp;DAY((A1169+1)),2)&amp;"."&amp;RIGHT("0"&amp;MONTH((A1169+1)),2)&amp;"."&amp;YEAR((A1169+1))&amp;": "&amp;INDEX('Zgłoszenia'!$H$5:$H$504,MATCH(F1169&amp;"|"&amp;(A1169+1),'Zgłoszenia'!$S$5:$S$504,0)))&amp;IF(K1169&gt;1," (+"&amp;(K1169-1)&amp;")",""))</f>
        <v/>
      </c>
      <c r="M1169" s="63" t="n">
        <v>15</v>
      </c>
      <c r="N1169" s="2" t="n"/>
      <c r="O1169" s="2" t="n"/>
    </row>
    <row r="1170">
      <c r="A1170" s="62">
        <f>IF('15'!$C$1="","",'15'!$C$1)</f>
        <v/>
      </c>
      <c r="B1170" s="63">
        <f>Ustawienia!$A$9&amp;""</f>
        <v/>
      </c>
      <c r="C1170" s="63">
        <f>Ustawienia!$A$15&amp;""</f>
        <v/>
      </c>
      <c r="D1170" s="63" t="n">
        <v>2</v>
      </c>
      <c r="E1170" s="63">
        <f>IF('15'!F14="","",TRIM('15'!F14&amp;""))</f>
        <v/>
      </c>
      <c r="F1170" s="63">
        <f>IF('15'!G14="","",'15'!G14)</f>
        <v/>
      </c>
      <c r="G1170" s="63">
        <f>'15'!H14&amp;""</f>
        <v/>
      </c>
      <c r="H1170" s="63">
        <f>IF(OR(A1170="",F1170=""),"",F1170&amp;"|"&amp;A1170)</f>
        <v/>
      </c>
      <c r="I1170" s="63">
        <f>IF(AND(H1170&lt;&gt;"",OR('Historia wózka'!$B$4="",F1170='Historia wózka'!$B$4),A1170&gt;='Historia wózka'!$B$5,A1170&lt;='Historia wózka'!$B$6),A1170+0.8+(5000-ROW())/10000000,0)</f>
        <v/>
      </c>
      <c r="J1170" s="63">
        <f>Ustawienia!$B$9&amp;""</f>
        <v/>
      </c>
      <c r="K1170" s="63">
        <f>IF(H1170="","",COUNTIFS('Zgłoszenia'!$B$5:$B$504,F1170,'Zgłoszenia'!$D$5:$D$504,"&gt;="&amp;A1170,'Zgłoszenia'!$D$5:$D$504,"&lt;="&amp;(A1170+1)))</f>
        <v/>
      </c>
      <c r="L1170" s="63">
        <f>IF(OR(H1170="",K1170=0),"—",IF(ISNUMBER(MATCH(H1170,'Zgłoszenia'!$S$5:$S$504,0)),RIGHT("0"&amp;DAY(A1170),2)&amp;"."&amp;RIGHT("0"&amp;MONTH(A1170),2)&amp;"."&amp;YEAR(A1170)&amp;": "&amp;INDEX('Zgłoszenia'!$H$5:$H$504,MATCH(H1170,'Zgłoszenia'!$S$5:$S$504,0)),RIGHT("0"&amp;DAY((A1170+1)),2)&amp;"."&amp;RIGHT("0"&amp;MONTH((A1170+1)),2)&amp;"."&amp;YEAR((A1170+1))&amp;": "&amp;INDEX('Zgłoszenia'!$H$5:$H$504,MATCH(F1170&amp;"|"&amp;(A1170+1),'Zgłoszenia'!$S$5:$S$504,0)))&amp;IF(K1170&gt;1," (+"&amp;(K1170-1)&amp;")",""))</f>
        <v/>
      </c>
      <c r="M1170" s="63" t="n">
        <v>15</v>
      </c>
      <c r="N1170" s="2" t="n"/>
      <c r="O1170" s="2" t="n"/>
    </row>
    <row r="1171">
      <c r="A1171" s="62">
        <f>IF('15'!$C$1="","",'15'!$C$1)</f>
        <v/>
      </c>
      <c r="B1171" s="63">
        <f>Ustawienia!$A$9&amp;""</f>
        <v/>
      </c>
      <c r="C1171" s="63">
        <f>Ustawienia!$A$15&amp;""</f>
        <v/>
      </c>
      <c r="D1171" s="63" t="n">
        <v>3</v>
      </c>
      <c r="E1171" s="63">
        <f>IF('15'!F15="","",TRIM('15'!F15&amp;""))</f>
        <v/>
      </c>
      <c r="F1171" s="63">
        <f>IF('15'!G15="","",'15'!G15)</f>
        <v/>
      </c>
      <c r="G1171" s="63">
        <f>'15'!H15&amp;""</f>
        <v/>
      </c>
      <c r="H1171" s="63">
        <f>IF(OR(A1171="",F1171=""),"",F1171&amp;"|"&amp;A1171)</f>
        <v/>
      </c>
      <c r="I1171" s="63">
        <f>IF(AND(H1171&lt;&gt;"",OR('Historia wózka'!$B$4="",F1171='Historia wózka'!$B$4),A1171&gt;='Historia wózka'!$B$5,A1171&lt;='Historia wózka'!$B$6),A1171+0.8+(5000-ROW())/10000000,0)</f>
        <v/>
      </c>
      <c r="J1171" s="63">
        <f>Ustawienia!$B$9&amp;""</f>
        <v/>
      </c>
      <c r="K1171" s="63">
        <f>IF(H1171="","",COUNTIFS('Zgłoszenia'!$B$5:$B$504,F1171,'Zgłoszenia'!$D$5:$D$504,"&gt;="&amp;A1171,'Zgłoszenia'!$D$5:$D$504,"&lt;="&amp;(A1171+1)))</f>
        <v/>
      </c>
      <c r="L1171" s="63">
        <f>IF(OR(H1171="",K1171=0),"—",IF(ISNUMBER(MATCH(H1171,'Zgłoszenia'!$S$5:$S$504,0)),RIGHT("0"&amp;DAY(A1171),2)&amp;"."&amp;RIGHT("0"&amp;MONTH(A1171),2)&amp;"."&amp;YEAR(A1171)&amp;": "&amp;INDEX('Zgłoszenia'!$H$5:$H$504,MATCH(H1171,'Zgłoszenia'!$S$5:$S$504,0)),RIGHT("0"&amp;DAY((A1171+1)),2)&amp;"."&amp;RIGHT("0"&amp;MONTH((A1171+1)),2)&amp;"."&amp;YEAR((A1171+1))&amp;": "&amp;INDEX('Zgłoszenia'!$H$5:$H$504,MATCH(F1171&amp;"|"&amp;(A1171+1),'Zgłoszenia'!$S$5:$S$504,0)))&amp;IF(K1171&gt;1," (+"&amp;(K1171-1)&amp;")",""))</f>
        <v/>
      </c>
      <c r="M1171" s="63" t="n">
        <v>15</v>
      </c>
      <c r="N1171" s="2" t="n"/>
      <c r="O1171" s="2" t="n"/>
    </row>
    <row r="1172">
      <c r="A1172" s="62">
        <f>IF('15'!$C$1="","",'15'!$C$1)</f>
        <v/>
      </c>
      <c r="B1172" s="63">
        <f>Ustawienia!$A$9&amp;""</f>
        <v/>
      </c>
      <c r="C1172" s="63">
        <f>Ustawienia!$A$15&amp;""</f>
        <v/>
      </c>
      <c r="D1172" s="63" t="n">
        <v>4</v>
      </c>
      <c r="E1172" s="63">
        <f>IF('15'!F16="","",TRIM('15'!F16&amp;""))</f>
        <v/>
      </c>
      <c r="F1172" s="63">
        <f>IF('15'!G16="","",'15'!G16)</f>
        <v/>
      </c>
      <c r="G1172" s="63">
        <f>'15'!H16&amp;""</f>
        <v/>
      </c>
      <c r="H1172" s="63">
        <f>IF(OR(A1172="",F1172=""),"",F1172&amp;"|"&amp;A1172)</f>
        <v/>
      </c>
      <c r="I1172" s="63">
        <f>IF(AND(H1172&lt;&gt;"",OR('Historia wózka'!$B$4="",F1172='Historia wózka'!$B$4),A1172&gt;='Historia wózka'!$B$5,A1172&lt;='Historia wózka'!$B$6),A1172+0.8+(5000-ROW())/10000000,0)</f>
        <v/>
      </c>
      <c r="J1172" s="63">
        <f>Ustawienia!$B$9&amp;""</f>
        <v/>
      </c>
      <c r="K1172" s="63">
        <f>IF(H1172="","",COUNTIFS('Zgłoszenia'!$B$5:$B$504,F1172,'Zgłoszenia'!$D$5:$D$504,"&gt;="&amp;A1172,'Zgłoszenia'!$D$5:$D$504,"&lt;="&amp;(A1172+1)))</f>
        <v/>
      </c>
      <c r="L1172" s="63">
        <f>IF(OR(H1172="",K1172=0),"—",IF(ISNUMBER(MATCH(H1172,'Zgłoszenia'!$S$5:$S$504,0)),RIGHT("0"&amp;DAY(A1172),2)&amp;"."&amp;RIGHT("0"&amp;MONTH(A1172),2)&amp;"."&amp;YEAR(A1172)&amp;": "&amp;INDEX('Zgłoszenia'!$H$5:$H$504,MATCH(H1172,'Zgłoszenia'!$S$5:$S$504,0)),RIGHT("0"&amp;DAY((A1172+1)),2)&amp;"."&amp;RIGHT("0"&amp;MONTH((A1172+1)),2)&amp;"."&amp;YEAR((A1172+1))&amp;": "&amp;INDEX('Zgłoszenia'!$H$5:$H$504,MATCH(F1172&amp;"|"&amp;(A1172+1),'Zgłoszenia'!$S$5:$S$504,0)))&amp;IF(K1172&gt;1," (+"&amp;(K1172-1)&amp;")",""))</f>
        <v/>
      </c>
      <c r="M1172" s="63" t="n">
        <v>15</v>
      </c>
      <c r="N1172" s="2" t="n"/>
      <c r="O1172" s="2" t="n"/>
    </row>
    <row r="1173">
      <c r="A1173" s="62">
        <f>IF('15'!$C$1="","",'15'!$C$1)</f>
        <v/>
      </c>
      <c r="B1173" s="63">
        <f>Ustawienia!$A$9&amp;""</f>
        <v/>
      </c>
      <c r="C1173" s="63">
        <f>Ustawienia!$A$15&amp;""</f>
        <v/>
      </c>
      <c r="D1173" s="63" t="n">
        <v>5</v>
      </c>
      <c r="E1173" s="63">
        <f>IF('15'!F17="","",TRIM('15'!F17&amp;""))</f>
        <v/>
      </c>
      <c r="F1173" s="63">
        <f>IF('15'!G17="","",'15'!G17)</f>
        <v/>
      </c>
      <c r="G1173" s="63">
        <f>'15'!H17&amp;""</f>
        <v/>
      </c>
      <c r="H1173" s="63">
        <f>IF(OR(A1173="",F1173=""),"",F1173&amp;"|"&amp;A1173)</f>
        <v/>
      </c>
      <c r="I1173" s="63">
        <f>IF(AND(H1173&lt;&gt;"",OR('Historia wózka'!$B$4="",F1173='Historia wózka'!$B$4),A1173&gt;='Historia wózka'!$B$5,A1173&lt;='Historia wózka'!$B$6),A1173+0.8+(5000-ROW())/10000000,0)</f>
        <v/>
      </c>
      <c r="J1173" s="63">
        <f>Ustawienia!$B$9&amp;""</f>
        <v/>
      </c>
      <c r="K1173" s="63">
        <f>IF(H1173="","",COUNTIFS('Zgłoszenia'!$B$5:$B$504,F1173,'Zgłoszenia'!$D$5:$D$504,"&gt;="&amp;A1173,'Zgłoszenia'!$D$5:$D$504,"&lt;="&amp;(A1173+1)))</f>
        <v/>
      </c>
      <c r="L1173" s="63">
        <f>IF(OR(H1173="",K1173=0),"—",IF(ISNUMBER(MATCH(H1173,'Zgłoszenia'!$S$5:$S$504,0)),RIGHT("0"&amp;DAY(A1173),2)&amp;"."&amp;RIGHT("0"&amp;MONTH(A1173),2)&amp;"."&amp;YEAR(A1173)&amp;": "&amp;INDEX('Zgłoszenia'!$H$5:$H$504,MATCH(H1173,'Zgłoszenia'!$S$5:$S$504,0)),RIGHT("0"&amp;DAY((A1173+1)),2)&amp;"."&amp;RIGHT("0"&amp;MONTH((A1173+1)),2)&amp;"."&amp;YEAR((A1173+1))&amp;": "&amp;INDEX('Zgłoszenia'!$H$5:$H$504,MATCH(F1173&amp;"|"&amp;(A1173+1),'Zgłoszenia'!$S$5:$S$504,0)))&amp;IF(K1173&gt;1," (+"&amp;(K1173-1)&amp;")",""))</f>
        <v/>
      </c>
      <c r="M1173" s="63" t="n">
        <v>15</v>
      </c>
      <c r="N1173" s="2" t="n"/>
      <c r="O1173" s="2" t="n"/>
    </row>
    <row r="1174">
      <c r="A1174" s="62">
        <f>IF('15'!$C$1="","",'15'!$C$1)</f>
        <v/>
      </c>
      <c r="B1174" s="63">
        <f>Ustawienia!$A$9&amp;""</f>
        <v/>
      </c>
      <c r="C1174" s="63">
        <f>Ustawienia!$A$15&amp;""</f>
        <v/>
      </c>
      <c r="D1174" s="63" t="n">
        <v>6</v>
      </c>
      <c r="E1174" s="63">
        <f>IF('15'!F18="","",TRIM('15'!F18&amp;""))</f>
        <v/>
      </c>
      <c r="F1174" s="63">
        <f>IF('15'!G18="","",'15'!G18)</f>
        <v/>
      </c>
      <c r="G1174" s="63">
        <f>'15'!H18&amp;""</f>
        <v/>
      </c>
      <c r="H1174" s="63">
        <f>IF(OR(A1174="",F1174=""),"",F1174&amp;"|"&amp;A1174)</f>
        <v/>
      </c>
      <c r="I1174" s="63">
        <f>IF(AND(H1174&lt;&gt;"",OR('Historia wózka'!$B$4="",F1174='Historia wózka'!$B$4),A1174&gt;='Historia wózka'!$B$5,A1174&lt;='Historia wózka'!$B$6),A1174+0.8+(5000-ROW())/10000000,0)</f>
        <v/>
      </c>
      <c r="J1174" s="63">
        <f>Ustawienia!$B$9&amp;""</f>
        <v/>
      </c>
      <c r="K1174" s="63">
        <f>IF(H1174="","",COUNTIFS('Zgłoszenia'!$B$5:$B$504,F1174,'Zgłoszenia'!$D$5:$D$504,"&gt;="&amp;A1174,'Zgłoszenia'!$D$5:$D$504,"&lt;="&amp;(A1174+1)))</f>
        <v/>
      </c>
      <c r="L1174" s="63">
        <f>IF(OR(H1174="",K1174=0),"—",IF(ISNUMBER(MATCH(H1174,'Zgłoszenia'!$S$5:$S$504,0)),RIGHT("0"&amp;DAY(A1174),2)&amp;"."&amp;RIGHT("0"&amp;MONTH(A1174),2)&amp;"."&amp;YEAR(A1174)&amp;": "&amp;INDEX('Zgłoszenia'!$H$5:$H$504,MATCH(H1174,'Zgłoszenia'!$S$5:$S$504,0)),RIGHT("0"&amp;DAY((A1174+1)),2)&amp;"."&amp;RIGHT("0"&amp;MONTH((A1174+1)),2)&amp;"."&amp;YEAR((A1174+1))&amp;": "&amp;INDEX('Zgłoszenia'!$H$5:$H$504,MATCH(F1174&amp;"|"&amp;(A1174+1),'Zgłoszenia'!$S$5:$S$504,0)))&amp;IF(K1174&gt;1," (+"&amp;(K1174-1)&amp;")",""))</f>
        <v/>
      </c>
      <c r="M1174" s="63" t="n">
        <v>15</v>
      </c>
      <c r="N1174" s="2" t="n"/>
      <c r="O1174" s="2" t="n"/>
    </row>
    <row r="1175">
      <c r="A1175" s="62">
        <f>IF('15'!$C$1="","",'15'!$C$1)</f>
        <v/>
      </c>
      <c r="B1175" s="63">
        <f>Ustawienia!$A$9&amp;""</f>
        <v/>
      </c>
      <c r="C1175" s="63">
        <f>Ustawienia!$A$15&amp;""</f>
        <v/>
      </c>
      <c r="D1175" s="63" t="n">
        <v>7</v>
      </c>
      <c r="E1175" s="63">
        <f>IF('15'!F19="","",TRIM('15'!F19&amp;""))</f>
        <v/>
      </c>
      <c r="F1175" s="63">
        <f>IF('15'!G19="","",'15'!G19)</f>
        <v/>
      </c>
      <c r="G1175" s="63">
        <f>'15'!H19&amp;""</f>
        <v/>
      </c>
      <c r="H1175" s="63">
        <f>IF(OR(A1175="",F1175=""),"",F1175&amp;"|"&amp;A1175)</f>
        <v/>
      </c>
      <c r="I1175" s="63">
        <f>IF(AND(H1175&lt;&gt;"",OR('Historia wózka'!$B$4="",F1175='Historia wózka'!$B$4),A1175&gt;='Historia wózka'!$B$5,A1175&lt;='Historia wózka'!$B$6),A1175+0.8+(5000-ROW())/10000000,0)</f>
        <v/>
      </c>
      <c r="J1175" s="63">
        <f>Ustawienia!$B$9&amp;""</f>
        <v/>
      </c>
      <c r="K1175" s="63">
        <f>IF(H1175="","",COUNTIFS('Zgłoszenia'!$B$5:$B$504,F1175,'Zgłoszenia'!$D$5:$D$504,"&gt;="&amp;A1175,'Zgłoszenia'!$D$5:$D$504,"&lt;="&amp;(A1175+1)))</f>
        <v/>
      </c>
      <c r="L1175" s="63">
        <f>IF(OR(H1175="",K1175=0),"—",IF(ISNUMBER(MATCH(H1175,'Zgłoszenia'!$S$5:$S$504,0)),RIGHT("0"&amp;DAY(A1175),2)&amp;"."&amp;RIGHT("0"&amp;MONTH(A1175),2)&amp;"."&amp;YEAR(A1175)&amp;": "&amp;INDEX('Zgłoszenia'!$H$5:$H$504,MATCH(H1175,'Zgłoszenia'!$S$5:$S$504,0)),RIGHT("0"&amp;DAY((A1175+1)),2)&amp;"."&amp;RIGHT("0"&amp;MONTH((A1175+1)),2)&amp;"."&amp;YEAR((A1175+1))&amp;": "&amp;INDEX('Zgłoszenia'!$H$5:$H$504,MATCH(F1175&amp;"|"&amp;(A1175+1),'Zgłoszenia'!$S$5:$S$504,0)))&amp;IF(K1175&gt;1," (+"&amp;(K1175-1)&amp;")",""))</f>
        <v/>
      </c>
      <c r="M1175" s="63" t="n">
        <v>15</v>
      </c>
      <c r="N1175" s="2" t="n"/>
      <c r="O1175" s="2" t="n"/>
    </row>
    <row r="1176">
      <c r="A1176" s="62">
        <f>IF('15'!$C$1="","",'15'!$C$1)</f>
        <v/>
      </c>
      <c r="B1176" s="63">
        <f>Ustawienia!$A$9&amp;""</f>
        <v/>
      </c>
      <c r="C1176" s="63">
        <f>Ustawienia!$A$15&amp;""</f>
        <v/>
      </c>
      <c r="D1176" s="63" t="n">
        <v>8</v>
      </c>
      <c r="E1176" s="63">
        <f>IF('15'!F20="","",TRIM('15'!F20&amp;""))</f>
        <v/>
      </c>
      <c r="F1176" s="63">
        <f>IF('15'!G20="","",'15'!G20)</f>
        <v/>
      </c>
      <c r="G1176" s="63">
        <f>'15'!H20&amp;""</f>
        <v/>
      </c>
      <c r="H1176" s="63">
        <f>IF(OR(A1176="",F1176=""),"",F1176&amp;"|"&amp;A1176)</f>
        <v/>
      </c>
      <c r="I1176" s="63">
        <f>IF(AND(H1176&lt;&gt;"",OR('Historia wózka'!$B$4="",F1176='Historia wózka'!$B$4),A1176&gt;='Historia wózka'!$B$5,A1176&lt;='Historia wózka'!$B$6),A1176+0.8+(5000-ROW())/10000000,0)</f>
        <v/>
      </c>
      <c r="J1176" s="63">
        <f>Ustawienia!$B$9&amp;""</f>
        <v/>
      </c>
      <c r="K1176" s="63">
        <f>IF(H1176="","",COUNTIFS('Zgłoszenia'!$B$5:$B$504,F1176,'Zgłoszenia'!$D$5:$D$504,"&gt;="&amp;A1176,'Zgłoszenia'!$D$5:$D$504,"&lt;="&amp;(A1176+1)))</f>
        <v/>
      </c>
      <c r="L1176" s="63">
        <f>IF(OR(H1176="",K1176=0),"—",IF(ISNUMBER(MATCH(H1176,'Zgłoszenia'!$S$5:$S$504,0)),RIGHT("0"&amp;DAY(A1176),2)&amp;"."&amp;RIGHT("0"&amp;MONTH(A1176),2)&amp;"."&amp;YEAR(A1176)&amp;": "&amp;INDEX('Zgłoszenia'!$H$5:$H$504,MATCH(H1176,'Zgłoszenia'!$S$5:$S$504,0)),RIGHT("0"&amp;DAY((A1176+1)),2)&amp;"."&amp;RIGHT("0"&amp;MONTH((A1176+1)),2)&amp;"."&amp;YEAR((A1176+1))&amp;": "&amp;INDEX('Zgłoszenia'!$H$5:$H$504,MATCH(F1176&amp;"|"&amp;(A1176+1),'Zgłoszenia'!$S$5:$S$504,0)))&amp;IF(K1176&gt;1," (+"&amp;(K1176-1)&amp;")",""))</f>
        <v/>
      </c>
      <c r="M1176" s="63" t="n">
        <v>15</v>
      </c>
      <c r="N1176" s="2" t="n"/>
      <c r="O1176" s="2" t="n"/>
    </row>
    <row r="1177">
      <c r="A1177" s="62">
        <f>IF('15'!$C$1="","",'15'!$C$1)</f>
        <v/>
      </c>
      <c r="B1177" s="63">
        <f>Ustawienia!$A$9&amp;""</f>
        <v/>
      </c>
      <c r="C1177" s="63">
        <f>Ustawienia!$A$16&amp;""</f>
        <v/>
      </c>
      <c r="D1177" s="63" t="n">
        <v>1</v>
      </c>
      <c r="E1177" s="63">
        <f>IF('15'!F22="","",TRIM('15'!F22&amp;""))</f>
        <v/>
      </c>
      <c r="F1177" s="63">
        <f>IF('15'!G22="","",'15'!G22)</f>
        <v/>
      </c>
      <c r="G1177" s="63">
        <f>'15'!H22&amp;""</f>
        <v/>
      </c>
      <c r="H1177" s="63">
        <f>IF(OR(A1177="",F1177=""),"",F1177&amp;"|"&amp;A1177)</f>
        <v/>
      </c>
      <c r="I1177" s="63">
        <f>IF(AND(H1177&lt;&gt;"",OR('Historia wózka'!$B$4="",F1177='Historia wózka'!$B$4),A1177&gt;='Historia wózka'!$B$5,A1177&lt;='Historia wózka'!$B$6),A1177+0.8+(5000-ROW())/10000000,0)</f>
        <v/>
      </c>
      <c r="J1177" s="63">
        <f>Ustawienia!$B$9&amp;""</f>
        <v/>
      </c>
      <c r="K1177" s="63">
        <f>IF(H1177="","",COUNTIFS('Zgłoszenia'!$B$5:$B$504,F1177,'Zgłoszenia'!$D$5:$D$504,"&gt;="&amp;A1177,'Zgłoszenia'!$D$5:$D$504,"&lt;="&amp;(A1177+1)))</f>
        <v/>
      </c>
      <c r="L1177" s="63">
        <f>IF(OR(H1177="",K1177=0),"—",IF(ISNUMBER(MATCH(H1177,'Zgłoszenia'!$S$5:$S$504,0)),RIGHT("0"&amp;DAY(A1177),2)&amp;"."&amp;RIGHT("0"&amp;MONTH(A1177),2)&amp;"."&amp;YEAR(A1177)&amp;": "&amp;INDEX('Zgłoszenia'!$H$5:$H$504,MATCH(H1177,'Zgłoszenia'!$S$5:$S$504,0)),RIGHT("0"&amp;DAY((A1177+1)),2)&amp;"."&amp;RIGHT("0"&amp;MONTH((A1177+1)),2)&amp;"."&amp;YEAR((A1177+1))&amp;": "&amp;INDEX('Zgłoszenia'!$H$5:$H$504,MATCH(F1177&amp;"|"&amp;(A1177+1),'Zgłoszenia'!$S$5:$S$504,0)))&amp;IF(K1177&gt;1," (+"&amp;(K1177-1)&amp;")",""))</f>
        <v/>
      </c>
      <c r="M1177" s="63" t="n">
        <v>15</v>
      </c>
      <c r="N1177" s="2" t="n"/>
      <c r="O1177" s="2" t="n"/>
    </row>
    <row r="1178">
      <c r="A1178" s="62">
        <f>IF('15'!$C$1="","",'15'!$C$1)</f>
        <v/>
      </c>
      <c r="B1178" s="63">
        <f>Ustawienia!$A$9&amp;""</f>
        <v/>
      </c>
      <c r="C1178" s="63">
        <f>Ustawienia!$A$16&amp;""</f>
        <v/>
      </c>
      <c r="D1178" s="63" t="n">
        <v>2</v>
      </c>
      <c r="E1178" s="63">
        <f>IF('15'!F23="","",TRIM('15'!F23&amp;""))</f>
        <v/>
      </c>
      <c r="F1178" s="63">
        <f>IF('15'!G23="","",'15'!G23)</f>
        <v/>
      </c>
      <c r="G1178" s="63">
        <f>'15'!H23&amp;""</f>
        <v/>
      </c>
      <c r="H1178" s="63">
        <f>IF(OR(A1178="",F1178=""),"",F1178&amp;"|"&amp;A1178)</f>
        <v/>
      </c>
      <c r="I1178" s="63">
        <f>IF(AND(H1178&lt;&gt;"",OR('Historia wózka'!$B$4="",F1178='Historia wózka'!$B$4),A1178&gt;='Historia wózka'!$B$5,A1178&lt;='Historia wózka'!$B$6),A1178+0.8+(5000-ROW())/10000000,0)</f>
        <v/>
      </c>
      <c r="J1178" s="63">
        <f>Ustawienia!$B$9&amp;""</f>
        <v/>
      </c>
      <c r="K1178" s="63">
        <f>IF(H1178="","",COUNTIFS('Zgłoszenia'!$B$5:$B$504,F1178,'Zgłoszenia'!$D$5:$D$504,"&gt;="&amp;A1178,'Zgłoszenia'!$D$5:$D$504,"&lt;="&amp;(A1178+1)))</f>
        <v/>
      </c>
      <c r="L1178" s="63">
        <f>IF(OR(H1178="",K1178=0),"—",IF(ISNUMBER(MATCH(H1178,'Zgłoszenia'!$S$5:$S$504,0)),RIGHT("0"&amp;DAY(A1178),2)&amp;"."&amp;RIGHT("0"&amp;MONTH(A1178),2)&amp;"."&amp;YEAR(A1178)&amp;": "&amp;INDEX('Zgłoszenia'!$H$5:$H$504,MATCH(H1178,'Zgłoszenia'!$S$5:$S$504,0)),RIGHT("0"&amp;DAY((A1178+1)),2)&amp;"."&amp;RIGHT("0"&amp;MONTH((A1178+1)),2)&amp;"."&amp;YEAR((A1178+1))&amp;": "&amp;INDEX('Zgłoszenia'!$H$5:$H$504,MATCH(F1178&amp;"|"&amp;(A1178+1),'Zgłoszenia'!$S$5:$S$504,0)))&amp;IF(K1178&gt;1," (+"&amp;(K1178-1)&amp;")",""))</f>
        <v/>
      </c>
      <c r="M1178" s="63" t="n">
        <v>15</v>
      </c>
      <c r="N1178" s="2" t="n"/>
      <c r="O1178" s="2" t="n"/>
    </row>
    <row r="1179">
      <c r="A1179" s="62">
        <f>IF('15'!$C$1="","",'15'!$C$1)</f>
        <v/>
      </c>
      <c r="B1179" s="63">
        <f>Ustawienia!$A$9&amp;""</f>
        <v/>
      </c>
      <c r="C1179" s="63">
        <f>Ustawienia!$A$16&amp;""</f>
        <v/>
      </c>
      <c r="D1179" s="63" t="n">
        <v>3</v>
      </c>
      <c r="E1179" s="63">
        <f>IF('15'!F24="","",TRIM('15'!F24&amp;""))</f>
        <v/>
      </c>
      <c r="F1179" s="63">
        <f>IF('15'!G24="","",'15'!G24)</f>
        <v/>
      </c>
      <c r="G1179" s="63">
        <f>'15'!H24&amp;""</f>
        <v/>
      </c>
      <c r="H1179" s="63">
        <f>IF(OR(A1179="",F1179=""),"",F1179&amp;"|"&amp;A1179)</f>
        <v/>
      </c>
      <c r="I1179" s="63">
        <f>IF(AND(H1179&lt;&gt;"",OR('Historia wózka'!$B$4="",F1179='Historia wózka'!$B$4),A1179&gt;='Historia wózka'!$B$5,A1179&lt;='Historia wózka'!$B$6),A1179+0.8+(5000-ROW())/10000000,0)</f>
        <v/>
      </c>
      <c r="J1179" s="63">
        <f>Ustawienia!$B$9&amp;""</f>
        <v/>
      </c>
      <c r="K1179" s="63">
        <f>IF(H1179="","",COUNTIFS('Zgłoszenia'!$B$5:$B$504,F1179,'Zgłoszenia'!$D$5:$D$504,"&gt;="&amp;A1179,'Zgłoszenia'!$D$5:$D$504,"&lt;="&amp;(A1179+1)))</f>
        <v/>
      </c>
      <c r="L1179" s="63">
        <f>IF(OR(H1179="",K1179=0),"—",IF(ISNUMBER(MATCH(H1179,'Zgłoszenia'!$S$5:$S$504,0)),RIGHT("0"&amp;DAY(A1179),2)&amp;"."&amp;RIGHT("0"&amp;MONTH(A1179),2)&amp;"."&amp;YEAR(A1179)&amp;": "&amp;INDEX('Zgłoszenia'!$H$5:$H$504,MATCH(H1179,'Zgłoszenia'!$S$5:$S$504,0)),RIGHT("0"&amp;DAY((A1179+1)),2)&amp;"."&amp;RIGHT("0"&amp;MONTH((A1179+1)),2)&amp;"."&amp;YEAR((A1179+1))&amp;": "&amp;INDEX('Zgłoszenia'!$H$5:$H$504,MATCH(F1179&amp;"|"&amp;(A1179+1),'Zgłoszenia'!$S$5:$S$504,0)))&amp;IF(K1179&gt;1," (+"&amp;(K1179-1)&amp;")",""))</f>
        <v/>
      </c>
      <c r="M1179" s="63" t="n">
        <v>15</v>
      </c>
      <c r="N1179" s="2" t="n"/>
      <c r="O1179" s="2" t="n"/>
    </row>
    <row r="1180">
      <c r="A1180" s="62">
        <f>IF('15'!$C$1="","",'15'!$C$1)</f>
        <v/>
      </c>
      <c r="B1180" s="63">
        <f>Ustawienia!$A$9&amp;""</f>
        <v/>
      </c>
      <c r="C1180" s="63">
        <f>Ustawienia!$A$16&amp;""</f>
        <v/>
      </c>
      <c r="D1180" s="63" t="n">
        <v>4</v>
      </c>
      <c r="E1180" s="63">
        <f>IF('15'!F25="","",TRIM('15'!F25&amp;""))</f>
        <v/>
      </c>
      <c r="F1180" s="63">
        <f>IF('15'!G25="","",'15'!G25)</f>
        <v/>
      </c>
      <c r="G1180" s="63">
        <f>'15'!H25&amp;""</f>
        <v/>
      </c>
      <c r="H1180" s="63">
        <f>IF(OR(A1180="",F1180=""),"",F1180&amp;"|"&amp;A1180)</f>
        <v/>
      </c>
      <c r="I1180" s="63">
        <f>IF(AND(H1180&lt;&gt;"",OR('Historia wózka'!$B$4="",F1180='Historia wózka'!$B$4),A1180&gt;='Historia wózka'!$B$5,A1180&lt;='Historia wózka'!$B$6),A1180+0.8+(5000-ROW())/10000000,0)</f>
        <v/>
      </c>
      <c r="J1180" s="63">
        <f>Ustawienia!$B$9&amp;""</f>
        <v/>
      </c>
      <c r="K1180" s="63">
        <f>IF(H1180="","",COUNTIFS('Zgłoszenia'!$B$5:$B$504,F1180,'Zgłoszenia'!$D$5:$D$504,"&gt;="&amp;A1180,'Zgłoszenia'!$D$5:$D$504,"&lt;="&amp;(A1180+1)))</f>
        <v/>
      </c>
      <c r="L1180" s="63">
        <f>IF(OR(H1180="",K1180=0),"—",IF(ISNUMBER(MATCH(H1180,'Zgłoszenia'!$S$5:$S$504,0)),RIGHT("0"&amp;DAY(A1180),2)&amp;"."&amp;RIGHT("0"&amp;MONTH(A1180),2)&amp;"."&amp;YEAR(A1180)&amp;": "&amp;INDEX('Zgłoszenia'!$H$5:$H$504,MATCH(H1180,'Zgłoszenia'!$S$5:$S$504,0)),RIGHT("0"&amp;DAY((A1180+1)),2)&amp;"."&amp;RIGHT("0"&amp;MONTH((A1180+1)),2)&amp;"."&amp;YEAR((A1180+1))&amp;": "&amp;INDEX('Zgłoszenia'!$H$5:$H$504,MATCH(F1180&amp;"|"&amp;(A1180+1),'Zgłoszenia'!$S$5:$S$504,0)))&amp;IF(K1180&gt;1," (+"&amp;(K1180-1)&amp;")",""))</f>
        <v/>
      </c>
      <c r="M1180" s="63" t="n">
        <v>15</v>
      </c>
      <c r="N1180" s="2" t="n"/>
      <c r="O1180" s="2" t="n"/>
    </row>
    <row r="1181">
      <c r="A1181" s="62">
        <f>IF('15'!$C$1="","",'15'!$C$1)</f>
        <v/>
      </c>
      <c r="B1181" s="63">
        <f>Ustawienia!$A$9&amp;""</f>
        <v/>
      </c>
      <c r="C1181" s="63">
        <f>Ustawienia!$A$17&amp;""</f>
        <v/>
      </c>
      <c r="D1181" s="63" t="n">
        <v>1</v>
      </c>
      <c r="E1181" s="63">
        <f>IF('15'!F27="","",TRIM('15'!F27&amp;""))</f>
        <v/>
      </c>
      <c r="F1181" s="63">
        <f>IF('15'!G27="","",'15'!G27)</f>
        <v/>
      </c>
      <c r="G1181" s="63">
        <f>'15'!H27&amp;""</f>
        <v/>
      </c>
      <c r="H1181" s="63">
        <f>IF(OR(A1181="",F1181=""),"",F1181&amp;"|"&amp;A1181)</f>
        <v/>
      </c>
      <c r="I1181" s="63">
        <f>IF(AND(H1181&lt;&gt;"",OR('Historia wózka'!$B$4="",F1181='Historia wózka'!$B$4),A1181&gt;='Historia wózka'!$B$5,A1181&lt;='Historia wózka'!$B$6),A1181+0.8+(5000-ROW())/10000000,0)</f>
        <v/>
      </c>
      <c r="J1181" s="63">
        <f>Ustawienia!$B$9&amp;""</f>
        <v/>
      </c>
      <c r="K1181" s="63">
        <f>IF(H1181="","",COUNTIFS('Zgłoszenia'!$B$5:$B$504,F1181,'Zgłoszenia'!$D$5:$D$504,"&gt;="&amp;A1181,'Zgłoszenia'!$D$5:$D$504,"&lt;="&amp;(A1181+1)))</f>
        <v/>
      </c>
      <c r="L1181" s="63">
        <f>IF(OR(H1181="",K1181=0),"—",IF(ISNUMBER(MATCH(H1181,'Zgłoszenia'!$S$5:$S$504,0)),RIGHT("0"&amp;DAY(A1181),2)&amp;"."&amp;RIGHT("0"&amp;MONTH(A1181),2)&amp;"."&amp;YEAR(A1181)&amp;": "&amp;INDEX('Zgłoszenia'!$H$5:$H$504,MATCH(H1181,'Zgłoszenia'!$S$5:$S$504,0)),RIGHT("0"&amp;DAY((A1181+1)),2)&amp;"."&amp;RIGHT("0"&amp;MONTH((A1181+1)),2)&amp;"."&amp;YEAR((A1181+1))&amp;": "&amp;INDEX('Zgłoszenia'!$H$5:$H$504,MATCH(F1181&amp;"|"&amp;(A1181+1),'Zgłoszenia'!$S$5:$S$504,0)))&amp;IF(K1181&gt;1," (+"&amp;(K1181-1)&amp;")",""))</f>
        <v/>
      </c>
      <c r="M1181" s="63" t="n">
        <v>15</v>
      </c>
      <c r="N1181" s="2" t="n"/>
      <c r="O1181" s="2" t="n"/>
    </row>
    <row r="1182">
      <c r="A1182" s="62">
        <f>IF('15'!$C$1="","",'15'!$C$1)</f>
        <v/>
      </c>
      <c r="B1182" s="63">
        <f>Ustawienia!$A$9&amp;""</f>
        <v/>
      </c>
      <c r="C1182" s="63">
        <f>Ustawienia!$A$17&amp;""</f>
        <v/>
      </c>
      <c r="D1182" s="63" t="n">
        <v>2</v>
      </c>
      <c r="E1182" s="63">
        <f>IF('15'!F28="","",TRIM('15'!F28&amp;""))</f>
        <v/>
      </c>
      <c r="F1182" s="63">
        <f>IF('15'!G28="","",'15'!G28)</f>
        <v/>
      </c>
      <c r="G1182" s="63">
        <f>'15'!H28&amp;""</f>
        <v/>
      </c>
      <c r="H1182" s="63">
        <f>IF(OR(A1182="",F1182=""),"",F1182&amp;"|"&amp;A1182)</f>
        <v/>
      </c>
      <c r="I1182" s="63">
        <f>IF(AND(H1182&lt;&gt;"",OR('Historia wózka'!$B$4="",F1182='Historia wózka'!$B$4),A1182&gt;='Historia wózka'!$B$5,A1182&lt;='Historia wózka'!$B$6),A1182+0.8+(5000-ROW())/10000000,0)</f>
        <v/>
      </c>
      <c r="J1182" s="63">
        <f>Ustawienia!$B$9&amp;""</f>
        <v/>
      </c>
      <c r="K1182" s="63">
        <f>IF(H1182="","",COUNTIFS('Zgłoszenia'!$B$5:$B$504,F1182,'Zgłoszenia'!$D$5:$D$504,"&gt;="&amp;A1182,'Zgłoszenia'!$D$5:$D$504,"&lt;="&amp;(A1182+1)))</f>
        <v/>
      </c>
      <c r="L1182" s="63">
        <f>IF(OR(H1182="",K1182=0),"—",IF(ISNUMBER(MATCH(H1182,'Zgłoszenia'!$S$5:$S$504,0)),RIGHT("0"&amp;DAY(A1182),2)&amp;"."&amp;RIGHT("0"&amp;MONTH(A1182),2)&amp;"."&amp;YEAR(A1182)&amp;": "&amp;INDEX('Zgłoszenia'!$H$5:$H$504,MATCH(H1182,'Zgłoszenia'!$S$5:$S$504,0)),RIGHT("0"&amp;DAY((A1182+1)),2)&amp;"."&amp;RIGHT("0"&amp;MONTH((A1182+1)),2)&amp;"."&amp;YEAR((A1182+1))&amp;": "&amp;INDEX('Zgłoszenia'!$H$5:$H$504,MATCH(F1182&amp;"|"&amp;(A1182+1),'Zgłoszenia'!$S$5:$S$504,0)))&amp;IF(K1182&gt;1," (+"&amp;(K1182-1)&amp;")",""))</f>
        <v/>
      </c>
      <c r="M1182" s="63" t="n">
        <v>15</v>
      </c>
      <c r="N1182" s="2" t="n"/>
      <c r="O1182" s="2" t="n"/>
    </row>
    <row r="1183">
      <c r="A1183" s="62">
        <f>IF('15'!$C$1="","",'15'!$C$1)</f>
        <v/>
      </c>
      <c r="B1183" s="63">
        <f>Ustawienia!$A$9&amp;""</f>
        <v/>
      </c>
      <c r="C1183" s="63">
        <f>Ustawienia!$A$17&amp;""</f>
        <v/>
      </c>
      <c r="D1183" s="63" t="n">
        <v>3</v>
      </c>
      <c r="E1183" s="63">
        <f>IF('15'!F29="","",TRIM('15'!F29&amp;""))</f>
        <v/>
      </c>
      <c r="F1183" s="63">
        <f>IF('15'!G29="","",'15'!G29)</f>
        <v/>
      </c>
      <c r="G1183" s="63">
        <f>'15'!H29&amp;""</f>
        <v/>
      </c>
      <c r="H1183" s="63">
        <f>IF(OR(A1183="",F1183=""),"",F1183&amp;"|"&amp;A1183)</f>
        <v/>
      </c>
      <c r="I1183" s="63">
        <f>IF(AND(H1183&lt;&gt;"",OR('Historia wózka'!$B$4="",F1183='Historia wózka'!$B$4),A1183&gt;='Historia wózka'!$B$5,A1183&lt;='Historia wózka'!$B$6),A1183+0.8+(5000-ROW())/10000000,0)</f>
        <v/>
      </c>
      <c r="J1183" s="63">
        <f>Ustawienia!$B$9&amp;""</f>
        <v/>
      </c>
      <c r="K1183" s="63">
        <f>IF(H1183="","",COUNTIFS('Zgłoszenia'!$B$5:$B$504,F1183,'Zgłoszenia'!$D$5:$D$504,"&gt;="&amp;A1183,'Zgłoszenia'!$D$5:$D$504,"&lt;="&amp;(A1183+1)))</f>
        <v/>
      </c>
      <c r="L1183" s="63">
        <f>IF(OR(H1183="",K1183=0),"—",IF(ISNUMBER(MATCH(H1183,'Zgłoszenia'!$S$5:$S$504,0)),RIGHT("0"&amp;DAY(A1183),2)&amp;"."&amp;RIGHT("0"&amp;MONTH(A1183),2)&amp;"."&amp;YEAR(A1183)&amp;": "&amp;INDEX('Zgłoszenia'!$H$5:$H$504,MATCH(H1183,'Zgłoszenia'!$S$5:$S$504,0)),RIGHT("0"&amp;DAY((A1183+1)),2)&amp;"."&amp;RIGHT("0"&amp;MONTH((A1183+1)),2)&amp;"."&amp;YEAR((A1183+1))&amp;": "&amp;INDEX('Zgłoszenia'!$H$5:$H$504,MATCH(F1183&amp;"|"&amp;(A1183+1),'Zgłoszenia'!$S$5:$S$504,0)))&amp;IF(K1183&gt;1," (+"&amp;(K1183-1)&amp;")",""))</f>
        <v/>
      </c>
      <c r="M1183" s="63" t="n">
        <v>15</v>
      </c>
      <c r="N1183" s="2" t="n"/>
      <c r="O1183" s="2" t="n"/>
    </row>
    <row r="1184">
      <c r="A1184" s="62">
        <f>IF('15'!$C$1="","",'15'!$C$1)</f>
        <v/>
      </c>
      <c r="B1184" s="63">
        <f>Ustawienia!$A$9&amp;""</f>
        <v/>
      </c>
      <c r="C1184" s="63">
        <f>Ustawienia!$A$17&amp;""</f>
        <v/>
      </c>
      <c r="D1184" s="63" t="n">
        <v>4</v>
      </c>
      <c r="E1184" s="63">
        <f>IF('15'!F30="","",TRIM('15'!F30&amp;""))</f>
        <v/>
      </c>
      <c r="F1184" s="63">
        <f>IF('15'!G30="","",'15'!G30)</f>
        <v/>
      </c>
      <c r="G1184" s="63">
        <f>'15'!H30&amp;""</f>
        <v/>
      </c>
      <c r="H1184" s="63">
        <f>IF(OR(A1184="",F1184=""),"",F1184&amp;"|"&amp;A1184)</f>
        <v/>
      </c>
      <c r="I1184" s="63">
        <f>IF(AND(H1184&lt;&gt;"",OR('Historia wózka'!$B$4="",F1184='Historia wózka'!$B$4),A1184&gt;='Historia wózka'!$B$5,A1184&lt;='Historia wózka'!$B$6),A1184+0.8+(5000-ROW())/10000000,0)</f>
        <v/>
      </c>
      <c r="J1184" s="63">
        <f>Ustawienia!$B$9&amp;""</f>
        <v/>
      </c>
      <c r="K1184" s="63">
        <f>IF(H1184="","",COUNTIFS('Zgłoszenia'!$B$5:$B$504,F1184,'Zgłoszenia'!$D$5:$D$504,"&gt;="&amp;A1184,'Zgłoszenia'!$D$5:$D$504,"&lt;="&amp;(A1184+1)))</f>
        <v/>
      </c>
      <c r="L1184" s="63">
        <f>IF(OR(H1184="",K1184=0),"—",IF(ISNUMBER(MATCH(H1184,'Zgłoszenia'!$S$5:$S$504,0)),RIGHT("0"&amp;DAY(A1184),2)&amp;"."&amp;RIGHT("0"&amp;MONTH(A1184),2)&amp;"."&amp;YEAR(A1184)&amp;": "&amp;INDEX('Zgłoszenia'!$H$5:$H$504,MATCH(H1184,'Zgłoszenia'!$S$5:$S$504,0)),RIGHT("0"&amp;DAY((A1184+1)),2)&amp;"."&amp;RIGHT("0"&amp;MONTH((A1184+1)),2)&amp;"."&amp;YEAR((A1184+1))&amp;": "&amp;INDEX('Zgłoszenia'!$H$5:$H$504,MATCH(F1184&amp;"|"&amp;(A1184+1),'Zgłoszenia'!$S$5:$S$504,0)))&amp;IF(K1184&gt;1," (+"&amp;(K1184-1)&amp;")",""))</f>
        <v/>
      </c>
      <c r="M1184" s="63" t="n">
        <v>15</v>
      </c>
      <c r="N1184" s="2" t="n"/>
      <c r="O1184" s="2" t="n"/>
    </row>
    <row r="1185">
      <c r="A1185" s="62">
        <f>IF('15'!$C$1="","",'15'!$C$1)</f>
        <v/>
      </c>
      <c r="B1185" s="63">
        <f>Ustawienia!$A$9&amp;""</f>
        <v/>
      </c>
      <c r="C1185" s="63">
        <f>Ustawienia!$A$18&amp;""</f>
        <v/>
      </c>
      <c r="D1185" s="63" t="n">
        <v>1</v>
      </c>
      <c r="E1185" s="63">
        <f>IF('15'!F32="","",TRIM('15'!F32&amp;""))</f>
        <v/>
      </c>
      <c r="F1185" s="63">
        <f>IF('15'!G32="","",'15'!G32)</f>
        <v/>
      </c>
      <c r="G1185" s="63">
        <f>'15'!H32&amp;""</f>
        <v/>
      </c>
      <c r="H1185" s="63">
        <f>IF(OR(A1185="",F1185=""),"",F1185&amp;"|"&amp;A1185)</f>
        <v/>
      </c>
      <c r="I1185" s="63">
        <f>IF(AND(H1185&lt;&gt;"",OR('Historia wózka'!$B$4="",F1185='Historia wózka'!$B$4),A1185&gt;='Historia wózka'!$B$5,A1185&lt;='Historia wózka'!$B$6),A1185+0.8+(5000-ROW())/10000000,0)</f>
        <v/>
      </c>
      <c r="J1185" s="63">
        <f>Ustawienia!$B$9&amp;""</f>
        <v/>
      </c>
      <c r="K1185" s="63">
        <f>IF(H1185="","",COUNTIFS('Zgłoszenia'!$B$5:$B$504,F1185,'Zgłoszenia'!$D$5:$D$504,"&gt;="&amp;A1185,'Zgłoszenia'!$D$5:$D$504,"&lt;="&amp;(A1185+1)))</f>
        <v/>
      </c>
      <c r="L1185" s="63">
        <f>IF(OR(H1185="",K1185=0),"—",IF(ISNUMBER(MATCH(H1185,'Zgłoszenia'!$S$5:$S$504,0)),RIGHT("0"&amp;DAY(A1185),2)&amp;"."&amp;RIGHT("0"&amp;MONTH(A1185),2)&amp;"."&amp;YEAR(A1185)&amp;": "&amp;INDEX('Zgłoszenia'!$H$5:$H$504,MATCH(H1185,'Zgłoszenia'!$S$5:$S$504,0)),RIGHT("0"&amp;DAY((A1185+1)),2)&amp;"."&amp;RIGHT("0"&amp;MONTH((A1185+1)),2)&amp;"."&amp;YEAR((A1185+1))&amp;": "&amp;INDEX('Zgłoszenia'!$H$5:$H$504,MATCH(F1185&amp;"|"&amp;(A1185+1),'Zgłoszenia'!$S$5:$S$504,0)))&amp;IF(K1185&gt;1," (+"&amp;(K1185-1)&amp;")",""))</f>
        <v/>
      </c>
      <c r="M1185" s="63" t="n">
        <v>15</v>
      </c>
      <c r="N1185" s="2" t="n"/>
      <c r="O1185" s="2" t="n"/>
    </row>
    <row r="1186">
      <c r="A1186" s="62">
        <f>IF('15'!$C$1="","",'15'!$C$1)</f>
        <v/>
      </c>
      <c r="B1186" s="63">
        <f>Ustawienia!$A$9&amp;""</f>
        <v/>
      </c>
      <c r="C1186" s="63">
        <f>Ustawienia!$A$18&amp;""</f>
        <v/>
      </c>
      <c r="D1186" s="63" t="n">
        <v>2</v>
      </c>
      <c r="E1186" s="63">
        <f>IF('15'!F33="","",TRIM('15'!F33&amp;""))</f>
        <v/>
      </c>
      <c r="F1186" s="63">
        <f>IF('15'!G33="","",'15'!G33)</f>
        <v/>
      </c>
      <c r="G1186" s="63">
        <f>'15'!H33&amp;""</f>
        <v/>
      </c>
      <c r="H1186" s="63">
        <f>IF(OR(A1186="",F1186=""),"",F1186&amp;"|"&amp;A1186)</f>
        <v/>
      </c>
      <c r="I1186" s="63">
        <f>IF(AND(H1186&lt;&gt;"",OR('Historia wózka'!$B$4="",F1186='Historia wózka'!$B$4),A1186&gt;='Historia wózka'!$B$5,A1186&lt;='Historia wózka'!$B$6),A1186+0.8+(5000-ROW())/10000000,0)</f>
        <v/>
      </c>
      <c r="J1186" s="63">
        <f>Ustawienia!$B$9&amp;""</f>
        <v/>
      </c>
      <c r="K1186" s="63">
        <f>IF(H1186="","",COUNTIFS('Zgłoszenia'!$B$5:$B$504,F1186,'Zgłoszenia'!$D$5:$D$504,"&gt;="&amp;A1186,'Zgłoszenia'!$D$5:$D$504,"&lt;="&amp;(A1186+1)))</f>
        <v/>
      </c>
      <c r="L1186" s="63">
        <f>IF(OR(H1186="",K1186=0),"—",IF(ISNUMBER(MATCH(H1186,'Zgłoszenia'!$S$5:$S$504,0)),RIGHT("0"&amp;DAY(A1186),2)&amp;"."&amp;RIGHT("0"&amp;MONTH(A1186),2)&amp;"."&amp;YEAR(A1186)&amp;": "&amp;INDEX('Zgłoszenia'!$H$5:$H$504,MATCH(H1186,'Zgłoszenia'!$S$5:$S$504,0)),RIGHT("0"&amp;DAY((A1186+1)),2)&amp;"."&amp;RIGHT("0"&amp;MONTH((A1186+1)),2)&amp;"."&amp;YEAR((A1186+1))&amp;": "&amp;INDEX('Zgłoszenia'!$H$5:$H$504,MATCH(F1186&amp;"|"&amp;(A1186+1),'Zgłoszenia'!$S$5:$S$504,0)))&amp;IF(K1186&gt;1," (+"&amp;(K1186-1)&amp;")",""))</f>
        <v/>
      </c>
      <c r="M1186" s="63" t="n">
        <v>15</v>
      </c>
      <c r="N1186" s="2" t="n"/>
      <c r="O1186" s="2" t="n"/>
    </row>
    <row r="1187">
      <c r="A1187" s="62">
        <f>IF('15'!$C$1="","",'15'!$C$1)</f>
        <v/>
      </c>
      <c r="B1187" s="63">
        <f>Ustawienia!$A$9&amp;""</f>
        <v/>
      </c>
      <c r="C1187" s="63">
        <f>Ustawienia!$A$18&amp;""</f>
        <v/>
      </c>
      <c r="D1187" s="63" t="n">
        <v>3</v>
      </c>
      <c r="E1187" s="63">
        <f>IF('15'!F34="","",TRIM('15'!F34&amp;""))</f>
        <v/>
      </c>
      <c r="F1187" s="63">
        <f>IF('15'!G34="","",'15'!G34)</f>
        <v/>
      </c>
      <c r="G1187" s="63">
        <f>'15'!H34&amp;""</f>
        <v/>
      </c>
      <c r="H1187" s="63">
        <f>IF(OR(A1187="",F1187=""),"",F1187&amp;"|"&amp;A1187)</f>
        <v/>
      </c>
      <c r="I1187" s="63">
        <f>IF(AND(H1187&lt;&gt;"",OR('Historia wózka'!$B$4="",F1187='Historia wózka'!$B$4),A1187&gt;='Historia wózka'!$B$5,A1187&lt;='Historia wózka'!$B$6),A1187+0.8+(5000-ROW())/10000000,0)</f>
        <v/>
      </c>
      <c r="J1187" s="63">
        <f>Ustawienia!$B$9&amp;""</f>
        <v/>
      </c>
      <c r="K1187" s="63">
        <f>IF(H1187="","",COUNTIFS('Zgłoszenia'!$B$5:$B$504,F1187,'Zgłoszenia'!$D$5:$D$504,"&gt;="&amp;A1187,'Zgłoszenia'!$D$5:$D$504,"&lt;="&amp;(A1187+1)))</f>
        <v/>
      </c>
      <c r="L1187" s="63">
        <f>IF(OR(H1187="",K1187=0),"—",IF(ISNUMBER(MATCH(H1187,'Zgłoszenia'!$S$5:$S$504,0)),RIGHT("0"&amp;DAY(A1187),2)&amp;"."&amp;RIGHT("0"&amp;MONTH(A1187),2)&amp;"."&amp;YEAR(A1187)&amp;": "&amp;INDEX('Zgłoszenia'!$H$5:$H$504,MATCH(H1187,'Zgłoszenia'!$S$5:$S$504,0)),RIGHT("0"&amp;DAY((A1187+1)),2)&amp;"."&amp;RIGHT("0"&amp;MONTH((A1187+1)),2)&amp;"."&amp;YEAR((A1187+1))&amp;": "&amp;INDEX('Zgłoszenia'!$H$5:$H$504,MATCH(F1187&amp;"|"&amp;(A1187+1),'Zgłoszenia'!$S$5:$S$504,0)))&amp;IF(K1187&gt;1," (+"&amp;(K1187-1)&amp;")",""))</f>
        <v/>
      </c>
      <c r="M1187" s="63" t="n">
        <v>15</v>
      </c>
      <c r="N1187" s="2" t="n"/>
      <c r="O1187" s="2" t="n"/>
    </row>
    <row r="1188">
      <c r="A1188" s="62">
        <f>IF('15'!$C$1="","",'15'!$C$1)</f>
        <v/>
      </c>
      <c r="B1188" s="63">
        <f>Ustawienia!$A$9&amp;""</f>
        <v/>
      </c>
      <c r="C1188" s="63">
        <f>Ustawienia!$A$18&amp;""</f>
        <v/>
      </c>
      <c r="D1188" s="63" t="n">
        <v>4</v>
      </c>
      <c r="E1188" s="63">
        <f>IF('15'!F35="","",TRIM('15'!F35&amp;""))</f>
        <v/>
      </c>
      <c r="F1188" s="63">
        <f>IF('15'!G35="","",'15'!G35)</f>
        <v/>
      </c>
      <c r="G1188" s="63">
        <f>'15'!H35&amp;""</f>
        <v/>
      </c>
      <c r="H1188" s="63">
        <f>IF(OR(A1188="",F1188=""),"",F1188&amp;"|"&amp;A1188)</f>
        <v/>
      </c>
      <c r="I1188" s="63">
        <f>IF(AND(H1188&lt;&gt;"",OR('Historia wózka'!$B$4="",F1188='Historia wózka'!$B$4),A1188&gt;='Historia wózka'!$B$5,A1188&lt;='Historia wózka'!$B$6),A1188+0.8+(5000-ROW())/10000000,0)</f>
        <v/>
      </c>
      <c r="J1188" s="63">
        <f>Ustawienia!$B$9&amp;""</f>
        <v/>
      </c>
      <c r="K1188" s="63">
        <f>IF(H1188="","",COUNTIFS('Zgłoszenia'!$B$5:$B$504,F1188,'Zgłoszenia'!$D$5:$D$504,"&gt;="&amp;A1188,'Zgłoszenia'!$D$5:$D$504,"&lt;="&amp;(A1188+1)))</f>
        <v/>
      </c>
      <c r="L1188" s="63">
        <f>IF(OR(H1188="",K1188=0),"—",IF(ISNUMBER(MATCH(H1188,'Zgłoszenia'!$S$5:$S$504,0)),RIGHT("0"&amp;DAY(A1188),2)&amp;"."&amp;RIGHT("0"&amp;MONTH(A1188),2)&amp;"."&amp;YEAR(A1188)&amp;": "&amp;INDEX('Zgłoszenia'!$H$5:$H$504,MATCH(H1188,'Zgłoszenia'!$S$5:$S$504,0)),RIGHT("0"&amp;DAY((A1188+1)),2)&amp;"."&amp;RIGHT("0"&amp;MONTH((A1188+1)),2)&amp;"."&amp;YEAR((A1188+1))&amp;": "&amp;INDEX('Zgłoszenia'!$H$5:$H$504,MATCH(F1188&amp;"|"&amp;(A1188+1),'Zgłoszenia'!$S$5:$S$504,0)))&amp;IF(K1188&gt;1," (+"&amp;(K1188-1)&amp;")",""))</f>
        <v/>
      </c>
      <c r="M1188" s="63" t="n">
        <v>15</v>
      </c>
      <c r="N1188" s="2" t="n"/>
      <c r="O1188" s="2" t="n"/>
    </row>
    <row r="1189">
      <c r="A1189" s="62">
        <f>IF('15'!$C$1="","",'15'!$C$1)</f>
        <v/>
      </c>
      <c r="B1189" s="63">
        <f>Ustawienia!$A$9&amp;""</f>
        <v/>
      </c>
      <c r="C1189" s="63">
        <f>Ustawienia!$A$18&amp;""</f>
        <v/>
      </c>
      <c r="D1189" s="63" t="n">
        <v>5</v>
      </c>
      <c r="E1189" s="63">
        <f>IF('15'!F36="","",TRIM('15'!F36&amp;""))</f>
        <v/>
      </c>
      <c r="F1189" s="63">
        <f>IF('15'!G36="","",'15'!G36)</f>
        <v/>
      </c>
      <c r="G1189" s="63">
        <f>'15'!H36&amp;""</f>
        <v/>
      </c>
      <c r="H1189" s="63">
        <f>IF(OR(A1189="",F1189=""),"",F1189&amp;"|"&amp;A1189)</f>
        <v/>
      </c>
      <c r="I1189" s="63">
        <f>IF(AND(H1189&lt;&gt;"",OR('Historia wózka'!$B$4="",F1189='Historia wózka'!$B$4),A1189&gt;='Historia wózka'!$B$5,A1189&lt;='Historia wózka'!$B$6),A1189+0.8+(5000-ROW())/10000000,0)</f>
        <v/>
      </c>
      <c r="J1189" s="63">
        <f>Ustawienia!$B$9&amp;""</f>
        <v/>
      </c>
      <c r="K1189" s="63">
        <f>IF(H1189="","",COUNTIFS('Zgłoszenia'!$B$5:$B$504,F1189,'Zgłoszenia'!$D$5:$D$504,"&gt;="&amp;A1189,'Zgłoszenia'!$D$5:$D$504,"&lt;="&amp;(A1189+1)))</f>
        <v/>
      </c>
      <c r="L1189" s="63">
        <f>IF(OR(H1189="",K1189=0),"—",IF(ISNUMBER(MATCH(H1189,'Zgłoszenia'!$S$5:$S$504,0)),RIGHT("0"&amp;DAY(A1189),2)&amp;"."&amp;RIGHT("0"&amp;MONTH(A1189),2)&amp;"."&amp;YEAR(A1189)&amp;": "&amp;INDEX('Zgłoszenia'!$H$5:$H$504,MATCH(H1189,'Zgłoszenia'!$S$5:$S$504,0)),RIGHT("0"&amp;DAY((A1189+1)),2)&amp;"."&amp;RIGHT("0"&amp;MONTH((A1189+1)),2)&amp;"."&amp;YEAR((A1189+1))&amp;": "&amp;INDEX('Zgłoszenia'!$H$5:$H$504,MATCH(F1189&amp;"|"&amp;(A1189+1),'Zgłoszenia'!$S$5:$S$504,0)))&amp;IF(K1189&gt;1," (+"&amp;(K1189-1)&amp;")",""))</f>
        <v/>
      </c>
      <c r="M1189" s="63" t="n">
        <v>15</v>
      </c>
      <c r="N1189" s="2" t="n"/>
      <c r="O1189" s="2" t="n"/>
    </row>
    <row r="1190">
      <c r="A1190" s="62">
        <f>IF('15'!$C$1="","",'15'!$C$1)</f>
        <v/>
      </c>
      <c r="B1190" s="63">
        <f>Ustawienia!$A$10&amp;""</f>
        <v/>
      </c>
      <c r="C1190" s="63">
        <f>Ustawienia!$A$14&amp;""</f>
        <v/>
      </c>
      <c r="D1190" s="63" t="n">
        <v>1</v>
      </c>
      <c r="E1190" s="63">
        <f>IF('15'!J6="","",TRIM('15'!J6&amp;""))</f>
        <v/>
      </c>
      <c r="F1190" s="63">
        <f>IF('15'!K6="","",'15'!K6)</f>
        <v/>
      </c>
      <c r="G1190" s="63">
        <f>'15'!L6&amp;""</f>
        <v/>
      </c>
      <c r="H1190" s="63">
        <f>IF(OR(A1190="",F1190=""),"",F1190&amp;"|"&amp;A1190)</f>
        <v/>
      </c>
      <c r="I1190" s="63">
        <f>IF(AND(H1190&lt;&gt;"",OR('Historia wózka'!$B$4="",F1190='Historia wózka'!$B$4),A1190&gt;='Historia wózka'!$B$5,A1190&lt;='Historia wózka'!$B$6),A1190+0.7+(5000-ROW())/10000000,0)</f>
        <v/>
      </c>
      <c r="J1190" s="63">
        <f>Ustawienia!$B$10&amp;""</f>
        <v/>
      </c>
      <c r="K1190" s="63">
        <f>IF(H1190="","",COUNTIFS('Zgłoszenia'!$B$5:$B$504,F1190,'Zgłoszenia'!$D$5:$D$504,"&gt;="&amp;A1190,'Zgłoszenia'!$D$5:$D$504,"&lt;="&amp;(A1190+1)))</f>
        <v/>
      </c>
      <c r="L1190" s="63">
        <f>IF(OR(H1190="",K1190=0),"—",IF(ISNUMBER(MATCH(H1190,'Zgłoszenia'!$S$5:$S$504,0)),RIGHT("0"&amp;DAY(A1190),2)&amp;"."&amp;RIGHT("0"&amp;MONTH(A1190),2)&amp;"."&amp;YEAR(A1190)&amp;": "&amp;INDEX('Zgłoszenia'!$H$5:$H$504,MATCH(H1190,'Zgłoszenia'!$S$5:$S$504,0)),RIGHT("0"&amp;DAY((A1190+1)),2)&amp;"."&amp;RIGHT("0"&amp;MONTH((A1190+1)),2)&amp;"."&amp;YEAR((A1190+1))&amp;": "&amp;INDEX('Zgłoszenia'!$H$5:$H$504,MATCH(F1190&amp;"|"&amp;(A1190+1),'Zgłoszenia'!$S$5:$S$504,0)))&amp;IF(K1190&gt;1," (+"&amp;(K1190-1)&amp;")",""))</f>
        <v/>
      </c>
      <c r="M1190" s="63" t="n">
        <v>15</v>
      </c>
      <c r="N1190" s="2" t="n"/>
      <c r="O1190" s="2" t="n"/>
    </row>
    <row r="1191">
      <c r="A1191" s="62">
        <f>IF('15'!$C$1="","",'15'!$C$1)</f>
        <v/>
      </c>
      <c r="B1191" s="63">
        <f>Ustawienia!$A$10&amp;""</f>
        <v/>
      </c>
      <c r="C1191" s="63">
        <f>Ustawienia!$A$14&amp;""</f>
        <v/>
      </c>
      <c r="D1191" s="63" t="n">
        <v>2</v>
      </c>
      <c r="E1191" s="63">
        <f>IF('15'!J7="","",TRIM('15'!J7&amp;""))</f>
        <v/>
      </c>
      <c r="F1191" s="63">
        <f>IF('15'!K7="","",'15'!K7)</f>
        <v/>
      </c>
      <c r="G1191" s="63">
        <f>'15'!L7&amp;""</f>
        <v/>
      </c>
      <c r="H1191" s="63">
        <f>IF(OR(A1191="",F1191=""),"",F1191&amp;"|"&amp;A1191)</f>
        <v/>
      </c>
      <c r="I1191" s="63">
        <f>IF(AND(H1191&lt;&gt;"",OR('Historia wózka'!$B$4="",F1191='Historia wózka'!$B$4),A1191&gt;='Historia wózka'!$B$5,A1191&lt;='Historia wózka'!$B$6),A1191+0.7+(5000-ROW())/10000000,0)</f>
        <v/>
      </c>
      <c r="J1191" s="63">
        <f>Ustawienia!$B$10&amp;""</f>
        <v/>
      </c>
      <c r="K1191" s="63">
        <f>IF(H1191="","",COUNTIFS('Zgłoszenia'!$B$5:$B$504,F1191,'Zgłoszenia'!$D$5:$D$504,"&gt;="&amp;A1191,'Zgłoszenia'!$D$5:$D$504,"&lt;="&amp;(A1191+1)))</f>
        <v/>
      </c>
      <c r="L1191" s="63">
        <f>IF(OR(H1191="",K1191=0),"—",IF(ISNUMBER(MATCH(H1191,'Zgłoszenia'!$S$5:$S$504,0)),RIGHT("0"&amp;DAY(A1191),2)&amp;"."&amp;RIGHT("0"&amp;MONTH(A1191),2)&amp;"."&amp;YEAR(A1191)&amp;": "&amp;INDEX('Zgłoszenia'!$H$5:$H$504,MATCH(H1191,'Zgłoszenia'!$S$5:$S$504,0)),RIGHT("0"&amp;DAY((A1191+1)),2)&amp;"."&amp;RIGHT("0"&amp;MONTH((A1191+1)),2)&amp;"."&amp;YEAR((A1191+1))&amp;": "&amp;INDEX('Zgłoszenia'!$H$5:$H$504,MATCH(F1191&amp;"|"&amp;(A1191+1),'Zgłoszenia'!$S$5:$S$504,0)))&amp;IF(K1191&gt;1," (+"&amp;(K1191-1)&amp;")",""))</f>
        <v/>
      </c>
      <c r="M1191" s="63" t="n">
        <v>15</v>
      </c>
      <c r="N1191" s="2" t="n"/>
      <c r="O1191" s="2" t="n"/>
    </row>
    <row r="1192">
      <c r="A1192" s="62">
        <f>IF('15'!$C$1="","",'15'!$C$1)</f>
        <v/>
      </c>
      <c r="B1192" s="63">
        <f>Ustawienia!$A$10&amp;""</f>
        <v/>
      </c>
      <c r="C1192" s="63">
        <f>Ustawienia!$A$14&amp;""</f>
        <v/>
      </c>
      <c r="D1192" s="63" t="n">
        <v>3</v>
      </c>
      <c r="E1192" s="63">
        <f>IF('15'!J8="","",TRIM('15'!J8&amp;""))</f>
        <v/>
      </c>
      <c r="F1192" s="63">
        <f>IF('15'!K8="","",'15'!K8)</f>
        <v/>
      </c>
      <c r="G1192" s="63">
        <f>'15'!L8&amp;""</f>
        <v/>
      </c>
      <c r="H1192" s="63">
        <f>IF(OR(A1192="",F1192=""),"",F1192&amp;"|"&amp;A1192)</f>
        <v/>
      </c>
      <c r="I1192" s="63">
        <f>IF(AND(H1192&lt;&gt;"",OR('Historia wózka'!$B$4="",F1192='Historia wózka'!$B$4),A1192&gt;='Historia wózka'!$B$5,A1192&lt;='Historia wózka'!$B$6),A1192+0.7+(5000-ROW())/10000000,0)</f>
        <v/>
      </c>
      <c r="J1192" s="63">
        <f>Ustawienia!$B$10&amp;""</f>
        <v/>
      </c>
      <c r="K1192" s="63">
        <f>IF(H1192="","",COUNTIFS('Zgłoszenia'!$B$5:$B$504,F1192,'Zgłoszenia'!$D$5:$D$504,"&gt;="&amp;A1192,'Zgłoszenia'!$D$5:$D$504,"&lt;="&amp;(A1192+1)))</f>
        <v/>
      </c>
      <c r="L1192" s="63">
        <f>IF(OR(H1192="",K1192=0),"—",IF(ISNUMBER(MATCH(H1192,'Zgłoszenia'!$S$5:$S$504,0)),RIGHT("0"&amp;DAY(A1192),2)&amp;"."&amp;RIGHT("0"&amp;MONTH(A1192),2)&amp;"."&amp;YEAR(A1192)&amp;": "&amp;INDEX('Zgłoszenia'!$H$5:$H$504,MATCH(H1192,'Zgłoszenia'!$S$5:$S$504,0)),RIGHT("0"&amp;DAY((A1192+1)),2)&amp;"."&amp;RIGHT("0"&amp;MONTH((A1192+1)),2)&amp;"."&amp;YEAR((A1192+1))&amp;": "&amp;INDEX('Zgłoszenia'!$H$5:$H$504,MATCH(F1192&amp;"|"&amp;(A1192+1),'Zgłoszenia'!$S$5:$S$504,0)))&amp;IF(K1192&gt;1," (+"&amp;(K1192-1)&amp;")",""))</f>
        <v/>
      </c>
      <c r="M1192" s="63" t="n">
        <v>15</v>
      </c>
      <c r="N1192" s="2" t="n"/>
      <c r="O1192" s="2" t="n"/>
    </row>
    <row r="1193">
      <c r="A1193" s="62">
        <f>IF('15'!$C$1="","",'15'!$C$1)</f>
        <v/>
      </c>
      <c r="B1193" s="63">
        <f>Ustawienia!$A$10&amp;""</f>
        <v/>
      </c>
      <c r="C1193" s="63">
        <f>Ustawienia!$A$14&amp;""</f>
        <v/>
      </c>
      <c r="D1193" s="63" t="n">
        <v>4</v>
      </c>
      <c r="E1193" s="63">
        <f>IF('15'!J9="","",TRIM('15'!J9&amp;""))</f>
        <v/>
      </c>
      <c r="F1193" s="63">
        <f>IF('15'!K9="","",'15'!K9)</f>
        <v/>
      </c>
      <c r="G1193" s="63">
        <f>'15'!L9&amp;""</f>
        <v/>
      </c>
      <c r="H1193" s="63">
        <f>IF(OR(A1193="",F1193=""),"",F1193&amp;"|"&amp;A1193)</f>
        <v/>
      </c>
      <c r="I1193" s="63">
        <f>IF(AND(H1193&lt;&gt;"",OR('Historia wózka'!$B$4="",F1193='Historia wózka'!$B$4),A1193&gt;='Historia wózka'!$B$5,A1193&lt;='Historia wózka'!$B$6),A1193+0.7+(5000-ROW())/10000000,0)</f>
        <v/>
      </c>
      <c r="J1193" s="63">
        <f>Ustawienia!$B$10&amp;""</f>
        <v/>
      </c>
      <c r="K1193" s="63">
        <f>IF(H1193="","",COUNTIFS('Zgłoszenia'!$B$5:$B$504,F1193,'Zgłoszenia'!$D$5:$D$504,"&gt;="&amp;A1193,'Zgłoszenia'!$D$5:$D$504,"&lt;="&amp;(A1193+1)))</f>
        <v/>
      </c>
      <c r="L1193" s="63">
        <f>IF(OR(H1193="",K1193=0),"—",IF(ISNUMBER(MATCH(H1193,'Zgłoszenia'!$S$5:$S$504,0)),RIGHT("0"&amp;DAY(A1193),2)&amp;"."&amp;RIGHT("0"&amp;MONTH(A1193),2)&amp;"."&amp;YEAR(A1193)&amp;": "&amp;INDEX('Zgłoszenia'!$H$5:$H$504,MATCH(H1193,'Zgłoszenia'!$S$5:$S$504,0)),RIGHT("0"&amp;DAY((A1193+1)),2)&amp;"."&amp;RIGHT("0"&amp;MONTH((A1193+1)),2)&amp;"."&amp;YEAR((A1193+1))&amp;": "&amp;INDEX('Zgłoszenia'!$H$5:$H$504,MATCH(F1193&amp;"|"&amp;(A1193+1),'Zgłoszenia'!$S$5:$S$504,0)))&amp;IF(K1193&gt;1," (+"&amp;(K1193-1)&amp;")",""))</f>
        <v/>
      </c>
      <c r="M1193" s="63" t="n">
        <v>15</v>
      </c>
      <c r="N1193" s="2" t="n"/>
      <c r="O1193" s="2" t="n"/>
    </row>
    <row r="1194">
      <c r="A1194" s="62">
        <f>IF('15'!$C$1="","",'15'!$C$1)</f>
        <v/>
      </c>
      <c r="B1194" s="63">
        <f>Ustawienia!$A$10&amp;""</f>
        <v/>
      </c>
      <c r="C1194" s="63">
        <f>Ustawienia!$A$14&amp;""</f>
        <v/>
      </c>
      <c r="D1194" s="63" t="n">
        <v>5</v>
      </c>
      <c r="E1194" s="63">
        <f>IF('15'!J10="","",TRIM('15'!J10&amp;""))</f>
        <v/>
      </c>
      <c r="F1194" s="63">
        <f>IF('15'!K10="","",'15'!K10)</f>
        <v/>
      </c>
      <c r="G1194" s="63">
        <f>'15'!L10&amp;""</f>
        <v/>
      </c>
      <c r="H1194" s="63">
        <f>IF(OR(A1194="",F1194=""),"",F1194&amp;"|"&amp;A1194)</f>
        <v/>
      </c>
      <c r="I1194" s="63">
        <f>IF(AND(H1194&lt;&gt;"",OR('Historia wózka'!$B$4="",F1194='Historia wózka'!$B$4),A1194&gt;='Historia wózka'!$B$5,A1194&lt;='Historia wózka'!$B$6),A1194+0.7+(5000-ROW())/10000000,0)</f>
        <v/>
      </c>
      <c r="J1194" s="63">
        <f>Ustawienia!$B$10&amp;""</f>
        <v/>
      </c>
      <c r="K1194" s="63">
        <f>IF(H1194="","",COUNTIFS('Zgłoszenia'!$B$5:$B$504,F1194,'Zgłoszenia'!$D$5:$D$504,"&gt;="&amp;A1194,'Zgłoszenia'!$D$5:$D$504,"&lt;="&amp;(A1194+1)))</f>
        <v/>
      </c>
      <c r="L1194" s="63">
        <f>IF(OR(H1194="",K1194=0),"—",IF(ISNUMBER(MATCH(H1194,'Zgłoszenia'!$S$5:$S$504,0)),RIGHT("0"&amp;DAY(A1194),2)&amp;"."&amp;RIGHT("0"&amp;MONTH(A1194),2)&amp;"."&amp;YEAR(A1194)&amp;": "&amp;INDEX('Zgłoszenia'!$H$5:$H$504,MATCH(H1194,'Zgłoszenia'!$S$5:$S$504,0)),RIGHT("0"&amp;DAY((A1194+1)),2)&amp;"."&amp;RIGHT("0"&amp;MONTH((A1194+1)),2)&amp;"."&amp;YEAR((A1194+1))&amp;": "&amp;INDEX('Zgłoszenia'!$H$5:$H$504,MATCH(F1194&amp;"|"&amp;(A1194+1),'Zgłoszenia'!$S$5:$S$504,0)))&amp;IF(K1194&gt;1," (+"&amp;(K1194-1)&amp;")",""))</f>
        <v/>
      </c>
      <c r="M1194" s="63" t="n">
        <v>15</v>
      </c>
      <c r="N1194" s="2" t="n"/>
      <c r="O1194" s="2" t="n"/>
    </row>
    <row r="1195">
      <c r="A1195" s="62">
        <f>IF('15'!$C$1="","",'15'!$C$1)</f>
        <v/>
      </c>
      <c r="B1195" s="63">
        <f>Ustawienia!$A$10&amp;""</f>
        <v/>
      </c>
      <c r="C1195" s="63">
        <f>Ustawienia!$A$14&amp;""</f>
        <v/>
      </c>
      <c r="D1195" s="63" t="n">
        <v>6</v>
      </c>
      <c r="E1195" s="63">
        <f>IF('15'!J11="","",TRIM('15'!J11&amp;""))</f>
        <v/>
      </c>
      <c r="F1195" s="63">
        <f>IF('15'!K11="","",'15'!K11)</f>
        <v/>
      </c>
      <c r="G1195" s="63">
        <f>'15'!L11&amp;""</f>
        <v/>
      </c>
      <c r="H1195" s="63">
        <f>IF(OR(A1195="",F1195=""),"",F1195&amp;"|"&amp;A1195)</f>
        <v/>
      </c>
      <c r="I1195" s="63">
        <f>IF(AND(H1195&lt;&gt;"",OR('Historia wózka'!$B$4="",F1195='Historia wózka'!$B$4),A1195&gt;='Historia wózka'!$B$5,A1195&lt;='Historia wózka'!$B$6),A1195+0.7+(5000-ROW())/10000000,0)</f>
        <v/>
      </c>
      <c r="J1195" s="63">
        <f>Ustawienia!$B$10&amp;""</f>
        <v/>
      </c>
      <c r="K1195" s="63">
        <f>IF(H1195="","",COUNTIFS('Zgłoszenia'!$B$5:$B$504,F1195,'Zgłoszenia'!$D$5:$D$504,"&gt;="&amp;A1195,'Zgłoszenia'!$D$5:$D$504,"&lt;="&amp;(A1195+1)))</f>
        <v/>
      </c>
      <c r="L1195" s="63">
        <f>IF(OR(H1195="",K1195=0),"—",IF(ISNUMBER(MATCH(H1195,'Zgłoszenia'!$S$5:$S$504,0)),RIGHT("0"&amp;DAY(A1195),2)&amp;"."&amp;RIGHT("0"&amp;MONTH(A1195),2)&amp;"."&amp;YEAR(A1195)&amp;": "&amp;INDEX('Zgłoszenia'!$H$5:$H$504,MATCH(H1195,'Zgłoszenia'!$S$5:$S$504,0)),RIGHT("0"&amp;DAY((A1195+1)),2)&amp;"."&amp;RIGHT("0"&amp;MONTH((A1195+1)),2)&amp;"."&amp;YEAR((A1195+1))&amp;": "&amp;INDEX('Zgłoszenia'!$H$5:$H$504,MATCH(F1195&amp;"|"&amp;(A1195+1),'Zgłoszenia'!$S$5:$S$504,0)))&amp;IF(K1195&gt;1," (+"&amp;(K1195-1)&amp;")",""))</f>
        <v/>
      </c>
      <c r="M1195" s="63" t="n">
        <v>15</v>
      </c>
      <c r="N1195" s="2" t="n"/>
      <c r="O1195" s="2" t="n"/>
    </row>
    <row r="1196">
      <c r="A1196" s="62">
        <f>IF('15'!$C$1="","",'15'!$C$1)</f>
        <v/>
      </c>
      <c r="B1196" s="63">
        <f>Ustawienia!$A$10&amp;""</f>
        <v/>
      </c>
      <c r="C1196" s="63">
        <f>Ustawienia!$A$15&amp;""</f>
        <v/>
      </c>
      <c r="D1196" s="63" t="n">
        <v>1</v>
      </c>
      <c r="E1196" s="63">
        <f>IF('15'!J13="","",TRIM('15'!J13&amp;""))</f>
        <v/>
      </c>
      <c r="F1196" s="63">
        <f>IF('15'!K13="","",'15'!K13)</f>
        <v/>
      </c>
      <c r="G1196" s="63">
        <f>'15'!L13&amp;""</f>
        <v/>
      </c>
      <c r="H1196" s="63">
        <f>IF(OR(A1196="",F1196=""),"",F1196&amp;"|"&amp;A1196)</f>
        <v/>
      </c>
      <c r="I1196" s="63">
        <f>IF(AND(H1196&lt;&gt;"",OR('Historia wózka'!$B$4="",F1196='Historia wózka'!$B$4),A1196&gt;='Historia wózka'!$B$5,A1196&lt;='Historia wózka'!$B$6),A1196+0.7+(5000-ROW())/10000000,0)</f>
        <v/>
      </c>
      <c r="J1196" s="63">
        <f>Ustawienia!$B$10&amp;""</f>
        <v/>
      </c>
      <c r="K1196" s="63">
        <f>IF(H1196="","",COUNTIFS('Zgłoszenia'!$B$5:$B$504,F1196,'Zgłoszenia'!$D$5:$D$504,"&gt;="&amp;A1196,'Zgłoszenia'!$D$5:$D$504,"&lt;="&amp;(A1196+1)))</f>
        <v/>
      </c>
      <c r="L1196" s="63">
        <f>IF(OR(H1196="",K1196=0),"—",IF(ISNUMBER(MATCH(H1196,'Zgłoszenia'!$S$5:$S$504,0)),RIGHT("0"&amp;DAY(A1196),2)&amp;"."&amp;RIGHT("0"&amp;MONTH(A1196),2)&amp;"."&amp;YEAR(A1196)&amp;": "&amp;INDEX('Zgłoszenia'!$H$5:$H$504,MATCH(H1196,'Zgłoszenia'!$S$5:$S$504,0)),RIGHT("0"&amp;DAY((A1196+1)),2)&amp;"."&amp;RIGHT("0"&amp;MONTH((A1196+1)),2)&amp;"."&amp;YEAR((A1196+1))&amp;": "&amp;INDEX('Zgłoszenia'!$H$5:$H$504,MATCH(F1196&amp;"|"&amp;(A1196+1),'Zgłoszenia'!$S$5:$S$504,0)))&amp;IF(K1196&gt;1," (+"&amp;(K1196-1)&amp;")",""))</f>
        <v/>
      </c>
      <c r="M1196" s="63" t="n">
        <v>15</v>
      </c>
      <c r="N1196" s="2" t="n"/>
      <c r="O1196" s="2" t="n"/>
    </row>
    <row r="1197">
      <c r="A1197" s="62">
        <f>IF('15'!$C$1="","",'15'!$C$1)</f>
        <v/>
      </c>
      <c r="B1197" s="63">
        <f>Ustawienia!$A$10&amp;""</f>
        <v/>
      </c>
      <c r="C1197" s="63">
        <f>Ustawienia!$A$15&amp;""</f>
        <v/>
      </c>
      <c r="D1197" s="63" t="n">
        <v>2</v>
      </c>
      <c r="E1197" s="63">
        <f>IF('15'!J14="","",TRIM('15'!J14&amp;""))</f>
        <v/>
      </c>
      <c r="F1197" s="63">
        <f>IF('15'!K14="","",'15'!K14)</f>
        <v/>
      </c>
      <c r="G1197" s="63">
        <f>'15'!L14&amp;""</f>
        <v/>
      </c>
      <c r="H1197" s="63">
        <f>IF(OR(A1197="",F1197=""),"",F1197&amp;"|"&amp;A1197)</f>
        <v/>
      </c>
      <c r="I1197" s="63">
        <f>IF(AND(H1197&lt;&gt;"",OR('Historia wózka'!$B$4="",F1197='Historia wózka'!$B$4),A1197&gt;='Historia wózka'!$B$5,A1197&lt;='Historia wózka'!$B$6),A1197+0.7+(5000-ROW())/10000000,0)</f>
        <v/>
      </c>
      <c r="J1197" s="63">
        <f>Ustawienia!$B$10&amp;""</f>
        <v/>
      </c>
      <c r="K1197" s="63">
        <f>IF(H1197="","",COUNTIFS('Zgłoszenia'!$B$5:$B$504,F1197,'Zgłoszenia'!$D$5:$D$504,"&gt;="&amp;A1197,'Zgłoszenia'!$D$5:$D$504,"&lt;="&amp;(A1197+1)))</f>
        <v/>
      </c>
      <c r="L1197" s="63">
        <f>IF(OR(H1197="",K1197=0),"—",IF(ISNUMBER(MATCH(H1197,'Zgłoszenia'!$S$5:$S$504,0)),RIGHT("0"&amp;DAY(A1197),2)&amp;"."&amp;RIGHT("0"&amp;MONTH(A1197),2)&amp;"."&amp;YEAR(A1197)&amp;": "&amp;INDEX('Zgłoszenia'!$H$5:$H$504,MATCH(H1197,'Zgłoszenia'!$S$5:$S$504,0)),RIGHT("0"&amp;DAY((A1197+1)),2)&amp;"."&amp;RIGHT("0"&amp;MONTH((A1197+1)),2)&amp;"."&amp;YEAR((A1197+1))&amp;": "&amp;INDEX('Zgłoszenia'!$H$5:$H$504,MATCH(F1197&amp;"|"&amp;(A1197+1),'Zgłoszenia'!$S$5:$S$504,0)))&amp;IF(K1197&gt;1," (+"&amp;(K1197-1)&amp;")",""))</f>
        <v/>
      </c>
      <c r="M1197" s="63" t="n">
        <v>15</v>
      </c>
      <c r="N1197" s="2" t="n"/>
      <c r="O1197" s="2" t="n"/>
    </row>
    <row r="1198">
      <c r="A1198" s="62">
        <f>IF('15'!$C$1="","",'15'!$C$1)</f>
        <v/>
      </c>
      <c r="B1198" s="63">
        <f>Ustawienia!$A$10&amp;""</f>
        <v/>
      </c>
      <c r="C1198" s="63">
        <f>Ustawienia!$A$15&amp;""</f>
        <v/>
      </c>
      <c r="D1198" s="63" t="n">
        <v>3</v>
      </c>
      <c r="E1198" s="63">
        <f>IF('15'!J15="","",TRIM('15'!J15&amp;""))</f>
        <v/>
      </c>
      <c r="F1198" s="63">
        <f>IF('15'!K15="","",'15'!K15)</f>
        <v/>
      </c>
      <c r="G1198" s="63">
        <f>'15'!L15&amp;""</f>
        <v/>
      </c>
      <c r="H1198" s="63">
        <f>IF(OR(A1198="",F1198=""),"",F1198&amp;"|"&amp;A1198)</f>
        <v/>
      </c>
      <c r="I1198" s="63">
        <f>IF(AND(H1198&lt;&gt;"",OR('Historia wózka'!$B$4="",F1198='Historia wózka'!$B$4),A1198&gt;='Historia wózka'!$B$5,A1198&lt;='Historia wózka'!$B$6),A1198+0.7+(5000-ROW())/10000000,0)</f>
        <v/>
      </c>
      <c r="J1198" s="63">
        <f>Ustawienia!$B$10&amp;""</f>
        <v/>
      </c>
      <c r="K1198" s="63">
        <f>IF(H1198="","",COUNTIFS('Zgłoszenia'!$B$5:$B$504,F1198,'Zgłoszenia'!$D$5:$D$504,"&gt;="&amp;A1198,'Zgłoszenia'!$D$5:$D$504,"&lt;="&amp;(A1198+1)))</f>
        <v/>
      </c>
      <c r="L1198" s="63">
        <f>IF(OR(H1198="",K1198=0),"—",IF(ISNUMBER(MATCH(H1198,'Zgłoszenia'!$S$5:$S$504,0)),RIGHT("0"&amp;DAY(A1198),2)&amp;"."&amp;RIGHT("0"&amp;MONTH(A1198),2)&amp;"."&amp;YEAR(A1198)&amp;": "&amp;INDEX('Zgłoszenia'!$H$5:$H$504,MATCH(H1198,'Zgłoszenia'!$S$5:$S$504,0)),RIGHT("0"&amp;DAY((A1198+1)),2)&amp;"."&amp;RIGHT("0"&amp;MONTH((A1198+1)),2)&amp;"."&amp;YEAR((A1198+1))&amp;": "&amp;INDEX('Zgłoszenia'!$H$5:$H$504,MATCH(F1198&amp;"|"&amp;(A1198+1),'Zgłoszenia'!$S$5:$S$504,0)))&amp;IF(K1198&gt;1," (+"&amp;(K1198-1)&amp;")",""))</f>
        <v/>
      </c>
      <c r="M1198" s="63" t="n">
        <v>15</v>
      </c>
      <c r="N1198" s="2" t="n"/>
      <c r="O1198" s="2" t="n"/>
    </row>
    <row r="1199">
      <c r="A1199" s="62">
        <f>IF('15'!$C$1="","",'15'!$C$1)</f>
        <v/>
      </c>
      <c r="B1199" s="63">
        <f>Ustawienia!$A$10&amp;""</f>
        <v/>
      </c>
      <c r="C1199" s="63">
        <f>Ustawienia!$A$15&amp;""</f>
        <v/>
      </c>
      <c r="D1199" s="63" t="n">
        <v>4</v>
      </c>
      <c r="E1199" s="63">
        <f>IF('15'!J16="","",TRIM('15'!J16&amp;""))</f>
        <v/>
      </c>
      <c r="F1199" s="63">
        <f>IF('15'!K16="","",'15'!K16)</f>
        <v/>
      </c>
      <c r="G1199" s="63">
        <f>'15'!L16&amp;""</f>
        <v/>
      </c>
      <c r="H1199" s="63">
        <f>IF(OR(A1199="",F1199=""),"",F1199&amp;"|"&amp;A1199)</f>
        <v/>
      </c>
      <c r="I1199" s="63">
        <f>IF(AND(H1199&lt;&gt;"",OR('Historia wózka'!$B$4="",F1199='Historia wózka'!$B$4),A1199&gt;='Historia wózka'!$B$5,A1199&lt;='Historia wózka'!$B$6),A1199+0.7+(5000-ROW())/10000000,0)</f>
        <v/>
      </c>
      <c r="J1199" s="63">
        <f>Ustawienia!$B$10&amp;""</f>
        <v/>
      </c>
      <c r="K1199" s="63">
        <f>IF(H1199="","",COUNTIFS('Zgłoszenia'!$B$5:$B$504,F1199,'Zgłoszenia'!$D$5:$D$504,"&gt;="&amp;A1199,'Zgłoszenia'!$D$5:$D$504,"&lt;="&amp;(A1199+1)))</f>
        <v/>
      </c>
      <c r="L1199" s="63">
        <f>IF(OR(H1199="",K1199=0),"—",IF(ISNUMBER(MATCH(H1199,'Zgłoszenia'!$S$5:$S$504,0)),RIGHT("0"&amp;DAY(A1199),2)&amp;"."&amp;RIGHT("0"&amp;MONTH(A1199),2)&amp;"."&amp;YEAR(A1199)&amp;": "&amp;INDEX('Zgłoszenia'!$H$5:$H$504,MATCH(H1199,'Zgłoszenia'!$S$5:$S$504,0)),RIGHT("0"&amp;DAY((A1199+1)),2)&amp;"."&amp;RIGHT("0"&amp;MONTH((A1199+1)),2)&amp;"."&amp;YEAR((A1199+1))&amp;": "&amp;INDEX('Zgłoszenia'!$H$5:$H$504,MATCH(F1199&amp;"|"&amp;(A1199+1),'Zgłoszenia'!$S$5:$S$504,0)))&amp;IF(K1199&gt;1," (+"&amp;(K1199-1)&amp;")",""))</f>
        <v/>
      </c>
      <c r="M1199" s="63" t="n">
        <v>15</v>
      </c>
      <c r="N1199" s="2" t="n"/>
      <c r="O1199" s="2" t="n"/>
    </row>
    <row r="1200">
      <c r="A1200" s="62">
        <f>IF('15'!$C$1="","",'15'!$C$1)</f>
        <v/>
      </c>
      <c r="B1200" s="63">
        <f>Ustawienia!$A$10&amp;""</f>
        <v/>
      </c>
      <c r="C1200" s="63">
        <f>Ustawienia!$A$15&amp;""</f>
        <v/>
      </c>
      <c r="D1200" s="63" t="n">
        <v>5</v>
      </c>
      <c r="E1200" s="63">
        <f>IF('15'!J17="","",TRIM('15'!J17&amp;""))</f>
        <v/>
      </c>
      <c r="F1200" s="63">
        <f>IF('15'!K17="","",'15'!K17)</f>
        <v/>
      </c>
      <c r="G1200" s="63">
        <f>'15'!L17&amp;""</f>
        <v/>
      </c>
      <c r="H1200" s="63">
        <f>IF(OR(A1200="",F1200=""),"",F1200&amp;"|"&amp;A1200)</f>
        <v/>
      </c>
      <c r="I1200" s="63">
        <f>IF(AND(H1200&lt;&gt;"",OR('Historia wózka'!$B$4="",F1200='Historia wózka'!$B$4),A1200&gt;='Historia wózka'!$B$5,A1200&lt;='Historia wózka'!$B$6),A1200+0.7+(5000-ROW())/10000000,0)</f>
        <v/>
      </c>
      <c r="J1200" s="63">
        <f>Ustawienia!$B$10&amp;""</f>
        <v/>
      </c>
      <c r="K1200" s="63">
        <f>IF(H1200="","",COUNTIFS('Zgłoszenia'!$B$5:$B$504,F1200,'Zgłoszenia'!$D$5:$D$504,"&gt;="&amp;A1200,'Zgłoszenia'!$D$5:$D$504,"&lt;="&amp;(A1200+1)))</f>
        <v/>
      </c>
      <c r="L1200" s="63">
        <f>IF(OR(H1200="",K1200=0),"—",IF(ISNUMBER(MATCH(H1200,'Zgłoszenia'!$S$5:$S$504,0)),RIGHT("0"&amp;DAY(A1200),2)&amp;"."&amp;RIGHT("0"&amp;MONTH(A1200),2)&amp;"."&amp;YEAR(A1200)&amp;": "&amp;INDEX('Zgłoszenia'!$H$5:$H$504,MATCH(H1200,'Zgłoszenia'!$S$5:$S$504,0)),RIGHT("0"&amp;DAY((A1200+1)),2)&amp;"."&amp;RIGHT("0"&amp;MONTH((A1200+1)),2)&amp;"."&amp;YEAR((A1200+1))&amp;": "&amp;INDEX('Zgłoszenia'!$H$5:$H$504,MATCH(F1200&amp;"|"&amp;(A1200+1),'Zgłoszenia'!$S$5:$S$504,0)))&amp;IF(K1200&gt;1," (+"&amp;(K1200-1)&amp;")",""))</f>
        <v/>
      </c>
      <c r="M1200" s="63" t="n">
        <v>15</v>
      </c>
      <c r="N1200" s="2" t="n"/>
      <c r="O1200" s="2" t="n"/>
    </row>
    <row r="1201">
      <c r="A1201" s="62">
        <f>IF('15'!$C$1="","",'15'!$C$1)</f>
        <v/>
      </c>
      <c r="B1201" s="63">
        <f>Ustawienia!$A$10&amp;""</f>
        <v/>
      </c>
      <c r="C1201" s="63">
        <f>Ustawienia!$A$15&amp;""</f>
        <v/>
      </c>
      <c r="D1201" s="63" t="n">
        <v>6</v>
      </c>
      <c r="E1201" s="63">
        <f>IF('15'!J18="","",TRIM('15'!J18&amp;""))</f>
        <v/>
      </c>
      <c r="F1201" s="63">
        <f>IF('15'!K18="","",'15'!K18)</f>
        <v/>
      </c>
      <c r="G1201" s="63">
        <f>'15'!L18&amp;""</f>
        <v/>
      </c>
      <c r="H1201" s="63">
        <f>IF(OR(A1201="",F1201=""),"",F1201&amp;"|"&amp;A1201)</f>
        <v/>
      </c>
      <c r="I1201" s="63">
        <f>IF(AND(H1201&lt;&gt;"",OR('Historia wózka'!$B$4="",F1201='Historia wózka'!$B$4),A1201&gt;='Historia wózka'!$B$5,A1201&lt;='Historia wózka'!$B$6),A1201+0.7+(5000-ROW())/10000000,0)</f>
        <v/>
      </c>
      <c r="J1201" s="63">
        <f>Ustawienia!$B$10&amp;""</f>
        <v/>
      </c>
      <c r="K1201" s="63">
        <f>IF(H1201="","",COUNTIFS('Zgłoszenia'!$B$5:$B$504,F1201,'Zgłoszenia'!$D$5:$D$504,"&gt;="&amp;A1201,'Zgłoszenia'!$D$5:$D$504,"&lt;="&amp;(A1201+1)))</f>
        <v/>
      </c>
      <c r="L1201" s="63">
        <f>IF(OR(H1201="",K1201=0),"—",IF(ISNUMBER(MATCH(H1201,'Zgłoszenia'!$S$5:$S$504,0)),RIGHT("0"&amp;DAY(A1201),2)&amp;"."&amp;RIGHT("0"&amp;MONTH(A1201),2)&amp;"."&amp;YEAR(A1201)&amp;": "&amp;INDEX('Zgłoszenia'!$H$5:$H$504,MATCH(H1201,'Zgłoszenia'!$S$5:$S$504,0)),RIGHT("0"&amp;DAY((A1201+1)),2)&amp;"."&amp;RIGHT("0"&amp;MONTH((A1201+1)),2)&amp;"."&amp;YEAR((A1201+1))&amp;": "&amp;INDEX('Zgłoszenia'!$H$5:$H$504,MATCH(F1201&amp;"|"&amp;(A1201+1),'Zgłoszenia'!$S$5:$S$504,0)))&amp;IF(K1201&gt;1," (+"&amp;(K1201-1)&amp;")",""))</f>
        <v/>
      </c>
      <c r="M1201" s="63" t="n">
        <v>15</v>
      </c>
      <c r="N1201" s="2" t="n"/>
      <c r="O1201" s="2" t="n"/>
    </row>
    <row r="1202">
      <c r="A1202" s="62">
        <f>IF('15'!$C$1="","",'15'!$C$1)</f>
        <v/>
      </c>
      <c r="B1202" s="63">
        <f>Ustawienia!$A$10&amp;""</f>
        <v/>
      </c>
      <c r="C1202" s="63">
        <f>Ustawienia!$A$15&amp;""</f>
        <v/>
      </c>
      <c r="D1202" s="63" t="n">
        <v>7</v>
      </c>
      <c r="E1202" s="63">
        <f>IF('15'!J19="","",TRIM('15'!J19&amp;""))</f>
        <v/>
      </c>
      <c r="F1202" s="63">
        <f>IF('15'!K19="","",'15'!K19)</f>
        <v/>
      </c>
      <c r="G1202" s="63">
        <f>'15'!L19&amp;""</f>
        <v/>
      </c>
      <c r="H1202" s="63">
        <f>IF(OR(A1202="",F1202=""),"",F1202&amp;"|"&amp;A1202)</f>
        <v/>
      </c>
      <c r="I1202" s="63">
        <f>IF(AND(H1202&lt;&gt;"",OR('Historia wózka'!$B$4="",F1202='Historia wózka'!$B$4),A1202&gt;='Historia wózka'!$B$5,A1202&lt;='Historia wózka'!$B$6),A1202+0.7+(5000-ROW())/10000000,0)</f>
        <v/>
      </c>
      <c r="J1202" s="63">
        <f>Ustawienia!$B$10&amp;""</f>
        <v/>
      </c>
      <c r="K1202" s="63">
        <f>IF(H1202="","",COUNTIFS('Zgłoszenia'!$B$5:$B$504,F1202,'Zgłoszenia'!$D$5:$D$504,"&gt;="&amp;A1202,'Zgłoszenia'!$D$5:$D$504,"&lt;="&amp;(A1202+1)))</f>
        <v/>
      </c>
      <c r="L1202" s="63">
        <f>IF(OR(H1202="",K1202=0),"—",IF(ISNUMBER(MATCH(H1202,'Zgłoszenia'!$S$5:$S$504,0)),RIGHT("0"&amp;DAY(A1202),2)&amp;"."&amp;RIGHT("0"&amp;MONTH(A1202),2)&amp;"."&amp;YEAR(A1202)&amp;": "&amp;INDEX('Zgłoszenia'!$H$5:$H$504,MATCH(H1202,'Zgłoszenia'!$S$5:$S$504,0)),RIGHT("0"&amp;DAY((A1202+1)),2)&amp;"."&amp;RIGHT("0"&amp;MONTH((A1202+1)),2)&amp;"."&amp;YEAR((A1202+1))&amp;": "&amp;INDEX('Zgłoszenia'!$H$5:$H$504,MATCH(F1202&amp;"|"&amp;(A1202+1),'Zgłoszenia'!$S$5:$S$504,0)))&amp;IF(K1202&gt;1," (+"&amp;(K1202-1)&amp;")",""))</f>
        <v/>
      </c>
      <c r="M1202" s="63" t="n">
        <v>15</v>
      </c>
      <c r="N1202" s="2" t="n"/>
      <c r="O1202" s="2" t="n"/>
    </row>
    <row r="1203">
      <c r="A1203" s="62">
        <f>IF('15'!$C$1="","",'15'!$C$1)</f>
        <v/>
      </c>
      <c r="B1203" s="63">
        <f>Ustawienia!$A$10&amp;""</f>
        <v/>
      </c>
      <c r="C1203" s="63">
        <f>Ustawienia!$A$15&amp;""</f>
        <v/>
      </c>
      <c r="D1203" s="63" t="n">
        <v>8</v>
      </c>
      <c r="E1203" s="63">
        <f>IF('15'!J20="","",TRIM('15'!J20&amp;""))</f>
        <v/>
      </c>
      <c r="F1203" s="63">
        <f>IF('15'!K20="","",'15'!K20)</f>
        <v/>
      </c>
      <c r="G1203" s="63">
        <f>'15'!L20&amp;""</f>
        <v/>
      </c>
      <c r="H1203" s="63">
        <f>IF(OR(A1203="",F1203=""),"",F1203&amp;"|"&amp;A1203)</f>
        <v/>
      </c>
      <c r="I1203" s="63">
        <f>IF(AND(H1203&lt;&gt;"",OR('Historia wózka'!$B$4="",F1203='Historia wózka'!$B$4),A1203&gt;='Historia wózka'!$B$5,A1203&lt;='Historia wózka'!$B$6),A1203+0.7+(5000-ROW())/10000000,0)</f>
        <v/>
      </c>
      <c r="J1203" s="63">
        <f>Ustawienia!$B$10&amp;""</f>
        <v/>
      </c>
      <c r="K1203" s="63">
        <f>IF(H1203="","",COUNTIFS('Zgłoszenia'!$B$5:$B$504,F1203,'Zgłoszenia'!$D$5:$D$504,"&gt;="&amp;A1203,'Zgłoszenia'!$D$5:$D$504,"&lt;="&amp;(A1203+1)))</f>
        <v/>
      </c>
      <c r="L1203" s="63">
        <f>IF(OR(H1203="",K1203=0),"—",IF(ISNUMBER(MATCH(H1203,'Zgłoszenia'!$S$5:$S$504,0)),RIGHT("0"&amp;DAY(A1203),2)&amp;"."&amp;RIGHT("0"&amp;MONTH(A1203),2)&amp;"."&amp;YEAR(A1203)&amp;": "&amp;INDEX('Zgłoszenia'!$H$5:$H$504,MATCH(H1203,'Zgłoszenia'!$S$5:$S$504,0)),RIGHT("0"&amp;DAY((A1203+1)),2)&amp;"."&amp;RIGHT("0"&amp;MONTH((A1203+1)),2)&amp;"."&amp;YEAR((A1203+1))&amp;": "&amp;INDEX('Zgłoszenia'!$H$5:$H$504,MATCH(F1203&amp;"|"&amp;(A1203+1),'Zgłoszenia'!$S$5:$S$504,0)))&amp;IF(K1203&gt;1," (+"&amp;(K1203-1)&amp;")",""))</f>
        <v/>
      </c>
      <c r="M1203" s="63" t="n">
        <v>15</v>
      </c>
      <c r="N1203" s="2" t="n"/>
      <c r="O1203" s="2" t="n"/>
    </row>
    <row r="1204">
      <c r="A1204" s="62">
        <f>IF('15'!$C$1="","",'15'!$C$1)</f>
        <v/>
      </c>
      <c r="B1204" s="63">
        <f>Ustawienia!$A$10&amp;""</f>
        <v/>
      </c>
      <c r="C1204" s="63">
        <f>Ustawienia!$A$16&amp;""</f>
        <v/>
      </c>
      <c r="D1204" s="63" t="n">
        <v>1</v>
      </c>
      <c r="E1204" s="63">
        <f>IF('15'!J22="","",TRIM('15'!J22&amp;""))</f>
        <v/>
      </c>
      <c r="F1204" s="63">
        <f>IF('15'!K22="","",'15'!K22)</f>
        <v/>
      </c>
      <c r="G1204" s="63">
        <f>'15'!L22&amp;""</f>
        <v/>
      </c>
      <c r="H1204" s="63">
        <f>IF(OR(A1204="",F1204=""),"",F1204&amp;"|"&amp;A1204)</f>
        <v/>
      </c>
      <c r="I1204" s="63">
        <f>IF(AND(H1204&lt;&gt;"",OR('Historia wózka'!$B$4="",F1204='Historia wózka'!$B$4),A1204&gt;='Historia wózka'!$B$5,A1204&lt;='Historia wózka'!$B$6),A1204+0.7+(5000-ROW())/10000000,0)</f>
        <v/>
      </c>
      <c r="J1204" s="63">
        <f>Ustawienia!$B$10&amp;""</f>
        <v/>
      </c>
      <c r="K1204" s="63">
        <f>IF(H1204="","",COUNTIFS('Zgłoszenia'!$B$5:$B$504,F1204,'Zgłoszenia'!$D$5:$D$504,"&gt;="&amp;A1204,'Zgłoszenia'!$D$5:$D$504,"&lt;="&amp;(A1204+1)))</f>
        <v/>
      </c>
      <c r="L1204" s="63">
        <f>IF(OR(H1204="",K1204=0),"—",IF(ISNUMBER(MATCH(H1204,'Zgłoszenia'!$S$5:$S$504,0)),RIGHT("0"&amp;DAY(A1204),2)&amp;"."&amp;RIGHT("0"&amp;MONTH(A1204),2)&amp;"."&amp;YEAR(A1204)&amp;": "&amp;INDEX('Zgłoszenia'!$H$5:$H$504,MATCH(H1204,'Zgłoszenia'!$S$5:$S$504,0)),RIGHT("0"&amp;DAY((A1204+1)),2)&amp;"."&amp;RIGHT("0"&amp;MONTH((A1204+1)),2)&amp;"."&amp;YEAR((A1204+1))&amp;": "&amp;INDEX('Zgłoszenia'!$H$5:$H$504,MATCH(F1204&amp;"|"&amp;(A1204+1),'Zgłoszenia'!$S$5:$S$504,0)))&amp;IF(K1204&gt;1," (+"&amp;(K1204-1)&amp;")",""))</f>
        <v/>
      </c>
      <c r="M1204" s="63" t="n">
        <v>15</v>
      </c>
      <c r="N1204" s="2" t="n"/>
      <c r="O1204" s="2" t="n"/>
    </row>
    <row r="1205">
      <c r="A1205" s="62">
        <f>IF('15'!$C$1="","",'15'!$C$1)</f>
        <v/>
      </c>
      <c r="B1205" s="63">
        <f>Ustawienia!$A$10&amp;""</f>
        <v/>
      </c>
      <c r="C1205" s="63">
        <f>Ustawienia!$A$16&amp;""</f>
        <v/>
      </c>
      <c r="D1205" s="63" t="n">
        <v>2</v>
      </c>
      <c r="E1205" s="63">
        <f>IF('15'!J23="","",TRIM('15'!J23&amp;""))</f>
        <v/>
      </c>
      <c r="F1205" s="63">
        <f>IF('15'!K23="","",'15'!K23)</f>
        <v/>
      </c>
      <c r="G1205" s="63">
        <f>'15'!L23&amp;""</f>
        <v/>
      </c>
      <c r="H1205" s="63">
        <f>IF(OR(A1205="",F1205=""),"",F1205&amp;"|"&amp;A1205)</f>
        <v/>
      </c>
      <c r="I1205" s="63">
        <f>IF(AND(H1205&lt;&gt;"",OR('Historia wózka'!$B$4="",F1205='Historia wózka'!$B$4),A1205&gt;='Historia wózka'!$B$5,A1205&lt;='Historia wózka'!$B$6),A1205+0.7+(5000-ROW())/10000000,0)</f>
        <v/>
      </c>
      <c r="J1205" s="63">
        <f>Ustawienia!$B$10&amp;""</f>
        <v/>
      </c>
      <c r="K1205" s="63">
        <f>IF(H1205="","",COUNTIFS('Zgłoszenia'!$B$5:$B$504,F1205,'Zgłoszenia'!$D$5:$D$504,"&gt;="&amp;A1205,'Zgłoszenia'!$D$5:$D$504,"&lt;="&amp;(A1205+1)))</f>
        <v/>
      </c>
      <c r="L1205" s="63">
        <f>IF(OR(H1205="",K1205=0),"—",IF(ISNUMBER(MATCH(H1205,'Zgłoszenia'!$S$5:$S$504,0)),RIGHT("0"&amp;DAY(A1205),2)&amp;"."&amp;RIGHT("0"&amp;MONTH(A1205),2)&amp;"."&amp;YEAR(A1205)&amp;": "&amp;INDEX('Zgłoszenia'!$H$5:$H$504,MATCH(H1205,'Zgłoszenia'!$S$5:$S$504,0)),RIGHT("0"&amp;DAY((A1205+1)),2)&amp;"."&amp;RIGHT("0"&amp;MONTH((A1205+1)),2)&amp;"."&amp;YEAR((A1205+1))&amp;": "&amp;INDEX('Zgłoszenia'!$H$5:$H$504,MATCH(F1205&amp;"|"&amp;(A1205+1),'Zgłoszenia'!$S$5:$S$504,0)))&amp;IF(K1205&gt;1," (+"&amp;(K1205-1)&amp;")",""))</f>
        <v/>
      </c>
      <c r="M1205" s="63" t="n">
        <v>15</v>
      </c>
      <c r="N1205" s="2" t="n"/>
      <c r="O1205" s="2" t="n"/>
    </row>
    <row r="1206">
      <c r="A1206" s="62">
        <f>IF('15'!$C$1="","",'15'!$C$1)</f>
        <v/>
      </c>
      <c r="B1206" s="63">
        <f>Ustawienia!$A$10&amp;""</f>
        <v/>
      </c>
      <c r="C1206" s="63">
        <f>Ustawienia!$A$16&amp;""</f>
        <v/>
      </c>
      <c r="D1206" s="63" t="n">
        <v>3</v>
      </c>
      <c r="E1206" s="63">
        <f>IF('15'!J24="","",TRIM('15'!J24&amp;""))</f>
        <v/>
      </c>
      <c r="F1206" s="63">
        <f>IF('15'!K24="","",'15'!K24)</f>
        <v/>
      </c>
      <c r="G1206" s="63">
        <f>'15'!L24&amp;""</f>
        <v/>
      </c>
      <c r="H1206" s="63">
        <f>IF(OR(A1206="",F1206=""),"",F1206&amp;"|"&amp;A1206)</f>
        <v/>
      </c>
      <c r="I1206" s="63">
        <f>IF(AND(H1206&lt;&gt;"",OR('Historia wózka'!$B$4="",F1206='Historia wózka'!$B$4),A1206&gt;='Historia wózka'!$B$5,A1206&lt;='Historia wózka'!$B$6),A1206+0.7+(5000-ROW())/10000000,0)</f>
        <v/>
      </c>
      <c r="J1206" s="63">
        <f>Ustawienia!$B$10&amp;""</f>
        <v/>
      </c>
      <c r="K1206" s="63">
        <f>IF(H1206="","",COUNTIFS('Zgłoszenia'!$B$5:$B$504,F1206,'Zgłoszenia'!$D$5:$D$504,"&gt;="&amp;A1206,'Zgłoszenia'!$D$5:$D$504,"&lt;="&amp;(A1206+1)))</f>
        <v/>
      </c>
      <c r="L1206" s="63">
        <f>IF(OR(H1206="",K1206=0),"—",IF(ISNUMBER(MATCH(H1206,'Zgłoszenia'!$S$5:$S$504,0)),RIGHT("0"&amp;DAY(A1206),2)&amp;"."&amp;RIGHT("0"&amp;MONTH(A1206),2)&amp;"."&amp;YEAR(A1206)&amp;": "&amp;INDEX('Zgłoszenia'!$H$5:$H$504,MATCH(H1206,'Zgłoszenia'!$S$5:$S$504,0)),RIGHT("0"&amp;DAY((A1206+1)),2)&amp;"."&amp;RIGHT("0"&amp;MONTH((A1206+1)),2)&amp;"."&amp;YEAR((A1206+1))&amp;": "&amp;INDEX('Zgłoszenia'!$H$5:$H$504,MATCH(F1206&amp;"|"&amp;(A1206+1),'Zgłoszenia'!$S$5:$S$504,0)))&amp;IF(K1206&gt;1," (+"&amp;(K1206-1)&amp;")",""))</f>
        <v/>
      </c>
      <c r="M1206" s="63" t="n">
        <v>15</v>
      </c>
      <c r="N1206" s="2" t="n"/>
      <c r="O1206" s="2" t="n"/>
    </row>
    <row r="1207">
      <c r="A1207" s="62">
        <f>IF('15'!$C$1="","",'15'!$C$1)</f>
        <v/>
      </c>
      <c r="B1207" s="63">
        <f>Ustawienia!$A$10&amp;""</f>
        <v/>
      </c>
      <c r="C1207" s="63">
        <f>Ustawienia!$A$16&amp;""</f>
        <v/>
      </c>
      <c r="D1207" s="63" t="n">
        <v>4</v>
      </c>
      <c r="E1207" s="63">
        <f>IF('15'!J25="","",TRIM('15'!J25&amp;""))</f>
        <v/>
      </c>
      <c r="F1207" s="63">
        <f>IF('15'!K25="","",'15'!K25)</f>
        <v/>
      </c>
      <c r="G1207" s="63">
        <f>'15'!L25&amp;""</f>
        <v/>
      </c>
      <c r="H1207" s="63">
        <f>IF(OR(A1207="",F1207=""),"",F1207&amp;"|"&amp;A1207)</f>
        <v/>
      </c>
      <c r="I1207" s="63">
        <f>IF(AND(H1207&lt;&gt;"",OR('Historia wózka'!$B$4="",F1207='Historia wózka'!$B$4),A1207&gt;='Historia wózka'!$B$5,A1207&lt;='Historia wózka'!$B$6),A1207+0.7+(5000-ROW())/10000000,0)</f>
        <v/>
      </c>
      <c r="J1207" s="63">
        <f>Ustawienia!$B$10&amp;""</f>
        <v/>
      </c>
      <c r="K1207" s="63">
        <f>IF(H1207="","",COUNTIFS('Zgłoszenia'!$B$5:$B$504,F1207,'Zgłoszenia'!$D$5:$D$504,"&gt;="&amp;A1207,'Zgłoszenia'!$D$5:$D$504,"&lt;="&amp;(A1207+1)))</f>
        <v/>
      </c>
      <c r="L1207" s="63">
        <f>IF(OR(H1207="",K1207=0),"—",IF(ISNUMBER(MATCH(H1207,'Zgłoszenia'!$S$5:$S$504,0)),RIGHT("0"&amp;DAY(A1207),2)&amp;"."&amp;RIGHT("0"&amp;MONTH(A1207),2)&amp;"."&amp;YEAR(A1207)&amp;": "&amp;INDEX('Zgłoszenia'!$H$5:$H$504,MATCH(H1207,'Zgłoszenia'!$S$5:$S$504,0)),RIGHT("0"&amp;DAY((A1207+1)),2)&amp;"."&amp;RIGHT("0"&amp;MONTH((A1207+1)),2)&amp;"."&amp;YEAR((A1207+1))&amp;": "&amp;INDEX('Zgłoszenia'!$H$5:$H$504,MATCH(F1207&amp;"|"&amp;(A1207+1),'Zgłoszenia'!$S$5:$S$504,0)))&amp;IF(K1207&gt;1," (+"&amp;(K1207-1)&amp;")",""))</f>
        <v/>
      </c>
      <c r="M1207" s="63" t="n">
        <v>15</v>
      </c>
      <c r="N1207" s="2" t="n"/>
      <c r="O1207" s="2" t="n"/>
    </row>
    <row r="1208">
      <c r="A1208" s="62">
        <f>IF('15'!$C$1="","",'15'!$C$1)</f>
        <v/>
      </c>
      <c r="B1208" s="63">
        <f>Ustawienia!$A$10&amp;""</f>
        <v/>
      </c>
      <c r="C1208" s="63">
        <f>Ustawienia!$A$17&amp;""</f>
        <v/>
      </c>
      <c r="D1208" s="63" t="n">
        <v>1</v>
      </c>
      <c r="E1208" s="63">
        <f>IF('15'!J27="","",TRIM('15'!J27&amp;""))</f>
        <v/>
      </c>
      <c r="F1208" s="63">
        <f>IF('15'!K27="","",'15'!K27)</f>
        <v/>
      </c>
      <c r="G1208" s="63">
        <f>'15'!L27&amp;""</f>
        <v/>
      </c>
      <c r="H1208" s="63">
        <f>IF(OR(A1208="",F1208=""),"",F1208&amp;"|"&amp;A1208)</f>
        <v/>
      </c>
      <c r="I1208" s="63">
        <f>IF(AND(H1208&lt;&gt;"",OR('Historia wózka'!$B$4="",F1208='Historia wózka'!$B$4),A1208&gt;='Historia wózka'!$B$5,A1208&lt;='Historia wózka'!$B$6),A1208+0.7+(5000-ROW())/10000000,0)</f>
        <v/>
      </c>
      <c r="J1208" s="63">
        <f>Ustawienia!$B$10&amp;""</f>
        <v/>
      </c>
      <c r="K1208" s="63">
        <f>IF(H1208="","",COUNTIFS('Zgłoszenia'!$B$5:$B$504,F1208,'Zgłoszenia'!$D$5:$D$504,"&gt;="&amp;A1208,'Zgłoszenia'!$D$5:$D$504,"&lt;="&amp;(A1208+1)))</f>
        <v/>
      </c>
      <c r="L1208" s="63">
        <f>IF(OR(H1208="",K1208=0),"—",IF(ISNUMBER(MATCH(H1208,'Zgłoszenia'!$S$5:$S$504,0)),RIGHT("0"&amp;DAY(A1208),2)&amp;"."&amp;RIGHT("0"&amp;MONTH(A1208),2)&amp;"."&amp;YEAR(A1208)&amp;": "&amp;INDEX('Zgłoszenia'!$H$5:$H$504,MATCH(H1208,'Zgłoszenia'!$S$5:$S$504,0)),RIGHT("0"&amp;DAY((A1208+1)),2)&amp;"."&amp;RIGHT("0"&amp;MONTH((A1208+1)),2)&amp;"."&amp;YEAR((A1208+1))&amp;": "&amp;INDEX('Zgłoszenia'!$H$5:$H$504,MATCH(F1208&amp;"|"&amp;(A1208+1),'Zgłoszenia'!$S$5:$S$504,0)))&amp;IF(K1208&gt;1," (+"&amp;(K1208-1)&amp;")",""))</f>
        <v/>
      </c>
      <c r="M1208" s="63" t="n">
        <v>15</v>
      </c>
      <c r="N1208" s="2" t="n"/>
      <c r="O1208" s="2" t="n"/>
    </row>
    <row r="1209">
      <c r="A1209" s="62">
        <f>IF('15'!$C$1="","",'15'!$C$1)</f>
        <v/>
      </c>
      <c r="B1209" s="63">
        <f>Ustawienia!$A$10&amp;""</f>
        <v/>
      </c>
      <c r="C1209" s="63">
        <f>Ustawienia!$A$17&amp;""</f>
        <v/>
      </c>
      <c r="D1209" s="63" t="n">
        <v>2</v>
      </c>
      <c r="E1209" s="63">
        <f>IF('15'!J28="","",TRIM('15'!J28&amp;""))</f>
        <v/>
      </c>
      <c r="F1209" s="63">
        <f>IF('15'!K28="","",'15'!K28)</f>
        <v/>
      </c>
      <c r="G1209" s="63">
        <f>'15'!L28&amp;""</f>
        <v/>
      </c>
      <c r="H1209" s="63">
        <f>IF(OR(A1209="",F1209=""),"",F1209&amp;"|"&amp;A1209)</f>
        <v/>
      </c>
      <c r="I1209" s="63">
        <f>IF(AND(H1209&lt;&gt;"",OR('Historia wózka'!$B$4="",F1209='Historia wózka'!$B$4),A1209&gt;='Historia wózka'!$B$5,A1209&lt;='Historia wózka'!$B$6),A1209+0.7+(5000-ROW())/10000000,0)</f>
        <v/>
      </c>
      <c r="J1209" s="63">
        <f>Ustawienia!$B$10&amp;""</f>
        <v/>
      </c>
      <c r="K1209" s="63">
        <f>IF(H1209="","",COUNTIFS('Zgłoszenia'!$B$5:$B$504,F1209,'Zgłoszenia'!$D$5:$D$504,"&gt;="&amp;A1209,'Zgłoszenia'!$D$5:$D$504,"&lt;="&amp;(A1209+1)))</f>
        <v/>
      </c>
      <c r="L1209" s="63">
        <f>IF(OR(H1209="",K1209=0),"—",IF(ISNUMBER(MATCH(H1209,'Zgłoszenia'!$S$5:$S$504,0)),RIGHT("0"&amp;DAY(A1209),2)&amp;"."&amp;RIGHT("0"&amp;MONTH(A1209),2)&amp;"."&amp;YEAR(A1209)&amp;": "&amp;INDEX('Zgłoszenia'!$H$5:$H$504,MATCH(H1209,'Zgłoszenia'!$S$5:$S$504,0)),RIGHT("0"&amp;DAY((A1209+1)),2)&amp;"."&amp;RIGHT("0"&amp;MONTH((A1209+1)),2)&amp;"."&amp;YEAR((A1209+1))&amp;": "&amp;INDEX('Zgłoszenia'!$H$5:$H$504,MATCH(F1209&amp;"|"&amp;(A1209+1),'Zgłoszenia'!$S$5:$S$504,0)))&amp;IF(K1209&gt;1," (+"&amp;(K1209-1)&amp;")",""))</f>
        <v/>
      </c>
      <c r="M1209" s="63" t="n">
        <v>15</v>
      </c>
      <c r="N1209" s="2" t="n"/>
      <c r="O1209" s="2" t="n"/>
    </row>
    <row r="1210">
      <c r="A1210" s="62">
        <f>IF('15'!$C$1="","",'15'!$C$1)</f>
        <v/>
      </c>
      <c r="B1210" s="63">
        <f>Ustawienia!$A$10&amp;""</f>
        <v/>
      </c>
      <c r="C1210" s="63">
        <f>Ustawienia!$A$17&amp;""</f>
        <v/>
      </c>
      <c r="D1210" s="63" t="n">
        <v>3</v>
      </c>
      <c r="E1210" s="63">
        <f>IF('15'!J29="","",TRIM('15'!J29&amp;""))</f>
        <v/>
      </c>
      <c r="F1210" s="63">
        <f>IF('15'!K29="","",'15'!K29)</f>
        <v/>
      </c>
      <c r="G1210" s="63">
        <f>'15'!L29&amp;""</f>
        <v/>
      </c>
      <c r="H1210" s="63">
        <f>IF(OR(A1210="",F1210=""),"",F1210&amp;"|"&amp;A1210)</f>
        <v/>
      </c>
      <c r="I1210" s="63">
        <f>IF(AND(H1210&lt;&gt;"",OR('Historia wózka'!$B$4="",F1210='Historia wózka'!$B$4),A1210&gt;='Historia wózka'!$B$5,A1210&lt;='Historia wózka'!$B$6),A1210+0.7+(5000-ROW())/10000000,0)</f>
        <v/>
      </c>
      <c r="J1210" s="63">
        <f>Ustawienia!$B$10&amp;""</f>
        <v/>
      </c>
      <c r="K1210" s="63">
        <f>IF(H1210="","",COUNTIFS('Zgłoszenia'!$B$5:$B$504,F1210,'Zgłoszenia'!$D$5:$D$504,"&gt;="&amp;A1210,'Zgłoszenia'!$D$5:$D$504,"&lt;="&amp;(A1210+1)))</f>
        <v/>
      </c>
      <c r="L1210" s="63">
        <f>IF(OR(H1210="",K1210=0),"—",IF(ISNUMBER(MATCH(H1210,'Zgłoszenia'!$S$5:$S$504,0)),RIGHT("0"&amp;DAY(A1210),2)&amp;"."&amp;RIGHT("0"&amp;MONTH(A1210),2)&amp;"."&amp;YEAR(A1210)&amp;": "&amp;INDEX('Zgłoszenia'!$H$5:$H$504,MATCH(H1210,'Zgłoszenia'!$S$5:$S$504,0)),RIGHT("0"&amp;DAY((A1210+1)),2)&amp;"."&amp;RIGHT("0"&amp;MONTH((A1210+1)),2)&amp;"."&amp;YEAR((A1210+1))&amp;": "&amp;INDEX('Zgłoszenia'!$H$5:$H$504,MATCH(F1210&amp;"|"&amp;(A1210+1),'Zgłoszenia'!$S$5:$S$504,0)))&amp;IF(K1210&gt;1," (+"&amp;(K1210-1)&amp;")",""))</f>
        <v/>
      </c>
      <c r="M1210" s="63" t="n">
        <v>15</v>
      </c>
      <c r="N1210" s="2" t="n"/>
      <c r="O1210" s="2" t="n"/>
    </row>
    <row r="1211">
      <c r="A1211" s="62">
        <f>IF('15'!$C$1="","",'15'!$C$1)</f>
        <v/>
      </c>
      <c r="B1211" s="63">
        <f>Ustawienia!$A$10&amp;""</f>
        <v/>
      </c>
      <c r="C1211" s="63">
        <f>Ustawienia!$A$17&amp;""</f>
        <v/>
      </c>
      <c r="D1211" s="63" t="n">
        <v>4</v>
      </c>
      <c r="E1211" s="63">
        <f>IF('15'!J30="","",TRIM('15'!J30&amp;""))</f>
        <v/>
      </c>
      <c r="F1211" s="63">
        <f>IF('15'!K30="","",'15'!K30)</f>
        <v/>
      </c>
      <c r="G1211" s="63">
        <f>'15'!L30&amp;""</f>
        <v/>
      </c>
      <c r="H1211" s="63">
        <f>IF(OR(A1211="",F1211=""),"",F1211&amp;"|"&amp;A1211)</f>
        <v/>
      </c>
      <c r="I1211" s="63">
        <f>IF(AND(H1211&lt;&gt;"",OR('Historia wózka'!$B$4="",F1211='Historia wózka'!$B$4),A1211&gt;='Historia wózka'!$B$5,A1211&lt;='Historia wózka'!$B$6),A1211+0.7+(5000-ROW())/10000000,0)</f>
        <v/>
      </c>
      <c r="J1211" s="63">
        <f>Ustawienia!$B$10&amp;""</f>
        <v/>
      </c>
      <c r="K1211" s="63">
        <f>IF(H1211="","",COUNTIFS('Zgłoszenia'!$B$5:$B$504,F1211,'Zgłoszenia'!$D$5:$D$504,"&gt;="&amp;A1211,'Zgłoszenia'!$D$5:$D$504,"&lt;="&amp;(A1211+1)))</f>
        <v/>
      </c>
      <c r="L1211" s="63">
        <f>IF(OR(H1211="",K1211=0),"—",IF(ISNUMBER(MATCH(H1211,'Zgłoszenia'!$S$5:$S$504,0)),RIGHT("0"&amp;DAY(A1211),2)&amp;"."&amp;RIGHT("0"&amp;MONTH(A1211),2)&amp;"."&amp;YEAR(A1211)&amp;": "&amp;INDEX('Zgłoszenia'!$H$5:$H$504,MATCH(H1211,'Zgłoszenia'!$S$5:$S$504,0)),RIGHT("0"&amp;DAY((A1211+1)),2)&amp;"."&amp;RIGHT("0"&amp;MONTH((A1211+1)),2)&amp;"."&amp;YEAR((A1211+1))&amp;": "&amp;INDEX('Zgłoszenia'!$H$5:$H$504,MATCH(F1211&amp;"|"&amp;(A1211+1),'Zgłoszenia'!$S$5:$S$504,0)))&amp;IF(K1211&gt;1," (+"&amp;(K1211-1)&amp;")",""))</f>
        <v/>
      </c>
      <c r="M1211" s="63" t="n">
        <v>15</v>
      </c>
      <c r="N1211" s="2" t="n"/>
      <c r="O1211" s="2" t="n"/>
    </row>
    <row r="1212">
      <c r="A1212" s="62">
        <f>IF('15'!$C$1="","",'15'!$C$1)</f>
        <v/>
      </c>
      <c r="B1212" s="63">
        <f>Ustawienia!$A$10&amp;""</f>
        <v/>
      </c>
      <c r="C1212" s="63">
        <f>Ustawienia!$A$18&amp;""</f>
        <v/>
      </c>
      <c r="D1212" s="63" t="n">
        <v>1</v>
      </c>
      <c r="E1212" s="63">
        <f>IF('15'!J32="","",TRIM('15'!J32&amp;""))</f>
        <v/>
      </c>
      <c r="F1212" s="63">
        <f>IF('15'!K32="","",'15'!K32)</f>
        <v/>
      </c>
      <c r="G1212" s="63">
        <f>'15'!L32&amp;""</f>
        <v/>
      </c>
      <c r="H1212" s="63">
        <f>IF(OR(A1212="",F1212=""),"",F1212&amp;"|"&amp;A1212)</f>
        <v/>
      </c>
      <c r="I1212" s="63">
        <f>IF(AND(H1212&lt;&gt;"",OR('Historia wózka'!$B$4="",F1212='Historia wózka'!$B$4),A1212&gt;='Historia wózka'!$B$5,A1212&lt;='Historia wózka'!$B$6),A1212+0.7+(5000-ROW())/10000000,0)</f>
        <v/>
      </c>
      <c r="J1212" s="63">
        <f>Ustawienia!$B$10&amp;""</f>
        <v/>
      </c>
      <c r="K1212" s="63">
        <f>IF(H1212="","",COUNTIFS('Zgłoszenia'!$B$5:$B$504,F1212,'Zgłoszenia'!$D$5:$D$504,"&gt;="&amp;A1212,'Zgłoszenia'!$D$5:$D$504,"&lt;="&amp;(A1212+1)))</f>
        <v/>
      </c>
      <c r="L1212" s="63">
        <f>IF(OR(H1212="",K1212=0),"—",IF(ISNUMBER(MATCH(H1212,'Zgłoszenia'!$S$5:$S$504,0)),RIGHT("0"&amp;DAY(A1212),2)&amp;"."&amp;RIGHT("0"&amp;MONTH(A1212),2)&amp;"."&amp;YEAR(A1212)&amp;": "&amp;INDEX('Zgłoszenia'!$H$5:$H$504,MATCH(H1212,'Zgłoszenia'!$S$5:$S$504,0)),RIGHT("0"&amp;DAY((A1212+1)),2)&amp;"."&amp;RIGHT("0"&amp;MONTH((A1212+1)),2)&amp;"."&amp;YEAR((A1212+1))&amp;": "&amp;INDEX('Zgłoszenia'!$H$5:$H$504,MATCH(F1212&amp;"|"&amp;(A1212+1),'Zgłoszenia'!$S$5:$S$504,0)))&amp;IF(K1212&gt;1," (+"&amp;(K1212-1)&amp;")",""))</f>
        <v/>
      </c>
      <c r="M1212" s="63" t="n">
        <v>15</v>
      </c>
      <c r="N1212" s="2" t="n"/>
      <c r="O1212" s="2" t="n"/>
    </row>
    <row r="1213">
      <c r="A1213" s="62">
        <f>IF('15'!$C$1="","",'15'!$C$1)</f>
        <v/>
      </c>
      <c r="B1213" s="63">
        <f>Ustawienia!$A$10&amp;""</f>
        <v/>
      </c>
      <c r="C1213" s="63">
        <f>Ustawienia!$A$18&amp;""</f>
        <v/>
      </c>
      <c r="D1213" s="63" t="n">
        <v>2</v>
      </c>
      <c r="E1213" s="63">
        <f>IF('15'!J33="","",TRIM('15'!J33&amp;""))</f>
        <v/>
      </c>
      <c r="F1213" s="63">
        <f>IF('15'!K33="","",'15'!K33)</f>
        <v/>
      </c>
      <c r="G1213" s="63">
        <f>'15'!L33&amp;""</f>
        <v/>
      </c>
      <c r="H1213" s="63">
        <f>IF(OR(A1213="",F1213=""),"",F1213&amp;"|"&amp;A1213)</f>
        <v/>
      </c>
      <c r="I1213" s="63">
        <f>IF(AND(H1213&lt;&gt;"",OR('Historia wózka'!$B$4="",F1213='Historia wózka'!$B$4),A1213&gt;='Historia wózka'!$B$5,A1213&lt;='Historia wózka'!$B$6),A1213+0.7+(5000-ROW())/10000000,0)</f>
        <v/>
      </c>
      <c r="J1213" s="63">
        <f>Ustawienia!$B$10&amp;""</f>
        <v/>
      </c>
      <c r="K1213" s="63">
        <f>IF(H1213="","",COUNTIFS('Zgłoszenia'!$B$5:$B$504,F1213,'Zgłoszenia'!$D$5:$D$504,"&gt;="&amp;A1213,'Zgłoszenia'!$D$5:$D$504,"&lt;="&amp;(A1213+1)))</f>
        <v/>
      </c>
      <c r="L1213" s="63">
        <f>IF(OR(H1213="",K1213=0),"—",IF(ISNUMBER(MATCH(H1213,'Zgłoszenia'!$S$5:$S$504,0)),RIGHT("0"&amp;DAY(A1213),2)&amp;"."&amp;RIGHT("0"&amp;MONTH(A1213),2)&amp;"."&amp;YEAR(A1213)&amp;": "&amp;INDEX('Zgłoszenia'!$H$5:$H$504,MATCH(H1213,'Zgłoszenia'!$S$5:$S$504,0)),RIGHT("0"&amp;DAY((A1213+1)),2)&amp;"."&amp;RIGHT("0"&amp;MONTH((A1213+1)),2)&amp;"."&amp;YEAR((A1213+1))&amp;": "&amp;INDEX('Zgłoszenia'!$H$5:$H$504,MATCH(F1213&amp;"|"&amp;(A1213+1),'Zgłoszenia'!$S$5:$S$504,0)))&amp;IF(K1213&gt;1," (+"&amp;(K1213-1)&amp;")",""))</f>
        <v/>
      </c>
      <c r="M1213" s="63" t="n">
        <v>15</v>
      </c>
      <c r="N1213" s="2" t="n"/>
      <c r="O1213" s="2" t="n"/>
    </row>
    <row r="1214">
      <c r="A1214" s="62">
        <f>IF('15'!$C$1="","",'15'!$C$1)</f>
        <v/>
      </c>
      <c r="B1214" s="63">
        <f>Ustawienia!$A$10&amp;""</f>
        <v/>
      </c>
      <c r="C1214" s="63">
        <f>Ustawienia!$A$18&amp;""</f>
        <v/>
      </c>
      <c r="D1214" s="63" t="n">
        <v>3</v>
      </c>
      <c r="E1214" s="63">
        <f>IF('15'!J34="","",TRIM('15'!J34&amp;""))</f>
        <v/>
      </c>
      <c r="F1214" s="63">
        <f>IF('15'!K34="","",'15'!K34)</f>
        <v/>
      </c>
      <c r="G1214" s="63">
        <f>'15'!L34&amp;""</f>
        <v/>
      </c>
      <c r="H1214" s="63">
        <f>IF(OR(A1214="",F1214=""),"",F1214&amp;"|"&amp;A1214)</f>
        <v/>
      </c>
      <c r="I1214" s="63">
        <f>IF(AND(H1214&lt;&gt;"",OR('Historia wózka'!$B$4="",F1214='Historia wózka'!$B$4),A1214&gt;='Historia wózka'!$B$5,A1214&lt;='Historia wózka'!$B$6),A1214+0.7+(5000-ROW())/10000000,0)</f>
        <v/>
      </c>
      <c r="J1214" s="63">
        <f>Ustawienia!$B$10&amp;""</f>
        <v/>
      </c>
      <c r="K1214" s="63">
        <f>IF(H1214="","",COUNTIFS('Zgłoszenia'!$B$5:$B$504,F1214,'Zgłoszenia'!$D$5:$D$504,"&gt;="&amp;A1214,'Zgłoszenia'!$D$5:$D$504,"&lt;="&amp;(A1214+1)))</f>
        <v/>
      </c>
      <c r="L1214" s="63">
        <f>IF(OR(H1214="",K1214=0),"—",IF(ISNUMBER(MATCH(H1214,'Zgłoszenia'!$S$5:$S$504,0)),RIGHT("0"&amp;DAY(A1214),2)&amp;"."&amp;RIGHT("0"&amp;MONTH(A1214),2)&amp;"."&amp;YEAR(A1214)&amp;": "&amp;INDEX('Zgłoszenia'!$H$5:$H$504,MATCH(H1214,'Zgłoszenia'!$S$5:$S$504,0)),RIGHT("0"&amp;DAY((A1214+1)),2)&amp;"."&amp;RIGHT("0"&amp;MONTH((A1214+1)),2)&amp;"."&amp;YEAR((A1214+1))&amp;": "&amp;INDEX('Zgłoszenia'!$H$5:$H$504,MATCH(F1214&amp;"|"&amp;(A1214+1),'Zgłoszenia'!$S$5:$S$504,0)))&amp;IF(K1214&gt;1," (+"&amp;(K1214-1)&amp;")",""))</f>
        <v/>
      </c>
      <c r="M1214" s="63" t="n">
        <v>15</v>
      </c>
      <c r="N1214" s="2" t="n"/>
      <c r="O1214" s="2" t="n"/>
    </row>
    <row r="1215">
      <c r="A1215" s="62">
        <f>IF('15'!$C$1="","",'15'!$C$1)</f>
        <v/>
      </c>
      <c r="B1215" s="63">
        <f>Ustawienia!$A$10&amp;""</f>
        <v/>
      </c>
      <c r="C1215" s="63">
        <f>Ustawienia!$A$18&amp;""</f>
        <v/>
      </c>
      <c r="D1215" s="63" t="n">
        <v>4</v>
      </c>
      <c r="E1215" s="63">
        <f>IF('15'!J35="","",TRIM('15'!J35&amp;""))</f>
        <v/>
      </c>
      <c r="F1215" s="63">
        <f>IF('15'!K35="","",'15'!K35)</f>
        <v/>
      </c>
      <c r="G1215" s="63">
        <f>'15'!L35&amp;""</f>
        <v/>
      </c>
      <c r="H1215" s="63">
        <f>IF(OR(A1215="",F1215=""),"",F1215&amp;"|"&amp;A1215)</f>
        <v/>
      </c>
      <c r="I1215" s="63">
        <f>IF(AND(H1215&lt;&gt;"",OR('Historia wózka'!$B$4="",F1215='Historia wózka'!$B$4),A1215&gt;='Historia wózka'!$B$5,A1215&lt;='Historia wózka'!$B$6),A1215+0.7+(5000-ROW())/10000000,0)</f>
        <v/>
      </c>
      <c r="J1215" s="63">
        <f>Ustawienia!$B$10&amp;""</f>
        <v/>
      </c>
      <c r="K1215" s="63">
        <f>IF(H1215="","",COUNTIFS('Zgłoszenia'!$B$5:$B$504,F1215,'Zgłoszenia'!$D$5:$D$504,"&gt;="&amp;A1215,'Zgłoszenia'!$D$5:$D$504,"&lt;="&amp;(A1215+1)))</f>
        <v/>
      </c>
      <c r="L1215" s="63">
        <f>IF(OR(H1215="",K1215=0),"—",IF(ISNUMBER(MATCH(H1215,'Zgłoszenia'!$S$5:$S$504,0)),RIGHT("0"&amp;DAY(A1215),2)&amp;"."&amp;RIGHT("0"&amp;MONTH(A1215),2)&amp;"."&amp;YEAR(A1215)&amp;": "&amp;INDEX('Zgłoszenia'!$H$5:$H$504,MATCH(H1215,'Zgłoszenia'!$S$5:$S$504,0)),RIGHT("0"&amp;DAY((A1215+1)),2)&amp;"."&amp;RIGHT("0"&amp;MONTH((A1215+1)),2)&amp;"."&amp;YEAR((A1215+1))&amp;": "&amp;INDEX('Zgłoszenia'!$H$5:$H$504,MATCH(F1215&amp;"|"&amp;(A1215+1),'Zgłoszenia'!$S$5:$S$504,0)))&amp;IF(K1215&gt;1," (+"&amp;(K1215-1)&amp;")",""))</f>
        <v/>
      </c>
      <c r="M1215" s="63" t="n">
        <v>15</v>
      </c>
      <c r="N1215" s="2" t="n"/>
      <c r="O1215" s="2" t="n"/>
    </row>
    <row r="1216">
      <c r="A1216" s="62">
        <f>IF('15'!$C$1="","",'15'!$C$1)</f>
        <v/>
      </c>
      <c r="B1216" s="63">
        <f>Ustawienia!$A$10&amp;""</f>
        <v/>
      </c>
      <c r="C1216" s="63">
        <f>Ustawienia!$A$18&amp;""</f>
        <v/>
      </c>
      <c r="D1216" s="63" t="n">
        <v>5</v>
      </c>
      <c r="E1216" s="63">
        <f>IF('15'!J36="","",TRIM('15'!J36&amp;""))</f>
        <v/>
      </c>
      <c r="F1216" s="63">
        <f>IF('15'!K36="","",'15'!K36)</f>
        <v/>
      </c>
      <c r="G1216" s="63">
        <f>'15'!L36&amp;""</f>
        <v/>
      </c>
      <c r="H1216" s="63">
        <f>IF(OR(A1216="",F1216=""),"",F1216&amp;"|"&amp;A1216)</f>
        <v/>
      </c>
      <c r="I1216" s="63">
        <f>IF(AND(H1216&lt;&gt;"",OR('Historia wózka'!$B$4="",F1216='Historia wózka'!$B$4),A1216&gt;='Historia wózka'!$B$5,A1216&lt;='Historia wózka'!$B$6),A1216+0.7+(5000-ROW())/10000000,0)</f>
        <v/>
      </c>
      <c r="J1216" s="63">
        <f>Ustawienia!$B$10&amp;""</f>
        <v/>
      </c>
      <c r="K1216" s="63">
        <f>IF(H1216="","",COUNTIFS('Zgłoszenia'!$B$5:$B$504,F1216,'Zgłoszenia'!$D$5:$D$504,"&gt;="&amp;A1216,'Zgłoszenia'!$D$5:$D$504,"&lt;="&amp;(A1216+1)))</f>
        <v/>
      </c>
      <c r="L1216" s="63">
        <f>IF(OR(H1216="",K1216=0),"—",IF(ISNUMBER(MATCH(H1216,'Zgłoszenia'!$S$5:$S$504,0)),RIGHT("0"&amp;DAY(A1216),2)&amp;"."&amp;RIGHT("0"&amp;MONTH(A1216),2)&amp;"."&amp;YEAR(A1216)&amp;": "&amp;INDEX('Zgłoszenia'!$H$5:$H$504,MATCH(H1216,'Zgłoszenia'!$S$5:$S$504,0)),RIGHT("0"&amp;DAY((A1216+1)),2)&amp;"."&amp;RIGHT("0"&amp;MONTH((A1216+1)),2)&amp;"."&amp;YEAR((A1216+1))&amp;": "&amp;INDEX('Zgłoszenia'!$H$5:$H$504,MATCH(F1216&amp;"|"&amp;(A1216+1),'Zgłoszenia'!$S$5:$S$504,0)))&amp;IF(K1216&gt;1," (+"&amp;(K1216-1)&amp;")",""))</f>
        <v/>
      </c>
      <c r="M1216" s="63" t="n">
        <v>15</v>
      </c>
      <c r="N1216" s="2" t="n"/>
      <c r="O1216" s="2" t="n"/>
    </row>
    <row r="1217">
      <c r="A1217" s="62">
        <f>IF('16'!$C$1="","",'16'!$C$1)</f>
        <v/>
      </c>
      <c r="B1217" s="63">
        <f>Ustawienia!$A$8&amp;""</f>
        <v/>
      </c>
      <c r="C1217" s="63">
        <f>Ustawienia!$A$14&amp;""</f>
        <v/>
      </c>
      <c r="D1217" s="63" t="n">
        <v>1</v>
      </c>
      <c r="E1217" s="63">
        <f>IF('16'!B6="","",TRIM('16'!B6&amp;""))</f>
        <v/>
      </c>
      <c r="F1217" s="63">
        <f>IF('16'!C6="","",'16'!C6)</f>
        <v/>
      </c>
      <c r="G1217" s="63">
        <f>'16'!D6&amp;""</f>
        <v/>
      </c>
      <c r="H1217" s="63">
        <f>IF(OR(A1217="",F1217=""),"",F1217&amp;"|"&amp;A1217)</f>
        <v/>
      </c>
      <c r="I1217" s="63">
        <f>IF(AND(H1217&lt;&gt;"",OR('Historia wózka'!$B$4="",F1217='Historia wózka'!$B$4),A1217&gt;='Historia wózka'!$B$5,A1217&lt;='Historia wózka'!$B$6),A1217+0.9+(5000-ROW())/10000000,0)</f>
        <v/>
      </c>
      <c r="J1217" s="63">
        <f>Ustawienia!$B$8&amp;""</f>
        <v/>
      </c>
      <c r="K1217" s="63">
        <f>IF(H1217="","",COUNTIFS('Zgłoszenia'!$B$5:$B$504,F1217,'Zgłoszenia'!$D$5:$D$504,"&gt;="&amp;A1217,'Zgłoszenia'!$D$5:$D$504,"&lt;="&amp;(A1217+1)))</f>
        <v/>
      </c>
      <c r="L1217" s="63">
        <f>IF(OR(H1217="",K1217=0),"—",IF(ISNUMBER(MATCH(H1217,'Zgłoszenia'!$S$5:$S$504,0)),RIGHT("0"&amp;DAY(A1217),2)&amp;"."&amp;RIGHT("0"&amp;MONTH(A1217),2)&amp;"."&amp;YEAR(A1217)&amp;": "&amp;INDEX('Zgłoszenia'!$H$5:$H$504,MATCH(H1217,'Zgłoszenia'!$S$5:$S$504,0)),RIGHT("0"&amp;DAY((A1217+1)),2)&amp;"."&amp;RIGHT("0"&amp;MONTH((A1217+1)),2)&amp;"."&amp;YEAR((A1217+1))&amp;": "&amp;INDEX('Zgłoszenia'!$H$5:$H$504,MATCH(F1217&amp;"|"&amp;(A1217+1),'Zgłoszenia'!$S$5:$S$504,0)))&amp;IF(K1217&gt;1," (+"&amp;(K1217-1)&amp;")",""))</f>
        <v/>
      </c>
      <c r="M1217" s="63" t="n">
        <v>16</v>
      </c>
      <c r="N1217" s="2" t="n"/>
      <c r="O1217" s="2" t="n"/>
    </row>
    <row r="1218">
      <c r="A1218" s="62">
        <f>IF('16'!$C$1="","",'16'!$C$1)</f>
        <v/>
      </c>
      <c r="B1218" s="63">
        <f>Ustawienia!$A$8&amp;""</f>
        <v/>
      </c>
      <c r="C1218" s="63">
        <f>Ustawienia!$A$14&amp;""</f>
        <v/>
      </c>
      <c r="D1218" s="63" t="n">
        <v>2</v>
      </c>
      <c r="E1218" s="63">
        <f>IF('16'!B7="","",TRIM('16'!B7&amp;""))</f>
        <v/>
      </c>
      <c r="F1218" s="63">
        <f>IF('16'!C7="","",'16'!C7)</f>
        <v/>
      </c>
      <c r="G1218" s="63">
        <f>'16'!D7&amp;""</f>
        <v/>
      </c>
      <c r="H1218" s="63">
        <f>IF(OR(A1218="",F1218=""),"",F1218&amp;"|"&amp;A1218)</f>
        <v/>
      </c>
      <c r="I1218" s="63">
        <f>IF(AND(H1218&lt;&gt;"",OR('Historia wózka'!$B$4="",F1218='Historia wózka'!$B$4),A1218&gt;='Historia wózka'!$B$5,A1218&lt;='Historia wózka'!$B$6),A1218+0.9+(5000-ROW())/10000000,0)</f>
        <v/>
      </c>
      <c r="J1218" s="63">
        <f>Ustawienia!$B$8&amp;""</f>
        <v/>
      </c>
      <c r="K1218" s="63">
        <f>IF(H1218="","",COUNTIFS('Zgłoszenia'!$B$5:$B$504,F1218,'Zgłoszenia'!$D$5:$D$504,"&gt;="&amp;A1218,'Zgłoszenia'!$D$5:$D$504,"&lt;="&amp;(A1218+1)))</f>
        <v/>
      </c>
      <c r="L1218" s="63">
        <f>IF(OR(H1218="",K1218=0),"—",IF(ISNUMBER(MATCH(H1218,'Zgłoszenia'!$S$5:$S$504,0)),RIGHT("0"&amp;DAY(A1218),2)&amp;"."&amp;RIGHT("0"&amp;MONTH(A1218),2)&amp;"."&amp;YEAR(A1218)&amp;": "&amp;INDEX('Zgłoszenia'!$H$5:$H$504,MATCH(H1218,'Zgłoszenia'!$S$5:$S$504,0)),RIGHT("0"&amp;DAY((A1218+1)),2)&amp;"."&amp;RIGHT("0"&amp;MONTH((A1218+1)),2)&amp;"."&amp;YEAR((A1218+1))&amp;": "&amp;INDEX('Zgłoszenia'!$H$5:$H$504,MATCH(F1218&amp;"|"&amp;(A1218+1),'Zgłoszenia'!$S$5:$S$504,0)))&amp;IF(K1218&gt;1," (+"&amp;(K1218-1)&amp;")",""))</f>
        <v/>
      </c>
      <c r="M1218" s="63" t="n">
        <v>16</v>
      </c>
      <c r="N1218" s="2" t="n"/>
      <c r="O1218" s="2" t="n"/>
    </row>
    <row r="1219">
      <c r="A1219" s="62">
        <f>IF('16'!$C$1="","",'16'!$C$1)</f>
        <v/>
      </c>
      <c r="B1219" s="63">
        <f>Ustawienia!$A$8&amp;""</f>
        <v/>
      </c>
      <c r="C1219" s="63">
        <f>Ustawienia!$A$14&amp;""</f>
        <v/>
      </c>
      <c r="D1219" s="63" t="n">
        <v>3</v>
      </c>
      <c r="E1219" s="63">
        <f>IF('16'!B8="","",TRIM('16'!B8&amp;""))</f>
        <v/>
      </c>
      <c r="F1219" s="63">
        <f>IF('16'!C8="","",'16'!C8)</f>
        <v/>
      </c>
      <c r="G1219" s="63">
        <f>'16'!D8&amp;""</f>
        <v/>
      </c>
      <c r="H1219" s="63">
        <f>IF(OR(A1219="",F1219=""),"",F1219&amp;"|"&amp;A1219)</f>
        <v/>
      </c>
      <c r="I1219" s="63">
        <f>IF(AND(H1219&lt;&gt;"",OR('Historia wózka'!$B$4="",F1219='Historia wózka'!$B$4),A1219&gt;='Historia wózka'!$B$5,A1219&lt;='Historia wózka'!$B$6),A1219+0.9+(5000-ROW())/10000000,0)</f>
        <v/>
      </c>
      <c r="J1219" s="63">
        <f>Ustawienia!$B$8&amp;""</f>
        <v/>
      </c>
      <c r="K1219" s="63">
        <f>IF(H1219="","",COUNTIFS('Zgłoszenia'!$B$5:$B$504,F1219,'Zgłoszenia'!$D$5:$D$504,"&gt;="&amp;A1219,'Zgłoszenia'!$D$5:$D$504,"&lt;="&amp;(A1219+1)))</f>
        <v/>
      </c>
      <c r="L1219" s="63">
        <f>IF(OR(H1219="",K1219=0),"—",IF(ISNUMBER(MATCH(H1219,'Zgłoszenia'!$S$5:$S$504,0)),RIGHT("0"&amp;DAY(A1219),2)&amp;"."&amp;RIGHT("0"&amp;MONTH(A1219),2)&amp;"."&amp;YEAR(A1219)&amp;": "&amp;INDEX('Zgłoszenia'!$H$5:$H$504,MATCH(H1219,'Zgłoszenia'!$S$5:$S$504,0)),RIGHT("0"&amp;DAY((A1219+1)),2)&amp;"."&amp;RIGHT("0"&amp;MONTH((A1219+1)),2)&amp;"."&amp;YEAR((A1219+1))&amp;": "&amp;INDEX('Zgłoszenia'!$H$5:$H$504,MATCH(F1219&amp;"|"&amp;(A1219+1),'Zgłoszenia'!$S$5:$S$504,0)))&amp;IF(K1219&gt;1," (+"&amp;(K1219-1)&amp;")",""))</f>
        <v/>
      </c>
      <c r="M1219" s="63" t="n">
        <v>16</v>
      </c>
      <c r="N1219" s="2" t="n"/>
      <c r="O1219" s="2" t="n"/>
    </row>
    <row r="1220">
      <c r="A1220" s="62">
        <f>IF('16'!$C$1="","",'16'!$C$1)</f>
        <v/>
      </c>
      <c r="B1220" s="63">
        <f>Ustawienia!$A$8&amp;""</f>
        <v/>
      </c>
      <c r="C1220" s="63">
        <f>Ustawienia!$A$14&amp;""</f>
        <v/>
      </c>
      <c r="D1220" s="63" t="n">
        <v>4</v>
      </c>
      <c r="E1220" s="63">
        <f>IF('16'!B9="","",TRIM('16'!B9&amp;""))</f>
        <v/>
      </c>
      <c r="F1220" s="63">
        <f>IF('16'!C9="","",'16'!C9)</f>
        <v/>
      </c>
      <c r="G1220" s="63">
        <f>'16'!D9&amp;""</f>
        <v/>
      </c>
      <c r="H1220" s="63">
        <f>IF(OR(A1220="",F1220=""),"",F1220&amp;"|"&amp;A1220)</f>
        <v/>
      </c>
      <c r="I1220" s="63">
        <f>IF(AND(H1220&lt;&gt;"",OR('Historia wózka'!$B$4="",F1220='Historia wózka'!$B$4),A1220&gt;='Historia wózka'!$B$5,A1220&lt;='Historia wózka'!$B$6),A1220+0.9+(5000-ROW())/10000000,0)</f>
        <v/>
      </c>
      <c r="J1220" s="63">
        <f>Ustawienia!$B$8&amp;""</f>
        <v/>
      </c>
      <c r="K1220" s="63">
        <f>IF(H1220="","",COUNTIFS('Zgłoszenia'!$B$5:$B$504,F1220,'Zgłoszenia'!$D$5:$D$504,"&gt;="&amp;A1220,'Zgłoszenia'!$D$5:$D$504,"&lt;="&amp;(A1220+1)))</f>
        <v/>
      </c>
      <c r="L1220" s="63">
        <f>IF(OR(H1220="",K1220=0),"—",IF(ISNUMBER(MATCH(H1220,'Zgłoszenia'!$S$5:$S$504,0)),RIGHT("0"&amp;DAY(A1220),2)&amp;"."&amp;RIGHT("0"&amp;MONTH(A1220),2)&amp;"."&amp;YEAR(A1220)&amp;": "&amp;INDEX('Zgłoszenia'!$H$5:$H$504,MATCH(H1220,'Zgłoszenia'!$S$5:$S$504,0)),RIGHT("0"&amp;DAY((A1220+1)),2)&amp;"."&amp;RIGHT("0"&amp;MONTH((A1220+1)),2)&amp;"."&amp;YEAR((A1220+1))&amp;": "&amp;INDEX('Zgłoszenia'!$H$5:$H$504,MATCH(F1220&amp;"|"&amp;(A1220+1),'Zgłoszenia'!$S$5:$S$504,0)))&amp;IF(K1220&gt;1," (+"&amp;(K1220-1)&amp;")",""))</f>
        <v/>
      </c>
      <c r="M1220" s="63" t="n">
        <v>16</v>
      </c>
      <c r="N1220" s="2" t="n"/>
      <c r="O1220" s="2" t="n"/>
    </row>
    <row r="1221">
      <c r="A1221" s="62">
        <f>IF('16'!$C$1="","",'16'!$C$1)</f>
        <v/>
      </c>
      <c r="B1221" s="63">
        <f>Ustawienia!$A$8&amp;""</f>
        <v/>
      </c>
      <c r="C1221" s="63">
        <f>Ustawienia!$A$14&amp;""</f>
        <v/>
      </c>
      <c r="D1221" s="63" t="n">
        <v>5</v>
      </c>
      <c r="E1221" s="63">
        <f>IF('16'!B10="","",TRIM('16'!B10&amp;""))</f>
        <v/>
      </c>
      <c r="F1221" s="63">
        <f>IF('16'!C10="","",'16'!C10)</f>
        <v/>
      </c>
      <c r="G1221" s="63">
        <f>'16'!D10&amp;""</f>
        <v/>
      </c>
      <c r="H1221" s="63">
        <f>IF(OR(A1221="",F1221=""),"",F1221&amp;"|"&amp;A1221)</f>
        <v/>
      </c>
      <c r="I1221" s="63">
        <f>IF(AND(H1221&lt;&gt;"",OR('Historia wózka'!$B$4="",F1221='Historia wózka'!$B$4),A1221&gt;='Historia wózka'!$B$5,A1221&lt;='Historia wózka'!$B$6),A1221+0.9+(5000-ROW())/10000000,0)</f>
        <v/>
      </c>
      <c r="J1221" s="63">
        <f>Ustawienia!$B$8&amp;""</f>
        <v/>
      </c>
      <c r="K1221" s="63">
        <f>IF(H1221="","",COUNTIFS('Zgłoszenia'!$B$5:$B$504,F1221,'Zgłoszenia'!$D$5:$D$504,"&gt;="&amp;A1221,'Zgłoszenia'!$D$5:$D$504,"&lt;="&amp;(A1221+1)))</f>
        <v/>
      </c>
      <c r="L1221" s="63">
        <f>IF(OR(H1221="",K1221=0),"—",IF(ISNUMBER(MATCH(H1221,'Zgłoszenia'!$S$5:$S$504,0)),RIGHT("0"&amp;DAY(A1221),2)&amp;"."&amp;RIGHT("0"&amp;MONTH(A1221),2)&amp;"."&amp;YEAR(A1221)&amp;": "&amp;INDEX('Zgłoszenia'!$H$5:$H$504,MATCH(H1221,'Zgłoszenia'!$S$5:$S$504,0)),RIGHT("0"&amp;DAY((A1221+1)),2)&amp;"."&amp;RIGHT("0"&amp;MONTH((A1221+1)),2)&amp;"."&amp;YEAR((A1221+1))&amp;": "&amp;INDEX('Zgłoszenia'!$H$5:$H$504,MATCH(F1221&amp;"|"&amp;(A1221+1),'Zgłoszenia'!$S$5:$S$504,0)))&amp;IF(K1221&gt;1," (+"&amp;(K1221-1)&amp;")",""))</f>
        <v/>
      </c>
      <c r="M1221" s="63" t="n">
        <v>16</v>
      </c>
      <c r="N1221" s="2" t="n"/>
      <c r="O1221" s="2" t="n"/>
    </row>
    <row r="1222">
      <c r="A1222" s="62">
        <f>IF('16'!$C$1="","",'16'!$C$1)</f>
        <v/>
      </c>
      <c r="B1222" s="63">
        <f>Ustawienia!$A$8&amp;""</f>
        <v/>
      </c>
      <c r="C1222" s="63">
        <f>Ustawienia!$A$14&amp;""</f>
        <v/>
      </c>
      <c r="D1222" s="63" t="n">
        <v>6</v>
      </c>
      <c r="E1222" s="63">
        <f>IF('16'!B11="","",TRIM('16'!B11&amp;""))</f>
        <v/>
      </c>
      <c r="F1222" s="63">
        <f>IF('16'!C11="","",'16'!C11)</f>
        <v/>
      </c>
      <c r="G1222" s="63">
        <f>'16'!D11&amp;""</f>
        <v/>
      </c>
      <c r="H1222" s="63">
        <f>IF(OR(A1222="",F1222=""),"",F1222&amp;"|"&amp;A1222)</f>
        <v/>
      </c>
      <c r="I1222" s="63">
        <f>IF(AND(H1222&lt;&gt;"",OR('Historia wózka'!$B$4="",F1222='Historia wózka'!$B$4),A1222&gt;='Historia wózka'!$B$5,A1222&lt;='Historia wózka'!$B$6),A1222+0.9+(5000-ROW())/10000000,0)</f>
        <v/>
      </c>
      <c r="J1222" s="63">
        <f>Ustawienia!$B$8&amp;""</f>
        <v/>
      </c>
      <c r="K1222" s="63">
        <f>IF(H1222="","",COUNTIFS('Zgłoszenia'!$B$5:$B$504,F1222,'Zgłoszenia'!$D$5:$D$504,"&gt;="&amp;A1222,'Zgłoszenia'!$D$5:$D$504,"&lt;="&amp;(A1222+1)))</f>
        <v/>
      </c>
      <c r="L1222" s="63">
        <f>IF(OR(H1222="",K1222=0),"—",IF(ISNUMBER(MATCH(H1222,'Zgłoszenia'!$S$5:$S$504,0)),RIGHT("0"&amp;DAY(A1222),2)&amp;"."&amp;RIGHT("0"&amp;MONTH(A1222),2)&amp;"."&amp;YEAR(A1222)&amp;": "&amp;INDEX('Zgłoszenia'!$H$5:$H$504,MATCH(H1222,'Zgłoszenia'!$S$5:$S$504,0)),RIGHT("0"&amp;DAY((A1222+1)),2)&amp;"."&amp;RIGHT("0"&amp;MONTH((A1222+1)),2)&amp;"."&amp;YEAR((A1222+1))&amp;": "&amp;INDEX('Zgłoszenia'!$H$5:$H$504,MATCH(F1222&amp;"|"&amp;(A1222+1),'Zgłoszenia'!$S$5:$S$504,0)))&amp;IF(K1222&gt;1," (+"&amp;(K1222-1)&amp;")",""))</f>
        <v/>
      </c>
      <c r="M1222" s="63" t="n">
        <v>16</v>
      </c>
      <c r="N1222" s="2" t="n"/>
      <c r="O1222" s="2" t="n"/>
    </row>
    <row r="1223">
      <c r="A1223" s="62">
        <f>IF('16'!$C$1="","",'16'!$C$1)</f>
        <v/>
      </c>
      <c r="B1223" s="63">
        <f>Ustawienia!$A$8&amp;""</f>
        <v/>
      </c>
      <c r="C1223" s="63">
        <f>Ustawienia!$A$15&amp;""</f>
        <v/>
      </c>
      <c r="D1223" s="63" t="n">
        <v>1</v>
      </c>
      <c r="E1223" s="63">
        <f>IF('16'!B13="","",TRIM('16'!B13&amp;""))</f>
        <v/>
      </c>
      <c r="F1223" s="63">
        <f>IF('16'!C13="","",'16'!C13)</f>
        <v/>
      </c>
      <c r="G1223" s="63">
        <f>'16'!D13&amp;""</f>
        <v/>
      </c>
      <c r="H1223" s="63">
        <f>IF(OR(A1223="",F1223=""),"",F1223&amp;"|"&amp;A1223)</f>
        <v/>
      </c>
      <c r="I1223" s="63">
        <f>IF(AND(H1223&lt;&gt;"",OR('Historia wózka'!$B$4="",F1223='Historia wózka'!$B$4),A1223&gt;='Historia wózka'!$B$5,A1223&lt;='Historia wózka'!$B$6),A1223+0.9+(5000-ROW())/10000000,0)</f>
        <v/>
      </c>
      <c r="J1223" s="63">
        <f>Ustawienia!$B$8&amp;""</f>
        <v/>
      </c>
      <c r="K1223" s="63">
        <f>IF(H1223="","",COUNTIFS('Zgłoszenia'!$B$5:$B$504,F1223,'Zgłoszenia'!$D$5:$D$504,"&gt;="&amp;A1223,'Zgłoszenia'!$D$5:$D$504,"&lt;="&amp;(A1223+1)))</f>
        <v/>
      </c>
      <c r="L1223" s="63">
        <f>IF(OR(H1223="",K1223=0),"—",IF(ISNUMBER(MATCH(H1223,'Zgłoszenia'!$S$5:$S$504,0)),RIGHT("0"&amp;DAY(A1223),2)&amp;"."&amp;RIGHT("0"&amp;MONTH(A1223),2)&amp;"."&amp;YEAR(A1223)&amp;": "&amp;INDEX('Zgłoszenia'!$H$5:$H$504,MATCH(H1223,'Zgłoszenia'!$S$5:$S$504,0)),RIGHT("0"&amp;DAY((A1223+1)),2)&amp;"."&amp;RIGHT("0"&amp;MONTH((A1223+1)),2)&amp;"."&amp;YEAR((A1223+1))&amp;": "&amp;INDEX('Zgłoszenia'!$H$5:$H$504,MATCH(F1223&amp;"|"&amp;(A1223+1),'Zgłoszenia'!$S$5:$S$504,0)))&amp;IF(K1223&gt;1," (+"&amp;(K1223-1)&amp;")",""))</f>
        <v/>
      </c>
      <c r="M1223" s="63" t="n">
        <v>16</v>
      </c>
      <c r="N1223" s="2" t="n"/>
      <c r="O1223" s="2" t="n"/>
    </row>
    <row r="1224">
      <c r="A1224" s="62">
        <f>IF('16'!$C$1="","",'16'!$C$1)</f>
        <v/>
      </c>
      <c r="B1224" s="63">
        <f>Ustawienia!$A$8&amp;""</f>
        <v/>
      </c>
      <c r="C1224" s="63">
        <f>Ustawienia!$A$15&amp;""</f>
        <v/>
      </c>
      <c r="D1224" s="63" t="n">
        <v>2</v>
      </c>
      <c r="E1224" s="63">
        <f>IF('16'!B14="","",TRIM('16'!B14&amp;""))</f>
        <v/>
      </c>
      <c r="F1224" s="63">
        <f>IF('16'!C14="","",'16'!C14)</f>
        <v/>
      </c>
      <c r="G1224" s="63">
        <f>'16'!D14&amp;""</f>
        <v/>
      </c>
      <c r="H1224" s="63">
        <f>IF(OR(A1224="",F1224=""),"",F1224&amp;"|"&amp;A1224)</f>
        <v/>
      </c>
      <c r="I1224" s="63">
        <f>IF(AND(H1224&lt;&gt;"",OR('Historia wózka'!$B$4="",F1224='Historia wózka'!$B$4),A1224&gt;='Historia wózka'!$B$5,A1224&lt;='Historia wózka'!$B$6),A1224+0.9+(5000-ROW())/10000000,0)</f>
        <v/>
      </c>
      <c r="J1224" s="63">
        <f>Ustawienia!$B$8&amp;""</f>
        <v/>
      </c>
      <c r="K1224" s="63">
        <f>IF(H1224="","",COUNTIFS('Zgłoszenia'!$B$5:$B$504,F1224,'Zgłoszenia'!$D$5:$D$504,"&gt;="&amp;A1224,'Zgłoszenia'!$D$5:$D$504,"&lt;="&amp;(A1224+1)))</f>
        <v/>
      </c>
      <c r="L1224" s="63">
        <f>IF(OR(H1224="",K1224=0),"—",IF(ISNUMBER(MATCH(H1224,'Zgłoszenia'!$S$5:$S$504,0)),RIGHT("0"&amp;DAY(A1224),2)&amp;"."&amp;RIGHT("0"&amp;MONTH(A1224),2)&amp;"."&amp;YEAR(A1224)&amp;": "&amp;INDEX('Zgłoszenia'!$H$5:$H$504,MATCH(H1224,'Zgłoszenia'!$S$5:$S$504,0)),RIGHT("0"&amp;DAY((A1224+1)),2)&amp;"."&amp;RIGHT("0"&amp;MONTH((A1224+1)),2)&amp;"."&amp;YEAR((A1224+1))&amp;": "&amp;INDEX('Zgłoszenia'!$H$5:$H$504,MATCH(F1224&amp;"|"&amp;(A1224+1),'Zgłoszenia'!$S$5:$S$504,0)))&amp;IF(K1224&gt;1," (+"&amp;(K1224-1)&amp;")",""))</f>
        <v/>
      </c>
      <c r="M1224" s="63" t="n">
        <v>16</v>
      </c>
      <c r="N1224" s="2" t="n"/>
      <c r="O1224" s="2" t="n"/>
    </row>
    <row r="1225">
      <c r="A1225" s="62">
        <f>IF('16'!$C$1="","",'16'!$C$1)</f>
        <v/>
      </c>
      <c r="B1225" s="63">
        <f>Ustawienia!$A$8&amp;""</f>
        <v/>
      </c>
      <c r="C1225" s="63">
        <f>Ustawienia!$A$15&amp;""</f>
        <v/>
      </c>
      <c r="D1225" s="63" t="n">
        <v>3</v>
      </c>
      <c r="E1225" s="63">
        <f>IF('16'!B15="","",TRIM('16'!B15&amp;""))</f>
        <v/>
      </c>
      <c r="F1225" s="63">
        <f>IF('16'!C15="","",'16'!C15)</f>
        <v/>
      </c>
      <c r="G1225" s="63">
        <f>'16'!D15&amp;""</f>
        <v/>
      </c>
      <c r="H1225" s="63">
        <f>IF(OR(A1225="",F1225=""),"",F1225&amp;"|"&amp;A1225)</f>
        <v/>
      </c>
      <c r="I1225" s="63">
        <f>IF(AND(H1225&lt;&gt;"",OR('Historia wózka'!$B$4="",F1225='Historia wózka'!$B$4),A1225&gt;='Historia wózka'!$B$5,A1225&lt;='Historia wózka'!$B$6),A1225+0.9+(5000-ROW())/10000000,0)</f>
        <v/>
      </c>
      <c r="J1225" s="63">
        <f>Ustawienia!$B$8&amp;""</f>
        <v/>
      </c>
      <c r="K1225" s="63">
        <f>IF(H1225="","",COUNTIFS('Zgłoszenia'!$B$5:$B$504,F1225,'Zgłoszenia'!$D$5:$D$504,"&gt;="&amp;A1225,'Zgłoszenia'!$D$5:$D$504,"&lt;="&amp;(A1225+1)))</f>
        <v/>
      </c>
      <c r="L1225" s="63">
        <f>IF(OR(H1225="",K1225=0),"—",IF(ISNUMBER(MATCH(H1225,'Zgłoszenia'!$S$5:$S$504,0)),RIGHT("0"&amp;DAY(A1225),2)&amp;"."&amp;RIGHT("0"&amp;MONTH(A1225),2)&amp;"."&amp;YEAR(A1225)&amp;": "&amp;INDEX('Zgłoszenia'!$H$5:$H$504,MATCH(H1225,'Zgłoszenia'!$S$5:$S$504,0)),RIGHT("0"&amp;DAY((A1225+1)),2)&amp;"."&amp;RIGHT("0"&amp;MONTH((A1225+1)),2)&amp;"."&amp;YEAR((A1225+1))&amp;": "&amp;INDEX('Zgłoszenia'!$H$5:$H$504,MATCH(F1225&amp;"|"&amp;(A1225+1),'Zgłoszenia'!$S$5:$S$504,0)))&amp;IF(K1225&gt;1," (+"&amp;(K1225-1)&amp;")",""))</f>
        <v/>
      </c>
      <c r="M1225" s="63" t="n">
        <v>16</v>
      </c>
      <c r="N1225" s="2" t="n"/>
      <c r="O1225" s="2" t="n"/>
    </row>
    <row r="1226">
      <c r="A1226" s="62">
        <f>IF('16'!$C$1="","",'16'!$C$1)</f>
        <v/>
      </c>
      <c r="B1226" s="63">
        <f>Ustawienia!$A$8&amp;""</f>
        <v/>
      </c>
      <c r="C1226" s="63">
        <f>Ustawienia!$A$15&amp;""</f>
        <v/>
      </c>
      <c r="D1226" s="63" t="n">
        <v>4</v>
      </c>
      <c r="E1226" s="63">
        <f>IF('16'!B16="","",TRIM('16'!B16&amp;""))</f>
        <v/>
      </c>
      <c r="F1226" s="63">
        <f>IF('16'!C16="","",'16'!C16)</f>
        <v/>
      </c>
      <c r="G1226" s="63">
        <f>'16'!D16&amp;""</f>
        <v/>
      </c>
      <c r="H1226" s="63">
        <f>IF(OR(A1226="",F1226=""),"",F1226&amp;"|"&amp;A1226)</f>
        <v/>
      </c>
      <c r="I1226" s="63">
        <f>IF(AND(H1226&lt;&gt;"",OR('Historia wózka'!$B$4="",F1226='Historia wózka'!$B$4),A1226&gt;='Historia wózka'!$B$5,A1226&lt;='Historia wózka'!$B$6),A1226+0.9+(5000-ROW())/10000000,0)</f>
        <v/>
      </c>
      <c r="J1226" s="63">
        <f>Ustawienia!$B$8&amp;""</f>
        <v/>
      </c>
      <c r="K1226" s="63">
        <f>IF(H1226="","",COUNTIFS('Zgłoszenia'!$B$5:$B$504,F1226,'Zgłoszenia'!$D$5:$D$504,"&gt;="&amp;A1226,'Zgłoszenia'!$D$5:$D$504,"&lt;="&amp;(A1226+1)))</f>
        <v/>
      </c>
      <c r="L1226" s="63">
        <f>IF(OR(H1226="",K1226=0),"—",IF(ISNUMBER(MATCH(H1226,'Zgłoszenia'!$S$5:$S$504,0)),RIGHT("0"&amp;DAY(A1226),2)&amp;"."&amp;RIGHT("0"&amp;MONTH(A1226),2)&amp;"."&amp;YEAR(A1226)&amp;": "&amp;INDEX('Zgłoszenia'!$H$5:$H$504,MATCH(H1226,'Zgłoszenia'!$S$5:$S$504,0)),RIGHT("0"&amp;DAY((A1226+1)),2)&amp;"."&amp;RIGHT("0"&amp;MONTH((A1226+1)),2)&amp;"."&amp;YEAR((A1226+1))&amp;": "&amp;INDEX('Zgłoszenia'!$H$5:$H$504,MATCH(F1226&amp;"|"&amp;(A1226+1),'Zgłoszenia'!$S$5:$S$504,0)))&amp;IF(K1226&gt;1," (+"&amp;(K1226-1)&amp;")",""))</f>
        <v/>
      </c>
      <c r="M1226" s="63" t="n">
        <v>16</v>
      </c>
      <c r="N1226" s="2" t="n"/>
      <c r="O1226" s="2" t="n"/>
    </row>
    <row r="1227">
      <c r="A1227" s="62">
        <f>IF('16'!$C$1="","",'16'!$C$1)</f>
        <v/>
      </c>
      <c r="B1227" s="63">
        <f>Ustawienia!$A$8&amp;""</f>
        <v/>
      </c>
      <c r="C1227" s="63">
        <f>Ustawienia!$A$15&amp;""</f>
        <v/>
      </c>
      <c r="D1227" s="63" t="n">
        <v>5</v>
      </c>
      <c r="E1227" s="63">
        <f>IF('16'!B17="","",TRIM('16'!B17&amp;""))</f>
        <v/>
      </c>
      <c r="F1227" s="63">
        <f>IF('16'!C17="","",'16'!C17)</f>
        <v/>
      </c>
      <c r="G1227" s="63">
        <f>'16'!D17&amp;""</f>
        <v/>
      </c>
      <c r="H1227" s="63">
        <f>IF(OR(A1227="",F1227=""),"",F1227&amp;"|"&amp;A1227)</f>
        <v/>
      </c>
      <c r="I1227" s="63">
        <f>IF(AND(H1227&lt;&gt;"",OR('Historia wózka'!$B$4="",F1227='Historia wózka'!$B$4),A1227&gt;='Historia wózka'!$B$5,A1227&lt;='Historia wózka'!$B$6),A1227+0.9+(5000-ROW())/10000000,0)</f>
        <v/>
      </c>
      <c r="J1227" s="63">
        <f>Ustawienia!$B$8&amp;""</f>
        <v/>
      </c>
      <c r="K1227" s="63">
        <f>IF(H1227="","",COUNTIFS('Zgłoszenia'!$B$5:$B$504,F1227,'Zgłoszenia'!$D$5:$D$504,"&gt;="&amp;A1227,'Zgłoszenia'!$D$5:$D$504,"&lt;="&amp;(A1227+1)))</f>
        <v/>
      </c>
      <c r="L1227" s="63">
        <f>IF(OR(H1227="",K1227=0),"—",IF(ISNUMBER(MATCH(H1227,'Zgłoszenia'!$S$5:$S$504,0)),RIGHT("0"&amp;DAY(A1227),2)&amp;"."&amp;RIGHT("0"&amp;MONTH(A1227),2)&amp;"."&amp;YEAR(A1227)&amp;": "&amp;INDEX('Zgłoszenia'!$H$5:$H$504,MATCH(H1227,'Zgłoszenia'!$S$5:$S$504,0)),RIGHT("0"&amp;DAY((A1227+1)),2)&amp;"."&amp;RIGHT("0"&amp;MONTH((A1227+1)),2)&amp;"."&amp;YEAR((A1227+1))&amp;": "&amp;INDEX('Zgłoszenia'!$H$5:$H$504,MATCH(F1227&amp;"|"&amp;(A1227+1),'Zgłoszenia'!$S$5:$S$504,0)))&amp;IF(K1227&gt;1," (+"&amp;(K1227-1)&amp;")",""))</f>
        <v/>
      </c>
      <c r="M1227" s="63" t="n">
        <v>16</v>
      </c>
      <c r="N1227" s="2" t="n"/>
      <c r="O1227" s="2" t="n"/>
    </row>
    <row r="1228">
      <c r="A1228" s="62">
        <f>IF('16'!$C$1="","",'16'!$C$1)</f>
        <v/>
      </c>
      <c r="B1228" s="63">
        <f>Ustawienia!$A$8&amp;""</f>
        <v/>
      </c>
      <c r="C1228" s="63">
        <f>Ustawienia!$A$15&amp;""</f>
        <v/>
      </c>
      <c r="D1228" s="63" t="n">
        <v>6</v>
      </c>
      <c r="E1228" s="63">
        <f>IF('16'!B18="","",TRIM('16'!B18&amp;""))</f>
        <v/>
      </c>
      <c r="F1228" s="63">
        <f>IF('16'!C18="","",'16'!C18)</f>
        <v/>
      </c>
      <c r="G1228" s="63">
        <f>'16'!D18&amp;""</f>
        <v/>
      </c>
      <c r="H1228" s="63">
        <f>IF(OR(A1228="",F1228=""),"",F1228&amp;"|"&amp;A1228)</f>
        <v/>
      </c>
      <c r="I1228" s="63">
        <f>IF(AND(H1228&lt;&gt;"",OR('Historia wózka'!$B$4="",F1228='Historia wózka'!$B$4),A1228&gt;='Historia wózka'!$B$5,A1228&lt;='Historia wózka'!$B$6),A1228+0.9+(5000-ROW())/10000000,0)</f>
        <v/>
      </c>
      <c r="J1228" s="63">
        <f>Ustawienia!$B$8&amp;""</f>
        <v/>
      </c>
      <c r="K1228" s="63">
        <f>IF(H1228="","",COUNTIFS('Zgłoszenia'!$B$5:$B$504,F1228,'Zgłoszenia'!$D$5:$D$504,"&gt;="&amp;A1228,'Zgłoszenia'!$D$5:$D$504,"&lt;="&amp;(A1228+1)))</f>
        <v/>
      </c>
      <c r="L1228" s="63">
        <f>IF(OR(H1228="",K1228=0),"—",IF(ISNUMBER(MATCH(H1228,'Zgłoszenia'!$S$5:$S$504,0)),RIGHT("0"&amp;DAY(A1228),2)&amp;"."&amp;RIGHT("0"&amp;MONTH(A1228),2)&amp;"."&amp;YEAR(A1228)&amp;": "&amp;INDEX('Zgłoszenia'!$H$5:$H$504,MATCH(H1228,'Zgłoszenia'!$S$5:$S$504,0)),RIGHT("0"&amp;DAY((A1228+1)),2)&amp;"."&amp;RIGHT("0"&amp;MONTH((A1228+1)),2)&amp;"."&amp;YEAR((A1228+1))&amp;": "&amp;INDEX('Zgłoszenia'!$H$5:$H$504,MATCH(F1228&amp;"|"&amp;(A1228+1),'Zgłoszenia'!$S$5:$S$504,0)))&amp;IF(K1228&gt;1," (+"&amp;(K1228-1)&amp;")",""))</f>
        <v/>
      </c>
      <c r="M1228" s="63" t="n">
        <v>16</v>
      </c>
      <c r="N1228" s="2" t="n"/>
      <c r="O1228" s="2" t="n"/>
    </row>
    <row r="1229">
      <c r="A1229" s="62">
        <f>IF('16'!$C$1="","",'16'!$C$1)</f>
        <v/>
      </c>
      <c r="B1229" s="63">
        <f>Ustawienia!$A$8&amp;""</f>
        <v/>
      </c>
      <c r="C1229" s="63">
        <f>Ustawienia!$A$15&amp;""</f>
        <v/>
      </c>
      <c r="D1229" s="63" t="n">
        <v>7</v>
      </c>
      <c r="E1229" s="63">
        <f>IF('16'!B19="","",TRIM('16'!B19&amp;""))</f>
        <v/>
      </c>
      <c r="F1229" s="63">
        <f>IF('16'!C19="","",'16'!C19)</f>
        <v/>
      </c>
      <c r="G1229" s="63">
        <f>'16'!D19&amp;""</f>
        <v/>
      </c>
      <c r="H1229" s="63">
        <f>IF(OR(A1229="",F1229=""),"",F1229&amp;"|"&amp;A1229)</f>
        <v/>
      </c>
      <c r="I1229" s="63">
        <f>IF(AND(H1229&lt;&gt;"",OR('Historia wózka'!$B$4="",F1229='Historia wózka'!$B$4),A1229&gt;='Historia wózka'!$B$5,A1229&lt;='Historia wózka'!$B$6),A1229+0.9+(5000-ROW())/10000000,0)</f>
        <v/>
      </c>
      <c r="J1229" s="63">
        <f>Ustawienia!$B$8&amp;""</f>
        <v/>
      </c>
      <c r="K1229" s="63">
        <f>IF(H1229="","",COUNTIFS('Zgłoszenia'!$B$5:$B$504,F1229,'Zgłoszenia'!$D$5:$D$504,"&gt;="&amp;A1229,'Zgłoszenia'!$D$5:$D$504,"&lt;="&amp;(A1229+1)))</f>
        <v/>
      </c>
      <c r="L1229" s="63">
        <f>IF(OR(H1229="",K1229=0),"—",IF(ISNUMBER(MATCH(H1229,'Zgłoszenia'!$S$5:$S$504,0)),RIGHT("0"&amp;DAY(A1229),2)&amp;"."&amp;RIGHT("0"&amp;MONTH(A1229),2)&amp;"."&amp;YEAR(A1229)&amp;": "&amp;INDEX('Zgłoszenia'!$H$5:$H$504,MATCH(H1229,'Zgłoszenia'!$S$5:$S$504,0)),RIGHT("0"&amp;DAY((A1229+1)),2)&amp;"."&amp;RIGHT("0"&amp;MONTH((A1229+1)),2)&amp;"."&amp;YEAR((A1229+1))&amp;": "&amp;INDEX('Zgłoszenia'!$H$5:$H$504,MATCH(F1229&amp;"|"&amp;(A1229+1),'Zgłoszenia'!$S$5:$S$504,0)))&amp;IF(K1229&gt;1," (+"&amp;(K1229-1)&amp;")",""))</f>
        <v/>
      </c>
      <c r="M1229" s="63" t="n">
        <v>16</v>
      </c>
      <c r="N1229" s="2" t="n"/>
      <c r="O1229" s="2" t="n"/>
    </row>
    <row r="1230">
      <c r="A1230" s="62">
        <f>IF('16'!$C$1="","",'16'!$C$1)</f>
        <v/>
      </c>
      <c r="B1230" s="63">
        <f>Ustawienia!$A$8&amp;""</f>
        <v/>
      </c>
      <c r="C1230" s="63">
        <f>Ustawienia!$A$15&amp;""</f>
        <v/>
      </c>
      <c r="D1230" s="63" t="n">
        <v>8</v>
      </c>
      <c r="E1230" s="63">
        <f>IF('16'!B20="","",TRIM('16'!B20&amp;""))</f>
        <v/>
      </c>
      <c r="F1230" s="63">
        <f>IF('16'!C20="","",'16'!C20)</f>
        <v/>
      </c>
      <c r="G1230" s="63">
        <f>'16'!D20&amp;""</f>
        <v/>
      </c>
      <c r="H1230" s="63">
        <f>IF(OR(A1230="",F1230=""),"",F1230&amp;"|"&amp;A1230)</f>
        <v/>
      </c>
      <c r="I1230" s="63">
        <f>IF(AND(H1230&lt;&gt;"",OR('Historia wózka'!$B$4="",F1230='Historia wózka'!$B$4),A1230&gt;='Historia wózka'!$B$5,A1230&lt;='Historia wózka'!$B$6),A1230+0.9+(5000-ROW())/10000000,0)</f>
        <v/>
      </c>
      <c r="J1230" s="63">
        <f>Ustawienia!$B$8&amp;""</f>
        <v/>
      </c>
      <c r="K1230" s="63">
        <f>IF(H1230="","",COUNTIFS('Zgłoszenia'!$B$5:$B$504,F1230,'Zgłoszenia'!$D$5:$D$504,"&gt;="&amp;A1230,'Zgłoszenia'!$D$5:$D$504,"&lt;="&amp;(A1230+1)))</f>
        <v/>
      </c>
      <c r="L1230" s="63">
        <f>IF(OR(H1230="",K1230=0),"—",IF(ISNUMBER(MATCH(H1230,'Zgłoszenia'!$S$5:$S$504,0)),RIGHT("0"&amp;DAY(A1230),2)&amp;"."&amp;RIGHT("0"&amp;MONTH(A1230),2)&amp;"."&amp;YEAR(A1230)&amp;": "&amp;INDEX('Zgłoszenia'!$H$5:$H$504,MATCH(H1230,'Zgłoszenia'!$S$5:$S$504,0)),RIGHT("0"&amp;DAY((A1230+1)),2)&amp;"."&amp;RIGHT("0"&amp;MONTH((A1230+1)),2)&amp;"."&amp;YEAR((A1230+1))&amp;": "&amp;INDEX('Zgłoszenia'!$H$5:$H$504,MATCH(F1230&amp;"|"&amp;(A1230+1),'Zgłoszenia'!$S$5:$S$504,0)))&amp;IF(K1230&gt;1," (+"&amp;(K1230-1)&amp;")",""))</f>
        <v/>
      </c>
      <c r="M1230" s="63" t="n">
        <v>16</v>
      </c>
      <c r="N1230" s="2" t="n"/>
      <c r="O1230" s="2" t="n"/>
    </row>
    <row r="1231">
      <c r="A1231" s="62">
        <f>IF('16'!$C$1="","",'16'!$C$1)</f>
        <v/>
      </c>
      <c r="B1231" s="63">
        <f>Ustawienia!$A$8&amp;""</f>
        <v/>
      </c>
      <c r="C1231" s="63">
        <f>Ustawienia!$A$16&amp;""</f>
        <v/>
      </c>
      <c r="D1231" s="63" t="n">
        <v>1</v>
      </c>
      <c r="E1231" s="63">
        <f>IF('16'!B22="","",TRIM('16'!B22&amp;""))</f>
        <v/>
      </c>
      <c r="F1231" s="63">
        <f>IF('16'!C22="","",'16'!C22)</f>
        <v/>
      </c>
      <c r="G1231" s="63">
        <f>'16'!D22&amp;""</f>
        <v/>
      </c>
      <c r="H1231" s="63">
        <f>IF(OR(A1231="",F1231=""),"",F1231&amp;"|"&amp;A1231)</f>
        <v/>
      </c>
      <c r="I1231" s="63">
        <f>IF(AND(H1231&lt;&gt;"",OR('Historia wózka'!$B$4="",F1231='Historia wózka'!$B$4),A1231&gt;='Historia wózka'!$B$5,A1231&lt;='Historia wózka'!$B$6),A1231+0.9+(5000-ROW())/10000000,0)</f>
        <v/>
      </c>
      <c r="J1231" s="63">
        <f>Ustawienia!$B$8&amp;""</f>
        <v/>
      </c>
      <c r="K1231" s="63">
        <f>IF(H1231="","",COUNTIFS('Zgłoszenia'!$B$5:$B$504,F1231,'Zgłoszenia'!$D$5:$D$504,"&gt;="&amp;A1231,'Zgłoszenia'!$D$5:$D$504,"&lt;="&amp;(A1231+1)))</f>
        <v/>
      </c>
      <c r="L1231" s="63">
        <f>IF(OR(H1231="",K1231=0),"—",IF(ISNUMBER(MATCH(H1231,'Zgłoszenia'!$S$5:$S$504,0)),RIGHT("0"&amp;DAY(A1231),2)&amp;"."&amp;RIGHT("0"&amp;MONTH(A1231),2)&amp;"."&amp;YEAR(A1231)&amp;": "&amp;INDEX('Zgłoszenia'!$H$5:$H$504,MATCH(H1231,'Zgłoszenia'!$S$5:$S$504,0)),RIGHT("0"&amp;DAY((A1231+1)),2)&amp;"."&amp;RIGHT("0"&amp;MONTH((A1231+1)),2)&amp;"."&amp;YEAR((A1231+1))&amp;": "&amp;INDEX('Zgłoszenia'!$H$5:$H$504,MATCH(F1231&amp;"|"&amp;(A1231+1),'Zgłoszenia'!$S$5:$S$504,0)))&amp;IF(K1231&gt;1," (+"&amp;(K1231-1)&amp;")",""))</f>
        <v/>
      </c>
      <c r="M1231" s="63" t="n">
        <v>16</v>
      </c>
      <c r="N1231" s="2" t="n"/>
      <c r="O1231" s="2" t="n"/>
    </row>
    <row r="1232">
      <c r="A1232" s="62">
        <f>IF('16'!$C$1="","",'16'!$C$1)</f>
        <v/>
      </c>
      <c r="B1232" s="63">
        <f>Ustawienia!$A$8&amp;""</f>
        <v/>
      </c>
      <c r="C1232" s="63">
        <f>Ustawienia!$A$16&amp;""</f>
        <v/>
      </c>
      <c r="D1232" s="63" t="n">
        <v>2</v>
      </c>
      <c r="E1232" s="63">
        <f>IF('16'!B23="","",TRIM('16'!B23&amp;""))</f>
        <v/>
      </c>
      <c r="F1232" s="63">
        <f>IF('16'!C23="","",'16'!C23)</f>
        <v/>
      </c>
      <c r="G1232" s="63">
        <f>'16'!D23&amp;""</f>
        <v/>
      </c>
      <c r="H1232" s="63">
        <f>IF(OR(A1232="",F1232=""),"",F1232&amp;"|"&amp;A1232)</f>
        <v/>
      </c>
      <c r="I1232" s="63">
        <f>IF(AND(H1232&lt;&gt;"",OR('Historia wózka'!$B$4="",F1232='Historia wózka'!$B$4),A1232&gt;='Historia wózka'!$B$5,A1232&lt;='Historia wózka'!$B$6),A1232+0.9+(5000-ROW())/10000000,0)</f>
        <v/>
      </c>
      <c r="J1232" s="63">
        <f>Ustawienia!$B$8&amp;""</f>
        <v/>
      </c>
      <c r="K1232" s="63">
        <f>IF(H1232="","",COUNTIFS('Zgłoszenia'!$B$5:$B$504,F1232,'Zgłoszenia'!$D$5:$D$504,"&gt;="&amp;A1232,'Zgłoszenia'!$D$5:$D$504,"&lt;="&amp;(A1232+1)))</f>
        <v/>
      </c>
      <c r="L1232" s="63">
        <f>IF(OR(H1232="",K1232=0),"—",IF(ISNUMBER(MATCH(H1232,'Zgłoszenia'!$S$5:$S$504,0)),RIGHT("0"&amp;DAY(A1232),2)&amp;"."&amp;RIGHT("0"&amp;MONTH(A1232),2)&amp;"."&amp;YEAR(A1232)&amp;": "&amp;INDEX('Zgłoszenia'!$H$5:$H$504,MATCH(H1232,'Zgłoszenia'!$S$5:$S$504,0)),RIGHT("0"&amp;DAY((A1232+1)),2)&amp;"."&amp;RIGHT("0"&amp;MONTH((A1232+1)),2)&amp;"."&amp;YEAR((A1232+1))&amp;": "&amp;INDEX('Zgłoszenia'!$H$5:$H$504,MATCH(F1232&amp;"|"&amp;(A1232+1),'Zgłoszenia'!$S$5:$S$504,0)))&amp;IF(K1232&gt;1," (+"&amp;(K1232-1)&amp;")",""))</f>
        <v/>
      </c>
      <c r="M1232" s="63" t="n">
        <v>16</v>
      </c>
      <c r="N1232" s="2" t="n"/>
      <c r="O1232" s="2" t="n"/>
    </row>
    <row r="1233">
      <c r="A1233" s="62">
        <f>IF('16'!$C$1="","",'16'!$C$1)</f>
        <v/>
      </c>
      <c r="B1233" s="63">
        <f>Ustawienia!$A$8&amp;""</f>
        <v/>
      </c>
      <c r="C1233" s="63">
        <f>Ustawienia!$A$16&amp;""</f>
        <v/>
      </c>
      <c r="D1233" s="63" t="n">
        <v>3</v>
      </c>
      <c r="E1233" s="63">
        <f>IF('16'!B24="","",TRIM('16'!B24&amp;""))</f>
        <v/>
      </c>
      <c r="F1233" s="63">
        <f>IF('16'!C24="","",'16'!C24)</f>
        <v/>
      </c>
      <c r="G1233" s="63">
        <f>'16'!D24&amp;""</f>
        <v/>
      </c>
      <c r="H1233" s="63">
        <f>IF(OR(A1233="",F1233=""),"",F1233&amp;"|"&amp;A1233)</f>
        <v/>
      </c>
      <c r="I1233" s="63">
        <f>IF(AND(H1233&lt;&gt;"",OR('Historia wózka'!$B$4="",F1233='Historia wózka'!$B$4),A1233&gt;='Historia wózka'!$B$5,A1233&lt;='Historia wózka'!$B$6),A1233+0.9+(5000-ROW())/10000000,0)</f>
        <v/>
      </c>
      <c r="J1233" s="63">
        <f>Ustawienia!$B$8&amp;""</f>
        <v/>
      </c>
      <c r="K1233" s="63">
        <f>IF(H1233="","",COUNTIFS('Zgłoszenia'!$B$5:$B$504,F1233,'Zgłoszenia'!$D$5:$D$504,"&gt;="&amp;A1233,'Zgłoszenia'!$D$5:$D$504,"&lt;="&amp;(A1233+1)))</f>
        <v/>
      </c>
      <c r="L1233" s="63">
        <f>IF(OR(H1233="",K1233=0),"—",IF(ISNUMBER(MATCH(H1233,'Zgłoszenia'!$S$5:$S$504,0)),RIGHT("0"&amp;DAY(A1233),2)&amp;"."&amp;RIGHT("0"&amp;MONTH(A1233),2)&amp;"."&amp;YEAR(A1233)&amp;": "&amp;INDEX('Zgłoszenia'!$H$5:$H$504,MATCH(H1233,'Zgłoszenia'!$S$5:$S$504,0)),RIGHT("0"&amp;DAY((A1233+1)),2)&amp;"."&amp;RIGHT("0"&amp;MONTH((A1233+1)),2)&amp;"."&amp;YEAR((A1233+1))&amp;": "&amp;INDEX('Zgłoszenia'!$H$5:$H$504,MATCH(F1233&amp;"|"&amp;(A1233+1),'Zgłoszenia'!$S$5:$S$504,0)))&amp;IF(K1233&gt;1," (+"&amp;(K1233-1)&amp;")",""))</f>
        <v/>
      </c>
      <c r="M1233" s="63" t="n">
        <v>16</v>
      </c>
      <c r="N1233" s="2" t="n"/>
      <c r="O1233" s="2" t="n"/>
    </row>
    <row r="1234">
      <c r="A1234" s="62">
        <f>IF('16'!$C$1="","",'16'!$C$1)</f>
        <v/>
      </c>
      <c r="B1234" s="63">
        <f>Ustawienia!$A$8&amp;""</f>
        <v/>
      </c>
      <c r="C1234" s="63">
        <f>Ustawienia!$A$16&amp;""</f>
        <v/>
      </c>
      <c r="D1234" s="63" t="n">
        <v>4</v>
      </c>
      <c r="E1234" s="63">
        <f>IF('16'!B25="","",TRIM('16'!B25&amp;""))</f>
        <v/>
      </c>
      <c r="F1234" s="63">
        <f>IF('16'!C25="","",'16'!C25)</f>
        <v/>
      </c>
      <c r="G1234" s="63">
        <f>'16'!D25&amp;""</f>
        <v/>
      </c>
      <c r="H1234" s="63">
        <f>IF(OR(A1234="",F1234=""),"",F1234&amp;"|"&amp;A1234)</f>
        <v/>
      </c>
      <c r="I1234" s="63">
        <f>IF(AND(H1234&lt;&gt;"",OR('Historia wózka'!$B$4="",F1234='Historia wózka'!$B$4),A1234&gt;='Historia wózka'!$B$5,A1234&lt;='Historia wózka'!$B$6),A1234+0.9+(5000-ROW())/10000000,0)</f>
        <v/>
      </c>
      <c r="J1234" s="63">
        <f>Ustawienia!$B$8&amp;""</f>
        <v/>
      </c>
      <c r="K1234" s="63">
        <f>IF(H1234="","",COUNTIFS('Zgłoszenia'!$B$5:$B$504,F1234,'Zgłoszenia'!$D$5:$D$504,"&gt;="&amp;A1234,'Zgłoszenia'!$D$5:$D$504,"&lt;="&amp;(A1234+1)))</f>
        <v/>
      </c>
      <c r="L1234" s="63">
        <f>IF(OR(H1234="",K1234=0),"—",IF(ISNUMBER(MATCH(H1234,'Zgłoszenia'!$S$5:$S$504,0)),RIGHT("0"&amp;DAY(A1234),2)&amp;"."&amp;RIGHT("0"&amp;MONTH(A1234),2)&amp;"."&amp;YEAR(A1234)&amp;": "&amp;INDEX('Zgłoszenia'!$H$5:$H$504,MATCH(H1234,'Zgłoszenia'!$S$5:$S$504,0)),RIGHT("0"&amp;DAY((A1234+1)),2)&amp;"."&amp;RIGHT("0"&amp;MONTH((A1234+1)),2)&amp;"."&amp;YEAR((A1234+1))&amp;": "&amp;INDEX('Zgłoszenia'!$H$5:$H$504,MATCH(F1234&amp;"|"&amp;(A1234+1),'Zgłoszenia'!$S$5:$S$504,0)))&amp;IF(K1234&gt;1," (+"&amp;(K1234-1)&amp;")",""))</f>
        <v/>
      </c>
      <c r="M1234" s="63" t="n">
        <v>16</v>
      </c>
      <c r="N1234" s="2" t="n"/>
      <c r="O1234" s="2" t="n"/>
    </row>
    <row r="1235">
      <c r="A1235" s="62">
        <f>IF('16'!$C$1="","",'16'!$C$1)</f>
        <v/>
      </c>
      <c r="B1235" s="63">
        <f>Ustawienia!$A$8&amp;""</f>
        <v/>
      </c>
      <c r="C1235" s="63">
        <f>Ustawienia!$A$17&amp;""</f>
        <v/>
      </c>
      <c r="D1235" s="63" t="n">
        <v>1</v>
      </c>
      <c r="E1235" s="63">
        <f>IF('16'!B27="","",TRIM('16'!B27&amp;""))</f>
        <v/>
      </c>
      <c r="F1235" s="63">
        <f>IF('16'!C27="","",'16'!C27)</f>
        <v/>
      </c>
      <c r="G1235" s="63">
        <f>'16'!D27&amp;""</f>
        <v/>
      </c>
      <c r="H1235" s="63">
        <f>IF(OR(A1235="",F1235=""),"",F1235&amp;"|"&amp;A1235)</f>
        <v/>
      </c>
      <c r="I1235" s="63">
        <f>IF(AND(H1235&lt;&gt;"",OR('Historia wózka'!$B$4="",F1235='Historia wózka'!$B$4),A1235&gt;='Historia wózka'!$B$5,A1235&lt;='Historia wózka'!$B$6),A1235+0.9+(5000-ROW())/10000000,0)</f>
        <v/>
      </c>
      <c r="J1235" s="63">
        <f>Ustawienia!$B$8&amp;""</f>
        <v/>
      </c>
      <c r="K1235" s="63">
        <f>IF(H1235="","",COUNTIFS('Zgłoszenia'!$B$5:$B$504,F1235,'Zgłoszenia'!$D$5:$D$504,"&gt;="&amp;A1235,'Zgłoszenia'!$D$5:$D$504,"&lt;="&amp;(A1235+1)))</f>
        <v/>
      </c>
      <c r="L1235" s="63">
        <f>IF(OR(H1235="",K1235=0),"—",IF(ISNUMBER(MATCH(H1235,'Zgłoszenia'!$S$5:$S$504,0)),RIGHT("0"&amp;DAY(A1235),2)&amp;"."&amp;RIGHT("0"&amp;MONTH(A1235),2)&amp;"."&amp;YEAR(A1235)&amp;": "&amp;INDEX('Zgłoszenia'!$H$5:$H$504,MATCH(H1235,'Zgłoszenia'!$S$5:$S$504,0)),RIGHT("0"&amp;DAY((A1235+1)),2)&amp;"."&amp;RIGHT("0"&amp;MONTH((A1235+1)),2)&amp;"."&amp;YEAR((A1235+1))&amp;": "&amp;INDEX('Zgłoszenia'!$H$5:$H$504,MATCH(F1235&amp;"|"&amp;(A1235+1),'Zgłoszenia'!$S$5:$S$504,0)))&amp;IF(K1235&gt;1," (+"&amp;(K1235-1)&amp;")",""))</f>
        <v/>
      </c>
      <c r="M1235" s="63" t="n">
        <v>16</v>
      </c>
      <c r="N1235" s="2" t="n"/>
      <c r="O1235" s="2" t="n"/>
    </row>
    <row r="1236">
      <c r="A1236" s="62">
        <f>IF('16'!$C$1="","",'16'!$C$1)</f>
        <v/>
      </c>
      <c r="B1236" s="63">
        <f>Ustawienia!$A$8&amp;""</f>
        <v/>
      </c>
      <c r="C1236" s="63">
        <f>Ustawienia!$A$17&amp;""</f>
        <v/>
      </c>
      <c r="D1236" s="63" t="n">
        <v>2</v>
      </c>
      <c r="E1236" s="63">
        <f>IF('16'!B28="","",TRIM('16'!B28&amp;""))</f>
        <v/>
      </c>
      <c r="F1236" s="63">
        <f>IF('16'!C28="","",'16'!C28)</f>
        <v/>
      </c>
      <c r="G1236" s="63">
        <f>'16'!D28&amp;""</f>
        <v/>
      </c>
      <c r="H1236" s="63">
        <f>IF(OR(A1236="",F1236=""),"",F1236&amp;"|"&amp;A1236)</f>
        <v/>
      </c>
      <c r="I1236" s="63">
        <f>IF(AND(H1236&lt;&gt;"",OR('Historia wózka'!$B$4="",F1236='Historia wózka'!$B$4),A1236&gt;='Historia wózka'!$B$5,A1236&lt;='Historia wózka'!$B$6),A1236+0.9+(5000-ROW())/10000000,0)</f>
        <v/>
      </c>
      <c r="J1236" s="63">
        <f>Ustawienia!$B$8&amp;""</f>
        <v/>
      </c>
      <c r="K1236" s="63">
        <f>IF(H1236="","",COUNTIFS('Zgłoszenia'!$B$5:$B$504,F1236,'Zgłoszenia'!$D$5:$D$504,"&gt;="&amp;A1236,'Zgłoszenia'!$D$5:$D$504,"&lt;="&amp;(A1236+1)))</f>
        <v/>
      </c>
      <c r="L1236" s="63">
        <f>IF(OR(H1236="",K1236=0),"—",IF(ISNUMBER(MATCH(H1236,'Zgłoszenia'!$S$5:$S$504,0)),RIGHT("0"&amp;DAY(A1236),2)&amp;"."&amp;RIGHT("0"&amp;MONTH(A1236),2)&amp;"."&amp;YEAR(A1236)&amp;": "&amp;INDEX('Zgłoszenia'!$H$5:$H$504,MATCH(H1236,'Zgłoszenia'!$S$5:$S$504,0)),RIGHT("0"&amp;DAY((A1236+1)),2)&amp;"."&amp;RIGHT("0"&amp;MONTH((A1236+1)),2)&amp;"."&amp;YEAR((A1236+1))&amp;": "&amp;INDEX('Zgłoszenia'!$H$5:$H$504,MATCH(F1236&amp;"|"&amp;(A1236+1),'Zgłoszenia'!$S$5:$S$504,0)))&amp;IF(K1236&gt;1," (+"&amp;(K1236-1)&amp;")",""))</f>
        <v/>
      </c>
      <c r="M1236" s="63" t="n">
        <v>16</v>
      </c>
      <c r="N1236" s="2" t="n"/>
      <c r="O1236" s="2" t="n"/>
    </row>
    <row r="1237">
      <c r="A1237" s="62">
        <f>IF('16'!$C$1="","",'16'!$C$1)</f>
        <v/>
      </c>
      <c r="B1237" s="63">
        <f>Ustawienia!$A$8&amp;""</f>
        <v/>
      </c>
      <c r="C1237" s="63">
        <f>Ustawienia!$A$17&amp;""</f>
        <v/>
      </c>
      <c r="D1237" s="63" t="n">
        <v>3</v>
      </c>
      <c r="E1237" s="63">
        <f>IF('16'!B29="","",TRIM('16'!B29&amp;""))</f>
        <v/>
      </c>
      <c r="F1237" s="63">
        <f>IF('16'!C29="","",'16'!C29)</f>
        <v/>
      </c>
      <c r="G1237" s="63">
        <f>'16'!D29&amp;""</f>
        <v/>
      </c>
      <c r="H1237" s="63">
        <f>IF(OR(A1237="",F1237=""),"",F1237&amp;"|"&amp;A1237)</f>
        <v/>
      </c>
      <c r="I1237" s="63">
        <f>IF(AND(H1237&lt;&gt;"",OR('Historia wózka'!$B$4="",F1237='Historia wózka'!$B$4),A1237&gt;='Historia wózka'!$B$5,A1237&lt;='Historia wózka'!$B$6),A1237+0.9+(5000-ROW())/10000000,0)</f>
        <v/>
      </c>
      <c r="J1237" s="63">
        <f>Ustawienia!$B$8&amp;""</f>
        <v/>
      </c>
      <c r="K1237" s="63">
        <f>IF(H1237="","",COUNTIFS('Zgłoszenia'!$B$5:$B$504,F1237,'Zgłoszenia'!$D$5:$D$504,"&gt;="&amp;A1237,'Zgłoszenia'!$D$5:$D$504,"&lt;="&amp;(A1237+1)))</f>
        <v/>
      </c>
      <c r="L1237" s="63">
        <f>IF(OR(H1237="",K1237=0),"—",IF(ISNUMBER(MATCH(H1237,'Zgłoszenia'!$S$5:$S$504,0)),RIGHT("0"&amp;DAY(A1237),2)&amp;"."&amp;RIGHT("0"&amp;MONTH(A1237),2)&amp;"."&amp;YEAR(A1237)&amp;": "&amp;INDEX('Zgłoszenia'!$H$5:$H$504,MATCH(H1237,'Zgłoszenia'!$S$5:$S$504,0)),RIGHT("0"&amp;DAY((A1237+1)),2)&amp;"."&amp;RIGHT("0"&amp;MONTH((A1237+1)),2)&amp;"."&amp;YEAR((A1237+1))&amp;": "&amp;INDEX('Zgłoszenia'!$H$5:$H$504,MATCH(F1237&amp;"|"&amp;(A1237+1),'Zgłoszenia'!$S$5:$S$504,0)))&amp;IF(K1237&gt;1," (+"&amp;(K1237-1)&amp;")",""))</f>
        <v/>
      </c>
      <c r="M1237" s="63" t="n">
        <v>16</v>
      </c>
      <c r="N1237" s="2" t="n"/>
      <c r="O1237" s="2" t="n"/>
    </row>
    <row r="1238">
      <c r="A1238" s="62">
        <f>IF('16'!$C$1="","",'16'!$C$1)</f>
        <v/>
      </c>
      <c r="B1238" s="63">
        <f>Ustawienia!$A$8&amp;""</f>
        <v/>
      </c>
      <c r="C1238" s="63">
        <f>Ustawienia!$A$17&amp;""</f>
        <v/>
      </c>
      <c r="D1238" s="63" t="n">
        <v>4</v>
      </c>
      <c r="E1238" s="63">
        <f>IF('16'!B30="","",TRIM('16'!B30&amp;""))</f>
        <v/>
      </c>
      <c r="F1238" s="63">
        <f>IF('16'!C30="","",'16'!C30)</f>
        <v/>
      </c>
      <c r="G1238" s="63">
        <f>'16'!D30&amp;""</f>
        <v/>
      </c>
      <c r="H1238" s="63">
        <f>IF(OR(A1238="",F1238=""),"",F1238&amp;"|"&amp;A1238)</f>
        <v/>
      </c>
      <c r="I1238" s="63">
        <f>IF(AND(H1238&lt;&gt;"",OR('Historia wózka'!$B$4="",F1238='Historia wózka'!$B$4),A1238&gt;='Historia wózka'!$B$5,A1238&lt;='Historia wózka'!$B$6),A1238+0.9+(5000-ROW())/10000000,0)</f>
        <v/>
      </c>
      <c r="J1238" s="63">
        <f>Ustawienia!$B$8&amp;""</f>
        <v/>
      </c>
      <c r="K1238" s="63">
        <f>IF(H1238="","",COUNTIFS('Zgłoszenia'!$B$5:$B$504,F1238,'Zgłoszenia'!$D$5:$D$504,"&gt;="&amp;A1238,'Zgłoszenia'!$D$5:$D$504,"&lt;="&amp;(A1238+1)))</f>
        <v/>
      </c>
      <c r="L1238" s="63">
        <f>IF(OR(H1238="",K1238=0),"—",IF(ISNUMBER(MATCH(H1238,'Zgłoszenia'!$S$5:$S$504,0)),RIGHT("0"&amp;DAY(A1238),2)&amp;"."&amp;RIGHT("0"&amp;MONTH(A1238),2)&amp;"."&amp;YEAR(A1238)&amp;": "&amp;INDEX('Zgłoszenia'!$H$5:$H$504,MATCH(H1238,'Zgłoszenia'!$S$5:$S$504,0)),RIGHT("0"&amp;DAY((A1238+1)),2)&amp;"."&amp;RIGHT("0"&amp;MONTH((A1238+1)),2)&amp;"."&amp;YEAR((A1238+1))&amp;": "&amp;INDEX('Zgłoszenia'!$H$5:$H$504,MATCH(F1238&amp;"|"&amp;(A1238+1),'Zgłoszenia'!$S$5:$S$504,0)))&amp;IF(K1238&gt;1," (+"&amp;(K1238-1)&amp;")",""))</f>
        <v/>
      </c>
      <c r="M1238" s="63" t="n">
        <v>16</v>
      </c>
      <c r="N1238" s="2" t="n"/>
      <c r="O1238" s="2" t="n"/>
    </row>
    <row r="1239">
      <c r="A1239" s="62">
        <f>IF('16'!$C$1="","",'16'!$C$1)</f>
        <v/>
      </c>
      <c r="B1239" s="63">
        <f>Ustawienia!$A$8&amp;""</f>
        <v/>
      </c>
      <c r="C1239" s="63">
        <f>Ustawienia!$A$18&amp;""</f>
        <v/>
      </c>
      <c r="D1239" s="63" t="n">
        <v>1</v>
      </c>
      <c r="E1239" s="63">
        <f>IF('16'!B32="","",TRIM('16'!B32&amp;""))</f>
        <v/>
      </c>
      <c r="F1239" s="63">
        <f>IF('16'!C32="","",'16'!C32)</f>
        <v/>
      </c>
      <c r="G1239" s="63">
        <f>'16'!D32&amp;""</f>
        <v/>
      </c>
      <c r="H1239" s="63">
        <f>IF(OR(A1239="",F1239=""),"",F1239&amp;"|"&amp;A1239)</f>
        <v/>
      </c>
      <c r="I1239" s="63">
        <f>IF(AND(H1239&lt;&gt;"",OR('Historia wózka'!$B$4="",F1239='Historia wózka'!$B$4),A1239&gt;='Historia wózka'!$B$5,A1239&lt;='Historia wózka'!$B$6),A1239+0.9+(5000-ROW())/10000000,0)</f>
        <v/>
      </c>
      <c r="J1239" s="63">
        <f>Ustawienia!$B$8&amp;""</f>
        <v/>
      </c>
      <c r="K1239" s="63">
        <f>IF(H1239="","",COUNTIFS('Zgłoszenia'!$B$5:$B$504,F1239,'Zgłoszenia'!$D$5:$D$504,"&gt;="&amp;A1239,'Zgłoszenia'!$D$5:$D$504,"&lt;="&amp;(A1239+1)))</f>
        <v/>
      </c>
      <c r="L1239" s="63">
        <f>IF(OR(H1239="",K1239=0),"—",IF(ISNUMBER(MATCH(H1239,'Zgłoszenia'!$S$5:$S$504,0)),RIGHT("0"&amp;DAY(A1239),2)&amp;"."&amp;RIGHT("0"&amp;MONTH(A1239),2)&amp;"."&amp;YEAR(A1239)&amp;": "&amp;INDEX('Zgłoszenia'!$H$5:$H$504,MATCH(H1239,'Zgłoszenia'!$S$5:$S$504,0)),RIGHT("0"&amp;DAY((A1239+1)),2)&amp;"."&amp;RIGHT("0"&amp;MONTH((A1239+1)),2)&amp;"."&amp;YEAR((A1239+1))&amp;": "&amp;INDEX('Zgłoszenia'!$H$5:$H$504,MATCH(F1239&amp;"|"&amp;(A1239+1),'Zgłoszenia'!$S$5:$S$504,0)))&amp;IF(K1239&gt;1," (+"&amp;(K1239-1)&amp;")",""))</f>
        <v/>
      </c>
      <c r="M1239" s="63" t="n">
        <v>16</v>
      </c>
      <c r="N1239" s="2" t="n"/>
      <c r="O1239" s="2" t="n"/>
    </row>
    <row r="1240">
      <c r="A1240" s="62">
        <f>IF('16'!$C$1="","",'16'!$C$1)</f>
        <v/>
      </c>
      <c r="B1240" s="63">
        <f>Ustawienia!$A$8&amp;""</f>
        <v/>
      </c>
      <c r="C1240" s="63">
        <f>Ustawienia!$A$18&amp;""</f>
        <v/>
      </c>
      <c r="D1240" s="63" t="n">
        <v>2</v>
      </c>
      <c r="E1240" s="63">
        <f>IF('16'!B33="","",TRIM('16'!B33&amp;""))</f>
        <v/>
      </c>
      <c r="F1240" s="63">
        <f>IF('16'!C33="","",'16'!C33)</f>
        <v/>
      </c>
      <c r="G1240" s="63">
        <f>'16'!D33&amp;""</f>
        <v/>
      </c>
      <c r="H1240" s="63">
        <f>IF(OR(A1240="",F1240=""),"",F1240&amp;"|"&amp;A1240)</f>
        <v/>
      </c>
      <c r="I1240" s="63">
        <f>IF(AND(H1240&lt;&gt;"",OR('Historia wózka'!$B$4="",F1240='Historia wózka'!$B$4),A1240&gt;='Historia wózka'!$B$5,A1240&lt;='Historia wózka'!$B$6),A1240+0.9+(5000-ROW())/10000000,0)</f>
        <v/>
      </c>
      <c r="J1240" s="63">
        <f>Ustawienia!$B$8&amp;""</f>
        <v/>
      </c>
      <c r="K1240" s="63">
        <f>IF(H1240="","",COUNTIFS('Zgłoszenia'!$B$5:$B$504,F1240,'Zgłoszenia'!$D$5:$D$504,"&gt;="&amp;A1240,'Zgłoszenia'!$D$5:$D$504,"&lt;="&amp;(A1240+1)))</f>
        <v/>
      </c>
      <c r="L1240" s="63">
        <f>IF(OR(H1240="",K1240=0),"—",IF(ISNUMBER(MATCH(H1240,'Zgłoszenia'!$S$5:$S$504,0)),RIGHT("0"&amp;DAY(A1240),2)&amp;"."&amp;RIGHT("0"&amp;MONTH(A1240),2)&amp;"."&amp;YEAR(A1240)&amp;": "&amp;INDEX('Zgłoszenia'!$H$5:$H$504,MATCH(H1240,'Zgłoszenia'!$S$5:$S$504,0)),RIGHT("0"&amp;DAY((A1240+1)),2)&amp;"."&amp;RIGHT("0"&amp;MONTH((A1240+1)),2)&amp;"."&amp;YEAR((A1240+1))&amp;": "&amp;INDEX('Zgłoszenia'!$H$5:$H$504,MATCH(F1240&amp;"|"&amp;(A1240+1),'Zgłoszenia'!$S$5:$S$504,0)))&amp;IF(K1240&gt;1," (+"&amp;(K1240-1)&amp;")",""))</f>
        <v/>
      </c>
      <c r="M1240" s="63" t="n">
        <v>16</v>
      </c>
      <c r="N1240" s="2" t="n"/>
      <c r="O1240" s="2" t="n"/>
    </row>
    <row r="1241">
      <c r="A1241" s="62">
        <f>IF('16'!$C$1="","",'16'!$C$1)</f>
        <v/>
      </c>
      <c r="B1241" s="63">
        <f>Ustawienia!$A$8&amp;""</f>
        <v/>
      </c>
      <c r="C1241" s="63">
        <f>Ustawienia!$A$18&amp;""</f>
        <v/>
      </c>
      <c r="D1241" s="63" t="n">
        <v>3</v>
      </c>
      <c r="E1241" s="63">
        <f>IF('16'!B34="","",TRIM('16'!B34&amp;""))</f>
        <v/>
      </c>
      <c r="F1241" s="63">
        <f>IF('16'!C34="","",'16'!C34)</f>
        <v/>
      </c>
      <c r="G1241" s="63">
        <f>'16'!D34&amp;""</f>
        <v/>
      </c>
      <c r="H1241" s="63">
        <f>IF(OR(A1241="",F1241=""),"",F1241&amp;"|"&amp;A1241)</f>
        <v/>
      </c>
      <c r="I1241" s="63">
        <f>IF(AND(H1241&lt;&gt;"",OR('Historia wózka'!$B$4="",F1241='Historia wózka'!$B$4),A1241&gt;='Historia wózka'!$B$5,A1241&lt;='Historia wózka'!$B$6),A1241+0.9+(5000-ROW())/10000000,0)</f>
        <v/>
      </c>
      <c r="J1241" s="63">
        <f>Ustawienia!$B$8&amp;""</f>
        <v/>
      </c>
      <c r="K1241" s="63">
        <f>IF(H1241="","",COUNTIFS('Zgłoszenia'!$B$5:$B$504,F1241,'Zgłoszenia'!$D$5:$D$504,"&gt;="&amp;A1241,'Zgłoszenia'!$D$5:$D$504,"&lt;="&amp;(A1241+1)))</f>
        <v/>
      </c>
      <c r="L1241" s="63">
        <f>IF(OR(H1241="",K1241=0),"—",IF(ISNUMBER(MATCH(H1241,'Zgłoszenia'!$S$5:$S$504,0)),RIGHT("0"&amp;DAY(A1241),2)&amp;"."&amp;RIGHT("0"&amp;MONTH(A1241),2)&amp;"."&amp;YEAR(A1241)&amp;": "&amp;INDEX('Zgłoszenia'!$H$5:$H$504,MATCH(H1241,'Zgłoszenia'!$S$5:$S$504,0)),RIGHT("0"&amp;DAY((A1241+1)),2)&amp;"."&amp;RIGHT("0"&amp;MONTH((A1241+1)),2)&amp;"."&amp;YEAR((A1241+1))&amp;": "&amp;INDEX('Zgłoszenia'!$H$5:$H$504,MATCH(F1241&amp;"|"&amp;(A1241+1),'Zgłoszenia'!$S$5:$S$504,0)))&amp;IF(K1241&gt;1," (+"&amp;(K1241-1)&amp;")",""))</f>
        <v/>
      </c>
      <c r="M1241" s="63" t="n">
        <v>16</v>
      </c>
      <c r="N1241" s="2" t="n"/>
      <c r="O1241" s="2" t="n"/>
    </row>
    <row r="1242">
      <c r="A1242" s="62">
        <f>IF('16'!$C$1="","",'16'!$C$1)</f>
        <v/>
      </c>
      <c r="B1242" s="63">
        <f>Ustawienia!$A$8&amp;""</f>
        <v/>
      </c>
      <c r="C1242" s="63">
        <f>Ustawienia!$A$18&amp;""</f>
        <v/>
      </c>
      <c r="D1242" s="63" t="n">
        <v>4</v>
      </c>
      <c r="E1242" s="63">
        <f>IF('16'!B35="","",TRIM('16'!B35&amp;""))</f>
        <v/>
      </c>
      <c r="F1242" s="63">
        <f>IF('16'!C35="","",'16'!C35)</f>
        <v/>
      </c>
      <c r="G1242" s="63">
        <f>'16'!D35&amp;""</f>
        <v/>
      </c>
      <c r="H1242" s="63">
        <f>IF(OR(A1242="",F1242=""),"",F1242&amp;"|"&amp;A1242)</f>
        <v/>
      </c>
      <c r="I1242" s="63">
        <f>IF(AND(H1242&lt;&gt;"",OR('Historia wózka'!$B$4="",F1242='Historia wózka'!$B$4),A1242&gt;='Historia wózka'!$B$5,A1242&lt;='Historia wózka'!$B$6),A1242+0.9+(5000-ROW())/10000000,0)</f>
        <v/>
      </c>
      <c r="J1242" s="63">
        <f>Ustawienia!$B$8&amp;""</f>
        <v/>
      </c>
      <c r="K1242" s="63">
        <f>IF(H1242="","",COUNTIFS('Zgłoszenia'!$B$5:$B$504,F1242,'Zgłoszenia'!$D$5:$D$504,"&gt;="&amp;A1242,'Zgłoszenia'!$D$5:$D$504,"&lt;="&amp;(A1242+1)))</f>
        <v/>
      </c>
      <c r="L1242" s="63">
        <f>IF(OR(H1242="",K1242=0),"—",IF(ISNUMBER(MATCH(H1242,'Zgłoszenia'!$S$5:$S$504,0)),RIGHT("0"&amp;DAY(A1242),2)&amp;"."&amp;RIGHT("0"&amp;MONTH(A1242),2)&amp;"."&amp;YEAR(A1242)&amp;": "&amp;INDEX('Zgłoszenia'!$H$5:$H$504,MATCH(H1242,'Zgłoszenia'!$S$5:$S$504,0)),RIGHT("0"&amp;DAY((A1242+1)),2)&amp;"."&amp;RIGHT("0"&amp;MONTH((A1242+1)),2)&amp;"."&amp;YEAR((A1242+1))&amp;": "&amp;INDEX('Zgłoszenia'!$H$5:$H$504,MATCH(F1242&amp;"|"&amp;(A1242+1),'Zgłoszenia'!$S$5:$S$504,0)))&amp;IF(K1242&gt;1," (+"&amp;(K1242-1)&amp;")",""))</f>
        <v/>
      </c>
      <c r="M1242" s="63" t="n">
        <v>16</v>
      </c>
      <c r="N1242" s="2" t="n"/>
      <c r="O1242" s="2" t="n"/>
    </row>
    <row r="1243">
      <c r="A1243" s="62">
        <f>IF('16'!$C$1="","",'16'!$C$1)</f>
        <v/>
      </c>
      <c r="B1243" s="63">
        <f>Ustawienia!$A$8&amp;""</f>
        <v/>
      </c>
      <c r="C1243" s="63">
        <f>Ustawienia!$A$18&amp;""</f>
        <v/>
      </c>
      <c r="D1243" s="63" t="n">
        <v>5</v>
      </c>
      <c r="E1243" s="63">
        <f>IF('16'!B36="","",TRIM('16'!B36&amp;""))</f>
        <v/>
      </c>
      <c r="F1243" s="63">
        <f>IF('16'!C36="","",'16'!C36)</f>
        <v/>
      </c>
      <c r="G1243" s="63">
        <f>'16'!D36&amp;""</f>
        <v/>
      </c>
      <c r="H1243" s="63">
        <f>IF(OR(A1243="",F1243=""),"",F1243&amp;"|"&amp;A1243)</f>
        <v/>
      </c>
      <c r="I1243" s="63">
        <f>IF(AND(H1243&lt;&gt;"",OR('Historia wózka'!$B$4="",F1243='Historia wózka'!$B$4),A1243&gt;='Historia wózka'!$B$5,A1243&lt;='Historia wózka'!$B$6),A1243+0.9+(5000-ROW())/10000000,0)</f>
        <v/>
      </c>
      <c r="J1243" s="63">
        <f>Ustawienia!$B$8&amp;""</f>
        <v/>
      </c>
      <c r="K1243" s="63">
        <f>IF(H1243="","",COUNTIFS('Zgłoszenia'!$B$5:$B$504,F1243,'Zgłoszenia'!$D$5:$D$504,"&gt;="&amp;A1243,'Zgłoszenia'!$D$5:$D$504,"&lt;="&amp;(A1243+1)))</f>
        <v/>
      </c>
      <c r="L1243" s="63">
        <f>IF(OR(H1243="",K1243=0),"—",IF(ISNUMBER(MATCH(H1243,'Zgłoszenia'!$S$5:$S$504,0)),RIGHT("0"&amp;DAY(A1243),2)&amp;"."&amp;RIGHT("0"&amp;MONTH(A1243),2)&amp;"."&amp;YEAR(A1243)&amp;": "&amp;INDEX('Zgłoszenia'!$H$5:$H$504,MATCH(H1243,'Zgłoszenia'!$S$5:$S$504,0)),RIGHT("0"&amp;DAY((A1243+1)),2)&amp;"."&amp;RIGHT("0"&amp;MONTH((A1243+1)),2)&amp;"."&amp;YEAR((A1243+1))&amp;": "&amp;INDEX('Zgłoszenia'!$H$5:$H$504,MATCH(F1243&amp;"|"&amp;(A1243+1),'Zgłoszenia'!$S$5:$S$504,0)))&amp;IF(K1243&gt;1," (+"&amp;(K1243-1)&amp;")",""))</f>
        <v/>
      </c>
      <c r="M1243" s="63" t="n">
        <v>16</v>
      </c>
      <c r="N1243" s="2" t="n"/>
      <c r="O1243" s="2" t="n"/>
    </row>
    <row r="1244">
      <c r="A1244" s="62">
        <f>IF('16'!$C$1="","",'16'!$C$1)</f>
        <v/>
      </c>
      <c r="B1244" s="63">
        <f>Ustawienia!$A$9&amp;""</f>
        <v/>
      </c>
      <c r="C1244" s="63">
        <f>Ustawienia!$A$14&amp;""</f>
        <v/>
      </c>
      <c r="D1244" s="63" t="n">
        <v>1</v>
      </c>
      <c r="E1244" s="63">
        <f>IF('16'!F6="","",TRIM('16'!F6&amp;""))</f>
        <v/>
      </c>
      <c r="F1244" s="63">
        <f>IF('16'!G6="","",'16'!G6)</f>
        <v/>
      </c>
      <c r="G1244" s="63">
        <f>'16'!H6&amp;""</f>
        <v/>
      </c>
      <c r="H1244" s="63">
        <f>IF(OR(A1244="",F1244=""),"",F1244&amp;"|"&amp;A1244)</f>
        <v/>
      </c>
      <c r="I1244" s="63">
        <f>IF(AND(H1244&lt;&gt;"",OR('Historia wózka'!$B$4="",F1244='Historia wózka'!$B$4),A1244&gt;='Historia wózka'!$B$5,A1244&lt;='Historia wózka'!$B$6),A1244+0.8+(5000-ROW())/10000000,0)</f>
        <v/>
      </c>
      <c r="J1244" s="63">
        <f>Ustawienia!$B$9&amp;""</f>
        <v/>
      </c>
      <c r="K1244" s="63">
        <f>IF(H1244="","",COUNTIFS('Zgłoszenia'!$B$5:$B$504,F1244,'Zgłoszenia'!$D$5:$D$504,"&gt;="&amp;A1244,'Zgłoszenia'!$D$5:$D$504,"&lt;="&amp;(A1244+1)))</f>
        <v/>
      </c>
      <c r="L1244" s="63">
        <f>IF(OR(H1244="",K1244=0),"—",IF(ISNUMBER(MATCH(H1244,'Zgłoszenia'!$S$5:$S$504,0)),RIGHT("0"&amp;DAY(A1244),2)&amp;"."&amp;RIGHT("0"&amp;MONTH(A1244),2)&amp;"."&amp;YEAR(A1244)&amp;": "&amp;INDEX('Zgłoszenia'!$H$5:$H$504,MATCH(H1244,'Zgłoszenia'!$S$5:$S$504,0)),RIGHT("0"&amp;DAY((A1244+1)),2)&amp;"."&amp;RIGHT("0"&amp;MONTH((A1244+1)),2)&amp;"."&amp;YEAR((A1244+1))&amp;": "&amp;INDEX('Zgłoszenia'!$H$5:$H$504,MATCH(F1244&amp;"|"&amp;(A1244+1),'Zgłoszenia'!$S$5:$S$504,0)))&amp;IF(K1244&gt;1," (+"&amp;(K1244-1)&amp;")",""))</f>
        <v/>
      </c>
      <c r="M1244" s="63" t="n">
        <v>16</v>
      </c>
      <c r="N1244" s="2" t="n"/>
      <c r="O1244" s="2" t="n"/>
    </row>
    <row r="1245">
      <c r="A1245" s="62">
        <f>IF('16'!$C$1="","",'16'!$C$1)</f>
        <v/>
      </c>
      <c r="B1245" s="63">
        <f>Ustawienia!$A$9&amp;""</f>
        <v/>
      </c>
      <c r="C1245" s="63">
        <f>Ustawienia!$A$14&amp;""</f>
        <v/>
      </c>
      <c r="D1245" s="63" t="n">
        <v>2</v>
      </c>
      <c r="E1245" s="63">
        <f>IF('16'!F7="","",TRIM('16'!F7&amp;""))</f>
        <v/>
      </c>
      <c r="F1245" s="63">
        <f>IF('16'!G7="","",'16'!G7)</f>
        <v/>
      </c>
      <c r="G1245" s="63">
        <f>'16'!H7&amp;""</f>
        <v/>
      </c>
      <c r="H1245" s="63">
        <f>IF(OR(A1245="",F1245=""),"",F1245&amp;"|"&amp;A1245)</f>
        <v/>
      </c>
      <c r="I1245" s="63">
        <f>IF(AND(H1245&lt;&gt;"",OR('Historia wózka'!$B$4="",F1245='Historia wózka'!$B$4),A1245&gt;='Historia wózka'!$B$5,A1245&lt;='Historia wózka'!$B$6),A1245+0.8+(5000-ROW())/10000000,0)</f>
        <v/>
      </c>
      <c r="J1245" s="63">
        <f>Ustawienia!$B$9&amp;""</f>
        <v/>
      </c>
      <c r="K1245" s="63">
        <f>IF(H1245="","",COUNTIFS('Zgłoszenia'!$B$5:$B$504,F1245,'Zgłoszenia'!$D$5:$D$504,"&gt;="&amp;A1245,'Zgłoszenia'!$D$5:$D$504,"&lt;="&amp;(A1245+1)))</f>
        <v/>
      </c>
      <c r="L1245" s="63">
        <f>IF(OR(H1245="",K1245=0),"—",IF(ISNUMBER(MATCH(H1245,'Zgłoszenia'!$S$5:$S$504,0)),RIGHT("0"&amp;DAY(A1245),2)&amp;"."&amp;RIGHT("0"&amp;MONTH(A1245),2)&amp;"."&amp;YEAR(A1245)&amp;": "&amp;INDEX('Zgłoszenia'!$H$5:$H$504,MATCH(H1245,'Zgłoszenia'!$S$5:$S$504,0)),RIGHT("0"&amp;DAY((A1245+1)),2)&amp;"."&amp;RIGHT("0"&amp;MONTH((A1245+1)),2)&amp;"."&amp;YEAR((A1245+1))&amp;": "&amp;INDEX('Zgłoszenia'!$H$5:$H$504,MATCH(F1245&amp;"|"&amp;(A1245+1),'Zgłoszenia'!$S$5:$S$504,0)))&amp;IF(K1245&gt;1," (+"&amp;(K1245-1)&amp;")",""))</f>
        <v/>
      </c>
      <c r="M1245" s="63" t="n">
        <v>16</v>
      </c>
      <c r="N1245" s="2" t="n"/>
      <c r="O1245" s="2" t="n"/>
    </row>
    <row r="1246">
      <c r="A1246" s="62">
        <f>IF('16'!$C$1="","",'16'!$C$1)</f>
        <v/>
      </c>
      <c r="B1246" s="63">
        <f>Ustawienia!$A$9&amp;""</f>
        <v/>
      </c>
      <c r="C1246" s="63">
        <f>Ustawienia!$A$14&amp;""</f>
        <v/>
      </c>
      <c r="D1246" s="63" t="n">
        <v>3</v>
      </c>
      <c r="E1246" s="63">
        <f>IF('16'!F8="","",TRIM('16'!F8&amp;""))</f>
        <v/>
      </c>
      <c r="F1246" s="63">
        <f>IF('16'!G8="","",'16'!G8)</f>
        <v/>
      </c>
      <c r="G1246" s="63">
        <f>'16'!H8&amp;""</f>
        <v/>
      </c>
      <c r="H1246" s="63">
        <f>IF(OR(A1246="",F1246=""),"",F1246&amp;"|"&amp;A1246)</f>
        <v/>
      </c>
      <c r="I1246" s="63">
        <f>IF(AND(H1246&lt;&gt;"",OR('Historia wózka'!$B$4="",F1246='Historia wózka'!$B$4),A1246&gt;='Historia wózka'!$B$5,A1246&lt;='Historia wózka'!$B$6),A1246+0.8+(5000-ROW())/10000000,0)</f>
        <v/>
      </c>
      <c r="J1246" s="63">
        <f>Ustawienia!$B$9&amp;""</f>
        <v/>
      </c>
      <c r="K1246" s="63">
        <f>IF(H1246="","",COUNTIFS('Zgłoszenia'!$B$5:$B$504,F1246,'Zgłoszenia'!$D$5:$D$504,"&gt;="&amp;A1246,'Zgłoszenia'!$D$5:$D$504,"&lt;="&amp;(A1246+1)))</f>
        <v/>
      </c>
      <c r="L1246" s="63">
        <f>IF(OR(H1246="",K1246=0),"—",IF(ISNUMBER(MATCH(H1246,'Zgłoszenia'!$S$5:$S$504,0)),RIGHT("0"&amp;DAY(A1246),2)&amp;"."&amp;RIGHT("0"&amp;MONTH(A1246),2)&amp;"."&amp;YEAR(A1246)&amp;": "&amp;INDEX('Zgłoszenia'!$H$5:$H$504,MATCH(H1246,'Zgłoszenia'!$S$5:$S$504,0)),RIGHT("0"&amp;DAY((A1246+1)),2)&amp;"."&amp;RIGHT("0"&amp;MONTH((A1246+1)),2)&amp;"."&amp;YEAR((A1246+1))&amp;": "&amp;INDEX('Zgłoszenia'!$H$5:$H$504,MATCH(F1246&amp;"|"&amp;(A1246+1),'Zgłoszenia'!$S$5:$S$504,0)))&amp;IF(K1246&gt;1," (+"&amp;(K1246-1)&amp;")",""))</f>
        <v/>
      </c>
      <c r="M1246" s="63" t="n">
        <v>16</v>
      </c>
      <c r="N1246" s="2" t="n"/>
      <c r="O1246" s="2" t="n"/>
    </row>
    <row r="1247">
      <c r="A1247" s="62">
        <f>IF('16'!$C$1="","",'16'!$C$1)</f>
        <v/>
      </c>
      <c r="B1247" s="63">
        <f>Ustawienia!$A$9&amp;""</f>
        <v/>
      </c>
      <c r="C1247" s="63">
        <f>Ustawienia!$A$14&amp;""</f>
        <v/>
      </c>
      <c r="D1247" s="63" t="n">
        <v>4</v>
      </c>
      <c r="E1247" s="63">
        <f>IF('16'!F9="","",TRIM('16'!F9&amp;""))</f>
        <v/>
      </c>
      <c r="F1247" s="63">
        <f>IF('16'!G9="","",'16'!G9)</f>
        <v/>
      </c>
      <c r="G1247" s="63">
        <f>'16'!H9&amp;""</f>
        <v/>
      </c>
      <c r="H1247" s="63">
        <f>IF(OR(A1247="",F1247=""),"",F1247&amp;"|"&amp;A1247)</f>
        <v/>
      </c>
      <c r="I1247" s="63">
        <f>IF(AND(H1247&lt;&gt;"",OR('Historia wózka'!$B$4="",F1247='Historia wózka'!$B$4),A1247&gt;='Historia wózka'!$B$5,A1247&lt;='Historia wózka'!$B$6),A1247+0.8+(5000-ROW())/10000000,0)</f>
        <v/>
      </c>
      <c r="J1247" s="63">
        <f>Ustawienia!$B$9&amp;""</f>
        <v/>
      </c>
      <c r="K1247" s="63">
        <f>IF(H1247="","",COUNTIFS('Zgłoszenia'!$B$5:$B$504,F1247,'Zgłoszenia'!$D$5:$D$504,"&gt;="&amp;A1247,'Zgłoszenia'!$D$5:$D$504,"&lt;="&amp;(A1247+1)))</f>
        <v/>
      </c>
      <c r="L1247" s="63">
        <f>IF(OR(H1247="",K1247=0),"—",IF(ISNUMBER(MATCH(H1247,'Zgłoszenia'!$S$5:$S$504,0)),RIGHT("0"&amp;DAY(A1247),2)&amp;"."&amp;RIGHT("0"&amp;MONTH(A1247),2)&amp;"."&amp;YEAR(A1247)&amp;": "&amp;INDEX('Zgłoszenia'!$H$5:$H$504,MATCH(H1247,'Zgłoszenia'!$S$5:$S$504,0)),RIGHT("0"&amp;DAY((A1247+1)),2)&amp;"."&amp;RIGHT("0"&amp;MONTH((A1247+1)),2)&amp;"."&amp;YEAR((A1247+1))&amp;": "&amp;INDEX('Zgłoszenia'!$H$5:$H$504,MATCH(F1247&amp;"|"&amp;(A1247+1),'Zgłoszenia'!$S$5:$S$504,0)))&amp;IF(K1247&gt;1," (+"&amp;(K1247-1)&amp;")",""))</f>
        <v/>
      </c>
      <c r="M1247" s="63" t="n">
        <v>16</v>
      </c>
      <c r="N1247" s="2" t="n"/>
      <c r="O1247" s="2" t="n"/>
    </row>
    <row r="1248">
      <c r="A1248" s="62">
        <f>IF('16'!$C$1="","",'16'!$C$1)</f>
        <v/>
      </c>
      <c r="B1248" s="63">
        <f>Ustawienia!$A$9&amp;""</f>
        <v/>
      </c>
      <c r="C1248" s="63">
        <f>Ustawienia!$A$14&amp;""</f>
        <v/>
      </c>
      <c r="D1248" s="63" t="n">
        <v>5</v>
      </c>
      <c r="E1248" s="63">
        <f>IF('16'!F10="","",TRIM('16'!F10&amp;""))</f>
        <v/>
      </c>
      <c r="F1248" s="63">
        <f>IF('16'!G10="","",'16'!G10)</f>
        <v/>
      </c>
      <c r="G1248" s="63">
        <f>'16'!H10&amp;""</f>
        <v/>
      </c>
      <c r="H1248" s="63">
        <f>IF(OR(A1248="",F1248=""),"",F1248&amp;"|"&amp;A1248)</f>
        <v/>
      </c>
      <c r="I1248" s="63">
        <f>IF(AND(H1248&lt;&gt;"",OR('Historia wózka'!$B$4="",F1248='Historia wózka'!$B$4),A1248&gt;='Historia wózka'!$B$5,A1248&lt;='Historia wózka'!$B$6),A1248+0.8+(5000-ROW())/10000000,0)</f>
        <v/>
      </c>
      <c r="J1248" s="63">
        <f>Ustawienia!$B$9&amp;""</f>
        <v/>
      </c>
      <c r="K1248" s="63">
        <f>IF(H1248="","",COUNTIFS('Zgłoszenia'!$B$5:$B$504,F1248,'Zgłoszenia'!$D$5:$D$504,"&gt;="&amp;A1248,'Zgłoszenia'!$D$5:$D$504,"&lt;="&amp;(A1248+1)))</f>
        <v/>
      </c>
      <c r="L1248" s="63">
        <f>IF(OR(H1248="",K1248=0),"—",IF(ISNUMBER(MATCH(H1248,'Zgłoszenia'!$S$5:$S$504,0)),RIGHT("0"&amp;DAY(A1248),2)&amp;"."&amp;RIGHT("0"&amp;MONTH(A1248),2)&amp;"."&amp;YEAR(A1248)&amp;": "&amp;INDEX('Zgłoszenia'!$H$5:$H$504,MATCH(H1248,'Zgłoszenia'!$S$5:$S$504,0)),RIGHT("0"&amp;DAY((A1248+1)),2)&amp;"."&amp;RIGHT("0"&amp;MONTH((A1248+1)),2)&amp;"."&amp;YEAR((A1248+1))&amp;": "&amp;INDEX('Zgłoszenia'!$H$5:$H$504,MATCH(F1248&amp;"|"&amp;(A1248+1),'Zgłoszenia'!$S$5:$S$504,0)))&amp;IF(K1248&gt;1," (+"&amp;(K1248-1)&amp;")",""))</f>
        <v/>
      </c>
      <c r="M1248" s="63" t="n">
        <v>16</v>
      </c>
      <c r="N1248" s="2" t="n"/>
      <c r="O1248" s="2" t="n"/>
    </row>
    <row r="1249">
      <c r="A1249" s="62">
        <f>IF('16'!$C$1="","",'16'!$C$1)</f>
        <v/>
      </c>
      <c r="B1249" s="63">
        <f>Ustawienia!$A$9&amp;""</f>
        <v/>
      </c>
      <c r="C1249" s="63">
        <f>Ustawienia!$A$14&amp;""</f>
        <v/>
      </c>
      <c r="D1249" s="63" t="n">
        <v>6</v>
      </c>
      <c r="E1249" s="63">
        <f>IF('16'!F11="","",TRIM('16'!F11&amp;""))</f>
        <v/>
      </c>
      <c r="F1249" s="63">
        <f>IF('16'!G11="","",'16'!G11)</f>
        <v/>
      </c>
      <c r="G1249" s="63">
        <f>'16'!H11&amp;""</f>
        <v/>
      </c>
      <c r="H1249" s="63">
        <f>IF(OR(A1249="",F1249=""),"",F1249&amp;"|"&amp;A1249)</f>
        <v/>
      </c>
      <c r="I1249" s="63">
        <f>IF(AND(H1249&lt;&gt;"",OR('Historia wózka'!$B$4="",F1249='Historia wózka'!$B$4),A1249&gt;='Historia wózka'!$B$5,A1249&lt;='Historia wózka'!$B$6),A1249+0.8+(5000-ROW())/10000000,0)</f>
        <v/>
      </c>
      <c r="J1249" s="63">
        <f>Ustawienia!$B$9&amp;""</f>
        <v/>
      </c>
      <c r="K1249" s="63">
        <f>IF(H1249="","",COUNTIFS('Zgłoszenia'!$B$5:$B$504,F1249,'Zgłoszenia'!$D$5:$D$504,"&gt;="&amp;A1249,'Zgłoszenia'!$D$5:$D$504,"&lt;="&amp;(A1249+1)))</f>
        <v/>
      </c>
      <c r="L1249" s="63">
        <f>IF(OR(H1249="",K1249=0),"—",IF(ISNUMBER(MATCH(H1249,'Zgłoszenia'!$S$5:$S$504,0)),RIGHT("0"&amp;DAY(A1249),2)&amp;"."&amp;RIGHT("0"&amp;MONTH(A1249),2)&amp;"."&amp;YEAR(A1249)&amp;": "&amp;INDEX('Zgłoszenia'!$H$5:$H$504,MATCH(H1249,'Zgłoszenia'!$S$5:$S$504,0)),RIGHT("0"&amp;DAY((A1249+1)),2)&amp;"."&amp;RIGHT("0"&amp;MONTH((A1249+1)),2)&amp;"."&amp;YEAR((A1249+1))&amp;": "&amp;INDEX('Zgłoszenia'!$H$5:$H$504,MATCH(F1249&amp;"|"&amp;(A1249+1),'Zgłoszenia'!$S$5:$S$504,0)))&amp;IF(K1249&gt;1," (+"&amp;(K1249-1)&amp;")",""))</f>
        <v/>
      </c>
      <c r="M1249" s="63" t="n">
        <v>16</v>
      </c>
      <c r="N1249" s="2" t="n"/>
      <c r="O1249" s="2" t="n"/>
    </row>
    <row r="1250">
      <c r="A1250" s="62">
        <f>IF('16'!$C$1="","",'16'!$C$1)</f>
        <v/>
      </c>
      <c r="B1250" s="63">
        <f>Ustawienia!$A$9&amp;""</f>
        <v/>
      </c>
      <c r="C1250" s="63">
        <f>Ustawienia!$A$15&amp;""</f>
        <v/>
      </c>
      <c r="D1250" s="63" t="n">
        <v>1</v>
      </c>
      <c r="E1250" s="63">
        <f>IF('16'!F13="","",TRIM('16'!F13&amp;""))</f>
        <v/>
      </c>
      <c r="F1250" s="63">
        <f>IF('16'!G13="","",'16'!G13)</f>
        <v/>
      </c>
      <c r="G1250" s="63">
        <f>'16'!H13&amp;""</f>
        <v/>
      </c>
      <c r="H1250" s="63">
        <f>IF(OR(A1250="",F1250=""),"",F1250&amp;"|"&amp;A1250)</f>
        <v/>
      </c>
      <c r="I1250" s="63">
        <f>IF(AND(H1250&lt;&gt;"",OR('Historia wózka'!$B$4="",F1250='Historia wózka'!$B$4),A1250&gt;='Historia wózka'!$B$5,A1250&lt;='Historia wózka'!$B$6),A1250+0.8+(5000-ROW())/10000000,0)</f>
        <v/>
      </c>
      <c r="J1250" s="63">
        <f>Ustawienia!$B$9&amp;""</f>
        <v/>
      </c>
      <c r="K1250" s="63">
        <f>IF(H1250="","",COUNTIFS('Zgłoszenia'!$B$5:$B$504,F1250,'Zgłoszenia'!$D$5:$D$504,"&gt;="&amp;A1250,'Zgłoszenia'!$D$5:$D$504,"&lt;="&amp;(A1250+1)))</f>
        <v/>
      </c>
      <c r="L1250" s="63">
        <f>IF(OR(H1250="",K1250=0),"—",IF(ISNUMBER(MATCH(H1250,'Zgłoszenia'!$S$5:$S$504,0)),RIGHT("0"&amp;DAY(A1250),2)&amp;"."&amp;RIGHT("0"&amp;MONTH(A1250),2)&amp;"."&amp;YEAR(A1250)&amp;": "&amp;INDEX('Zgłoszenia'!$H$5:$H$504,MATCH(H1250,'Zgłoszenia'!$S$5:$S$504,0)),RIGHT("0"&amp;DAY((A1250+1)),2)&amp;"."&amp;RIGHT("0"&amp;MONTH((A1250+1)),2)&amp;"."&amp;YEAR((A1250+1))&amp;": "&amp;INDEX('Zgłoszenia'!$H$5:$H$504,MATCH(F1250&amp;"|"&amp;(A1250+1),'Zgłoszenia'!$S$5:$S$504,0)))&amp;IF(K1250&gt;1," (+"&amp;(K1250-1)&amp;")",""))</f>
        <v/>
      </c>
      <c r="M1250" s="63" t="n">
        <v>16</v>
      </c>
      <c r="N1250" s="2" t="n"/>
      <c r="O1250" s="2" t="n"/>
    </row>
    <row r="1251">
      <c r="A1251" s="62">
        <f>IF('16'!$C$1="","",'16'!$C$1)</f>
        <v/>
      </c>
      <c r="B1251" s="63">
        <f>Ustawienia!$A$9&amp;""</f>
        <v/>
      </c>
      <c r="C1251" s="63">
        <f>Ustawienia!$A$15&amp;""</f>
        <v/>
      </c>
      <c r="D1251" s="63" t="n">
        <v>2</v>
      </c>
      <c r="E1251" s="63">
        <f>IF('16'!F14="","",TRIM('16'!F14&amp;""))</f>
        <v/>
      </c>
      <c r="F1251" s="63">
        <f>IF('16'!G14="","",'16'!G14)</f>
        <v/>
      </c>
      <c r="G1251" s="63">
        <f>'16'!H14&amp;""</f>
        <v/>
      </c>
      <c r="H1251" s="63">
        <f>IF(OR(A1251="",F1251=""),"",F1251&amp;"|"&amp;A1251)</f>
        <v/>
      </c>
      <c r="I1251" s="63">
        <f>IF(AND(H1251&lt;&gt;"",OR('Historia wózka'!$B$4="",F1251='Historia wózka'!$B$4),A1251&gt;='Historia wózka'!$B$5,A1251&lt;='Historia wózka'!$B$6),A1251+0.8+(5000-ROW())/10000000,0)</f>
        <v/>
      </c>
      <c r="J1251" s="63">
        <f>Ustawienia!$B$9&amp;""</f>
        <v/>
      </c>
      <c r="K1251" s="63">
        <f>IF(H1251="","",COUNTIFS('Zgłoszenia'!$B$5:$B$504,F1251,'Zgłoszenia'!$D$5:$D$504,"&gt;="&amp;A1251,'Zgłoszenia'!$D$5:$D$504,"&lt;="&amp;(A1251+1)))</f>
        <v/>
      </c>
      <c r="L1251" s="63">
        <f>IF(OR(H1251="",K1251=0),"—",IF(ISNUMBER(MATCH(H1251,'Zgłoszenia'!$S$5:$S$504,0)),RIGHT("0"&amp;DAY(A1251),2)&amp;"."&amp;RIGHT("0"&amp;MONTH(A1251),2)&amp;"."&amp;YEAR(A1251)&amp;": "&amp;INDEX('Zgłoszenia'!$H$5:$H$504,MATCH(H1251,'Zgłoszenia'!$S$5:$S$504,0)),RIGHT("0"&amp;DAY((A1251+1)),2)&amp;"."&amp;RIGHT("0"&amp;MONTH((A1251+1)),2)&amp;"."&amp;YEAR((A1251+1))&amp;": "&amp;INDEX('Zgłoszenia'!$H$5:$H$504,MATCH(F1251&amp;"|"&amp;(A1251+1),'Zgłoszenia'!$S$5:$S$504,0)))&amp;IF(K1251&gt;1," (+"&amp;(K1251-1)&amp;")",""))</f>
        <v/>
      </c>
      <c r="M1251" s="63" t="n">
        <v>16</v>
      </c>
      <c r="N1251" s="2" t="n"/>
      <c r="O1251" s="2" t="n"/>
    </row>
    <row r="1252">
      <c r="A1252" s="62">
        <f>IF('16'!$C$1="","",'16'!$C$1)</f>
        <v/>
      </c>
      <c r="B1252" s="63">
        <f>Ustawienia!$A$9&amp;""</f>
        <v/>
      </c>
      <c r="C1252" s="63">
        <f>Ustawienia!$A$15&amp;""</f>
        <v/>
      </c>
      <c r="D1252" s="63" t="n">
        <v>3</v>
      </c>
      <c r="E1252" s="63">
        <f>IF('16'!F15="","",TRIM('16'!F15&amp;""))</f>
        <v/>
      </c>
      <c r="F1252" s="63">
        <f>IF('16'!G15="","",'16'!G15)</f>
        <v/>
      </c>
      <c r="G1252" s="63">
        <f>'16'!H15&amp;""</f>
        <v/>
      </c>
      <c r="H1252" s="63">
        <f>IF(OR(A1252="",F1252=""),"",F1252&amp;"|"&amp;A1252)</f>
        <v/>
      </c>
      <c r="I1252" s="63">
        <f>IF(AND(H1252&lt;&gt;"",OR('Historia wózka'!$B$4="",F1252='Historia wózka'!$B$4),A1252&gt;='Historia wózka'!$B$5,A1252&lt;='Historia wózka'!$B$6),A1252+0.8+(5000-ROW())/10000000,0)</f>
        <v/>
      </c>
      <c r="J1252" s="63">
        <f>Ustawienia!$B$9&amp;""</f>
        <v/>
      </c>
      <c r="K1252" s="63">
        <f>IF(H1252="","",COUNTIFS('Zgłoszenia'!$B$5:$B$504,F1252,'Zgłoszenia'!$D$5:$D$504,"&gt;="&amp;A1252,'Zgłoszenia'!$D$5:$D$504,"&lt;="&amp;(A1252+1)))</f>
        <v/>
      </c>
      <c r="L1252" s="63">
        <f>IF(OR(H1252="",K1252=0),"—",IF(ISNUMBER(MATCH(H1252,'Zgłoszenia'!$S$5:$S$504,0)),RIGHT("0"&amp;DAY(A1252),2)&amp;"."&amp;RIGHT("0"&amp;MONTH(A1252),2)&amp;"."&amp;YEAR(A1252)&amp;": "&amp;INDEX('Zgłoszenia'!$H$5:$H$504,MATCH(H1252,'Zgłoszenia'!$S$5:$S$504,0)),RIGHT("0"&amp;DAY((A1252+1)),2)&amp;"."&amp;RIGHT("0"&amp;MONTH((A1252+1)),2)&amp;"."&amp;YEAR((A1252+1))&amp;": "&amp;INDEX('Zgłoszenia'!$H$5:$H$504,MATCH(F1252&amp;"|"&amp;(A1252+1),'Zgłoszenia'!$S$5:$S$504,0)))&amp;IF(K1252&gt;1," (+"&amp;(K1252-1)&amp;")",""))</f>
        <v/>
      </c>
      <c r="M1252" s="63" t="n">
        <v>16</v>
      </c>
      <c r="N1252" s="2" t="n"/>
      <c r="O1252" s="2" t="n"/>
    </row>
    <row r="1253">
      <c r="A1253" s="62">
        <f>IF('16'!$C$1="","",'16'!$C$1)</f>
        <v/>
      </c>
      <c r="B1253" s="63">
        <f>Ustawienia!$A$9&amp;""</f>
        <v/>
      </c>
      <c r="C1253" s="63">
        <f>Ustawienia!$A$15&amp;""</f>
        <v/>
      </c>
      <c r="D1253" s="63" t="n">
        <v>4</v>
      </c>
      <c r="E1253" s="63">
        <f>IF('16'!F16="","",TRIM('16'!F16&amp;""))</f>
        <v/>
      </c>
      <c r="F1253" s="63">
        <f>IF('16'!G16="","",'16'!G16)</f>
        <v/>
      </c>
      <c r="G1253" s="63">
        <f>'16'!H16&amp;""</f>
        <v/>
      </c>
      <c r="H1253" s="63">
        <f>IF(OR(A1253="",F1253=""),"",F1253&amp;"|"&amp;A1253)</f>
        <v/>
      </c>
      <c r="I1253" s="63">
        <f>IF(AND(H1253&lt;&gt;"",OR('Historia wózka'!$B$4="",F1253='Historia wózka'!$B$4),A1253&gt;='Historia wózka'!$B$5,A1253&lt;='Historia wózka'!$B$6),A1253+0.8+(5000-ROW())/10000000,0)</f>
        <v/>
      </c>
      <c r="J1253" s="63">
        <f>Ustawienia!$B$9&amp;""</f>
        <v/>
      </c>
      <c r="K1253" s="63">
        <f>IF(H1253="","",COUNTIFS('Zgłoszenia'!$B$5:$B$504,F1253,'Zgłoszenia'!$D$5:$D$504,"&gt;="&amp;A1253,'Zgłoszenia'!$D$5:$D$504,"&lt;="&amp;(A1253+1)))</f>
        <v/>
      </c>
      <c r="L1253" s="63">
        <f>IF(OR(H1253="",K1253=0),"—",IF(ISNUMBER(MATCH(H1253,'Zgłoszenia'!$S$5:$S$504,0)),RIGHT("0"&amp;DAY(A1253),2)&amp;"."&amp;RIGHT("0"&amp;MONTH(A1253),2)&amp;"."&amp;YEAR(A1253)&amp;": "&amp;INDEX('Zgłoszenia'!$H$5:$H$504,MATCH(H1253,'Zgłoszenia'!$S$5:$S$504,0)),RIGHT("0"&amp;DAY((A1253+1)),2)&amp;"."&amp;RIGHT("0"&amp;MONTH((A1253+1)),2)&amp;"."&amp;YEAR((A1253+1))&amp;": "&amp;INDEX('Zgłoszenia'!$H$5:$H$504,MATCH(F1253&amp;"|"&amp;(A1253+1),'Zgłoszenia'!$S$5:$S$504,0)))&amp;IF(K1253&gt;1," (+"&amp;(K1253-1)&amp;")",""))</f>
        <v/>
      </c>
      <c r="M1253" s="63" t="n">
        <v>16</v>
      </c>
      <c r="N1253" s="2" t="n"/>
      <c r="O1253" s="2" t="n"/>
    </row>
    <row r="1254">
      <c r="A1254" s="62">
        <f>IF('16'!$C$1="","",'16'!$C$1)</f>
        <v/>
      </c>
      <c r="B1254" s="63">
        <f>Ustawienia!$A$9&amp;""</f>
        <v/>
      </c>
      <c r="C1254" s="63">
        <f>Ustawienia!$A$15&amp;""</f>
        <v/>
      </c>
      <c r="D1254" s="63" t="n">
        <v>5</v>
      </c>
      <c r="E1254" s="63">
        <f>IF('16'!F17="","",TRIM('16'!F17&amp;""))</f>
        <v/>
      </c>
      <c r="F1254" s="63">
        <f>IF('16'!G17="","",'16'!G17)</f>
        <v/>
      </c>
      <c r="G1254" s="63">
        <f>'16'!H17&amp;""</f>
        <v/>
      </c>
      <c r="H1254" s="63">
        <f>IF(OR(A1254="",F1254=""),"",F1254&amp;"|"&amp;A1254)</f>
        <v/>
      </c>
      <c r="I1254" s="63">
        <f>IF(AND(H1254&lt;&gt;"",OR('Historia wózka'!$B$4="",F1254='Historia wózka'!$B$4),A1254&gt;='Historia wózka'!$B$5,A1254&lt;='Historia wózka'!$B$6),A1254+0.8+(5000-ROW())/10000000,0)</f>
        <v/>
      </c>
      <c r="J1254" s="63">
        <f>Ustawienia!$B$9&amp;""</f>
        <v/>
      </c>
      <c r="K1254" s="63">
        <f>IF(H1254="","",COUNTIFS('Zgłoszenia'!$B$5:$B$504,F1254,'Zgłoszenia'!$D$5:$D$504,"&gt;="&amp;A1254,'Zgłoszenia'!$D$5:$D$504,"&lt;="&amp;(A1254+1)))</f>
        <v/>
      </c>
      <c r="L1254" s="63">
        <f>IF(OR(H1254="",K1254=0),"—",IF(ISNUMBER(MATCH(H1254,'Zgłoszenia'!$S$5:$S$504,0)),RIGHT("0"&amp;DAY(A1254),2)&amp;"."&amp;RIGHT("0"&amp;MONTH(A1254),2)&amp;"."&amp;YEAR(A1254)&amp;": "&amp;INDEX('Zgłoszenia'!$H$5:$H$504,MATCH(H1254,'Zgłoszenia'!$S$5:$S$504,0)),RIGHT("0"&amp;DAY((A1254+1)),2)&amp;"."&amp;RIGHT("0"&amp;MONTH((A1254+1)),2)&amp;"."&amp;YEAR((A1254+1))&amp;": "&amp;INDEX('Zgłoszenia'!$H$5:$H$504,MATCH(F1254&amp;"|"&amp;(A1254+1),'Zgłoszenia'!$S$5:$S$504,0)))&amp;IF(K1254&gt;1," (+"&amp;(K1254-1)&amp;")",""))</f>
        <v/>
      </c>
      <c r="M1254" s="63" t="n">
        <v>16</v>
      </c>
      <c r="N1254" s="2" t="n"/>
      <c r="O1254" s="2" t="n"/>
    </row>
    <row r="1255">
      <c r="A1255" s="62">
        <f>IF('16'!$C$1="","",'16'!$C$1)</f>
        <v/>
      </c>
      <c r="B1255" s="63">
        <f>Ustawienia!$A$9&amp;""</f>
        <v/>
      </c>
      <c r="C1255" s="63">
        <f>Ustawienia!$A$15&amp;""</f>
        <v/>
      </c>
      <c r="D1255" s="63" t="n">
        <v>6</v>
      </c>
      <c r="E1255" s="63">
        <f>IF('16'!F18="","",TRIM('16'!F18&amp;""))</f>
        <v/>
      </c>
      <c r="F1255" s="63">
        <f>IF('16'!G18="","",'16'!G18)</f>
        <v/>
      </c>
      <c r="G1255" s="63">
        <f>'16'!H18&amp;""</f>
        <v/>
      </c>
      <c r="H1255" s="63">
        <f>IF(OR(A1255="",F1255=""),"",F1255&amp;"|"&amp;A1255)</f>
        <v/>
      </c>
      <c r="I1255" s="63">
        <f>IF(AND(H1255&lt;&gt;"",OR('Historia wózka'!$B$4="",F1255='Historia wózka'!$B$4),A1255&gt;='Historia wózka'!$B$5,A1255&lt;='Historia wózka'!$B$6),A1255+0.8+(5000-ROW())/10000000,0)</f>
        <v/>
      </c>
      <c r="J1255" s="63">
        <f>Ustawienia!$B$9&amp;""</f>
        <v/>
      </c>
      <c r="K1255" s="63">
        <f>IF(H1255="","",COUNTIFS('Zgłoszenia'!$B$5:$B$504,F1255,'Zgłoszenia'!$D$5:$D$504,"&gt;="&amp;A1255,'Zgłoszenia'!$D$5:$D$504,"&lt;="&amp;(A1255+1)))</f>
        <v/>
      </c>
      <c r="L1255" s="63">
        <f>IF(OR(H1255="",K1255=0),"—",IF(ISNUMBER(MATCH(H1255,'Zgłoszenia'!$S$5:$S$504,0)),RIGHT("0"&amp;DAY(A1255),2)&amp;"."&amp;RIGHT("0"&amp;MONTH(A1255),2)&amp;"."&amp;YEAR(A1255)&amp;": "&amp;INDEX('Zgłoszenia'!$H$5:$H$504,MATCH(H1255,'Zgłoszenia'!$S$5:$S$504,0)),RIGHT("0"&amp;DAY((A1255+1)),2)&amp;"."&amp;RIGHT("0"&amp;MONTH((A1255+1)),2)&amp;"."&amp;YEAR((A1255+1))&amp;": "&amp;INDEX('Zgłoszenia'!$H$5:$H$504,MATCH(F1255&amp;"|"&amp;(A1255+1),'Zgłoszenia'!$S$5:$S$504,0)))&amp;IF(K1255&gt;1," (+"&amp;(K1255-1)&amp;")",""))</f>
        <v/>
      </c>
      <c r="M1255" s="63" t="n">
        <v>16</v>
      </c>
      <c r="N1255" s="2" t="n"/>
      <c r="O1255" s="2" t="n"/>
    </row>
    <row r="1256">
      <c r="A1256" s="62">
        <f>IF('16'!$C$1="","",'16'!$C$1)</f>
        <v/>
      </c>
      <c r="B1256" s="63">
        <f>Ustawienia!$A$9&amp;""</f>
        <v/>
      </c>
      <c r="C1256" s="63">
        <f>Ustawienia!$A$15&amp;""</f>
        <v/>
      </c>
      <c r="D1256" s="63" t="n">
        <v>7</v>
      </c>
      <c r="E1256" s="63">
        <f>IF('16'!F19="","",TRIM('16'!F19&amp;""))</f>
        <v/>
      </c>
      <c r="F1256" s="63">
        <f>IF('16'!G19="","",'16'!G19)</f>
        <v/>
      </c>
      <c r="G1256" s="63">
        <f>'16'!H19&amp;""</f>
        <v/>
      </c>
      <c r="H1256" s="63">
        <f>IF(OR(A1256="",F1256=""),"",F1256&amp;"|"&amp;A1256)</f>
        <v/>
      </c>
      <c r="I1256" s="63">
        <f>IF(AND(H1256&lt;&gt;"",OR('Historia wózka'!$B$4="",F1256='Historia wózka'!$B$4),A1256&gt;='Historia wózka'!$B$5,A1256&lt;='Historia wózka'!$B$6),A1256+0.8+(5000-ROW())/10000000,0)</f>
        <v/>
      </c>
      <c r="J1256" s="63">
        <f>Ustawienia!$B$9&amp;""</f>
        <v/>
      </c>
      <c r="K1256" s="63">
        <f>IF(H1256="","",COUNTIFS('Zgłoszenia'!$B$5:$B$504,F1256,'Zgłoszenia'!$D$5:$D$504,"&gt;="&amp;A1256,'Zgłoszenia'!$D$5:$D$504,"&lt;="&amp;(A1256+1)))</f>
        <v/>
      </c>
      <c r="L1256" s="63">
        <f>IF(OR(H1256="",K1256=0),"—",IF(ISNUMBER(MATCH(H1256,'Zgłoszenia'!$S$5:$S$504,0)),RIGHT("0"&amp;DAY(A1256),2)&amp;"."&amp;RIGHT("0"&amp;MONTH(A1256),2)&amp;"."&amp;YEAR(A1256)&amp;": "&amp;INDEX('Zgłoszenia'!$H$5:$H$504,MATCH(H1256,'Zgłoszenia'!$S$5:$S$504,0)),RIGHT("0"&amp;DAY((A1256+1)),2)&amp;"."&amp;RIGHT("0"&amp;MONTH((A1256+1)),2)&amp;"."&amp;YEAR((A1256+1))&amp;": "&amp;INDEX('Zgłoszenia'!$H$5:$H$504,MATCH(F1256&amp;"|"&amp;(A1256+1),'Zgłoszenia'!$S$5:$S$504,0)))&amp;IF(K1256&gt;1," (+"&amp;(K1256-1)&amp;")",""))</f>
        <v/>
      </c>
      <c r="M1256" s="63" t="n">
        <v>16</v>
      </c>
      <c r="N1256" s="2" t="n"/>
      <c r="O1256" s="2" t="n"/>
    </row>
    <row r="1257">
      <c r="A1257" s="62">
        <f>IF('16'!$C$1="","",'16'!$C$1)</f>
        <v/>
      </c>
      <c r="B1257" s="63">
        <f>Ustawienia!$A$9&amp;""</f>
        <v/>
      </c>
      <c r="C1257" s="63">
        <f>Ustawienia!$A$15&amp;""</f>
        <v/>
      </c>
      <c r="D1257" s="63" t="n">
        <v>8</v>
      </c>
      <c r="E1257" s="63">
        <f>IF('16'!F20="","",TRIM('16'!F20&amp;""))</f>
        <v/>
      </c>
      <c r="F1257" s="63">
        <f>IF('16'!G20="","",'16'!G20)</f>
        <v/>
      </c>
      <c r="G1257" s="63">
        <f>'16'!H20&amp;""</f>
        <v/>
      </c>
      <c r="H1257" s="63">
        <f>IF(OR(A1257="",F1257=""),"",F1257&amp;"|"&amp;A1257)</f>
        <v/>
      </c>
      <c r="I1257" s="63">
        <f>IF(AND(H1257&lt;&gt;"",OR('Historia wózka'!$B$4="",F1257='Historia wózka'!$B$4),A1257&gt;='Historia wózka'!$B$5,A1257&lt;='Historia wózka'!$B$6),A1257+0.8+(5000-ROW())/10000000,0)</f>
        <v/>
      </c>
      <c r="J1257" s="63">
        <f>Ustawienia!$B$9&amp;""</f>
        <v/>
      </c>
      <c r="K1257" s="63">
        <f>IF(H1257="","",COUNTIFS('Zgłoszenia'!$B$5:$B$504,F1257,'Zgłoszenia'!$D$5:$D$504,"&gt;="&amp;A1257,'Zgłoszenia'!$D$5:$D$504,"&lt;="&amp;(A1257+1)))</f>
        <v/>
      </c>
      <c r="L1257" s="63">
        <f>IF(OR(H1257="",K1257=0),"—",IF(ISNUMBER(MATCH(H1257,'Zgłoszenia'!$S$5:$S$504,0)),RIGHT("0"&amp;DAY(A1257),2)&amp;"."&amp;RIGHT("0"&amp;MONTH(A1257),2)&amp;"."&amp;YEAR(A1257)&amp;": "&amp;INDEX('Zgłoszenia'!$H$5:$H$504,MATCH(H1257,'Zgłoszenia'!$S$5:$S$504,0)),RIGHT("0"&amp;DAY((A1257+1)),2)&amp;"."&amp;RIGHT("0"&amp;MONTH((A1257+1)),2)&amp;"."&amp;YEAR((A1257+1))&amp;": "&amp;INDEX('Zgłoszenia'!$H$5:$H$504,MATCH(F1257&amp;"|"&amp;(A1257+1),'Zgłoszenia'!$S$5:$S$504,0)))&amp;IF(K1257&gt;1," (+"&amp;(K1257-1)&amp;")",""))</f>
        <v/>
      </c>
      <c r="M1257" s="63" t="n">
        <v>16</v>
      </c>
      <c r="N1257" s="2" t="n"/>
      <c r="O1257" s="2" t="n"/>
    </row>
    <row r="1258">
      <c r="A1258" s="62">
        <f>IF('16'!$C$1="","",'16'!$C$1)</f>
        <v/>
      </c>
      <c r="B1258" s="63">
        <f>Ustawienia!$A$9&amp;""</f>
        <v/>
      </c>
      <c r="C1258" s="63">
        <f>Ustawienia!$A$16&amp;""</f>
        <v/>
      </c>
      <c r="D1258" s="63" t="n">
        <v>1</v>
      </c>
      <c r="E1258" s="63">
        <f>IF('16'!F22="","",TRIM('16'!F22&amp;""))</f>
        <v/>
      </c>
      <c r="F1258" s="63">
        <f>IF('16'!G22="","",'16'!G22)</f>
        <v/>
      </c>
      <c r="G1258" s="63">
        <f>'16'!H22&amp;""</f>
        <v/>
      </c>
      <c r="H1258" s="63">
        <f>IF(OR(A1258="",F1258=""),"",F1258&amp;"|"&amp;A1258)</f>
        <v/>
      </c>
      <c r="I1258" s="63">
        <f>IF(AND(H1258&lt;&gt;"",OR('Historia wózka'!$B$4="",F1258='Historia wózka'!$B$4),A1258&gt;='Historia wózka'!$B$5,A1258&lt;='Historia wózka'!$B$6),A1258+0.8+(5000-ROW())/10000000,0)</f>
        <v/>
      </c>
      <c r="J1258" s="63">
        <f>Ustawienia!$B$9&amp;""</f>
        <v/>
      </c>
      <c r="K1258" s="63">
        <f>IF(H1258="","",COUNTIFS('Zgłoszenia'!$B$5:$B$504,F1258,'Zgłoszenia'!$D$5:$D$504,"&gt;="&amp;A1258,'Zgłoszenia'!$D$5:$D$504,"&lt;="&amp;(A1258+1)))</f>
        <v/>
      </c>
      <c r="L1258" s="63">
        <f>IF(OR(H1258="",K1258=0),"—",IF(ISNUMBER(MATCH(H1258,'Zgłoszenia'!$S$5:$S$504,0)),RIGHT("0"&amp;DAY(A1258),2)&amp;"."&amp;RIGHT("0"&amp;MONTH(A1258),2)&amp;"."&amp;YEAR(A1258)&amp;": "&amp;INDEX('Zgłoszenia'!$H$5:$H$504,MATCH(H1258,'Zgłoszenia'!$S$5:$S$504,0)),RIGHT("0"&amp;DAY((A1258+1)),2)&amp;"."&amp;RIGHT("0"&amp;MONTH((A1258+1)),2)&amp;"."&amp;YEAR((A1258+1))&amp;": "&amp;INDEX('Zgłoszenia'!$H$5:$H$504,MATCH(F1258&amp;"|"&amp;(A1258+1),'Zgłoszenia'!$S$5:$S$504,0)))&amp;IF(K1258&gt;1," (+"&amp;(K1258-1)&amp;")",""))</f>
        <v/>
      </c>
      <c r="M1258" s="63" t="n">
        <v>16</v>
      </c>
      <c r="N1258" s="2" t="n"/>
      <c r="O1258" s="2" t="n"/>
    </row>
    <row r="1259">
      <c r="A1259" s="62">
        <f>IF('16'!$C$1="","",'16'!$C$1)</f>
        <v/>
      </c>
      <c r="B1259" s="63">
        <f>Ustawienia!$A$9&amp;""</f>
        <v/>
      </c>
      <c r="C1259" s="63">
        <f>Ustawienia!$A$16&amp;""</f>
        <v/>
      </c>
      <c r="D1259" s="63" t="n">
        <v>2</v>
      </c>
      <c r="E1259" s="63">
        <f>IF('16'!F23="","",TRIM('16'!F23&amp;""))</f>
        <v/>
      </c>
      <c r="F1259" s="63">
        <f>IF('16'!G23="","",'16'!G23)</f>
        <v/>
      </c>
      <c r="G1259" s="63">
        <f>'16'!H23&amp;""</f>
        <v/>
      </c>
      <c r="H1259" s="63">
        <f>IF(OR(A1259="",F1259=""),"",F1259&amp;"|"&amp;A1259)</f>
        <v/>
      </c>
      <c r="I1259" s="63">
        <f>IF(AND(H1259&lt;&gt;"",OR('Historia wózka'!$B$4="",F1259='Historia wózka'!$B$4),A1259&gt;='Historia wózka'!$B$5,A1259&lt;='Historia wózka'!$B$6),A1259+0.8+(5000-ROW())/10000000,0)</f>
        <v/>
      </c>
      <c r="J1259" s="63">
        <f>Ustawienia!$B$9&amp;""</f>
        <v/>
      </c>
      <c r="K1259" s="63">
        <f>IF(H1259="","",COUNTIFS('Zgłoszenia'!$B$5:$B$504,F1259,'Zgłoszenia'!$D$5:$D$504,"&gt;="&amp;A1259,'Zgłoszenia'!$D$5:$D$504,"&lt;="&amp;(A1259+1)))</f>
        <v/>
      </c>
      <c r="L1259" s="63">
        <f>IF(OR(H1259="",K1259=0),"—",IF(ISNUMBER(MATCH(H1259,'Zgłoszenia'!$S$5:$S$504,0)),RIGHT("0"&amp;DAY(A1259),2)&amp;"."&amp;RIGHT("0"&amp;MONTH(A1259),2)&amp;"."&amp;YEAR(A1259)&amp;": "&amp;INDEX('Zgłoszenia'!$H$5:$H$504,MATCH(H1259,'Zgłoszenia'!$S$5:$S$504,0)),RIGHT("0"&amp;DAY((A1259+1)),2)&amp;"."&amp;RIGHT("0"&amp;MONTH((A1259+1)),2)&amp;"."&amp;YEAR((A1259+1))&amp;": "&amp;INDEX('Zgłoszenia'!$H$5:$H$504,MATCH(F1259&amp;"|"&amp;(A1259+1),'Zgłoszenia'!$S$5:$S$504,0)))&amp;IF(K1259&gt;1," (+"&amp;(K1259-1)&amp;")",""))</f>
        <v/>
      </c>
      <c r="M1259" s="63" t="n">
        <v>16</v>
      </c>
      <c r="N1259" s="2" t="n"/>
      <c r="O1259" s="2" t="n"/>
    </row>
    <row r="1260">
      <c r="A1260" s="62">
        <f>IF('16'!$C$1="","",'16'!$C$1)</f>
        <v/>
      </c>
      <c r="B1260" s="63">
        <f>Ustawienia!$A$9&amp;""</f>
        <v/>
      </c>
      <c r="C1260" s="63">
        <f>Ustawienia!$A$16&amp;""</f>
        <v/>
      </c>
      <c r="D1260" s="63" t="n">
        <v>3</v>
      </c>
      <c r="E1260" s="63">
        <f>IF('16'!F24="","",TRIM('16'!F24&amp;""))</f>
        <v/>
      </c>
      <c r="F1260" s="63">
        <f>IF('16'!G24="","",'16'!G24)</f>
        <v/>
      </c>
      <c r="G1260" s="63">
        <f>'16'!H24&amp;""</f>
        <v/>
      </c>
      <c r="H1260" s="63">
        <f>IF(OR(A1260="",F1260=""),"",F1260&amp;"|"&amp;A1260)</f>
        <v/>
      </c>
      <c r="I1260" s="63">
        <f>IF(AND(H1260&lt;&gt;"",OR('Historia wózka'!$B$4="",F1260='Historia wózka'!$B$4),A1260&gt;='Historia wózka'!$B$5,A1260&lt;='Historia wózka'!$B$6),A1260+0.8+(5000-ROW())/10000000,0)</f>
        <v/>
      </c>
      <c r="J1260" s="63">
        <f>Ustawienia!$B$9&amp;""</f>
        <v/>
      </c>
      <c r="K1260" s="63">
        <f>IF(H1260="","",COUNTIFS('Zgłoszenia'!$B$5:$B$504,F1260,'Zgłoszenia'!$D$5:$D$504,"&gt;="&amp;A1260,'Zgłoszenia'!$D$5:$D$504,"&lt;="&amp;(A1260+1)))</f>
        <v/>
      </c>
      <c r="L1260" s="63">
        <f>IF(OR(H1260="",K1260=0),"—",IF(ISNUMBER(MATCH(H1260,'Zgłoszenia'!$S$5:$S$504,0)),RIGHT("0"&amp;DAY(A1260),2)&amp;"."&amp;RIGHT("0"&amp;MONTH(A1260),2)&amp;"."&amp;YEAR(A1260)&amp;": "&amp;INDEX('Zgłoszenia'!$H$5:$H$504,MATCH(H1260,'Zgłoszenia'!$S$5:$S$504,0)),RIGHT("0"&amp;DAY((A1260+1)),2)&amp;"."&amp;RIGHT("0"&amp;MONTH((A1260+1)),2)&amp;"."&amp;YEAR((A1260+1))&amp;": "&amp;INDEX('Zgłoszenia'!$H$5:$H$504,MATCH(F1260&amp;"|"&amp;(A1260+1),'Zgłoszenia'!$S$5:$S$504,0)))&amp;IF(K1260&gt;1," (+"&amp;(K1260-1)&amp;")",""))</f>
        <v/>
      </c>
      <c r="M1260" s="63" t="n">
        <v>16</v>
      </c>
      <c r="N1260" s="2" t="n"/>
      <c r="O1260" s="2" t="n"/>
    </row>
    <row r="1261">
      <c r="A1261" s="62">
        <f>IF('16'!$C$1="","",'16'!$C$1)</f>
        <v/>
      </c>
      <c r="B1261" s="63">
        <f>Ustawienia!$A$9&amp;""</f>
        <v/>
      </c>
      <c r="C1261" s="63">
        <f>Ustawienia!$A$16&amp;""</f>
        <v/>
      </c>
      <c r="D1261" s="63" t="n">
        <v>4</v>
      </c>
      <c r="E1261" s="63">
        <f>IF('16'!F25="","",TRIM('16'!F25&amp;""))</f>
        <v/>
      </c>
      <c r="F1261" s="63">
        <f>IF('16'!G25="","",'16'!G25)</f>
        <v/>
      </c>
      <c r="G1261" s="63">
        <f>'16'!H25&amp;""</f>
        <v/>
      </c>
      <c r="H1261" s="63">
        <f>IF(OR(A1261="",F1261=""),"",F1261&amp;"|"&amp;A1261)</f>
        <v/>
      </c>
      <c r="I1261" s="63">
        <f>IF(AND(H1261&lt;&gt;"",OR('Historia wózka'!$B$4="",F1261='Historia wózka'!$B$4),A1261&gt;='Historia wózka'!$B$5,A1261&lt;='Historia wózka'!$B$6),A1261+0.8+(5000-ROW())/10000000,0)</f>
        <v/>
      </c>
      <c r="J1261" s="63">
        <f>Ustawienia!$B$9&amp;""</f>
        <v/>
      </c>
      <c r="K1261" s="63">
        <f>IF(H1261="","",COUNTIFS('Zgłoszenia'!$B$5:$B$504,F1261,'Zgłoszenia'!$D$5:$D$504,"&gt;="&amp;A1261,'Zgłoszenia'!$D$5:$D$504,"&lt;="&amp;(A1261+1)))</f>
        <v/>
      </c>
      <c r="L1261" s="63">
        <f>IF(OR(H1261="",K1261=0),"—",IF(ISNUMBER(MATCH(H1261,'Zgłoszenia'!$S$5:$S$504,0)),RIGHT("0"&amp;DAY(A1261),2)&amp;"."&amp;RIGHT("0"&amp;MONTH(A1261),2)&amp;"."&amp;YEAR(A1261)&amp;": "&amp;INDEX('Zgłoszenia'!$H$5:$H$504,MATCH(H1261,'Zgłoszenia'!$S$5:$S$504,0)),RIGHT("0"&amp;DAY((A1261+1)),2)&amp;"."&amp;RIGHT("0"&amp;MONTH((A1261+1)),2)&amp;"."&amp;YEAR((A1261+1))&amp;": "&amp;INDEX('Zgłoszenia'!$H$5:$H$504,MATCH(F1261&amp;"|"&amp;(A1261+1),'Zgłoszenia'!$S$5:$S$504,0)))&amp;IF(K1261&gt;1," (+"&amp;(K1261-1)&amp;")",""))</f>
        <v/>
      </c>
      <c r="M1261" s="63" t="n">
        <v>16</v>
      </c>
      <c r="N1261" s="2" t="n"/>
      <c r="O1261" s="2" t="n"/>
    </row>
    <row r="1262">
      <c r="A1262" s="62">
        <f>IF('16'!$C$1="","",'16'!$C$1)</f>
        <v/>
      </c>
      <c r="B1262" s="63">
        <f>Ustawienia!$A$9&amp;""</f>
        <v/>
      </c>
      <c r="C1262" s="63">
        <f>Ustawienia!$A$17&amp;""</f>
        <v/>
      </c>
      <c r="D1262" s="63" t="n">
        <v>1</v>
      </c>
      <c r="E1262" s="63">
        <f>IF('16'!F27="","",TRIM('16'!F27&amp;""))</f>
        <v/>
      </c>
      <c r="F1262" s="63">
        <f>IF('16'!G27="","",'16'!G27)</f>
        <v/>
      </c>
      <c r="G1262" s="63">
        <f>'16'!H27&amp;""</f>
        <v/>
      </c>
      <c r="H1262" s="63">
        <f>IF(OR(A1262="",F1262=""),"",F1262&amp;"|"&amp;A1262)</f>
        <v/>
      </c>
      <c r="I1262" s="63">
        <f>IF(AND(H1262&lt;&gt;"",OR('Historia wózka'!$B$4="",F1262='Historia wózka'!$B$4),A1262&gt;='Historia wózka'!$B$5,A1262&lt;='Historia wózka'!$B$6),A1262+0.8+(5000-ROW())/10000000,0)</f>
        <v/>
      </c>
      <c r="J1262" s="63">
        <f>Ustawienia!$B$9&amp;""</f>
        <v/>
      </c>
      <c r="K1262" s="63">
        <f>IF(H1262="","",COUNTIFS('Zgłoszenia'!$B$5:$B$504,F1262,'Zgłoszenia'!$D$5:$D$504,"&gt;="&amp;A1262,'Zgłoszenia'!$D$5:$D$504,"&lt;="&amp;(A1262+1)))</f>
        <v/>
      </c>
      <c r="L1262" s="63">
        <f>IF(OR(H1262="",K1262=0),"—",IF(ISNUMBER(MATCH(H1262,'Zgłoszenia'!$S$5:$S$504,0)),RIGHT("0"&amp;DAY(A1262),2)&amp;"."&amp;RIGHT("0"&amp;MONTH(A1262),2)&amp;"."&amp;YEAR(A1262)&amp;": "&amp;INDEX('Zgłoszenia'!$H$5:$H$504,MATCH(H1262,'Zgłoszenia'!$S$5:$S$504,0)),RIGHT("0"&amp;DAY((A1262+1)),2)&amp;"."&amp;RIGHT("0"&amp;MONTH((A1262+1)),2)&amp;"."&amp;YEAR((A1262+1))&amp;": "&amp;INDEX('Zgłoszenia'!$H$5:$H$504,MATCH(F1262&amp;"|"&amp;(A1262+1),'Zgłoszenia'!$S$5:$S$504,0)))&amp;IF(K1262&gt;1," (+"&amp;(K1262-1)&amp;")",""))</f>
        <v/>
      </c>
      <c r="M1262" s="63" t="n">
        <v>16</v>
      </c>
      <c r="N1262" s="2" t="n"/>
      <c r="O1262" s="2" t="n"/>
    </row>
    <row r="1263">
      <c r="A1263" s="62">
        <f>IF('16'!$C$1="","",'16'!$C$1)</f>
        <v/>
      </c>
      <c r="B1263" s="63">
        <f>Ustawienia!$A$9&amp;""</f>
        <v/>
      </c>
      <c r="C1263" s="63">
        <f>Ustawienia!$A$17&amp;""</f>
        <v/>
      </c>
      <c r="D1263" s="63" t="n">
        <v>2</v>
      </c>
      <c r="E1263" s="63">
        <f>IF('16'!F28="","",TRIM('16'!F28&amp;""))</f>
        <v/>
      </c>
      <c r="F1263" s="63">
        <f>IF('16'!G28="","",'16'!G28)</f>
        <v/>
      </c>
      <c r="G1263" s="63">
        <f>'16'!H28&amp;""</f>
        <v/>
      </c>
      <c r="H1263" s="63">
        <f>IF(OR(A1263="",F1263=""),"",F1263&amp;"|"&amp;A1263)</f>
        <v/>
      </c>
      <c r="I1263" s="63">
        <f>IF(AND(H1263&lt;&gt;"",OR('Historia wózka'!$B$4="",F1263='Historia wózka'!$B$4),A1263&gt;='Historia wózka'!$B$5,A1263&lt;='Historia wózka'!$B$6),A1263+0.8+(5000-ROW())/10000000,0)</f>
        <v/>
      </c>
      <c r="J1263" s="63">
        <f>Ustawienia!$B$9&amp;""</f>
        <v/>
      </c>
      <c r="K1263" s="63">
        <f>IF(H1263="","",COUNTIFS('Zgłoszenia'!$B$5:$B$504,F1263,'Zgłoszenia'!$D$5:$D$504,"&gt;="&amp;A1263,'Zgłoszenia'!$D$5:$D$504,"&lt;="&amp;(A1263+1)))</f>
        <v/>
      </c>
      <c r="L1263" s="63">
        <f>IF(OR(H1263="",K1263=0),"—",IF(ISNUMBER(MATCH(H1263,'Zgłoszenia'!$S$5:$S$504,0)),RIGHT("0"&amp;DAY(A1263),2)&amp;"."&amp;RIGHT("0"&amp;MONTH(A1263),2)&amp;"."&amp;YEAR(A1263)&amp;": "&amp;INDEX('Zgłoszenia'!$H$5:$H$504,MATCH(H1263,'Zgłoszenia'!$S$5:$S$504,0)),RIGHT("0"&amp;DAY((A1263+1)),2)&amp;"."&amp;RIGHT("0"&amp;MONTH((A1263+1)),2)&amp;"."&amp;YEAR((A1263+1))&amp;": "&amp;INDEX('Zgłoszenia'!$H$5:$H$504,MATCH(F1263&amp;"|"&amp;(A1263+1),'Zgłoszenia'!$S$5:$S$504,0)))&amp;IF(K1263&gt;1," (+"&amp;(K1263-1)&amp;")",""))</f>
        <v/>
      </c>
      <c r="M1263" s="63" t="n">
        <v>16</v>
      </c>
      <c r="N1263" s="2" t="n"/>
      <c r="O1263" s="2" t="n"/>
    </row>
    <row r="1264">
      <c r="A1264" s="62">
        <f>IF('16'!$C$1="","",'16'!$C$1)</f>
        <v/>
      </c>
      <c r="B1264" s="63">
        <f>Ustawienia!$A$9&amp;""</f>
        <v/>
      </c>
      <c r="C1264" s="63">
        <f>Ustawienia!$A$17&amp;""</f>
        <v/>
      </c>
      <c r="D1264" s="63" t="n">
        <v>3</v>
      </c>
      <c r="E1264" s="63">
        <f>IF('16'!F29="","",TRIM('16'!F29&amp;""))</f>
        <v/>
      </c>
      <c r="F1264" s="63">
        <f>IF('16'!G29="","",'16'!G29)</f>
        <v/>
      </c>
      <c r="G1264" s="63">
        <f>'16'!H29&amp;""</f>
        <v/>
      </c>
      <c r="H1264" s="63">
        <f>IF(OR(A1264="",F1264=""),"",F1264&amp;"|"&amp;A1264)</f>
        <v/>
      </c>
      <c r="I1264" s="63">
        <f>IF(AND(H1264&lt;&gt;"",OR('Historia wózka'!$B$4="",F1264='Historia wózka'!$B$4),A1264&gt;='Historia wózka'!$B$5,A1264&lt;='Historia wózka'!$B$6),A1264+0.8+(5000-ROW())/10000000,0)</f>
        <v/>
      </c>
      <c r="J1264" s="63">
        <f>Ustawienia!$B$9&amp;""</f>
        <v/>
      </c>
      <c r="K1264" s="63">
        <f>IF(H1264="","",COUNTIFS('Zgłoszenia'!$B$5:$B$504,F1264,'Zgłoszenia'!$D$5:$D$504,"&gt;="&amp;A1264,'Zgłoszenia'!$D$5:$D$504,"&lt;="&amp;(A1264+1)))</f>
        <v/>
      </c>
      <c r="L1264" s="63">
        <f>IF(OR(H1264="",K1264=0),"—",IF(ISNUMBER(MATCH(H1264,'Zgłoszenia'!$S$5:$S$504,0)),RIGHT("0"&amp;DAY(A1264),2)&amp;"."&amp;RIGHT("0"&amp;MONTH(A1264),2)&amp;"."&amp;YEAR(A1264)&amp;": "&amp;INDEX('Zgłoszenia'!$H$5:$H$504,MATCH(H1264,'Zgłoszenia'!$S$5:$S$504,0)),RIGHT("0"&amp;DAY((A1264+1)),2)&amp;"."&amp;RIGHT("0"&amp;MONTH((A1264+1)),2)&amp;"."&amp;YEAR((A1264+1))&amp;": "&amp;INDEX('Zgłoszenia'!$H$5:$H$504,MATCH(F1264&amp;"|"&amp;(A1264+1),'Zgłoszenia'!$S$5:$S$504,0)))&amp;IF(K1264&gt;1," (+"&amp;(K1264-1)&amp;")",""))</f>
        <v/>
      </c>
      <c r="M1264" s="63" t="n">
        <v>16</v>
      </c>
      <c r="N1264" s="2" t="n"/>
      <c r="O1264" s="2" t="n"/>
    </row>
    <row r="1265">
      <c r="A1265" s="62">
        <f>IF('16'!$C$1="","",'16'!$C$1)</f>
        <v/>
      </c>
      <c r="B1265" s="63">
        <f>Ustawienia!$A$9&amp;""</f>
        <v/>
      </c>
      <c r="C1265" s="63">
        <f>Ustawienia!$A$17&amp;""</f>
        <v/>
      </c>
      <c r="D1265" s="63" t="n">
        <v>4</v>
      </c>
      <c r="E1265" s="63">
        <f>IF('16'!F30="","",TRIM('16'!F30&amp;""))</f>
        <v/>
      </c>
      <c r="F1265" s="63">
        <f>IF('16'!G30="","",'16'!G30)</f>
        <v/>
      </c>
      <c r="G1265" s="63">
        <f>'16'!H30&amp;""</f>
        <v/>
      </c>
      <c r="H1265" s="63">
        <f>IF(OR(A1265="",F1265=""),"",F1265&amp;"|"&amp;A1265)</f>
        <v/>
      </c>
      <c r="I1265" s="63">
        <f>IF(AND(H1265&lt;&gt;"",OR('Historia wózka'!$B$4="",F1265='Historia wózka'!$B$4),A1265&gt;='Historia wózka'!$B$5,A1265&lt;='Historia wózka'!$B$6),A1265+0.8+(5000-ROW())/10000000,0)</f>
        <v/>
      </c>
      <c r="J1265" s="63">
        <f>Ustawienia!$B$9&amp;""</f>
        <v/>
      </c>
      <c r="K1265" s="63">
        <f>IF(H1265="","",COUNTIFS('Zgłoszenia'!$B$5:$B$504,F1265,'Zgłoszenia'!$D$5:$D$504,"&gt;="&amp;A1265,'Zgłoszenia'!$D$5:$D$504,"&lt;="&amp;(A1265+1)))</f>
        <v/>
      </c>
      <c r="L1265" s="63">
        <f>IF(OR(H1265="",K1265=0),"—",IF(ISNUMBER(MATCH(H1265,'Zgłoszenia'!$S$5:$S$504,0)),RIGHT("0"&amp;DAY(A1265),2)&amp;"."&amp;RIGHT("0"&amp;MONTH(A1265),2)&amp;"."&amp;YEAR(A1265)&amp;": "&amp;INDEX('Zgłoszenia'!$H$5:$H$504,MATCH(H1265,'Zgłoszenia'!$S$5:$S$504,0)),RIGHT("0"&amp;DAY((A1265+1)),2)&amp;"."&amp;RIGHT("0"&amp;MONTH((A1265+1)),2)&amp;"."&amp;YEAR((A1265+1))&amp;": "&amp;INDEX('Zgłoszenia'!$H$5:$H$504,MATCH(F1265&amp;"|"&amp;(A1265+1),'Zgłoszenia'!$S$5:$S$504,0)))&amp;IF(K1265&gt;1," (+"&amp;(K1265-1)&amp;")",""))</f>
        <v/>
      </c>
      <c r="M1265" s="63" t="n">
        <v>16</v>
      </c>
      <c r="N1265" s="2" t="n"/>
      <c r="O1265" s="2" t="n"/>
    </row>
    <row r="1266">
      <c r="A1266" s="62">
        <f>IF('16'!$C$1="","",'16'!$C$1)</f>
        <v/>
      </c>
      <c r="B1266" s="63">
        <f>Ustawienia!$A$9&amp;""</f>
        <v/>
      </c>
      <c r="C1266" s="63">
        <f>Ustawienia!$A$18&amp;""</f>
        <v/>
      </c>
      <c r="D1266" s="63" t="n">
        <v>1</v>
      </c>
      <c r="E1266" s="63">
        <f>IF('16'!F32="","",TRIM('16'!F32&amp;""))</f>
        <v/>
      </c>
      <c r="F1266" s="63">
        <f>IF('16'!G32="","",'16'!G32)</f>
        <v/>
      </c>
      <c r="G1266" s="63">
        <f>'16'!H32&amp;""</f>
        <v/>
      </c>
      <c r="H1266" s="63">
        <f>IF(OR(A1266="",F1266=""),"",F1266&amp;"|"&amp;A1266)</f>
        <v/>
      </c>
      <c r="I1266" s="63">
        <f>IF(AND(H1266&lt;&gt;"",OR('Historia wózka'!$B$4="",F1266='Historia wózka'!$B$4),A1266&gt;='Historia wózka'!$B$5,A1266&lt;='Historia wózka'!$B$6),A1266+0.8+(5000-ROW())/10000000,0)</f>
        <v/>
      </c>
      <c r="J1266" s="63">
        <f>Ustawienia!$B$9&amp;""</f>
        <v/>
      </c>
      <c r="K1266" s="63">
        <f>IF(H1266="","",COUNTIFS('Zgłoszenia'!$B$5:$B$504,F1266,'Zgłoszenia'!$D$5:$D$504,"&gt;="&amp;A1266,'Zgłoszenia'!$D$5:$D$504,"&lt;="&amp;(A1266+1)))</f>
        <v/>
      </c>
      <c r="L1266" s="63">
        <f>IF(OR(H1266="",K1266=0),"—",IF(ISNUMBER(MATCH(H1266,'Zgłoszenia'!$S$5:$S$504,0)),RIGHT("0"&amp;DAY(A1266),2)&amp;"."&amp;RIGHT("0"&amp;MONTH(A1266),2)&amp;"."&amp;YEAR(A1266)&amp;": "&amp;INDEX('Zgłoszenia'!$H$5:$H$504,MATCH(H1266,'Zgłoszenia'!$S$5:$S$504,0)),RIGHT("0"&amp;DAY((A1266+1)),2)&amp;"."&amp;RIGHT("0"&amp;MONTH((A1266+1)),2)&amp;"."&amp;YEAR((A1266+1))&amp;": "&amp;INDEX('Zgłoszenia'!$H$5:$H$504,MATCH(F1266&amp;"|"&amp;(A1266+1),'Zgłoszenia'!$S$5:$S$504,0)))&amp;IF(K1266&gt;1," (+"&amp;(K1266-1)&amp;")",""))</f>
        <v/>
      </c>
      <c r="M1266" s="63" t="n">
        <v>16</v>
      </c>
      <c r="N1266" s="2" t="n"/>
      <c r="O1266" s="2" t="n"/>
    </row>
    <row r="1267">
      <c r="A1267" s="62">
        <f>IF('16'!$C$1="","",'16'!$C$1)</f>
        <v/>
      </c>
      <c r="B1267" s="63">
        <f>Ustawienia!$A$9&amp;""</f>
        <v/>
      </c>
      <c r="C1267" s="63">
        <f>Ustawienia!$A$18&amp;""</f>
        <v/>
      </c>
      <c r="D1267" s="63" t="n">
        <v>2</v>
      </c>
      <c r="E1267" s="63">
        <f>IF('16'!F33="","",TRIM('16'!F33&amp;""))</f>
        <v/>
      </c>
      <c r="F1267" s="63">
        <f>IF('16'!G33="","",'16'!G33)</f>
        <v/>
      </c>
      <c r="G1267" s="63">
        <f>'16'!H33&amp;""</f>
        <v/>
      </c>
      <c r="H1267" s="63">
        <f>IF(OR(A1267="",F1267=""),"",F1267&amp;"|"&amp;A1267)</f>
        <v/>
      </c>
      <c r="I1267" s="63">
        <f>IF(AND(H1267&lt;&gt;"",OR('Historia wózka'!$B$4="",F1267='Historia wózka'!$B$4),A1267&gt;='Historia wózka'!$B$5,A1267&lt;='Historia wózka'!$B$6),A1267+0.8+(5000-ROW())/10000000,0)</f>
        <v/>
      </c>
      <c r="J1267" s="63">
        <f>Ustawienia!$B$9&amp;""</f>
        <v/>
      </c>
      <c r="K1267" s="63">
        <f>IF(H1267="","",COUNTIFS('Zgłoszenia'!$B$5:$B$504,F1267,'Zgłoszenia'!$D$5:$D$504,"&gt;="&amp;A1267,'Zgłoszenia'!$D$5:$D$504,"&lt;="&amp;(A1267+1)))</f>
        <v/>
      </c>
      <c r="L1267" s="63">
        <f>IF(OR(H1267="",K1267=0),"—",IF(ISNUMBER(MATCH(H1267,'Zgłoszenia'!$S$5:$S$504,0)),RIGHT("0"&amp;DAY(A1267),2)&amp;"."&amp;RIGHT("0"&amp;MONTH(A1267),2)&amp;"."&amp;YEAR(A1267)&amp;": "&amp;INDEX('Zgłoszenia'!$H$5:$H$504,MATCH(H1267,'Zgłoszenia'!$S$5:$S$504,0)),RIGHT("0"&amp;DAY((A1267+1)),2)&amp;"."&amp;RIGHT("0"&amp;MONTH((A1267+1)),2)&amp;"."&amp;YEAR((A1267+1))&amp;": "&amp;INDEX('Zgłoszenia'!$H$5:$H$504,MATCH(F1267&amp;"|"&amp;(A1267+1),'Zgłoszenia'!$S$5:$S$504,0)))&amp;IF(K1267&gt;1," (+"&amp;(K1267-1)&amp;")",""))</f>
        <v/>
      </c>
      <c r="M1267" s="63" t="n">
        <v>16</v>
      </c>
      <c r="N1267" s="2" t="n"/>
      <c r="O1267" s="2" t="n"/>
    </row>
    <row r="1268">
      <c r="A1268" s="62">
        <f>IF('16'!$C$1="","",'16'!$C$1)</f>
        <v/>
      </c>
      <c r="B1268" s="63">
        <f>Ustawienia!$A$9&amp;""</f>
        <v/>
      </c>
      <c r="C1268" s="63">
        <f>Ustawienia!$A$18&amp;""</f>
        <v/>
      </c>
      <c r="D1268" s="63" t="n">
        <v>3</v>
      </c>
      <c r="E1268" s="63">
        <f>IF('16'!F34="","",TRIM('16'!F34&amp;""))</f>
        <v/>
      </c>
      <c r="F1268" s="63">
        <f>IF('16'!G34="","",'16'!G34)</f>
        <v/>
      </c>
      <c r="G1268" s="63">
        <f>'16'!H34&amp;""</f>
        <v/>
      </c>
      <c r="H1268" s="63">
        <f>IF(OR(A1268="",F1268=""),"",F1268&amp;"|"&amp;A1268)</f>
        <v/>
      </c>
      <c r="I1268" s="63">
        <f>IF(AND(H1268&lt;&gt;"",OR('Historia wózka'!$B$4="",F1268='Historia wózka'!$B$4),A1268&gt;='Historia wózka'!$B$5,A1268&lt;='Historia wózka'!$B$6),A1268+0.8+(5000-ROW())/10000000,0)</f>
        <v/>
      </c>
      <c r="J1268" s="63">
        <f>Ustawienia!$B$9&amp;""</f>
        <v/>
      </c>
      <c r="K1268" s="63">
        <f>IF(H1268="","",COUNTIFS('Zgłoszenia'!$B$5:$B$504,F1268,'Zgłoszenia'!$D$5:$D$504,"&gt;="&amp;A1268,'Zgłoszenia'!$D$5:$D$504,"&lt;="&amp;(A1268+1)))</f>
        <v/>
      </c>
      <c r="L1268" s="63">
        <f>IF(OR(H1268="",K1268=0),"—",IF(ISNUMBER(MATCH(H1268,'Zgłoszenia'!$S$5:$S$504,0)),RIGHT("0"&amp;DAY(A1268),2)&amp;"."&amp;RIGHT("0"&amp;MONTH(A1268),2)&amp;"."&amp;YEAR(A1268)&amp;": "&amp;INDEX('Zgłoszenia'!$H$5:$H$504,MATCH(H1268,'Zgłoszenia'!$S$5:$S$504,0)),RIGHT("0"&amp;DAY((A1268+1)),2)&amp;"."&amp;RIGHT("0"&amp;MONTH((A1268+1)),2)&amp;"."&amp;YEAR((A1268+1))&amp;": "&amp;INDEX('Zgłoszenia'!$H$5:$H$504,MATCH(F1268&amp;"|"&amp;(A1268+1),'Zgłoszenia'!$S$5:$S$504,0)))&amp;IF(K1268&gt;1," (+"&amp;(K1268-1)&amp;")",""))</f>
        <v/>
      </c>
      <c r="M1268" s="63" t="n">
        <v>16</v>
      </c>
      <c r="N1268" s="2" t="n"/>
      <c r="O1268" s="2" t="n"/>
    </row>
    <row r="1269">
      <c r="A1269" s="62">
        <f>IF('16'!$C$1="","",'16'!$C$1)</f>
        <v/>
      </c>
      <c r="B1269" s="63">
        <f>Ustawienia!$A$9&amp;""</f>
        <v/>
      </c>
      <c r="C1269" s="63">
        <f>Ustawienia!$A$18&amp;""</f>
        <v/>
      </c>
      <c r="D1269" s="63" t="n">
        <v>4</v>
      </c>
      <c r="E1269" s="63">
        <f>IF('16'!F35="","",TRIM('16'!F35&amp;""))</f>
        <v/>
      </c>
      <c r="F1269" s="63">
        <f>IF('16'!G35="","",'16'!G35)</f>
        <v/>
      </c>
      <c r="G1269" s="63">
        <f>'16'!H35&amp;""</f>
        <v/>
      </c>
      <c r="H1269" s="63">
        <f>IF(OR(A1269="",F1269=""),"",F1269&amp;"|"&amp;A1269)</f>
        <v/>
      </c>
      <c r="I1269" s="63">
        <f>IF(AND(H1269&lt;&gt;"",OR('Historia wózka'!$B$4="",F1269='Historia wózka'!$B$4),A1269&gt;='Historia wózka'!$B$5,A1269&lt;='Historia wózka'!$B$6),A1269+0.8+(5000-ROW())/10000000,0)</f>
        <v/>
      </c>
      <c r="J1269" s="63">
        <f>Ustawienia!$B$9&amp;""</f>
        <v/>
      </c>
      <c r="K1269" s="63">
        <f>IF(H1269="","",COUNTIFS('Zgłoszenia'!$B$5:$B$504,F1269,'Zgłoszenia'!$D$5:$D$504,"&gt;="&amp;A1269,'Zgłoszenia'!$D$5:$D$504,"&lt;="&amp;(A1269+1)))</f>
        <v/>
      </c>
      <c r="L1269" s="63">
        <f>IF(OR(H1269="",K1269=0),"—",IF(ISNUMBER(MATCH(H1269,'Zgłoszenia'!$S$5:$S$504,0)),RIGHT("0"&amp;DAY(A1269),2)&amp;"."&amp;RIGHT("0"&amp;MONTH(A1269),2)&amp;"."&amp;YEAR(A1269)&amp;": "&amp;INDEX('Zgłoszenia'!$H$5:$H$504,MATCH(H1269,'Zgłoszenia'!$S$5:$S$504,0)),RIGHT("0"&amp;DAY((A1269+1)),2)&amp;"."&amp;RIGHT("0"&amp;MONTH((A1269+1)),2)&amp;"."&amp;YEAR((A1269+1))&amp;": "&amp;INDEX('Zgłoszenia'!$H$5:$H$504,MATCH(F1269&amp;"|"&amp;(A1269+1),'Zgłoszenia'!$S$5:$S$504,0)))&amp;IF(K1269&gt;1," (+"&amp;(K1269-1)&amp;")",""))</f>
        <v/>
      </c>
      <c r="M1269" s="63" t="n">
        <v>16</v>
      </c>
      <c r="N1269" s="2" t="n"/>
      <c r="O1269" s="2" t="n"/>
    </row>
    <row r="1270">
      <c r="A1270" s="62">
        <f>IF('16'!$C$1="","",'16'!$C$1)</f>
        <v/>
      </c>
      <c r="B1270" s="63">
        <f>Ustawienia!$A$9&amp;""</f>
        <v/>
      </c>
      <c r="C1270" s="63">
        <f>Ustawienia!$A$18&amp;""</f>
        <v/>
      </c>
      <c r="D1270" s="63" t="n">
        <v>5</v>
      </c>
      <c r="E1270" s="63">
        <f>IF('16'!F36="","",TRIM('16'!F36&amp;""))</f>
        <v/>
      </c>
      <c r="F1270" s="63">
        <f>IF('16'!G36="","",'16'!G36)</f>
        <v/>
      </c>
      <c r="G1270" s="63">
        <f>'16'!H36&amp;""</f>
        <v/>
      </c>
      <c r="H1270" s="63">
        <f>IF(OR(A1270="",F1270=""),"",F1270&amp;"|"&amp;A1270)</f>
        <v/>
      </c>
      <c r="I1270" s="63">
        <f>IF(AND(H1270&lt;&gt;"",OR('Historia wózka'!$B$4="",F1270='Historia wózka'!$B$4),A1270&gt;='Historia wózka'!$B$5,A1270&lt;='Historia wózka'!$B$6),A1270+0.8+(5000-ROW())/10000000,0)</f>
        <v/>
      </c>
      <c r="J1270" s="63">
        <f>Ustawienia!$B$9&amp;""</f>
        <v/>
      </c>
      <c r="K1270" s="63">
        <f>IF(H1270="","",COUNTIFS('Zgłoszenia'!$B$5:$B$504,F1270,'Zgłoszenia'!$D$5:$D$504,"&gt;="&amp;A1270,'Zgłoszenia'!$D$5:$D$504,"&lt;="&amp;(A1270+1)))</f>
        <v/>
      </c>
      <c r="L1270" s="63">
        <f>IF(OR(H1270="",K1270=0),"—",IF(ISNUMBER(MATCH(H1270,'Zgłoszenia'!$S$5:$S$504,0)),RIGHT("0"&amp;DAY(A1270),2)&amp;"."&amp;RIGHT("0"&amp;MONTH(A1270),2)&amp;"."&amp;YEAR(A1270)&amp;": "&amp;INDEX('Zgłoszenia'!$H$5:$H$504,MATCH(H1270,'Zgłoszenia'!$S$5:$S$504,0)),RIGHT("0"&amp;DAY((A1270+1)),2)&amp;"."&amp;RIGHT("0"&amp;MONTH((A1270+1)),2)&amp;"."&amp;YEAR((A1270+1))&amp;": "&amp;INDEX('Zgłoszenia'!$H$5:$H$504,MATCH(F1270&amp;"|"&amp;(A1270+1),'Zgłoszenia'!$S$5:$S$504,0)))&amp;IF(K1270&gt;1," (+"&amp;(K1270-1)&amp;")",""))</f>
        <v/>
      </c>
      <c r="M1270" s="63" t="n">
        <v>16</v>
      </c>
      <c r="N1270" s="2" t="n"/>
      <c r="O1270" s="2" t="n"/>
    </row>
    <row r="1271">
      <c r="A1271" s="62">
        <f>IF('16'!$C$1="","",'16'!$C$1)</f>
        <v/>
      </c>
      <c r="B1271" s="63">
        <f>Ustawienia!$A$10&amp;""</f>
        <v/>
      </c>
      <c r="C1271" s="63">
        <f>Ustawienia!$A$14&amp;""</f>
        <v/>
      </c>
      <c r="D1271" s="63" t="n">
        <v>1</v>
      </c>
      <c r="E1271" s="63">
        <f>IF('16'!J6="","",TRIM('16'!J6&amp;""))</f>
        <v/>
      </c>
      <c r="F1271" s="63">
        <f>IF('16'!K6="","",'16'!K6)</f>
        <v/>
      </c>
      <c r="G1271" s="63">
        <f>'16'!L6&amp;""</f>
        <v/>
      </c>
      <c r="H1271" s="63">
        <f>IF(OR(A1271="",F1271=""),"",F1271&amp;"|"&amp;A1271)</f>
        <v/>
      </c>
      <c r="I1271" s="63">
        <f>IF(AND(H1271&lt;&gt;"",OR('Historia wózka'!$B$4="",F1271='Historia wózka'!$B$4),A1271&gt;='Historia wózka'!$B$5,A1271&lt;='Historia wózka'!$B$6),A1271+0.7+(5000-ROW())/10000000,0)</f>
        <v/>
      </c>
      <c r="J1271" s="63">
        <f>Ustawienia!$B$10&amp;""</f>
        <v/>
      </c>
      <c r="K1271" s="63">
        <f>IF(H1271="","",COUNTIFS('Zgłoszenia'!$B$5:$B$504,F1271,'Zgłoszenia'!$D$5:$D$504,"&gt;="&amp;A1271,'Zgłoszenia'!$D$5:$D$504,"&lt;="&amp;(A1271+1)))</f>
        <v/>
      </c>
      <c r="L1271" s="63">
        <f>IF(OR(H1271="",K1271=0),"—",IF(ISNUMBER(MATCH(H1271,'Zgłoszenia'!$S$5:$S$504,0)),RIGHT("0"&amp;DAY(A1271),2)&amp;"."&amp;RIGHT("0"&amp;MONTH(A1271),2)&amp;"."&amp;YEAR(A1271)&amp;": "&amp;INDEX('Zgłoszenia'!$H$5:$H$504,MATCH(H1271,'Zgłoszenia'!$S$5:$S$504,0)),RIGHT("0"&amp;DAY((A1271+1)),2)&amp;"."&amp;RIGHT("0"&amp;MONTH((A1271+1)),2)&amp;"."&amp;YEAR((A1271+1))&amp;": "&amp;INDEX('Zgłoszenia'!$H$5:$H$504,MATCH(F1271&amp;"|"&amp;(A1271+1),'Zgłoszenia'!$S$5:$S$504,0)))&amp;IF(K1271&gt;1," (+"&amp;(K1271-1)&amp;")",""))</f>
        <v/>
      </c>
      <c r="M1271" s="63" t="n">
        <v>16</v>
      </c>
      <c r="N1271" s="2" t="n"/>
      <c r="O1271" s="2" t="n"/>
    </row>
    <row r="1272">
      <c r="A1272" s="62">
        <f>IF('16'!$C$1="","",'16'!$C$1)</f>
        <v/>
      </c>
      <c r="B1272" s="63">
        <f>Ustawienia!$A$10&amp;""</f>
        <v/>
      </c>
      <c r="C1272" s="63">
        <f>Ustawienia!$A$14&amp;""</f>
        <v/>
      </c>
      <c r="D1272" s="63" t="n">
        <v>2</v>
      </c>
      <c r="E1272" s="63">
        <f>IF('16'!J7="","",TRIM('16'!J7&amp;""))</f>
        <v/>
      </c>
      <c r="F1272" s="63">
        <f>IF('16'!K7="","",'16'!K7)</f>
        <v/>
      </c>
      <c r="G1272" s="63">
        <f>'16'!L7&amp;""</f>
        <v/>
      </c>
      <c r="H1272" s="63">
        <f>IF(OR(A1272="",F1272=""),"",F1272&amp;"|"&amp;A1272)</f>
        <v/>
      </c>
      <c r="I1272" s="63">
        <f>IF(AND(H1272&lt;&gt;"",OR('Historia wózka'!$B$4="",F1272='Historia wózka'!$B$4),A1272&gt;='Historia wózka'!$B$5,A1272&lt;='Historia wózka'!$B$6),A1272+0.7+(5000-ROW())/10000000,0)</f>
        <v/>
      </c>
      <c r="J1272" s="63">
        <f>Ustawienia!$B$10&amp;""</f>
        <v/>
      </c>
      <c r="K1272" s="63">
        <f>IF(H1272="","",COUNTIFS('Zgłoszenia'!$B$5:$B$504,F1272,'Zgłoszenia'!$D$5:$D$504,"&gt;="&amp;A1272,'Zgłoszenia'!$D$5:$D$504,"&lt;="&amp;(A1272+1)))</f>
        <v/>
      </c>
      <c r="L1272" s="63">
        <f>IF(OR(H1272="",K1272=0),"—",IF(ISNUMBER(MATCH(H1272,'Zgłoszenia'!$S$5:$S$504,0)),RIGHT("0"&amp;DAY(A1272),2)&amp;"."&amp;RIGHT("0"&amp;MONTH(A1272),2)&amp;"."&amp;YEAR(A1272)&amp;": "&amp;INDEX('Zgłoszenia'!$H$5:$H$504,MATCH(H1272,'Zgłoszenia'!$S$5:$S$504,0)),RIGHT("0"&amp;DAY((A1272+1)),2)&amp;"."&amp;RIGHT("0"&amp;MONTH((A1272+1)),2)&amp;"."&amp;YEAR((A1272+1))&amp;": "&amp;INDEX('Zgłoszenia'!$H$5:$H$504,MATCH(F1272&amp;"|"&amp;(A1272+1),'Zgłoszenia'!$S$5:$S$504,0)))&amp;IF(K1272&gt;1," (+"&amp;(K1272-1)&amp;")",""))</f>
        <v/>
      </c>
      <c r="M1272" s="63" t="n">
        <v>16</v>
      </c>
      <c r="N1272" s="2" t="n"/>
      <c r="O1272" s="2" t="n"/>
    </row>
    <row r="1273">
      <c r="A1273" s="62">
        <f>IF('16'!$C$1="","",'16'!$C$1)</f>
        <v/>
      </c>
      <c r="B1273" s="63">
        <f>Ustawienia!$A$10&amp;""</f>
        <v/>
      </c>
      <c r="C1273" s="63">
        <f>Ustawienia!$A$14&amp;""</f>
        <v/>
      </c>
      <c r="D1273" s="63" t="n">
        <v>3</v>
      </c>
      <c r="E1273" s="63">
        <f>IF('16'!J8="","",TRIM('16'!J8&amp;""))</f>
        <v/>
      </c>
      <c r="F1273" s="63">
        <f>IF('16'!K8="","",'16'!K8)</f>
        <v/>
      </c>
      <c r="G1273" s="63">
        <f>'16'!L8&amp;""</f>
        <v/>
      </c>
      <c r="H1273" s="63">
        <f>IF(OR(A1273="",F1273=""),"",F1273&amp;"|"&amp;A1273)</f>
        <v/>
      </c>
      <c r="I1273" s="63">
        <f>IF(AND(H1273&lt;&gt;"",OR('Historia wózka'!$B$4="",F1273='Historia wózka'!$B$4),A1273&gt;='Historia wózka'!$B$5,A1273&lt;='Historia wózka'!$B$6),A1273+0.7+(5000-ROW())/10000000,0)</f>
        <v/>
      </c>
      <c r="J1273" s="63">
        <f>Ustawienia!$B$10&amp;""</f>
        <v/>
      </c>
      <c r="K1273" s="63">
        <f>IF(H1273="","",COUNTIFS('Zgłoszenia'!$B$5:$B$504,F1273,'Zgłoszenia'!$D$5:$D$504,"&gt;="&amp;A1273,'Zgłoszenia'!$D$5:$D$504,"&lt;="&amp;(A1273+1)))</f>
        <v/>
      </c>
      <c r="L1273" s="63">
        <f>IF(OR(H1273="",K1273=0),"—",IF(ISNUMBER(MATCH(H1273,'Zgłoszenia'!$S$5:$S$504,0)),RIGHT("0"&amp;DAY(A1273),2)&amp;"."&amp;RIGHT("0"&amp;MONTH(A1273),2)&amp;"."&amp;YEAR(A1273)&amp;": "&amp;INDEX('Zgłoszenia'!$H$5:$H$504,MATCH(H1273,'Zgłoszenia'!$S$5:$S$504,0)),RIGHT("0"&amp;DAY((A1273+1)),2)&amp;"."&amp;RIGHT("0"&amp;MONTH((A1273+1)),2)&amp;"."&amp;YEAR((A1273+1))&amp;": "&amp;INDEX('Zgłoszenia'!$H$5:$H$504,MATCH(F1273&amp;"|"&amp;(A1273+1),'Zgłoszenia'!$S$5:$S$504,0)))&amp;IF(K1273&gt;1," (+"&amp;(K1273-1)&amp;")",""))</f>
        <v/>
      </c>
      <c r="M1273" s="63" t="n">
        <v>16</v>
      </c>
      <c r="N1273" s="2" t="n"/>
      <c r="O1273" s="2" t="n"/>
    </row>
    <row r="1274">
      <c r="A1274" s="62">
        <f>IF('16'!$C$1="","",'16'!$C$1)</f>
        <v/>
      </c>
      <c r="B1274" s="63">
        <f>Ustawienia!$A$10&amp;""</f>
        <v/>
      </c>
      <c r="C1274" s="63">
        <f>Ustawienia!$A$14&amp;""</f>
        <v/>
      </c>
      <c r="D1274" s="63" t="n">
        <v>4</v>
      </c>
      <c r="E1274" s="63">
        <f>IF('16'!J9="","",TRIM('16'!J9&amp;""))</f>
        <v/>
      </c>
      <c r="F1274" s="63">
        <f>IF('16'!K9="","",'16'!K9)</f>
        <v/>
      </c>
      <c r="G1274" s="63">
        <f>'16'!L9&amp;""</f>
        <v/>
      </c>
      <c r="H1274" s="63">
        <f>IF(OR(A1274="",F1274=""),"",F1274&amp;"|"&amp;A1274)</f>
        <v/>
      </c>
      <c r="I1274" s="63">
        <f>IF(AND(H1274&lt;&gt;"",OR('Historia wózka'!$B$4="",F1274='Historia wózka'!$B$4),A1274&gt;='Historia wózka'!$B$5,A1274&lt;='Historia wózka'!$B$6),A1274+0.7+(5000-ROW())/10000000,0)</f>
        <v/>
      </c>
      <c r="J1274" s="63">
        <f>Ustawienia!$B$10&amp;""</f>
        <v/>
      </c>
      <c r="K1274" s="63">
        <f>IF(H1274="","",COUNTIFS('Zgłoszenia'!$B$5:$B$504,F1274,'Zgłoszenia'!$D$5:$D$504,"&gt;="&amp;A1274,'Zgłoszenia'!$D$5:$D$504,"&lt;="&amp;(A1274+1)))</f>
        <v/>
      </c>
      <c r="L1274" s="63">
        <f>IF(OR(H1274="",K1274=0),"—",IF(ISNUMBER(MATCH(H1274,'Zgłoszenia'!$S$5:$S$504,0)),RIGHT("0"&amp;DAY(A1274),2)&amp;"."&amp;RIGHT("0"&amp;MONTH(A1274),2)&amp;"."&amp;YEAR(A1274)&amp;": "&amp;INDEX('Zgłoszenia'!$H$5:$H$504,MATCH(H1274,'Zgłoszenia'!$S$5:$S$504,0)),RIGHT("0"&amp;DAY((A1274+1)),2)&amp;"."&amp;RIGHT("0"&amp;MONTH((A1274+1)),2)&amp;"."&amp;YEAR((A1274+1))&amp;": "&amp;INDEX('Zgłoszenia'!$H$5:$H$504,MATCH(F1274&amp;"|"&amp;(A1274+1),'Zgłoszenia'!$S$5:$S$504,0)))&amp;IF(K1274&gt;1," (+"&amp;(K1274-1)&amp;")",""))</f>
        <v/>
      </c>
      <c r="M1274" s="63" t="n">
        <v>16</v>
      </c>
      <c r="N1274" s="2" t="n"/>
      <c r="O1274" s="2" t="n"/>
    </row>
    <row r="1275">
      <c r="A1275" s="62">
        <f>IF('16'!$C$1="","",'16'!$C$1)</f>
        <v/>
      </c>
      <c r="B1275" s="63">
        <f>Ustawienia!$A$10&amp;""</f>
        <v/>
      </c>
      <c r="C1275" s="63">
        <f>Ustawienia!$A$14&amp;""</f>
        <v/>
      </c>
      <c r="D1275" s="63" t="n">
        <v>5</v>
      </c>
      <c r="E1275" s="63">
        <f>IF('16'!J10="","",TRIM('16'!J10&amp;""))</f>
        <v/>
      </c>
      <c r="F1275" s="63">
        <f>IF('16'!K10="","",'16'!K10)</f>
        <v/>
      </c>
      <c r="G1275" s="63">
        <f>'16'!L10&amp;""</f>
        <v/>
      </c>
      <c r="H1275" s="63">
        <f>IF(OR(A1275="",F1275=""),"",F1275&amp;"|"&amp;A1275)</f>
        <v/>
      </c>
      <c r="I1275" s="63">
        <f>IF(AND(H1275&lt;&gt;"",OR('Historia wózka'!$B$4="",F1275='Historia wózka'!$B$4),A1275&gt;='Historia wózka'!$B$5,A1275&lt;='Historia wózka'!$B$6),A1275+0.7+(5000-ROW())/10000000,0)</f>
        <v/>
      </c>
      <c r="J1275" s="63">
        <f>Ustawienia!$B$10&amp;""</f>
        <v/>
      </c>
      <c r="K1275" s="63">
        <f>IF(H1275="","",COUNTIFS('Zgłoszenia'!$B$5:$B$504,F1275,'Zgłoszenia'!$D$5:$D$504,"&gt;="&amp;A1275,'Zgłoszenia'!$D$5:$D$504,"&lt;="&amp;(A1275+1)))</f>
        <v/>
      </c>
      <c r="L1275" s="63">
        <f>IF(OR(H1275="",K1275=0),"—",IF(ISNUMBER(MATCH(H1275,'Zgłoszenia'!$S$5:$S$504,0)),RIGHT("0"&amp;DAY(A1275),2)&amp;"."&amp;RIGHT("0"&amp;MONTH(A1275),2)&amp;"."&amp;YEAR(A1275)&amp;": "&amp;INDEX('Zgłoszenia'!$H$5:$H$504,MATCH(H1275,'Zgłoszenia'!$S$5:$S$504,0)),RIGHT("0"&amp;DAY((A1275+1)),2)&amp;"."&amp;RIGHT("0"&amp;MONTH((A1275+1)),2)&amp;"."&amp;YEAR((A1275+1))&amp;": "&amp;INDEX('Zgłoszenia'!$H$5:$H$504,MATCH(F1275&amp;"|"&amp;(A1275+1),'Zgłoszenia'!$S$5:$S$504,0)))&amp;IF(K1275&gt;1," (+"&amp;(K1275-1)&amp;")",""))</f>
        <v/>
      </c>
      <c r="M1275" s="63" t="n">
        <v>16</v>
      </c>
      <c r="N1275" s="2" t="n"/>
      <c r="O1275" s="2" t="n"/>
    </row>
    <row r="1276">
      <c r="A1276" s="62">
        <f>IF('16'!$C$1="","",'16'!$C$1)</f>
        <v/>
      </c>
      <c r="B1276" s="63">
        <f>Ustawienia!$A$10&amp;""</f>
        <v/>
      </c>
      <c r="C1276" s="63">
        <f>Ustawienia!$A$14&amp;""</f>
        <v/>
      </c>
      <c r="D1276" s="63" t="n">
        <v>6</v>
      </c>
      <c r="E1276" s="63">
        <f>IF('16'!J11="","",TRIM('16'!J11&amp;""))</f>
        <v/>
      </c>
      <c r="F1276" s="63">
        <f>IF('16'!K11="","",'16'!K11)</f>
        <v/>
      </c>
      <c r="G1276" s="63">
        <f>'16'!L11&amp;""</f>
        <v/>
      </c>
      <c r="H1276" s="63">
        <f>IF(OR(A1276="",F1276=""),"",F1276&amp;"|"&amp;A1276)</f>
        <v/>
      </c>
      <c r="I1276" s="63">
        <f>IF(AND(H1276&lt;&gt;"",OR('Historia wózka'!$B$4="",F1276='Historia wózka'!$B$4),A1276&gt;='Historia wózka'!$B$5,A1276&lt;='Historia wózka'!$B$6),A1276+0.7+(5000-ROW())/10000000,0)</f>
        <v/>
      </c>
      <c r="J1276" s="63">
        <f>Ustawienia!$B$10&amp;""</f>
        <v/>
      </c>
      <c r="K1276" s="63">
        <f>IF(H1276="","",COUNTIFS('Zgłoszenia'!$B$5:$B$504,F1276,'Zgłoszenia'!$D$5:$D$504,"&gt;="&amp;A1276,'Zgłoszenia'!$D$5:$D$504,"&lt;="&amp;(A1276+1)))</f>
        <v/>
      </c>
      <c r="L1276" s="63">
        <f>IF(OR(H1276="",K1276=0),"—",IF(ISNUMBER(MATCH(H1276,'Zgłoszenia'!$S$5:$S$504,0)),RIGHT("0"&amp;DAY(A1276),2)&amp;"."&amp;RIGHT("0"&amp;MONTH(A1276),2)&amp;"."&amp;YEAR(A1276)&amp;": "&amp;INDEX('Zgłoszenia'!$H$5:$H$504,MATCH(H1276,'Zgłoszenia'!$S$5:$S$504,0)),RIGHT("0"&amp;DAY((A1276+1)),2)&amp;"."&amp;RIGHT("0"&amp;MONTH((A1276+1)),2)&amp;"."&amp;YEAR((A1276+1))&amp;": "&amp;INDEX('Zgłoszenia'!$H$5:$H$504,MATCH(F1276&amp;"|"&amp;(A1276+1),'Zgłoszenia'!$S$5:$S$504,0)))&amp;IF(K1276&gt;1," (+"&amp;(K1276-1)&amp;")",""))</f>
        <v/>
      </c>
      <c r="M1276" s="63" t="n">
        <v>16</v>
      </c>
      <c r="N1276" s="2" t="n"/>
      <c r="O1276" s="2" t="n"/>
    </row>
    <row r="1277">
      <c r="A1277" s="62">
        <f>IF('16'!$C$1="","",'16'!$C$1)</f>
        <v/>
      </c>
      <c r="B1277" s="63">
        <f>Ustawienia!$A$10&amp;""</f>
        <v/>
      </c>
      <c r="C1277" s="63">
        <f>Ustawienia!$A$15&amp;""</f>
        <v/>
      </c>
      <c r="D1277" s="63" t="n">
        <v>1</v>
      </c>
      <c r="E1277" s="63">
        <f>IF('16'!J13="","",TRIM('16'!J13&amp;""))</f>
        <v/>
      </c>
      <c r="F1277" s="63">
        <f>IF('16'!K13="","",'16'!K13)</f>
        <v/>
      </c>
      <c r="G1277" s="63">
        <f>'16'!L13&amp;""</f>
        <v/>
      </c>
      <c r="H1277" s="63">
        <f>IF(OR(A1277="",F1277=""),"",F1277&amp;"|"&amp;A1277)</f>
        <v/>
      </c>
      <c r="I1277" s="63">
        <f>IF(AND(H1277&lt;&gt;"",OR('Historia wózka'!$B$4="",F1277='Historia wózka'!$B$4),A1277&gt;='Historia wózka'!$B$5,A1277&lt;='Historia wózka'!$B$6),A1277+0.7+(5000-ROW())/10000000,0)</f>
        <v/>
      </c>
      <c r="J1277" s="63">
        <f>Ustawienia!$B$10&amp;""</f>
        <v/>
      </c>
      <c r="K1277" s="63">
        <f>IF(H1277="","",COUNTIFS('Zgłoszenia'!$B$5:$B$504,F1277,'Zgłoszenia'!$D$5:$D$504,"&gt;="&amp;A1277,'Zgłoszenia'!$D$5:$D$504,"&lt;="&amp;(A1277+1)))</f>
        <v/>
      </c>
      <c r="L1277" s="63">
        <f>IF(OR(H1277="",K1277=0),"—",IF(ISNUMBER(MATCH(H1277,'Zgłoszenia'!$S$5:$S$504,0)),RIGHT("0"&amp;DAY(A1277),2)&amp;"."&amp;RIGHT("0"&amp;MONTH(A1277),2)&amp;"."&amp;YEAR(A1277)&amp;": "&amp;INDEX('Zgłoszenia'!$H$5:$H$504,MATCH(H1277,'Zgłoszenia'!$S$5:$S$504,0)),RIGHT("0"&amp;DAY((A1277+1)),2)&amp;"."&amp;RIGHT("0"&amp;MONTH((A1277+1)),2)&amp;"."&amp;YEAR((A1277+1))&amp;": "&amp;INDEX('Zgłoszenia'!$H$5:$H$504,MATCH(F1277&amp;"|"&amp;(A1277+1),'Zgłoszenia'!$S$5:$S$504,0)))&amp;IF(K1277&gt;1," (+"&amp;(K1277-1)&amp;")",""))</f>
        <v/>
      </c>
      <c r="M1277" s="63" t="n">
        <v>16</v>
      </c>
      <c r="N1277" s="2" t="n"/>
      <c r="O1277" s="2" t="n"/>
    </row>
    <row r="1278">
      <c r="A1278" s="62">
        <f>IF('16'!$C$1="","",'16'!$C$1)</f>
        <v/>
      </c>
      <c r="B1278" s="63">
        <f>Ustawienia!$A$10&amp;""</f>
        <v/>
      </c>
      <c r="C1278" s="63">
        <f>Ustawienia!$A$15&amp;""</f>
        <v/>
      </c>
      <c r="D1278" s="63" t="n">
        <v>2</v>
      </c>
      <c r="E1278" s="63">
        <f>IF('16'!J14="","",TRIM('16'!J14&amp;""))</f>
        <v/>
      </c>
      <c r="F1278" s="63">
        <f>IF('16'!K14="","",'16'!K14)</f>
        <v/>
      </c>
      <c r="G1278" s="63">
        <f>'16'!L14&amp;""</f>
        <v/>
      </c>
      <c r="H1278" s="63">
        <f>IF(OR(A1278="",F1278=""),"",F1278&amp;"|"&amp;A1278)</f>
        <v/>
      </c>
      <c r="I1278" s="63">
        <f>IF(AND(H1278&lt;&gt;"",OR('Historia wózka'!$B$4="",F1278='Historia wózka'!$B$4),A1278&gt;='Historia wózka'!$B$5,A1278&lt;='Historia wózka'!$B$6),A1278+0.7+(5000-ROW())/10000000,0)</f>
        <v/>
      </c>
      <c r="J1278" s="63">
        <f>Ustawienia!$B$10&amp;""</f>
        <v/>
      </c>
      <c r="K1278" s="63">
        <f>IF(H1278="","",COUNTIFS('Zgłoszenia'!$B$5:$B$504,F1278,'Zgłoszenia'!$D$5:$D$504,"&gt;="&amp;A1278,'Zgłoszenia'!$D$5:$D$504,"&lt;="&amp;(A1278+1)))</f>
        <v/>
      </c>
      <c r="L1278" s="63">
        <f>IF(OR(H1278="",K1278=0),"—",IF(ISNUMBER(MATCH(H1278,'Zgłoszenia'!$S$5:$S$504,0)),RIGHT("0"&amp;DAY(A1278),2)&amp;"."&amp;RIGHT("0"&amp;MONTH(A1278),2)&amp;"."&amp;YEAR(A1278)&amp;": "&amp;INDEX('Zgłoszenia'!$H$5:$H$504,MATCH(H1278,'Zgłoszenia'!$S$5:$S$504,0)),RIGHT("0"&amp;DAY((A1278+1)),2)&amp;"."&amp;RIGHT("0"&amp;MONTH((A1278+1)),2)&amp;"."&amp;YEAR((A1278+1))&amp;": "&amp;INDEX('Zgłoszenia'!$H$5:$H$504,MATCH(F1278&amp;"|"&amp;(A1278+1),'Zgłoszenia'!$S$5:$S$504,0)))&amp;IF(K1278&gt;1," (+"&amp;(K1278-1)&amp;")",""))</f>
        <v/>
      </c>
      <c r="M1278" s="63" t="n">
        <v>16</v>
      </c>
      <c r="N1278" s="2" t="n"/>
      <c r="O1278" s="2" t="n"/>
    </row>
    <row r="1279">
      <c r="A1279" s="62">
        <f>IF('16'!$C$1="","",'16'!$C$1)</f>
        <v/>
      </c>
      <c r="B1279" s="63">
        <f>Ustawienia!$A$10&amp;""</f>
        <v/>
      </c>
      <c r="C1279" s="63">
        <f>Ustawienia!$A$15&amp;""</f>
        <v/>
      </c>
      <c r="D1279" s="63" t="n">
        <v>3</v>
      </c>
      <c r="E1279" s="63">
        <f>IF('16'!J15="","",TRIM('16'!J15&amp;""))</f>
        <v/>
      </c>
      <c r="F1279" s="63">
        <f>IF('16'!K15="","",'16'!K15)</f>
        <v/>
      </c>
      <c r="G1279" s="63">
        <f>'16'!L15&amp;""</f>
        <v/>
      </c>
      <c r="H1279" s="63">
        <f>IF(OR(A1279="",F1279=""),"",F1279&amp;"|"&amp;A1279)</f>
        <v/>
      </c>
      <c r="I1279" s="63">
        <f>IF(AND(H1279&lt;&gt;"",OR('Historia wózka'!$B$4="",F1279='Historia wózka'!$B$4),A1279&gt;='Historia wózka'!$B$5,A1279&lt;='Historia wózka'!$B$6),A1279+0.7+(5000-ROW())/10000000,0)</f>
        <v/>
      </c>
      <c r="J1279" s="63">
        <f>Ustawienia!$B$10&amp;""</f>
        <v/>
      </c>
      <c r="K1279" s="63">
        <f>IF(H1279="","",COUNTIFS('Zgłoszenia'!$B$5:$B$504,F1279,'Zgłoszenia'!$D$5:$D$504,"&gt;="&amp;A1279,'Zgłoszenia'!$D$5:$D$504,"&lt;="&amp;(A1279+1)))</f>
        <v/>
      </c>
      <c r="L1279" s="63">
        <f>IF(OR(H1279="",K1279=0),"—",IF(ISNUMBER(MATCH(H1279,'Zgłoszenia'!$S$5:$S$504,0)),RIGHT("0"&amp;DAY(A1279),2)&amp;"."&amp;RIGHT("0"&amp;MONTH(A1279),2)&amp;"."&amp;YEAR(A1279)&amp;": "&amp;INDEX('Zgłoszenia'!$H$5:$H$504,MATCH(H1279,'Zgłoszenia'!$S$5:$S$504,0)),RIGHT("0"&amp;DAY((A1279+1)),2)&amp;"."&amp;RIGHT("0"&amp;MONTH((A1279+1)),2)&amp;"."&amp;YEAR((A1279+1))&amp;": "&amp;INDEX('Zgłoszenia'!$H$5:$H$504,MATCH(F1279&amp;"|"&amp;(A1279+1),'Zgłoszenia'!$S$5:$S$504,0)))&amp;IF(K1279&gt;1," (+"&amp;(K1279-1)&amp;")",""))</f>
        <v/>
      </c>
      <c r="M1279" s="63" t="n">
        <v>16</v>
      </c>
      <c r="N1279" s="2" t="n"/>
      <c r="O1279" s="2" t="n"/>
    </row>
    <row r="1280">
      <c r="A1280" s="62">
        <f>IF('16'!$C$1="","",'16'!$C$1)</f>
        <v/>
      </c>
      <c r="B1280" s="63">
        <f>Ustawienia!$A$10&amp;""</f>
        <v/>
      </c>
      <c r="C1280" s="63">
        <f>Ustawienia!$A$15&amp;""</f>
        <v/>
      </c>
      <c r="D1280" s="63" t="n">
        <v>4</v>
      </c>
      <c r="E1280" s="63">
        <f>IF('16'!J16="","",TRIM('16'!J16&amp;""))</f>
        <v/>
      </c>
      <c r="F1280" s="63">
        <f>IF('16'!K16="","",'16'!K16)</f>
        <v/>
      </c>
      <c r="G1280" s="63">
        <f>'16'!L16&amp;""</f>
        <v/>
      </c>
      <c r="H1280" s="63">
        <f>IF(OR(A1280="",F1280=""),"",F1280&amp;"|"&amp;A1280)</f>
        <v/>
      </c>
      <c r="I1280" s="63">
        <f>IF(AND(H1280&lt;&gt;"",OR('Historia wózka'!$B$4="",F1280='Historia wózka'!$B$4),A1280&gt;='Historia wózka'!$B$5,A1280&lt;='Historia wózka'!$B$6),A1280+0.7+(5000-ROW())/10000000,0)</f>
        <v/>
      </c>
      <c r="J1280" s="63">
        <f>Ustawienia!$B$10&amp;""</f>
        <v/>
      </c>
      <c r="K1280" s="63">
        <f>IF(H1280="","",COUNTIFS('Zgłoszenia'!$B$5:$B$504,F1280,'Zgłoszenia'!$D$5:$D$504,"&gt;="&amp;A1280,'Zgłoszenia'!$D$5:$D$504,"&lt;="&amp;(A1280+1)))</f>
        <v/>
      </c>
      <c r="L1280" s="63">
        <f>IF(OR(H1280="",K1280=0),"—",IF(ISNUMBER(MATCH(H1280,'Zgłoszenia'!$S$5:$S$504,0)),RIGHT("0"&amp;DAY(A1280),2)&amp;"."&amp;RIGHT("0"&amp;MONTH(A1280),2)&amp;"."&amp;YEAR(A1280)&amp;": "&amp;INDEX('Zgłoszenia'!$H$5:$H$504,MATCH(H1280,'Zgłoszenia'!$S$5:$S$504,0)),RIGHT("0"&amp;DAY((A1280+1)),2)&amp;"."&amp;RIGHT("0"&amp;MONTH((A1280+1)),2)&amp;"."&amp;YEAR((A1280+1))&amp;": "&amp;INDEX('Zgłoszenia'!$H$5:$H$504,MATCH(F1280&amp;"|"&amp;(A1280+1),'Zgłoszenia'!$S$5:$S$504,0)))&amp;IF(K1280&gt;1," (+"&amp;(K1280-1)&amp;")",""))</f>
        <v/>
      </c>
      <c r="M1280" s="63" t="n">
        <v>16</v>
      </c>
      <c r="N1280" s="2" t="n"/>
      <c r="O1280" s="2" t="n"/>
    </row>
    <row r="1281">
      <c r="A1281" s="62">
        <f>IF('16'!$C$1="","",'16'!$C$1)</f>
        <v/>
      </c>
      <c r="B1281" s="63">
        <f>Ustawienia!$A$10&amp;""</f>
        <v/>
      </c>
      <c r="C1281" s="63">
        <f>Ustawienia!$A$15&amp;""</f>
        <v/>
      </c>
      <c r="D1281" s="63" t="n">
        <v>5</v>
      </c>
      <c r="E1281" s="63">
        <f>IF('16'!J17="","",TRIM('16'!J17&amp;""))</f>
        <v/>
      </c>
      <c r="F1281" s="63">
        <f>IF('16'!K17="","",'16'!K17)</f>
        <v/>
      </c>
      <c r="G1281" s="63">
        <f>'16'!L17&amp;""</f>
        <v/>
      </c>
      <c r="H1281" s="63">
        <f>IF(OR(A1281="",F1281=""),"",F1281&amp;"|"&amp;A1281)</f>
        <v/>
      </c>
      <c r="I1281" s="63">
        <f>IF(AND(H1281&lt;&gt;"",OR('Historia wózka'!$B$4="",F1281='Historia wózka'!$B$4),A1281&gt;='Historia wózka'!$B$5,A1281&lt;='Historia wózka'!$B$6),A1281+0.7+(5000-ROW())/10000000,0)</f>
        <v/>
      </c>
      <c r="J1281" s="63">
        <f>Ustawienia!$B$10&amp;""</f>
        <v/>
      </c>
      <c r="K1281" s="63">
        <f>IF(H1281="","",COUNTIFS('Zgłoszenia'!$B$5:$B$504,F1281,'Zgłoszenia'!$D$5:$D$504,"&gt;="&amp;A1281,'Zgłoszenia'!$D$5:$D$504,"&lt;="&amp;(A1281+1)))</f>
        <v/>
      </c>
      <c r="L1281" s="63">
        <f>IF(OR(H1281="",K1281=0),"—",IF(ISNUMBER(MATCH(H1281,'Zgłoszenia'!$S$5:$S$504,0)),RIGHT("0"&amp;DAY(A1281),2)&amp;"."&amp;RIGHT("0"&amp;MONTH(A1281),2)&amp;"."&amp;YEAR(A1281)&amp;": "&amp;INDEX('Zgłoszenia'!$H$5:$H$504,MATCH(H1281,'Zgłoszenia'!$S$5:$S$504,0)),RIGHT("0"&amp;DAY((A1281+1)),2)&amp;"."&amp;RIGHT("0"&amp;MONTH((A1281+1)),2)&amp;"."&amp;YEAR((A1281+1))&amp;": "&amp;INDEX('Zgłoszenia'!$H$5:$H$504,MATCH(F1281&amp;"|"&amp;(A1281+1),'Zgłoszenia'!$S$5:$S$504,0)))&amp;IF(K1281&gt;1," (+"&amp;(K1281-1)&amp;")",""))</f>
        <v/>
      </c>
      <c r="M1281" s="63" t="n">
        <v>16</v>
      </c>
      <c r="N1281" s="2" t="n"/>
      <c r="O1281" s="2" t="n"/>
    </row>
    <row r="1282">
      <c r="A1282" s="62">
        <f>IF('16'!$C$1="","",'16'!$C$1)</f>
        <v/>
      </c>
      <c r="B1282" s="63">
        <f>Ustawienia!$A$10&amp;""</f>
        <v/>
      </c>
      <c r="C1282" s="63">
        <f>Ustawienia!$A$15&amp;""</f>
        <v/>
      </c>
      <c r="D1282" s="63" t="n">
        <v>6</v>
      </c>
      <c r="E1282" s="63">
        <f>IF('16'!J18="","",TRIM('16'!J18&amp;""))</f>
        <v/>
      </c>
      <c r="F1282" s="63">
        <f>IF('16'!K18="","",'16'!K18)</f>
        <v/>
      </c>
      <c r="G1282" s="63">
        <f>'16'!L18&amp;""</f>
        <v/>
      </c>
      <c r="H1282" s="63">
        <f>IF(OR(A1282="",F1282=""),"",F1282&amp;"|"&amp;A1282)</f>
        <v/>
      </c>
      <c r="I1282" s="63">
        <f>IF(AND(H1282&lt;&gt;"",OR('Historia wózka'!$B$4="",F1282='Historia wózka'!$B$4),A1282&gt;='Historia wózka'!$B$5,A1282&lt;='Historia wózka'!$B$6),A1282+0.7+(5000-ROW())/10000000,0)</f>
        <v/>
      </c>
      <c r="J1282" s="63">
        <f>Ustawienia!$B$10&amp;""</f>
        <v/>
      </c>
      <c r="K1282" s="63">
        <f>IF(H1282="","",COUNTIFS('Zgłoszenia'!$B$5:$B$504,F1282,'Zgłoszenia'!$D$5:$D$504,"&gt;="&amp;A1282,'Zgłoszenia'!$D$5:$D$504,"&lt;="&amp;(A1282+1)))</f>
        <v/>
      </c>
      <c r="L1282" s="63">
        <f>IF(OR(H1282="",K1282=0),"—",IF(ISNUMBER(MATCH(H1282,'Zgłoszenia'!$S$5:$S$504,0)),RIGHT("0"&amp;DAY(A1282),2)&amp;"."&amp;RIGHT("0"&amp;MONTH(A1282),2)&amp;"."&amp;YEAR(A1282)&amp;": "&amp;INDEX('Zgłoszenia'!$H$5:$H$504,MATCH(H1282,'Zgłoszenia'!$S$5:$S$504,0)),RIGHT("0"&amp;DAY((A1282+1)),2)&amp;"."&amp;RIGHT("0"&amp;MONTH((A1282+1)),2)&amp;"."&amp;YEAR((A1282+1))&amp;": "&amp;INDEX('Zgłoszenia'!$H$5:$H$504,MATCH(F1282&amp;"|"&amp;(A1282+1),'Zgłoszenia'!$S$5:$S$504,0)))&amp;IF(K1282&gt;1," (+"&amp;(K1282-1)&amp;")",""))</f>
        <v/>
      </c>
      <c r="M1282" s="63" t="n">
        <v>16</v>
      </c>
      <c r="N1282" s="2" t="n"/>
      <c r="O1282" s="2" t="n"/>
    </row>
    <row r="1283">
      <c r="A1283" s="62">
        <f>IF('16'!$C$1="","",'16'!$C$1)</f>
        <v/>
      </c>
      <c r="B1283" s="63">
        <f>Ustawienia!$A$10&amp;""</f>
        <v/>
      </c>
      <c r="C1283" s="63">
        <f>Ustawienia!$A$15&amp;""</f>
        <v/>
      </c>
      <c r="D1283" s="63" t="n">
        <v>7</v>
      </c>
      <c r="E1283" s="63">
        <f>IF('16'!J19="","",TRIM('16'!J19&amp;""))</f>
        <v/>
      </c>
      <c r="F1283" s="63">
        <f>IF('16'!K19="","",'16'!K19)</f>
        <v/>
      </c>
      <c r="G1283" s="63">
        <f>'16'!L19&amp;""</f>
        <v/>
      </c>
      <c r="H1283" s="63">
        <f>IF(OR(A1283="",F1283=""),"",F1283&amp;"|"&amp;A1283)</f>
        <v/>
      </c>
      <c r="I1283" s="63">
        <f>IF(AND(H1283&lt;&gt;"",OR('Historia wózka'!$B$4="",F1283='Historia wózka'!$B$4),A1283&gt;='Historia wózka'!$B$5,A1283&lt;='Historia wózka'!$B$6),A1283+0.7+(5000-ROW())/10000000,0)</f>
        <v/>
      </c>
      <c r="J1283" s="63">
        <f>Ustawienia!$B$10&amp;""</f>
        <v/>
      </c>
      <c r="K1283" s="63">
        <f>IF(H1283="","",COUNTIFS('Zgłoszenia'!$B$5:$B$504,F1283,'Zgłoszenia'!$D$5:$D$504,"&gt;="&amp;A1283,'Zgłoszenia'!$D$5:$D$504,"&lt;="&amp;(A1283+1)))</f>
        <v/>
      </c>
      <c r="L1283" s="63">
        <f>IF(OR(H1283="",K1283=0),"—",IF(ISNUMBER(MATCH(H1283,'Zgłoszenia'!$S$5:$S$504,0)),RIGHT("0"&amp;DAY(A1283),2)&amp;"."&amp;RIGHT("0"&amp;MONTH(A1283),2)&amp;"."&amp;YEAR(A1283)&amp;": "&amp;INDEX('Zgłoszenia'!$H$5:$H$504,MATCH(H1283,'Zgłoszenia'!$S$5:$S$504,0)),RIGHT("0"&amp;DAY((A1283+1)),2)&amp;"."&amp;RIGHT("0"&amp;MONTH((A1283+1)),2)&amp;"."&amp;YEAR((A1283+1))&amp;": "&amp;INDEX('Zgłoszenia'!$H$5:$H$504,MATCH(F1283&amp;"|"&amp;(A1283+1),'Zgłoszenia'!$S$5:$S$504,0)))&amp;IF(K1283&gt;1," (+"&amp;(K1283-1)&amp;")",""))</f>
        <v/>
      </c>
      <c r="M1283" s="63" t="n">
        <v>16</v>
      </c>
      <c r="N1283" s="2" t="n"/>
      <c r="O1283" s="2" t="n"/>
    </row>
    <row r="1284">
      <c r="A1284" s="62">
        <f>IF('16'!$C$1="","",'16'!$C$1)</f>
        <v/>
      </c>
      <c r="B1284" s="63">
        <f>Ustawienia!$A$10&amp;""</f>
        <v/>
      </c>
      <c r="C1284" s="63">
        <f>Ustawienia!$A$15&amp;""</f>
        <v/>
      </c>
      <c r="D1284" s="63" t="n">
        <v>8</v>
      </c>
      <c r="E1284" s="63">
        <f>IF('16'!J20="","",TRIM('16'!J20&amp;""))</f>
        <v/>
      </c>
      <c r="F1284" s="63">
        <f>IF('16'!K20="","",'16'!K20)</f>
        <v/>
      </c>
      <c r="G1284" s="63">
        <f>'16'!L20&amp;""</f>
        <v/>
      </c>
      <c r="H1284" s="63">
        <f>IF(OR(A1284="",F1284=""),"",F1284&amp;"|"&amp;A1284)</f>
        <v/>
      </c>
      <c r="I1284" s="63">
        <f>IF(AND(H1284&lt;&gt;"",OR('Historia wózka'!$B$4="",F1284='Historia wózka'!$B$4),A1284&gt;='Historia wózka'!$B$5,A1284&lt;='Historia wózka'!$B$6),A1284+0.7+(5000-ROW())/10000000,0)</f>
        <v/>
      </c>
      <c r="J1284" s="63">
        <f>Ustawienia!$B$10&amp;""</f>
        <v/>
      </c>
      <c r="K1284" s="63">
        <f>IF(H1284="","",COUNTIFS('Zgłoszenia'!$B$5:$B$504,F1284,'Zgłoszenia'!$D$5:$D$504,"&gt;="&amp;A1284,'Zgłoszenia'!$D$5:$D$504,"&lt;="&amp;(A1284+1)))</f>
        <v/>
      </c>
      <c r="L1284" s="63">
        <f>IF(OR(H1284="",K1284=0),"—",IF(ISNUMBER(MATCH(H1284,'Zgłoszenia'!$S$5:$S$504,0)),RIGHT("0"&amp;DAY(A1284),2)&amp;"."&amp;RIGHT("0"&amp;MONTH(A1284),2)&amp;"."&amp;YEAR(A1284)&amp;": "&amp;INDEX('Zgłoszenia'!$H$5:$H$504,MATCH(H1284,'Zgłoszenia'!$S$5:$S$504,0)),RIGHT("0"&amp;DAY((A1284+1)),2)&amp;"."&amp;RIGHT("0"&amp;MONTH((A1284+1)),2)&amp;"."&amp;YEAR((A1284+1))&amp;": "&amp;INDEX('Zgłoszenia'!$H$5:$H$504,MATCH(F1284&amp;"|"&amp;(A1284+1),'Zgłoszenia'!$S$5:$S$504,0)))&amp;IF(K1284&gt;1," (+"&amp;(K1284-1)&amp;")",""))</f>
        <v/>
      </c>
      <c r="M1284" s="63" t="n">
        <v>16</v>
      </c>
      <c r="N1284" s="2" t="n"/>
      <c r="O1284" s="2" t="n"/>
    </row>
    <row r="1285">
      <c r="A1285" s="62">
        <f>IF('16'!$C$1="","",'16'!$C$1)</f>
        <v/>
      </c>
      <c r="B1285" s="63">
        <f>Ustawienia!$A$10&amp;""</f>
        <v/>
      </c>
      <c r="C1285" s="63">
        <f>Ustawienia!$A$16&amp;""</f>
        <v/>
      </c>
      <c r="D1285" s="63" t="n">
        <v>1</v>
      </c>
      <c r="E1285" s="63">
        <f>IF('16'!J22="","",TRIM('16'!J22&amp;""))</f>
        <v/>
      </c>
      <c r="F1285" s="63">
        <f>IF('16'!K22="","",'16'!K22)</f>
        <v/>
      </c>
      <c r="G1285" s="63">
        <f>'16'!L22&amp;""</f>
        <v/>
      </c>
      <c r="H1285" s="63">
        <f>IF(OR(A1285="",F1285=""),"",F1285&amp;"|"&amp;A1285)</f>
        <v/>
      </c>
      <c r="I1285" s="63">
        <f>IF(AND(H1285&lt;&gt;"",OR('Historia wózka'!$B$4="",F1285='Historia wózka'!$B$4),A1285&gt;='Historia wózka'!$B$5,A1285&lt;='Historia wózka'!$B$6),A1285+0.7+(5000-ROW())/10000000,0)</f>
        <v/>
      </c>
      <c r="J1285" s="63">
        <f>Ustawienia!$B$10&amp;""</f>
        <v/>
      </c>
      <c r="K1285" s="63">
        <f>IF(H1285="","",COUNTIFS('Zgłoszenia'!$B$5:$B$504,F1285,'Zgłoszenia'!$D$5:$D$504,"&gt;="&amp;A1285,'Zgłoszenia'!$D$5:$D$504,"&lt;="&amp;(A1285+1)))</f>
        <v/>
      </c>
      <c r="L1285" s="63">
        <f>IF(OR(H1285="",K1285=0),"—",IF(ISNUMBER(MATCH(H1285,'Zgłoszenia'!$S$5:$S$504,0)),RIGHT("0"&amp;DAY(A1285),2)&amp;"."&amp;RIGHT("0"&amp;MONTH(A1285),2)&amp;"."&amp;YEAR(A1285)&amp;": "&amp;INDEX('Zgłoszenia'!$H$5:$H$504,MATCH(H1285,'Zgłoszenia'!$S$5:$S$504,0)),RIGHT("0"&amp;DAY((A1285+1)),2)&amp;"."&amp;RIGHT("0"&amp;MONTH((A1285+1)),2)&amp;"."&amp;YEAR((A1285+1))&amp;": "&amp;INDEX('Zgłoszenia'!$H$5:$H$504,MATCH(F1285&amp;"|"&amp;(A1285+1),'Zgłoszenia'!$S$5:$S$504,0)))&amp;IF(K1285&gt;1," (+"&amp;(K1285-1)&amp;")",""))</f>
        <v/>
      </c>
      <c r="M1285" s="63" t="n">
        <v>16</v>
      </c>
      <c r="N1285" s="2" t="n"/>
      <c r="O1285" s="2" t="n"/>
    </row>
    <row r="1286">
      <c r="A1286" s="62">
        <f>IF('16'!$C$1="","",'16'!$C$1)</f>
        <v/>
      </c>
      <c r="B1286" s="63">
        <f>Ustawienia!$A$10&amp;""</f>
        <v/>
      </c>
      <c r="C1286" s="63">
        <f>Ustawienia!$A$16&amp;""</f>
        <v/>
      </c>
      <c r="D1286" s="63" t="n">
        <v>2</v>
      </c>
      <c r="E1286" s="63">
        <f>IF('16'!J23="","",TRIM('16'!J23&amp;""))</f>
        <v/>
      </c>
      <c r="F1286" s="63">
        <f>IF('16'!K23="","",'16'!K23)</f>
        <v/>
      </c>
      <c r="G1286" s="63">
        <f>'16'!L23&amp;""</f>
        <v/>
      </c>
      <c r="H1286" s="63">
        <f>IF(OR(A1286="",F1286=""),"",F1286&amp;"|"&amp;A1286)</f>
        <v/>
      </c>
      <c r="I1286" s="63">
        <f>IF(AND(H1286&lt;&gt;"",OR('Historia wózka'!$B$4="",F1286='Historia wózka'!$B$4),A1286&gt;='Historia wózka'!$B$5,A1286&lt;='Historia wózka'!$B$6),A1286+0.7+(5000-ROW())/10000000,0)</f>
        <v/>
      </c>
      <c r="J1286" s="63">
        <f>Ustawienia!$B$10&amp;""</f>
        <v/>
      </c>
      <c r="K1286" s="63">
        <f>IF(H1286="","",COUNTIFS('Zgłoszenia'!$B$5:$B$504,F1286,'Zgłoszenia'!$D$5:$D$504,"&gt;="&amp;A1286,'Zgłoszenia'!$D$5:$D$504,"&lt;="&amp;(A1286+1)))</f>
        <v/>
      </c>
      <c r="L1286" s="63">
        <f>IF(OR(H1286="",K1286=0),"—",IF(ISNUMBER(MATCH(H1286,'Zgłoszenia'!$S$5:$S$504,0)),RIGHT("0"&amp;DAY(A1286),2)&amp;"."&amp;RIGHT("0"&amp;MONTH(A1286),2)&amp;"."&amp;YEAR(A1286)&amp;": "&amp;INDEX('Zgłoszenia'!$H$5:$H$504,MATCH(H1286,'Zgłoszenia'!$S$5:$S$504,0)),RIGHT("0"&amp;DAY((A1286+1)),2)&amp;"."&amp;RIGHT("0"&amp;MONTH((A1286+1)),2)&amp;"."&amp;YEAR((A1286+1))&amp;": "&amp;INDEX('Zgłoszenia'!$H$5:$H$504,MATCH(F1286&amp;"|"&amp;(A1286+1),'Zgłoszenia'!$S$5:$S$504,0)))&amp;IF(K1286&gt;1," (+"&amp;(K1286-1)&amp;")",""))</f>
        <v/>
      </c>
      <c r="M1286" s="63" t="n">
        <v>16</v>
      </c>
      <c r="N1286" s="2" t="n"/>
      <c r="O1286" s="2" t="n"/>
    </row>
    <row r="1287">
      <c r="A1287" s="62">
        <f>IF('16'!$C$1="","",'16'!$C$1)</f>
        <v/>
      </c>
      <c r="B1287" s="63">
        <f>Ustawienia!$A$10&amp;""</f>
        <v/>
      </c>
      <c r="C1287" s="63">
        <f>Ustawienia!$A$16&amp;""</f>
        <v/>
      </c>
      <c r="D1287" s="63" t="n">
        <v>3</v>
      </c>
      <c r="E1287" s="63">
        <f>IF('16'!J24="","",TRIM('16'!J24&amp;""))</f>
        <v/>
      </c>
      <c r="F1287" s="63">
        <f>IF('16'!K24="","",'16'!K24)</f>
        <v/>
      </c>
      <c r="G1287" s="63">
        <f>'16'!L24&amp;""</f>
        <v/>
      </c>
      <c r="H1287" s="63">
        <f>IF(OR(A1287="",F1287=""),"",F1287&amp;"|"&amp;A1287)</f>
        <v/>
      </c>
      <c r="I1287" s="63">
        <f>IF(AND(H1287&lt;&gt;"",OR('Historia wózka'!$B$4="",F1287='Historia wózka'!$B$4),A1287&gt;='Historia wózka'!$B$5,A1287&lt;='Historia wózka'!$B$6),A1287+0.7+(5000-ROW())/10000000,0)</f>
        <v/>
      </c>
      <c r="J1287" s="63">
        <f>Ustawienia!$B$10&amp;""</f>
        <v/>
      </c>
      <c r="K1287" s="63">
        <f>IF(H1287="","",COUNTIFS('Zgłoszenia'!$B$5:$B$504,F1287,'Zgłoszenia'!$D$5:$D$504,"&gt;="&amp;A1287,'Zgłoszenia'!$D$5:$D$504,"&lt;="&amp;(A1287+1)))</f>
        <v/>
      </c>
      <c r="L1287" s="63">
        <f>IF(OR(H1287="",K1287=0),"—",IF(ISNUMBER(MATCH(H1287,'Zgłoszenia'!$S$5:$S$504,0)),RIGHT("0"&amp;DAY(A1287),2)&amp;"."&amp;RIGHT("0"&amp;MONTH(A1287),2)&amp;"."&amp;YEAR(A1287)&amp;": "&amp;INDEX('Zgłoszenia'!$H$5:$H$504,MATCH(H1287,'Zgłoszenia'!$S$5:$S$504,0)),RIGHT("0"&amp;DAY((A1287+1)),2)&amp;"."&amp;RIGHT("0"&amp;MONTH((A1287+1)),2)&amp;"."&amp;YEAR((A1287+1))&amp;": "&amp;INDEX('Zgłoszenia'!$H$5:$H$504,MATCH(F1287&amp;"|"&amp;(A1287+1),'Zgłoszenia'!$S$5:$S$504,0)))&amp;IF(K1287&gt;1," (+"&amp;(K1287-1)&amp;")",""))</f>
        <v/>
      </c>
      <c r="M1287" s="63" t="n">
        <v>16</v>
      </c>
      <c r="N1287" s="2" t="n"/>
      <c r="O1287" s="2" t="n"/>
    </row>
    <row r="1288">
      <c r="A1288" s="62">
        <f>IF('16'!$C$1="","",'16'!$C$1)</f>
        <v/>
      </c>
      <c r="B1288" s="63">
        <f>Ustawienia!$A$10&amp;""</f>
        <v/>
      </c>
      <c r="C1288" s="63">
        <f>Ustawienia!$A$16&amp;""</f>
        <v/>
      </c>
      <c r="D1288" s="63" t="n">
        <v>4</v>
      </c>
      <c r="E1288" s="63">
        <f>IF('16'!J25="","",TRIM('16'!J25&amp;""))</f>
        <v/>
      </c>
      <c r="F1288" s="63">
        <f>IF('16'!K25="","",'16'!K25)</f>
        <v/>
      </c>
      <c r="G1288" s="63">
        <f>'16'!L25&amp;""</f>
        <v/>
      </c>
      <c r="H1288" s="63">
        <f>IF(OR(A1288="",F1288=""),"",F1288&amp;"|"&amp;A1288)</f>
        <v/>
      </c>
      <c r="I1288" s="63">
        <f>IF(AND(H1288&lt;&gt;"",OR('Historia wózka'!$B$4="",F1288='Historia wózka'!$B$4),A1288&gt;='Historia wózka'!$B$5,A1288&lt;='Historia wózka'!$B$6),A1288+0.7+(5000-ROW())/10000000,0)</f>
        <v/>
      </c>
      <c r="J1288" s="63">
        <f>Ustawienia!$B$10&amp;""</f>
        <v/>
      </c>
      <c r="K1288" s="63">
        <f>IF(H1288="","",COUNTIFS('Zgłoszenia'!$B$5:$B$504,F1288,'Zgłoszenia'!$D$5:$D$504,"&gt;="&amp;A1288,'Zgłoszenia'!$D$5:$D$504,"&lt;="&amp;(A1288+1)))</f>
        <v/>
      </c>
      <c r="L1288" s="63">
        <f>IF(OR(H1288="",K1288=0),"—",IF(ISNUMBER(MATCH(H1288,'Zgłoszenia'!$S$5:$S$504,0)),RIGHT("0"&amp;DAY(A1288),2)&amp;"."&amp;RIGHT("0"&amp;MONTH(A1288),2)&amp;"."&amp;YEAR(A1288)&amp;": "&amp;INDEX('Zgłoszenia'!$H$5:$H$504,MATCH(H1288,'Zgłoszenia'!$S$5:$S$504,0)),RIGHT("0"&amp;DAY((A1288+1)),2)&amp;"."&amp;RIGHT("0"&amp;MONTH((A1288+1)),2)&amp;"."&amp;YEAR((A1288+1))&amp;": "&amp;INDEX('Zgłoszenia'!$H$5:$H$504,MATCH(F1288&amp;"|"&amp;(A1288+1),'Zgłoszenia'!$S$5:$S$504,0)))&amp;IF(K1288&gt;1," (+"&amp;(K1288-1)&amp;")",""))</f>
        <v/>
      </c>
      <c r="M1288" s="63" t="n">
        <v>16</v>
      </c>
      <c r="N1288" s="2" t="n"/>
      <c r="O1288" s="2" t="n"/>
    </row>
    <row r="1289">
      <c r="A1289" s="62">
        <f>IF('16'!$C$1="","",'16'!$C$1)</f>
        <v/>
      </c>
      <c r="B1289" s="63">
        <f>Ustawienia!$A$10&amp;""</f>
        <v/>
      </c>
      <c r="C1289" s="63">
        <f>Ustawienia!$A$17&amp;""</f>
        <v/>
      </c>
      <c r="D1289" s="63" t="n">
        <v>1</v>
      </c>
      <c r="E1289" s="63">
        <f>IF('16'!J27="","",TRIM('16'!J27&amp;""))</f>
        <v/>
      </c>
      <c r="F1289" s="63">
        <f>IF('16'!K27="","",'16'!K27)</f>
        <v/>
      </c>
      <c r="G1289" s="63">
        <f>'16'!L27&amp;""</f>
        <v/>
      </c>
      <c r="H1289" s="63">
        <f>IF(OR(A1289="",F1289=""),"",F1289&amp;"|"&amp;A1289)</f>
        <v/>
      </c>
      <c r="I1289" s="63">
        <f>IF(AND(H1289&lt;&gt;"",OR('Historia wózka'!$B$4="",F1289='Historia wózka'!$B$4),A1289&gt;='Historia wózka'!$B$5,A1289&lt;='Historia wózka'!$B$6),A1289+0.7+(5000-ROW())/10000000,0)</f>
        <v/>
      </c>
      <c r="J1289" s="63">
        <f>Ustawienia!$B$10&amp;""</f>
        <v/>
      </c>
      <c r="K1289" s="63">
        <f>IF(H1289="","",COUNTIFS('Zgłoszenia'!$B$5:$B$504,F1289,'Zgłoszenia'!$D$5:$D$504,"&gt;="&amp;A1289,'Zgłoszenia'!$D$5:$D$504,"&lt;="&amp;(A1289+1)))</f>
        <v/>
      </c>
      <c r="L1289" s="63">
        <f>IF(OR(H1289="",K1289=0),"—",IF(ISNUMBER(MATCH(H1289,'Zgłoszenia'!$S$5:$S$504,0)),RIGHT("0"&amp;DAY(A1289),2)&amp;"."&amp;RIGHT("0"&amp;MONTH(A1289),2)&amp;"."&amp;YEAR(A1289)&amp;": "&amp;INDEX('Zgłoszenia'!$H$5:$H$504,MATCH(H1289,'Zgłoszenia'!$S$5:$S$504,0)),RIGHT("0"&amp;DAY((A1289+1)),2)&amp;"."&amp;RIGHT("0"&amp;MONTH((A1289+1)),2)&amp;"."&amp;YEAR((A1289+1))&amp;": "&amp;INDEX('Zgłoszenia'!$H$5:$H$504,MATCH(F1289&amp;"|"&amp;(A1289+1),'Zgłoszenia'!$S$5:$S$504,0)))&amp;IF(K1289&gt;1," (+"&amp;(K1289-1)&amp;")",""))</f>
        <v/>
      </c>
      <c r="M1289" s="63" t="n">
        <v>16</v>
      </c>
      <c r="N1289" s="2" t="n"/>
      <c r="O1289" s="2" t="n"/>
    </row>
    <row r="1290">
      <c r="A1290" s="62">
        <f>IF('16'!$C$1="","",'16'!$C$1)</f>
        <v/>
      </c>
      <c r="B1290" s="63">
        <f>Ustawienia!$A$10&amp;""</f>
        <v/>
      </c>
      <c r="C1290" s="63">
        <f>Ustawienia!$A$17&amp;""</f>
        <v/>
      </c>
      <c r="D1290" s="63" t="n">
        <v>2</v>
      </c>
      <c r="E1290" s="63">
        <f>IF('16'!J28="","",TRIM('16'!J28&amp;""))</f>
        <v/>
      </c>
      <c r="F1290" s="63">
        <f>IF('16'!K28="","",'16'!K28)</f>
        <v/>
      </c>
      <c r="G1290" s="63">
        <f>'16'!L28&amp;""</f>
        <v/>
      </c>
      <c r="H1290" s="63">
        <f>IF(OR(A1290="",F1290=""),"",F1290&amp;"|"&amp;A1290)</f>
        <v/>
      </c>
      <c r="I1290" s="63">
        <f>IF(AND(H1290&lt;&gt;"",OR('Historia wózka'!$B$4="",F1290='Historia wózka'!$B$4),A1290&gt;='Historia wózka'!$B$5,A1290&lt;='Historia wózka'!$B$6),A1290+0.7+(5000-ROW())/10000000,0)</f>
        <v/>
      </c>
      <c r="J1290" s="63">
        <f>Ustawienia!$B$10&amp;""</f>
        <v/>
      </c>
      <c r="K1290" s="63">
        <f>IF(H1290="","",COUNTIFS('Zgłoszenia'!$B$5:$B$504,F1290,'Zgłoszenia'!$D$5:$D$504,"&gt;="&amp;A1290,'Zgłoszenia'!$D$5:$D$504,"&lt;="&amp;(A1290+1)))</f>
        <v/>
      </c>
      <c r="L1290" s="63">
        <f>IF(OR(H1290="",K1290=0),"—",IF(ISNUMBER(MATCH(H1290,'Zgłoszenia'!$S$5:$S$504,0)),RIGHT("0"&amp;DAY(A1290),2)&amp;"."&amp;RIGHT("0"&amp;MONTH(A1290),2)&amp;"."&amp;YEAR(A1290)&amp;": "&amp;INDEX('Zgłoszenia'!$H$5:$H$504,MATCH(H1290,'Zgłoszenia'!$S$5:$S$504,0)),RIGHT("0"&amp;DAY((A1290+1)),2)&amp;"."&amp;RIGHT("0"&amp;MONTH((A1290+1)),2)&amp;"."&amp;YEAR((A1290+1))&amp;": "&amp;INDEX('Zgłoszenia'!$H$5:$H$504,MATCH(F1290&amp;"|"&amp;(A1290+1),'Zgłoszenia'!$S$5:$S$504,0)))&amp;IF(K1290&gt;1," (+"&amp;(K1290-1)&amp;")",""))</f>
        <v/>
      </c>
      <c r="M1290" s="63" t="n">
        <v>16</v>
      </c>
      <c r="N1290" s="2" t="n"/>
      <c r="O1290" s="2" t="n"/>
    </row>
    <row r="1291">
      <c r="A1291" s="62">
        <f>IF('16'!$C$1="","",'16'!$C$1)</f>
        <v/>
      </c>
      <c r="B1291" s="63">
        <f>Ustawienia!$A$10&amp;""</f>
        <v/>
      </c>
      <c r="C1291" s="63">
        <f>Ustawienia!$A$17&amp;""</f>
        <v/>
      </c>
      <c r="D1291" s="63" t="n">
        <v>3</v>
      </c>
      <c r="E1291" s="63">
        <f>IF('16'!J29="","",TRIM('16'!J29&amp;""))</f>
        <v/>
      </c>
      <c r="F1291" s="63">
        <f>IF('16'!K29="","",'16'!K29)</f>
        <v/>
      </c>
      <c r="G1291" s="63">
        <f>'16'!L29&amp;""</f>
        <v/>
      </c>
      <c r="H1291" s="63">
        <f>IF(OR(A1291="",F1291=""),"",F1291&amp;"|"&amp;A1291)</f>
        <v/>
      </c>
      <c r="I1291" s="63">
        <f>IF(AND(H1291&lt;&gt;"",OR('Historia wózka'!$B$4="",F1291='Historia wózka'!$B$4),A1291&gt;='Historia wózka'!$B$5,A1291&lt;='Historia wózka'!$B$6),A1291+0.7+(5000-ROW())/10000000,0)</f>
        <v/>
      </c>
      <c r="J1291" s="63">
        <f>Ustawienia!$B$10&amp;""</f>
        <v/>
      </c>
      <c r="K1291" s="63">
        <f>IF(H1291="","",COUNTIFS('Zgłoszenia'!$B$5:$B$504,F1291,'Zgłoszenia'!$D$5:$D$504,"&gt;="&amp;A1291,'Zgłoszenia'!$D$5:$D$504,"&lt;="&amp;(A1291+1)))</f>
        <v/>
      </c>
      <c r="L1291" s="63">
        <f>IF(OR(H1291="",K1291=0),"—",IF(ISNUMBER(MATCH(H1291,'Zgłoszenia'!$S$5:$S$504,0)),RIGHT("0"&amp;DAY(A1291),2)&amp;"."&amp;RIGHT("0"&amp;MONTH(A1291),2)&amp;"."&amp;YEAR(A1291)&amp;": "&amp;INDEX('Zgłoszenia'!$H$5:$H$504,MATCH(H1291,'Zgłoszenia'!$S$5:$S$504,0)),RIGHT("0"&amp;DAY((A1291+1)),2)&amp;"."&amp;RIGHT("0"&amp;MONTH((A1291+1)),2)&amp;"."&amp;YEAR((A1291+1))&amp;": "&amp;INDEX('Zgłoszenia'!$H$5:$H$504,MATCH(F1291&amp;"|"&amp;(A1291+1),'Zgłoszenia'!$S$5:$S$504,0)))&amp;IF(K1291&gt;1," (+"&amp;(K1291-1)&amp;")",""))</f>
        <v/>
      </c>
      <c r="M1291" s="63" t="n">
        <v>16</v>
      </c>
      <c r="N1291" s="2" t="n"/>
      <c r="O1291" s="2" t="n"/>
    </row>
    <row r="1292">
      <c r="A1292" s="62">
        <f>IF('16'!$C$1="","",'16'!$C$1)</f>
        <v/>
      </c>
      <c r="B1292" s="63">
        <f>Ustawienia!$A$10&amp;""</f>
        <v/>
      </c>
      <c r="C1292" s="63">
        <f>Ustawienia!$A$17&amp;""</f>
        <v/>
      </c>
      <c r="D1292" s="63" t="n">
        <v>4</v>
      </c>
      <c r="E1292" s="63">
        <f>IF('16'!J30="","",TRIM('16'!J30&amp;""))</f>
        <v/>
      </c>
      <c r="F1292" s="63">
        <f>IF('16'!K30="","",'16'!K30)</f>
        <v/>
      </c>
      <c r="G1292" s="63">
        <f>'16'!L30&amp;""</f>
        <v/>
      </c>
      <c r="H1292" s="63">
        <f>IF(OR(A1292="",F1292=""),"",F1292&amp;"|"&amp;A1292)</f>
        <v/>
      </c>
      <c r="I1292" s="63">
        <f>IF(AND(H1292&lt;&gt;"",OR('Historia wózka'!$B$4="",F1292='Historia wózka'!$B$4),A1292&gt;='Historia wózka'!$B$5,A1292&lt;='Historia wózka'!$B$6),A1292+0.7+(5000-ROW())/10000000,0)</f>
        <v/>
      </c>
      <c r="J1292" s="63">
        <f>Ustawienia!$B$10&amp;""</f>
        <v/>
      </c>
      <c r="K1292" s="63">
        <f>IF(H1292="","",COUNTIFS('Zgłoszenia'!$B$5:$B$504,F1292,'Zgłoszenia'!$D$5:$D$504,"&gt;="&amp;A1292,'Zgłoszenia'!$D$5:$D$504,"&lt;="&amp;(A1292+1)))</f>
        <v/>
      </c>
      <c r="L1292" s="63">
        <f>IF(OR(H1292="",K1292=0),"—",IF(ISNUMBER(MATCH(H1292,'Zgłoszenia'!$S$5:$S$504,0)),RIGHT("0"&amp;DAY(A1292),2)&amp;"."&amp;RIGHT("0"&amp;MONTH(A1292),2)&amp;"."&amp;YEAR(A1292)&amp;": "&amp;INDEX('Zgłoszenia'!$H$5:$H$504,MATCH(H1292,'Zgłoszenia'!$S$5:$S$504,0)),RIGHT("0"&amp;DAY((A1292+1)),2)&amp;"."&amp;RIGHT("0"&amp;MONTH((A1292+1)),2)&amp;"."&amp;YEAR((A1292+1))&amp;": "&amp;INDEX('Zgłoszenia'!$H$5:$H$504,MATCH(F1292&amp;"|"&amp;(A1292+1),'Zgłoszenia'!$S$5:$S$504,0)))&amp;IF(K1292&gt;1," (+"&amp;(K1292-1)&amp;")",""))</f>
        <v/>
      </c>
      <c r="M1292" s="63" t="n">
        <v>16</v>
      </c>
      <c r="N1292" s="2" t="n"/>
      <c r="O1292" s="2" t="n"/>
    </row>
    <row r="1293">
      <c r="A1293" s="62">
        <f>IF('16'!$C$1="","",'16'!$C$1)</f>
        <v/>
      </c>
      <c r="B1293" s="63">
        <f>Ustawienia!$A$10&amp;""</f>
        <v/>
      </c>
      <c r="C1293" s="63">
        <f>Ustawienia!$A$18&amp;""</f>
        <v/>
      </c>
      <c r="D1293" s="63" t="n">
        <v>1</v>
      </c>
      <c r="E1293" s="63">
        <f>IF('16'!J32="","",TRIM('16'!J32&amp;""))</f>
        <v/>
      </c>
      <c r="F1293" s="63">
        <f>IF('16'!K32="","",'16'!K32)</f>
        <v/>
      </c>
      <c r="G1293" s="63">
        <f>'16'!L32&amp;""</f>
        <v/>
      </c>
      <c r="H1293" s="63">
        <f>IF(OR(A1293="",F1293=""),"",F1293&amp;"|"&amp;A1293)</f>
        <v/>
      </c>
      <c r="I1293" s="63">
        <f>IF(AND(H1293&lt;&gt;"",OR('Historia wózka'!$B$4="",F1293='Historia wózka'!$B$4),A1293&gt;='Historia wózka'!$B$5,A1293&lt;='Historia wózka'!$B$6),A1293+0.7+(5000-ROW())/10000000,0)</f>
        <v/>
      </c>
      <c r="J1293" s="63">
        <f>Ustawienia!$B$10&amp;""</f>
        <v/>
      </c>
      <c r="K1293" s="63">
        <f>IF(H1293="","",COUNTIFS('Zgłoszenia'!$B$5:$B$504,F1293,'Zgłoszenia'!$D$5:$D$504,"&gt;="&amp;A1293,'Zgłoszenia'!$D$5:$D$504,"&lt;="&amp;(A1293+1)))</f>
        <v/>
      </c>
      <c r="L1293" s="63">
        <f>IF(OR(H1293="",K1293=0),"—",IF(ISNUMBER(MATCH(H1293,'Zgłoszenia'!$S$5:$S$504,0)),RIGHT("0"&amp;DAY(A1293),2)&amp;"."&amp;RIGHT("0"&amp;MONTH(A1293),2)&amp;"."&amp;YEAR(A1293)&amp;": "&amp;INDEX('Zgłoszenia'!$H$5:$H$504,MATCH(H1293,'Zgłoszenia'!$S$5:$S$504,0)),RIGHT("0"&amp;DAY((A1293+1)),2)&amp;"."&amp;RIGHT("0"&amp;MONTH((A1293+1)),2)&amp;"."&amp;YEAR((A1293+1))&amp;": "&amp;INDEX('Zgłoszenia'!$H$5:$H$504,MATCH(F1293&amp;"|"&amp;(A1293+1),'Zgłoszenia'!$S$5:$S$504,0)))&amp;IF(K1293&gt;1," (+"&amp;(K1293-1)&amp;")",""))</f>
        <v/>
      </c>
      <c r="M1293" s="63" t="n">
        <v>16</v>
      </c>
      <c r="N1293" s="2" t="n"/>
      <c r="O1293" s="2" t="n"/>
    </row>
    <row r="1294">
      <c r="A1294" s="62">
        <f>IF('16'!$C$1="","",'16'!$C$1)</f>
        <v/>
      </c>
      <c r="B1294" s="63">
        <f>Ustawienia!$A$10&amp;""</f>
        <v/>
      </c>
      <c r="C1294" s="63">
        <f>Ustawienia!$A$18&amp;""</f>
        <v/>
      </c>
      <c r="D1294" s="63" t="n">
        <v>2</v>
      </c>
      <c r="E1294" s="63">
        <f>IF('16'!J33="","",TRIM('16'!J33&amp;""))</f>
        <v/>
      </c>
      <c r="F1294" s="63">
        <f>IF('16'!K33="","",'16'!K33)</f>
        <v/>
      </c>
      <c r="G1294" s="63">
        <f>'16'!L33&amp;""</f>
        <v/>
      </c>
      <c r="H1294" s="63">
        <f>IF(OR(A1294="",F1294=""),"",F1294&amp;"|"&amp;A1294)</f>
        <v/>
      </c>
      <c r="I1294" s="63">
        <f>IF(AND(H1294&lt;&gt;"",OR('Historia wózka'!$B$4="",F1294='Historia wózka'!$B$4),A1294&gt;='Historia wózka'!$B$5,A1294&lt;='Historia wózka'!$B$6),A1294+0.7+(5000-ROW())/10000000,0)</f>
        <v/>
      </c>
      <c r="J1294" s="63">
        <f>Ustawienia!$B$10&amp;""</f>
        <v/>
      </c>
      <c r="K1294" s="63">
        <f>IF(H1294="","",COUNTIFS('Zgłoszenia'!$B$5:$B$504,F1294,'Zgłoszenia'!$D$5:$D$504,"&gt;="&amp;A1294,'Zgłoszenia'!$D$5:$D$504,"&lt;="&amp;(A1294+1)))</f>
        <v/>
      </c>
      <c r="L1294" s="63">
        <f>IF(OR(H1294="",K1294=0),"—",IF(ISNUMBER(MATCH(H1294,'Zgłoszenia'!$S$5:$S$504,0)),RIGHT("0"&amp;DAY(A1294),2)&amp;"."&amp;RIGHT("0"&amp;MONTH(A1294),2)&amp;"."&amp;YEAR(A1294)&amp;": "&amp;INDEX('Zgłoszenia'!$H$5:$H$504,MATCH(H1294,'Zgłoszenia'!$S$5:$S$504,0)),RIGHT("0"&amp;DAY((A1294+1)),2)&amp;"."&amp;RIGHT("0"&amp;MONTH((A1294+1)),2)&amp;"."&amp;YEAR((A1294+1))&amp;": "&amp;INDEX('Zgłoszenia'!$H$5:$H$504,MATCH(F1294&amp;"|"&amp;(A1294+1),'Zgłoszenia'!$S$5:$S$504,0)))&amp;IF(K1294&gt;1," (+"&amp;(K1294-1)&amp;")",""))</f>
        <v/>
      </c>
      <c r="M1294" s="63" t="n">
        <v>16</v>
      </c>
      <c r="N1294" s="2" t="n"/>
      <c r="O1294" s="2" t="n"/>
    </row>
    <row r="1295">
      <c r="A1295" s="62">
        <f>IF('16'!$C$1="","",'16'!$C$1)</f>
        <v/>
      </c>
      <c r="B1295" s="63">
        <f>Ustawienia!$A$10&amp;""</f>
        <v/>
      </c>
      <c r="C1295" s="63">
        <f>Ustawienia!$A$18&amp;""</f>
        <v/>
      </c>
      <c r="D1295" s="63" t="n">
        <v>3</v>
      </c>
      <c r="E1295" s="63">
        <f>IF('16'!J34="","",TRIM('16'!J34&amp;""))</f>
        <v/>
      </c>
      <c r="F1295" s="63">
        <f>IF('16'!K34="","",'16'!K34)</f>
        <v/>
      </c>
      <c r="G1295" s="63">
        <f>'16'!L34&amp;""</f>
        <v/>
      </c>
      <c r="H1295" s="63">
        <f>IF(OR(A1295="",F1295=""),"",F1295&amp;"|"&amp;A1295)</f>
        <v/>
      </c>
      <c r="I1295" s="63">
        <f>IF(AND(H1295&lt;&gt;"",OR('Historia wózka'!$B$4="",F1295='Historia wózka'!$B$4),A1295&gt;='Historia wózka'!$B$5,A1295&lt;='Historia wózka'!$B$6),A1295+0.7+(5000-ROW())/10000000,0)</f>
        <v/>
      </c>
      <c r="J1295" s="63">
        <f>Ustawienia!$B$10&amp;""</f>
        <v/>
      </c>
      <c r="K1295" s="63">
        <f>IF(H1295="","",COUNTIFS('Zgłoszenia'!$B$5:$B$504,F1295,'Zgłoszenia'!$D$5:$D$504,"&gt;="&amp;A1295,'Zgłoszenia'!$D$5:$D$504,"&lt;="&amp;(A1295+1)))</f>
        <v/>
      </c>
      <c r="L1295" s="63">
        <f>IF(OR(H1295="",K1295=0),"—",IF(ISNUMBER(MATCH(H1295,'Zgłoszenia'!$S$5:$S$504,0)),RIGHT("0"&amp;DAY(A1295),2)&amp;"."&amp;RIGHT("0"&amp;MONTH(A1295),2)&amp;"."&amp;YEAR(A1295)&amp;": "&amp;INDEX('Zgłoszenia'!$H$5:$H$504,MATCH(H1295,'Zgłoszenia'!$S$5:$S$504,0)),RIGHT("0"&amp;DAY((A1295+1)),2)&amp;"."&amp;RIGHT("0"&amp;MONTH((A1295+1)),2)&amp;"."&amp;YEAR((A1295+1))&amp;": "&amp;INDEX('Zgłoszenia'!$H$5:$H$504,MATCH(F1295&amp;"|"&amp;(A1295+1),'Zgłoszenia'!$S$5:$S$504,0)))&amp;IF(K1295&gt;1," (+"&amp;(K1295-1)&amp;")",""))</f>
        <v/>
      </c>
      <c r="M1295" s="63" t="n">
        <v>16</v>
      </c>
      <c r="N1295" s="2" t="n"/>
      <c r="O1295" s="2" t="n"/>
    </row>
    <row r="1296">
      <c r="A1296" s="62">
        <f>IF('16'!$C$1="","",'16'!$C$1)</f>
        <v/>
      </c>
      <c r="B1296" s="63">
        <f>Ustawienia!$A$10&amp;""</f>
        <v/>
      </c>
      <c r="C1296" s="63">
        <f>Ustawienia!$A$18&amp;""</f>
        <v/>
      </c>
      <c r="D1296" s="63" t="n">
        <v>4</v>
      </c>
      <c r="E1296" s="63">
        <f>IF('16'!J35="","",TRIM('16'!J35&amp;""))</f>
        <v/>
      </c>
      <c r="F1296" s="63">
        <f>IF('16'!K35="","",'16'!K35)</f>
        <v/>
      </c>
      <c r="G1296" s="63">
        <f>'16'!L35&amp;""</f>
        <v/>
      </c>
      <c r="H1296" s="63">
        <f>IF(OR(A1296="",F1296=""),"",F1296&amp;"|"&amp;A1296)</f>
        <v/>
      </c>
      <c r="I1296" s="63">
        <f>IF(AND(H1296&lt;&gt;"",OR('Historia wózka'!$B$4="",F1296='Historia wózka'!$B$4),A1296&gt;='Historia wózka'!$B$5,A1296&lt;='Historia wózka'!$B$6),A1296+0.7+(5000-ROW())/10000000,0)</f>
        <v/>
      </c>
      <c r="J1296" s="63">
        <f>Ustawienia!$B$10&amp;""</f>
        <v/>
      </c>
      <c r="K1296" s="63">
        <f>IF(H1296="","",COUNTIFS('Zgłoszenia'!$B$5:$B$504,F1296,'Zgłoszenia'!$D$5:$D$504,"&gt;="&amp;A1296,'Zgłoszenia'!$D$5:$D$504,"&lt;="&amp;(A1296+1)))</f>
        <v/>
      </c>
      <c r="L1296" s="63">
        <f>IF(OR(H1296="",K1296=0),"—",IF(ISNUMBER(MATCH(H1296,'Zgłoszenia'!$S$5:$S$504,0)),RIGHT("0"&amp;DAY(A1296),2)&amp;"."&amp;RIGHT("0"&amp;MONTH(A1296),2)&amp;"."&amp;YEAR(A1296)&amp;": "&amp;INDEX('Zgłoszenia'!$H$5:$H$504,MATCH(H1296,'Zgłoszenia'!$S$5:$S$504,0)),RIGHT("0"&amp;DAY((A1296+1)),2)&amp;"."&amp;RIGHT("0"&amp;MONTH((A1296+1)),2)&amp;"."&amp;YEAR((A1296+1))&amp;": "&amp;INDEX('Zgłoszenia'!$H$5:$H$504,MATCH(F1296&amp;"|"&amp;(A1296+1),'Zgłoszenia'!$S$5:$S$504,0)))&amp;IF(K1296&gt;1," (+"&amp;(K1296-1)&amp;")",""))</f>
        <v/>
      </c>
      <c r="M1296" s="63" t="n">
        <v>16</v>
      </c>
      <c r="N1296" s="2" t="n"/>
      <c r="O1296" s="2" t="n"/>
    </row>
    <row r="1297">
      <c r="A1297" s="62">
        <f>IF('16'!$C$1="","",'16'!$C$1)</f>
        <v/>
      </c>
      <c r="B1297" s="63">
        <f>Ustawienia!$A$10&amp;""</f>
        <v/>
      </c>
      <c r="C1297" s="63">
        <f>Ustawienia!$A$18&amp;""</f>
        <v/>
      </c>
      <c r="D1297" s="63" t="n">
        <v>5</v>
      </c>
      <c r="E1297" s="63">
        <f>IF('16'!J36="","",TRIM('16'!J36&amp;""))</f>
        <v/>
      </c>
      <c r="F1297" s="63">
        <f>IF('16'!K36="","",'16'!K36)</f>
        <v/>
      </c>
      <c r="G1297" s="63">
        <f>'16'!L36&amp;""</f>
        <v/>
      </c>
      <c r="H1297" s="63">
        <f>IF(OR(A1297="",F1297=""),"",F1297&amp;"|"&amp;A1297)</f>
        <v/>
      </c>
      <c r="I1297" s="63">
        <f>IF(AND(H1297&lt;&gt;"",OR('Historia wózka'!$B$4="",F1297='Historia wózka'!$B$4),A1297&gt;='Historia wózka'!$B$5,A1297&lt;='Historia wózka'!$B$6),A1297+0.7+(5000-ROW())/10000000,0)</f>
        <v/>
      </c>
      <c r="J1297" s="63">
        <f>Ustawienia!$B$10&amp;""</f>
        <v/>
      </c>
      <c r="K1297" s="63">
        <f>IF(H1297="","",COUNTIFS('Zgłoszenia'!$B$5:$B$504,F1297,'Zgłoszenia'!$D$5:$D$504,"&gt;="&amp;A1297,'Zgłoszenia'!$D$5:$D$504,"&lt;="&amp;(A1297+1)))</f>
        <v/>
      </c>
      <c r="L1297" s="63">
        <f>IF(OR(H1297="",K1297=0),"—",IF(ISNUMBER(MATCH(H1297,'Zgłoszenia'!$S$5:$S$504,0)),RIGHT("0"&amp;DAY(A1297),2)&amp;"."&amp;RIGHT("0"&amp;MONTH(A1297),2)&amp;"."&amp;YEAR(A1297)&amp;": "&amp;INDEX('Zgłoszenia'!$H$5:$H$504,MATCH(H1297,'Zgłoszenia'!$S$5:$S$504,0)),RIGHT("0"&amp;DAY((A1297+1)),2)&amp;"."&amp;RIGHT("0"&amp;MONTH((A1297+1)),2)&amp;"."&amp;YEAR((A1297+1))&amp;": "&amp;INDEX('Zgłoszenia'!$H$5:$H$504,MATCH(F1297&amp;"|"&amp;(A1297+1),'Zgłoszenia'!$S$5:$S$504,0)))&amp;IF(K1297&gt;1," (+"&amp;(K1297-1)&amp;")",""))</f>
        <v/>
      </c>
      <c r="M1297" s="63" t="n">
        <v>16</v>
      </c>
      <c r="N1297" s="2" t="n"/>
      <c r="O1297" s="2" t="n"/>
    </row>
    <row r="1298">
      <c r="A1298" s="62">
        <f>IF('17'!$C$1="","",'17'!$C$1)</f>
        <v/>
      </c>
      <c r="B1298" s="63">
        <f>Ustawienia!$A$8&amp;""</f>
        <v/>
      </c>
      <c r="C1298" s="63">
        <f>Ustawienia!$A$14&amp;""</f>
        <v/>
      </c>
      <c r="D1298" s="63" t="n">
        <v>1</v>
      </c>
      <c r="E1298" s="63">
        <f>IF('17'!B6="","",TRIM('17'!B6&amp;""))</f>
        <v/>
      </c>
      <c r="F1298" s="63">
        <f>IF('17'!C6="","",'17'!C6)</f>
        <v/>
      </c>
      <c r="G1298" s="63">
        <f>'17'!D6&amp;""</f>
        <v/>
      </c>
      <c r="H1298" s="63">
        <f>IF(OR(A1298="",F1298=""),"",F1298&amp;"|"&amp;A1298)</f>
        <v/>
      </c>
      <c r="I1298" s="63">
        <f>IF(AND(H1298&lt;&gt;"",OR('Historia wózka'!$B$4="",F1298='Historia wózka'!$B$4),A1298&gt;='Historia wózka'!$B$5,A1298&lt;='Historia wózka'!$B$6),A1298+0.9+(5000-ROW())/10000000,0)</f>
        <v/>
      </c>
      <c r="J1298" s="63">
        <f>Ustawienia!$B$8&amp;""</f>
        <v/>
      </c>
      <c r="K1298" s="63">
        <f>IF(H1298="","",COUNTIFS('Zgłoszenia'!$B$5:$B$504,F1298,'Zgłoszenia'!$D$5:$D$504,"&gt;="&amp;A1298,'Zgłoszenia'!$D$5:$D$504,"&lt;="&amp;(A1298+1)))</f>
        <v/>
      </c>
      <c r="L1298" s="63">
        <f>IF(OR(H1298="",K1298=0),"—",IF(ISNUMBER(MATCH(H1298,'Zgłoszenia'!$S$5:$S$504,0)),RIGHT("0"&amp;DAY(A1298),2)&amp;"."&amp;RIGHT("0"&amp;MONTH(A1298),2)&amp;"."&amp;YEAR(A1298)&amp;": "&amp;INDEX('Zgłoszenia'!$H$5:$H$504,MATCH(H1298,'Zgłoszenia'!$S$5:$S$504,0)),RIGHT("0"&amp;DAY((A1298+1)),2)&amp;"."&amp;RIGHT("0"&amp;MONTH((A1298+1)),2)&amp;"."&amp;YEAR((A1298+1))&amp;": "&amp;INDEX('Zgłoszenia'!$H$5:$H$504,MATCH(F1298&amp;"|"&amp;(A1298+1),'Zgłoszenia'!$S$5:$S$504,0)))&amp;IF(K1298&gt;1," (+"&amp;(K1298-1)&amp;")",""))</f>
        <v/>
      </c>
      <c r="M1298" s="63" t="n">
        <v>17</v>
      </c>
      <c r="N1298" s="2" t="n"/>
      <c r="O1298" s="2" t="n"/>
    </row>
    <row r="1299">
      <c r="A1299" s="62">
        <f>IF('17'!$C$1="","",'17'!$C$1)</f>
        <v/>
      </c>
      <c r="B1299" s="63">
        <f>Ustawienia!$A$8&amp;""</f>
        <v/>
      </c>
      <c r="C1299" s="63">
        <f>Ustawienia!$A$14&amp;""</f>
        <v/>
      </c>
      <c r="D1299" s="63" t="n">
        <v>2</v>
      </c>
      <c r="E1299" s="63">
        <f>IF('17'!B7="","",TRIM('17'!B7&amp;""))</f>
        <v/>
      </c>
      <c r="F1299" s="63">
        <f>IF('17'!C7="","",'17'!C7)</f>
        <v/>
      </c>
      <c r="G1299" s="63">
        <f>'17'!D7&amp;""</f>
        <v/>
      </c>
      <c r="H1299" s="63">
        <f>IF(OR(A1299="",F1299=""),"",F1299&amp;"|"&amp;A1299)</f>
        <v/>
      </c>
      <c r="I1299" s="63">
        <f>IF(AND(H1299&lt;&gt;"",OR('Historia wózka'!$B$4="",F1299='Historia wózka'!$B$4),A1299&gt;='Historia wózka'!$B$5,A1299&lt;='Historia wózka'!$B$6),A1299+0.9+(5000-ROW())/10000000,0)</f>
        <v/>
      </c>
      <c r="J1299" s="63">
        <f>Ustawienia!$B$8&amp;""</f>
        <v/>
      </c>
      <c r="K1299" s="63">
        <f>IF(H1299="","",COUNTIFS('Zgłoszenia'!$B$5:$B$504,F1299,'Zgłoszenia'!$D$5:$D$504,"&gt;="&amp;A1299,'Zgłoszenia'!$D$5:$D$504,"&lt;="&amp;(A1299+1)))</f>
        <v/>
      </c>
      <c r="L1299" s="63">
        <f>IF(OR(H1299="",K1299=0),"—",IF(ISNUMBER(MATCH(H1299,'Zgłoszenia'!$S$5:$S$504,0)),RIGHT("0"&amp;DAY(A1299),2)&amp;"."&amp;RIGHT("0"&amp;MONTH(A1299),2)&amp;"."&amp;YEAR(A1299)&amp;": "&amp;INDEX('Zgłoszenia'!$H$5:$H$504,MATCH(H1299,'Zgłoszenia'!$S$5:$S$504,0)),RIGHT("0"&amp;DAY((A1299+1)),2)&amp;"."&amp;RIGHT("0"&amp;MONTH((A1299+1)),2)&amp;"."&amp;YEAR((A1299+1))&amp;": "&amp;INDEX('Zgłoszenia'!$H$5:$H$504,MATCH(F1299&amp;"|"&amp;(A1299+1),'Zgłoszenia'!$S$5:$S$504,0)))&amp;IF(K1299&gt;1," (+"&amp;(K1299-1)&amp;")",""))</f>
        <v/>
      </c>
      <c r="M1299" s="63" t="n">
        <v>17</v>
      </c>
      <c r="N1299" s="2" t="n"/>
      <c r="O1299" s="2" t="n"/>
    </row>
    <row r="1300">
      <c r="A1300" s="62">
        <f>IF('17'!$C$1="","",'17'!$C$1)</f>
        <v/>
      </c>
      <c r="B1300" s="63">
        <f>Ustawienia!$A$8&amp;""</f>
        <v/>
      </c>
      <c r="C1300" s="63">
        <f>Ustawienia!$A$14&amp;""</f>
        <v/>
      </c>
      <c r="D1300" s="63" t="n">
        <v>3</v>
      </c>
      <c r="E1300" s="63">
        <f>IF('17'!B8="","",TRIM('17'!B8&amp;""))</f>
        <v/>
      </c>
      <c r="F1300" s="63">
        <f>IF('17'!C8="","",'17'!C8)</f>
        <v/>
      </c>
      <c r="G1300" s="63">
        <f>'17'!D8&amp;""</f>
        <v/>
      </c>
      <c r="H1300" s="63">
        <f>IF(OR(A1300="",F1300=""),"",F1300&amp;"|"&amp;A1300)</f>
        <v/>
      </c>
      <c r="I1300" s="63">
        <f>IF(AND(H1300&lt;&gt;"",OR('Historia wózka'!$B$4="",F1300='Historia wózka'!$B$4),A1300&gt;='Historia wózka'!$B$5,A1300&lt;='Historia wózka'!$B$6),A1300+0.9+(5000-ROW())/10000000,0)</f>
        <v/>
      </c>
      <c r="J1300" s="63">
        <f>Ustawienia!$B$8&amp;""</f>
        <v/>
      </c>
      <c r="K1300" s="63">
        <f>IF(H1300="","",COUNTIFS('Zgłoszenia'!$B$5:$B$504,F1300,'Zgłoszenia'!$D$5:$D$504,"&gt;="&amp;A1300,'Zgłoszenia'!$D$5:$D$504,"&lt;="&amp;(A1300+1)))</f>
        <v/>
      </c>
      <c r="L1300" s="63">
        <f>IF(OR(H1300="",K1300=0),"—",IF(ISNUMBER(MATCH(H1300,'Zgłoszenia'!$S$5:$S$504,0)),RIGHT("0"&amp;DAY(A1300),2)&amp;"."&amp;RIGHT("0"&amp;MONTH(A1300),2)&amp;"."&amp;YEAR(A1300)&amp;": "&amp;INDEX('Zgłoszenia'!$H$5:$H$504,MATCH(H1300,'Zgłoszenia'!$S$5:$S$504,0)),RIGHT("0"&amp;DAY((A1300+1)),2)&amp;"."&amp;RIGHT("0"&amp;MONTH((A1300+1)),2)&amp;"."&amp;YEAR((A1300+1))&amp;": "&amp;INDEX('Zgłoszenia'!$H$5:$H$504,MATCH(F1300&amp;"|"&amp;(A1300+1),'Zgłoszenia'!$S$5:$S$504,0)))&amp;IF(K1300&gt;1," (+"&amp;(K1300-1)&amp;")",""))</f>
        <v/>
      </c>
      <c r="M1300" s="63" t="n">
        <v>17</v>
      </c>
      <c r="N1300" s="2" t="n"/>
      <c r="O1300" s="2" t="n"/>
    </row>
    <row r="1301">
      <c r="A1301" s="62">
        <f>IF('17'!$C$1="","",'17'!$C$1)</f>
        <v/>
      </c>
      <c r="B1301" s="63">
        <f>Ustawienia!$A$8&amp;""</f>
        <v/>
      </c>
      <c r="C1301" s="63">
        <f>Ustawienia!$A$14&amp;""</f>
        <v/>
      </c>
      <c r="D1301" s="63" t="n">
        <v>4</v>
      </c>
      <c r="E1301" s="63">
        <f>IF('17'!B9="","",TRIM('17'!B9&amp;""))</f>
        <v/>
      </c>
      <c r="F1301" s="63">
        <f>IF('17'!C9="","",'17'!C9)</f>
        <v/>
      </c>
      <c r="G1301" s="63">
        <f>'17'!D9&amp;""</f>
        <v/>
      </c>
      <c r="H1301" s="63">
        <f>IF(OR(A1301="",F1301=""),"",F1301&amp;"|"&amp;A1301)</f>
        <v/>
      </c>
      <c r="I1301" s="63">
        <f>IF(AND(H1301&lt;&gt;"",OR('Historia wózka'!$B$4="",F1301='Historia wózka'!$B$4),A1301&gt;='Historia wózka'!$B$5,A1301&lt;='Historia wózka'!$B$6),A1301+0.9+(5000-ROW())/10000000,0)</f>
        <v/>
      </c>
      <c r="J1301" s="63">
        <f>Ustawienia!$B$8&amp;""</f>
        <v/>
      </c>
      <c r="K1301" s="63">
        <f>IF(H1301="","",COUNTIFS('Zgłoszenia'!$B$5:$B$504,F1301,'Zgłoszenia'!$D$5:$D$504,"&gt;="&amp;A1301,'Zgłoszenia'!$D$5:$D$504,"&lt;="&amp;(A1301+1)))</f>
        <v/>
      </c>
      <c r="L1301" s="63">
        <f>IF(OR(H1301="",K1301=0),"—",IF(ISNUMBER(MATCH(H1301,'Zgłoszenia'!$S$5:$S$504,0)),RIGHT("0"&amp;DAY(A1301),2)&amp;"."&amp;RIGHT("0"&amp;MONTH(A1301),2)&amp;"."&amp;YEAR(A1301)&amp;": "&amp;INDEX('Zgłoszenia'!$H$5:$H$504,MATCH(H1301,'Zgłoszenia'!$S$5:$S$504,0)),RIGHT("0"&amp;DAY((A1301+1)),2)&amp;"."&amp;RIGHT("0"&amp;MONTH((A1301+1)),2)&amp;"."&amp;YEAR((A1301+1))&amp;": "&amp;INDEX('Zgłoszenia'!$H$5:$H$504,MATCH(F1301&amp;"|"&amp;(A1301+1),'Zgłoszenia'!$S$5:$S$504,0)))&amp;IF(K1301&gt;1," (+"&amp;(K1301-1)&amp;")",""))</f>
        <v/>
      </c>
      <c r="M1301" s="63" t="n">
        <v>17</v>
      </c>
      <c r="N1301" s="2" t="n"/>
      <c r="O1301" s="2" t="n"/>
    </row>
    <row r="1302">
      <c r="A1302" s="62">
        <f>IF('17'!$C$1="","",'17'!$C$1)</f>
        <v/>
      </c>
      <c r="B1302" s="63">
        <f>Ustawienia!$A$8&amp;""</f>
        <v/>
      </c>
      <c r="C1302" s="63">
        <f>Ustawienia!$A$14&amp;""</f>
        <v/>
      </c>
      <c r="D1302" s="63" t="n">
        <v>5</v>
      </c>
      <c r="E1302" s="63">
        <f>IF('17'!B10="","",TRIM('17'!B10&amp;""))</f>
        <v/>
      </c>
      <c r="F1302" s="63">
        <f>IF('17'!C10="","",'17'!C10)</f>
        <v/>
      </c>
      <c r="G1302" s="63">
        <f>'17'!D10&amp;""</f>
        <v/>
      </c>
      <c r="H1302" s="63">
        <f>IF(OR(A1302="",F1302=""),"",F1302&amp;"|"&amp;A1302)</f>
        <v/>
      </c>
      <c r="I1302" s="63">
        <f>IF(AND(H1302&lt;&gt;"",OR('Historia wózka'!$B$4="",F1302='Historia wózka'!$B$4),A1302&gt;='Historia wózka'!$B$5,A1302&lt;='Historia wózka'!$B$6),A1302+0.9+(5000-ROW())/10000000,0)</f>
        <v/>
      </c>
      <c r="J1302" s="63">
        <f>Ustawienia!$B$8&amp;""</f>
        <v/>
      </c>
      <c r="K1302" s="63">
        <f>IF(H1302="","",COUNTIFS('Zgłoszenia'!$B$5:$B$504,F1302,'Zgłoszenia'!$D$5:$D$504,"&gt;="&amp;A1302,'Zgłoszenia'!$D$5:$D$504,"&lt;="&amp;(A1302+1)))</f>
        <v/>
      </c>
      <c r="L1302" s="63">
        <f>IF(OR(H1302="",K1302=0),"—",IF(ISNUMBER(MATCH(H1302,'Zgłoszenia'!$S$5:$S$504,0)),RIGHT("0"&amp;DAY(A1302),2)&amp;"."&amp;RIGHT("0"&amp;MONTH(A1302),2)&amp;"."&amp;YEAR(A1302)&amp;": "&amp;INDEX('Zgłoszenia'!$H$5:$H$504,MATCH(H1302,'Zgłoszenia'!$S$5:$S$504,0)),RIGHT("0"&amp;DAY((A1302+1)),2)&amp;"."&amp;RIGHT("0"&amp;MONTH((A1302+1)),2)&amp;"."&amp;YEAR((A1302+1))&amp;": "&amp;INDEX('Zgłoszenia'!$H$5:$H$504,MATCH(F1302&amp;"|"&amp;(A1302+1),'Zgłoszenia'!$S$5:$S$504,0)))&amp;IF(K1302&gt;1," (+"&amp;(K1302-1)&amp;")",""))</f>
        <v/>
      </c>
      <c r="M1302" s="63" t="n">
        <v>17</v>
      </c>
      <c r="N1302" s="2" t="n"/>
      <c r="O1302" s="2" t="n"/>
    </row>
    <row r="1303">
      <c r="A1303" s="62">
        <f>IF('17'!$C$1="","",'17'!$C$1)</f>
        <v/>
      </c>
      <c r="B1303" s="63">
        <f>Ustawienia!$A$8&amp;""</f>
        <v/>
      </c>
      <c r="C1303" s="63">
        <f>Ustawienia!$A$14&amp;""</f>
        <v/>
      </c>
      <c r="D1303" s="63" t="n">
        <v>6</v>
      </c>
      <c r="E1303" s="63">
        <f>IF('17'!B11="","",TRIM('17'!B11&amp;""))</f>
        <v/>
      </c>
      <c r="F1303" s="63">
        <f>IF('17'!C11="","",'17'!C11)</f>
        <v/>
      </c>
      <c r="G1303" s="63">
        <f>'17'!D11&amp;""</f>
        <v/>
      </c>
      <c r="H1303" s="63">
        <f>IF(OR(A1303="",F1303=""),"",F1303&amp;"|"&amp;A1303)</f>
        <v/>
      </c>
      <c r="I1303" s="63">
        <f>IF(AND(H1303&lt;&gt;"",OR('Historia wózka'!$B$4="",F1303='Historia wózka'!$B$4),A1303&gt;='Historia wózka'!$B$5,A1303&lt;='Historia wózka'!$B$6),A1303+0.9+(5000-ROW())/10000000,0)</f>
        <v/>
      </c>
      <c r="J1303" s="63">
        <f>Ustawienia!$B$8&amp;""</f>
        <v/>
      </c>
      <c r="K1303" s="63">
        <f>IF(H1303="","",COUNTIFS('Zgłoszenia'!$B$5:$B$504,F1303,'Zgłoszenia'!$D$5:$D$504,"&gt;="&amp;A1303,'Zgłoszenia'!$D$5:$D$504,"&lt;="&amp;(A1303+1)))</f>
        <v/>
      </c>
      <c r="L1303" s="63">
        <f>IF(OR(H1303="",K1303=0),"—",IF(ISNUMBER(MATCH(H1303,'Zgłoszenia'!$S$5:$S$504,0)),RIGHT("0"&amp;DAY(A1303),2)&amp;"."&amp;RIGHT("0"&amp;MONTH(A1303),2)&amp;"."&amp;YEAR(A1303)&amp;": "&amp;INDEX('Zgłoszenia'!$H$5:$H$504,MATCH(H1303,'Zgłoszenia'!$S$5:$S$504,0)),RIGHT("0"&amp;DAY((A1303+1)),2)&amp;"."&amp;RIGHT("0"&amp;MONTH((A1303+1)),2)&amp;"."&amp;YEAR((A1303+1))&amp;": "&amp;INDEX('Zgłoszenia'!$H$5:$H$504,MATCH(F1303&amp;"|"&amp;(A1303+1),'Zgłoszenia'!$S$5:$S$504,0)))&amp;IF(K1303&gt;1," (+"&amp;(K1303-1)&amp;")",""))</f>
        <v/>
      </c>
      <c r="M1303" s="63" t="n">
        <v>17</v>
      </c>
      <c r="N1303" s="2" t="n"/>
      <c r="O1303" s="2" t="n"/>
    </row>
    <row r="1304">
      <c r="A1304" s="62">
        <f>IF('17'!$C$1="","",'17'!$C$1)</f>
        <v/>
      </c>
      <c r="B1304" s="63">
        <f>Ustawienia!$A$8&amp;""</f>
        <v/>
      </c>
      <c r="C1304" s="63">
        <f>Ustawienia!$A$15&amp;""</f>
        <v/>
      </c>
      <c r="D1304" s="63" t="n">
        <v>1</v>
      </c>
      <c r="E1304" s="63">
        <f>IF('17'!B13="","",TRIM('17'!B13&amp;""))</f>
        <v/>
      </c>
      <c r="F1304" s="63">
        <f>IF('17'!C13="","",'17'!C13)</f>
        <v/>
      </c>
      <c r="G1304" s="63">
        <f>'17'!D13&amp;""</f>
        <v/>
      </c>
      <c r="H1304" s="63">
        <f>IF(OR(A1304="",F1304=""),"",F1304&amp;"|"&amp;A1304)</f>
        <v/>
      </c>
      <c r="I1304" s="63">
        <f>IF(AND(H1304&lt;&gt;"",OR('Historia wózka'!$B$4="",F1304='Historia wózka'!$B$4),A1304&gt;='Historia wózka'!$B$5,A1304&lt;='Historia wózka'!$B$6),A1304+0.9+(5000-ROW())/10000000,0)</f>
        <v/>
      </c>
      <c r="J1304" s="63">
        <f>Ustawienia!$B$8&amp;""</f>
        <v/>
      </c>
      <c r="K1304" s="63">
        <f>IF(H1304="","",COUNTIFS('Zgłoszenia'!$B$5:$B$504,F1304,'Zgłoszenia'!$D$5:$D$504,"&gt;="&amp;A1304,'Zgłoszenia'!$D$5:$D$504,"&lt;="&amp;(A1304+1)))</f>
        <v/>
      </c>
      <c r="L1304" s="63">
        <f>IF(OR(H1304="",K1304=0),"—",IF(ISNUMBER(MATCH(H1304,'Zgłoszenia'!$S$5:$S$504,0)),RIGHT("0"&amp;DAY(A1304),2)&amp;"."&amp;RIGHT("0"&amp;MONTH(A1304),2)&amp;"."&amp;YEAR(A1304)&amp;": "&amp;INDEX('Zgłoszenia'!$H$5:$H$504,MATCH(H1304,'Zgłoszenia'!$S$5:$S$504,0)),RIGHT("0"&amp;DAY((A1304+1)),2)&amp;"."&amp;RIGHT("0"&amp;MONTH((A1304+1)),2)&amp;"."&amp;YEAR((A1304+1))&amp;": "&amp;INDEX('Zgłoszenia'!$H$5:$H$504,MATCH(F1304&amp;"|"&amp;(A1304+1),'Zgłoszenia'!$S$5:$S$504,0)))&amp;IF(K1304&gt;1," (+"&amp;(K1304-1)&amp;")",""))</f>
        <v/>
      </c>
      <c r="M1304" s="63" t="n">
        <v>17</v>
      </c>
      <c r="N1304" s="2" t="n"/>
      <c r="O1304" s="2" t="n"/>
    </row>
    <row r="1305">
      <c r="A1305" s="62">
        <f>IF('17'!$C$1="","",'17'!$C$1)</f>
        <v/>
      </c>
      <c r="B1305" s="63">
        <f>Ustawienia!$A$8&amp;""</f>
        <v/>
      </c>
      <c r="C1305" s="63">
        <f>Ustawienia!$A$15&amp;""</f>
        <v/>
      </c>
      <c r="D1305" s="63" t="n">
        <v>2</v>
      </c>
      <c r="E1305" s="63">
        <f>IF('17'!B14="","",TRIM('17'!B14&amp;""))</f>
        <v/>
      </c>
      <c r="F1305" s="63">
        <f>IF('17'!C14="","",'17'!C14)</f>
        <v/>
      </c>
      <c r="G1305" s="63">
        <f>'17'!D14&amp;""</f>
        <v/>
      </c>
      <c r="H1305" s="63">
        <f>IF(OR(A1305="",F1305=""),"",F1305&amp;"|"&amp;A1305)</f>
        <v/>
      </c>
      <c r="I1305" s="63">
        <f>IF(AND(H1305&lt;&gt;"",OR('Historia wózka'!$B$4="",F1305='Historia wózka'!$B$4),A1305&gt;='Historia wózka'!$B$5,A1305&lt;='Historia wózka'!$B$6),A1305+0.9+(5000-ROW())/10000000,0)</f>
        <v/>
      </c>
      <c r="J1305" s="63">
        <f>Ustawienia!$B$8&amp;""</f>
        <v/>
      </c>
      <c r="K1305" s="63">
        <f>IF(H1305="","",COUNTIFS('Zgłoszenia'!$B$5:$B$504,F1305,'Zgłoszenia'!$D$5:$D$504,"&gt;="&amp;A1305,'Zgłoszenia'!$D$5:$D$504,"&lt;="&amp;(A1305+1)))</f>
        <v/>
      </c>
      <c r="L1305" s="63">
        <f>IF(OR(H1305="",K1305=0),"—",IF(ISNUMBER(MATCH(H1305,'Zgłoszenia'!$S$5:$S$504,0)),RIGHT("0"&amp;DAY(A1305),2)&amp;"."&amp;RIGHT("0"&amp;MONTH(A1305),2)&amp;"."&amp;YEAR(A1305)&amp;": "&amp;INDEX('Zgłoszenia'!$H$5:$H$504,MATCH(H1305,'Zgłoszenia'!$S$5:$S$504,0)),RIGHT("0"&amp;DAY((A1305+1)),2)&amp;"."&amp;RIGHT("0"&amp;MONTH((A1305+1)),2)&amp;"."&amp;YEAR((A1305+1))&amp;": "&amp;INDEX('Zgłoszenia'!$H$5:$H$504,MATCH(F1305&amp;"|"&amp;(A1305+1),'Zgłoszenia'!$S$5:$S$504,0)))&amp;IF(K1305&gt;1," (+"&amp;(K1305-1)&amp;")",""))</f>
        <v/>
      </c>
      <c r="M1305" s="63" t="n">
        <v>17</v>
      </c>
      <c r="N1305" s="2" t="n"/>
      <c r="O1305" s="2" t="n"/>
    </row>
    <row r="1306">
      <c r="A1306" s="62">
        <f>IF('17'!$C$1="","",'17'!$C$1)</f>
        <v/>
      </c>
      <c r="B1306" s="63">
        <f>Ustawienia!$A$8&amp;""</f>
        <v/>
      </c>
      <c r="C1306" s="63">
        <f>Ustawienia!$A$15&amp;""</f>
        <v/>
      </c>
      <c r="D1306" s="63" t="n">
        <v>3</v>
      </c>
      <c r="E1306" s="63">
        <f>IF('17'!B15="","",TRIM('17'!B15&amp;""))</f>
        <v/>
      </c>
      <c r="F1306" s="63">
        <f>IF('17'!C15="","",'17'!C15)</f>
        <v/>
      </c>
      <c r="G1306" s="63">
        <f>'17'!D15&amp;""</f>
        <v/>
      </c>
      <c r="H1306" s="63">
        <f>IF(OR(A1306="",F1306=""),"",F1306&amp;"|"&amp;A1306)</f>
        <v/>
      </c>
      <c r="I1306" s="63">
        <f>IF(AND(H1306&lt;&gt;"",OR('Historia wózka'!$B$4="",F1306='Historia wózka'!$B$4),A1306&gt;='Historia wózka'!$B$5,A1306&lt;='Historia wózka'!$B$6),A1306+0.9+(5000-ROW())/10000000,0)</f>
        <v/>
      </c>
      <c r="J1306" s="63">
        <f>Ustawienia!$B$8&amp;""</f>
        <v/>
      </c>
      <c r="K1306" s="63">
        <f>IF(H1306="","",COUNTIFS('Zgłoszenia'!$B$5:$B$504,F1306,'Zgłoszenia'!$D$5:$D$504,"&gt;="&amp;A1306,'Zgłoszenia'!$D$5:$D$504,"&lt;="&amp;(A1306+1)))</f>
        <v/>
      </c>
      <c r="L1306" s="63">
        <f>IF(OR(H1306="",K1306=0),"—",IF(ISNUMBER(MATCH(H1306,'Zgłoszenia'!$S$5:$S$504,0)),RIGHT("0"&amp;DAY(A1306),2)&amp;"."&amp;RIGHT("0"&amp;MONTH(A1306),2)&amp;"."&amp;YEAR(A1306)&amp;": "&amp;INDEX('Zgłoszenia'!$H$5:$H$504,MATCH(H1306,'Zgłoszenia'!$S$5:$S$504,0)),RIGHT("0"&amp;DAY((A1306+1)),2)&amp;"."&amp;RIGHT("0"&amp;MONTH((A1306+1)),2)&amp;"."&amp;YEAR((A1306+1))&amp;": "&amp;INDEX('Zgłoszenia'!$H$5:$H$504,MATCH(F1306&amp;"|"&amp;(A1306+1),'Zgłoszenia'!$S$5:$S$504,0)))&amp;IF(K1306&gt;1," (+"&amp;(K1306-1)&amp;")",""))</f>
        <v/>
      </c>
      <c r="M1306" s="63" t="n">
        <v>17</v>
      </c>
      <c r="N1306" s="2" t="n"/>
      <c r="O1306" s="2" t="n"/>
    </row>
    <row r="1307">
      <c r="A1307" s="62">
        <f>IF('17'!$C$1="","",'17'!$C$1)</f>
        <v/>
      </c>
      <c r="B1307" s="63">
        <f>Ustawienia!$A$8&amp;""</f>
        <v/>
      </c>
      <c r="C1307" s="63">
        <f>Ustawienia!$A$15&amp;""</f>
        <v/>
      </c>
      <c r="D1307" s="63" t="n">
        <v>4</v>
      </c>
      <c r="E1307" s="63">
        <f>IF('17'!B16="","",TRIM('17'!B16&amp;""))</f>
        <v/>
      </c>
      <c r="F1307" s="63">
        <f>IF('17'!C16="","",'17'!C16)</f>
        <v/>
      </c>
      <c r="G1307" s="63">
        <f>'17'!D16&amp;""</f>
        <v/>
      </c>
      <c r="H1307" s="63">
        <f>IF(OR(A1307="",F1307=""),"",F1307&amp;"|"&amp;A1307)</f>
        <v/>
      </c>
      <c r="I1307" s="63">
        <f>IF(AND(H1307&lt;&gt;"",OR('Historia wózka'!$B$4="",F1307='Historia wózka'!$B$4),A1307&gt;='Historia wózka'!$B$5,A1307&lt;='Historia wózka'!$B$6),A1307+0.9+(5000-ROW())/10000000,0)</f>
        <v/>
      </c>
      <c r="J1307" s="63">
        <f>Ustawienia!$B$8&amp;""</f>
        <v/>
      </c>
      <c r="K1307" s="63">
        <f>IF(H1307="","",COUNTIFS('Zgłoszenia'!$B$5:$B$504,F1307,'Zgłoszenia'!$D$5:$D$504,"&gt;="&amp;A1307,'Zgłoszenia'!$D$5:$D$504,"&lt;="&amp;(A1307+1)))</f>
        <v/>
      </c>
      <c r="L1307" s="63">
        <f>IF(OR(H1307="",K1307=0),"—",IF(ISNUMBER(MATCH(H1307,'Zgłoszenia'!$S$5:$S$504,0)),RIGHT("0"&amp;DAY(A1307),2)&amp;"."&amp;RIGHT("0"&amp;MONTH(A1307),2)&amp;"."&amp;YEAR(A1307)&amp;": "&amp;INDEX('Zgłoszenia'!$H$5:$H$504,MATCH(H1307,'Zgłoszenia'!$S$5:$S$504,0)),RIGHT("0"&amp;DAY((A1307+1)),2)&amp;"."&amp;RIGHT("0"&amp;MONTH((A1307+1)),2)&amp;"."&amp;YEAR((A1307+1))&amp;": "&amp;INDEX('Zgłoszenia'!$H$5:$H$504,MATCH(F1307&amp;"|"&amp;(A1307+1),'Zgłoszenia'!$S$5:$S$504,0)))&amp;IF(K1307&gt;1," (+"&amp;(K1307-1)&amp;")",""))</f>
        <v/>
      </c>
      <c r="M1307" s="63" t="n">
        <v>17</v>
      </c>
      <c r="N1307" s="2" t="n"/>
      <c r="O1307" s="2" t="n"/>
    </row>
    <row r="1308">
      <c r="A1308" s="62">
        <f>IF('17'!$C$1="","",'17'!$C$1)</f>
        <v/>
      </c>
      <c r="B1308" s="63">
        <f>Ustawienia!$A$8&amp;""</f>
        <v/>
      </c>
      <c r="C1308" s="63">
        <f>Ustawienia!$A$15&amp;""</f>
        <v/>
      </c>
      <c r="D1308" s="63" t="n">
        <v>5</v>
      </c>
      <c r="E1308" s="63">
        <f>IF('17'!B17="","",TRIM('17'!B17&amp;""))</f>
        <v/>
      </c>
      <c r="F1308" s="63">
        <f>IF('17'!C17="","",'17'!C17)</f>
        <v/>
      </c>
      <c r="G1308" s="63">
        <f>'17'!D17&amp;""</f>
        <v/>
      </c>
      <c r="H1308" s="63">
        <f>IF(OR(A1308="",F1308=""),"",F1308&amp;"|"&amp;A1308)</f>
        <v/>
      </c>
      <c r="I1308" s="63">
        <f>IF(AND(H1308&lt;&gt;"",OR('Historia wózka'!$B$4="",F1308='Historia wózka'!$B$4),A1308&gt;='Historia wózka'!$B$5,A1308&lt;='Historia wózka'!$B$6),A1308+0.9+(5000-ROW())/10000000,0)</f>
        <v/>
      </c>
      <c r="J1308" s="63">
        <f>Ustawienia!$B$8&amp;""</f>
        <v/>
      </c>
      <c r="K1308" s="63">
        <f>IF(H1308="","",COUNTIFS('Zgłoszenia'!$B$5:$B$504,F1308,'Zgłoszenia'!$D$5:$D$504,"&gt;="&amp;A1308,'Zgłoszenia'!$D$5:$D$504,"&lt;="&amp;(A1308+1)))</f>
        <v/>
      </c>
      <c r="L1308" s="63">
        <f>IF(OR(H1308="",K1308=0),"—",IF(ISNUMBER(MATCH(H1308,'Zgłoszenia'!$S$5:$S$504,0)),RIGHT("0"&amp;DAY(A1308),2)&amp;"."&amp;RIGHT("0"&amp;MONTH(A1308),2)&amp;"."&amp;YEAR(A1308)&amp;": "&amp;INDEX('Zgłoszenia'!$H$5:$H$504,MATCH(H1308,'Zgłoszenia'!$S$5:$S$504,0)),RIGHT("0"&amp;DAY((A1308+1)),2)&amp;"."&amp;RIGHT("0"&amp;MONTH((A1308+1)),2)&amp;"."&amp;YEAR((A1308+1))&amp;": "&amp;INDEX('Zgłoszenia'!$H$5:$H$504,MATCH(F1308&amp;"|"&amp;(A1308+1),'Zgłoszenia'!$S$5:$S$504,0)))&amp;IF(K1308&gt;1," (+"&amp;(K1308-1)&amp;")",""))</f>
        <v/>
      </c>
      <c r="M1308" s="63" t="n">
        <v>17</v>
      </c>
      <c r="N1308" s="2" t="n"/>
      <c r="O1308" s="2" t="n"/>
    </row>
    <row r="1309">
      <c r="A1309" s="62">
        <f>IF('17'!$C$1="","",'17'!$C$1)</f>
        <v/>
      </c>
      <c r="B1309" s="63">
        <f>Ustawienia!$A$8&amp;""</f>
        <v/>
      </c>
      <c r="C1309" s="63">
        <f>Ustawienia!$A$15&amp;""</f>
        <v/>
      </c>
      <c r="D1309" s="63" t="n">
        <v>6</v>
      </c>
      <c r="E1309" s="63">
        <f>IF('17'!B18="","",TRIM('17'!B18&amp;""))</f>
        <v/>
      </c>
      <c r="F1309" s="63">
        <f>IF('17'!C18="","",'17'!C18)</f>
        <v/>
      </c>
      <c r="G1309" s="63">
        <f>'17'!D18&amp;""</f>
        <v/>
      </c>
      <c r="H1309" s="63">
        <f>IF(OR(A1309="",F1309=""),"",F1309&amp;"|"&amp;A1309)</f>
        <v/>
      </c>
      <c r="I1309" s="63">
        <f>IF(AND(H1309&lt;&gt;"",OR('Historia wózka'!$B$4="",F1309='Historia wózka'!$B$4),A1309&gt;='Historia wózka'!$B$5,A1309&lt;='Historia wózka'!$B$6),A1309+0.9+(5000-ROW())/10000000,0)</f>
        <v/>
      </c>
      <c r="J1309" s="63">
        <f>Ustawienia!$B$8&amp;""</f>
        <v/>
      </c>
      <c r="K1309" s="63">
        <f>IF(H1309="","",COUNTIFS('Zgłoszenia'!$B$5:$B$504,F1309,'Zgłoszenia'!$D$5:$D$504,"&gt;="&amp;A1309,'Zgłoszenia'!$D$5:$D$504,"&lt;="&amp;(A1309+1)))</f>
        <v/>
      </c>
      <c r="L1309" s="63">
        <f>IF(OR(H1309="",K1309=0),"—",IF(ISNUMBER(MATCH(H1309,'Zgłoszenia'!$S$5:$S$504,0)),RIGHT("0"&amp;DAY(A1309),2)&amp;"."&amp;RIGHT("0"&amp;MONTH(A1309),2)&amp;"."&amp;YEAR(A1309)&amp;": "&amp;INDEX('Zgłoszenia'!$H$5:$H$504,MATCH(H1309,'Zgłoszenia'!$S$5:$S$504,0)),RIGHT("0"&amp;DAY((A1309+1)),2)&amp;"."&amp;RIGHT("0"&amp;MONTH((A1309+1)),2)&amp;"."&amp;YEAR((A1309+1))&amp;": "&amp;INDEX('Zgłoszenia'!$H$5:$H$504,MATCH(F1309&amp;"|"&amp;(A1309+1),'Zgłoszenia'!$S$5:$S$504,0)))&amp;IF(K1309&gt;1," (+"&amp;(K1309-1)&amp;")",""))</f>
        <v/>
      </c>
      <c r="M1309" s="63" t="n">
        <v>17</v>
      </c>
      <c r="N1309" s="2" t="n"/>
      <c r="O1309" s="2" t="n"/>
    </row>
    <row r="1310">
      <c r="A1310" s="62">
        <f>IF('17'!$C$1="","",'17'!$C$1)</f>
        <v/>
      </c>
      <c r="B1310" s="63">
        <f>Ustawienia!$A$8&amp;""</f>
        <v/>
      </c>
      <c r="C1310" s="63">
        <f>Ustawienia!$A$15&amp;""</f>
        <v/>
      </c>
      <c r="D1310" s="63" t="n">
        <v>7</v>
      </c>
      <c r="E1310" s="63">
        <f>IF('17'!B19="","",TRIM('17'!B19&amp;""))</f>
        <v/>
      </c>
      <c r="F1310" s="63">
        <f>IF('17'!C19="","",'17'!C19)</f>
        <v/>
      </c>
      <c r="G1310" s="63">
        <f>'17'!D19&amp;""</f>
        <v/>
      </c>
      <c r="H1310" s="63">
        <f>IF(OR(A1310="",F1310=""),"",F1310&amp;"|"&amp;A1310)</f>
        <v/>
      </c>
      <c r="I1310" s="63">
        <f>IF(AND(H1310&lt;&gt;"",OR('Historia wózka'!$B$4="",F1310='Historia wózka'!$B$4),A1310&gt;='Historia wózka'!$B$5,A1310&lt;='Historia wózka'!$B$6),A1310+0.9+(5000-ROW())/10000000,0)</f>
        <v/>
      </c>
      <c r="J1310" s="63">
        <f>Ustawienia!$B$8&amp;""</f>
        <v/>
      </c>
      <c r="K1310" s="63">
        <f>IF(H1310="","",COUNTIFS('Zgłoszenia'!$B$5:$B$504,F1310,'Zgłoszenia'!$D$5:$D$504,"&gt;="&amp;A1310,'Zgłoszenia'!$D$5:$D$504,"&lt;="&amp;(A1310+1)))</f>
        <v/>
      </c>
      <c r="L1310" s="63">
        <f>IF(OR(H1310="",K1310=0),"—",IF(ISNUMBER(MATCH(H1310,'Zgłoszenia'!$S$5:$S$504,0)),RIGHT("0"&amp;DAY(A1310),2)&amp;"."&amp;RIGHT("0"&amp;MONTH(A1310),2)&amp;"."&amp;YEAR(A1310)&amp;": "&amp;INDEX('Zgłoszenia'!$H$5:$H$504,MATCH(H1310,'Zgłoszenia'!$S$5:$S$504,0)),RIGHT("0"&amp;DAY((A1310+1)),2)&amp;"."&amp;RIGHT("0"&amp;MONTH((A1310+1)),2)&amp;"."&amp;YEAR((A1310+1))&amp;": "&amp;INDEX('Zgłoszenia'!$H$5:$H$504,MATCH(F1310&amp;"|"&amp;(A1310+1),'Zgłoszenia'!$S$5:$S$504,0)))&amp;IF(K1310&gt;1," (+"&amp;(K1310-1)&amp;")",""))</f>
        <v/>
      </c>
      <c r="M1310" s="63" t="n">
        <v>17</v>
      </c>
      <c r="N1310" s="2" t="n"/>
      <c r="O1310" s="2" t="n"/>
    </row>
    <row r="1311">
      <c r="A1311" s="62">
        <f>IF('17'!$C$1="","",'17'!$C$1)</f>
        <v/>
      </c>
      <c r="B1311" s="63">
        <f>Ustawienia!$A$8&amp;""</f>
        <v/>
      </c>
      <c r="C1311" s="63">
        <f>Ustawienia!$A$15&amp;""</f>
        <v/>
      </c>
      <c r="D1311" s="63" t="n">
        <v>8</v>
      </c>
      <c r="E1311" s="63">
        <f>IF('17'!B20="","",TRIM('17'!B20&amp;""))</f>
        <v/>
      </c>
      <c r="F1311" s="63">
        <f>IF('17'!C20="","",'17'!C20)</f>
        <v/>
      </c>
      <c r="G1311" s="63">
        <f>'17'!D20&amp;""</f>
        <v/>
      </c>
      <c r="H1311" s="63">
        <f>IF(OR(A1311="",F1311=""),"",F1311&amp;"|"&amp;A1311)</f>
        <v/>
      </c>
      <c r="I1311" s="63">
        <f>IF(AND(H1311&lt;&gt;"",OR('Historia wózka'!$B$4="",F1311='Historia wózka'!$B$4),A1311&gt;='Historia wózka'!$B$5,A1311&lt;='Historia wózka'!$B$6),A1311+0.9+(5000-ROW())/10000000,0)</f>
        <v/>
      </c>
      <c r="J1311" s="63">
        <f>Ustawienia!$B$8&amp;""</f>
        <v/>
      </c>
      <c r="K1311" s="63">
        <f>IF(H1311="","",COUNTIFS('Zgłoszenia'!$B$5:$B$504,F1311,'Zgłoszenia'!$D$5:$D$504,"&gt;="&amp;A1311,'Zgłoszenia'!$D$5:$D$504,"&lt;="&amp;(A1311+1)))</f>
        <v/>
      </c>
      <c r="L1311" s="63">
        <f>IF(OR(H1311="",K1311=0),"—",IF(ISNUMBER(MATCH(H1311,'Zgłoszenia'!$S$5:$S$504,0)),RIGHT("0"&amp;DAY(A1311),2)&amp;"."&amp;RIGHT("0"&amp;MONTH(A1311),2)&amp;"."&amp;YEAR(A1311)&amp;": "&amp;INDEX('Zgłoszenia'!$H$5:$H$504,MATCH(H1311,'Zgłoszenia'!$S$5:$S$504,0)),RIGHT("0"&amp;DAY((A1311+1)),2)&amp;"."&amp;RIGHT("0"&amp;MONTH((A1311+1)),2)&amp;"."&amp;YEAR((A1311+1))&amp;": "&amp;INDEX('Zgłoszenia'!$H$5:$H$504,MATCH(F1311&amp;"|"&amp;(A1311+1),'Zgłoszenia'!$S$5:$S$504,0)))&amp;IF(K1311&gt;1," (+"&amp;(K1311-1)&amp;")",""))</f>
        <v/>
      </c>
      <c r="M1311" s="63" t="n">
        <v>17</v>
      </c>
      <c r="N1311" s="2" t="n"/>
      <c r="O1311" s="2" t="n"/>
    </row>
    <row r="1312">
      <c r="A1312" s="62">
        <f>IF('17'!$C$1="","",'17'!$C$1)</f>
        <v/>
      </c>
      <c r="B1312" s="63">
        <f>Ustawienia!$A$8&amp;""</f>
        <v/>
      </c>
      <c r="C1312" s="63">
        <f>Ustawienia!$A$16&amp;""</f>
        <v/>
      </c>
      <c r="D1312" s="63" t="n">
        <v>1</v>
      </c>
      <c r="E1312" s="63">
        <f>IF('17'!B22="","",TRIM('17'!B22&amp;""))</f>
        <v/>
      </c>
      <c r="F1312" s="63">
        <f>IF('17'!C22="","",'17'!C22)</f>
        <v/>
      </c>
      <c r="G1312" s="63">
        <f>'17'!D22&amp;""</f>
        <v/>
      </c>
      <c r="H1312" s="63">
        <f>IF(OR(A1312="",F1312=""),"",F1312&amp;"|"&amp;A1312)</f>
        <v/>
      </c>
      <c r="I1312" s="63">
        <f>IF(AND(H1312&lt;&gt;"",OR('Historia wózka'!$B$4="",F1312='Historia wózka'!$B$4),A1312&gt;='Historia wózka'!$B$5,A1312&lt;='Historia wózka'!$B$6),A1312+0.9+(5000-ROW())/10000000,0)</f>
        <v/>
      </c>
      <c r="J1312" s="63">
        <f>Ustawienia!$B$8&amp;""</f>
        <v/>
      </c>
      <c r="K1312" s="63">
        <f>IF(H1312="","",COUNTIFS('Zgłoszenia'!$B$5:$B$504,F1312,'Zgłoszenia'!$D$5:$D$504,"&gt;="&amp;A1312,'Zgłoszenia'!$D$5:$D$504,"&lt;="&amp;(A1312+1)))</f>
        <v/>
      </c>
      <c r="L1312" s="63">
        <f>IF(OR(H1312="",K1312=0),"—",IF(ISNUMBER(MATCH(H1312,'Zgłoszenia'!$S$5:$S$504,0)),RIGHT("0"&amp;DAY(A1312),2)&amp;"."&amp;RIGHT("0"&amp;MONTH(A1312),2)&amp;"."&amp;YEAR(A1312)&amp;": "&amp;INDEX('Zgłoszenia'!$H$5:$H$504,MATCH(H1312,'Zgłoszenia'!$S$5:$S$504,0)),RIGHT("0"&amp;DAY((A1312+1)),2)&amp;"."&amp;RIGHT("0"&amp;MONTH((A1312+1)),2)&amp;"."&amp;YEAR((A1312+1))&amp;": "&amp;INDEX('Zgłoszenia'!$H$5:$H$504,MATCH(F1312&amp;"|"&amp;(A1312+1),'Zgłoszenia'!$S$5:$S$504,0)))&amp;IF(K1312&gt;1," (+"&amp;(K1312-1)&amp;")",""))</f>
        <v/>
      </c>
      <c r="M1312" s="63" t="n">
        <v>17</v>
      </c>
      <c r="N1312" s="2" t="n"/>
      <c r="O1312" s="2" t="n"/>
    </row>
    <row r="1313">
      <c r="A1313" s="62">
        <f>IF('17'!$C$1="","",'17'!$C$1)</f>
        <v/>
      </c>
      <c r="B1313" s="63">
        <f>Ustawienia!$A$8&amp;""</f>
        <v/>
      </c>
      <c r="C1313" s="63">
        <f>Ustawienia!$A$16&amp;""</f>
        <v/>
      </c>
      <c r="D1313" s="63" t="n">
        <v>2</v>
      </c>
      <c r="E1313" s="63">
        <f>IF('17'!B23="","",TRIM('17'!B23&amp;""))</f>
        <v/>
      </c>
      <c r="F1313" s="63">
        <f>IF('17'!C23="","",'17'!C23)</f>
        <v/>
      </c>
      <c r="G1313" s="63">
        <f>'17'!D23&amp;""</f>
        <v/>
      </c>
      <c r="H1313" s="63">
        <f>IF(OR(A1313="",F1313=""),"",F1313&amp;"|"&amp;A1313)</f>
        <v/>
      </c>
      <c r="I1313" s="63">
        <f>IF(AND(H1313&lt;&gt;"",OR('Historia wózka'!$B$4="",F1313='Historia wózka'!$B$4),A1313&gt;='Historia wózka'!$B$5,A1313&lt;='Historia wózka'!$B$6),A1313+0.9+(5000-ROW())/10000000,0)</f>
        <v/>
      </c>
      <c r="J1313" s="63">
        <f>Ustawienia!$B$8&amp;""</f>
        <v/>
      </c>
      <c r="K1313" s="63">
        <f>IF(H1313="","",COUNTIFS('Zgłoszenia'!$B$5:$B$504,F1313,'Zgłoszenia'!$D$5:$D$504,"&gt;="&amp;A1313,'Zgłoszenia'!$D$5:$D$504,"&lt;="&amp;(A1313+1)))</f>
        <v/>
      </c>
      <c r="L1313" s="63">
        <f>IF(OR(H1313="",K1313=0),"—",IF(ISNUMBER(MATCH(H1313,'Zgłoszenia'!$S$5:$S$504,0)),RIGHT("0"&amp;DAY(A1313),2)&amp;"."&amp;RIGHT("0"&amp;MONTH(A1313),2)&amp;"."&amp;YEAR(A1313)&amp;": "&amp;INDEX('Zgłoszenia'!$H$5:$H$504,MATCH(H1313,'Zgłoszenia'!$S$5:$S$504,0)),RIGHT("0"&amp;DAY((A1313+1)),2)&amp;"."&amp;RIGHT("0"&amp;MONTH((A1313+1)),2)&amp;"."&amp;YEAR((A1313+1))&amp;": "&amp;INDEX('Zgłoszenia'!$H$5:$H$504,MATCH(F1313&amp;"|"&amp;(A1313+1),'Zgłoszenia'!$S$5:$S$504,0)))&amp;IF(K1313&gt;1," (+"&amp;(K1313-1)&amp;")",""))</f>
        <v/>
      </c>
      <c r="M1313" s="63" t="n">
        <v>17</v>
      </c>
      <c r="N1313" s="2" t="n"/>
      <c r="O1313" s="2" t="n"/>
    </row>
    <row r="1314">
      <c r="A1314" s="62">
        <f>IF('17'!$C$1="","",'17'!$C$1)</f>
        <v/>
      </c>
      <c r="B1314" s="63">
        <f>Ustawienia!$A$8&amp;""</f>
        <v/>
      </c>
      <c r="C1314" s="63">
        <f>Ustawienia!$A$16&amp;""</f>
        <v/>
      </c>
      <c r="D1314" s="63" t="n">
        <v>3</v>
      </c>
      <c r="E1314" s="63">
        <f>IF('17'!B24="","",TRIM('17'!B24&amp;""))</f>
        <v/>
      </c>
      <c r="F1314" s="63">
        <f>IF('17'!C24="","",'17'!C24)</f>
        <v/>
      </c>
      <c r="G1314" s="63">
        <f>'17'!D24&amp;""</f>
        <v/>
      </c>
      <c r="H1314" s="63">
        <f>IF(OR(A1314="",F1314=""),"",F1314&amp;"|"&amp;A1314)</f>
        <v/>
      </c>
      <c r="I1314" s="63">
        <f>IF(AND(H1314&lt;&gt;"",OR('Historia wózka'!$B$4="",F1314='Historia wózka'!$B$4),A1314&gt;='Historia wózka'!$B$5,A1314&lt;='Historia wózka'!$B$6),A1314+0.9+(5000-ROW())/10000000,0)</f>
        <v/>
      </c>
      <c r="J1314" s="63">
        <f>Ustawienia!$B$8&amp;""</f>
        <v/>
      </c>
      <c r="K1314" s="63">
        <f>IF(H1314="","",COUNTIFS('Zgłoszenia'!$B$5:$B$504,F1314,'Zgłoszenia'!$D$5:$D$504,"&gt;="&amp;A1314,'Zgłoszenia'!$D$5:$D$504,"&lt;="&amp;(A1314+1)))</f>
        <v/>
      </c>
      <c r="L1314" s="63">
        <f>IF(OR(H1314="",K1314=0),"—",IF(ISNUMBER(MATCH(H1314,'Zgłoszenia'!$S$5:$S$504,0)),RIGHT("0"&amp;DAY(A1314),2)&amp;"."&amp;RIGHT("0"&amp;MONTH(A1314),2)&amp;"."&amp;YEAR(A1314)&amp;": "&amp;INDEX('Zgłoszenia'!$H$5:$H$504,MATCH(H1314,'Zgłoszenia'!$S$5:$S$504,0)),RIGHT("0"&amp;DAY((A1314+1)),2)&amp;"."&amp;RIGHT("0"&amp;MONTH((A1314+1)),2)&amp;"."&amp;YEAR((A1314+1))&amp;": "&amp;INDEX('Zgłoszenia'!$H$5:$H$504,MATCH(F1314&amp;"|"&amp;(A1314+1),'Zgłoszenia'!$S$5:$S$504,0)))&amp;IF(K1314&gt;1," (+"&amp;(K1314-1)&amp;")",""))</f>
        <v/>
      </c>
      <c r="M1314" s="63" t="n">
        <v>17</v>
      </c>
      <c r="N1314" s="2" t="n"/>
      <c r="O1314" s="2" t="n"/>
    </row>
    <row r="1315">
      <c r="A1315" s="62">
        <f>IF('17'!$C$1="","",'17'!$C$1)</f>
        <v/>
      </c>
      <c r="B1315" s="63">
        <f>Ustawienia!$A$8&amp;""</f>
        <v/>
      </c>
      <c r="C1315" s="63">
        <f>Ustawienia!$A$16&amp;""</f>
        <v/>
      </c>
      <c r="D1315" s="63" t="n">
        <v>4</v>
      </c>
      <c r="E1315" s="63">
        <f>IF('17'!B25="","",TRIM('17'!B25&amp;""))</f>
        <v/>
      </c>
      <c r="F1315" s="63">
        <f>IF('17'!C25="","",'17'!C25)</f>
        <v/>
      </c>
      <c r="G1315" s="63">
        <f>'17'!D25&amp;""</f>
        <v/>
      </c>
      <c r="H1315" s="63">
        <f>IF(OR(A1315="",F1315=""),"",F1315&amp;"|"&amp;A1315)</f>
        <v/>
      </c>
      <c r="I1315" s="63">
        <f>IF(AND(H1315&lt;&gt;"",OR('Historia wózka'!$B$4="",F1315='Historia wózka'!$B$4),A1315&gt;='Historia wózka'!$B$5,A1315&lt;='Historia wózka'!$B$6),A1315+0.9+(5000-ROW())/10000000,0)</f>
        <v/>
      </c>
      <c r="J1315" s="63">
        <f>Ustawienia!$B$8&amp;""</f>
        <v/>
      </c>
      <c r="K1315" s="63">
        <f>IF(H1315="","",COUNTIFS('Zgłoszenia'!$B$5:$B$504,F1315,'Zgłoszenia'!$D$5:$D$504,"&gt;="&amp;A1315,'Zgłoszenia'!$D$5:$D$504,"&lt;="&amp;(A1315+1)))</f>
        <v/>
      </c>
      <c r="L1315" s="63">
        <f>IF(OR(H1315="",K1315=0),"—",IF(ISNUMBER(MATCH(H1315,'Zgłoszenia'!$S$5:$S$504,0)),RIGHT("0"&amp;DAY(A1315),2)&amp;"."&amp;RIGHT("0"&amp;MONTH(A1315),2)&amp;"."&amp;YEAR(A1315)&amp;": "&amp;INDEX('Zgłoszenia'!$H$5:$H$504,MATCH(H1315,'Zgłoszenia'!$S$5:$S$504,0)),RIGHT("0"&amp;DAY((A1315+1)),2)&amp;"."&amp;RIGHT("0"&amp;MONTH((A1315+1)),2)&amp;"."&amp;YEAR((A1315+1))&amp;": "&amp;INDEX('Zgłoszenia'!$H$5:$H$504,MATCH(F1315&amp;"|"&amp;(A1315+1),'Zgłoszenia'!$S$5:$S$504,0)))&amp;IF(K1315&gt;1," (+"&amp;(K1315-1)&amp;")",""))</f>
        <v/>
      </c>
      <c r="M1315" s="63" t="n">
        <v>17</v>
      </c>
      <c r="N1315" s="2" t="n"/>
      <c r="O1315" s="2" t="n"/>
    </row>
    <row r="1316">
      <c r="A1316" s="62">
        <f>IF('17'!$C$1="","",'17'!$C$1)</f>
        <v/>
      </c>
      <c r="B1316" s="63">
        <f>Ustawienia!$A$8&amp;""</f>
        <v/>
      </c>
      <c r="C1316" s="63">
        <f>Ustawienia!$A$17&amp;""</f>
        <v/>
      </c>
      <c r="D1316" s="63" t="n">
        <v>1</v>
      </c>
      <c r="E1316" s="63">
        <f>IF('17'!B27="","",TRIM('17'!B27&amp;""))</f>
        <v/>
      </c>
      <c r="F1316" s="63">
        <f>IF('17'!C27="","",'17'!C27)</f>
        <v/>
      </c>
      <c r="G1316" s="63">
        <f>'17'!D27&amp;""</f>
        <v/>
      </c>
      <c r="H1316" s="63">
        <f>IF(OR(A1316="",F1316=""),"",F1316&amp;"|"&amp;A1316)</f>
        <v/>
      </c>
      <c r="I1316" s="63">
        <f>IF(AND(H1316&lt;&gt;"",OR('Historia wózka'!$B$4="",F1316='Historia wózka'!$B$4),A1316&gt;='Historia wózka'!$B$5,A1316&lt;='Historia wózka'!$B$6),A1316+0.9+(5000-ROW())/10000000,0)</f>
        <v/>
      </c>
      <c r="J1316" s="63">
        <f>Ustawienia!$B$8&amp;""</f>
        <v/>
      </c>
      <c r="K1316" s="63">
        <f>IF(H1316="","",COUNTIFS('Zgłoszenia'!$B$5:$B$504,F1316,'Zgłoszenia'!$D$5:$D$504,"&gt;="&amp;A1316,'Zgłoszenia'!$D$5:$D$504,"&lt;="&amp;(A1316+1)))</f>
        <v/>
      </c>
      <c r="L1316" s="63">
        <f>IF(OR(H1316="",K1316=0),"—",IF(ISNUMBER(MATCH(H1316,'Zgłoszenia'!$S$5:$S$504,0)),RIGHT("0"&amp;DAY(A1316),2)&amp;"."&amp;RIGHT("0"&amp;MONTH(A1316),2)&amp;"."&amp;YEAR(A1316)&amp;": "&amp;INDEX('Zgłoszenia'!$H$5:$H$504,MATCH(H1316,'Zgłoszenia'!$S$5:$S$504,0)),RIGHT("0"&amp;DAY((A1316+1)),2)&amp;"."&amp;RIGHT("0"&amp;MONTH((A1316+1)),2)&amp;"."&amp;YEAR((A1316+1))&amp;": "&amp;INDEX('Zgłoszenia'!$H$5:$H$504,MATCH(F1316&amp;"|"&amp;(A1316+1),'Zgłoszenia'!$S$5:$S$504,0)))&amp;IF(K1316&gt;1," (+"&amp;(K1316-1)&amp;")",""))</f>
        <v/>
      </c>
      <c r="M1316" s="63" t="n">
        <v>17</v>
      </c>
      <c r="N1316" s="2" t="n"/>
      <c r="O1316" s="2" t="n"/>
    </row>
    <row r="1317">
      <c r="A1317" s="62">
        <f>IF('17'!$C$1="","",'17'!$C$1)</f>
        <v/>
      </c>
      <c r="B1317" s="63">
        <f>Ustawienia!$A$8&amp;""</f>
        <v/>
      </c>
      <c r="C1317" s="63">
        <f>Ustawienia!$A$17&amp;""</f>
        <v/>
      </c>
      <c r="D1317" s="63" t="n">
        <v>2</v>
      </c>
      <c r="E1317" s="63">
        <f>IF('17'!B28="","",TRIM('17'!B28&amp;""))</f>
        <v/>
      </c>
      <c r="F1317" s="63">
        <f>IF('17'!C28="","",'17'!C28)</f>
        <v/>
      </c>
      <c r="G1317" s="63">
        <f>'17'!D28&amp;""</f>
        <v/>
      </c>
      <c r="H1317" s="63">
        <f>IF(OR(A1317="",F1317=""),"",F1317&amp;"|"&amp;A1317)</f>
        <v/>
      </c>
      <c r="I1317" s="63">
        <f>IF(AND(H1317&lt;&gt;"",OR('Historia wózka'!$B$4="",F1317='Historia wózka'!$B$4),A1317&gt;='Historia wózka'!$B$5,A1317&lt;='Historia wózka'!$B$6),A1317+0.9+(5000-ROW())/10000000,0)</f>
        <v/>
      </c>
      <c r="J1317" s="63">
        <f>Ustawienia!$B$8&amp;""</f>
        <v/>
      </c>
      <c r="K1317" s="63">
        <f>IF(H1317="","",COUNTIFS('Zgłoszenia'!$B$5:$B$504,F1317,'Zgłoszenia'!$D$5:$D$504,"&gt;="&amp;A1317,'Zgłoszenia'!$D$5:$D$504,"&lt;="&amp;(A1317+1)))</f>
        <v/>
      </c>
      <c r="L1317" s="63">
        <f>IF(OR(H1317="",K1317=0),"—",IF(ISNUMBER(MATCH(H1317,'Zgłoszenia'!$S$5:$S$504,0)),RIGHT("0"&amp;DAY(A1317),2)&amp;"."&amp;RIGHT("0"&amp;MONTH(A1317),2)&amp;"."&amp;YEAR(A1317)&amp;": "&amp;INDEX('Zgłoszenia'!$H$5:$H$504,MATCH(H1317,'Zgłoszenia'!$S$5:$S$504,0)),RIGHT("0"&amp;DAY((A1317+1)),2)&amp;"."&amp;RIGHT("0"&amp;MONTH((A1317+1)),2)&amp;"."&amp;YEAR((A1317+1))&amp;": "&amp;INDEX('Zgłoszenia'!$H$5:$H$504,MATCH(F1317&amp;"|"&amp;(A1317+1),'Zgłoszenia'!$S$5:$S$504,0)))&amp;IF(K1317&gt;1," (+"&amp;(K1317-1)&amp;")",""))</f>
        <v/>
      </c>
      <c r="M1317" s="63" t="n">
        <v>17</v>
      </c>
      <c r="N1317" s="2" t="n"/>
      <c r="O1317" s="2" t="n"/>
    </row>
    <row r="1318">
      <c r="A1318" s="62">
        <f>IF('17'!$C$1="","",'17'!$C$1)</f>
        <v/>
      </c>
      <c r="B1318" s="63">
        <f>Ustawienia!$A$8&amp;""</f>
        <v/>
      </c>
      <c r="C1318" s="63">
        <f>Ustawienia!$A$17&amp;""</f>
        <v/>
      </c>
      <c r="D1318" s="63" t="n">
        <v>3</v>
      </c>
      <c r="E1318" s="63">
        <f>IF('17'!B29="","",TRIM('17'!B29&amp;""))</f>
        <v/>
      </c>
      <c r="F1318" s="63">
        <f>IF('17'!C29="","",'17'!C29)</f>
        <v/>
      </c>
      <c r="G1318" s="63">
        <f>'17'!D29&amp;""</f>
        <v/>
      </c>
      <c r="H1318" s="63">
        <f>IF(OR(A1318="",F1318=""),"",F1318&amp;"|"&amp;A1318)</f>
        <v/>
      </c>
      <c r="I1318" s="63">
        <f>IF(AND(H1318&lt;&gt;"",OR('Historia wózka'!$B$4="",F1318='Historia wózka'!$B$4),A1318&gt;='Historia wózka'!$B$5,A1318&lt;='Historia wózka'!$B$6),A1318+0.9+(5000-ROW())/10000000,0)</f>
        <v/>
      </c>
      <c r="J1318" s="63">
        <f>Ustawienia!$B$8&amp;""</f>
        <v/>
      </c>
      <c r="K1318" s="63">
        <f>IF(H1318="","",COUNTIFS('Zgłoszenia'!$B$5:$B$504,F1318,'Zgłoszenia'!$D$5:$D$504,"&gt;="&amp;A1318,'Zgłoszenia'!$D$5:$D$504,"&lt;="&amp;(A1318+1)))</f>
        <v/>
      </c>
      <c r="L1318" s="63">
        <f>IF(OR(H1318="",K1318=0),"—",IF(ISNUMBER(MATCH(H1318,'Zgłoszenia'!$S$5:$S$504,0)),RIGHT("0"&amp;DAY(A1318),2)&amp;"."&amp;RIGHT("0"&amp;MONTH(A1318),2)&amp;"."&amp;YEAR(A1318)&amp;": "&amp;INDEX('Zgłoszenia'!$H$5:$H$504,MATCH(H1318,'Zgłoszenia'!$S$5:$S$504,0)),RIGHT("0"&amp;DAY((A1318+1)),2)&amp;"."&amp;RIGHT("0"&amp;MONTH((A1318+1)),2)&amp;"."&amp;YEAR((A1318+1))&amp;": "&amp;INDEX('Zgłoszenia'!$H$5:$H$504,MATCH(F1318&amp;"|"&amp;(A1318+1),'Zgłoszenia'!$S$5:$S$504,0)))&amp;IF(K1318&gt;1," (+"&amp;(K1318-1)&amp;")",""))</f>
        <v/>
      </c>
      <c r="M1318" s="63" t="n">
        <v>17</v>
      </c>
      <c r="N1318" s="2" t="n"/>
      <c r="O1318" s="2" t="n"/>
    </row>
    <row r="1319">
      <c r="A1319" s="62">
        <f>IF('17'!$C$1="","",'17'!$C$1)</f>
        <v/>
      </c>
      <c r="B1319" s="63">
        <f>Ustawienia!$A$8&amp;""</f>
        <v/>
      </c>
      <c r="C1319" s="63">
        <f>Ustawienia!$A$17&amp;""</f>
        <v/>
      </c>
      <c r="D1319" s="63" t="n">
        <v>4</v>
      </c>
      <c r="E1319" s="63">
        <f>IF('17'!B30="","",TRIM('17'!B30&amp;""))</f>
        <v/>
      </c>
      <c r="F1319" s="63">
        <f>IF('17'!C30="","",'17'!C30)</f>
        <v/>
      </c>
      <c r="G1319" s="63">
        <f>'17'!D30&amp;""</f>
        <v/>
      </c>
      <c r="H1319" s="63">
        <f>IF(OR(A1319="",F1319=""),"",F1319&amp;"|"&amp;A1319)</f>
        <v/>
      </c>
      <c r="I1319" s="63">
        <f>IF(AND(H1319&lt;&gt;"",OR('Historia wózka'!$B$4="",F1319='Historia wózka'!$B$4),A1319&gt;='Historia wózka'!$B$5,A1319&lt;='Historia wózka'!$B$6),A1319+0.9+(5000-ROW())/10000000,0)</f>
        <v/>
      </c>
      <c r="J1319" s="63">
        <f>Ustawienia!$B$8&amp;""</f>
        <v/>
      </c>
      <c r="K1319" s="63">
        <f>IF(H1319="","",COUNTIFS('Zgłoszenia'!$B$5:$B$504,F1319,'Zgłoszenia'!$D$5:$D$504,"&gt;="&amp;A1319,'Zgłoszenia'!$D$5:$D$504,"&lt;="&amp;(A1319+1)))</f>
        <v/>
      </c>
      <c r="L1319" s="63">
        <f>IF(OR(H1319="",K1319=0),"—",IF(ISNUMBER(MATCH(H1319,'Zgłoszenia'!$S$5:$S$504,0)),RIGHT("0"&amp;DAY(A1319),2)&amp;"."&amp;RIGHT("0"&amp;MONTH(A1319),2)&amp;"."&amp;YEAR(A1319)&amp;": "&amp;INDEX('Zgłoszenia'!$H$5:$H$504,MATCH(H1319,'Zgłoszenia'!$S$5:$S$504,0)),RIGHT("0"&amp;DAY((A1319+1)),2)&amp;"."&amp;RIGHT("0"&amp;MONTH((A1319+1)),2)&amp;"."&amp;YEAR((A1319+1))&amp;": "&amp;INDEX('Zgłoszenia'!$H$5:$H$504,MATCH(F1319&amp;"|"&amp;(A1319+1),'Zgłoszenia'!$S$5:$S$504,0)))&amp;IF(K1319&gt;1," (+"&amp;(K1319-1)&amp;")",""))</f>
        <v/>
      </c>
      <c r="M1319" s="63" t="n">
        <v>17</v>
      </c>
      <c r="N1319" s="2" t="n"/>
      <c r="O1319" s="2" t="n"/>
    </row>
    <row r="1320">
      <c r="A1320" s="62">
        <f>IF('17'!$C$1="","",'17'!$C$1)</f>
        <v/>
      </c>
      <c r="B1320" s="63">
        <f>Ustawienia!$A$8&amp;""</f>
        <v/>
      </c>
      <c r="C1320" s="63">
        <f>Ustawienia!$A$18&amp;""</f>
        <v/>
      </c>
      <c r="D1320" s="63" t="n">
        <v>1</v>
      </c>
      <c r="E1320" s="63">
        <f>IF('17'!B32="","",TRIM('17'!B32&amp;""))</f>
        <v/>
      </c>
      <c r="F1320" s="63">
        <f>IF('17'!C32="","",'17'!C32)</f>
        <v/>
      </c>
      <c r="G1320" s="63">
        <f>'17'!D32&amp;""</f>
        <v/>
      </c>
      <c r="H1320" s="63">
        <f>IF(OR(A1320="",F1320=""),"",F1320&amp;"|"&amp;A1320)</f>
        <v/>
      </c>
      <c r="I1320" s="63">
        <f>IF(AND(H1320&lt;&gt;"",OR('Historia wózka'!$B$4="",F1320='Historia wózka'!$B$4),A1320&gt;='Historia wózka'!$B$5,A1320&lt;='Historia wózka'!$B$6),A1320+0.9+(5000-ROW())/10000000,0)</f>
        <v/>
      </c>
      <c r="J1320" s="63">
        <f>Ustawienia!$B$8&amp;""</f>
        <v/>
      </c>
      <c r="K1320" s="63">
        <f>IF(H1320="","",COUNTIFS('Zgłoszenia'!$B$5:$B$504,F1320,'Zgłoszenia'!$D$5:$D$504,"&gt;="&amp;A1320,'Zgłoszenia'!$D$5:$D$504,"&lt;="&amp;(A1320+1)))</f>
        <v/>
      </c>
      <c r="L1320" s="63">
        <f>IF(OR(H1320="",K1320=0),"—",IF(ISNUMBER(MATCH(H1320,'Zgłoszenia'!$S$5:$S$504,0)),RIGHT("0"&amp;DAY(A1320),2)&amp;"."&amp;RIGHT("0"&amp;MONTH(A1320),2)&amp;"."&amp;YEAR(A1320)&amp;": "&amp;INDEX('Zgłoszenia'!$H$5:$H$504,MATCH(H1320,'Zgłoszenia'!$S$5:$S$504,0)),RIGHT("0"&amp;DAY((A1320+1)),2)&amp;"."&amp;RIGHT("0"&amp;MONTH((A1320+1)),2)&amp;"."&amp;YEAR((A1320+1))&amp;": "&amp;INDEX('Zgłoszenia'!$H$5:$H$504,MATCH(F1320&amp;"|"&amp;(A1320+1),'Zgłoszenia'!$S$5:$S$504,0)))&amp;IF(K1320&gt;1," (+"&amp;(K1320-1)&amp;")",""))</f>
        <v/>
      </c>
      <c r="M1320" s="63" t="n">
        <v>17</v>
      </c>
      <c r="N1320" s="2" t="n"/>
      <c r="O1320" s="2" t="n"/>
    </row>
    <row r="1321">
      <c r="A1321" s="62">
        <f>IF('17'!$C$1="","",'17'!$C$1)</f>
        <v/>
      </c>
      <c r="B1321" s="63">
        <f>Ustawienia!$A$8&amp;""</f>
        <v/>
      </c>
      <c r="C1321" s="63">
        <f>Ustawienia!$A$18&amp;""</f>
        <v/>
      </c>
      <c r="D1321" s="63" t="n">
        <v>2</v>
      </c>
      <c r="E1321" s="63">
        <f>IF('17'!B33="","",TRIM('17'!B33&amp;""))</f>
        <v/>
      </c>
      <c r="F1321" s="63">
        <f>IF('17'!C33="","",'17'!C33)</f>
        <v/>
      </c>
      <c r="G1321" s="63">
        <f>'17'!D33&amp;""</f>
        <v/>
      </c>
      <c r="H1321" s="63">
        <f>IF(OR(A1321="",F1321=""),"",F1321&amp;"|"&amp;A1321)</f>
        <v/>
      </c>
      <c r="I1321" s="63">
        <f>IF(AND(H1321&lt;&gt;"",OR('Historia wózka'!$B$4="",F1321='Historia wózka'!$B$4),A1321&gt;='Historia wózka'!$B$5,A1321&lt;='Historia wózka'!$B$6),A1321+0.9+(5000-ROW())/10000000,0)</f>
        <v/>
      </c>
      <c r="J1321" s="63">
        <f>Ustawienia!$B$8&amp;""</f>
        <v/>
      </c>
      <c r="K1321" s="63">
        <f>IF(H1321="","",COUNTIFS('Zgłoszenia'!$B$5:$B$504,F1321,'Zgłoszenia'!$D$5:$D$504,"&gt;="&amp;A1321,'Zgłoszenia'!$D$5:$D$504,"&lt;="&amp;(A1321+1)))</f>
        <v/>
      </c>
      <c r="L1321" s="63">
        <f>IF(OR(H1321="",K1321=0),"—",IF(ISNUMBER(MATCH(H1321,'Zgłoszenia'!$S$5:$S$504,0)),RIGHT("0"&amp;DAY(A1321),2)&amp;"."&amp;RIGHT("0"&amp;MONTH(A1321),2)&amp;"."&amp;YEAR(A1321)&amp;": "&amp;INDEX('Zgłoszenia'!$H$5:$H$504,MATCH(H1321,'Zgłoszenia'!$S$5:$S$504,0)),RIGHT("0"&amp;DAY((A1321+1)),2)&amp;"."&amp;RIGHT("0"&amp;MONTH((A1321+1)),2)&amp;"."&amp;YEAR((A1321+1))&amp;": "&amp;INDEX('Zgłoszenia'!$H$5:$H$504,MATCH(F1321&amp;"|"&amp;(A1321+1),'Zgłoszenia'!$S$5:$S$504,0)))&amp;IF(K1321&gt;1," (+"&amp;(K1321-1)&amp;")",""))</f>
        <v/>
      </c>
      <c r="M1321" s="63" t="n">
        <v>17</v>
      </c>
      <c r="N1321" s="2" t="n"/>
      <c r="O1321" s="2" t="n"/>
    </row>
    <row r="1322">
      <c r="A1322" s="62">
        <f>IF('17'!$C$1="","",'17'!$C$1)</f>
        <v/>
      </c>
      <c r="B1322" s="63">
        <f>Ustawienia!$A$8&amp;""</f>
        <v/>
      </c>
      <c r="C1322" s="63">
        <f>Ustawienia!$A$18&amp;""</f>
        <v/>
      </c>
      <c r="D1322" s="63" t="n">
        <v>3</v>
      </c>
      <c r="E1322" s="63">
        <f>IF('17'!B34="","",TRIM('17'!B34&amp;""))</f>
        <v/>
      </c>
      <c r="F1322" s="63">
        <f>IF('17'!C34="","",'17'!C34)</f>
        <v/>
      </c>
      <c r="G1322" s="63">
        <f>'17'!D34&amp;""</f>
        <v/>
      </c>
      <c r="H1322" s="63">
        <f>IF(OR(A1322="",F1322=""),"",F1322&amp;"|"&amp;A1322)</f>
        <v/>
      </c>
      <c r="I1322" s="63">
        <f>IF(AND(H1322&lt;&gt;"",OR('Historia wózka'!$B$4="",F1322='Historia wózka'!$B$4),A1322&gt;='Historia wózka'!$B$5,A1322&lt;='Historia wózka'!$B$6),A1322+0.9+(5000-ROW())/10000000,0)</f>
        <v/>
      </c>
      <c r="J1322" s="63">
        <f>Ustawienia!$B$8&amp;""</f>
        <v/>
      </c>
      <c r="K1322" s="63">
        <f>IF(H1322="","",COUNTIFS('Zgłoszenia'!$B$5:$B$504,F1322,'Zgłoszenia'!$D$5:$D$504,"&gt;="&amp;A1322,'Zgłoszenia'!$D$5:$D$504,"&lt;="&amp;(A1322+1)))</f>
        <v/>
      </c>
      <c r="L1322" s="63">
        <f>IF(OR(H1322="",K1322=0),"—",IF(ISNUMBER(MATCH(H1322,'Zgłoszenia'!$S$5:$S$504,0)),RIGHT("0"&amp;DAY(A1322),2)&amp;"."&amp;RIGHT("0"&amp;MONTH(A1322),2)&amp;"."&amp;YEAR(A1322)&amp;": "&amp;INDEX('Zgłoszenia'!$H$5:$H$504,MATCH(H1322,'Zgłoszenia'!$S$5:$S$504,0)),RIGHT("0"&amp;DAY((A1322+1)),2)&amp;"."&amp;RIGHT("0"&amp;MONTH((A1322+1)),2)&amp;"."&amp;YEAR((A1322+1))&amp;": "&amp;INDEX('Zgłoszenia'!$H$5:$H$504,MATCH(F1322&amp;"|"&amp;(A1322+1),'Zgłoszenia'!$S$5:$S$504,0)))&amp;IF(K1322&gt;1," (+"&amp;(K1322-1)&amp;")",""))</f>
        <v/>
      </c>
      <c r="M1322" s="63" t="n">
        <v>17</v>
      </c>
      <c r="N1322" s="2" t="n"/>
      <c r="O1322" s="2" t="n"/>
    </row>
    <row r="1323">
      <c r="A1323" s="62">
        <f>IF('17'!$C$1="","",'17'!$C$1)</f>
        <v/>
      </c>
      <c r="B1323" s="63">
        <f>Ustawienia!$A$8&amp;""</f>
        <v/>
      </c>
      <c r="C1323" s="63">
        <f>Ustawienia!$A$18&amp;""</f>
        <v/>
      </c>
      <c r="D1323" s="63" t="n">
        <v>4</v>
      </c>
      <c r="E1323" s="63">
        <f>IF('17'!B35="","",TRIM('17'!B35&amp;""))</f>
        <v/>
      </c>
      <c r="F1323" s="63">
        <f>IF('17'!C35="","",'17'!C35)</f>
        <v/>
      </c>
      <c r="G1323" s="63">
        <f>'17'!D35&amp;""</f>
        <v/>
      </c>
      <c r="H1323" s="63">
        <f>IF(OR(A1323="",F1323=""),"",F1323&amp;"|"&amp;A1323)</f>
        <v/>
      </c>
      <c r="I1323" s="63">
        <f>IF(AND(H1323&lt;&gt;"",OR('Historia wózka'!$B$4="",F1323='Historia wózka'!$B$4),A1323&gt;='Historia wózka'!$B$5,A1323&lt;='Historia wózka'!$B$6),A1323+0.9+(5000-ROW())/10000000,0)</f>
        <v/>
      </c>
      <c r="J1323" s="63">
        <f>Ustawienia!$B$8&amp;""</f>
        <v/>
      </c>
      <c r="K1323" s="63">
        <f>IF(H1323="","",COUNTIFS('Zgłoszenia'!$B$5:$B$504,F1323,'Zgłoszenia'!$D$5:$D$504,"&gt;="&amp;A1323,'Zgłoszenia'!$D$5:$D$504,"&lt;="&amp;(A1323+1)))</f>
        <v/>
      </c>
      <c r="L1323" s="63">
        <f>IF(OR(H1323="",K1323=0),"—",IF(ISNUMBER(MATCH(H1323,'Zgłoszenia'!$S$5:$S$504,0)),RIGHT("0"&amp;DAY(A1323),2)&amp;"."&amp;RIGHT("0"&amp;MONTH(A1323),2)&amp;"."&amp;YEAR(A1323)&amp;": "&amp;INDEX('Zgłoszenia'!$H$5:$H$504,MATCH(H1323,'Zgłoszenia'!$S$5:$S$504,0)),RIGHT("0"&amp;DAY((A1323+1)),2)&amp;"."&amp;RIGHT("0"&amp;MONTH((A1323+1)),2)&amp;"."&amp;YEAR((A1323+1))&amp;": "&amp;INDEX('Zgłoszenia'!$H$5:$H$504,MATCH(F1323&amp;"|"&amp;(A1323+1),'Zgłoszenia'!$S$5:$S$504,0)))&amp;IF(K1323&gt;1," (+"&amp;(K1323-1)&amp;")",""))</f>
        <v/>
      </c>
      <c r="M1323" s="63" t="n">
        <v>17</v>
      </c>
      <c r="N1323" s="2" t="n"/>
      <c r="O1323" s="2" t="n"/>
    </row>
    <row r="1324">
      <c r="A1324" s="62">
        <f>IF('17'!$C$1="","",'17'!$C$1)</f>
        <v/>
      </c>
      <c r="B1324" s="63">
        <f>Ustawienia!$A$8&amp;""</f>
        <v/>
      </c>
      <c r="C1324" s="63">
        <f>Ustawienia!$A$18&amp;""</f>
        <v/>
      </c>
      <c r="D1324" s="63" t="n">
        <v>5</v>
      </c>
      <c r="E1324" s="63">
        <f>IF('17'!B36="","",TRIM('17'!B36&amp;""))</f>
        <v/>
      </c>
      <c r="F1324" s="63">
        <f>IF('17'!C36="","",'17'!C36)</f>
        <v/>
      </c>
      <c r="G1324" s="63">
        <f>'17'!D36&amp;""</f>
        <v/>
      </c>
      <c r="H1324" s="63">
        <f>IF(OR(A1324="",F1324=""),"",F1324&amp;"|"&amp;A1324)</f>
        <v/>
      </c>
      <c r="I1324" s="63">
        <f>IF(AND(H1324&lt;&gt;"",OR('Historia wózka'!$B$4="",F1324='Historia wózka'!$B$4),A1324&gt;='Historia wózka'!$B$5,A1324&lt;='Historia wózka'!$B$6),A1324+0.9+(5000-ROW())/10000000,0)</f>
        <v/>
      </c>
      <c r="J1324" s="63">
        <f>Ustawienia!$B$8&amp;""</f>
        <v/>
      </c>
      <c r="K1324" s="63">
        <f>IF(H1324="","",COUNTIFS('Zgłoszenia'!$B$5:$B$504,F1324,'Zgłoszenia'!$D$5:$D$504,"&gt;="&amp;A1324,'Zgłoszenia'!$D$5:$D$504,"&lt;="&amp;(A1324+1)))</f>
        <v/>
      </c>
      <c r="L1324" s="63">
        <f>IF(OR(H1324="",K1324=0),"—",IF(ISNUMBER(MATCH(H1324,'Zgłoszenia'!$S$5:$S$504,0)),RIGHT("0"&amp;DAY(A1324),2)&amp;"."&amp;RIGHT("0"&amp;MONTH(A1324),2)&amp;"."&amp;YEAR(A1324)&amp;": "&amp;INDEX('Zgłoszenia'!$H$5:$H$504,MATCH(H1324,'Zgłoszenia'!$S$5:$S$504,0)),RIGHT("0"&amp;DAY((A1324+1)),2)&amp;"."&amp;RIGHT("0"&amp;MONTH((A1324+1)),2)&amp;"."&amp;YEAR((A1324+1))&amp;": "&amp;INDEX('Zgłoszenia'!$H$5:$H$504,MATCH(F1324&amp;"|"&amp;(A1324+1),'Zgłoszenia'!$S$5:$S$504,0)))&amp;IF(K1324&gt;1," (+"&amp;(K1324-1)&amp;")",""))</f>
        <v/>
      </c>
      <c r="M1324" s="63" t="n">
        <v>17</v>
      </c>
      <c r="N1324" s="2" t="n"/>
      <c r="O1324" s="2" t="n"/>
    </row>
    <row r="1325">
      <c r="A1325" s="62">
        <f>IF('17'!$C$1="","",'17'!$C$1)</f>
        <v/>
      </c>
      <c r="B1325" s="63">
        <f>Ustawienia!$A$9&amp;""</f>
        <v/>
      </c>
      <c r="C1325" s="63">
        <f>Ustawienia!$A$14&amp;""</f>
        <v/>
      </c>
      <c r="D1325" s="63" t="n">
        <v>1</v>
      </c>
      <c r="E1325" s="63">
        <f>IF('17'!F6="","",TRIM('17'!F6&amp;""))</f>
        <v/>
      </c>
      <c r="F1325" s="63">
        <f>IF('17'!G6="","",'17'!G6)</f>
        <v/>
      </c>
      <c r="G1325" s="63">
        <f>'17'!H6&amp;""</f>
        <v/>
      </c>
      <c r="H1325" s="63">
        <f>IF(OR(A1325="",F1325=""),"",F1325&amp;"|"&amp;A1325)</f>
        <v/>
      </c>
      <c r="I1325" s="63">
        <f>IF(AND(H1325&lt;&gt;"",OR('Historia wózka'!$B$4="",F1325='Historia wózka'!$B$4),A1325&gt;='Historia wózka'!$B$5,A1325&lt;='Historia wózka'!$B$6),A1325+0.8+(5000-ROW())/10000000,0)</f>
        <v/>
      </c>
      <c r="J1325" s="63">
        <f>Ustawienia!$B$9&amp;""</f>
        <v/>
      </c>
      <c r="K1325" s="63">
        <f>IF(H1325="","",COUNTIFS('Zgłoszenia'!$B$5:$B$504,F1325,'Zgłoszenia'!$D$5:$D$504,"&gt;="&amp;A1325,'Zgłoszenia'!$D$5:$D$504,"&lt;="&amp;(A1325+1)))</f>
        <v/>
      </c>
      <c r="L1325" s="63">
        <f>IF(OR(H1325="",K1325=0),"—",IF(ISNUMBER(MATCH(H1325,'Zgłoszenia'!$S$5:$S$504,0)),RIGHT("0"&amp;DAY(A1325),2)&amp;"."&amp;RIGHT("0"&amp;MONTH(A1325),2)&amp;"."&amp;YEAR(A1325)&amp;": "&amp;INDEX('Zgłoszenia'!$H$5:$H$504,MATCH(H1325,'Zgłoszenia'!$S$5:$S$504,0)),RIGHT("0"&amp;DAY((A1325+1)),2)&amp;"."&amp;RIGHT("0"&amp;MONTH((A1325+1)),2)&amp;"."&amp;YEAR((A1325+1))&amp;": "&amp;INDEX('Zgłoszenia'!$H$5:$H$504,MATCH(F1325&amp;"|"&amp;(A1325+1),'Zgłoszenia'!$S$5:$S$504,0)))&amp;IF(K1325&gt;1," (+"&amp;(K1325-1)&amp;")",""))</f>
        <v/>
      </c>
      <c r="M1325" s="63" t="n">
        <v>17</v>
      </c>
      <c r="N1325" s="2" t="n"/>
      <c r="O1325" s="2" t="n"/>
    </row>
    <row r="1326">
      <c r="A1326" s="62">
        <f>IF('17'!$C$1="","",'17'!$C$1)</f>
        <v/>
      </c>
      <c r="B1326" s="63">
        <f>Ustawienia!$A$9&amp;""</f>
        <v/>
      </c>
      <c r="C1326" s="63">
        <f>Ustawienia!$A$14&amp;""</f>
        <v/>
      </c>
      <c r="D1326" s="63" t="n">
        <v>2</v>
      </c>
      <c r="E1326" s="63">
        <f>IF('17'!F7="","",TRIM('17'!F7&amp;""))</f>
        <v/>
      </c>
      <c r="F1326" s="63">
        <f>IF('17'!G7="","",'17'!G7)</f>
        <v/>
      </c>
      <c r="G1326" s="63">
        <f>'17'!H7&amp;""</f>
        <v/>
      </c>
      <c r="H1326" s="63">
        <f>IF(OR(A1326="",F1326=""),"",F1326&amp;"|"&amp;A1326)</f>
        <v/>
      </c>
      <c r="I1326" s="63">
        <f>IF(AND(H1326&lt;&gt;"",OR('Historia wózka'!$B$4="",F1326='Historia wózka'!$B$4),A1326&gt;='Historia wózka'!$B$5,A1326&lt;='Historia wózka'!$B$6),A1326+0.8+(5000-ROW())/10000000,0)</f>
        <v/>
      </c>
      <c r="J1326" s="63">
        <f>Ustawienia!$B$9&amp;""</f>
        <v/>
      </c>
      <c r="K1326" s="63">
        <f>IF(H1326="","",COUNTIFS('Zgłoszenia'!$B$5:$B$504,F1326,'Zgłoszenia'!$D$5:$D$504,"&gt;="&amp;A1326,'Zgłoszenia'!$D$5:$D$504,"&lt;="&amp;(A1326+1)))</f>
        <v/>
      </c>
      <c r="L1326" s="63">
        <f>IF(OR(H1326="",K1326=0),"—",IF(ISNUMBER(MATCH(H1326,'Zgłoszenia'!$S$5:$S$504,0)),RIGHT("0"&amp;DAY(A1326),2)&amp;"."&amp;RIGHT("0"&amp;MONTH(A1326),2)&amp;"."&amp;YEAR(A1326)&amp;": "&amp;INDEX('Zgłoszenia'!$H$5:$H$504,MATCH(H1326,'Zgłoszenia'!$S$5:$S$504,0)),RIGHT("0"&amp;DAY((A1326+1)),2)&amp;"."&amp;RIGHT("0"&amp;MONTH((A1326+1)),2)&amp;"."&amp;YEAR((A1326+1))&amp;": "&amp;INDEX('Zgłoszenia'!$H$5:$H$504,MATCH(F1326&amp;"|"&amp;(A1326+1),'Zgłoszenia'!$S$5:$S$504,0)))&amp;IF(K1326&gt;1," (+"&amp;(K1326-1)&amp;")",""))</f>
        <v/>
      </c>
      <c r="M1326" s="63" t="n">
        <v>17</v>
      </c>
      <c r="N1326" s="2" t="n"/>
      <c r="O1326" s="2" t="n"/>
    </row>
    <row r="1327">
      <c r="A1327" s="62">
        <f>IF('17'!$C$1="","",'17'!$C$1)</f>
        <v/>
      </c>
      <c r="B1327" s="63">
        <f>Ustawienia!$A$9&amp;""</f>
        <v/>
      </c>
      <c r="C1327" s="63">
        <f>Ustawienia!$A$14&amp;""</f>
        <v/>
      </c>
      <c r="D1327" s="63" t="n">
        <v>3</v>
      </c>
      <c r="E1327" s="63">
        <f>IF('17'!F8="","",TRIM('17'!F8&amp;""))</f>
        <v/>
      </c>
      <c r="F1327" s="63">
        <f>IF('17'!G8="","",'17'!G8)</f>
        <v/>
      </c>
      <c r="G1327" s="63">
        <f>'17'!H8&amp;""</f>
        <v/>
      </c>
      <c r="H1327" s="63">
        <f>IF(OR(A1327="",F1327=""),"",F1327&amp;"|"&amp;A1327)</f>
        <v/>
      </c>
      <c r="I1327" s="63">
        <f>IF(AND(H1327&lt;&gt;"",OR('Historia wózka'!$B$4="",F1327='Historia wózka'!$B$4),A1327&gt;='Historia wózka'!$B$5,A1327&lt;='Historia wózka'!$B$6),A1327+0.8+(5000-ROW())/10000000,0)</f>
        <v/>
      </c>
      <c r="J1327" s="63">
        <f>Ustawienia!$B$9&amp;""</f>
        <v/>
      </c>
      <c r="K1327" s="63">
        <f>IF(H1327="","",COUNTIFS('Zgłoszenia'!$B$5:$B$504,F1327,'Zgłoszenia'!$D$5:$D$504,"&gt;="&amp;A1327,'Zgłoszenia'!$D$5:$D$504,"&lt;="&amp;(A1327+1)))</f>
        <v/>
      </c>
      <c r="L1327" s="63">
        <f>IF(OR(H1327="",K1327=0),"—",IF(ISNUMBER(MATCH(H1327,'Zgłoszenia'!$S$5:$S$504,0)),RIGHT("0"&amp;DAY(A1327),2)&amp;"."&amp;RIGHT("0"&amp;MONTH(A1327),2)&amp;"."&amp;YEAR(A1327)&amp;": "&amp;INDEX('Zgłoszenia'!$H$5:$H$504,MATCH(H1327,'Zgłoszenia'!$S$5:$S$504,0)),RIGHT("0"&amp;DAY((A1327+1)),2)&amp;"."&amp;RIGHT("0"&amp;MONTH((A1327+1)),2)&amp;"."&amp;YEAR((A1327+1))&amp;": "&amp;INDEX('Zgłoszenia'!$H$5:$H$504,MATCH(F1327&amp;"|"&amp;(A1327+1),'Zgłoszenia'!$S$5:$S$504,0)))&amp;IF(K1327&gt;1," (+"&amp;(K1327-1)&amp;")",""))</f>
        <v/>
      </c>
      <c r="M1327" s="63" t="n">
        <v>17</v>
      </c>
      <c r="N1327" s="2" t="n"/>
      <c r="O1327" s="2" t="n"/>
    </row>
    <row r="1328">
      <c r="A1328" s="62">
        <f>IF('17'!$C$1="","",'17'!$C$1)</f>
        <v/>
      </c>
      <c r="B1328" s="63">
        <f>Ustawienia!$A$9&amp;""</f>
        <v/>
      </c>
      <c r="C1328" s="63">
        <f>Ustawienia!$A$14&amp;""</f>
        <v/>
      </c>
      <c r="D1328" s="63" t="n">
        <v>4</v>
      </c>
      <c r="E1328" s="63">
        <f>IF('17'!F9="","",TRIM('17'!F9&amp;""))</f>
        <v/>
      </c>
      <c r="F1328" s="63">
        <f>IF('17'!G9="","",'17'!G9)</f>
        <v/>
      </c>
      <c r="G1328" s="63">
        <f>'17'!H9&amp;""</f>
        <v/>
      </c>
      <c r="H1328" s="63">
        <f>IF(OR(A1328="",F1328=""),"",F1328&amp;"|"&amp;A1328)</f>
        <v/>
      </c>
      <c r="I1328" s="63">
        <f>IF(AND(H1328&lt;&gt;"",OR('Historia wózka'!$B$4="",F1328='Historia wózka'!$B$4),A1328&gt;='Historia wózka'!$B$5,A1328&lt;='Historia wózka'!$B$6),A1328+0.8+(5000-ROW())/10000000,0)</f>
        <v/>
      </c>
      <c r="J1328" s="63">
        <f>Ustawienia!$B$9&amp;""</f>
        <v/>
      </c>
      <c r="K1328" s="63">
        <f>IF(H1328="","",COUNTIFS('Zgłoszenia'!$B$5:$B$504,F1328,'Zgłoszenia'!$D$5:$D$504,"&gt;="&amp;A1328,'Zgłoszenia'!$D$5:$D$504,"&lt;="&amp;(A1328+1)))</f>
        <v/>
      </c>
      <c r="L1328" s="63">
        <f>IF(OR(H1328="",K1328=0),"—",IF(ISNUMBER(MATCH(H1328,'Zgłoszenia'!$S$5:$S$504,0)),RIGHT("0"&amp;DAY(A1328),2)&amp;"."&amp;RIGHT("0"&amp;MONTH(A1328),2)&amp;"."&amp;YEAR(A1328)&amp;": "&amp;INDEX('Zgłoszenia'!$H$5:$H$504,MATCH(H1328,'Zgłoszenia'!$S$5:$S$504,0)),RIGHT("0"&amp;DAY((A1328+1)),2)&amp;"."&amp;RIGHT("0"&amp;MONTH((A1328+1)),2)&amp;"."&amp;YEAR((A1328+1))&amp;": "&amp;INDEX('Zgłoszenia'!$H$5:$H$504,MATCH(F1328&amp;"|"&amp;(A1328+1),'Zgłoszenia'!$S$5:$S$504,0)))&amp;IF(K1328&gt;1," (+"&amp;(K1328-1)&amp;")",""))</f>
        <v/>
      </c>
      <c r="M1328" s="63" t="n">
        <v>17</v>
      </c>
      <c r="N1328" s="2" t="n"/>
      <c r="O1328" s="2" t="n"/>
    </row>
    <row r="1329">
      <c r="A1329" s="62">
        <f>IF('17'!$C$1="","",'17'!$C$1)</f>
        <v/>
      </c>
      <c r="B1329" s="63">
        <f>Ustawienia!$A$9&amp;""</f>
        <v/>
      </c>
      <c r="C1329" s="63">
        <f>Ustawienia!$A$14&amp;""</f>
        <v/>
      </c>
      <c r="D1329" s="63" t="n">
        <v>5</v>
      </c>
      <c r="E1329" s="63">
        <f>IF('17'!F10="","",TRIM('17'!F10&amp;""))</f>
        <v/>
      </c>
      <c r="F1329" s="63">
        <f>IF('17'!G10="","",'17'!G10)</f>
        <v/>
      </c>
      <c r="G1329" s="63">
        <f>'17'!H10&amp;""</f>
        <v/>
      </c>
      <c r="H1329" s="63">
        <f>IF(OR(A1329="",F1329=""),"",F1329&amp;"|"&amp;A1329)</f>
        <v/>
      </c>
      <c r="I1329" s="63">
        <f>IF(AND(H1329&lt;&gt;"",OR('Historia wózka'!$B$4="",F1329='Historia wózka'!$B$4),A1329&gt;='Historia wózka'!$B$5,A1329&lt;='Historia wózka'!$B$6),A1329+0.8+(5000-ROW())/10000000,0)</f>
        <v/>
      </c>
      <c r="J1329" s="63">
        <f>Ustawienia!$B$9&amp;""</f>
        <v/>
      </c>
      <c r="K1329" s="63">
        <f>IF(H1329="","",COUNTIFS('Zgłoszenia'!$B$5:$B$504,F1329,'Zgłoszenia'!$D$5:$D$504,"&gt;="&amp;A1329,'Zgłoszenia'!$D$5:$D$504,"&lt;="&amp;(A1329+1)))</f>
        <v/>
      </c>
      <c r="L1329" s="63">
        <f>IF(OR(H1329="",K1329=0),"—",IF(ISNUMBER(MATCH(H1329,'Zgłoszenia'!$S$5:$S$504,0)),RIGHT("0"&amp;DAY(A1329),2)&amp;"."&amp;RIGHT("0"&amp;MONTH(A1329),2)&amp;"."&amp;YEAR(A1329)&amp;": "&amp;INDEX('Zgłoszenia'!$H$5:$H$504,MATCH(H1329,'Zgłoszenia'!$S$5:$S$504,0)),RIGHT("0"&amp;DAY((A1329+1)),2)&amp;"."&amp;RIGHT("0"&amp;MONTH((A1329+1)),2)&amp;"."&amp;YEAR((A1329+1))&amp;": "&amp;INDEX('Zgłoszenia'!$H$5:$H$504,MATCH(F1329&amp;"|"&amp;(A1329+1),'Zgłoszenia'!$S$5:$S$504,0)))&amp;IF(K1329&gt;1," (+"&amp;(K1329-1)&amp;")",""))</f>
        <v/>
      </c>
      <c r="M1329" s="63" t="n">
        <v>17</v>
      </c>
      <c r="N1329" s="2" t="n"/>
      <c r="O1329" s="2" t="n"/>
    </row>
    <row r="1330">
      <c r="A1330" s="62">
        <f>IF('17'!$C$1="","",'17'!$C$1)</f>
        <v/>
      </c>
      <c r="B1330" s="63">
        <f>Ustawienia!$A$9&amp;""</f>
        <v/>
      </c>
      <c r="C1330" s="63">
        <f>Ustawienia!$A$14&amp;""</f>
        <v/>
      </c>
      <c r="D1330" s="63" t="n">
        <v>6</v>
      </c>
      <c r="E1330" s="63">
        <f>IF('17'!F11="","",TRIM('17'!F11&amp;""))</f>
        <v/>
      </c>
      <c r="F1330" s="63">
        <f>IF('17'!G11="","",'17'!G11)</f>
        <v/>
      </c>
      <c r="G1330" s="63">
        <f>'17'!H11&amp;""</f>
        <v/>
      </c>
      <c r="H1330" s="63">
        <f>IF(OR(A1330="",F1330=""),"",F1330&amp;"|"&amp;A1330)</f>
        <v/>
      </c>
      <c r="I1330" s="63">
        <f>IF(AND(H1330&lt;&gt;"",OR('Historia wózka'!$B$4="",F1330='Historia wózka'!$B$4),A1330&gt;='Historia wózka'!$B$5,A1330&lt;='Historia wózka'!$B$6),A1330+0.8+(5000-ROW())/10000000,0)</f>
        <v/>
      </c>
      <c r="J1330" s="63">
        <f>Ustawienia!$B$9&amp;""</f>
        <v/>
      </c>
      <c r="K1330" s="63">
        <f>IF(H1330="","",COUNTIFS('Zgłoszenia'!$B$5:$B$504,F1330,'Zgłoszenia'!$D$5:$D$504,"&gt;="&amp;A1330,'Zgłoszenia'!$D$5:$D$504,"&lt;="&amp;(A1330+1)))</f>
        <v/>
      </c>
      <c r="L1330" s="63">
        <f>IF(OR(H1330="",K1330=0),"—",IF(ISNUMBER(MATCH(H1330,'Zgłoszenia'!$S$5:$S$504,0)),RIGHT("0"&amp;DAY(A1330),2)&amp;"."&amp;RIGHT("0"&amp;MONTH(A1330),2)&amp;"."&amp;YEAR(A1330)&amp;": "&amp;INDEX('Zgłoszenia'!$H$5:$H$504,MATCH(H1330,'Zgłoszenia'!$S$5:$S$504,0)),RIGHT("0"&amp;DAY((A1330+1)),2)&amp;"."&amp;RIGHT("0"&amp;MONTH((A1330+1)),2)&amp;"."&amp;YEAR((A1330+1))&amp;": "&amp;INDEX('Zgłoszenia'!$H$5:$H$504,MATCH(F1330&amp;"|"&amp;(A1330+1),'Zgłoszenia'!$S$5:$S$504,0)))&amp;IF(K1330&gt;1," (+"&amp;(K1330-1)&amp;")",""))</f>
        <v/>
      </c>
      <c r="M1330" s="63" t="n">
        <v>17</v>
      </c>
      <c r="N1330" s="2" t="n"/>
      <c r="O1330" s="2" t="n"/>
    </row>
    <row r="1331">
      <c r="A1331" s="62">
        <f>IF('17'!$C$1="","",'17'!$C$1)</f>
        <v/>
      </c>
      <c r="B1331" s="63">
        <f>Ustawienia!$A$9&amp;""</f>
        <v/>
      </c>
      <c r="C1331" s="63">
        <f>Ustawienia!$A$15&amp;""</f>
        <v/>
      </c>
      <c r="D1331" s="63" t="n">
        <v>1</v>
      </c>
      <c r="E1331" s="63">
        <f>IF('17'!F13="","",TRIM('17'!F13&amp;""))</f>
        <v/>
      </c>
      <c r="F1331" s="63">
        <f>IF('17'!G13="","",'17'!G13)</f>
        <v/>
      </c>
      <c r="G1331" s="63">
        <f>'17'!H13&amp;""</f>
        <v/>
      </c>
      <c r="H1331" s="63">
        <f>IF(OR(A1331="",F1331=""),"",F1331&amp;"|"&amp;A1331)</f>
        <v/>
      </c>
      <c r="I1331" s="63">
        <f>IF(AND(H1331&lt;&gt;"",OR('Historia wózka'!$B$4="",F1331='Historia wózka'!$B$4),A1331&gt;='Historia wózka'!$B$5,A1331&lt;='Historia wózka'!$B$6),A1331+0.8+(5000-ROW())/10000000,0)</f>
        <v/>
      </c>
      <c r="J1331" s="63">
        <f>Ustawienia!$B$9&amp;""</f>
        <v/>
      </c>
      <c r="K1331" s="63">
        <f>IF(H1331="","",COUNTIFS('Zgłoszenia'!$B$5:$B$504,F1331,'Zgłoszenia'!$D$5:$D$504,"&gt;="&amp;A1331,'Zgłoszenia'!$D$5:$D$504,"&lt;="&amp;(A1331+1)))</f>
        <v/>
      </c>
      <c r="L1331" s="63">
        <f>IF(OR(H1331="",K1331=0),"—",IF(ISNUMBER(MATCH(H1331,'Zgłoszenia'!$S$5:$S$504,0)),RIGHT("0"&amp;DAY(A1331),2)&amp;"."&amp;RIGHT("0"&amp;MONTH(A1331),2)&amp;"."&amp;YEAR(A1331)&amp;": "&amp;INDEX('Zgłoszenia'!$H$5:$H$504,MATCH(H1331,'Zgłoszenia'!$S$5:$S$504,0)),RIGHT("0"&amp;DAY((A1331+1)),2)&amp;"."&amp;RIGHT("0"&amp;MONTH((A1331+1)),2)&amp;"."&amp;YEAR((A1331+1))&amp;": "&amp;INDEX('Zgłoszenia'!$H$5:$H$504,MATCH(F1331&amp;"|"&amp;(A1331+1),'Zgłoszenia'!$S$5:$S$504,0)))&amp;IF(K1331&gt;1," (+"&amp;(K1331-1)&amp;")",""))</f>
        <v/>
      </c>
      <c r="M1331" s="63" t="n">
        <v>17</v>
      </c>
      <c r="N1331" s="2" t="n"/>
      <c r="O1331" s="2" t="n"/>
    </row>
    <row r="1332">
      <c r="A1332" s="62">
        <f>IF('17'!$C$1="","",'17'!$C$1)</f>
        <v/>
      </c>
      <c r="B1332" s="63">
        <f>Ustawienia!$A$9&amp;""</f>
        <v/>
      </c>
      <c r="C1332" s="63">
        <f>Ustawienia!$A$15&amp;""</f>
        <v/>
      </c>
      <c r="D1332" s="63" t="n">
        <v>2</v>
      </c>
      <c r="E1332" s="63">
        <f>IF('17'!F14="","",TRIM('17'!F14&amp;""))</f>
        <v/>
      </c>
      <c r="F1332" s="63">
        <f>IF('17'!G14="","",'17'!G14)</f>
        <v/>
      </c>
      <c r="G1332" s="63">
        <f>'17'!H14&amp;""</f>
        <v/>
      </c>
      <c r="H1332" s="63">
        <f>IF(OR(A1332="",F1332=""),"",F1332&amp;"|"&amp;A1332)</f>
        <v/>
      </c>
      <c r="I1332" s="63">
        <f>IF(AND(H1332&lt;&gt;"",OR('Historia wózka'!$B$4="",F1332='Historia wózka'!$B$4),A1332&gt;='Historia wózka'!$B$5,A1332&lt;='Historia wózka'!$B$6),A1332+0.8+(5000-ROW())/10000000,0)</f>
        <v/>
      </c>
      <c r="J1332" s="63">
        <f>Ustawienia!$B$9&amp;""</f>
        <v/>
      </c>
      <c r="K1332" s="63">
        <f>IF(H1332="","",COUNTIFS('Zgłoszenia'!$B$5:$B$504,F1332,'Zgłoszenia'!$D$5:$D$504,"&gt;="&amp;A1332,'Zgłoszenia'!$D$5:$D$504,"&lt;="&amp;(A1332+1)))</f>
        <v/>
      </c>
      <c r="L1332" s="63">
        <f>IF(OR(H1332="",K1332=0),"—",IF(ISNUMBER(MATCH(H1332,'Zgłoszenia'!$S$5:$S$504,0)),RIGHT("0"&amp;DAY(A1332),2)&amp;"."&amp;RIGHT("0"&amp;MONTH(A1332),2)&amp;"."&amp;YEAR(A1332)&amp;": "&amp;INDEX('Zgłoszenia'!$H$5:$H$504,MATCH(H1332,'Zgłoszenia'!$S$5:$S$504,0)),RIGHT("0"&amp;DAY((A1332+1)),2)&amp;"."&amp;RIGHT("0"&amp;MONTH((A1332+1)),2)&amp;"."&amp;YEAR((A1332+1))&amp;": "&amp;INDEX('Zgłoszenia'!$H$5:$H$504,MATCH(F1332&amp;"|"&amp;(A1332+1),'Zgłoszenia'!$S$5:$S$504,0)))&amp;IF(K1332&gt;1," (+"&amp;(K1332-1)&amp;")",""))</f>
        <v/>
      </c>
      <c r="M1332" s="63" t="n">
        <v>17</v>
      </c>
      <c r="N1332" s="2" t="n"/>
      <c r="O1332" s="2" t="n"/>
    </row>
    <row r="1333">
      <c r="A1333" s="62">
        <f>IF('17'!$C$1="","",'17'!$C$1)</f>
        <v/>
      </c>
      <c r="B1333" s="63">
        <f>Ustawienia!$A$9&amp;""</f>
        <v/>
      </c>
      <c r="C1333" s="63">
        <f>Ustawienia!$A$15&amp;""</f>
        <v/>
      </c>
      <c r="D1333" s="63" t="n">
        <v>3</v>
      </c>
      <c r="E1333" s="63">
        <f>IF('17'!F15="","",TRIM('17'!F15&amp;""))</f>
        <v/>
      </c>
      <c r="F1333" s="63">
        <f>IF('17'!G15="","",'17'!G15)</f>
        <v/>
      </c>
      <c r="G1333" s="63">
        <f>'17'!H15&amp;""</f>
        <v/>
      </c>
      <c r="H1333" s="63">
        <f>IF(OR(A1333="",F1333=""),"",F1333&amp;"|"&amp;A1333)</f>
        <v/>
      </c>
      <c r="I1333" s="63">
        <f>IF(AND(H1333&lt;&gt;"",OR('Historia wózka'!$B$4="",F1333='Historia wózka'!$B$4),A1333&gt;='Historia wózka'!$B$5,A1333&lt;='Historia wózka'!$B$6),A1333+0.8+(5000-ROW())/10000000,0)</f>
        <v/>
      </c>
      <c r="J1333" s="63">
        <f>Ustawienia!$B$9&amp;""</f>
        <v/>
      </c>
      <c r="K1333" s="63">
        <f>IF(H1333="","",COUNTIFS('Zgłoszenia'!$B$5:$B$504,F1333,'Zgłoszenia'!$D$5:$D$504,"&gt;="&amp;A1333,'Zgłoszenia'!$D$5:$D$504,"&lt;="&amp;(A1333+1)))</f>
        <v/>
      </c>
      <c r="L1333" s="63">
        <f>IF(OR(H1333="",K1333=0),"—",IF(ISNUMBER(MATCH(H1333,'Zgłoszenia'!$S$5:$S$504,0)),RIGHT("0"&amp;DAY(A1333),2)&amp;"."&amp;RIGHT("0"&amp;MONTH(A1333),2)&amp;"."&amp;YEAR(A1333)&amp;": "&amp;INDEX('Zgłoszenia'!$H$5:$H$504,MATCH(H1333,'Zgłoszenia'!$S$5:$S$504,0)),RIGHT("0"&amp;DAY((A1333+1)),2)&amp;"."&amp;RIGHT("0"&amp;MONTH((A1333+1)),2)&amp;"."&amp;YEAR((A1333+1))&amp;": "&amp;INDEX('Zgłoszenia'!$H$5:$H$504,MATCH(F1333&amp;"|"&amp;(A1333+1),'Zgłoszenia'!$S$5:$S$504,0)))&amp;IF(K1333&gt;1," (+"&amp;(K1333-1)&amp;")",""))</f>
        <v/>
      </c>
      <c r="M1333" s="63" t="n">
        <v>17</v>
      </c>
      <c r="N1333" s="2" t="n"/>
      <c r="O1333" s="2" t="n"/>
    </row>
    <row r="1334">
      <c r="A1334" s="62">
        <f>IF('17'!$C$1="","",'17'!$C$1)</f>
        <v/>
      </c>
      <c r="B1334" s="63">
        <f>Ustawienia!$A$9&amp;""</f>
        <v/>
      </c>
      <c r="C1334" s="63">
        <f>Ustawienia!$A$15&amp;""</f>
        <v/>
      </c>
      <c r="D1334" s="63" t="n">
        <v>4</v>
      </c>
      <c r="E1334" s="63">
        <f>IF('17'!F16="","",TRIM('17'!F16&amp;""))</f>
        <v/>
      </c>
      <c r="F1334" s="63">
        <f>IF('17'!G16="","",'17'!G16)</f>
        <v/>
      </c>
      <c r="G1334" s="63">
        <f>'17'!H16&amp;""</f>
        <v/>
      </c>
      <c r="H1334" s="63">
        <f>IF(OR(A1334="",F1334=""),"",F1334&amp;"|"&amp;A1334)</f>
        <v/>
      </c>
      <c r="I1334" s="63">
        <f>IF(AND(H1334&lt;&gt;"",OR('Historia wózka'!$B$4="",F1334='Historia wózka'!$B$4),A1334&gt;='Historia wózka'!$B$5,A1334&lt;='Historia wózka'!$B$6),A1334+0.8+(5000-ROW())/10000000,0)</f>
        <v/>
      </c>
      <c r="J1334" s="63">
        <f>Ustawienia!$B$9&amp;""</f>
        <v/>
      </c>
      <c r="K1334" s="63">
        <f>IF(H1334="","",COUNTIFS('Zgłoszenia'!$B$5:$B$504,F1334,'Zgłoszenia'!$D$5:$D$504,"&gt;="&amp;A1334,'Zgłoszenia'!$D$5:$D$504,"&lt;="&amp;(A1334+1)))</f>
        <v/>
      </c>
      <c r="L1334" s="63">
        <f>IF(OR(H1334="",K1334=0),"—",IF(ISNUMBER(MATCH(H1334,'Zgłoszenia'!$S$5:$S$504,0)),RIGHT("0"&amp;DAY(A1334),2)&amp;"."&amp;RIGHT("0"&amp;MONTH(A1334),2)&amp;"."&amp;YEAR(A1334)&amp;": "&amp;INDEX('Zgłoszenia'!$H$5:$H$504,MATCH(H1334,'Zgłoszenia'!$S$5:$S$504,0)),RIGHT("0"&amp;DAY((A1334+1)),2)&amp;"."&amp;RIGHT("0"&amp;MONTH((A1334+1)),2)&amp;"."&amp;YEAR((A1334+1))&amp;": "&amp;INDEX('Zgłoszenia'!$H$5:$H$504,MATCH(F1334&amp;"|"&amp;(A1334+1),'Zgłoszenia'!$S$5:$S$504,0)))&amp;IF(K1334&gt;1," (+"&amp;(K1334-1)&amp;")",""))</f>
        <v/>
      </c>
      <c r="M1334" s="63" t="n">
        <v>17</v>
      </c>
      <c r="N1334" s="2" t="n"/>
      <c r="O1334" s="2" t="n"/>
    </row>
    <row r="1335">
      <c r="A1335" s="62">
        <f>IF('17'!$C$1="","",'17'!$C$1)</f>
        <v/>
      </c>
      <c r="B1335" s="63">
        <f>Ustawienia!$A$9&amp;""</f>
        <v/>
      </c>
      <c r="C1335" s="63">
        <f>Ustawienia!$A$15&amp;""</f>
        <v/>
      </c>
      <c r="D1335" s="63" t="n">
        <v>5</v>
      </c>
      <c r="E1335" s="63">
        <f>IF('17'!F17="","",TRIM('17'!F17&amp;""))</f>
        <v/>
      </c>
      <c r="F1335" s="63">
        <f>IF('17'!G17="","",'17'!G17)</f>
        <v/>
      </c>
      <c r="G1335" s="63">
        <f>'17'!H17&amp;""</f>
        <v/>
      </c>
      <c r="H1335" s="63">
        <f>IF(OR(A1335="",F1335=""),"",F1335&amp;"|"&amp;A1335)</f>
        <v/>
      </c>
      <c r="I1335" s="63">
        <f>IF(AND(H1335&lt;&gt;"",OR('Historia wózka'!$B$4="",F1335='Historia wózka'!$B$4),A1335&gt;='Historia wózka'!$B$5,A1335&lt;='Historia wózka'!$B$6),A1335+0.8+(5000-ROW())/10000000,0)</f>
        <v/>
      </c>
      <c r="J1335" s="63">
        <f>Ustawienia!$B$9&amp;""</f>
        <v/>
      </c>
      <c r="K1335" s="63">
        <f>IF(H1335="","",COUNTIFS('Zgłoszenia'!$B$5:$B$504,F1335,'Zgłoszenia'!$D$5:$D$504,"&gt;="&amp;A1335,'Zgłoszenia'!$D$5:$D$504,"&lt;="&amp;(A1335+1)))</f>
        <v/>
      </c>
      <c r="L1335" s="63">
        <f>IF(OR(H1335="",K1335=0),"—",IF(ISNUMBER(MATCH(H1335,'Zgłoszenia'!$S$5:$S$504,0)),RIGHT("0"&amp;DAY(A1335),2)&amp;"."&amp;RIGHT("0"&amp;MONTH(A1335),2)&amp;"."&amp;YEAR(A1335)&amp;": "&amp;INDEX('Zgłoszenia'!$H$5:$H$504,MATCH(H1335,'Zgłoszenia'!$S$5:$S$504,0)),RIGHT("0"&amp;DAY((A1335+1)),2)&amp;"."&amp;RIGHT("0"&amp;MONTH((A1335+1)),2)&amp;"."&amp;YEAR((A1335+1))&amp;": "&amp;INDEX('Zgłoszenia'!$H$5:$H$504,MATCH(F1335&amp;"|"&amp;(A1335+1),'Zgłoszenia'!$S$5:$S$504,0)))&amp;IF(K1335&gt;1," (+"&amp;(K1335-1)&amp;")",""))</f>
        <v/>
      </c>
      <c r="M1335" s="63" t="n">
        <v>17</v>
      </c>
      <c r="N1335" s="2" t="n"/>
      <c r="O1335" s="2" t="n"/>
    </row>
    <row r="1336">
      <c r="A1336" s="62">
        <f>IF('17'!$C$1="","",'17'!$C$1)</f>
        <v/>
      </c>
      <c r="B1336" s="63">
        <f>Ustawienia!$A$9&amp;""</f>
        <v/>
      </c>
      <c r="C1336" s="63">
        <f>Ustawienia!$A$15&amp;""</f>
        <v/>
      </c>
      <c r="D1336" s="63" t="n">
        <v>6</v>
      </c>
      <c r="E1336" s="63">
        <f>IF('17'!F18="","",TRIM('17'!F18&amp;""))</f>
        <v/>
      </c>
      <c r="F1336" s="63">
        <f>IF('17'!G18="","",'17'!G18)</f>
        <v/>
      </c>
      <c r="G1336" s="63">
        <f>'17'!H18&amp;""</f>
        <v/>
      </c>
      <c r="H1336" s="63">
        <f>IF(OR(A1336="",F1336=""),"",F1336&amp;"|"&amp;A1336)</f>
        <v/>
      </c>
      <c r="I1336" s="63">
        <f>IF(AND(H1336&lt;&gt;"",OR('Historia wózka'!$B$4="",F1336='Historia wózka'!$B$4),A1336&gt;='Historia wózka'!$B$5,A1336&lt;='Historia wózka'!$B$6),A1336+0.8+(5000-ROW())/10000000,0)</f>
        <v/>
      </c>
      <c r="J1336" s="63">
        <f>Ustawienia!$B$9&amp;""</f>
        <v/>
      </c>
      <c r="K1336" s="63">
        <f>IF(H1336="","",COUNTIFS('Zgłoszenia'!$B$5:$B$504,F1336,'Zgłoszenia'!$D$5:$D$504,"&gt;="&amp;A1336,'Zgłoszenia'!$D$5:$D$504,"&lt;="&amp;(A1336+1)))</f>
        <v/>
      </c>
      <c r="L1336" s="63">
        <f>IF(OR(H1336="",K1336=0),"—",IF(ISNUMBER(MATCH(H1336,'Zgłoszenia'!$S$5:$S$504,0)),RIGHT("0"&amp;DAY(A1336),2)&amp;"."&amp;RIGHT("0"&amp;MONTH(A1336),2)&amp;"."&amp;YEAR(A1336)&amp;": "&amp;INDEX('Zgłoszenia'!$H$5:$H$504,MATCH(H1336,'Zgłoszenia'!$S$5:$S$504,0)),RIGHT("0"&amp;DAY((A1336+1)),2)&amp;"."&amp;RIGHT("0"&amp;MONTH((A1336+1)),2)&amp;"."&amp;YEAR((A1336+1))&amp;": "&amp;INDEX('Zgłoszenia'!$H$5:$H$504,MATCH(F1336&amp;"|"&amp;(A1336+1),'Zgłoszenia'!$S$5:$S$504,0)))&amp;IF(K1336&gt;1," (+"&amp;(K1336-1)&amp;")",""))</f>
        <v/>
      </c>
      <c r="M1336" s="63" t="n">
        <v>17</v>
      </c>
      <c r="N1336" s="2" t="n"/>
      <c r="O1336" s="2" t="n"/>
    </row>
    <row r="1337">
      <c r="A1337" s="62">
        <f>IF('17'!$C$1="","",'17'!$C$1)</f>
        <v/>
      </c>
      <c r="B1337" s="63">
        <f>Ustawienia!$A$9&amp;""</f>
        <v/>
      </c>
      <c r="C1337" s="63">
        <f>Ustawienia!$A$15&amp;""</f>
        <v/>
      </c>
      <c r="D1337" s="63" t="n">
        <v>7</v>
      </c>
      <c r="E1337" s="63">
        <f>IF('17'!F19="","",TRIM('17'!F19&amp;""))</f>
        <v/>
      </c>
      <c r="F1337" s="63">
        <f>IF('17'!G19="","",'17'!G19)</f>
        <v/>
      </c>
      <c r="G1337" s="63">
        <f>'17'!H19&amp;""</f>
        <v/>
      </c>
      <c r="H1337" s="63">
        <f>IF(OR(A1337="",F1337=""),"",F1337&amp;"|"&amp;A1337)</f>
        <v/>
      </c>
      <c r="I1337" s="63">
        <f>IF(AND(H1337&lt;&gt;"",OR('Historia wózka'!$B$4="",F1337='Historia wózka'!$B$4),A1337&gt;='Historia wózka'!$B$5,A1337&lt;='Historia wózka'!$B$6),A1337+0.8+(5000-ROW())/10000000,0)</f>
        <v/>
      </c>
      <c r="J1337" s="63">
        <f>Ustawienia!$B$9&amp;""</f>
        <v/>
      </c>
      <c r="K1337" s="63">
        <f>IF(H1337="","",COUNTIFS('Zgłoszenia'!$B$5:$B$504,F1337,'Zgłoszenia'!$D$5:$D$504,"&gt;="&amp;A1337,'Zgłoszenia'!$D$5:$D$504,"&lt;="&amp;(A1337+1)))</f>
        <v/>
      </c>
      <c r="L1337" s="63">
        <f>IF(OR(H1337="",K1337=0),"—",IF(ISNUMBER(MATCH(H1337,'Zgłoszenia'!$S$5:$S$504,0)),RIGHT("0"&amp;DAY(A1337),2)&amp;"."&amp;RIGHT("0"&amp;MONTH(A1337),2)&amp;"."&amp;YEAR(A1337)&amp;": "&amp;INDEX('Zgłoszenia'!$H$5:$H$504,MATCH(H1337,'Zgłoszenia'!$S$5:$S$504,0)),RIGHT("0"&amp;DAY((A1337+1)),2)&amp;"."&amp;RIGHT("0"&amp;MONTH((A1337+1)),2)&amp;"."&amp;YEAR((A1337+1))&amp;": "&amp;INDEX('Zgłoszenia'!$H$5:$H$504,MATCH(F1337&amp;"|"&amp;(A1337+1),'Zgłoszenia'!$S$5:$S$504,0)))&amp;IF(K1337&gt;1," (+"&amp;(K1337-1)&amp;")",""))</f>
        <v/>
      </c>
      <c r="M1337" s="63" t="n">
        <v>17</v>
      </c>
      <c r="N1337" s="2" t="n"/>
      <c r="O1337" s="2" t="n"/>
    </row>
    <row r="1338">
      <c r="A1338" s="62">
        <f>IF('17'!$C$1="","",'17'!$C$1)</f>
        <v/>
      </c>
      <c r="B1338" s="63">
        <f>Ustawienia!$A$9&amp;""</f>
        <v/>
      </c>
      <c r="C1338" s="63">
        <f>Ustawienia!$A$15&amp;""</f>
        <v/>
      </c>
      <c r="D1338" s="63" t="n">
        <v>8</v>
      </c>
      <c r="E1338" s="63">
        <f>IF('17'!F20="","",TRIM('17'!F20&amp;""))</f>
        <v/>
      </c>
      <c r="F1338" s="63">
        <f>IF('17'!G20="","",'17'!G20)</f>
        <v/>
      </c>
      <c r="G1338" s="63">
        <f>'17'!H20&amp;""</f>
        <v/>
      </c>
      <c r="H1338" s="63">
        <f>IF(OR(A1338="",F1338=""),"",F1338&amp;"|"&amp;A1338)</f>
        <v/>
      </c>
      <c r="I1338" s="63">
        <f>IF(AND(H1338&lt;&gt;"",OR('Historia wózka'!$B$4="",F1338='Historia wózka'!$B$4),A1338&gt;='Historia wózka'!$B$5,A1338&lt;='Historia wózka'!$B$6),A1338+0.8+(5000-ROW())/10000000,0)</f>
        <v/>
      </c>
      <c r="J1338" s="63">
        <f>Ustawienia!$B$9&amp;""</f>
        <v/>
      </c>
      <c r="K1338" s="63">
        <f>IF(H1338="","",COUNTIFS('Zgłoszenia'!$B$5:$B$504,F1338,'Zgłoszenia'!$D$5:$D$504,"&gt;="&amp;A1338,'Zgłoszenia'!$D$5:$D$504,"&lt;="&amp;(A1338+1)))</f>
        <v/>
      </c>
      <c r="L1338" s="63">
        <f>IF(OR(H1338="",K1338=0),"—",IF(ISNUMBER(MATCH(H1338,'Zgłoszenia'!$S$5:$S$504,0)),RIGHT("0"&amp;DAY(A1338),2)&amp;"."&amp;RIGHT("0"&amp;MONTH(A1338),2)&amp;"."&amp;YEAR(A1338)&amp;": "&amp;INDEX('Zgłoszenia'!$H$5:$H$504,MATCH(H1338,'Zgłoszenia'!$S$5:$S$504,0)),RIGHT("0"&amp;DAY((A1338+1)),2)&amp;"."&amp;RIGHT("0"&amp;MONTH((A1338+1)),2)&amp;"."&amp;YEAR((A1338+1))&amp;": "&amp;INDEX('Zgłoszenia'!$H$5:$H$504,MATCH(F1338&amp;"|"&amp;(A1338+1),'Zgłoszenia'!$S$5:$S$504,0)))&amp;IF(K1338&gt;1," (+"&amp;(K1338-1)&amp;")",""))</f>
        <v/>
      </c>
      <c r="M1338" s="63" t="n">
        <v>17</v>
      </c>
      <c r="N1338" s="2" t="n"/>
      <c r="O1338" s="2" t="n"/>
    </row>
    <row r="1339">
      <c r="A1339" s="62">
        <f>IF('17'!$C$1="","",'17'!$C$1)</f>
        <v/>
      </c>
      <c r="B1339" s="63">
        <f>Ustawienia!$A$9&amp;""</f>
        <v/>
      </c>
      <c r="C1339" s="63">
        <f>Ustawienia!$A$16&amp;""</f>
        <v/>
      </c>
      <c r="D1339" s="63" t="n">
        <v>1</v>
      </c>
      <c r="E1339" s="63">
        <f>IF('17'!F22="","",TRIM('17'!F22&amp;""))</f>
        <v/>
      </c>
      <c r="F1339" s="63">
        <f>IF('17'!G22="","",'17'!G22)</f>
        <v/>
      </c>
      <c r="G1339" s="63">
        <f>'17'!H22&amp;""</f>
        <v/>
      </c>
      <c r="H1339" s="63">
        <f>IF(OR(A1339="",F1339=""),"",F1339&amp;"|"&amp;A1339)</f>
        <v/>
      </c>
      <c r="I1339" s="63">
        <f>IF(AND(H1339&lt;&gt;"",OR('Historia wózka'!$B$4="",F1339='Historia wózka'!$B$4),A1339&gt;='Historia wózka'!$B$5,A1339&lt;='Historia wózka'!$B$6),A1339+0.8+(5000-ROW())/10000000,0)</f>
        <v/>
      </c>
      <c r="J1339" s="63">
        <f>Ustawienia!$B$9&amp;""</f>
        <v/>
      </c>
      <c r="K1339" s="63">
        <f>IF(H1339="","",COUNTIFS('Zgłoszenia'!$B$5:$B$504,F1339,'Zgłoszenia'!$D$5:$D$504,"&gt;="&amp;A1339,'Zgłoszenia'!$D$5:$D$504,"&lt;="&amp;(A1339+1)))</f>
        <v/>
      </c>
      <c r="L1339" s="63">
        <f>IF(OR(H1339="",K1339=0),"—",IF(ISNUMBER(MATCH(H1339,'Zgłoszenia'!$S$5:$S$504,0)),RIGHT("0"&amp;DAY(A1339),2)&amp;"."&amp;RIGHT("0"&amp;MONTH(A1339),2)&amp;"."&amp;YEAR(A1339)&amp;": "&amp;INDEX('Zgłoszenia'!$H$5:$H$504,MATCH(H1339,'Zgłoszenia'!$S$5:$S$504,0)),RIGHT("0"&amp;DAY((A1339+1)),2)&amp;"."&amp;RIGHT("0"&amp;MONTH((A1339+1)),2)&amp;"."&amp;YEAR((A1339+1))&amp;": "&amp;INDEX('Zgłoszenia'!$H$5:$H$504,MATCH(F1339&amp;"|"&amp;(A1339+1),'Zgłoszenia'!$S$5:$S$504,0)))&amp;IF(K1339&gt;1," (+"&amp;(K1339-1)&amp;")",""))</f>
        <v/>
      </c>
      <c r="M1339" s="63" t="n">
        <v>17</v>
      </c>
      <c r="N1339" s="2" t="n"/>
      <c r="O1339" s="2" t="n"/>
    </row>
    <row r="1340">
      <c r="A1340" s="62">
        <f>IF('17'!$C$1="","",'17'!$C$1)</f>
        <v/>
      </c>
      <c r="B1340" s="63">
        <f>Ustawienia!$A$9&amp;""</f>
        <v/>
      </c>
      <c r="C1340" s="63">
        <f>Ustawienia!$A$16&amp;""</f>
        <v/>
      </c>
      <c r="D1340" s="63" t="n">
        <v>2</v>
      </c>
      <c r="E1340" s="63">
        <f>IF('17'!F23="","",TRIM('17'!F23&amp;""))</f>
        <v/>
      </c>
      <c r="F1340" s="63">
        <f>IF('17'!G23="","",'17'!G23)</f>
        <v/>
      </c>
      <c r="G1340" s="63">
        <f>'17'!H23&amp;""</f>
        <v/>
      </c>
      <c r="H1340" s="63">
        <f>IF(OR(A1340="",F1340=""),"",F1340&amp;"|"&amp;A1340)</f>
        <v/>
      </c>
      <c r="I1340" s="63">
        <f>IF(AND(H1340&lt;&gt;"",OR('Historia wózka'!$B$4="",F1340='Historia wózka'!$B$4),A1340&gt;='Historia wózka'!$B$5,A1340&lt;='Historia wózka'!$B$6),A1340+0.8+(5000-ROW())/10000000,0)</f>
        <v/>
      </c>
      <c r="J1340" s="63">
        <f>Ustawienia!$B$9&amp;""</f>
        <v/>
      </c>
      <c r="K1340" s="63">
        <f>IF(H1340="","",COUNTIFS('Zgłoszenia'!$B$5:$B$504,F1340,'Zgłoszenia'!$D$5:$D$504,"&gt;="&amp;A1340,'Zgłoszenia'!$D$5:$D$504,"&lt;="&amp;(A1340+1)))</f>
        <v/>
      </c>
      <c r="L1340" s="63">
        <f>IF(OR(H1340="",K1340=0),"—",IF(ISNUMBER(MATCH(H1340,'Zgłoszenia'!$S$5:$S$504,0)),RIGHT("0"&amp;DAY(A1340),2)&amp;"."&amp;RIGHT("0"&amp;MONTH(A1340),2)&amp;"."&amp;YEAR(A1340)&amp;": "&amp;INDEX('Zgłoszenia'!$H$5:$H$504,MATCH(H1340,'Zgłoszenia'!$S$5:$S$504,0)),RIGHT("0"&amp;DAY((A1340+1)),2)&amp;"."&amp;RIGHT("0"&amp;MONTH((A1340+1)),2)&amp;"."&amp;YEAR((A1340+1))&amp;": "&amp;INDEX('Zgłoszenia'!$H$5:$H$504,MATCH(F1340&amp;"|"&amp;(A1340+1),'Zgłoszenia'!$S$5:$S$504,0)))&amp;IF(K1340&gt;1," (+"&amp;(K1340-1)&amp;")",""))</f>
        <v/>
      </c>
      <c r="M1340" s="63" t="n">
        <v>17</v>
      </c>
      <c r="N1340" s="2" t="n"/>
      <c r="O1340" s="2" t="n"/>
    </row>
    <row r="1341">
      <c r="A1341" s="62">
        <f>IF('17'!$C$1="","",'17'!$C$1)</f>
        <v/>
      </c>
      <c r="B1341" s="63">
        <f>Ustawienia!$A$9&amp;""</f>
        <v/>
      </c>
      <c r="C1341" s="63">
        <f>Ustawienia!$A$16&amp;""</f>
        <v/>
      </c>
      <c r="D1341" s="63" t="n">
        <v>3</v>
      </c>
      <c r="E1341" s="63">
        <f>IF('17'!F24="","",TRIM('17'!F24&amp;""))</f>
        <v/>
      </c>
      <c r="F1341" s="63">
        <f>IF('17'!G24="","",'17'!G24)</f>
        <v/>
      </c>
      <c r="G1341" s="63">
        <f>'17'!H24&amp;""</f>
        <v/>
      </c>
      <c r="H1341" s="63">
        <f>IF(OR(A1341="",F1341=""),"",F1341&amp;"|"&amp;A1341)</f>
        <v/>
      </c>
      <c r="I1341" s="63">
        <f>IF(AND(H1341&lt;&gt;"",OR('Historia wózka'!$B$4="",F1341='Historia wózka'!$B$4),A1341&gt;='Historia wózka'!$B$5,A1341&lt;='Historia wózka'!$B$6),A1341+0.8+(5000-ROW())/10000000,0)</f>
        <v/>
      </c>
      <c r="J1341" s="63">
        <f>Ustawienia!$B$9&amp;""</f>
        <v/>
      </c>
      <c r="K1341" s="63">
        <f>IF(H1341="","",COUNTIFS('Zgłoszenia'!$B$5:$B$504,F1341,'Zgłoszenia'!$D$5:$D$504,"&gt;="&amp;A1341,'Zgłoszenia'!$D$5:$D$504,"&lt;="&amp;(A1341+1)))</f>
        <v/>
      </c>
      <c r="L1341" s="63">
        <f>IF(OR(H1341="",K1341=0),"—",IF(ISNUMBER(MATCH(H1341,'Zgłoszenia'!$S$5:$S$504,0)),RIGHT("0"&amp;DAY(A1341),2)&amp;"."&amp;RIGHT("0"&amp;MONTH(A1341),2)&amp;"."&amp;YEAR(A1341)&amp;": "&amp;INDEX('Zgłoszenia'!$H$5:$H$504,MATCH(H1341,'Zgłoszenia'!$S$5:$S$504,0)),RIGHT("0"&amp;DAY((A1341+1)),2)&amp;"."&amp;RIGHT("0"&amp;MONTH((A1341+1)),2)&amp;"."&amp;YEAR((A1341+1))&amp;": "&amp;INDEX('Zgłoszenia'!$H$5:$H$504,MATCH(F1341&amp;"|"&amp;(A1341+1),'Zgłoszenia'!$S$5:$S$504,0)))&amp;IF(K1341&gt;1," (+"&amp;(K1341-1)&amp;")",""))</f>
        <v/>
      </c>
      <c r="M1341" s="63" t="n">
        <v>17</v>
      </c>
      <c r="N1341" s="2" t="n"/>
      <c r="O1341" s="2" t="n"/>
    </row>
    <row r="1342">
      <c r="A1342" s="62">
        <f>IF('17'!$C$1="","",'17'!$C$1)</f>
        <v/>
      </c>
      <c r="B1342" s="63">
        <f>Ustawienia!$A$9&amp;""</f>
        <v/>
      </c>
      <c r="C1342" s="63">
        <f>Ustawienia!$A$16&amp;""</f>
        <v/>
      </c>
      <c r="D1342" s="63" t="n">
        <v>4</v>
      </c>
      <c r="E1342" s="63">
        <f>IF('17'!F25="","",TRIM('17'!F25&amp;""))</f>
        <v/>
      </c>
      <c r="F1342" s="63">
        <f>IF('17'!G25="","",'17'!G25)</f>
        <v/>
      </c>
      <c r="G1342" s="63">
        <f>'17'!H25&amp;""</f>
        <v/>
      </c>
      <c r="H1342" s="63">
        <f>IF(OR(A1342="",F1342=""),"",F1342&amp;"|"&amp;A1342)</f>
        <v/>
      </c>
      <c r="I1342" s="63">
        <f>IF(AND(H1342&lt;&gt;"",OR('Historia wózka'!$B$4="",F1342='Historia wózka'!$B$4),A1342&gt;='Historia wózka'!$B$5,A1342&lt;='Historia wózka'!$B$6),A1342+0.8+(5000-ROW())/10000000,0)</f>
        <v/>
      </c>
      <c r="J1342" s="63">
        <f>Ustawienia!$B$9&amp;""</f>
        <v/>
      </c>
      <c r="K1342" s="63">
        <f>IF(H1342="","",COUNTIFS('Zgłoszenia'!$B$5:$B$504,F1342,'Zgłoszenia'!$D$5:$D$504,"&gt;="&amp;A1342,'Zgłoszenia'!$D$5:$D$504,"&lt;="&amp;(A1342+1)))</f>
        <v/>
      </c>
      <c r="L1342" s="63">
        <f>IF(OR(H1342="",K1342=0),"—",IF(ISNUMBER(MATCH(H1342,'Zgłoszenia'!$S$5:$S$504,0)),RIGHT("0"&amp;DAY(A1342),2)&amp;"."&amp;RIGHT("0"&amp;MONTH(A1342),2)&amp;"."&amp;YEAR(A1342)&amp;": "&amp;INDEX('Zgłoszenia'!$H$5:$H$504,MATCH(H1342,'Zgłoszenia'!$S$5:$S$504,0)),RIGHT("0"&amp;DAY((A1342+1)),2)&amp;"."&amp;RIGHT("0"&amp;MONTH((A1342+1)),2)&amp;"."&amp;YEAR((A1342+1))&amp;": "&amp;INDEX('Zgłoszenia'!$H$5:$H$504,MATCH(F1342&amp;"|"&amp;(A1342+1),'Zgłoszenia'!$S$5:$S$504,0)))&amp;IF(K1342&gt;1," (+"&amp;(K1342-1)&amp;")",""))</f>
        <v/>
      </c>
      <c r="M1342" s="63" t="n">
        <v>17</v>
      </c>
      <c r="N1342" s="2" t="n"/>
      <c r="O1342" s="2" t="n"/>
    </row>
    <row r="1343">
      <c r="A1343" s="62">
        <f>IF('17'!$C$1="","",'17'!$C$1)</f>
        <v/>
      </c>
      <c r="B1343" s="63">
        <f>Ustawienia!$A$9&amp;""</f>
        <v/>
      </c>
      <c r="C1343" s="63">
        <f>Ustawienia!$A$17&amp;""</f>
        <v/>
      </c>
      <c r="D1343" s="63" t="n">
        <v>1</v>
      </c>
      <c r="E1343" s="63">
        <f>IF('17'!F27="","",TRIM('17'!F27&amp;""))</f>
        <v/>
      </c>
      <c r="F1343" s="63">
        <f>IF('17'!G27="","",'17'!G27)</f>
        <v/>
      </c>
      <c r="G1343" s="63">
        <f>'17'!H27&amp;""</f>
        <v/>
      </c>
      <c r="H1343" s="63">
        <f>IF(OR(A1343="",F1343=""),"",F1343&amp;"|"&amp;A1343)</f>
        <v/>
      </c>
      <c r="I1343" s="63">
        <f>IF(AND(H1343&lt;&gt;"",OR('Historia wózka'!$B$4="",F1343='Historia wózka'!$B$4),A1343&gt;='Historia wózka'!$B$5,A1343&lt;='Historia wózka'!$B$6),A1343+0.8+(5000-ROW())/10000000,0)</f>
        <v/>
      </c>
      <c r="J1343" s="63">
        <f>Ustawienia!$B$9&amp;""</f>
        <v/>
      </c>
      <c r="K1343" s="63">
        <f>IF(H1343="","",COUNTIFS('Zgłoszenia'!$B$5:$B$504,F1343,'Zgłoszenia'!$D$5:$D$504,"&gt;="&amp;A1343,'Zgłoszenia'!$D$5:$D$504,"&lt;="&amp;(A1343+1)))</f>
        <v/>
      </c>
      <c r="L1343" s="63">
        <f>IF(OR(H1343="",K1343=0),"—",IF(ISNUMBER(MATCH(H1343,'Zgłoszenia'!$S$5:$S$504,0)),RIGHT("0"&amp;DAY(A1343),2)&amp;"."&amp;RIGHT("0"&amp;MONTH(A1343),2)&amp;"."&amp;YEAR(A1343)&amp;": "&amp;INDEX('Zgłoszenia'!$H$5:$H$504,MATCH(H1343,'Zgłoszenia'!$S$5:$S$504,0)),RIGHT("0"&amp;DAY((A1343+1)),2)&amp;"."&amp;RIGHT("0"&amp;MONTH((A1343+1)),2)&amp;"."&amp;YEAR((A1343+1))&amp;": "&amp;INDEX('Zgłoszenia'!$H$5:$H$504,MATCH(F1343&amp;"|"&amp;(A1343+1),'Zgłoszenia'!$S$5:$S$504,0)))&amp;IF(K1343&gt;1," (+"&amp;(K1343-1)&amp;")",""))</f>
        <v/>
      </c>
      <c r="M1343" s="63" t="n">
        <v>17</v>
      </c>
      <c r="N1343" s="2" t="n"/>
      <c r="O1343" s="2" t="n"/>
    </row>
    <row r="1344">
      <c r="A1344" s="62">
        <f>IF('17'!$C$1="","",'17'!$C$1)</f>
        <v/>
      </c>
      <c r="B1344" s="63">
        <f>Ustawienia!$A$9&amp;""</f>
        <v/>
      </c>
      <c r="C1344" s="63">
        <f>Ustawienia!$A$17&amp;""</f>
        <v/>
      </c>
      <c r="D1344" s="63" t="n">
        <v>2</v>
      </c>
      <c r="E1344" s="63">
        <f>IF('17'!F28="","",TRIM('17'!F28&amp;""))</f>
        <v/>
      </c>
      <c r="F1344" s="63">
        <f>IF('17'!G28="","",'17'!G28)</f>
        <v/>
      </c>
      <c r="G1344" s="63">
        <f>'17'!H28&amp;""</f>
        <v/>
      </c>
      <c r="H1344" s="63">
        <f>IF(OR(A1344="",F1344=""),"",F1344&amp;"|"&amp;A1344)</f>
        <v/>
      </c>
      <c r="I1344" s="63">
        <f>IF(AND(H1344&lt;&gt;"",OR('Historia wózka'!$B$4="",F1344='Historia wózka'!$B$4),A1344&gt;='Historia wózka'!$B$5,A1344&lt;='Historia wózka'!$B$6),A1344+0.8+(5000-ROW())/10000000,0)</f>
        <v/>
      </c>
      <c r="J1344" s="63">
        <f>Ustawienia!$B$9&amp;""</f>
        <v/>
      </c>
      <c r="K1344" s="63">
        <f>IF(H1344="","",COUNTIFS('Zgłoszenia'!$B$5:$B$504,F1344,'Zgłoszenia'!$D$5:$D$504,"&gt;="&amp;A1344,'Zgłoszenia'!$D$5:$D$504,"&lt;="&amp;(A1344+1)))</f>
        <v/>
      </c>
      <c r="L1344" s="63">
        <f>IF(OR(H1344="",K1344=0),"—",IF(ISNUMBER(MATCH(H1344,'Zgłoszenia'!$S$5:$S$504,0)),RIGHT("0"&amp;DAY(A1344),2)&amp;"."&amp;RIGHT("0"&amp;MONTH(A1344),2)&amp;"."&amp;YEAR(A1344)&amp;": "&amp;INDEX('Zgłoszenia'!$H$5:$H$504,MATCH(H1344,'Zgłoszenia'!$S$5:$S$504,0)),RIGHT("0"&amp;DAY((A1344+1)),2)&amp;"."&amp;RIGHT("0"&amp;MONTH((A1344+1)),2)&amp;"."&amp;YEAR((A1344+1))&amp;": "&amp;INDEX('Zgłoszenia'!$H$5:$H$504,MATCH(F1344&amp;"|"&amp;(A1344+1),'Zgłoszenia'!$S$5:$S$504,0)))&amp;IF(K1344&gt;1," (+"&amp;(K1344-1)&amp;")",""))</f>
        <v/>
      </c>
      <c r="M1344" s="63" t="n">
        <v>17</v>
      </c>
      <c r="N1344" s="2" t="n"/>
      <c r="O1344" s="2" t="n"/>
    </row>
    <row r="1345">
      <c r="A1345" s="62">
        <f>IF('17'!$C$1="","",'17'!$C$1)</f>
        <v/>
      </c>
      <c r="B1345" s="63">
        <f>Ustawienia!$A$9&amp;""</f>
        <v/>
      </c>
      <c r="C1345" s="63">
        <f>Ustawienia!$A$17&amp;""</f>
        <v/>
      </c>
      <c r="D1345" s="63" t="n">
        <v>3</v>
      </c>
      <c r="E1345" s="63">
        <f>IF('17'!F29="","",TRIM('17'!F29&amp;""))</f>
        <v/>
      </c>
      <c r="F1345" s="63">
        <f>IF('17'!G29="","",'17'!G29)</f>
        <v/>
      </c>
      <c r="G1345" s="63">
        <f>'17'!H29&amp;""</f>
        <v/>
      </c>
      <c r="H1345" s="63">
        <f>IF(OR(A1345="",F1345=""),"",F1345&amp;"|"&amp;A1345)</f>
        <v/>
      </c>
      <c r="I1345" s="63">
        <f>IF(AND(H1345&lt;&gt;"",OR('Historia wózka'!$B$4="",F1345='Historia wózka'!$B$4),A1345&gt;='Historia wózka'!$B$5,A1345&lt;='Historia wózka'!$B$6),A1345+0.8+(5000-ROW())/10000000,0)</f>
        <v/>
      </c>
      <c r="J1345" s="63">
        <f>Ustawienia!$B$9&amp;""</f>
        <v/>
      </c>
      <c r="K1345" s="63">
        <f>IF(H1345="","",COUNTIFS('Zgłoszenia'!$B$5:$B$504,F1345,'Zgłoszenia'!$D$5:$D$504,"&gt;="&amp;A1345,'Zgłoszenia'!$D$5:$D$504,"&lt;="&amp;(A1345+1)))</f>
        <v/>
      </c>
      <c r="L1345" s="63">
        <f>IF(OR(H1345="",K1345=0),"—",IF(ISNUMBER(MATCH(H1345,'Zgłoszenia'!$S$5:$S$504,0)),RIGHT("0"&amp;DAY(A1345),2)&amp;"."&amp;RIGHT("0"&amp;MONTH(A1345),2)&amp;"."&amp;YEAR(A1345)&amp;": "&amp;INDEX('Zgłoszenia'!$H$5:$H$504,MATCH(H1345,'Zgłoszenia'!$S$5:$S$504,0)),RIGHT("0"&amp;DAY((A1345+1)),2)&amp;"."&amp;RIGHT("0"&amp;MONTH((A1345+1)),2)&amp;"."&amp;YEAR((A1345+1))&amp;": "&amp;INDEX('Zgłoszenia'!$H$5:$H$504,MATCH(F1345&amp;"|"&amp;(A1345+1),'Zgłoszenia'!$S$5:$S$504,0)))&amp;IF(K1345&gt;1," (+"&amp;(K1345-1)&amp;")",""))</f>
        <v/>
      </c>
      <c r="M1345" s="63" t="n">
        <v>17</v>
      </c>
      <c r="N1345" s="2" t="n"/>
      <c r="O1345" s="2" t="n"/>
    </row>
    <row r="1346">
      <c r="A1346" s="62">
        <f>IF('17'!$C$1="","",'17'!$C$1)</f>
        <v/>
      </c>
      <c r="B1346" s="63">
        <f>Ustawienia!$A$9&amp;""</f>
        <v/>
      </c>
      <c r="C1346" s="63">
        <f>Ustawienia!$A$17&amp;""</f>
        <v/>
      </c>
      <c r="D1346" s="63" t="n">
        <v>4</v>
      </c>
      <c r="E1346" s="63">
        <f>IF('17'!F30="","",TRIM('17'!F30&amp;""))</f>
        <v/>
      </c>
      <c r="F1346" s="63">
        <f>IF('17'!G30="","",'17'!G30)</f>
        <v/>
      </c>
      <c r="G1346" s="63">
        <f>'17'!H30&amp;""</f>
        <v/>
      </c>
      <c r="H1346" s="63">
        <f>IF(OR(A1346="",F1346=""),"",F1346&amp;"|"&amp;A1346)</f>
        <v/>
      </c>
      <c r="I1346" s="63">
        <f>IF(AND(H1346&lt;&gt;"",OR('Historia wózka'!$B$4="",F1346='Historia wózka'!$B$4),A1346&gt;='Historia wózka'!$B$5,A1346&lt;='Historia wózka'!$B$6),A1346+0.8+(5000-ROW())/10000000,0)</f>
        <v/>
      </c>
      <c r="J1346" s="63">
        <f>Ustawienia!$B$9&amp;""</f>
        <v/>
      </c>
      <c r="K1346" s="63">
        <f>IF(H1346="","",COUNTIFS('Zgłoszenia'!$B$5:$B$504,F1346,'Zgłoszenia'!$D$5:$D$504,"&gt;="&amp;A1346,'Zgłoszenia'!$D$5:$D$504,"&lt;="&amp;(A1346+1)))</f>
        <v/>
      </c>
      <c r="L1346" s="63">
        <f>IF(OR(H1346="",K1346=0),"—",IF(ISNUMBER(MATCH(H1346,'Zgłoszenia'!$S$5:$S$504,0)),RIGHT("0"&amp;DAY(A1346),2)&amp;"."&amp;RIGHT("0"&amp;MONTH(A1346),2)&amp;"."&amp;YEAR(A1346)&amp;": "&amp;INDEX('Zgłoszenia'!$H$5:$H$504,MATCH(H1346,'Zgłoszenia'!$S$5:$S$504,0)),RIGHT("0"&amp;DAY((A1346+1)),2)&amp;"."&amp;RIGHT("0"&amp;MONTH((A1346+1)),2)&amp;"."&amp;YEAR((A1346+1))&amp;": "&amp;INDEX('Zgłoszenia'!$H$5:$H$504,MATCH(F1346&amp;"|"&amp;(A1346+1),'Zgłoszenia'!$S$5:$S$504,0)))&amp;IF(K1346&gt;1," (+"&amp;(K1346-1)&amp;")",""))</f>
        <v/>
      </c>
      <c r="M1346" s="63" t="n">
        <v>17</v>
      </c>
      <c r="N1346" s="2" t="n"/>
      <c r="O1346" s="2" t="n"/>
    </row>
    <row r="1347">
      <c r="A1347" s="62">
        <f>IF('17'!$C$1="","",'17'!$C$1)</f>
        <v/>
      </c>
      <c r="B1347" s="63">
        <f>Ustawienia!$A$9&amp;""</f>
        <v/>
      </c>
      <c r="C1347" s="63">
        <f>Ustawienia!$A$18&amp;""</f>
        <v/>
      </c>
      <c r="D1347" s="63" t="n">
        <v>1</v>
      </c>
      <c r="E1347" s="63">
        <f>IF('17'!F32="","",TRIM('17'!F32&amp;""))</f>
        <v/>
      </c>
      <c r="F1347" s="63">
        <f>IF('17'!G32="","",'17'!G32)</f>
        <v/>
      </c>
      <c r="G1347" s="63">
        <f>'17'!H32&amp;""</f>
        <v/>
      </c>
      <c r="H1347" s="63">
        <f>IF(OR(A1347="",F1347=""),"",F1347&amp;"|"&amp;A1347)</f>
        <v/>
      </c>
      <c r="I1347" s="63">
        <f>IF(AND(H1347&lt;&gt;"",OR('Historia wózka'!$B$4="",F1347='Historia wózka'!$B$4),A1347&gt;='Historia wózka'!$B$5,A1347&lt;='Historia wózka'!$B$6),A1347+0.8+(5000-ROW())/10000000,0)</f>
        <v/>
      </c>
      <c r="J1347" s="63">
        <f>Ustawienia!$B$9&amp;""</f>
        <v/>
      </c>
      <c r="K1347" s="63">
        <f>IF(H1347="","",COUNTIFS('Zgłoszenia'!$B$5:$B$504,F1347,'Zgłoszenia'!$D$5:$D$504,"&gt;="&amp;A1347,'Zgłoszenia'!$D$5:$D$504,"&lt;="&amp;(A1347+1)))</f>
        <v/>
      </c>
      <c r="L1347" s="63">
        <f>IF(OR(H1347="",K1347=0),"—",IF(ISNUMBER(MATCH(H1347,'Zgłoszenia'!$S$5:$S$504,0)),RIGHT("0"&amp;DAY(A1347),2)&amp;"."&amp;RIGHT("0"&amp;MONTH(A1347),2)&amp;"."&amp;YEAR(A1347)&amp;": "&amp;INDEX('Zgłoszenia'!$H$5:$H$504,MATCH(H1347,'Zgłoszenia'!$S$5:$S$504,0)),RIGHT("0"&amp;DAY((A1347+1)),2)&amp;"."&amp;RIGHT("0"&amp;MONTH((A1347+1)),2)&amp;"."&amp;YEAR((A1347+1))&amp;": "&amp;INDEX('Zgłoszenia'!$H$5:$H$504,MATCH(F1347&amp;"|"&amp;(A1347+1),'Zgłoszenia'!$S$5:$S$504,0)))&amp;IF(K1347&gt;1," (+"&amp;(K1347-1)&amp;")",""))</f>
        <v/>
      </c>
      <c r="M1347" s="63" t="n">
        <v>17</v>
      </c>
      <c r="N1347" s="2" t="n"/>
      <c r="O1347" s="2" t="n"/>
    </row>
    <row r="1348">
      <c r="A1348" s="62">
        <f>IF('17'!$C$1="","",'17'!$C$1)</f>
        <v/>
      </c>
      <c r="B1348" s="63">
        <f>Ustawienia!$A$9&amp;""</f>
        <v/>
      </c>
      <c r="C1348" s="63">
        <f>Ustawienia!$A$18&amp;""</f>
        <v/>
      </c>
      <c r="D1348" s="63" t="n">
        <v>2</v>
      </c>
      <c r="E1348" s="63">
        <f>IF('17'!F33="","",TRIM('17'!F33&amp;""))</f>
        <v/>
      </c>
      <c r="F1348" s="63">
        <f>IF('17'!G33="","",'17'!G33)</f>
        <v/>
      </c>
      <c r="G1348" s="63">
        <f>'17'!H33&amp;""</f>
        <v/>
      </c>
      <c r="H1348" s="63">
        <f>IF(OR(A1348="",F1348=""),"",F1348&amp;"|"&amp;A1348)</f>
        <v/>
      </c>
      <c r="I1348" s="63">
        <f>IF(AND(H1348&lt;&gt;"",OR('Historia wózka'!$B$4="",F1348='Historia wózka'!$B$4),A1348&gt;='Historia wózka'!$B$5,A1348&lt;='Historia wózka'!$B$6),A1348+0.8+(5000-ROW())/10000000,0)</f>
        <v/>
      </c>
      <c r="J1348" s="63">
        <f>Ustawienia!$B$9&amp;""</f>
        <v/>
      </c>
      <c r="K1348" s="63">
        <f>IF(H1348="","",COUNTIFS('Zgłoszenia'!$B$5:$B$504,F1348,'Zgłoszenia'!$D$5:$D$504,"&gt;="&amp;A1348,'Zgłoszenia'!$D$5:$D$504,"&lt;="&amp;(A1348+1)))</f>
        <v/>
      </c>
      <c r="L1348" s="63">
        <f>IF(OR(H1348="",K1348=0),"—",IF(ISNUMBER(MATCH(H1348,'Zgłoszenia'!$S$5:$S$504,0)),RIGHT("0"&amp;DAY(A1348),2)&amp;"."&amp;RIGHT("0"&amp;MONTH(A1348),2)&amp;"."&amp;YEAR(A1348)&amp;": "&amp;INDEX('Zgłoszenia'!$H$5:$H$504,MATCH(H1348,'Zgłoszenia'!$S$5:$S$504,0)),RIGHT("0"&amp;DAY((A1348+1)),2)&amp;"."&amp;RIGHT("0"&amp;MONTH((A1348+1)),2)&amp;"."&amp;YEAR((A1348+1))&amp;": "&amp;INDEX('Zgłoszenia'!$H$5:$H$504,MATCH(F1348&amp;"|"&amp;(A1348+1),'Zgłoszenia'!$S$5:$S$504,0)))&amp;IF(K1348&gt;1," (+"&amp;(K1348-1)&amp;")",""))</f>
        <v/>
      </c>
      <c r="M1348" s="63" t="n">
        <v>17</v>
      </c>
      <c r="N1348" s="2" t="n"/>
      <c r="O1348" s="2" t="n"/>
    </row>
    <row r="1349">
      <c r="A1349" s="62">
        <f>IF('17'!$C$1="","",'17'!$C$1)</f>
        <v/>
      </c>
      <c r="B1349" s="63">
        <f>Ustawienia!$A$9&amp;""</f>
        <v/>
      </c>
      <c r="C1349" s="63">
        <f>Ustawienia!$A$18&amp;""</f>
        <v/>
      </c>
      <c r="D1349" s="63" t="n">
        <v>3</v>
      </c>
      <c r="E1349" s="63">
        <f>IF('17'!F34="","",TRIM('17'!F34&amp;""))</f>
        <v/>
      </c>
      <c r="F1349" s="63">
        <f>IF('17'!G34="","",'17'!G34)</f>
        <v/>
      </c>
      <c r="G1349" s="63">
        <f>'17'!H34&amp;""</f>
        <v/>
      </c>
      <c r="H1349" s="63">
        <f>IF(OR(A1349="",F1349=""),"",F1349&amp;"|"&amp;A1349)</f>
        <v/>
      </c>
      <c r="I1349" s="63">
        <f>IF(AND(H1349&lt;&gt;"",OR('Historia wózka'!$B$4="",F1349='Historia wózka'!$B$4),A1349&gt;='Historia wózka'!$B$5,A1349&lt;='Historia wózka'!$B$6),A1349+0.8+(5000-ROW())/10000000,0)</f>
        <v/>
      </c>
      <c r="J1349" s="63">
        <f>Ustawienia!$B$9&amp;""</f>
        <v/>
      </c>
      <c r="K1349" s="63">
        <f>IF(H1349="","",COUNTIFS('Zgłoszenia'!$B$5:$B$504,F1349,'Zgłoszenia'!$D$5:$D$504,"&gt;="&amp;A1349,'Zgłoszenia'!$D$5:$D$504,"&lt;="&amp;(A1349+1)))</f>
        <v/>
      </c>
      <c r="L1349" s="63">
        <f>IF(OR(H1349="",K1349=0),"—",IF(ISNUMBER(MATCH(H1349,'Zgłoszenia'!$S$5:$S$504,0)),RIGHT("0"&amp;DAY(A1349),2)&amp;"."&amp;RIGHT("0"&amp;MONTH(A1349),2)&amp;"."&amp;YEAR(A1349)&amp;": "&amp;INDEX('Zgłoszenia'!$H$5:$H$504,MATCH(H1349,'Zgłoszenia'!$S$5:$S$504,0)),RIGHT("0"&amp;DAY((A1349+1)),2)&amp;"."&amp;RIGHT("0"&amp;MONTH((A1349+1)),2)&amp;"."&amp;YEAR((A1349+1))&amp;": "&amp;INDEX('Zgłoszenia'!$H$5:$H$504,MATCH(F1349&amp;"|"&amp;(A1349+1),'Zgłoszenia'!$S$5:$S$504,0)))&amp;IF(K1349&gt;1," (+"&amp;(K1349-1)&amp;")",""))</f>
        <v/>
      </c>
      <c r="M1349" s="63" t="n">
        <v>17</v>
      </c>
      <c r="N1349" s="2" t="n"/>
      <c r="O1349" s="2" t="n"/>
    </row>
    <row r="1350">
      <c r="A1350" s="62">
        <f>IF('17'!$C$1="","",'17'!$C$1)</f>
        <v/>
      </c>
      <c r="B1350" s="63">
        <f>Ustawienia!$A$9&amp;""</f>
        <v/>
      </c>
      <c r="C1350" s="63">
        <f>Ustawienia!$A$18&amp;""</f>
        <v/>
      </c>
      <c r="D1350" s="63" t="n">
        <v>4</v>
      </c>
      <c r="E1350" s="63">
        <f>IF('17'!F35="","",TRIM('17'!F35&amp;""))</f>
        <v/>
      </c>
      <c r="F1350" s="63">
        <f>IF('17'!G35="","",'17'!G35)</f>
        <v/>
      </c>
      <c r="G1350" s="63">
        <f>'17'!H35&amp;""</f>
        <v/>
      </c>
      <c r="H1350" s="63">
        <f>IF(OR(A1350="",F1350=""),"",F1350&amp;"|"&amp;A1350)</f>
        <v/>
      </c>
      <c r="I1350" s="63">
        <f>IF(AND(H1350&lt;&gt;"",OR('Historia wózka'!$B$4="",F1350='Historia wózka'!$B$4),A1350&gt;='Historia wózka'!$B$5,A1350&lt;='Historia wózka'!$B$6),A1350+0.8+(5000-ROW())/10000000,0)</f>
        <v/>
      </c>
      <c r="J1350" s="63">
        <f>Ustawienia!$B$9&amp;""</f>
        <v/>
      </c>
      <c r="K1350" s="63">
        <f>IF(H1350="","",COUNTIFS('Zgłoszenia'!$B$5:$B$504,F1350,'Zgłoszenia'!$D$5:$D$504,"&gt;="&amp;A1350,'Zgłoszenia'!$D$5:$D$504,"&lt;="&amp;(A1350+1)))</f>
        <v/>
      </c>
      <c r="L1350" s="63">
        <f>IF(OR(H1350="",K1350=0),"—",IF(ISNUMBER(MATCH(H1350,'Zgłoszenia'!$S$5:$S$504,0)),RIGHT("0"&amp;DAY(A1350),2)&amp;"."&amp;RIGHT("0"&amp;MONTH(A1350),2)&amp;"."&amp;YEAR(A1350)&amp;": "&amp;INDEX('Zgłoszenia'!$H$5:$H$504,MATCH(H1350,'Zgłoszenia'!$S$5:$S$504,0)),RIGHT("0"&amp;DAY((A1350+1)),2)&amp;"."&amp;RIGHT("0"&amp;MONTH((A1350+1)),2)&amp;"."&amp;YEAR((A1350+1))&amp;": "&amp;INDEX('Zgłoszenia'!$H$5:$H$504,MATCH(F1350&amp;"|"&amp;(A1350+1),'Zgłoszenia'!$S$5:$S$504,0)))&amp;IF(K1350&gt;1," (+"&amp;(K1350-1)&amp;")",""))</f>
        <v/>
      </c>
      <c r="M1350" s="63" t="n">
        <v>17</v>
      </c>
      <c r="N1350" s="2" t="n"/>
      <c r="O1350" s="2" t="n"/>
    </row>
    <row r="1351">
      <c r="A1351" s="62">
        <f>IF('17'!$C$1="","",'17'!$C$1)</f>
        <v/>
      </c>
      <c r="B1351" s="63">
        <f>Ustawienia!$A$9&amp;""</f>
        <v/>
      </c>
      <c r="C1351" s="63">
        <f>Ustawienia!$A$18&amp;""</f>
        <v/>
      </c>
      <c r="D1351" s="63" t="n">
        <v>5</v>
      </c>
      <c r="E1351" s="63">
        <f>IF('17'!F36="","",TRIM('17'!F36&amp;""))</f>
        <v/>
      </c>
      <c r="F1351" s="63">
        <f>IF('17'!G36="","",'17'!G36)</f>
        <v/>
      </c>
      <c r="G1351" s="63">
        <f>'17'!H36&amp;""</f>
        <v/>
      </c>
      <c r="H1351" s="63">
        <f>IF(OR(A1351="",F1351=""),"",F1351&amp;"|"&amp;A1351)</f>
        <v/>
      </c>
      <c r="I1351" s="63">
        <f>IF(AND(H1351&lt;&gt;"",OR('Historia wózka'!$B$4="",F1351='Historia wózka'!$B$4),A1351&gt;='Historia wózka'!$B$5,A1351&lt;='Historia wózka'!$B$6),A1351+0.8+(5000-ROW())/10000000,0)</f>
        <v/>
      </c>
      <c r="J1351" s="63">
        <f>Ustawienia!$B$9&amp;""</f>
        <v/>
      </c>
      <c r="K1351" s="63">
        <f>IF(H1351="","",COUNTIFS('Zgłoszenia'!$B$5:$B$504,F1351,'Zgłoszenia'!$D$5:$D$504,"&gt;="&amp;A1351,'Zgłoszenia'!$D$5:$D$504,"&lt;="&amp;(A1351+1)))</f>
        <v/>
      </c>
      <c r="L1351" s="63">
        <f>IF(OR(H1351="",K1351=0),"—",IF(ISNUMBER(MATCH(H1351,'Zgłoszenia'!$S$5:$S$504,0)),RIGHT("0"&amp;DAY(A1351),2)&amp;"."&amp;RIGHT("0"&amp;MONTH(A1351),2)&amp;"."&amp;YEAR(A1351)&amp;": "&amp;INDEX('Zgłoszenia'!$H$5:$H$504,MATCH(H1351,'Zgłoszenia'!$S$5:$S$504,0)),RIGHT("0"&amp;DAY((A1351+1)),2)&amp;"."&amp;RIGHT("0"&amp;MONTH((A1351+1)),2)&amp;"."&amp;YEAR((A1351+1))&amp;": "&amp;INDEX('Zgłoszenia'!$H$5:$H$504,MATCH(F1351&amp;"|"&amp;(A1351+1),'Zgłoszenia'!$S$5:$S$504,0)))&amp;IF(K1351&gt;1," (+"&amp;(K1351-1)&amp;")",""))</f>
        <v/>
      </c>
      <c r="M1351" s="63" t="n">
        <v>17</v>
      </c>
      <c r="N1351" s="2" t="n"/>
      <c r="O1351" s="2" t="n"/>
    </row>
    <row r="1352">
      <c r="A1352" s="62">
        <f>IF('17'!$C$1="","",'17'!$C$1)</f>
        <v/>
      </c>
      <c r="B1352" s="63">
        <f>Ustawienia!$A$10&amp;""</f>
        <v/>
      </c>
      <c r="C1352" s="63">
        <f>Ustawienia!$A$14&amp;""</f>
        <v/>
      </c>
      <c r="D1352" s="63" t="n">
        <v>1</v>
      </c>
      <c r="E1352" s="63">
        <f>IF('17'!J6="","",TRIM('17'!J6&amp;""))</f>
        <v/>
      </c>
      <c r="F1352" s="63">
        <f>IF('17'!K6="","",'17'!K6)</f>
        <v/>
      </c>
      <c r="G1352" s="63">
        <f>'17'!L6&amp;""</f>
        <v/>
      </c>
      <c r="H1352" s="63">
        <f>IF(OR(A1352="",F1352=""),"",F1352&amp;"|"&amp;A1352)</f>
        <v/>
      </c>
      <c r="I1352" s="63">
        <f>IF(AND(H1352&lt;&gt;"",OR('Historia wózka'!$B$4="",F1352='Historia wózka'!$B$4),A1352&gt;='Historia wózka'!$B$5,A1352&lt;='Historia wózka'!$B$6),A1352+0.7+(5000-ROW())/10000000,0)</f>
        <v/>
      </c>
      <c r="J1352" s="63">
        <f>Ustawienia!$B$10&amp;""</f>
        <v/>
      </c>
      <c r="K1352" s="63">
        <f>IF(H1352="","",COUNTIFS('Zgłoszenia'!$B$5:$B$504,F1352,'Zgłoszenia'!$D$5:$D$504,"&gt;="&amp;A1352,'Zgłoszenia'!$D$5:$D$504,"&lt;="&amp;(A1352+1)))</f>
        <v/>
      </c>
      <c r="L1352" s="63">
        <f>IF(OR(H1352="",K1352=0),"—",IF(ISNUMBER(MATCH(H1352,'Zgłoszenia'!$S$5:$S$504,0)),RIGHT("0"&amp;DAY(A1352),2)&amp;"."&amp;RIGHT("0"&amp;MONTH(A1352),2)&amp;"."&amp;YEAR(A1352)&amp;": "&amp;INDEX('Zgłoszenia'!$H$5:$H$504,MATCH(H1352,'Zgłoszenia'!$S$5:$S$504,0)),RIGHT("0"&amp;DAY((A1352+1)),2)&amp;"."&amp;RIGHT("0"&amp;MONTH((A1352+1)),2)&amp;"."&amp;YEAR((A1352+1))&amp;": "&amp;INDEX('Zgłoszenia'!$H$5:$H$504,MATCH(F1352&amp;"|"&amp;(A1352+1),'Zgłoszenia'!$S$5:$S$504,0)))&amp;IF(K1352&gt;1," (+"&amp;(K1352-1)&amp;")",""))</f>
        <v/>
      </c>
      <c r="M1352" s="63" t="n">
        <v>17</v>
      </c>
      <c r="N1352" s="2" t="n"/>
      <c r="O1352" s="2" t="n"/>
    </row>
    <row r="1353">
      <c r="A1353" s="62">
        <f>IF('17'!$C$1="","",'17'!$C$1)</f>
        <v/>
      </c>
      <c r="B1353" s="63">
        <f>Ustawienia!$A$10&amp;""</f>
        <v/>
      </c>
      <c r="C1353" s="63">
        <f>Ustawienia!$A$14&amp;""</f>
        <v/>
      </c>
      <c r="D1353" s="63" t="n">
        <v>2</v>
      </c>
      <c r="E1353" s="63">
        <f>IF('17'!J7="","",TRIM('17'!J7&amp;""))</f>
        <v/>
      </c>
      <c r="F1353" s="63">
        <f>IF('17'!K7="","",'17'!K7)</f>
        <v/>
      </c>
      <c r="G1353" s="63">
        <f>'17'!L7&amp;""</f>
        <v/>
      </c>
      <c r="H1353" s="63">
        <f>IF(OR(A1353="",F1353=""),"",F1353&amp;"|"&amp;A1353)</f>
        <v/>
      </c>
      <c r="I1353" s="63">
        <f>IF(AND(H1353&lt;&gt;"",OR('Historia wózka'!$B$4="",F1353='Historia wózka'!$B$4),A1353&gt;='Historia wózka'!$B$5,A1353&lt;='Historia wózka'!$B$6),A1353+0.7+(5000-ROW())/10000000,0)</f>
        <v/>
      </c>
      <c r="J1353" s="63">
        <f>Ustawienia!$B$10&amp;""</f>
        <v/>
      </c>
      <c r="K1353" s="63">
        <f>IF(H1353="","",COUNTIFS('Zgłoszenia'!$B$5:$B$504,F1353,'Zgłoszenia'!$D$5:$D$504,"&gt;="&amp;A1353,'Zgłoszenia'!$D$5:$D$504,"&lt;="&amp;(A1353+1)))</f>
        <v/>
      </c>
      <c r="L1353" s="63">
        <f>IF(OR(H1353="",K1353=0),"—",IF(ISNUMBER(MATCH(H1353,'Zgłoszenia'!$S$5:$S$504,0)),RIGHT("0"&amp;DAY(A1353),2)&amp;"."&amp;RIGHT("0"&amp;MONTH(A1353),2)&amp;"."&amp;YEAR(A1353)&amp;": "&amp;INDEX('Zgłoszenia'!$H$5:$H$504,MATCH(H1353,'Zgłoszenia'!$S$5:$S$504,0)),RIGHT("0"&amp;DAY((A1353+1)),2)&amp;"."&amp;RIGHT("0"&amp;MONTH((A1353+1)),2)&amp;"."&amp;YEAR((A1353+1))&amp;": "&amp;INDEX('Zgłoszenia'!$H$5:$H$504,MATCH(F1353&amp;"|"&amp;(A1353+1),'Zgłoszenia'!$S$5:$S$504,0)))&amp;IF(K1353&gt;1," (+"&amp;(K1353-1)&amp;")",""))</f>
        <v/>
      </c>
      <c r="M1353" s="63" t="n">
        <v>17</v>
      </c>
      <c r="N1353" s="2" t="n"/>
      <c r="O1353" s="2" t="n"/>
    </row>
    <row r="1354">
      <c r="A1354" s="62">
        <f>IF('17'!$C$1="","",'17'!$C$1)</f>
        <v/>
      </c>
      <c r="B1354" s="63">
        <f>Ustawienia!$A$10&amp;""</f>
        <v/>
      </c>
      <c r="C1354" s="63">
        <f>Ustawienia!$A$14&amp;""</f>
        <v/>
      </c>
      <c r="D1354" s="63" t="n">
        <v>3</v>
      </c>
      <c r="E1354" s="63">
        <f>IF('17'!J8="","",TRIM('17'!J8&amp;""))</f>
        <v/>
      </c>
      <c r="F1354" s="63">
        <f>IF('17'!K8="","",'17'!K8)</f>
        <v/>
      </c>
      <c r="G1354" s="63">
        <f>'17'!L8&amp;""</f>
        <v/>
      </c>
      <c r="H1354" s="63">
        <f>IF(OR(A1354="",F1354=""),"",F1354&amp;"|"&amp;A1354)</f>
        <v/>
      </c>
      <c r="I1354" s="63">
        <f>IF(AND(H1354&lt;&gt;"",OR('Historia wózka'!$B$4="",F1354='Historia wózka'!$B$4),A1354&gt;='Historia wózka'!$B$5,A1354&lt;='Historia wózka'!$B$6),A1354+0.7+(5000-ROW())/10000000,0)</f>
        <v/>
      </c>
      <c r="J1354" s="63">
        <f>Ustawienia!$B$10&amp;""</f>
        <v/>
      </c>
      <c r="K1354" s="63">
        <f>IF(H1354="","",COUNTIFS('Zgłoszenia'!$B$5:$B$504,F1354,'Zgłoszenia'!$D$5:$D$504,"&gt;="&amp;A1354,'Zgłoszenia'!$D$5:$D$504,"&lt;="&amp;(A1354+1)))</f>
        <v/>
      </c>
      <c r="L1354" s="63">
        <f>IF(OR(H1354="",K1354=0),"—",IF(ISNUMBER(MATCH(H1354,'Zgłoszenia'!$S$5:$S$504,0)),RIGHT("0"&amp;DAY(A1354),2)&amp;"."&amp;RIGHT("0"&amp;MONTH(A1354),2)&amp;"."&amp;YEAR(A1354)&amp;": "&amp;INDEX('Zgłoszenia'!$H$5:$H$504,MATCH(H1354,'Zgłoszenia'!$S$5:$S$504,0)),RIGHT("0"&amp;DAY((A1354+1)),2)&amp;"."&amp;RIGHT("0"&amp;MONTH((A1354+1)),2)&amp;"."&amp;YEAR((A1354+1))&amp;": "&amp;INDEX('Zgłoszenia'!$H$5:$H$504,MATCH(F1354&amp;"|"&amp;(A1354+1),'Zgłoszenia'!$S$5:$S$504,0)))&amp;IF(K1354&gt;1," (+"&amp;(K1354-1)&amp;")",""))</f>
        <v/>
      </c>
      <c r="M1354" s="63" t="n">
        <v>17</v>
      </c>
      <c r="N1354" s="2" t="n"/>
      <c r="O1354" s="2" t="n"/>
    </row>
    <row r="1355">
      <c r="A1355" s="62">
        <f>IF('17'!$C$1="","",'17'!$C$1)</f>
        <v/>
      </c>
      <c r="B1355" s="63">
        <f>Ustawienia!$A$10&amp;""</f>
        <v/>
      </c>
      <c r="C1355" s="63">
        <f>Ustawienia!$A$14&amp;""</f>
        <v/>
      </c>
      <c r="D1355" s="63" t="n">
        <v>4</v>
      </c>
      <c r="E1355" s="63">
        <f>IF('17'!J9="","",TRIM('17'!J9&amp;""))</f>
        <v/>
      </c>
      <c r="F1355" s="63">
        <f>IF('17'!K9="","",'17'!K9)</f>
        <v/>
      </c>
      <c r="G1355" s="63">
        <f>'17'!L9&amp;""</f>
        <v/>
      </c>
      <c r="H1355" s="63">
        <f>IF(OR(A1355="",F1355=""),"",F1355&amp;"|"&amp;A1355)</f>
        <v/>
      </c>
      <c r="I1355" s="63">
        <f>IF(AND(H1355&lt;&gt;"",OR('Historia wózka'!$B$4="",F1355='Historia wózka'!$B$4),A1355&gt;='Historia wózka'!$B$5,A1355&lt;='Historia wózka'!$B$6),A1355+0.7+(5000-ROW())/10000000,0)</f>
        <v/>
      </c>
      <c r="J1355" s="63">
        <f>Ustawienia!$B$10&amp;""</f>
        <v/>
      </c>
      <c r="K1355" s="63">
        <f>IF(H1355="","",COUNTIFS('Zgłoszenia'!$B$5:$B$504,F1355,'Zgłoszenia'!$D$5:$D$504,"&gt;="&amp;A1355,'Zgłoszenia'!$D$5:$D$504,"&lt;="&amp;(A1355+1)))</f>
        <v/>
      </c>
      <c r="L1355" s="63">
        <f>IF(OR(H1355="",K1355=0),"—",IF(ISNUMBER(MATCH(H1355,'Zgłoszenia'!$S$5:$S$504,0)),RIGHT("0"&amp;DAY(A1355),2)&amp;"."&amp;RIGHT("0"&amp;MONTH(A1355),2)&amp;"."&amp;YEAR(A1355)&amp;": "&amp;INDEX('Zgłoszenia'!$H$5:$H$504,MATCH(H1355,'Zgłoszenia'!$S$5:$S$504,0)),RIGHT("0"&amp;DAY((A1355+1)),2)&amp;"."&amp;RIGHT("0"&amp;MONTH((A1355+1)),2)&amp;"."&amp;YEAR((A1355+1))&amp;": "&amp;INDEX('Zgłoszenia'!$H$5:$H$504,MATCH(F1355&amp;"|"&amp;(A1355+1),'Zgłoszenia'!$S$5:$S$504,0)))&amp;IF(K1355&gt;1," (+"&amp;(K1355-1)&amp;")",""))</f>
        <v/>
      </c>
      <c r="M1355" s="63" t="n">
        <v>17</v>
      </c>
      <c r="N1355" s="2" t="n"/>
      <c r="O1355" s="2" t="n"/>
    </row>
    <row r="1356">
      <c r="A1356" s="62">
        <f>IF('17'!$C$1="","",'17'!$C$1)</f>
        <v/>
      </c>
      <c r="B1356" s="63">
        <f>Ustawienia!$A$10&amp;""</f>
        <v/>
      </c>
      <c r="C1356" s="63">
        <f>Ustawienia!$A$14&amp;""</f>
        <v/>
      </c>
      <c r="D1356" s="63" t="n">
        <v>5</v>
      </c>
      <c r="E1356" s="63">
        <f>IF('17'!J10="","",TRIM('17'!J10&amp;""))</f>
        <v/>
      </c>
      <c r="F1356" s="63">
        <f>IF('17'!K10="","",'17'!K10)</f>
        <v/>
      </c>
      <c r="G1356" s="63">
        <f>'17'!L10&amp;""</f>
        <v/>
      </c>
      <c r="H1356" s="63">
        <f>IF(OR(A1356="",F1356=""),"",F1356&amp;"|"&amp;A1356)</f>
        <v/>
      </c>
      <c r="I1356" s="63">
        <f>IF(AND(H1356&lt;&gt;"",OR('Historia wózka'!$B$4="",F1356='Historia wózka'!$B$4),A1356&gt;='Historia wózka'!$B$5,A1356&lt;='Historia wózka'!$B$6),A1356+0.7+(5000-ROW())/10000000,0)</f>
        <v/>
      </c>
      <c r="J1356" s="63">
        <f>Ustawienia!$B$10&amp;""</f>
        <v/>
      </c>
      <c r="K1356" s="63">
        <f>IF(H1356="","",COUNTIFS('Zgłoszenia'!$B$5:$B$504,F1356,'Zgłoszenia'!$D$5:$D$504,"&gt;="&amp;A1356,'Zgłoszenia'!$D$5:$D$504,"&lt;="&amp;(A1356+1)))</f>
        <v/>
      </c>
      <c r="L1356" s="63">
        <f>IF(OR(H1356="",K1356=0),"—",IF(ISNUMBER(MATCH(H1356,'Zgłoszenia'!$S$5:$S$504,0)),RIGHT("0"&amp;DAY(A1356),2)&amp;"."&amp;RIGHT("0"&amp;MONTH(A1356),2)&amp;"."&amp;YEAR(A1356)&amp;": "&amp;INDEX('Zgłoszenia'!$H$5:$H$504,MATCH(H1356,'Zgłoszenia'!$S$5:$S$504,0)),RIGHT("0"&amp;DAY((A1356+1)),2)&amp;"."&amp;RIGHT("0"&amp;MONTH((A1356+1)),2)&amp;"."&amp;YEAR((A1356+1))&amp;": "&amp;INDEX('Zgłoszenia'!$H$5:$H$504,MATCH(F1356&amp;"|"&amp;(A1356+1),'Zgłoszenia'!$S$5:$S$504,0)))&amp;IF(K1356&gt;1," (+"&amp;(K1356-1)&amp;")",""))</f>
        <v/>
      </c>
      <c r="M1356" s="63" t="n">
        <v>17</v>
      </c>
      <c r="N1356" s="2" t="n"/>
      <c r="O1356" s="2" t="n"/>
    </row>
    <row r="1357">
      <c r="A1357" s="62">
        <f>IF('17'!$C$1="","",'17'!$C$1)</f>
        <v/>
      </c>
      <c r="B1357" s="63">
        <f>Ustawienia!$A$10&amp;""</f>
        <v/>
      </c>
      <c r="C1357" s="63">
        <f>Ustawienia!$A$14&amp;""</f>
        <v/>
      </c>
      <c r="D1357" s="63" t="n">
        <v>6</v>
      </c>
      <c r="E1357" s="63">
        <f>IF('17'!J11="","",TRIM('17'!J11&amp;""))</f>
        <v/>
      </c>
      <c r="F1357" s="63">
        <f>IF('17'!K11="","",'17'!K11)</f>
        <v/>
      </c>
      <c r="G1357" s="63">
        <f>'17'!L11&amp;""</f>
        <v/>
      </c>
      <c r="H1357" s="63">
        <f>IF(OR(A1357="",F1357=""),"",F1357&amp;"|"&amp;A1357)</f>
        <v/>
      </c>
      <c r="I1357" s="63">
        <f>IF(AND(H1357&lt;&gt;"",OR('Historia wózka'!$B$4="",F1357='Historia wózka'!$B$4),A1357&gt;='Historia wózka'!$B$5,A1357&lt;='Historia wózka'!$B$6),A1357+0.7+(5000-ROW())/10000000,0)</f>
        <v/>
      </c>
      <c r="J1357" s="63">
        <f>Ustawienia!$B$10&amp;""</f>
        <v/>
      </c>
      <c r="K1357" s="63">
        <f>IF(H1357="","",COUNTIFS('Zgłoszenia'!$B$5:$B$504,F1357,'Zgłoszenia'!$D$5:$D$504,"&gt;="&amp;A1357,'Zgłoszenia'!$D$5:$D$504,"&lt;="&amp;(A1357+1)))</f>
        <v/>
      </c>
      <c r="L1357" s="63">
        <f>IF(OR(H1357="",K1357=0),"—",IF(ISNUMBER(MATCH(H1357,'Zgłoszenia'!$S$5:$S$504,0)),RIGHT("0"&amp;DAY(A1357),2)&amp;"."&amp;RIGHT("0"&amp;MONTH(A1357),2)&amp;"."&amp;YEAR(A1357)&amp;": "&amp;INDEX('Zgłoszenia'!$H$5:$H$504,MATCH(H1357,'Zgłoszenia'!$S$5:$S$504,0)),RIGHT("0"&amp;DAY((A1357+1)),2)&amp;"."&amp;RIGHT("0"&amp;MONTH((A1357+1)),2)&amp;"."&amp;YEAR((A1357+1))&amp;": "&amp;INDEX('Zgłoszenia'!$H$5:$H$504,MATCH(F1357&amp;"|"&amp;(A1357+1),'Zgłoszenia'!$S$5:$S$504,0)))&amp;IF(K1357&gt;1," (+"&amp;(K1357-1)&amp;")",""))</f>
        <v/>
      </c>
      <c r="M1357" s="63" t="n">
        <v>17</v>
      </c>
      <c r="N1357" s="2" t="n"/>
      <c r="O1357" s="2" t="n"/>
    </row>
    <row r="1358">
      <c r="A1358" s="62">
        <f>IF('17'!$C$1="","",'17'!$C$1)</f>
        <v/>
      </c>
      <c r="B1358" s="63">
        <f>Ustawienia!$A$10&amp;""</f>
        <v/>
      </c>
      <c r="C1358" s="63">
        <f>Ustawienia!$A$15&amp;""</f>
        <v/>
      </c>
      <c r="D1358" s="63" t="n">
        <v>1</v>
      </c>
      <c r="E1358" s="63">
        <f>IF('17'!J13="","",TRIM('17'!J13&amp;""))</f>
        <v/>
      </c>
      <c r="F1358" s="63">
        <f>IF('17'!K13="","",'17'!K13)</f>
        <v/>
      </c>
      <c r="G1358" s="63">
        <f>'17'!L13&amp;""</f>
        <v/>
      </c>
      <c r="H1358" s="63">
        <f>IF(OR(A1358="",F1358=""),"",F1358&amp;"|"&amp;A1358)</f>
        <v/>
      </c>
      <c r="I1358" s="63">
        <f>IF(AND(H1358&lt;&gt;"",OR('Historia wózka'!$B$4="",F1358='Historia wózka'!$B$4),A1358&gt;='Historia wózka'!$B$5,A1358&lt;='Historia wózka'!$B$6),A1358+0.7+(5000-ROW())/10000000,0)</f>
        <v/>
      </c>
      <c r="J1358" s="63">
        <f>Ustawienia!$B$10&amp;""</f>
        <v/>
      </c>
      <c r="K1358" s="63">
        <f>IF(H1358="","",COUNTIFS('Zgłoszenia'!$B$5:$B$504,F1358,'Zgłoszenia'!$D$5:$D$504,"&gt;="&amp;A1358,'Zgłoszenia'!$D$5:$D$504,"&lt;="&amp;(A1358+1)))</f>
        <v/>
      </c>
      <c r="L1358" s="63">
        <f>IF(OR(H1358="",K1358=0),"—",IF(ISNUMBER(MATCH(H1358,'Zgłoszenia'!$S$5:$S$504,0)),RIGHT("0"&amp;DAY(A1358),2)&amp;"."&amp;RIGHT("0"&amp;MONTH(A1358),2)&amp;"."&amp;YEAR(A1358)&amp;": "&amp;INDEX('Zgłoszenia'!$H$5:$H$504,MATCH(H1358,'Zgłoszenia'!$S$5:$S$504,0)),RIGHT("0"&amp;DAY((A1358+1)),2)&amp;"."&amp;RIGHT("0"&amp;MONTH((A1358+1)),2)&amp;"."&amp;YEAR((A1358+1))&amp;": "&amp;INDEX('Zgłoszenia'!$H$5:$H$504,MATCH(F1358&amp;"|"&amp;(A1358+1),'Zgłoszenia'!$S$5:$S$504,0)))&amp;IF(K1358&gt;1," (+"&amp;(K1358-1)&amp;")",""))</f>
        <v/>
      </c>
      <c r="M1358" s="63" t="n">
        <v>17</v>
      </c>
      <c r="N1358" s="2" t="n"/>
      <c r="O1358" s="2" t="n"/>
    </row>
    <row r="1359">
      <c r="A1359" s="62">
        <f>IF('17'!$C$1="","",'17'!$C$1)</f>
        <v/>
      </c>
      <c r="B1359" s="63">
        <f>Ustawienia!$A$10&amp;""</f>
        <v/>
      </c>
      <c r="C1359" s="63">
        <f>Ustawienia!$A$15&amp;""</f>
        <v/>
      </c>
      <c r="D1359" s="63" t="n">
        <v>2</v>
      </c>
      <c r="E1359" s="63">
        <f>IF('17'!J14="","",TRIM('17'!J14&amp;""))</f>
        <v/>
      </c>
      <c r="F1359" s="63">
        <f>IF('17'!K14="","",'17'!K14)</f>
        <v/>
      </c>
      <c r="G1359" s="63">
        <f>'17'!L14&amp;""</f>
        <v/>
      </c>
      <c r="H1359" s="63">
        <f>IF(OR(A1359="",F1359=""),"",F1359&amp;"|"&amp;A1359)</f>
        <v/>
      </c>
      <c r="I1359" s="63">
        <f>IF(AND(H1359&lt;&gt;"",OR('Historia wózka'!$B$4="",F1359='Historia wózka'!$B$4),A1359&gt;='Historia wózka'!$B$5,A1359&lt;='Historia wózka'!$B$6),A1359+0.7+(5000-ROW())/10000000,0)</f>
        <v/>
      </c>
      <c r="J1359" s="63">
        <f>Ustawienia!$B$10&amp;""</f>
        <v/>
      </c>
      <c r="K1359" s="63">
        <f>IF(H1359="","",COUNTIFS('Zgłoszenia'!$B$5:$B$504,F1359,'Zgłoszenia'!$D$5:$D$504,"&gt;="&amp;A1359,'Zgłoszenia'!$D$5:$D$504,"&lt;="&amp;(A1359+1)))</f>
        <v/>
      </c>
      <c r="L1359" s="63">
        <f>IF(OR(H1359="",K1359=0),"—",IF(ISNUMBER(MATCH(H1359,'Zgłoszenia'!$S$5:$S$504,0)),RIGHT("0"&amp;DAY(A1359),2)&amp;"."&amp;RIGHT("0"&amp;MONTH(A1359),2)&amp;"."&amp;YEAR(A1359)&amp;": "&amp;INDEX('Zgłoszenia'!$H$5:$H$504,MATCH(H1359,'Zgłoszenia'!$S$5:$S$504,0)),RIGHT("0"&amp;DAY((A1359+1)),2)&amp;"."&amp;RIGHT("0"&amp;MONTH((A1359+1)),2)&amp;"."&amp;YEAR((A1359+1))&amp;": "&amp;INDEX('Zgłoszenia'!$H$5:$H$504,MATCH(F1359&amp;"|"&amp;(A1359+1),'Zgłoszenia'!$S$5:$S$504,0)))&amp;IF(K1359&gt;1," (+"&amp;(K1359-1)&amp;")",""))</f>
        <v/>
      </c>
      <c r="M1359" s="63" t="n">
        <v>17</v>
      </c>
      <c r="N1359" s="2" t="n"/>
      <c r="O1359" s="2" t="n"/>
    </row>
    <row r="1360">
      <c r="A1360" s="62">
        <f>IF('17'!$C$1="","",'17'!$C$1)</f>
        <v/>
      </c>
      <c r="B1360" s="63">
        <f>Ustawienia!$A$10&amp;""</f>
        <v/>
      </c>
      <c r="C1360" s="63">
        <f>Ustawienia!$A$15&amp;""</f>
        <v/>
      </c>
      <c r="D1360" s="63" t="n">
        <v>3</v>
      </c>
      <c r="E1360" s="63">
        <f>IF('17'!J15="","",TRIM('17'!J15&amp;""))</f>
        <v/>
      </c>
      <c r="F1360" s="63">
        <f>IF('17'!K15="","",'17'!K15)</f>
        <v/>
      </c>
      <c r="G1360" s="63">
        <f>'17'!L15&amp;""</f>
        <v/>
      </c>
      <c r="H1360" s="63">
        <f>IF(OR(A1360="",F1360=""),"",F1360&amp;"|"&amp;A1360)</f>
        <v/>
      </c>
      <c r="I1360" s="63">
        <f>IF(AND(H1360&lt;&gt;"",OR('Historia wózka'!$B$4="",F1360='Historia wózka'!$B$4),A1360&gt;='Historia wózka'!$B$5,A1360&lt;='Historia wózka'!$B$6),A1360+0.7+(5000-ROW())/10000000,0)</f>
        <v/>
      </c>
      <c r="J1360" s="63">
        <f>Ustawienia!$B$10&amp;""</f>
        <v/>
      </c>
      <c r="K1360" s="63">
        <f>IF(H1360="","",COUNTIFS('Zgłoszenia'!$B$5:$B$504,F1360,'Zgłoszenia'!$D$5:$D$504,"&gt;="&amp;A1360,'Zgłoszenia'!$D$5:$D$504,"&lt;="&amp;(A1360+1)))</f>
        <v/>
      </c>
      <c r="L1360" s="63">
        <f>IF(OR(H1360="",K1360=0),"—",IF(ISNUMBER(MATCH(H1360,'Zgłoszenia'!$S$5:$S$504,0)),RIGHT("0"&amp;DAY(A1360),2)&amp;"."&amp;RIGHT("0"&amp;MONTH(A1360),2)&amp;"."&amp;YEAR(A1360)&amp;": "&amp;INDEX('Zgłoszenia'!$H$5:$H$504,MATCH(H1360,'Zgłoszenia'!$S$5:$S$504,0)),RIGHT("0"&amp;DAY((A1360+1)),2)&amp;"."&amp;RIGHT("0"&amp;MONTH((A1360+1)),2)&amp;"."&amp;YEAR((A1360+1))&amp;": "&amp;INDEX('Zgłoszenia'!$H$5:$H$504,MATCH(F1360&amp;"|"&amp;(A1360+1),'Zgłoszenia'!$S$5:$S$504,0)))&amp;IF(K1360&gt;1," (+"&amp;(K1360-1)&amp;")",""))</f>
        <v/>
      </c>
      <c r="M1360" s="63" t="n">
        <v>17</v>
      </c>
      <c r="N1360" s="2" t="n"/>
      <c r="O1360" s="2" t="n"/>
    </row>
    <row r="1361">
      <c r="A1361" s="62">
        <f>IF('17'!$C$1="","",'17'!$C$1)</f>
        <v/>
      </c>
      <c r="B1361" s="63">
        <f>Ustawienia!$A$10&amp;""</f>
        <v/>
      </c>
      <c r="C1361" s="63">
        <f>Ustawienia!$A$15&amp;""</f>
        <v/>
      </c>
      <c r="D1361" s="63" t="n">
        <v>4</v>
      </c>
      <c r="E1361" s="63">
        <f>IF('17'!J16="","",TRIM('17'!J16&amp;""))</f>
        <v/>
      </c>
      <c r="F1361" s="63">
        <f>IF('17'!K16="","",'17'!K16)</f>
        <v/>
      </c>
      <c r="G1361" s="63">
        <f>'17'!L16&amp;""</f>
        <v/>
      </c>
      <c r="H1361" s="63">
        <f>IF(OR(A1361="",F1361=""),"",F1361&amp;"|"&amp;A1361)</f>
        <v/>
      </c>
      <c r="I1361" s="63">
        <f>IF(AND(H1361&lt;&gt;"",OR('Historia wózka'!$B$4="",F1361='Historia wózka'!$B$4),A1361&gt;='Historia wózka'!$B$5,A1361&lt;='Historia wózka'!$B$6),A1361+0.7+(5000-ROW())/10000000,0)</f>
        <v/>
      </c>
      <c r="J1361" s="63">
        <f>Ustawienia!$B$10&amp;""</f>
        <v/>
      </c>
      <c r="K1361" s="63">
        <f>IF(H1361="","",COUNTIFS('Zgłoszenia'!$B$5:$B$504,F1361,'Zgłoszenia'!$D$5:$D$504,"&gt;="&amp;A1361,'Zgłoszenia'!$D$5:$D$504,"&lt;="&amp;(A1361+1)))</f>
        <v/>
      </c>
      <c r="L1361" s="63">
        <f>IF(OR(H1361="",K1361=0),"—",IF(ISNUMBER(MATCH(H1361,'Zgłoszenia'!$S$5:$S$504,0)),RIGHT("0"&amp;DAY(A1361),2)&amp;"."&amp;RIGHT("0"&amp;MONTH(A1361),2)&amp;"."&amp;YEAR(A1361)&amp;": "&amp;INDEX('Zgłoszenia'!$H$5:$H$504,MATCH(H1361,'Zgłoszenia'!$S$5:$S$504,0)),RIGHT("0"&amp;DAY((A1361+1)),2)&amp;"."&amp;RIGHT("0"&amp;MONTH((A1361+1)),2)&amp;"."&amp;YEAR((A1361+1))&amp;": "&amp;INDEX('Zgłoszenia'!$H$5:$H$504,MATCH(F1361&amp;"|"&amp;(A1361+1),'Zgłoszenia'!$S$5:$S$504,0)))&amp;IF(K1361&gt;1," (+"&amp;(K1361-1)&amp;")",""))</f>
        <v/>
      </c>
      <c r="M1361" s="63" t="n">
        <v>17</v>
      </c>
      <c r="N1361" s="2" t="n"/>
      <c r="O1361" s="2" t="n"/>
    </row>
    <row r="1362">
      <c r="A1362" s="62">
        <f>IF('17'!$C$1="","",'17'!$C$1)</f>
        <v/>
      </c>
      <c r="B1362" s="63">
        <f>Ustawienia!$A$10&amp;""</f>
        <v/>
      </c>
      <c r="C1362" s="63">
        <f>Ustawienia!$A$15&amp;""</f>
        <v/>
      </c>
      <c r="D1362" s="63" t="n">
        <v>5</v>
      </c>
      <c r="E1362" s="63">
        <f>IF('17'!J17="","",TRIM('17'!J17&amp;""))</f>
        <v/>
      </c>
      <c r="F1362" s="63">
        <f>IF('17'!K17="","",'17'!K17)</f>
        <v/>
      </c>
      <c r="G1362" s="63">
        <f>'17'!L17&amp;""</f>
        <v/>
      </c>
      <c r="H1362" s="63">
        <f>IF(OR(A1362="",F1362=""),"",F1362&amp;"|"&amp;A1362)</f>
        <v/>
      </c>
      <c r="I1362" s="63">
        <f>IF(AND(H1362&lt;&gt;"",OR('Historia wózka'!$B$4="",F1362='Historia wózka'!$B$4),A1362&gt;='Historia wózka'!$B$5,A1362&lt;='Historia wózka'!$B$6),A1362+0.7+(5000-ROW())/10000000,0)</f>
        <v/>
      </c>
      <c r="J1362" s="63">
        <f>Ustawienia!$B$10&amp;""</f>
        <v/>
      </c>
      <c r="K1362" s="63">
        <f>IF(H1362="","",COUNTIFS('Zgłoszenia'!$B$5:$B$504,F1362,'Zgłoszenia'!$D$5:$D$504,"&gt;="&amp;A1362,'Zgłoszenia'!$D$5:$D$504,"&lt;="&amp;(A1362+1)))</f>
        <v/>
      </c>
      <c r="L1362" s="63">
        <f>IF(OR(H1362="",K1362=0),"—",IF(ISNUMBER(MATCH(H1362,'Zgłoszenia'!$S$5:$S$504,0)),RIGHT("0"&amp;DAY(A1362),2)&amp;"."&amp;RIGHT("0"&amp;MONTH(A1362),2)&amp;"."&amp;YEAR(A1362)&amp;": "&amp;INDEX('Zgłoszenia'!$H$5:$H$504,MATCH(H1362,'Zgłoszenia'!$S$5:$S$504,0)),RIGHT("0"&amp;DAY((A1362+1)),2)&amp;"."&amp;RIGHT("0"&amp;MONTH((A1362+1)),2)&amp;"."&amp;YEAR((A1362+1))&amp;": "&amp;INDEX('Zgłoszenia'!$H$5:$H$504,MATCH(F1362&amp;"|"&amp;(A1362+1),'Zgłoszenia'!$S$5:$S$504,0)))&amp;IF(K1362&gt;1," (+"&amp;(K1362-1)&amp;")",""))</f>
        <v/>
      </c>
      <c r="M1362" s="63" t="n">
        <v>17</v>
      </c>
      <c r="N1362" s="2" t="n"/>
      <c r="O1362" s="2" t="n"/>
    </row>
    <row r="1363">
      <c r="A1363" s="62">
        <f>IF('17'!$C$1="","",'17'!$C$1)</f>
        <v/>
      </c>
      <c r="B1363" s="63">
        <f>Ustawienia!$A$10&amp;""</f>
        <v/>
      </c>
      <c r="C1363" s="63">
        <f>Ustawienia!$A$15&amp;""</f>
        <v/>
      </c>
      <c r="D1363" s="63" t="n">
        <v>6</v>
      </c>
      <c r="E1363" s="63">
        <f>IF('17'!J18="","",TRIM('17'!J18&amp;""))</f>
        <v/>
      </c>
      <c r="F1363" s="63">
        <f>IF('17'!K18="","",'17'!K18)</f>
        <v/>
      </c>
      <c r="G1363" s="63">
        <f>'17'!L18&amp;""</f>
        <v/>
      </c>
      <c r="H1363" s="63">
        <f>IF(OR(A1363="",F1363=""),"",F1363&amp;"|"&amp;A1363)</f>
        <v/>
      </c>
      <c r="I1363" s="63">
        <f>IF(AND(H1363&lt;&gt;"",OR('Historia wózka'!$B$4="",F1363='Historia wózka'!$B$4),A1363&gt;='Historia wózka'!$B$5,A1363&lt;='Historia wózka'!$B$6),A1363+0.7+(5000-ROW())/10000000,0)</f>
        <v/>
      </c>
      <c r="J1363" s="63">
        <f>Ustawienia!$B$10&amp;""</f>
        <v/>
      </c>
      <c r="K1363" s="63">
        <f>IF(H1363="","",COUNTIFS('Zgłoszenia'!$B$5:$B$504,F1363,'Zgłoszenia'!$D$5:$D$504,"&gt;="&amp;A1363,'Zgłoszenia'!$D$5:$D$504,"&lt;="&amp;(A1363+1)))</f>
        <v/>
      </c>
      <c r="L1363" s="63">
        <f>IF(OR(H1363="",K1363=0),"—",IF(ISNUMBER(MATCH(H1363,'Zgłoszenia'!$S$5:$S$504,0)),RIGHT("0"&amp;DAY(A1363),2)&amp;"."&amp;RIGHT("0"&amp;MONTH(A1363),2)&amp;"."&amp;YEAR(A1363)&amp;": "&amp;INDEX('Zgłoszenia'!$H$5:$H$504,MATCH(H1363,'Zgłoszenia'!$S$5:$S$504,0)),RIGHT("0"&amp;DAY((A1363+1)),2)&amp;"."&amp;RIGHT("0"&amp;MONTH((A1363+1)),2)&amp;"."&amp;YEAR((A1363+1))&amp;": "&amp;INDEX('Zgłoszenia'!$H$5:$H$504,MATCH(F1363&amp;"|"&amp;(A1363+1),'Zgłoszenia'!$S$5:$S$504,0)))&amp;IF(K1363&gt;1," (+"&amp;(K1363-1)&amp;")",""))</f>
        <v/>
      </c>
      <c r="M1363" s="63" t="n">
        <v>17</v>
      </c>
      <c r="N1363" s="2" t="n"/>
      <c r="O1363" s="2" t="n"/>
    </row>
    <row r="1364">
      <c r="A1364" s="62">
        <f>IF('17'!$C$1="","",'17'!$C$1)</f>
        <v/>
      </c>
      <c r="B1364" s="63">
        <f>Ustawienia!$A$10&amp;""</f>
        <v/>
      </c>
      <c r="C1364" s="63">
        <f>Ustawienia!$A$15&amp;""</f>
        <v/>
      </c>
      <c r="D1364" s="63" t="n">
        <v>7</v>
      </c>
      <c r="E1364" s="63">
        <f>IF('17'!J19="","",TRIM('17'!J19&amp;""))</f>
        <v/>
      </c>
      <c r="F1364" s="63">
        <f>IF('17'!K19="","",'17'!K19)</f>
        <v/>
      </c>
      <c r="G1364" s="63">
        <f>'17'!L19&amp;""</f>
        <v/>
      </c>
      <c r="H1364" s="63">
        <f>IF(OR(A1364="",F1364=""),"",F1364&amp;"|"&amp;A1364)</f>
        <v/>
      </c>
      <c r="I1364" s="63">
        <f>IF(AND(H1364&lt;&gt;"",OR('Historia wózka'!$B$4="",F1364='Historia wózka'!$B$4),A1364&gt;='Historia wózka'!$B$5,A1364&lt;='Historia wózka'!$B$6),A1364+0.7+(5000-ROW())/10000000,0)</f>
        <v/>
      </c>
      <c r="J1364" s="63">
        <f>Ustawienia!$B$10&amp;""</f>
        <v/>
      </c>
      <c r="K1364" s="63">
        <f>IF(H1364="","",COUNTIFS('Zgłoszenia'!$B$5:$B$504,F1364,'Zgłoszenia'!$D$5:$D$504,"&gt;="&amp;A1364,'Zgłoszenia'!$D$5:$D$504,"&lt;="&amp;(A1364+1)))</f>
        <v/>
      </c>
      <c r="L1364" s="63">
        <f>IF(OR(H1364="",K1364=0),"—",IF(ISNUMBER(MATCH(H1364,'Zgłoszenia'!$S$5:$S$504,0)),RIGHT("0"&amp;DAY(A1364),2)&amp;"."&amp;RIGHT("0"&amp;MONTH(A1364),2)&amp;"."&amp;YEAR(A1364)&amp;": "&amp;INDEX('Zgłoszenia'!$H$5:$H$504,MATCH(H1364,'Zgłoszenia'!$S$5:$S$504,0)),RIGHT("0"&amp;DAY((A1364+1)),2)&amp;"."&amp;RIGHT("0"&amp;MONTH((A1364+1)),2)&amp;"."&amp;YEAR((A1364+1))&amp;": "&amp;INDEX('Zgłoszenia'!$H$5:$H$504,MATCH(F1364&amp;"|"&amp;(A1364+1),'Zgłoszenia'!$S$5:$S$504,0)))&amp;IF(K1364&gt;1," (+"&amp;(K1364-1)&amp;")",""))</f>
        <v/>
      </c>
      <c r="M1364" s="63" t="n">
        <v>17</v>
      </c>
      <c r="N1364" s="2" t="n"/>
      <c r="O1364" s="2" t="n"/>
    </row>
    <row r="1365">
      <c r="A1365" s="62">
        <f>IF('17'!$C$1="","",'17'!$C$1)</f>
        <v/>
      </c>
      <c r="B1365" s="63">
        <f>Ustawienia!$A$10&amp;""</f>
        <v/>
      </c>
      <c r="C1365" s="63">
        <f>Ustawienia!$A$15&amp;""</f>
        <v/>
      </c>
      <c r="D1365" s="63" t="n">
        <v>8</v>
      </c>
      <c r="E1365" s="63">
        <f>IF('17'!J20="","",TRIM('17'!J20&amp;""))</f>
        <v/>
      </c>
      <c r="F1365" s="63">
        <f>IF('17'!K20="","",'17'!K20)</f>
        <v/>
      </c>
      <c r="G1365" s="63">
        <f>'17'!L20&amp;""</f>
        <v/>
      </c>
      <c r="H1365" s="63">
        <f>IF(OR(A1365="",F1365=""),"",F1365&amp;"|"&amp;A1365)</f>
        <v/>
      </c>
      <c r="I1365" s="63">
        <f>IF(AND(H1365&lt;&gt;"",OR('Historia wózka'!$B$4="",F1365='Historia wózka'!$B$4),A1365&gt;='Historia wózka'!$B$5,A1365&lt;='Historia wózka'!$B$6),A1365+0.7+(5000-ROW())/10000000,0)</f>
        <v/>
      </c>
      <c r="J1365" s="63">
        <f>Ustawienia!$B$10&amp;""</f>
        <v/>
      </c>
      <c r="K1365" s="63">
        <f>IF(H1365="","",COUNTIFS('Zgłoszenia'!$B$5:$B$504,F1365,'Zgłoszenia'!$D$5:$D$504,"&gt;="&amp;A1365,'Zgłoszenia'!$D$5:$D$504,"&lt;="&amp;(A1365+1)))</f>
        <v/>
      </c>
      <c r="L1365" s="63">
        <f>IF(OR(H1365="",K1365=0),"—",IF(ISNUMBER(MATCH(H1365,'Zgłoszenia'!$S$5:$S$504,0)),RIGHT("0"&amp;DAY(A1365),2)&amp;"."&amp;RIGHT("0"&amp;MONTH(A1365),2)&amp;"."&amp;YEAR(A1365)&amp;": "&amp;INDEX('Zgłoszenia'!$H$5:$H$504,MATCH(H1365,'Zgłoszenia'!$S$5:$S$504,0)),RIGHT("0"&amp;DAY((A1365+1)),2)&amp;"."&amp;RIGHT("0"&amp;MONTH((A1365+1)),2)&amp;"."&amp;YEAR((A1365+1))&amp;": "&amp;INDEX('Zgłoszenia'!$H$5:$H$504,MATCH(F1365&amp;"|"&amp;(A1365+1),'Zgłoszenia'!$S$5:$S$504,0)))&amp;IF(K1365&gt;1," (+"&amp;(K1365-1)&amp;")",""))</f>
        <v/>
      </c>
      <c r="M1365" s="63" t="n">
        <v>17</v>
      </c>
      <c r="N1365" s="2" t="n"/>
      <c r="O1365" s="2" t="n"/>
    </row>
    <row r="1366">
      <c r="A1366" s="62">
        <f>IF('17'!$C$1="","",'17'!$C$1)</f>
        <v/>
      </c>
      <c r="B1366" s="63">
        <f>Ustawienia!$A$10&amp;""</f>
        <v/>
      </c>
      <c r="C1366" s="63">
        <f>Ustawienia!$A$16&amp;""</f>
        <v/>
      </c>
      <c r="D1366" s="63" t="n">
        <v>1</v>
      </c>
      <c r="E1366" s="63">
        <f>IF('17'!J22="","",TRIM('17'!J22&amp;""))</f>
        <v/>
      </c>
      <c r="F1366" s="63">
        <f>IF('17'!K22="","",'17'!K22)</f>
        <v/>
      </c>
      <c r="G1366" s="63">
        <f>'17'!L22&amp;""</f>
        <v/>
      </c>
      <c r="H1366" s="63">
        <f>IF(OR(A1366="",F1366=""),"",F1366&amp;"|"&amp;A1366)</f>
        <v/>
      </c>
      <c r="I1366" s="63">
        <f>IF(AND(H1366&lt;&gt;"",OR('Historia wózka'!$B$4="",F1366='Historia wózka'!$B$4),A1366&gt;='Historia wózka'!$B$5,A1366&lt;='Historia wózka'!$B$6),A1366+0.7+(5000-ROW())/10000000,0)</f>
        <v/>
      </c>
      <c r="J1366" s="63">
        <f>Ustawienia!$B$10&amp;""</f>
        <v/>
      </c>
      <c r="K1366" s="63">
        <f>IF(H1366="","",COUNTIFS('Zgłoszenia'!$B$5:$B$504,F1366,'Zgłoszenia'!$D$5:$D$504,"&gt;="&amp;A1366,'Zgłoszenia'!$D$5:$D$504,"&lt;="&amp;(A1366+1)))</f>
        <v/>
      </c>
      <c r="L1366" s="63">
        <f>IF(OR(H1366="",K1366=0),"—",IF(ISNUMBER(MATCH(H1366,'Zgłoszenia'!$S$5:$S$504,0)),RIGHT("0"&amp;DAY(A1366),2)&amp;"."&amp;RIGHT("0"&amp;MONTH(A1366),2)&amp;"."&amp;YEAR(A1366)&amp;": "&amp;INDEX('Zgłoszenia'!$H$5:$H$504,MATCH(H1366,'Zgłoszenia'!$S$5:$S$504,0)),RIGHT("0"&amp;DAY((A1366+1)),2)&amp;"."&amp;RIGHT("0"&amp;MONTH((A1366+1)),2)&amp;"."&amp;YEAR((A1366+1))&amp;": "&amp;INDEX('Zgłoszenia'!$H$5:$H$504,MATCH(F1366&amp;"|"&amp;(A1366+1),'Zgłoszenia'!$S$5:$S$504,0)))&amp;IF(K1366&gt;1," (+"&amp;(K1366-1)&amp;")",""))</f>
        <v/>
      </c>
      <c r="M1366" s="63" t="n">
        <v>17</v>
      </c>
      <c r="N1366" s="2" t="n"/>
      <c r="O1366" s="2" t="n"/>
    </row>
    <row r="1367">
      <c r="A1367" s="62">
        <f>IF('17'!$C$1="","",'17'!$C$1)</f>
        <v/>
      </c>
      <c r="B1367" s="63">
        <f>Ustawienia!$A$10&amp;""</f>
        <v/>
      </c>
      <c r="C1367" s="63">
        <f>Ustawienia!$A$16&amp;""</f>
        <v/>
      </c>
      <c r="D1367" s="63" t="n">
        <v>2</v>
      </c>
      <c r="E1367" s="63">
        <f>IF('17'!J23="","",TRIM('17'!J23&amp;""))</f>
        <v/>
      </c>
      <c r="F1367" s="63">
        <f>IF('17'!K23="","",'17'!K23)</f>
        <v/>
      </c>
      <c r="G1367" s="63">
        <f>'17'!L23&amp;""</f>
        <v/>
      </c>
      <c r="H1367" s="63">
        <f>IF(OR(A1367="",F1367=""),"",F1367&amp;"|"&amp;A1367)</f>
        <v/>
      </c>
      <c r="I1367" s="63">
        <f>IF(AND(H1367&lt;&gt;"",OR('Historia wózka'!$B$4="",F1367='Historia wózka'!$B$4),A1367&gt;='Historia wózka'!$B$5,A1367&lt;='Historia wózka'!$B$6),A1367+0.7+(5000-ROW())/10000000,0)</f>
        <v/>
      </c>
      <c r="J1367" s="63">
        <f>Ustawienia!$B$10&amp;""</f>
        <v/>
      </c>
      <c r="K1367" s="63">
        <f>IF(H1367="","",COUNTIFS('Zgłoszenia'!$B$5:$B$504,F1367,'Zgłoszenia'!$D$5:$D$504,"&gt;="&amp;A1367,'Zgłoszenia'!$D$5:$D$504,"&lt;="&amp;(A1367+1)))</f>
        <v/>
      </c>
      <c r="L1367" s="63">
        <f>IF(OR(H1367="",K1367=0),"—",IF(ISNUMBER(MATCH(H1367,'Zgłoszenia'!$S$5:$S$504,0)),RIGHT("0"&amp;DAY(A1367),2)&amp;"."&amp;RIGHT("0"&amp;MONTH(A1367),2)&amp;"."&amp;YEAR(A1367)&amp;": "&amp;INDEX('Zgłoszenia'!$H$5:$H$504,MATCH(H1367,'Zgłoszenia'!$S$5:$S$504,0)),RIGHT("0"&amp;DAY((A1367+1)),2)&amp;"."&amp;RIGHT("0"&amp;MONTH((A1367+1)),2)&amp;"."&amp;YEAR((A1367+1))&amp;": "&amp;INDEX('Zgłoszenia'!$H$5:$H$504,MATCH(F1367&amp;"|"&amp;(A1367+1),'Zgłoszenia'!$S$5:$S$504,0)))&amp;IF(K1367&gt;1," (+"&amp;(K1367-1)&amp;")",""))</f>
        <v/>
      </c>
      <c r="M1367" s="63" t="n">
        <v>17</v>
      </c>
      <c r="N1367" s="2" t="n"/>
      <c r="O1367" s="2" t="n"/>
    </row>
    <row r="1368">
      <c r="A1368" s="62">
        <f>IF('17'!$C$1="","",'17'!$C$1)</f>
        <v/>
      </c>
      <c r="B1368" s="63">
        <f>Ustawienia!$A$10&amp;""</f>
        <v/>
      </c>
      <c r="C1368" s="63">
        <f>Ustawienia!$A$16&amp;""</f>
        <v/>
      </c>
      <c r="D1368" s="63" t="n">
        <v>3</v>
      </c>
      <c r="E1368" s="63">
        <f>IF('17'!J24="","",TRIM('17'!J24&amp;""))</f>
        <v/>
      </c>
      <c r="F1368" s="63">
        <f>IF('17'!K24="","",'17'!K24)</f>
        <v/>
      </c>
      <c r="G1368" s="63">
        <f>'17'!L24&amp;""</f>
        <v/>
      </c>
      <c r="H1368" s="63">
        <f>IF(OR(A1368="",F1368=""),"",F1368&amp;"|"&amp;A1368)</f>
        <v/>
      </c>
      <c r="I1368" s="63">
        <f>IF(AND(H1368&lt;&gt;"",OR('Historia wózka'!$B$4="",F1368='Historia wózka'!$B$4),A1368&gt;='Historia wózka'!$B$5,A1368&lt;='Historia wózka'!$B$6),A1368+0.7+(5000-ROW())/10000000,0)</f>
        <v/>
      </c>
      <c r="J1368" s="63">
        <f>Ustawienia!$B$10&amp;""</f>
        <v/>
      </c>
      <c r="K1368" s="63">
        <f>IF(H1368="","",COUNTIFS('Zgłoszenia'!$B$5:$B$504,F1368,'Zgłoszenia'!$D$5:$D$504,"&gt;="&amp;A1368,'Zgłoszenia'!$D$5:$D$504,"&lt;="&amp;(A1368+1)))</f>
        <v/>
      </c>
      <c r="L1368" s="63">
        <f>IF(OR(H1368="",K1368=0),"—",IF(ISNUMBER(MATCH(H1368,'Zgłoszenia'!$S$5:$S$504,0)),RIGHT("0"&amp;DAY(A1368),2)&amp;"."&amp;RIGHT("0"&amp;MONTH(A1368),2)&amp;"."&amp;YEAR(A1368)&amp;": "&amp;INDEX('Zgłoszenia'!$H$5:$H$504,MATCH(H1368,'Zgłoszenia'!$S$5:$S$504,0)),RIGHT("0"&amp;DAY((A1368+1)),2)&amp;"."&amp;RIGHT("0"&amp;MONTH((A1368+1)),2)&amp;"."&amp;YEAR((A1368+1))&amp;": "&amp;INDEX('Zgłoszenia'!$H$5:$H$504,MATCH(F1368&amp;"|"&amp;(A1368+1),'Zgłoszenia'!$S$5:$S$504,0)))&amp;IF(K1368&gt;1," (+"&amp;(K1368-1)&amp;")",""))</f>
        <v/>
      </c>
      <c r="M1368" s="63" t="n">
        <v>17</v>
      </c>
      <c r="N1368" s="2" t="n"/>
      <c r="O1368" s="2" t="n"/>
    </row>
    <row r="1369">
      <c r="A1369" s="62">
        <f>IF('17'!$C$1="","",'17'!$C$1)</f>
        <v/>
      </c>
      <c r="B1369" s="63">
        <f>Ustawienia!$A$10&amp;""</f>
        <v/>
      </c>
      <c r="C1369" s="63">
        <f>Ustawienia!$A$16&amp;""</f>
        <v/>
      </c>
      <c r="D1369" s="63" t="n">
        <v>4</v>
      </c>
      <c r="E1369" s="63">
        <f>IF('17'!J25="","",TRIM('17'!J25&amp;""))</f>
        <v/>
      </c>
      <c r="F1369" s="63">
        <f>IF('17'!K25="","",'17'!K25)</f>
        <v/>
      </c>
      <c r="G1369" s="63">
        <f>'17'!L25&amp;""</f>
        <v/>
      </c>
      <c r="H1369" s="63">
        <f>IF(OR(A1369="",F1369=""),"",F1369&amp;"|"&amp;A1369)</f>
        <v/>
      </c>
      <c r="I1369" s="63">
        <f>IF(AND(H1369&lt;&gt;"",OR('Historia wózka'!$B$4="",F1369='Historia wózka'!$B$4),A1369&gt;='Historia wózka'!$B$5,A1369&lt;='Historia wózka'!$B$6),A1369+0.7+(5000-ROW())/10000000,0)</f>
        <v/>
      </c>
      <c r="J1369" s="63">
        <f>Ustawienia!$B$10&amp;""</f>
        <v/>
      </c>
      <c r="K1369" s="63">
        <f>IF(H1369="","",COUNTIFS('Zgłoszenia'!$B$5:$B$504,F1369,'Zgłoszenia'!$D$5:$D$504,"&gt;="&amp;A1369,'Zgłoszenia'!$D$5:$D$504,"&lt;="&amp;(A1369+1)))</f>
        <v/>
      </c>
      <c r="L1369" s="63">
        <f>IF(OR(H1369="",K1369=0),"—",IF(ISNUMBER(MATCH(H1369,'Zgłoszenia'!$S$5:$S$504,0)),RIGHT("0"&amp;DAY(A1369),2)&amp;"."&amp;RIGHT("0"&amp;MONTH(A1369),2)&amp;"."&amp;YEAR(A1369)&amp;": "&amp;INDEX('Zgłoszenia'!$H$5:$H$504,MATCH(H1369,'Zgłoszenia'!$S$5:$S$504,0)),RIGHT("0"&amp;DAY((A1369+1)),2)&amp;"."&amp;RIGHT("0"&amp;MONTH((A1369+1)),2)&amp;"."&amp;YEAR((A1369+1))&amp;": "&amp;INDEX('Zgłoszenia'!$H$5:$H$504,MATCH(F1369&amp;"|"&amp;(A1369+1),'Zgłoszenia'!$S$5:$S$504,0)))&amp;IF(K1369&gt;1," (+"&amp;(K1369-1)&amp;")",""))</f>
        <v/>
      </c>
      <c r="M1369" s="63" t="n">
        <v>17</v>
      </c>
      <c r="N1369" s="2" t="n"/>
      <c r="O1369" s="2" t="n"/>
    </row>
    <row r="1370">
      <c r="A1370" s="62">
        <f>IF('17'!$C$1="","",'17'!$C$1)</f>
        <v/>
      </c>
      <c r="B1370" s="63">
        <f>Ustawienia!$A$10&amp;""</f>
        <v/>
      </c>
      <c r="C1370" s="63">
        <f>Ustawienia!$A$17&amp;""</f>
        <v/>
      </c>
      <c r="D1370" s="63" t="n">
        <v>1</v>
      </c>
      <c r="E1370" s="63">
        <f>IF('17'!J27="","",TRIM('17'!J27&amp;""))</f>
        <v/>
      </c>
      <c r="F1370" s="63">
        <f>IF('17'!K27="","",'17'!K27)</f>
        <v/>
      </c>
      <c r="G1370" s="63">
        <f>'17'!L27&amp;""</f>
        <v/>
      </c>
      <c r="H1370" s="63">
        <f>IF(OR(A1370="",F1370=""),"",F1370&amp;"|"&amp;A1370)</f>
        <v/>
      </c>
      <c r="I1370" s="63">
        <f>IF(AND(H1370&lt;&gt;"",OR('Historia wózka'!$B$4="",F1370='Historia wózka'!$B$4),A1370&gt;='Historia wózka'!$B$5,A1370&lt;='Historia wózka'!$B$6),A1370+0.7+(5000-ROW())/10000000,0)</f>
        <v/>
      </c>
      <c r="J1370" s="63">
        <f>Ustawienia!$B$10&amp;""</f>
        <v/>
      </c>
      <c r="K1370" s="63">
        <f>IF(H1370="","",COUNTIFS('Zgłoszenia'!$B$5:$B$504,F1370,'Zgłoszenia'!$D$5:$D$504,"&gt;="&amp;A1370,'Zgłoszenia'!$D$5:$D$504,"&lt;="&amp;(A1370+1)))</f>
        <v/>
      </c>
      <c r="L1370" s="63">
        <f>IF(OR(H1370="",K1370=0),"—",IF(ISNUMBER(MATCH(H1370,'Zgłoszenia'!$S$5:$S$504,0)),RIGHT("0"&amp;DAY(A1370),2)&amp;"."&amp;RIGHT("0"&amp;MONTH(A1370),2)&amp;"."&amp;YEAR(A1370)&amp;": "&amp;INDEX('Zgłoszenia'!$H$5:$H$504,MATCH(H1370,'Zgłoszenia'!$S$5:$S$504,0)),RIGHT("0"&amp;DAY((A1370+1)),2)&amp;"."&amp;RIGHT("0"&amp;MONTH((A1370+1)),2)&amp;"."&amp;YEAR((A1370+1))&amp;": "&amp;INDEX('Zgłoszenia'!$H$5:$H$504,MATCH(F1370&amp;"|"&amp;(A1370+1),'Zgłoszenia'!$S$5:$S$504,0)))&amp;IF(K1370&gt;1," (+"&amp;(K1370-1)&amp;")",""))</f>
        <v/>
      </c>
      <c r="M1370" s="63" t="n">
        <v>17</v>
      </c>
      <c r="N1370" s="2" t="n"/>
      <c r="O1370" s="2" t="n"/>
    </row>
    <row r="1371">
      <c r="A1371" s="62">
        <f>IF('17'!$C$1="","",'17'!$C$1)</f>
        <v/>
      </c>
      <c r="B1371" s="63">
        <f>Ustawienia!$A$10&amp;""</f>
        <v/>
      </c>
      <c r="C1371" s="63">
        <f>Ustawienia!$A$17&amp;""</f>
        <v/>
      </c>
      <c r="D1371" s="63" t="n">
        <v>2</v>
      </c>
      <c r="E1371" s="63">
        <f>IF('17'!J28="","",TRIM('17'!J28&amp;""))</f>
        <v/>
      </c>
      <c r="F1371" s="63">
        <f>IF('17'!K28="","",'17'!K28)</f>
        <v/>
      </c>
      <c r="G1371" s="63">
        <f>'17'!L28&amp;""</f>
        <v/>
      </c>
      <c r="H1371" s="63">
        <f>IF(OR(A1371="",F1371=""),"",F1371&amp;"|"&amp;A1371)</f>
        <v/>
      </c>
      <c r="I1371" s="63">
        <f>IF(AND(H1371&lt;&gt;"",OR('Historia wózka'!$B$4="",F1371='Historia wózka'!$B$4),A1371&gt;='Historia wózka'!$B$5,A1371&lt;='Historia wózka'!$B$6),A1371+0.7+(5000-ROW())/10000000,0)</f>
        <v/>
      </c>
      <c r="J1371" s="63">
        <f>Ustawienia!$B$10&amp;""</f>
        <v/>
      </c>
      <c r="K1371" s="63">
        <f>IF(H1371="","",COUNTIFS('Zgłoszenia'!$B$5:$B$504,F1371,'Zgłoszenia'!$D$5:$D$504,"&gt;="&amp;A1371,'Zgłoszenia'!$D$5:$D$504,"&lt;="&amp;(A1371+1)))</f>
        <v/>
      </c>
      <c r="L1371" s="63">
        <f>IF(OR(H1371="",K1371=0),"—",IF(ISNUMBER(MATCH(H1371,'Zgłoszenia'!$S$5:$S$504,0)),RIGHT("0"&amp;DAY(A1371),2)&amp;"."&amp;RIGHT("0"&amp;MONTH(A1371),2)&amp;"."&amp;YEAR(A1371)&amp;": "&amp;INDEX('Zgłoszenia'!$H$5:$H$504,MATCH(H1371,'Zgłoszenia'!$S$5:$S$504,0)),RIGHT("0"&amp;DAY((A1371+1)),2)&amp;"."&amp;RIGHT("0"&amp;MONTH((A1371+1)),2)&amp;"."&amp;YEAR((A1371+1))&amp;": "&amp;INDEX('Zgłoszenia'!$H$5:$H$504,MATCH(F1371&amp;"|"&amp;(A1371+1),'Zgłoszenia'!$S$5:$S$504,0)))&amp;IF(K1371&gt;1," (+"&amp;(K1371-1)&amp;")",""))</f>
        <v/>
      </c>
      <c r="M1371" s="63" t="n">
        <v>17</v>
      </c>
      <c r="N1371" s="2" t="n"/>
      <c r="O1371" s="2" t="n"/>
    </row>
    <row r="1372">
      <c r="A1372" s="62">
        <f>IF('17'!$C$1="","",'17'!$C$1)</f>
        <v/>
      </c>
      <c r="B1372" s="63">
        <f>Ustawienia!$A$10&amp;""</f>
        <v/>
      </c>
      <c r="C1372" s="63">
        <f>Ustawienia!$A$17&amp;""</f>
        <v/>
      </c>
      <c r="D1372" s="63" t="n">
        <v>3</v>
      </c>
      <c r="E1372" s="63">
        <f>IF('17'!J29="","",TRIM('17'!J29&amp;""))</f>
        <v/>
      </c>
      <c r="F1372" s="63">
        <f>IF('17'!K29="","",'17'!K29)</f>
        <v/>
      </c>
      <c r="G1372" s="63">
        <f>'17'!L29&amp;""</f>
        <v/>
      </c>
      <c r="H1372" s="63">
        <f>IF(OR(A1372="",F1372=""),"",F1372&amp;"|"&amp;A1372)</f>
        <v/>
      </c>
      <c r="I1372" s="63">
        <f>IF(AND(H1372&lt;&gt;"",OR('Historia wózka'!$B$4="",F1372='Historia wózka'!$B$4),A1372&gt;='Historia wózka'!$B$5,A1372&lt;='Historia wózka'!$B$6),A1372+0.7+(5000-ROW())/10000000,0)</f>
        <v/>
      </c>
      <c r="J1372" s="63">
        <f>Ustawienia!$B$10&amp;""</f>
        <v/>
      </c>
      <c r="K1372" s="63">
        <f>IF(H1372="","",COUNTIFS('Zgłoszenia'!$B$5:$B$504,F1372,'Zgłoszenia'!$D$5:$D$504,"&gt;="&amp;A1372,'Zgłoszenia'!$D$5:$D$504,"&lt;="&amp;(A1372+1)))</f>
        <v/>
      </c>
      <c r="L1372" s="63">
        <f>IF(OR(H1372="",K1372=0),"—",IF(ISNUMBER(MATCH(H1372,'Zgłoszenia'!$S$5:$S$504,0)),RIGHT("0"&amp;DAY(A1372),2)&amp;"."&amp;RIGHT("0"&amp;MONTH(A1372),2)&amp;"."&amp;YEAR(A1372)&amp;": "&amp;INDEX('Zgłoszenia'!$H$5:$H$504,MATCH(H1372,'Zgłoszenia'!$S$5:$S$504,0)),RIGHT("0"&amp;DAY((A1372+1)),2)&amp;"."&amp;RIGHT("0"&amp;MONTH((A1372+1)),2)&amp;"."&amp;YEAR((A1372+1))&amp;": "&amp;INDEX('Zgłoszenia'!$H$5:$H$504,MATCH(F1372&amp;"|"&amp;(A1372+1),'Zgłoszenia'!$S$5:$S$504,0)))&amp;IF(K1372&gt;1," (+"&amp;(K1372-1)&amp;")",""))</f>
        <v/>
      </c>
      <c r="M1372" s="63" t="n">
        <v>17</v>
      </c>
      <c r="N1372" s="2" t="n"/>
      <c r="O1372" s="2" t="n"/>
    </row>
    <row r="1373">
      <c r="A1373" s="62">
        <f>IF('17'!$C$1="","",'17'!$C$1)</f>
        <v/>
      </c>
      <c r="B1373" s="63">
        <f>Ustawienia!$A$10&amp;""</f>
        <v/>
      </c>
      <c r="C1373" s="63">
        <f>Ustawienia!$A$17&amp;""</f>
        <v/>
      </c>
      <c r="D1373" s="63" t="n">
        <v>4</v>
      </c>
      <c r="E1373" s="63">
        <f>IF('17'!J30="","",TRIM('17'!J30&amp;""))</f>
        <v/>
      </c>
      <c r="F1373" s="63">
        <f>IF('17'!K30="","",'17'!K30)</f>
        <v/>
      </c>
      <c r="G1373" s="63">
        <f>'17'!L30&amp;""</f>
        <v/>
      </c>
      <c r="H1373" s="63">
        <f>IF(OR(A1373="",F1373=""),"",F1373&amp;"|"&amp;A1373)</f>
        <v/>
      </c>
      <c r="I1373" s="63">
        <f>IF(AND(H1373&lt;&gt;"",OR('Historia wózka'!$B$4="",F1373='Historia wózka'!$B$4),A1373&gt;='Historia wózka'!$B$5,A1373&lt;='Historia wózka'!$B$6),A1373+0.7+(5000-ROW())/10000000,0)</f>
        <v/>
      </c>
      <c r="J1373" s="63">
        <f>Ustawienia!$B$10&amp;""</f>
        <v/>
      </c>
      <c r="K1373" s="63">
        <f>IF(H1373="","",COUNTIFS('Zgłoszenia'!$B$5:$B$504,F1373,'Zgłoszenia'!$D$5:$D$504,"&gt;="&amp;A1373,'Zgłoszenia'!$D$5:$D$504,"&lt;="&amp;(A1373+1)))</f>
        <v/>
      </c>
      <c r="L1373" s="63">
        <f>IF(OR(H1373="",K1373=0),"—",IF(ISNUMBER(MATCH(H1373,'Zgłoszenia'!$S$5:$S$504,0)),RIGHT("0"&amp;DAY(A1373),2)&amp;"."&amp;RIGHT("0"&amp;MONTH(A1373),2)&amp;"."&amp;YEAR(A1373)&amp;": "&amp;INDEX('Zgłoszenia'!$H$5:$H$504,MATCH(H1373,'Zgłoszenia'!$S$5:$S$504,0)),RIGHT("0"&amp;DAY((A1373+1)),2)&amp;"."&amp;RIGHT("0"&amp;MONTH((A1373+1)),2)&amp;"."&amp;YEAR((A1373+1))&amp;": "&amp;INDEX('Zgłoszenia'!$H$5:$H$504,MATCH(F1373&amp;"|"&amp;(A1373+1),'Zgłoszenia'!$S$5:$S$504,0)))&amp;IF(K1373&gt;1," (+"&amp;(K1373-1)&amp;")",""))</f>
        <v/>
      </c>
      <c r="M1373" s="63" t="n">
        <v>17</v>
      </c>
      <c r="N1373" s="2" t="n"/>
      <c r="O1373" s="2" t="n"/>
    </row>
    <row r="1374">
      <c r="A1374" s="62">
        <f>IF('17'!$C$1="","",'17'!$C$1)</f>
        <v/>
      </c>
      <c r="B1374" s="63">
        <f>Ustawienia!$A$10&amp;""</f>
        <v/>
      </c>
      <c r="C1374" s="63">
        <f>Ustawienia!$A$18&amp;""</f>
        <v/>
      </c>
      <c r="D1374" s="63" t="n">
        <v>1</v>
      </c>
      <c r="E1374" s="63">
        <f>IF('17'!J32="","",TRIM('17'!J32&amp;""))</f>
        <v/>
      </c>
      <c r="F1374" s="63">
        <f>IF('17'!K32="","",'17'!K32)</f>
        <v/>
      </c>
      <c r="G1374" s="63">
        <f>'17'!L32&amp;""</f>
        <v/>
      </c>
      <c r="H1374" s="63">
        <f>IF(OR(A1374="",F1374=""),"",F1374&amp;"|"&amp;A1374)</f>
        <v/>
      </c>
      <c r="I1374" s="63">
        <f>IF(AND(H1374&lt;&gt;"",OR('Historia wózka'!$B$4="",F1374='Historia wózka'!$B$4),A1374&gt;='Historia wózka'!$B$5,A1374&lt;='Historia wózka'!$B$6),A1374+0.7+(5000-ROW())/10000000,0)</f>
        <v/>
      </c>
      <c r="J1374" s="63">
        <f>Ustawienia!$B$10&amp;""</f>
        <v/>
      </c>
      <c r="K1374" s="63">
        <f>IF(H1374="","",COUNTIFS('Zgłoszenia'!$B$5:$B$504,F1374,'Zgłoszenia'!$D$5:$D$504,"&gt;="&amp;A1374,'Zgłoszenia'!$D$5:$D$504,"&lt;="&amp;(A1374+1)))</f>
        <v/>
      </c>
      <c r="L1374" s="63">
        <f>IF(OR(H1374="",K1374=0),"—",IF(ISNUMBER(MATCH(H1374,'Zgłoszenia'!$S$5:$S$504,0)),RIGHT("0"&amp;DAY(A1374),2)&amp;"."&amp;RIGHT("0"&amp;MONTH(A1374),2)&amp;"."&amp;YEAR(A1374)&amp;": "&amp;INDEX('Zgłoszenia'!$H$5:$H$504,MATCH(H1374,'Zgłoszenia'!$S$5:$S$504,0)),RIGHT("0"&amp;DAY((A1374+1)),2)&amp;"."&amp;RIGHT("0"&amp;MONTH((A1374+1)),2)&amp;"."&amp;YEAR((A1374+1))&amp;": "&amp;INDEX('Zgłoszenia'!$H$5:$H$504,MATCH(F1374&amp;"|"&amp;(A1374+1),'Zgłoszenia'!$S$5:$S$504,0)))&amp;IF(K1374&gt;1," (+"&amp;(K1374-1)&amp;")",""))</f>
        <v/>
      </c>
      <c r="M1374" s="63" t="n">
        <v>17</v>
      </c>
      <c r="N1374" s="2" t="n"/>
      <c r="O1374" s="2" t="n"/>
    </row>
    <row r="1375">
      <c r="A1375" s="62">
        <f>IF('17'!$C$1="","",'17'!$C$1)</f>
        <v/>
      </c>
      <c r="B1375" s="63">
        <f>Ustawienia!$A$10&amp;""</f>
        <v/>
      </c>
      <c r="C1375" s="63">
        <f>Ustawienia!$A$18&amp;""</f>
        <v/>
      </c>
      <c r="D1375" s="63" t="n">
        <v>2</v>
      </c>
      <c r="E1375" s="63">
        <f>IF('17'!J33="","",TRIM('17'!J33&amp;""))</f>
        <v/>
      </c>
      <c r="F1375" s="63">
        <f>IF('17'!K33="","",'17'!K33)</f>
        <v/>
      </c>
      <c r="G1375" s="63">
        <f>'17'!L33&amp;""</f>
        <v/>
      </c>
      <c r="H1375" s="63">
        <f>IF(OR(A1375="",F1375=""),"",F1375&amp;"|"&amp;A1375)</f>
        <v/>
      </c>
      <c r="I1375" s="63">
        <f>IF(AND(H1375&lt;&gt;"",OR('Historia wózka'!$B$4="",F1375='Historia wózka'!$B$4),A1375&gt;='Historia wózka'!$B$5,A1375&lt;='Historia wózka'!$B$6),A1375+0.7+(5000-ROW())/10000000,0)</f>
        <v/>
      </c>
      <c r="J1375" s="63">
        <f>Ustawienia!$B$10&amp;""</f>
        <v/>
      </c>
      <c r="K1375" s="63">
        <f>IF(H1375="","",COUNTIFS('Zgłoszenia'!$B$5:$B$504,F1375,'Zgłoszenia'!$D$5:$D$504,"&gt;="&amp;A1375,'Zgłoszenia'!$D$5:$D$504,"&lt;="&amp;(A1375+1)))</f>
        <v/>
      </c>
      <c r="L1375" s="63">
        <f>IF(OR(H1375="",K1375=0),"—",IF(ISNUMBER(MATCH(H1375,'Zgłoszenia'!$S$5:$S$504,0)),RIGHT("0"&amp;DAY(A1375),2)&amp;"."&amp;RIGHT("0"&amp;MONTH(A1375),2)&amp;"."&amp;YEAR(A1375)&amp;": "&amp;INDEX('Zgłoszenia'!$H$5:$H$504,MATCH(H1375,'Zgłoszenia'!$S$5:$S$504,0)),RIGHT("0"&amp;DAY((A1375+1)),2)&amp;"."&amp;RIGHT("0"&amp;MONTH((A1375+1)),2)&amp;"."&amp;YEAR((A1375+1))&amp;": "&amp;INDEX('Zgłoszenia'!$H$5:$H$504,MATCH(F1375&amp;"|"&amp;(A1375+1),'Zgłoszenia'!$S$5:$S$504,0)))&amp;IF(K1375&gt;1," (+"&amp;(K1375-1)&amp;")",""))</f>
        <v/>
      </c>
      <c r="M1375" s="63" t="n">
        <v>17</v>
      </c>
      <c r="N1375" s="2" t="n"/>
      <c r="O1375" s="2" t="n"/>
    </row>
    <row r="1376">
      <c r="A1376" s="62">
        <f>IF('17'!$C$1="","",'17'!$C$1)</f>
        <v/>
      </c>
      <c r="B1376" s="63">
        <f>Ustawienia!$A$10&amp;""</f>
        <v/>
      </c>
      <c r="C1376" s="63">
        <f>Ustawienia!$A$18&amp;""</f>
        <v/>
      </c>
      <c r="D1376" s="63" t="n">
        <v>3</v>
      </c>
      <c r="E1376" s="63">
        <f>IF('17'!J34="","",TRIM('17'!J34&amp;""))</f>
        <v/>
      </c>
      <c r="F1376" s="63">
        <f>IF('17'!K34="","",'17'!K34)</f>
        <v/>
      </c>
      <c r="G1376" s="63">
        <f>'17'!L34&amp;""</f>
        <v/>
      </c>
      <c r="H1376" s="63">
        <f>IF(OR(A1376="",F1376=""),"",F1376&amp;"|"&amp;A1376)</f>
        <v/>
      </c>
      <c r="I1376" s="63">
        <f>IF(AND(H1376&lt;&gt;"",OR('Historia wózka'!$B$4="",F1376='Historia wózka'!$B$4),A1376&gt;='Historia wózka'!$B$5,A1376&lt;='Historia wózka'!$B$6),A1376+0.7+(5000-ROW())/10000000,0)</f>
        <v/>
      </c>
      <c r="J1376" s="63">
        <f>Ustawienia!$B$10&amp;""</f>
        <v/>
      </c>
      <c r="K1376" s="63">
        <f>IF(H1376="","",COUNTIFS('Zgłoszenia'!$B$5:$B$504,F1376,'Zgłoszenia'!$D$5:$D$504,"&gt;="&amp;A1376,'Zgłoszenia'!$D$5:$D$504,"&lt;="&amp;(A1376+1)))</f>
        <v/>
      </c>
      <c r="L1376" s="63">
        <f>IF(OR(H1376="",K1376=0),"—",IF(ISNUMBER(MATCH(H1376,'Zgłoszenia'!$S$5:$S$504,0)),RIGHT("0"&amp;DAY(A1376),2)&amp;"."&amp;RIGHT("0"&amp;MONTH(A1376),2)&amp;"."&amp;YEAR(A1376)&amp;": "&amp;INDEX('Zgłoszenia'!$H$5:$H$504,MATCH(H1376,'Zgłoszenia'!$S$5:$S$504,0)),RIGHT("0"&amp;DAY((A1376+1)),2)&amp;"."&amp;RIGHT("0"&amp;MONTH((A1376+1)),2)&amp;"."&amp;YEAR((A1376+1))&amp;": "&amp;INDEX('Zgłoszenia'!$H$5:$H$504,MATCH(F1376&amp;"|"&amp;(A1376+1),'Zgłoszenia'!$S$5:$S$504,0)))&amp;IF(K1376&gt;1," (+"&amp;(K1376-1)&amp;")",""))</f>
        <v/>
      </c>
      <c r="M1376" s="63" t="n">
        <v>17</v>
      </c>
      <c r="N1376" s="2" t="n"/>
      <c r="O1376" s="2" t="n"/>
    </row>
    <row r="1377">
      <c r="A1377" s="62">
        <f>IF('17'!$C$1="","",'17'!$C$1)</f>
        <v/>
      </c>
      <c r="B1377" s="63">
        <f>Ustawienia!$A$10&amp;""</f>
        <v/>
      </c>
      <c r="C1377" s="63">
        <f>Ustawienia!$A$18&amp;""</f>
        <v/>
      </c>
      <c r="D1377" s="63" t="n">
        <v>4</v>
      </c>
      <c r="E1377" s="63">
        <f>IF('17'!J35="","",TRIM('17'!J35&amp;""))</f>
        <v/>
      </c>
      <c r="F1377" s="63">
        <f>IF('17'!K35="","",'17'!K35)</f>
        <v/>
      </c>
      <c r="G1377" s="63">
        <f>'17'!L35&amp;""</f>
        <v/>
      </c>
      <c r="H1377" s="63">
        <f>IF(OR(A1377="",F1377=""),"",F1377&amp;"|"&amp;A1377)</f>
        <v/>
      </c>
      <c r="I1377" s="63">
        <f>IF(AND(H1377&lt;&gt;"",OR('Historia wózka'!$B$4="",F1377='Historia wózka'!$B$4),A1377&gt;='Historia wózka'!$B$5,A1377&lt;='Historia wózka'!$B$6),A1377+0.7+(5000-ROW())/10000000,0)</f>
        <v/>
      </c>
      <c r="J1377" s="63">
        <f>Ustawienia!$B$10&amp;""</f>
        <v/>
      </c>
      <c r="K1377" s="63">
        <f>IF(H1377="","",COUNTIFS('Zgłoszenia'!$B$5:$B$504,F1377,'Zgłoszenia'!$D$5:$D$504,"&gt;="&amp;A1377,'Zgłoszenia'!$D$5:$D$504,"&lt;="&amp;(A1377+1)))</f>
        <v/>
      </c>
      <c r="L1377" s="63">
        <f>IF(OR(H1377="",K1377=0),"—",IF(ISNUMBER(MATCH(H1377,'Zgłoszenia'!$S$5:$S$504,0)),RIGHT("0"&amp;DAY(A1377),2)&amp;"."&amp;RIGHT("0"&amp;MONTH(A1377),2)&amp;"."&amp;YEAR(A1377)&amp;": "&amp;INDEX('Zgłoszenia'!$H$5:$H$504,MATCH(H1377,'Zgłoszenia'!$S$5:$S$504,0)),RIGHT("0"&amp;DAY((A1377+1)),2)&amp;"."&amp;RIGHT("0"&amp;MONTH((A1377+1)),2)&amp;"."&amp;YEAR((A1377+1))&amp;": "&amp;INDEX('Zgłoszenia'!$H$5:$H$504,MATCH(F1377&amp;"|"&amp;(A1377+1),'Zgłoszenia'!$S$5:$S$504,0)))&amp;IF(K1377&gt;1," (+"&amp;(K1377-1)&amp;")",""))</f>
        <v/>
      </c>
      <c r="M1377" s="63" t="n">
        <v>17</v>
      </c>
      <c r="N1377" s="2" t="n"/>
      <c r="O1377" s="2" t="n"/>
    </row>
    <row r="1378">
      <c r="A1378" s="62">
        <f>IF('17'!$C$1="","",'17'!$C$1)</f>
        <v/>
      </c>
      <c r="B1378" s="63">
        <f>Ustawienia!$A$10&amp;""</f>
        <v/>
      </c>
      <c r="C1378" s="63">
        <f>Ustawienia!$A$18&amp;""</f>
        <v/>
      </c>
      <c r="D1378" s="63" t="n">
        <v>5</v>
      </c>
      <c r="E1378" s="63">
        <f>IF('17'!J36="","",TRIM('17'!J36&amp;""))</f>
        <v/>
      </c>
      <c r="F1378" s="63">
        <f>IF('17'!K36="","",'17'!K36)</f>
        <v/>
      </c>
      <c r="G1378" s="63">
        <f>'17'!L36&amp;""</f>
        <v/>
      </c>
      <c r="H1378" s="63">
        <f>IF(OR(A1378="",F1378=""),"",F1378&amp;"|"&amp;A1378)</f>
        <v/>
      </c>
      <c r="I1378" s="63">
        <f>IF(AND(H1378&lt;&gt;"",OR('Historia wózka'!$B$4="",F1378='Historia wózka'!$B$4),A1378&gt;='Historia wózka'!$B$5,A1378&lt;='Historia wózka'!$B$6),A1378+0.7+(5000-ROW())/10000000,0)</f>
        <v/>
      </c>
      <c r="J1378" s="63">
        <f>Ustawienia!$B$10&amp;""</f>
        <v/>
      </c>
      <c r="K1378" s="63">
        <f>IF(H1378="","",COUNTIFS('Zgłoszenia'!$B$5:$B$504,F1378,'Zgłoszenia'!$D$5:$D$504,"&gt;="&amp;A1378,'Zgłoszenia'!$D$5:$D$504,"&lt;="&amp;(A1378+1)))</f>
        <v/>
      </c>
      <c r="L1378" s="63">
        <f>IF(OR(H1378="",K1378=0),"—",IF(ISNUMBER(MATCH(H1378,'Zgłoszenia'!$S$5:$S$504,0)),RIGHT("0"&amp;DAY(A1378),2)&amp;"."&amp;RIGHT("0"&amp;MONTH(A1378),2)&amp;"."&amp;YEAR(A1378)&amp;": "&amp;INDEX('Zgłoszenia'!$H$5:$H$504,MATCH(H1378,'Zgłoszenia'!$S$5:$S$504,0)),RIGHT("0"&amp;DAY((A1378+1)),2)&amp;"."&amp;RIGHT("0"&amp;MONTH((A1378+1)),2)&amp;"."&amp;YEAR((A1378+1))&amp;": "&amp;INDEX('Zgłoszenia'!$H$5:$H$504,MATCH(F1378&amp;"|"&amp;(A1378+1),'Zgłoszenia'!$S$5:$S$504,0)))&amp;IF(K1378&gt;1," (+"&amp;(K1378-1)&amp;")",""))</f>
        <v/>
      </c>
      <c r="M1378" s="63" t="n">
        <v>17</v>
      </c>
      <c r="N1378" s="2" t="n"/>
      <c r="O1378" s="2" t="n"/>
    </row>
    <row r="1379">
      <c r="A1379" s="62">
        <f>IF('18'!$C$1="","",'18'!$C$1)</f>
        <v/>
      </c>
      <c r="B1379" s="63">
        <f>Ustawienia!$A$8&amp;""</f>
        <v/>
      </c>
      <c r="C1379" s="63">
        <f>Ustawienia!$A$14&amp;""</f>
        <v/>
      </c>
      <c r="D1379" s="63" t="n">
        <v>1</v>
      </c>
      <c r="E1379" s="63">
        <f>IF('18'!B6="","",TRIM('18'!B6&amp;""))</f>
        <v/>
      </c>
      <c r="F1379" s="63">
        <f>IF('18'!C6="","",'18'!C6)</f>
        <v/>
      </c>
      <c r="G1379" s="63">
        <f>'18'!D6&amp;""</f>
        <v/>
      </c>
      <c r="H1379" s="63">
        <f>IF(OR(A1379="",F1379=""),"",F1379&amp;"|"&amp;A1379)</f>
        <v/>
      </c>
      <c r="I1379" s="63">
        <f>IF(AND(H1379&lt;&gt;"",OR('Historia wózka'!$B$4="",F1379='Historia wózka'!$B$4),A1379&gt;='Historia wózka'!$B$5,A1379&lt;='Historia wózka'!$B$6),A1379+0.9+(5000-ROW())/10000000,0)</f>
        <v/>
      </c>
      <c r="J1379" s="63">
        <f>Ustawienia!$B$8&amp;""</f>
        <v/>
      </c>
      <c r="K1379" s="63">
        <f>IF(H1379="","",COUNTIFS('Zgłoszenia'!$B$5:$B$504,F1379,'Zgłoszenia'!$D$5:$D$504,"&gt;="&amp;A1379,'Zgłoszenia'!$D$5:$D$504,"&lt;="&amp;(A1379+1)))</f>
        <v/>
      </c>
      <c r="L1379" s="63">
        <f>IF(OR(H1379="",K1379=0),"—",IF(ISNUMBER(MATCH(H1379,'Zgłoszenia'!$S$5:$S$504,0)),RIGHT("0"&amp;DAY(A1379),2)&amp;"."&amp;RIGHT("0"&amp;MONTH(A1379),2)&amp;"."&amp;YEAR(A1379)&amp;": "&amp;INDEX('Zgłoszenia'!$H$5:$H$504,MATCH(H1379,'Zgłoszenia'!$S$5:$S$504,0)),RIGHT("0"&amp;DAY((A1379+1)),2)&amp;"."&amp;RIGHT("0"&amp;MONTH((A1379+1)),2)&amp;"."&amp;YEAR((A1379+1))&amp;": "&amp;INDEX('Zgłoszenia'!$H$5:$H$504,MATCH(F1379&amp;"|"&amp;(A1379+1),'Zgłoszenia'!$S$5:$S$504,0)))&amp;IF(K1379&gt;1," (+"&amp;(K1379-1)&amp;")",""))</f>
        <v/>
      </c>
      <c r="M1379" s="63" t="n">
        <v>18</v>
      </c>
      <c r="N1379" s="2" t="n"/>
      <c r="O1379" s="2" t="n"/>
    </row>
    <row r="1380">
      <c r="A1380" s="62">
        <f>IF('18'!$C$1="","",'18'!$C$1)</f>
        <v/>
      </c>
      <c r="B1380" s="63">
        <f>Ustawienia!$A$8&amp;""</f>
        <v/>
      </c>
      <c r="C1380" s="63">
        <f>Ustawienia!$A$14&amp;""</f>
        <v/>
      </c>
      <c r="D1380" s="63" t="n">
        <v>2</v>
      </c>
      <c r="E1380" s="63">
        <f>IF('18'!B7="","",TRIM('18'!B7&amp;""))</f>
        <v/>
      </c>
      <c r="F1380" s="63">
        <f>IF('18'!C7="","",'18'!C7)</f>
        <v/>
      </c>
      <c r="G1380" s="63">
        <f>'18'!D7&amp;""</f>
        <v/>
      </c>
      <c r="H1380" s="63">
        <f>IF(OR(A1380="",F1380=""),"",F1380&amp;"|"&amp;A1380)</f>
        <v/>
      </c>
      <c r="I1380" s="63">
        <f>IF(AND(H1380&lt;&gt;"",OR('Historia wózka'!$B$4="",F1380='Historia wózka'!$B$4),A1380&gt;='Historia wózka'!$B$5,A1380&lt;='Historia wózka'!$B$6),A1380+0.9+(5000-ROW())/10000000,0)</f>
        <v/>
      </c>
      <c r="J1380" s="63">
        <f>Ustawienia!$B$8&amp;""</f>
        <v/>
      </c>
      <c r="K1380" s="63">
        <f>IF(H1380="","",COUNTIFS('Zgłoszenia'!$B$5:$B$504,F1380,'Zgłoszenia'!$D$5:$D$504,"&gt;="&amp;A1380,'Zgłoszenia'!$D$5:$D$504,"&lt;="&amp;(A1380+1)))</f>
        <v/>
      </c>
      <c r="L1380" s="63">
        <f>IF(OR(H1380="",K1380=0),"—",IF(ISNUMBER(MATCH(H1380,'Zgłoszenia'!$S$5:$S$504,0)),RIGHT("0"&amp;DAY(A1380),2)&amp;"."&amp;RIGHT("0"&amp;MONTH(A1380),2)&amp;"."&amp;YEAR(A1380)&amp;": "&amp;INDEX('Zgłoszenia'!$H$5:$H$504,MATCH(H1380,'Zgłoszenia'!$S$5:$S$504,0)),RIGHT("0"&amp;DAY((A1380+1)),2)&amp;"."&amp;RIGHT("0"&amp;MONTH((A1380+1)),2)&amp;"."&amp;YEAR((A1380+1))&amp;": "&amp;INDEX('Zgłoszenia'!$H$5:$H$504,MATCH(F1380&amp;"|"&amp;(A1380+1),'Zgłoszenia'!$S$5:$S$504,0)))&amp;IF(K1380&gt;1," (+"&amp;(K1380-1)&amp;")",""))</f>
        <v/>
      </c>
      <c r="M1380" s="63" t="n">
        <v>18</v>
      </c>
      <c r="N1380" s="2" t="n"/>
      <c r="O1380" s="2" t="n"/>
    </row>
    <row r="1381">
      <c r="A1381" s="62">
        <f>IF('18'!$C$1="","",'18'!$C$1)</f>
        <v/>
      </c>
      <c r="B1381" s="63">
        <f>Ustawienia!$A$8&amp;""</f>
        <v/>
      </c>
      <c r="C1381" s="63">
        <f>Ustawienia!$A$14&amp;""</f>
        <v/>
      </c>
      <c r="D1381" s="63" t="n">
        <v>3</v>
      </c>
      <c r="E1381" s="63">
        <f>IF('18'!B8="","",TRIM('18'!B8&amp;""))</f>
        <v/>
      </c>
      <c r="F1381" s="63">
        <f>IF('18'!C8="","",'18'!C8)</f>
        <v/>
      </c>
      <c r="G1381" s="63">
        <f>'18'!D8&amp;""</f>
        <v/>
      </c>
      <c r="H1381" s="63">
        <f>IF(OR(A1381="",F1381=""),"",F1381&amp;"|"&amp;A1381)</f>
        <v/>
      </c>
      <c r="I1381" s="63">
        <f>IF(AND(H1381&lt;&gt;"",OR('Historia wózka'!$B$4="",F1381='Historia wózka'!$B$4),A1381&gt;='Historia wózka'!$B$5,A1381&lt;='Historia wózka'!$B$6),A1381+0.9+(5000-ROW())/10000000,0)</f>
        <v/>
      </c>
      <c r="J1381" s="63">
        <f>Ustawienia!$B$8&amp;""</f>
        <v/>
      </c>
      <c r="K1381" s="63">
        <f>IF(H1381="","",COUNTIFS('Zgłoszenia'!$B$5:$B$504,F1381,'Zgłoszenia'!$D$5:$D$504,"&gt;="&amp;A1381,'Zgłoszenia'!$D$5:$D$504,"&lt;="&amp;(A1381+1)))</f>
        <v/>
      </c>
      <c r="L1381" s="63">
        <f>IF(OR(H1381="",K1381=0),"—",IF(ISNUMBER(MATCH(H1381,'Zgłoszenia'!$S$5:$S$504,0)),RIGHT("0"&amp;DAY(A1381),2)&amp;"."&amp;RIGHT("0"&amp;MONTH(A1381),2)&amp;"."&amp;YEAR(A1381)&amp;": "&amp;INDEX('Zgłoszenia'!$H$5:$H$504,MATCH(H1381,'Zgłoszenia'!$S$5:$S$504,0)),RIGHT("0"&amp;DAY((A1381+1)),2)&amp;"."&amp;RIGHT("0"&amp;MONTH((A1381+1)),2)&amp;"."&amp;YEAR((A1381+1))&amp;": "&amp;INDEX('Zgłoszenia'!$H$5:$H$504,MATCH(F1381&amp;"|"&amp;(A1381+1),'Zgłoszenia'!$S$5:$S$504,0)))&amp;IF(K1381&gt;1," (+"&amp;(K1381-1)&amp;")",""))</f>
        <v/>
      </c>
      <c r="M1381" s="63" t="n">
        <v>18</v>
      </c>
      <c r="N1381" s="2" t="n"/>
      <c r="O1381" s="2" t="n"/>
    </row>
    <row r="1382">
      <c r="A1382" s="62">
        <f>IF('18'!$C$1="","",'18'!$C$1)</f>
        <v/>
      </c>
      <c r="B1382" s="63">
        <f>Ustawienia!$A$8&amp;""</f>
        <v/>
      </c>
      <c r="C1382" s="63">
        <f>Ustawienia!$A$14&amp;""</f>
        <v/>
      </c>
      <c r="D1382" s="63" t="n">
        <v>4</v>
      </c>
      <c r="E1382" s="63">
        <f>IF('18'!B9="","",TRIM('18'!B9&amp;""))</f>
        <v/>
      </c>
      <c r="F1382" s="63">
        <f>IF('18'!C9="","",'18'!C9)</f>
        <v/>
      </c>
      <c r="G1382" s="63">
        <f>'18'!D9&amp;""</f>
        <v/>
      </c>
      <c r="H1382" s="63">
        <f>IF(OR(A1382="",F1382=""),"",F1382&amp;"|"&amp;A1382)</f>
        <v/>
      </c>
      <c r="I1382" s="63">
        <f>IF(AND(H1382&lt;&gt;"",OR('Historia wózka'!$B$4="",F1382='Historia wózka'!$B$4),A1382&gt;='Historia wózka'!$B$5,A1382&lt;='Historia wózka'!$B$6),A1382+0.9+(5000-ROW())/10000000,0)</f>
        <v/>
      </c>
      <c r="J1382" s="63">
        <f>Ustawienia!$B$8&amp;""</f>
        <v/>
      </c>
      <c r="K1382" s="63">
        <f>IF(H1382="","",COUNTIFS('Zgłoszenia'!$B$5:$B$504,F1382,'Zgłoszenia'!$D$5:$D$504,"&gt;="&amp;A1382,'Zgłoszenia'!$D$5:$D$504,"&lt;="&amp;(A1382+1)))</f>
        <v/>
      </c>
      <c r="L1382" s="63">
        <f>IF(OR(H1382="",K1382=0),"—",IF(ISNUMBER(MATCH(H1382,'Zgłoszenia'!$S$5:$S$504,0)),RIGHT("0"&amp;DAY(A1382),2)&amp;"."&amp;RIGHT("0"&amp;MONTH(A1382),2)&amp;"."&amp;YEAR(A1382)&amp;": "&amp;INDEX('Zgłoszenia'!$H$5:$H$504,MATCH(H1382,'Zgłoszenia'!$S$5:$S$504,0)),RIGHT("0"&amp;DAY((A1382+1)),2)&amp;"."&amp;RIGHT("0"&amp;MONTH((A1382+1)),2)&amp;"."&amp;YEAR((A1382+1))&amp;": "&amp;INDEX('Zgłoszenia'!$H$5:$H$504,MATCH(F1382&amp;"|"&amp;(A1382+1),'Zgłoszenia'!$S$5:$S$504,0)))&amp;IF(K1382&gt;1," (+"&amp;(K1382-1)&amp;")",""))</f>
        <v/>
      </c>
      <c r="M1382" s="63" t="n">
        <v>18</v>
      </c>
      <c r="N1382" s="2" t="n"/>
      <c r="O1382" s="2" t="n"/>
    </row>
    <row r="1383">
      <c r="A1383" s="62">
        <f>IF('18'!$C$1="","",'18'!$C$1)</f>
        <v/>
      </c>
      <c r="B1383" s="63">
        <f>Ustawienia!$A$8&amp;""</f>
        <v/>
      </c>
      <c r="C1383" s="63">
        <f>Ustawienia!$A$14&amp;""</f>
        <v/>
      </c>
      <c r="D1383" s="63" t="n">
        <v>5</v>
      </c>
      <c r="E1383" s="63">
        <f>IF('18'!B10="","",TRIM('18'!B10&amp;""))</f>
        <v/>
      </c>
      <c r="F1383" s="63">
        <f>IF('18'!C10="","",'18'!C10)</f>
        <v/>
      </c>
      <c r="G1383" s="63">
        <f>'18'!D10&amp;""</f>
        <v/>
      </c>
      <c r="H1383" s="63">
        <f>IF(OR(A1383="",F1383=""),"",F1383&amp;"|"&amp;A1383)</f>
        <v/>
      </c>
      <c r="I1383" s="63">
        <f>IF(AND(H1383&lt;&gt;"",OR('Historia wózka'!$B$4="",F1383='Historia wózka'!$B$4),A1383&gt;='Historia wózka'!$B$5,A1383&lt;='Historia wózka'!$B$6),A1383+0.9+(5000-ROW())/10000000,0)</f>
        <v/>
      </c>
      <c r="J1383" s="63">
        <f>Ustawienia!$B$8&amp;""</f>
        <v/>
      </c>
      <c r="K1383" s="63">
        <f>IF(H1383="","",COUNTIFS('Zgłoszenia'!$B$5:$B$504,F1383,'Zgłoszenia'!$D$5:$D$504,"&gt;="&amp;A1383,'Zgłoszenia'!$D$5:$D$504,"&lt;="&amp;(A1383+1)))</f>
        <v/>
      </c>
      <c r="L1383" s="63">
        <f>IF(OR(H1383="",K1383=0),"—",IF(ISNUMBER(MATCH(H1383,'Zgłoszenia'!$S$5:$S$504,0)),RIGHT("0"&amp;DAY(A1383),2)&amp;"."&amp;RIGHT("0"&amp;MONTH(A1383),2)&amp;"."&amp;YEAR(A1383)&amp;": "&amp;INDEX('Zgłoszenia'!$H$5:$H$504,MATCH(H1383,'Zgłoszenia'!$S$5:$S$504,0)),RIGHT("0"&amp;DAY((A1383+1)),2)&amp;"."&amp;RIGHT("0"&amp;MONTH((A1383+1)),2)&amp;"."&amp;YEAR((A1383+1))&amp;": "&amp;INDEX('Zgłoszenia'!$H$5:$H$504,MATCH(F1383&amp;"|"&amp;(A1383+1),'Zgłoszenia'!$S$5:$S$504,0)))&amp;IF(K1383&gt;1," (+"&amp;(K1383-1)&amp;")",""))</f>
        <v/>
      </c>
      <c r="M1383" s="63" t="n">
        <v>18</v>
      </c>
      <c r="N1383" s="2" t="n"/>
      <c r="O1383" s="2" t="n"/>
    </row>
    <row r="1384">
      <c r="A1384" s="62">
        <f>IF('18'!$C$1="","",'18'!$C$1)</f>
        <v/>
      </c>
      <c r="B1384" s="63">
        <f>Ustawienia!$A$8&amp;""</f>
        <v/>
      </c>
      <c r="C1384" s="63">
        <f>Ustawienia!$A$14&amp;""</f>
        <v/>
      </c>
      <c r="D1384" s="63" t="n">
        <v>6</v>
      </c>
      <c r="E1384" s="63">
        <f>IF('18'!B11="","",TRIM('18'!B11&amp;""))</f>
        <v/>
      </c>
      <c r="F1384" s="63">
        <f>IF('18'!C11="","",'18'!C11)</f>
        <v/>
      </c>
      <c r="G1384" s="63">
        <f>'18'!D11&amp;""</f>
        <v/>
      </c>
      <c r="H1384" s="63">
        <f>IF(OR(A1384="",F1384=""),"",F1384&amp;"|"&amp;A1384)</f>
        <v/>
      </c>
      <c r="I1384" s="63">
        <f>IF(AND(H1384&lt;&gt;"",OR('Historia wózka'!$B$4="",F1384='Historia wózka'!$B$4),A1384&gt;='Historia wózka'!$B$5,A1384&lt;='Historia wózka'!$B$6),A1384+0.9+(5000-ROW())/10000000,0)</f>
        <v/>
      </c>
      <c r="J1384" s="63">
        <f>Ustawienia!$B$8&amp;""</f>
        <v/>
      </c>
      <c r="K1384" s="63">
        <f>IF(H1384="","",COUNTIFS('Zgłoszenia'!$B$5:$B$504,F1384,'Zgłoszenia'!$D$5:$D$504,"&gt;="&amp;A1384,'Zgłoszenia'!$D$5:$D$504,"&lt;="&amp;(A1384+1)))</f>
        <v/>
      </c>
      <c r="L1384" s="63">
        <f>IF(OR(H1384="",K1384=0),"—",IF(ISNUMBER(MATCH(H1384,'Zgłoszenia'!$S$5:$S$504,0)),RIGHT("0"&amp;DAY(A1384),2)&amp;"."&amp;RIGHT("0"&amp;MONTH(A1384),2)&amp;"."&amp;YEAR(A1384)&amp;": "&amp;INDEX('Zgłoszenia'!$H$5:$H$504,MATCH(H1384,'Zgłoszenia'!$S$5:$S$504,0)),RIGHT("0"&amp;DAY((A1384+1)),2)&amp;"."&amp;RIGHT("0"&amp;MONTH((A1384+1)),2)&amp;"."&amp;YEAR((A1384+1))&amp;": "&amp;INDEX('Zgłoszenia'!$H$5:$H$504,MATCH(F1384&amp;"|"&amp;(A1384+1),'Zgłoszenia'!$S$5:$S$504,0)))&amp;IF(K1384&gt;1," (+"&amp;(K1384-1)&amp;")",""))</f>
        <v/>
      </c>
      <c r="M1384" s="63" t="n">
        <v>18</v>
      </c>
      <c r="N1384" s="2" t="n"/>
      <c r="O1384" s="2" t="n"/>
    </row>
    <row r="1385">
      <c r="A1385" s="62">
        <f>IF('18'!$C$1="","",'18'!$C$1)</f>
        <v/>
      </c>
      <c r="B1385" s="63">
        <f>Ustawienia!$A$8&amp;""</f>
        <v/>
      </c>
      <c r="C1385" s="63">
        <f>Ustawienia!$A$15&amp;""</f>
        <v/>
      </c>
      <c r="D1385" s="63" t="n">
        <v>1</v>
      </c>
      <c r="E1385" s="63">
        <f>IF('18'!B13="","",TRIM('18'!B13&amp;""))</f>
        <v/>
      </c>
      <c r="F1385" s="63">
        <f>IF('18'!C13="","",'18'!C13)</f>
        <v/>
      </c>
      <c r="G1385" s="63">
        <f>'18'!D13&amp;""</f>
        <v/>
      </c>
      <c r="H1385" s="63">
        <f>IF(OR(A1385="",F1385=""),"",F1385&amp;"|"&amp;A1385)</f>
        <v/>
      </c>
      <c r="I1385" s="63">
        <f>IF(AND(H1385&lt;&gt;"",OR('Historia wózka'!$B$4="",F1385='Historia wózka'!$B$4),A1385&gt;='Historia wózka'!$B$5,A1385&lt;='Historia wózka'!$B$6),A1385+0.9+(5000-ROW())/10000000,0)</f>
        <v/>
      </c>
      <c r="J1385" s="63">
        <f>Ustawienia!$B$8&amp;""</f>
        <v/>
      </c>
      <c r="K1385" s="63">
        <f>IF(H1385="","",COUNTIFS('Zgłoszenia'!$B$5:$B$504,F1385,'Zgłoszenia'!$D$5:$D$504,"&gt;="&amp;A1385,'Zgłoszenia'!$D$5:$D$504,"&lt;="&amp;(A1385+1)))</f>
        <v/>
      </c>
      <c r="L1385" s="63">
        <f>IF(OR(H1385="",K1385=0),"—",IF(ISNUMBER(MATCH(H1385,'Zgłoszenia'!$S$5:$S$504,0)),RIGHT("0"&amp;DAY(A1385),2)&amp;"."&amp;RIGHT("0"&amp;MONTH(A1385),2)&amp;"."&amp;YEAR(A1385)&amp;": "&amp;INDEX('Zgłoszenia'!$H$5:$H$504,MATCH(H1385,'Zgłoszenia'!$S$5:$S$504,0)),RIGHT("0"&amp;DAY((A1385+1)),2)&amp;"."&amp;RIGHT("0"&amp;MONTH((A1385+1)),2)&amp;"."&amp;YEAR((A1385+1))&amp;": "&amp;INDEX('Zgłoszenia'!$H$5:$H$504,MATCH(F1385&amp;"|"&amp;(A1385+1),'Zgłoszenia'!$S$5:$S$504,0)))&amp;IF(K1385&gt;1," (+"&amp;(K1385-1)&amp;")",""))</f>
        <v/>
      </c>
      <c r="M1385" s="63" t="n">
        <v>18</v>
      </c>
      <c r="N1385" s="2" t="n"/>
      <c r="O1385" s="2" t="n"/>
    </row>
    <row r="1386">
      <c r="A1386" s="62">
        <f>IF('18'!$C$1="","",'18'!$C$1)</f>
        <v/>
      </c>
      <c r="B1386" s="63">
        <f>Ustawienia!$A$8&amp;""</f>
        <v/>
      </c>
      <c r="C1386" s="63">
        <f>Ustawienia!$A$15&amp;""</f>
        <v/>
      </c>
      <c r="D1386" s="63" t="n">
        <v>2</v>
      </c>
      <c r="E1386" s="63">
        <f>IF('18'!B14="","",TRIM('18'!B14&amp;""))</f>
        <v/>
      </c>
      <c r="F1386" s="63">
        <f>IF('18'!C14="","",'18'!C14)</f>
        <v/>
      </c>
      <c r="G1386" s="63">
        <f>'18'!D14&amp;""</f>
        <v/>
      </c>
      <c r="H1386" s="63">
        <f>IF(OR(A1386="",F1386=""),"",F1386&amp;"|"&amp;A1386)</f>
        <v/>
      </c>
      <c r="I1386" s="63">
        <f>IF(AND(H1386&lt;&gt;"",OR('Historia wózka'!$B$4="",F1386='Historia wózka'!$B$4),A1386&gt;='Historia wózka'!$B$5,A1386&lt;='Historia wózka'!$B$6),A1386+0.9+(5000-ROW())/10000000,0)</f>
        <v/>
      </c>
      <c r="J1386" s="63">
        <f>Ustawienia!$B$8&amp;""</f>
        <v/>
      </c>
      <c r="K1386" s="63">
        <f>IF(H1386="","",COUNTIFS('Zgłoszenia'!$B$5:$B$504,F1386,'Zgłoszenia'!$D$5:$D$504,"&gt;="&amp;A1386,'Zgłoszenia'!$D$5:$D$504,"&lt;="&amp;(A1386+1)))</f>
        <v/>
      </c>
      <c r="L1386" s="63">
        <f>IF(OR(H1386="",K1386=0),"—",IF(ISNUMBER(MATCH(H1386,'Zgłoszenia'!$S$5:$S$504,0)),RIGHT("0"&amp;DAY(A1386),2)&amp;"."&amp;RIGHT("0"&amp;MONTH(A1386),2)&amp;"."&amp;YEAR(A1386)&amp;": "&amp;INDEX('Zgłoszenia'!$H$5:$H$504,MATCH(H1386,'Zgłoszenia'!$S$5:$S$504,0)),RIGHT("0"&amp;DAY((A1386+1)),2)&amp;"."&amp;RIGHT("0"&amp;MONTH((A1386+1)),2)&amp;"."&amp;YEAR((A1386+1))&amp;": "&amp;INDEX('Zgłoszenia'!$H$5:$H$504,MATCH(F1386&amp;"|"&amp;(A1386+1),'Zgłoszenia'!$S$5:$S$504,0)))&amp;IF(K1386&gt;1," (+"&amp;(K1386-1)&amp;")",""))</f>
        <v/>
      </c>
      <c r="M1386" s="63" t="n">
        <v>18</v>
      </c>
      <c r="N1386" s="2" t="n"/>
      <c r="O1386" s="2" t="n"/>
    </row>
    <row r="1387">
      <c r="A1387" s="62">
        <f>IF('18'!$C$1="","",'18'!$C$1)</f>
        <v/>
      </c>
      <c r="B1387" s="63">
        <f>Ustawienia!$A$8&amp;""</f>
        <v/>
      </c>
      <c r="C1387" s="63">
        <f>Ustawienia!$A$15&amp;""</f>
        <v/>
      </c>
      <c r="D1387" s="63" t="n">
        <v>3</v>
      </c>
      <c r="E1387" s="63">
        <f>IF('18'!B15="","",TRIM('18'!B15&amp;""))</f>
        <v/>
      </c>
      <c r="F1387" s="63">
        <f>IF('18'!C15="","",'18'!C15)</f>
        <v/>
      </c>
      <c r="G1387" s="63">
        <f>'18'!D15&amp;""</f>
        <v/>
      </c>
      <c r="H1387" s="63">
        <f>IF(OR(A1387="",F1387=""),"",F1387&amp;"|"&amp;A1387)</f>
        <v/>
      </c>
      <c r="I1387" s="63">
        <f>IF(AND(H1387&lt;&gt;"",OR('Historia wózka'!$B$4="",F1387='Historia wózka'!$B$4),A1387&gt;='Historia wózka'!$B$5,A1387&lt;='Historia wózka'!$B$6),A1387+0.9+(5000-ROW())/10000000,0)</f>
        <v/>
      </c>
      <c r="J1387" s="63">
        <f>Ustawienia!$B$8&amp;""</f>
        <v/>
      </c>
      <c r="K1387" s="63">
        <f>IF(H1387="","",COUNTIFS('Zgłoszenia'!$B$5:$B$504,F1387,'Zgłoszenia'!$D$5:$D$504,"&gt;="&amp;A1387,'Zgłoszenia'!$D$5:$D$504,"&lt;="&amp;(A1387+1)))</f>
        <v/>
      </c>
      <c r="L1387" s="63">
        <f>IF(OR(H1387="",K1387=0),"—",IF(ISNUMBER(MATCH(H1387,'Zgłoszenia'!$S$5:$S$504,0)),RIGHT("0"&amp;DAY(A1387),2)&amp;"."&amp;RIGHT("0"&amp;MONTH(A1387),2)&amp;"."&amp;YEAR(A1387)&amp;": "&amp;INDEX('Zgłoszenia'!$H$5:$H$504,MATCH(H1387,'Zgłoszenia'!$S$5:$S$504,0)),RIGHT("0"&amp;DAY((A1387+1)),2)&amp;"."&amp;RIGHT("0"&amp;MONTH((A1387+1)),2)&amp;"."&amp;YEAR((A1387+1))&amp;": "&amp;INDEX('Zgłoszenia'!$H$5:$H$504,MATCH(F1387&amp;"|"&amp;(A1387+1),'Zgłoszenia'!$S$5:$S$504,0)))&amp;IF(K1387&gt;1," (+"&amp;(K1387-1)&amp;")",""))</f>
        <v/>
      </c>
      <c r="M1387" s="63" t="n">
        <v>18</v>
      </c>
      <c r="N1387" s="2" t="n"/>
      <c r="O1387" s="2" t="n"/>
    </row>
    <row r="1388">
      <c r="A1388" s="62">
        <f>IF('18'!$C$1="","",'18'!$C$1)</f>
        <v/>
      </c>
      <c r="B1388" s="63">
        <f>Ustawienia!$A$8&amp;""</f>
        <v/>
      </c>
      <c r="C1388" s="63">
        <f>Ustawienia!$A$15&amp;""</f>
        <v/>
      </c>
      <c r="D1388" s="63" t="n">
        <v>4</v>
      </c>
      <c r="E1388" s="63">
        <f>IF('18'!B16="","",TRIM('18'!B16&amp;""))</f>
        <v/>
      </c>
      <c r="F1388" s="63">
        <f>IF('18'!C16="","",'18'!C16)</f>
        <v/>
      </c>
      <c r="G1388" s="63">
        <f>'18'!D16&amp;""</f>
        <v/>
      </c>
      <c r="H1388" s="63">
        <f>IF(OR(A1388="",F1388=""),"",F1388&amp;"|"&amp;A1388)</f>
        <v/>
      </c>
      <c r="I1388" s="63">
        <f>IF(AND(H1388&lt;&gt;"",OR('Historia wózka'!$B$4="",F1388='Historia wózka'!$B$4),A1388&gt;='Historia wózka'!$B$5,A1388&lt;='Historia wózka'!$B$6),A1388+0.9+(5000-ROW())/10000000,0)</f>
        <v/>
      </c>
      <c r="J1388" s="63">
        <f>Ustawienia!$B$8&amp;""</f>
        <v/>
      </c>
      <c r="K1388" s="63">
        <f>IF(H1388="","",COUNTIFS('Zgłoszenia'!$B$5:$B$504,F1388,'Zgłoszenia'!$D$5:$D$504,"&gt;="&amp;A1388,'Zgłoszenia'!$D$5:$D$504,"&lt;="&amp;(A1388+1)))</f>
        <v/>
      </c>
      <c r="L1388" s="63">
        <f>IF(OR(H1388="",K1388=0),"—",IF(ISNUMBER(MATCH(H1388,'Zgłoszenia'!$S$5:$S$504,0)),RIGHT("0"&amp;DAY(A1388),2)&amp;"."&amp;RIGHT("0"&amp;MONTH(A1388),2)&amp;"."&amp;YEAR(A1388)&amp;": "&amp;INDEX('Zgłoszenia'!$H$5:$H$504,MATCH(H1388,'Zgłoszenia'!$S$5:$S$504,0)),RIGHT("0"&amp;DAY((A1388+1)),2)&amp;"."&amp;RIGHT("0"&amp;MONTH((A1388+1)),2)&amp;"."&amp;YEAR((A1388+1))&amp;": "&amp;INDEX('Zgłoszenia'!$H$5:$H$504,MATCH(F1388&amp;"|"&amp;(A1388+1),'Zgłoszenia'!$S$5:$S$504,0)))&amp;IF(K1388&gt;1," (+"&amp;(K1388-1)&amp;")",""))</f>
        <v/>
      </c>
      <c r="M1388" s="63" t="n">
        <v>18</v>
      </c>
      <c r="N1388" s="2" t="n"/>
      <c r="O1388" s="2" t="n"/>
    </row>
    <row r="1389">
      <c r="A1389" s="62">
        <f>IF('18'!$C$1="","",'18'!$C$1)</f>
        <v/>
      </c>
      <c r="B1389" s="63">
        <f>Ustawienia!$A$8&amp;""</f>
        <v/>
      </c>
      <c r="C1389" s="63">
        <f>Ustawienia!$A$15&amp;""</f>
        <v/>
      </c>
      <c r="D1389" s="63" t="n">
        <v>5</v>
      </c>
      <c r="E1389" s="63">
        <f>IF('18'!B17="","",TRIM('18'!B17&amp;""))</f>
        <v/>
      </c>
      <c r="F1389" s="63">
        <f>IF('18'!C17="","",'18'!C17)</f>
        <v/>
      </c>
      <c r="G1389" s="63">
        <f>'18'!D17&amp;""</f>
        <v/>
      </c>
      <c r="H1389" s="63">
        <f>IF(OR(A1389="",F1389=""),"",F1389&amp;"|"&amp;A1389)</f>
        <v/>
      </c>
      <c r="I1389" s="63">
        <f>IF(AND(H1389&lt;&gt;"",OR('Historia wózka'!$B$4="",F1389='Historia wózka'!$B$4),A1389&gt;='Historia wózka'!$B$5,A1389&lt;='Historia wózka'!$B$6),A1389+0.9+(5000-ROW())/10000000,0)</f>
        <v/>
      </c>
      <c r="J1389" s="63">
        <f>Ustawienia!$B$8&amp;""</f>
        <v/>
      </c>
      <c r="K1389" s="63">
        <f>IF(H1389="","",COUNTIFS('Zgłoszenia'!$B$5:$B$504,F1389,'Zgłoszenia'!$D$5:$D$504,"&gt;="&amp;A1389,'Zgłoszenia'!$D$5:$D$504,"&lt;="&amp;(A1389+1)))</f>
        <v/>
      </c>
      <c r="L1389" s="63">
        <f>IF(OR(H1389="",K1389=0),"—",IF(ISNUMBER(MATCH(H1389,'Zgłoszenia'!$S$5:$S$504,0)),RIGHT("0"&amp;DAY(A1389),2)&amp;"."&amp;RIGHT("0"&amp;MONTH(A1389),2)&amp;"."&amp;YEAR(A1389)&amp;": "&amp;INDEX('Zgłoszenia'!$H$5:$H$504,MATCH(H1389,'Zgłoszenia'!$S$5:$S$504,0)),RIGHT("0"&amp;DAY((A1389+1)),2)&amp;"."&amp;RIGHT("0"&amp;MONTH((A1389+1)),2)&amp;"."&amp;YEAR((A1389+1))&amp;": "&amp;INDEX('Zgłoszenia'!$H$5:$H$504,MATCH(F1389&amp;"|"&amp;(A1389+1),'Zgłoszenia'!$S$5:$S$504,0)))&amp;IF(K1389&gt;1," (+"&amp;(K1389-1)&amp;")",""))</f>
        <v/>
      </c>
      <c r="M1389" s="63" t="n">
        <v>18</v>
      </c>
      <c r="N1389" s="2" t="n"/>
      <c r="O1389" s="2" t="n"/>
    </row>
    <row r="1390">
      <c r="A1390" s="62">
        <f>IF('18'!$C$1="","",'18'!$C$1)</f>
        <v/>
      </c>
      <c r="B1390" s="63">
        <f>Ustawienia!$A$8&amp;""</f>
        <v/>
      </c>
      <c r="C1390" s="63">
        <f>Ustawienia!$A$15&amp;""</f>
        <v/>
      </c>
      <c r="D1390" s="63" t="n">
        <v>6</v>
      </c>
      <c r="E1390" s="63">
        <f>IF('18'!B18="","",TRIM('18'!B18&amp;""))</f>
        <v/>
      </c>
      <c r="F1390" s="63">
        <f>IF('18'!C18="","",'18'!C18)</f>
        <v/>
      </c>
      <c r="G1390" s="63">
        <f>'18'!D18&amp;""</f>
        <v/>
      </c>
      <c r="H1390" s="63">
        <f>IF(OR(A1390="",F1390=""),"",F1390&amp;"|"&amp;A1390)</f>
        <v/>
      </c>
      <c r="I1390" s="63">
        <f>IF(AND(H1390&lt;&gt;"",OR('Historia wózka'!$B$4="",F1390='Historia wózka'!$B$4),A1390&gt;='Historia wózka'!$B$5,A1390&lt;='Historia wózka'!$B$6),A1390+0.9+(5000-ROW())/10000000,0)</f>
        <v/>
      </c>
      <c r="J1390" s="63">
        <f>Ustawienia!$B$8&amp;""</f>
        <v/>
      </c>
      <c r="K1390" s="63">
        <f>IF(H1390="","",COUNTIFS('Zgłoszenia'!$B$5:$B$504,F1390,'Zgłoszenia'!$D$5:$D$504,"&gt;="&amp;A1390,'Zgłoszenia'!$D$5:$D$504,"&lt;="&amp;(A1390+1)))</f>
        <v/>
      </c>
      <c r="L1390" s="63">
        <f>IF(OR(H1390="",K1390=0),"—",IF(ISNUMBER(MATCH(H1390,'Zgłoszenia'!$S$5:$S$504,0)),RIGHT("0"&amp;DAY(A1390),2)&amp;"."&amp;RIGHT("0"&amp;MONTH(A1390),2)&amp;"."&amp;YEAR(A1390)&amp;": "&amp;INDEX('Zgłoszenia'!$H$5:$H$504,MATCH(H1390,'Zgłoszenia'!$S$5:$S$504,0)),RIGHT("0"&amp;DAY((A1390+1)),2)&amp;"."&amp;RIGHT("0"&amp;MONTH((A1390+1)),2)&amp;"."&amp;YEAR((A1390+1))&amp;": "&amp;INDEX('Zgłoszenia'!$H$5:$H$504,MATCH(F1390&amp;"|"&amp;(A1390+1),'Zgłoszenia'!$S$5:$S$504,0)))&amp;IF(K1390&gt;1," (+"&amp;(K1390-1)&amp;")",""))</f>
        <v/>
      </c>
      <c r="M1390" s="63" t="n">
        <v>18</v>
      </c>
      <c r="N1390" s="2" t="n"/>
      <c r="O1390" s="2" t="n"/>
    </row>
    <row r="1391">
      <c r="A1391" s="62">
        <f>IF('18'!$C$1="","",'18'!$C$1)</f>
        <v/>
      </c>
      <c r="B1391" s="63">
        <f>Ustawienia!$A$8&amp;""</f>
        <v/>
      </c>
      <c r="C1391" s="63">
        <f>Ustawienia!$A$15&amp;""</f>
        <v/>
      </c>
      <c r="D1391" s="63" t="n">
        <v>7</v>
      </c>
      <c r="E1391" s="63">
        <f>IF('18'!B19="","",TRIM('18'!B19&amp;""))</f>
        <v/>
      </c>
      <c r="F1391" s="63">
        <f>IF('18'!C19="","",'18'!C19)</f>
        <v/>
      </c>
      <c r="G1391" s="63">
        <f>'18'!D19&amp;""</f>
        <v/>
      </c>
      <c r="H1391" s="63">
        <f>IF(OR(A1391="",F1391=""),"",F1391&amp;"|"&amp;A1391)</f>
        <v/>
      </c>
      <c r="I1391" s="63">
        <f>IF(AND(H1391&lt;&gt;"",OR('Historia wózka'!$B$4="",F1391='Historia wózka'!$B$4),A1391&gt;='Historia wózka'!$B$5,A1391&lt;='Historia wózka'!$B$6),A1391+0.9+(5000-ROW())/10000000,0)</f>
        <v/>
      </c>
      <c r="J1391" s="63">
        <f>Ustawienia!$B$8&amp;""</f>
        <v/>
      </c>
      <c r="K1391" s="63">
        <f>IF(H1391="","",COUNTIFS('Zgłoszenia'!$B$5:$B$504,F1391,'Zgłoszenia'!$D$5:$D$504,"&gt;="&amp;A1391,'Zgłoszenia'!$D$5:$D$504,"&lt;="&amp;(A1391+1)))</f>
        <v/>
      </c>
      <c r="L1391" s="63">
        <f>IF(OR(H1391="",K1391=0),"—",IF(ISNUMBER(MATCH(H1391,'Zgłoszenia'!$S$5:$S$504,0)),RIGHT("0"&amp;DAY(A1391),2)&amp;"."&amp;RIGHT("0"&amp;MONTH(A1391),2)&amp;"."&amp;YEAR(A1391)&amp;": "&amp;INDEX('Zgłoszenia'!$H$5:$H$504,MATCH(H1391,'Zgłoszenia'!$S$5:$S$504,0)),RIGHT("0"&amp;DAY((A1391+1)),2)&amp;"."&amp;RIGHT("0"&amp;MONTH((A1391+1)),2)&amp;"."&amp;YEAR((A1391+1))&amp;": "&amp;INDEX('Zgłoszenia'!$H$5:$H$504,MATCH(F1391&amp;"|"&amp;(A1391+1),'Zgłoszenia'!$S$5:$S$504,0)))&amp;IF(K1391&gt;1," (+"&amp;(K1391-1)&amp;")",""))</f>
        <v/>
      </c>
      <c r="M1391" s="63" t="n">
        <v>18</v>
      </c>
      <c r="N1391" s="2" t="n"/>
      <c r="O1391" s="2" t="n"/>
    </row>
    <row r="1392">
      <c r="A1392" s="62">
        <f>IF('18'!$C$1="","",'18'!$C$1)</f>
        <v/>
      </c>
      <c r="B1392" s="63">
        <f>Ustawienia!$A$8&amp;""</f>
        <v/>
      </c>
      <c r="C1392" s="63">
        <f>Ustawienia!$A$15&amp;""</f>
        <v/>
      </c>
      <c r="D1392" s="63" t="n">
        <v>8</v>
      </c>
      <c r="E1392" s="63">
        <f>IF('18'!B20="","",TRIM('18'!B20&amp;""))</f>
        <v/>
      </c>
      <c r="F1392" s="63">
        <f>IF('18'!C20="","",'18'!C20)</f>
        <v/>
      </c>
      <c r="G1392" s="63">
        <f>'18'!D20&amp;""</f>
        <v/>
      </c>
      <c r="H1392" s="63">
        <f>IF(OR(A1392="",F1392=""),"",F1392&amp;"|"&amp;A1392)</f>
        <v/>
      </c>
      <c r="I1392" s="63">
        <f>IF(AND(H1392&lt;&gt;"",OR('Historia wózka'!$B$4="",F1392='Historia wózka'!$B$4),A1392&gt;='Historia wózka'!$B$5,A1392&lt;='Historia wózka'!$B$6),A1392+0.9+(5000-ROW())/10000000,0)</f>
        <v/>
      </c>
      <c r="J1392" s="63">
        <f>Ustawienia!$B$8&amp;""</f>
        <v/>
      </c>
      <c r="K1392" s="63">
        <f>IF(H1392="","",COUNTIFS('Zgłoszenia'!$B$5:$B$504,F1392,'Zgłoszenia'!$D$5:$D$504,"&gt;="&amp;A1392,'Zgłoszenia'!$D$5:$D$504,"&lt;="&amp;(A1392+1)))</f>
        <v/>
      </c>
      <c r="L1392" s="63">
        <f>IF(OR(H1392="",K1392=0),"—",IF(ISNUMBER(MATCH(H1392,'Zgłoszenia'!$S$5:$S$504,0)),RIGHT("0"&amp;DAY(A1392),2)&amp;"."&amp;RIGHT("0"&amp;MONTH(A1392),2)&amp;"."&amp;YEAR(A1392)&amp;": "&amp;INDEX('Zgłoszenia'!$H$5:$H$504,MATCH(H1392,'Zgłoszenia'!$S$5:$S$504,0)),RIGHT("0"&amp;DAY((A1392+1)),2)&amp;"."&amp;RIGHT("0"&amp;MONTH((A1392+1)),2)&amp;"."&amp;YEAR((A1392+1))&amp;": "&amp;INDEX('Zgłoszenia'!$H$5:$H$504,MATCH(F1392&amp;"|"&amp;(A1392+1),'Zgłoszenia'!$S$5:$S$504,0)))&amp;IF(K1392&gt;1," (+"&amp;(K1392-1)&amp;")",""))</f>
        <v/>
      </c>
      <c r="M1392" s="63" t="n">
        <v>18</v>
      </c>
      <c r="N1392" s="2" t="n"/>
      <c r="O1392" s="2" t="n"/>
    </row>
    <row r="1393">
      <c r="A1393" s="62">
        <f>IF('18'!$C$1="","",'18'!$C$1)</f>
        <v/>
      </c>
      <c r="B1393" s="63">
        <f>Ustawienia!$A$8&amp;""</f>
        <v/>
      </c>
      <c r="C1393" s="63">
        <f>Ustawienia!$A$16&amp;""</f>
        <v/>
      </c>
      <c r="D1393" s="63" t="n">
        <v>1</v>
      </c>
      <c r="E1393" s="63">
        <f>IF('18'!B22="","",TRIM('18'!B22&amp;""))</f>
        <v/>
      </c>
      <c r="F1393" s="63">
        <f>IF('18'!C22="","",'18'!C22)</f>
        <v/>
      </c>
      <c r="G1393" s="63">
        <f>'18'!D22&amp;""</f>
        <v/>
      </c>
      <c r="H1393" s="63">
        <f>IF(OR(A1393="",F1393=""),"",F1393&amp;"|"&amp;A1393)</f>
        <v/>
      </c>
      <c r="I1393" s="63">
        <f>IF(AND(H1393&lt;&gt;"",OR('Historia wózka'!$B$4="",F1393='Historia wózka'!$B$4),A1393&gt;='Historia wózka'!$B$5,A1393&lt;='Historia wózka'!$B$6),A1393+0.9+(5000-ROW())/10000000,0)</f>
        <v/>
      </c>
      <c r="J1393" s="63">
        <f>Ustawienia!$B$8&amp;""</f>
        <v/>
      </c>
      <c r="K1393" s="63">
        <f>IF(H1393="","",COUNTIFS('Zgłoszenia'!$B$5:$B$504,F1393,'Zgłoszenia'!$D$5:$D$504,"&gt;="&amp;A1393,'Zgłoszenia'!$D$5:$D$504,"&lt;="&amp;(A1393+1)))</f>
        <v/>
      </c>
      <c r="L1393" s="63">
        <f>IF(OR(H1393="",K1393=0),"—",IF(ISNUMBER(MATCH(H1393,'Zgłoszenia'!$S$5:$S$504,0)),RIGHT("0"&amp;DAY(A1393),2)&amp;"."&amp;RIGHT("0"&amp;MONTH(A1393),2)&amp;"."&amp;YEAR(A1393)&amp;": "&amp;INDEX('Zgłoszenia'!$H$5:$H$504,MATCH(H1393,'Zgłoszenia'!$S$5:$S$504,0)),RIGHT("0"&amp;DAY((A1393+1)),2)&amp;"."&amp;RIGHT("0"&amp;MONTH((A1393+1)),2)&amp;"."&amp;YEAR((A1393+1))&amp;": "&amp;INDEX('Zgłoszenia'!$H$5:$H$504,MATCH(F1393&amp;"|"&amp;(A1393+1),'Zgłoszenia'!$S$5:$S$504,0)))&amp;IF(K1393&gt;1," (+"&amp;(K1393-1)&amp;")",""))</f>
        <v/>
      </c>
      <c r="M1393" s="63" t="n">
        <v>18</v>
      </c>
      <c r="N1393" s="2" t="n"/>
      <c r="O1393" s="2" t="n"/>
    </row>
    <row r="1394">
      <c r="A1394" s="62">
        <f>IF('18'!$C$1="","",'18'!$C$1)</f>
        <v/>
      </c>
      <c r="B1394" s="63">
        <f>Ustawienia!$A$8&amp;""</f>
        <v/>
      </c>
      <c r="C1394" s="63">
        <f>Ustawienia!$A$16&amp;""</f>
        <v/>
      </c>
      <c r="D1394" s="63" t="n">
        <v>2</v>
      </c>
      <c r="E1394" s="63">
        <f>IF('18'!B23="","",TRIM('18'!B23&amp;""))</f>
        <v/>
      </c>
      <c r="F1394" s="63">
        <f>IF('18'!C23="","",'18'!C23)</f>
        <v/>
      </c>
      <c r="G1394" s="63">
        <f>'18'!D23&amp;""</f>
        <v/>
      </c>
      <c r="H1394" s="63">
        <f>IF(OR(A1394="",F1394=""),"",F1394&amp;"|"&amp;A1394)</f>
        <v/>
      </c>
      <c r="I1394" s="63">
        <f>IF(AND(H1394&lt;&gt;"",OR('Historia wózka'!$B$4="",F1394='Historia wózka'!$B$4),A1394&gt;='Historia wózka'!$B$5,A1394&lt;='Historia wózka'!$B$6),A1394+0.9+(5000-ROW())/10000000,0)</f>
        <v/>
      </c>
      <c r="J1394" s="63">
        <f>Ustawienia!$B$8&amp;""</f>
        <v/>
      </c>
      <c r="K1394" s="63">
        <f>IF(H1394="","",COUNTIFS('Zgłoszenia'!$B$5:$B$504,F1394,'Zgłoszenia'!$D$5:$D$504,"&gt;="&amp;A1394,'Zgłoszenia'!$D$5:$D$504,"&lt;="&amp;(A1394+1)))</f>
        <v/>
      </c>
      <c r="L1394" s="63">
        <f>IF(OR(H1394="",K1394=0),"—",IF(ISNUMBER(MATCH(H1394,'Zgłoszenia'!$S$5:$S$504,0)),RIGHT("0"&amp;DAY(A1394),2)&amp;"."&amp;RIGHT("0"&amp;MONTH(A1394),2)&amp;"."&amp;YEAR(A1394)&amp;": "&amp;INDEX('Zgłoszenia'!$H$5:$H$504,MATCH(H1394,'Zgłoszenia'!$S$5:$S$504,0)),RIGHT("0"&amp;DAY((A1394+1)),2)&amp;"."&amp;RIGHT("0"&amp;MONTH((A1394+1)),2)&amp;"."&amp;YEAR((A1394+1))&amp;": "&amp;INDEX('Zgłoszenia'!$H$5:$H$504,MATCH(F1394&amp;"|"&amp;(A1394+1),'Zgłoszenia'!$S$5:$S$504,0)))&amp;IF(K1394&gt;1," (+"&amp;(K1394-1)&amp;")",""))</f>
        <v/>
      </c>
      <c r="M1394" s="63" t="n">
        <v>18</v>
      </c>
      <c r="N1394" s="2" t="n"/>
      <c r="O1394" s="2" t="n"/>
    </row>
    <row r="1395">
      <c r="A1395" s="62">
        <f>IF('18'!$C$1="","",'18'!$C$1)</f>
        <v/>
      </c>
      <c r="B1395" s="63">
        <f>Ustawienia!$A$8&amp;""</f>
        <v/>
      </c>
      <c r="C1395" s="63">
        <f>Ustawienia!$A$16&amp;""</f>
        <v/>
      </c>
      <c r="D1395" s="63" t="n">
        <v>3</v>
      </c>
      <c r="E1395" s="63">
        <f>IF('18'!B24="","",TRIM('18'!B24&amp;""))</f>
        <v/>
      </c>
      <c r="F1395" s="63">
        <f>IF('18'!C24="","",'18'!C24)</f>
        <v/>
      </c>
      <c r="G1395" s="63">
        <f>'18'!D24&amp;""</f>
        <v/>
      </c>
      <c r="H1395" s="63">
        <f>IF(OR(A1395="",F1395=""),"",F1395&amp;"|"&amp;A1395)</f>
        <v/>
      </c>
      <c r="I1395" s="63">
        <f>IF(AND(H1395&lt;&gt;"",OR('Historia wózka'!$B$4="",F1395='Historia wózka'!$B$4),A1395&gt;='Historia wózka'!$B$5,A1395&lt;='Historia wózka'!$B$6),A1395+0.9+(5000-ROW())/10000000,0)</f>
        <v/>
      </c>
      <c r="J1395" s="63">
        <f>Ustawienia!$B$8&amp;""</f>
        <v/>
      </c>
      <c r="K1395" s="63">
        <f>IF(H1395="","",COUNTIFS('Zgłoszenia'!$B$5:$B$504,F1395,'Zgłoszenia'!$D$5:$D$504,"&gt;="&amp;A1395,'Zgłoszenia'!$D$5:$D$504,"&lt;="&amp;(A1395+1)))</f>
        <v/>
      </c>
      <c r="L1395" s="63">
        <f>IF(OR(H1395="",K1395=0),"—",IF(ISNUMBER(MATCH(H1395,'Zgłoszenia'!$S$5:$S$504,0)),RIGHT("0"&amp;DAY(A1395),2)&amp;"."&amp;RIGHT("0"&amp;MONTH(A1395),2)&amp;"."&amp;YEAR(A1395)&amp;": "&amp;INDEX('Zgłoszenia'!$H$5:$H$504,MATCH(H1395,'Zgłoszenia'!$S$5:$S$504,0)),RIGHT("0"&amp;DAY((A1395+1)),2)&amp;"."&amp;RIGHT("0"&amp;MONTH((A1395+1)),2)&amp;"."&amp;YEAR((A1395+1))&amp;": "&amp;INDEX('Zgłoszenia'!$H$5:$H$504,MATCH(F1395&amp;"|"&amp;(A1395+1),'Zgłoszenia'!$S$5:$S$504,0)))&amp;IF(K1395&gt;1," (+"&amp;(K1395-1)&amp;")",""))</f>
        <v/>
      </c>
      <c r="M1395" s="63" t="n">
        <v>18</v>
      </c>
      <c r="N1395" s="2" t="n"/>
      <c r="O1395" s="2" t="n"/>
    </row>
    <row r="1396">
      <c r="A1396" s="62">
        <f>IF('18'!$C$1="","",'18'!$C$1)</f>
        <v/>
      </c>
      <c r="B1396" s="63">
        <f>Ustawienia!$A$8&amp;""</f>
        <v/>
      </c>
      <c r="C1396" s="63">
        <f>Ustawienia!$A$16&amp;""</f>
        <v/>
      </c>
      <c r="D1396" s="63" t="n">
        <v>4</v>
      </c>
      <c r="E1396" s="63">
        <f>IF('18'!B25="","",TRIM('18'!B25&amp;""))</f>
        <v/>
      </c>
      <c r="F1396" s="63">
        <f>IF('18'!C25="","",'18'!C25)</f>
        <v/>
      </c>
      <c r="G1396" s="63">
        <f>'18'!D25&amp;""</f>
        <v/>
      </c>
      <c r="H1396" s="63">
        <f>IF(OR(A1396="",F1396=""),"",F1396&amp;"|"&amp;A1396)</f>
        <v/>
      </c>
      <c r="I1396" s="63">
        <f>IF(AND(H1396&lt;&gt;"",OR('Historia wózka'!$B$4="",F1396='Historia wózka'!$B$4),A1396&gt;='Historia wózka'!$B$5,A1396&lt;='Historia wózka'!$B$6),A1396+0.9+(5000-ROW())/10000000,0)</f>
        <v/>
      </c>
      <c r="J1396" s="63">
        <f>Ustawienia!$B$8&amp;""</f>
        <v/>
      </c>
      <c r="K1396" s="63">
        <f>IF(H1396="","",COUNTIFS('Zgłoszenia'!$B$5:$B$504,F1396,'Zgłoszenia'!$D$5:$D$504,"&gt;="&amp;A1396,'Zgłoszenia'!$D$5:$D$504,"&lt;="&amp;(A1396+1)))</f>
        <v/>
      </c>
      <c r="L1396" s="63">
        <f>IF(OR(H1396="",K1396=0),"—",IF(ISNUMBER(MATCH(H1396,'Zgłoszenia'!$S$5:$S$504,0)),RIGHT("0"&amp;DAY(A1396),2)&amp;"."&amp;RIGHT("0"&amp;MONTH(A1396),2)&amp;"."&amp;YEAR(A1396)&amp;": "&amp;INDEX('Zgłoszenia'!$H$5:$H$504,MATCH(H1396,'Zgłoszenia'!$S$5:$S$504,0)),RIGHT("0"&amp;DAY((A1396+1)),2)&amp;"."&amp;RIGHT("0"&amp;MONTH((A1396+1)),2)&amp;"."&amp;YEAR((A1396+1))&amp;": "&amp;INDEX('Zgłoszenia'!$H$5:$H$504,MATCH(F1396&amp;"|"&amp;(A1396+1),'Zgłoszenia'!$S$5:$S$504,0)))&amp;IF(K1396&gt;1," (+"&amp;(K1396-1)&amp;")",""))</f>
        <v/>
      </c>
      <c r="M1396" s="63" t="n">
        <v>18</v>
      </c>
      <c r="N1396" s="2" t="n"/>
      <c r="O1396" s="2" t="n"/>
    </row>
    <row r="1397">
      <c r="A1397" s="62">
        <f>IF('18'!$C$1="","",'18'!$C$1)</f>
        <v/>
      </c>
      <c r="B1397" s="63">
        <f>Ustawienia!$A$8&amp;""</f>
        <v/>
      </c>
      <c r="C1397" s="63">
        <f>Ustawienia!$A$17&amp;""</f>
        <v/>
      </c>
      <c r="D1397" s="63" t="n">
        <v>1</v>
      </c>
      <c r="E1397" s="63">
        <f>IF('18'!B27="","",TRIM('18'!B27&amp;""))</f>
        <v/>
      </c>
      <c r="F1397" s="63">
        <f>IF('18'!C27="","",'18'!C27)</f>
        <v/>
      </c>
      <c r="G1397" s="63">
        <f>'18'!D27&amp;""</f>
        <v/>
      </c>
      <c r="H1397" s="63">
        <f>IF(OR(A1397="",F1397=""),"",F1397&amp;"|"&amp;A1397)</f>
        <v/>
      </c>
      <c r="I1397" s="63">
        <f>IF(AND(H1397&lt;&gt;"",OR('Historia wózka'!$B$4="",F1397='Historia wózka'!$B$4),A1397&gt;='Historia wózka'!$B$5,A1397&lt;='Historia wózka'!$B$6),A1397+0.9+(5000-ROW())/10000000,0)</f>
        <v/>
      </c>
      <c r="J1397" s="63">
        <f>Ustawienia!$B$8&amp;""</f>
        <v/>
      </c>
      <c r="K1397" s="63">
        <f>IF(H1397="","",COUNTIFS('Zgłoszenia'!$B$5:$B$504,F1397,'Zgłoszenia'!$D$5:$D$504,"&gt;="&amp;A1397,'Zgłoszenia'!$D$5:$D$504,"&lt;="&amp;(A1397+1)))</f>
        <v/>
      </c>
      <c r="L1397" s="63">
        <f>IF(OR(H1397="",K1397=0),"—",IF(ISNUMBER(MATCH(H1397,'Zgłoszenia'!$S$5:$S$504,0)),RIGHT("0"&amp;DAY(A1397),2)&amp;"."&amp;RIGHT("0"&amp;MONTH(A1397),2)&amp;"."&amp;YEAR(A1397)&amp;": "&amp;INDEX('Zgłoszenia'!$H$5:$H$504,MATCH(H1397,'Zgłoszenia'!$S$5:$S$504,0)),RIGHT("0"&amp;DAY((A1397+1)),2)&amp;"."&amp;RIGHT("0"&amp;MONTH((A1397+1)),2)&amp;"."&amp;YEAR((A1397+1))&amp;": "&amp;INDEX('Zgłoszenia'!$H$5:$H$504,MATCH(F1397&amp;"|"&amp;(A1397+1),'Zgłoszenia'!$S$5:$S$504,0)))&amp;IF(K1397&gt;1," (+"&amp;(K1397-1)&amp;")",""))</f>
        <v/>
      </c>
      <c r="M1397" s="63" t="n">
        <v>18</v>
      </c>
      <c r="N1397" s="2" t="n"/>
      <c r="O1397" s="2" t="n"/>
    </row>
    <row r="1398">
      <c r="A1398" s="62">
        <f>IF('18'!$C$1="","",'18'!$C$1)</f>
        <v/>
      </c>
      <c r="B1398" s="63">
        <f>Ustawienia!$A$8&amp;""</f>
        <v/>
      </c>
      <c r="C1398" s="63">
        <f>Ustawienia!$A$17&amp;""</f>
        <v/>
      </c>
      <c r="D1398" s="63" t="n">
        <v>2</v>
      </c>
      <c r="E1398" s="63">
        <f>IF('18'!B28="","",TRIM('18'!B28&amp;""))</f>
        <v/>
      </c>
      <c r="F1398" s="63">
        <f>IF('18'!C28="","",'18'!C28)</f>
        <v/>
      </c>
      <c r="G1398" s="63">
        <f>'18'!D28&amp;""</f>
        <v/>
      </c>
      <c r="H1398" s="63">
        <f>IF(OR(A1398="",F1398=""),"",F1398&amp;"|"&amp;A1398)</f>
        <v/>
      </c>
      <c r="I1398" s="63">
        <f>IF(AND(H1398&lt;&gt;"",OR('Historia wózka'!$B$4="",F1398='Historia wózka'!$B$4),A1398&gt;='Historia wózka'!$B$5,A1398&lt;='Historia wózka'!$B$6),A1398+0.9+(5000-ROW())/10000000,0)</f>
        <v/>
      </c>
      <c r="J1398" s="63">
        <f>Ustawienia!$B$8&amp;""</f>
        <v/>
      </c>
      <c r="K1398" s="63">
        <f>IF(H1398="","",COUNTIFS('Zgłoszenia'!$B$5:$B$504,F1398,'Zgłoszenia'!$D$5:$D$504,"&gt;="&amp;A1398,'Zgłoszenia'!$D$5:$D$504,"&lt;="&amp;(A1398+1)))</f>
        <v/>
      </c>
      <c r="L1398" s="63">
        <f>IF(OR(H1398="",K1398=0),"—",IF(ISNUMBER(MATCH(H1398,'Zgłoszenia'!$S$5:$S$504,0)),RIGHT("0"&amp;DAY(A1398),2)&amp;"."&amp;RIGHT("0"&amp;MONTH(A1398),2)&amp;"."&amp;YEAR(A1398)&amp;": "&amp;INDEX('Zgłoszenia'!$H$5:$H$504,MATCH(H1398,'Zgłoszenia'!$S$5:$S$504,0)),RIGHT("0"&amp;DAY((A1398+1)),2)&amp;"."&amp;RIGHT("0"&amp;MONTH((A1398+1)),2)&amp;"."&amp;YEAR((A1398+1))&amp;": "&amp;INDEX('Zgłoszenia'!$H$5:$H$504,MATCH(F1398&amp;"|"&amp;(A1398+1),'Zgłoszenia'!$S$5:$S$504,0)))&amp;IF(K1398&gt;1," (+"&amp;(K1398-1)&amp;")",""))</f>
        <v/>
      </c>
      <c r="M1398" s="63" t="n">
        <v>18</v>
      </c>
      <c r="N1398" s="2" t="n"/>
      <c r="O1398" s="2" t="n"/>
    </row>
    <row r="1399">
      <c r="A1399" s="62">
        <f>IF('18'!$C$1="","",'18'!$C$1)</f>
        <v/>
      </c>
      <c r="B1399" s="63">
        <f>Ustawienia!$A$8&amp;""</f>
        <v/>
      </c>
      <c r="C1399" s="63">
        <f>Ustawienia!$A$17&amp;""</f>
        <v/>
      </c>
      <c r="D1399" s="63" t="n">
        <v>3</v>
      </c>
      <c r="E1399" s="63">
        <f>IF('18'!B29="","",TRIM('18'!B29&amp;""))</f>
        <v/>
      </c>
      <c r="F1399" s="63">
        <f>IF('18'!C29="","",'18'!C29)</f>
        <v/>
      </c>
      <c r="G1399" s="63">
        <f>'18'!D29&amp;""</f>
        <v/>
      </c>
      <c r="H1399" s="63">
        <f>IF(OR(A1399="",F1399=""),"",F1399&amp;"|"&amp;A1399)</f>
        <v/>
      </c>
      <c r="I1399" s="63">
        <f>IF(AND(H1399&lt;&gt;"",OR('Historia wózka'!$B$4="",F1399='Historia wózka'!$B$4),A1399&gt;='Historia wózka'!$B$5,A1399&lt;='Historia wózka'!$B$6),A1399+0.9+(5000-ROW())/10000000,0)</f>
        <v/>
      </c>
      <c r="J1399" s="63">
        <f>Ustawienia!$B$8&amp;""</f>
        <v/>
      </c>
      <c r="K1399" s="63">
        <f>IF(H1399="","",COUNTIFS('Zgłoszenia'!$B$5:$B$504,F1399,'Zgłoszenia'!$D$5:$D$504,"&gt;="&amp;A1399,'Zgłoszenia'!$D$5:$D$504,"&lt;="&amp;(A1399+1)))</f>
        <v/>
      </c>
      <c r="L1399" s="63">
        <f>IF(OR(H1399="",K1399=0),"—",IF(ISNUMBER(MATCH(H1399,'Zgłoszenia'!$S$5:$S$504,0)),RIGHT("0"&amp;DAY(A1399),2)&amp;"."&amp;RIGHT("0"&amp;MONTH(A1399),2)&amp;"."&amp;YEAR(A1399)&amp;": "&amp;INDEX('Zgłoszenia'!$H$5:$H$504,MATCH(H1399,'Zgłoszenia'!$S$5:$S$504,0)),RIGHT("0"&amp;DAY((A1399+1)),2)&amp;"."&amp;RIGHT("0"&amp;MONTH((A1399+1)),2)&amp;"."&amp;YEAR((A1399+1))&amp;": "&amp;INDEX('Zgłoszenia'!$H$5:$H$504,MATCH(F1399&amp;"|"&amp;(A1399+1),'Zgłoszenia'!$S$5:$S$504,0)))&amp;IF(K1399&gt;1," (+"&amp;(K1399-1)&amp;")",""))</f>
        <v/>
      </c>
      <c r="M1399" s="63" t="n">
        <v>18</v>
      </c>
      <c r="N1399" s="2" t="n"/>
      <c r="O1399" s="2" t="n"/>
    </row>
    <row r="1400">
      <c r="A1400" s="62">
        <f>IF('18'!$C$1="","",'18'!$C$1)</f>
        <v/>
      </c>
      <c r="B1400" s="63">
        <f>Ustawienia!$A$8&amp;""</f>
        <v/>
      </c>
      <c r="C1400" s="63">
        <f>Ustawienia!$A$17&amp;""</f>
        <v/>
      </c>
      <c r="D1400" s="63" t="n">
        <v>4</v>
      </c>
      <c r="E1400" s="63">
        <f>IF('18'!B30="","",TRIM('18'!B30&amp;""))</f>
        <v/>
      </c>
      <c r="F1400" s="63">
        <f>IF('18'!C30="","",'18'!C30)</f>
        <v/>
      </c>
      <c r="G1400" s="63">
        <f>'18'!D30&amp;""</f>
        <v/>
      </c>
      <c r="H1400" s="63">
        <f>IF(OR(A1400="",F1400=""),"",F1400&amp;"|"&amp;A1400)</f>
        <v/>
      </c>
      <c r="I1400" s="63">
        <f>IF(AND(H1400&lt;&gt;"",OR('Historia wózka'!$B$4="",F1400='Historia wózka'!$B$4),A1400&gt;='Historia wózka'!$B$5,A1400&lt;='Historia wózka'!$B$6),A1400+0.9+(5000-ROW())/10000000,0)</f>
        <v/>
      </c>
      <c r="J1400" s="63">
        <f>Ustawienia!$B$8&amp;""</f>
        <v/>
      </c>
      <c r="K1400" s="63">
        <f>IF(H1400="","",COUNTIFS('Zgłoszenia'!$B$5:$B$504,F1400,'Zgłoszenia'!$D$5:$D$504,"&gt;="&amp;A1400,'Zgłoszenia'!$D$5:$D$504,"&lt;="&amp;(A1400+1)))</f>
        <v/>
      </c>
      <c r="L1400" s="63">
        <f>IF(OR(H1400="",K1400=0),"—",IF(ISNUMBER(MATCH(H1400,'Zgłoszenia'!$S$5:$S$504,0)),RIGHT("0"&amp;DAY(A1400),2)&amp;"."&amp;RIGHT("0"&amp;MONTH(A1400),2)&amp;"."&amp;YEAR(A1400)&amp;": "&amp;INDEX('Zgłoszenia'!$H$5:$H$504,MATCH(H1400,'Zgłoszenia'!$S$5:$S$504,0)),RIGHT("0"&amp;DAY((A1400+1)),2)&amp;"."&amp;RIGHT("0"&amp;MONTH((A1400+1)),2)&amp;"."&amp;YEAR((A1400+1))&amp;": "&amp;INDEX('Zgłoszenia'!$H$5:$H$504,MATCH(F1400&amp;"|"&amp;(A1400+1),'Zgłoszenia'!$S$5:$S$504,0)))&amp;IF(K1400&gt;1," (+"&amp;(K1400-1)&amp;")",""))</f>
        <v/>
      </c>
      <c r="M1400" s="63" t="n">
        <v>18</v>
      </c>
      <c r="N1400" s="2" t="n"/>
      <c r="O1400" s="2" t="n"/>
    </row>
    <row r="1401">
      <c r="A1401" s="62">
        <f>IF('18'!$C$1="","",'18'!$C$1)</f>
        <v/>
      </c>
      <c r="B1401" s="63">
        <f>Ustawienia!$A$8&amp;""</f>
        <v/>
      </c>
      <c r="C1401" s="63">
        <f>Ustawienia!$A$18&amp;""</f>
        <v/>
      </c>
      <c r="D1401" s="63" t="n">
        <v>1</v>
      </c>
      <c r="E1401" s="63">
        <f>IF('18'!B32="","",TRIM('18'!B32&amp;""))</f>
        <v/>
      </c>
      <c r="F1401" s="63">
        <f>IF('18'!C32="","",'18'!C32)</f>
        <v/>
      </c>
      <c r="G1401" s="63">
        <f>'18'!D32&amp;""</f>
        <v/>
      </c>
      <c r="H1401" s="63">
        <f>IF(OR(A1401="",F1401=""),"",F1401&amp;"|"&amp;A1401)</f>
        <v/>
      </c>
      <c r="I1401" s="63">
        <f>IF(AND(H1401&lt;&gt;"",OR('Historia wózka'!$B$4="",F1401='Historia wózka'!$B$4),A1401&gt;='Historia wózka'!$B$5,A1401&lt;='Historia wózka'!$B$6),A1401+0.9+(5000-ROW())/10000000,0)</f>
        <v/>
      </c>
      <c r="J1401" s="63">
        <f>Ustawienia!$B$8&amp;""</f>
        <v/>
      </c>
      <c r="K1401" s="63">
        <f>IF(H1401="","",COUNTIFS('Zgłoszenia'!$B$5:$B$504,F1401,'Zgłoszenia'!$D$5:$D$504,"&gt;="&amp;A1401,'Zgłoszenia'!$D$5:$D$504,"&lt;="&amp;(A1401+1)))</f>
        <v/>
      </c>
      <c r="L1401" s="63">
        <f>IF(OR(H1401="",K1401=0),"—",IF(ISNUMBER(MATCH(H1401,'Zgłoszenia'!$S$5:$S$504,0)),RIGHT("0"&amp;DAY(A1401),2)&amp;"."&amp;RIGHT("0"&amp;MONTH(A1401),2)&amp;"."&amp;YEAR(A1401)&amp;": "&amp;INDEX('Zgłoszenia'!$H$5:$H$504,MATCH(H1401,'Zgłoszenia'!$S$5:$S$504,0)),RIGHT("0"&amp;DAY((A1401+1)),2)&amp;"."&amp;RIGHT("0"&amp;MONTH((A1401+1)),2)&amp;"."&amp;YEAR((A1401+1))&amp;": "&amp;INDEX('Zgłoszenia'!$H$5:$H$504,MATCH(F1401&amp;"|"&amp;(A1401+1),'Zgłoszenia'!$S$5:$S$504,0)))&amp;IF(K1401&gt;1," (+"&amp;(K1401-1)&amp;")",""))</f>
        <v/>
      </c>
      <c r="M1401" s="63" t="n">
        <v>18</v>
      </c>
      <c r="N1401" s="2" t="n"/>
      <c r="O1401" s="2" t="n"/>
    </row>
    <row r="1402">
      <c r="A1402" s="62">
        <f>IF('18'!$C$1="","",'18'!$C$1)</f>
        <v/>
      </c>
      <c r="B1402" s="63">
        <f>Ustawienia!$A$8&amp;""</f>
        <v/>
      </c>
      <c r="C1402" s="63">
        <f>Ustawienia!$A$18&amp;""</f>
        <v/>
      </c>
      <c r="D1402" s="63" t="n">
        <v>2</v>
      </c>
      <c r="E1402" s="63">
        <f>IF('18'!B33="","",TRIM('18'!B33&amp;""))</f>
        <v/>
      </c>
      <c r="F1402" s="63">
        <f>IF('18'!C33="","",'18'!C33)</f>
        <v/>
      </c>
      <c r="G1402" s="63">
        <f>'18'!D33&amp;""</f>
        <v/>
      </c>
      <c r="H1402" s="63">
        <f>IF(OR(A1402="",F1402=""),"",F1402&amp;"|"&amp;A1402)</f>
        <v/>
      </c>
      <c r="I1402" s="63">
        <f>IF(AND(H1402&lt;&gt;"",OR('Historia wózka'!$B$4="",F1402='Historia wózka'!$B$4),A1402&gt;='Historia wózka'!$B$5,A1402&lt;='Historia wózka'!$B$6),A1402+0.9+(5000-ROW())/10000000,0)</f>
        <v/>
      </c>
      <c r="J1402" s="63">
        <f>Ustawienia!$B$8&amp;""</f>
        <v/>
      </c>
      <c r="K1402" s="63">
        <f>IF(H1402="","",COUNTIFS('Zgłoszenia'!$B$5:$B$504,F1402,'Zgłoszenia'!$D$5:$D$504,"&gt;="&amp;A1402,'Zgłoszenia'!$D$5:$D$504,"&lt;="&amp;(A1402+1)))</f>
        <v/>
      </c>
      <c r="L1402" s="63">
        <f>IF(OR(H1402="",K1402=0),"—",IF(ISNUMBER(MATCH(H1402,'Zgłoszenia'!$S$5:$S$504,0)),RIGHT("0"&amp;DAY(A1402),2)&amp;"."&amp;RIGHT("0"&amp;MONTH(A1402),2)&amp;"."&amp;YEAR(A1402)&amp;": "&amp;INDEX('Zgłoszenia'!$H$5:$H$504,MATCH(H1402,'Zgłoszenia'!$S$5:$S$504,0)),RIGHT("0"&amp;DAY((A1402+1)),2)&amp;"."&amp;RIGHT("0"&amp;MONTH((A1402+1)),2)&amp;"."&amp;YEAR((A1402+1))&amp;": "&amp;INDEX('Zgłoszenia'!$H$5:$H$504,MATCH(F1402&amp;"|"&amp;(A1402+1),'Zgłoszenia'!$S$5:$S$504,0)))&amp;IF(K1402&gt;1," (+"&amp;(K1402-1)&amp;")",""))</f>
        <v/>
      </c>
      <c r="M1402" s="63" t="n">
        <v>18</v>
      </c>
      <c r="N1402" s="2" t="n"/>
      <c r="O1402" s="2" t="n"/>
    </row>
    <row r="1403">
      <c r="A1403" s="62">
        <f>IF('18'!$C$1="","",'18'!$C$1)</f>
        <v/>
      </c>
      <c r="B1403" s="63">
        <f>Ustawienia!$A$8&amp;""</f>
        <v/>
      </c>
      <c r="C1403" s="63">
        <f>Ustawienia!$A$18&amp;""</f>
        <v/>
      </c>
      <c r="D1403" s="63" t="n">
        <v>3</v>
      </c>
      <c r="E1403" s="63">
        <f>IF('18'!B34="","",TRIM('18'!B34&amp;""))</f>
        <v/>
      </c>
      <c r="F1403" s="63">
        <f>IF('18'!C34="","",'18'!C34)</f>
        <v/>
      </c>
      <c r="G1403" s="63">
        <f>'18'!D34&amp;""</f>
        <v/>
      </c>
      <c r="H1403" s="63">
        <f>IF(OR(A1403="",F1403=""),"",F1403&amp;"|"&amp;A1403)</f>
        <v/>
      </c>
      <c r="I1403" s="63">
        <f>IF(AND(H1403&lt;&gt;"",OR('Historia wózka'!$B$4="",F1403='Historia wózka'!$B$4),A1403&gt;='Historia wózka'!$B$5,A1403&lt;='Historia wózka'!$B$6),A1403+0.9+(5000-ROW())/10000000,0)</f>
        <v/>
      </c>
      <c r="J1403" s="63">
        <f>Ustawienia!$B$8&amp;""</f>
        <v/>
      </c>
      <c r="K1403" s="63">
        <f>IF(H1403="","",COUNTIFS('Zgłoszenia'!$B$5:$B$504,F1403,'Zgłoszenia'!$D$5:$D$504,"&gt;="&amp;A1403,'Zgłoszenia'!$D$5:$D$504,"&lt;="&amp;(A1403+1)))</f>
        <v/>
      </c>
      <c r="L1403" s="63">
        <f>IF(OR(H1403="",K1403=0),"—",IF(ISNUMBER(MATCH(H1403,'Zgłoszenia'!$S$5:$S$504,0)),RIGHT("0"&amp;DAY(A1403),2)&amp;"."&amp;RIGHT("0"&amp;MONTH(A1403),2)&amp;"."&amp;YEAR(A1403)&amp;": "&amp;INDEX('Zgłoszenia'!$H$5:$H$504,MATCH(H1403,'Zgłoszenia'!$S$5:$S$504,0)),RIGHT("0"&amp;DAY((A1403+1)),2)&amp;"."&amp;RIGHT("0"&amp;MONTH((A1403+1)),2)&amp;"."&amp;YEAR((A1403+1))&amp;": "&amp;INDEX('Zgłoszenia'!$H$5:$H$504,MATCH(F1403&amp;"|"&amp;(A1403+1),'Zgłoszenia'!$S$5:$S$504,0)))&amp;IF(K1403&gt;1," (+"&amp;(K1403-1)&amp;")",""))</f>
        <v/>
      </c>
      <c r="M1403" s="63" t="n">
        <v>18</v>
      </c>
      <c r="N1403" s="2" t="n"/>
      <c r="O1403" s="2" t="n"/>
    </row>
    <row r="1404">
      <c r="A1404" s="62">
        <f>IF('18'!$C$1="","",'18'!$C$1)</f>
        <v/>
      </c>
      <c r="B1404" s="63">
        <f>Ustawienia!$A$8&amp;""</f>
        <v/>
      </c>
      <c r="C1404" s="63">
        <f>Ustawienia!$A$18&amp;""</f>
        <v/>
      </c>
      <c r="D1404" s="63" t="n">
        <v>4</v>
      </c>
      <c r="E1404" s="63">
        <f>IF('18'!B35="","",TRIM('18'!B35&amp;""))</f>
        <v/>
      </c>
      <c r="F1404" s="63">
        <f>IF('18'!C35="","",'18'!C35)</f>
        <v/>
      </c>
      <c r="G1404" s="63">
        <f>'18'!D35&amp;""</f>
        <v/>
      </c>
      <c r="H1404" s="63">
        <f>IF(OR(A1404="",F1404=""),"",F1404&amp;"|"&amp;A1404)</f>
        <v/>
      </c>
      <c r="I1404" s="63">
        <f>IF(AND(H1404&lt;&gt;"",OR('Historia wózka'!$B$4="",F1404='Historia wózka'!$B$4),A1404&gt;='Historia wózka'!$B$5,A1404&lt;='Historia wózka'!$B$6),A1404+0.9+(5000-ROW())/10000000,0)</f>
        <v/>
      </c>
      <c r="J1404" s="63">
        <f>Ustawienia!$B$8&amp;""</f>
        <v/>
      </c>
      <c r="K1404" s="63">
        <f>IF(H1404="","",COUNTIFS('Zgłoszenia'!$B$5:$B$504,F1404,'Zgłoszenia'!$D$5:$D$504,"&gt;="&amp;A1404,'Zgłoszenia'!$D$5:$D$504,"&lt;="&amp;(A1404+1)))</f>
        <v/>
      </c>
      <c r="L1404" s="63">
        <f>IF(OR(H1404="",K1404=0),"—",IF(ISNUMBER(MATCH(H1404,'Zgłoszenia'!$S$5:$S$504,0)),RIGHT("0"&amp;DAY(A1404),2)&amp;"."&amp;RIGHT("0"&amp;MONTH(A1404),2)&amp;"."&amp;YEAR(A1404)&amp;": "&amp;INDEX('Zgłoszenia'!$H$5:$H$504,MATCH(H1404,'Zgłoszenia'!$S$5:$S$504,0)),RIGHT("0"&amp;DAY((A1404+1)),2)&amp;"."&amp;RIGHT("0"&amp;MONTH((A1404+1)),2)&amp;"."&amp;YEAR((A1404+1))&amp;": "&amp;INDEX('Zgłoszenia'!$H$5:$H$504,MATCH(F1404&amp;"|"&amp;(A1404+1),'Zgłoszenia'!$S$5:$S$504,0)))&amp;IF(K1404&gt;1," (+"&amp;(K1404-1)&amp;")",""))</f>
        <v/>
      </c>
      <c r="M1404" s="63" t="n">
        <v>18</v>
      </c>
      <c r="N1404" s="2" t="n"/>
      <c r="O1404" s="2" t="n"/>
    </row>
    <row r="1405">
      <c r="A1405" s="62">
        <f>IF('18'!$C$1="","",'18'!$C$1)</f>
        <v/>
      </c>
      <c r="B1405" s="63">
        <f>Ustawienia!$A$8&amp;""</f>
        <v/>
      </c>
      <c r="C1405" s="63">
        <f>Ustawienia!$A$18&amp;""</f>
        <v/>
      </c>
      <c r="D1405" s="63" t="n">
        <v>5</v>
      </c>
      <c r="E1405" s="63">
        <f>IF('18'!B36="","",TRIM('18'!B36&amp;""))</f>
        <v/>
      </c>
      <c r="F1405" s="63">
        <f>IF('18'!C36="","",'18'!C36)</f>
        <v/>
      </c>
      <c r="G1405" s="63">
        <f>'18'!D36&amp;""</f>
        <v/>
      </c>
      <c r="H1405" s="63">
        <f>IF(OR(A1405="",F1405=""),"",F1405&amp;"|"&amp;A1405)</f>
        <v/>
      </c>
      <c r="I1405" s="63">
        <f>IF(AND(H1405&lt;&gt;"",OR('Historia wózka'!$B$4="",F1405='Historia wózka'!$B$4),A1405&gt;='Historia wózka'!$B$5,A1405&lt;='Historia wózka'!$B$6),A1405+0.9+(5000-ROW())/10000000,0)</f>
        <v/>
      </c>
      <c r="J1405" s="63">
        <f>Ustawienia!$B$8&amp;""</f>
        <v/>
      </c>
      <c r="K1405" s="63">
        <f>IF(H1405="","",COUNTIFS('Zgłoszenia'!$B$5:$B$504,F1405,'Zgłoszenia'!$D$5:$D$504,"&gt;="&amp;A1405,'Zgłoszenia'!$D$5:$D$504,"&lt;="&amp;(A1405+1)))</f>
        <v/>
      </c>
      <c r="L1405" s="63">
        <f>IF(OR(H1405="",K1405=0),"—",IF(ISNUMBER(MATCH(H1405,'Zgłoszenia'!$S$5:$S$504,0)),RIGHT("0"&amp;DAY(A1405),2)&amp;"."&amp;RIGHT("0"&amp;MONTH(A1405),2)&amp;"."&amp;YEAR(A1405)&amp;": "&amp;INDEX('Zgłoszenia'!$H$5:$H$504,MATCH(H1405,'Zgłoszenia'!$S$5:$S$504,0)),RIGHT("0"&amp;DAY((A1405+1)),2)&amp;"."&amp;RIGHT("0"&amp;MONTH((A1405+1)),2)&amp;"."&amp;YEAR((A1405+1))&amp;": "&amp;INDEX('Zgłoszenia'!$H$5:$H$504,MATCH(F1405&amp;"|"&amp;(A1405+1),'Zgłoszenia'!$S$5:$S$504,0)))&amp;IF(K1405&gt;1," (+"&amp;(K1405-1)&amp;")",""))</f>
        <v/>
      </c>
      <c r="M1405" s="63" t="n">
        <v>18</v>
      </c>
      <c r="N1405" s="2" t="n"/>
      <c r="O1405" s="2" t="n"/>
    </row>
    <row r="1406">
      <c r="A1406" s="62">
        <f>IF('18'!$C$1="","",'18'!$C$1)</f>
        <v/>
      </c>
      <c r="B1406" s="63">
        <f>Ustawienia!$A$9&amp;""</f>
        <v/>
      </c>
      <c r="C1406" s="63">
        <f>Ustawienia!$A$14&amp;""</f>
        <v/>
      </c>
      <c r="D1406" s="63" t="n">
        <v>1</v>
      </c>
      <c r="E1406" s="63">
        <f>IF('18'!F6="","",TRIM('18'!F6&amp;""))</f>
        <v/>
      </c>
      <c r="F1406" s="63">
        <f>IF('18'!G6="","",'18'!G6)</f>
        <v/>
      </c>
      <c r="G1406" s="63">
        <f>'18'!H6&amp;""</f>
        <v/>
      </c>
      <c r="H1406" s="63">
        <f>IF(OR(A1406="",F1406=""),"",F1406&amp;"|"&amp;A1406)</f>
        <v/>
      </c>
      <c r="I1406" s="63">
        <f>IF(AND(H1406&lt;&gt;"",OR('Historia wózka'!$B$4="",F1406='Historia wózka'!$B$4),A1406&gt;='Historia wózka'!$B$5,A1406&lt;='Historia wózka'!$B$6),A1406+0.8+(5000-ROW())/10000000,0)</f>
        <v/>
      </c>
      <c r="J1406" s="63">
        <f>Ustawienia!$B$9&amp;""</f>
        <v/>
      </c>
      <c r="K1406" s="63">
        <f>IF(H1406="","",COUNTIFS('Zgłoszenia'!$B$5:$B$504,F1406,'Zgłoszenia'!$D$5:$D$504,"&gt;="&amp;A1406,'Zgłoszenia'!$D$5:$D$504,"&lt;="&amp;(A1406+1)))</f>
        <v/>
      </c>
      <c r="L1406" s="63">
        <f>IF(OR(H1406="",K1406=0),"—",IF(ISNUMBER(MATCH(H1406,'Zgłoszenia'!$S$5:$S$504,0)),RIGHT("0"&amp;DAY(A1406),2)&amp;"."&amp;RIGHT("0"&amp;MONTH(A1406),2)&amp;"."&amp;YEAR(A1406)&amp;": "&amp;INDEX('Zgłoszenia'!$H$5:$H$504,MATCH(H1406,'Zgłoszenia'!$S$5:$S$504,0)),RIGHT("0"&amp;DAY((A1406+1)),2)&amp;"."&amp;RIGHT("0"&amp;MONTH((A1406+1)),2)&amp;"."&amp;YEAR((A1406+1))&amp;": "&amp;INDEX('Zgłoszenia'!$H$5:$H$504,MATCH(F1406&amp;"|"&amp;(A1406+1),'Zgłoszenia'!$S$5:$S$504,0)))&amp;IF(K1406&gt;1," (+"&amp;(K1406-1)&amp;")",""))</f>
        <v/>
      </c>
      <c r="M1406" s="63" t="n">
        <v>18</v>
      </c>
      <c r="N1406" s="2" t="n"/>
      <c r="O1406" s="2" t="n"/>
    </row>
    <row r="1407">
      <c r="A1407" s="62">
        <f>IF('18'!$C$1="","",'18'!$C$1)</f>
        <v/>
      </c>
      <c r="B1407" s="63">
        <f>Ustawienia!$A$9&amp;""</f>
        <v/>
      </c>
      <c r="C1407" s="63">
        <f>Ustawienia!$A$14&amp;""</f>
        <v/>
      </c>
      <c r="D1407" s="63" t="n">
        <v>2</v>
      </c>
      <c r="E1407" s="63">
        <f>IF('18'!F7="","",TRIM('18'!F7&amp;""))</f>
        <v/>
      </c>
      <c r="F1407" s="63">
        <f>IF('18'!G7="","",'18'!G7)</f>
        <v/>
      </c>
      <c r="G1407" s="63">
        <f>'18'!H7&amp;""</f>
        <v/>
      </c>
      <c r="H1407" s="63">
        <f>IF(OR(A1407="",F1407=""),"",F1407&amp;"|"&amp;A1407)</f>
        <v/>
      </c>
      <c r="I1407" s="63">
        <f>IF(AND(H1407&lt;&gt;"",OR('Historia wózka'!$B$4="",F1407='Historia wózka'!$B$4),A1407&gt;='Historia wózka'!$B$5,A1407&lt;='Historia wózka'!$B$6),A1407+0.8+(5000-ROW())/10000000,0)</f>
        <v/>
      </c>
      <c r="J1407" s="63">
        <f>Ustawienia!$B$9&amp;""</f>
        <v/>
      </c>
      <c r="K1407" s="63">
        <f>IF(H1407="","",COUNTIFS('Zgłoszenia'!$B$5:$B$504,F1407,'Zgłoszenia'!$D$5:$D$504,"&gt;="&amp;A1407,'Zgłoszenia'!$D$5:$D$504,"&lt;="&amp;(A1407+1)))</f>
        <v/>
      </c>
      <c r="L1407" s="63">
        <f>IF(OR(H1407="",K1407=0),"—",IF(ISNUMBER(MATCH(H1407,'Zgłoszenia'!$S$5:$S$504,0)),RIGHT("0"&amp;DAY(A1407),2)&amp;"."&amp;RIGHT("0"&amp;MONTH(A1407),2)&amp;"."&amp;YEAR(A1407)&amp;": "&amp;INDEX('Zgłoszenia'!$H$5:$H$504,MATCH(H1407,'Zgłoszenia'!$S$5:$S$504,0)),RIGHT("0"&amp;DAY((A1407+1)),2)&amp;"."&amp;RIGHT("0"&amp;MONTH((A1407+1)),2)&amp;"."&amp;YEAR((A1407+1))&amp;": "&amp;INDEX('Zgłoszenia'!$H$5:$H$504,MATCH(F1407&amp;"|"&amp;(A1407+1),'Zgłoszenia'!$S$5:$S$504,0)))&amp;IF(K1407&gt;1," (+"&amp;(K1407-1)&amp;")",""))</f>
        <v/>
      </c>
      <c r="M1407" s="63" t="n">
        <v>18</v>
      </c>
      <c r="N1407" s="2" t="n"/>
      <c r="O1407" s="2" t="n"/>
    </row>
    <row r="1408">
      <c r="A1408" s="62">
        <f>IF('18'!$C$1="","",'18'!$C$1)</f>
        <v/>
      </c>
      <c r="B1408" s="63">
        <f>Ustawienia!$A$9&amp;""</f>
        <v/>
      </c>
      <c r="C1408" s="63">
        <f>Ustawienia!$A$14&amp;""</f>
        <v/>
      </c>
      <c r="D1408" s="63" t="n">
        <v>3</v>
      </c>
      <c r="E1408" s="63">
        <f>IF('18'!F8="","",TRIM('18'!F8&amp;""))</f>
        <v/>
      </c>
      <c r="F1408" s="63">
        <f>IF('18'!G8="","",'18'!G8)</f>
        <v/>
      </c>
      <c r="G1408" s="63">
        <f>'18'!H8&amp;""</f>
        <v/>
      </c>
      <c r="H1408" s="63">
        <f>IF(OR(A1408="",F1408=""),"",F1408&amp;"|"&amp;A1408)</f>
        <v/>
      </c>
      <c r="I1408" s="63">
        <f>IF(AND(H1408&lt;&gt;"",OR('Historia wózka'!$B$4="",F1408='Historia wózka'!$B$4),A1408&gt;='Historia wózka'!$B$5,A1408&lt;='Historia wózka'!$B$6),A1408+0.8+(5000-ROW())/10000000,0)</f>
        <v/>
      </c>
      <c r="J1408" s="63">
        <f>Ustawienia!$B$9&amp;""</f>
        <v/>
      </c>
      <c r="K1408" s="63">
        <f>IF(H1408="","",COUNTIFS('Zgłoszenia'!$B$5:$B$504,F1408,'Zgłoszenia'!$D$5:$D$504,"&gt;="&amp;A1408,'Zgłoszenia'!$D$5:$D$504,"&lt;="&amp;(A1408+1)))</f>
        <v/>
      </c>
      <c r="L1408" s="63">
        <f>IF(OR(H1408="",K1408=0),"—",IF(ISNUMBER(MATCH(H1408,'Zgłoszenia'!$S$5:$S$504,0)),RIGHT("0"&amp;DAY(A1408),2)&amp;"."&amp;RIGHT("0"&amp;MONTH(A1408),2)&amp;"."&amp;YEAR(A1408)&amp;": "&amp;INDEX('Zgłoszenia'!$H$5:$H$504,MATCH(H1408,'Zgłoszenia'!$S$5:$S$504,0)),RIGHT("0"&amp;DAY((A1408+1)),2)&amp;"."&amp;RIGHT("0"&amp;MONTH((A1408+1)),2)&amp;"."&amp;YEAR((A1408+1))&amp;": "&amp;INDEX('Zgłoszenia'!$H$5:$H$504,MATCH(F1408&amp;"|"&amp;(A1408+1),'Zgłoszenia'!$S$5:$S$504,0)))&amp;IF(K1408&gt;1," (+"&amp;(K1408-1)&amp;")",""))</f>
        <v/>
      </c>
      <c r="M1408" s="63" t="n">
        <v>18</v>
      </c>
      <c r="N1408" s="2" t="n"/>
      <c r="O1408" s="2" t="n"/>
    </row>
    <row r="1409">
      <c r="A1409" s="62">
        <f>IF('18'!$C$1="","",'18'!$C$1)</f>
        <v/>
      </c>
      <c r="B1409" s="63">
        <f>Ustawienia!$A$9&amp;""</f>
        <v/>
      </c>
      <c r="C1409" s="63">
        <f>Ustawienia!$A$14&amp;""</f>
        <v/>
      </c>
      <c r="D1409" s="63" t="n">
        <v>4</v>
      </c>
      <c r="E1409" s="63">
        <f>IF('18'!F9="","",TRIM('18'!F9&amp;""))</f>
        <v/>
      </c>
      <c r="F1409" s="63">
        <f>IF('18'!G9="","",'18'!G9)</f>
        <v/>
      </c>
      <c r="G1409" s="63">
        <f>'18'!H9&amp;""</f>
        <v/>
      </c>
      <c r="H1409" s="63">
        <f>IF(OR(A1409="",F1409=""),"",F1409&amp;"|"&amp;A1409)</f>
        <v/>
      </c>
      <c r="I1409" s="63">
        <f>IF(AND(H1409&lt;&gt;"",OR('Historia wózka'!$B$4="",F1409='Historia wózka'!$B$4),A1409&gt;='Historia wózka'!$B$5,A1409&lt;='Historia wózka'!$B$6),A1409+0.8+(5000-ROW())/10000000,0)</f>
        <v/>
      </c>
      <c r="J1409" s="63">
        <f>Ustawienia!$B$9&amp;""</f>
        <v/>
      </c>
      <c r="K1409" s="63">
        <f>IF(H1409="","",COUNTIFS('Zgłoszenia'!$B$5:$B$504,F1409,'Zgłoszenia'!$D$5:$D$504,"&gt;="&amp;A1409,'Zgłoszenia'!$D$5:$D$504,"&lt;="&amp;(A1409+1)))</f>
        <v/>
      </c>
      <c r="L1409" s="63">
        <f>IF(OR(H1409="",K1409=0),"—",IF(ISNUMBER(MATCH(H1409,'Zgłoszenia'!$S$5:$S$504,0)),RIGHT("0"&amp;DAY(A1409),2)&amp;"."&amp;RIGHT("0"&amp;MONTH(A1409),2)&amp;"."&amp;YEAR(A1409)&amp;": "&amp;INDEX('Zgłoszenia'!$H$5:$H$504,MATCH(H1409,'Zgłoszenia'!$S$5:$S$504,0)),RIGHT("0"&amp;DAY((A1409+1)),2)&amp;"."&amp;RIGHT("0"&amp;MONTH((A1409+1)),2)&amp;"."&amp;YEAR((A1409+1))&amp;": "&amp;INDEX('Zgłoszenia'!$H$5:$H$504,MATCH(F1409&amp;"|"&amp;(A1409+1),'Zgłoszenia'!$S$5:$S$504,0)))&amp;IF(K1409&gt;1," (+"&amp;(K1409-1)&amp;")",""))</f>
        <v/>
      </c>
      <c r="M1409" s="63" t="n">
        <v>18</v>
      </c>
      <c r="N1409" s="2" t="n"/>
      <c r="O1409" s="2" t="n"/>
    </row>
    <row r="1410">
      <c r="A1410" s="62">
        <f>IF('18'!$C$1="","",'18'!$C$1)</f>
        <v/>
      </c>
      <c r="B1410" s="63">
        <f>Ustawienia!$A$9&amp;""</f>
        <v/>
      </c>
      <c r="C1410" s="63">
        <f>Ustawienia!$A$14&amp;""</f>
        <v/>
      </c>
      <c r="D1410" s="63" t="n">
        <v>5</v>
      </c>
      <c r="E1410" s="63">
        <f>IF('18'!F10="","",TRIM('18'!F10&amp;""))</f>
        <v/>
      </c>
      <c r="F1410" s="63">
        <f>IF('18'!G10="","",'18'!G10)</f>
        <v/>
      </c>
      <c r="G1410" s="63">
        <f>'18'!H10&amp;""</f>
        <v/>
      </c>
      <c r="H1410" s="63">
        <f>IF(OR(A1410="",F1410=""),"",F1410&amp;"|"&amp;A1410)</f>
        <v/>
      </c>
      <c r="I1410" s="63">
        <f>IF(AND(H1410&lt;&gt;"",OR('Historia wózka'!$B$4="",F1410='Historia wózka'!$B$4),A1410&gt;='Historia wózka'!$B$5,A1410&lt;='Historia wózka'!$B$6),A1410+0.8+(5000-ROW())/10000000,0)</f>
        <v/>
      </c>
      <c r="J1410" s="63">
        <f>Ustawienia!$B$9&amp;""</f>
        <v/>
      </c>
      <c r="K1410" s="63">
        <f>IF(H1410="","",COUNTIFS('Zgłoszenia'!$B$5:$B$504,F1410,'Zgłoszenia'!$D$5:$D$504,"&gt;="&amp;A1410,'Zgłoszenia'!$D$5:$D$504,"&lt;="&amp;(A1410+1)))</f>
        <v/>
      </c>
      <c r="L1410" s="63">
        <f>IF(OR(H1410="",K1410=0),"—",IF(ISNUMBER(MATCH(H1410,'Zgłoszenia'!$S$5:$S$504,0)),RIGHT("0"&amp;DAY(A1410),2)&amp;"."&amp;RIGHT("0"&amp;MONTH(A1410),2)&amp;"."&amp;YEAR(A1410)&amp;": "&amp;INDEX('Zgłoszenia'!$H$5:$H$504,MATCH(H1410,'Zgłoszenia'!$S$5:$S$504,0)),RIGHT("0"&amp;DAY((A1410+1)),2)&amp;"."&amp;RIGHT("0"&amp;MONTH((A1410+1)),2)&amp;"."&amp;YEAR((A1410+1))&amp;": "&amp;INDEX('Zgłoszenia'!$H$5:$H$504,MATCH(F1410&amp;"|"&amp;(A1410+1),'Zgłoszenia'!$S$5:$S$504,0)))&amp;IF(K1410&gt;1," (+"&amp;(K1410-1)&amp;")",""))</f>
        <v/>
      </c>
      <c r="M1410" s="63" t="n">
        <v>18</v>
      </c>
      <c r="N1410" s="2" t="n"/>
      <c r="O1410" s="2" t="n"/>
    </row>
    <row r="1411">
      <c r="A1411" s="62">
        <f>IF('18'!$C$1="","",'18'!$C$1)</f>
        <v/>
      </c>
      <c r="B1411" s="63">
        <f>Ustawienia!$A$9&amp;""</f>
        <v/>
      </c>
      <c r="C1411" s="63">
        <f>Ustawienia!$A$14&amp;""</f>
        <v/>
      </c>
      <c r="D1411" s="63" t="n">
        <v>6</v>
      </c>
      <c r="E1411" s="63">
        <f>IF('18'!F11="","",TRIM('18'!F11&amp;""))</f>
        <v/>
      </c>
      <c r="F1411" s="63">
        <f>IF('18'!G11="","",'18'!G11)</f>
        <v/>
      </c>
      <c r="G1411" s="63">
        <f>'18'!H11&amp;""</f>
        <v/>
      </c>
      <c r="H1411" s="63">
        <f>IF(OR(A1411="",F1411=""),"",F1411&amp;"|"&amp;A1411)</f>
        <v/>
      </c>
      <c r="I1411" s="63">
        <f>IF(AND(H1411&lt;&gt;"",OR('Historia wózka'!$B$4="",F1411='Historia wózka'!$B$4),A1411&gt;='Historia wózka'!$B$5,A1411&lt;='Historia wózka'!$B$6),A1411+0.8+(5000-ROW())/10000000,0)</f>
        <v/>
      </c>
      <c r="J1411" s="63">
        <f>Ustawienia!$B$9&amp;""</f>
        <v/>
      </c>
      <c r="K1411" s="63">
        <f>IF(H1411="","",COUNTIFS('Zgłoszenia'!$B$5:$B$504,F1411,'Zgłoszenia'!$D$5:$D$504,"&gt;="&amp;A1411,'Zgłoszenia'!$D$5:$D$504,"&lt;="&amp;(A1411+1)))</f>
        <v/>
      </c>
      <c r="L1411" s="63">
        <f>IF(OR(H1411="",K1411=0),"—",IF(ISNUMBER(MATCH(H1411,'Zgłoszenia'!$S$5:$S$504,0)),RIGHT("0"&amp;DAY(A1411),2)&amp;"."&amp;RIGHT("0"&amp;MONTH(A1411),2)&amp;"."&amp;YEAR(A1411)&amp;": "&amp;INDEX('Zgłoszenia'!$H$5:$H$504,MATCH(H1411,'Zgłoszenia'!$S$5:$S$504,0)),RIGHT("0"&amp;DAY((A1411+1)),2)&amp;"."&amp;RIGHT("0"&amp;MONTH((A1411+1)),2)&amp;"."&amp;YEAR((A1411+1))&amp;": "&amp;INDEX('Zgłoszenia'!$H$5:$H$504,MATCH(F1411&amp;"|"&amp;(A1411+1),'Zgłoszenia'!$S$5:$S$504,0)))&amp;IF(K1411&gt;1," (+"&amp;(K1411-1)&amp;")",""))</f>
        <v/>
      </c>
      <c r="M1411" s="63" t="n">
        <v>18</v>
      </c>
      <c r="N1411" s="2" t="n"/>
      <c r="O1411" s="2" t="n"/>
    </row>
    <row r="1412">
      <c r="A1412" s="62">
        <f>IF('18'!$C$1="","",'18'!$C$1)</f>
        <v/>
      </c>
      <c r="B1412" s="63">
        <f>Ustawienia!$A$9&amp;""</f>
        <v/>
      </c>
      <c r="C1412" s="63">
        <f>Ustawienia!$A$15&amp;""</f>
        <v/>
      </c>
      <c r="D1412" s="63" t="n">
        <v>1</v>
      </c>
      <c r="E1412" s="63">
        <f>IF('18'!F13="","",TRIM('18'!F13&amp;""))</f>
        <v/>
      </c>
      <c r="F1412" s="63">
        <f>IF('18'!G13="","",'18'!G13)</f>
        <v/>
      </c>
      <c r="G1412" s="63">
        <f>'18'!H13&amp;""</f>
        <v/>
      </c>
      <c r="H1412" s="63">
        <f>IF(OR(A1412="",F1412=""),"",F1412&amp;"|"&amp;A1412)</f>
        <v/>
      </c>
      <c r="I1412" s="63">
        <f>IF(AND(H1412&lt;&gt;"",OR('Historia wózka'!$B$4="",F1412='Historia wózka'!$B$4),A1412&gt;='Historia wózka'!$B$5,A1412&lt;='Historia wózka'!$B$6),A1412+0.8+(5000-ROW())/10000000,0)</f>
        <v/>
      </c>
      <c r="J1412" s="63">
        <f>Ustawienia!$B$9&amp;""</f>
        <v/>
      </c>
      <c r="K1412" s="63">
        <f>IF(H1412="","",COUNTIFS('Zgłoszenia'!$B$5:$B$504,F1412,'Zgłoszenia'!$D$5:$D$504,"&gt;="&amp;A1412,'Zgłoszenia'!$D$5:$D$504,"&lt;="&amp;(A1412+1)))</f>
        <v/>
      </c>
      <c r="L1412" s="63">
        <f>IF(OR(H1412="",K1412=0),"—",IF(ISNUMBER(MATCH(H1412,'Zgłoszenia'!$S$5:$S$504,0)),RIGHT("0"&amp;DAY(A1412),2)&amp;"."&amp;RIGHT("0"&amp;MONTH(A1412),2)&amp;"."&amp;YEAR(A1412)&amp;": "&amp;INDEX('Zgłoszenia'!$H$5:$H$504,MATCH(H1412,'Zgłoszenia'!$S$5:$S$504,0)),RIGHT("0"&amp;DAY((A1412+1)),2)&amp;"."&amp;RIGHT("0"&amp;MONTH((A1412+1)),2)&amp;"."&amp;YEAR((A1412+1))&amp;": "&amp;INDEX('Zgłoszenia'!$H$5:$H$504,MATCH(F1412&amp;"|"&amp;(A1412+1),'Zgłoszenia'!$S$5:$S$504,0)))&amp;IF(K1412&gt;1," (+"&amp;(K1412-1)&amp;")",""))</f>
        <v/>
      </c>
      <c r="M1412" s="63" t="n">
        <v>18</v>
      </c>
      <c r="N1412" s="2" t="n"/>
      <c r="O1412" s="2" t="n"/>
    </row>
    <row r="1413">
      <c r="A1413" s="62">
        <f>IF('18'!$C$1="","",'18'!$C$1)</f>
        <v/>
      </c>
      <c r="B1413" s="63">
        <f>Ustawienia!$A$9&amp;""</f>
        <v/>
      </c>
      <c r="C1413" s="63">
        <f>Ustawienia!$A$15&amp;""</f>
        <v/>
      </c>
      <c r="D1413" s="63" t="n">
        <v>2</v>
      </c>
      <c r="E1413" s="63">
        <f>IF('18'!F14="","",TRIM('18'!F14&amp;""))</f>
        <v/>
      </c>
      <c r="F1413" s="63">
        <f>IF('18'!G14="","",'18'!G14)</f>
        <v/>
      </c>
      <c r="G1413" s="63">
        <f>'18'!H14&amp;""</f>
        <v/>
      </c>
      <c r="H1413" s="63">
        <f>IF(OR(A1413="",F1413=""),"",F1413&amp;"|"&amp;A1413)</f>
        <v/>
      </c>
      <c r="I1413" s="63">
        <f>IF(AND(H1413&lt;&gt;"",OR('Historia wózka'!$B$4="",F1413='Historia wózka'!$B$4),A1413&gt;='Historia wózka'!$B$5,A1413&lt;='Historia wózka'!$B$6),A1413+0.8+(5000-ROW())/10000000,0)</f>
        <v/>
      </c>
      <c r="J1413" s="63">
        <f>Ustawienia!$B$9&amp;""</f>
        <v/>
      </c>
      <c r="K1413" s="63">
        <f>IF(H1413="","",COUNTIFS('Zgłoszenia'!$B$5:$B$504,F1413,'Zgłoszenia'!$D$5:$D$504,"&gt;="&amp;A1413,'Zgłoszenia'!$D$5:$D$504,"&lt;="&amp;(A1413+1)))</f>
        <v/>
      </c>
      <c r="L1413" s="63">
        <f>IF(OR(H1413="",K1413=0),"—",IF(ISNUMBER(MATCH(H1413,'Zgłoszenia'!$S$5:$S$504,0)),RIGHT("0"&amp;DAY(A1413),2)&amp;"."&amp;RIGHT("0"&amp;MONTH(A1413),2)&amp;"."&amp;YEAR(A1413)&amp;": "&amp;INDEX('Zgłoszenia'!$H$5:$H$504,MATCH(H1413,'Zgłoszenia'!$S$5:$S$504,0)),RIGHT("0"&amp;DAY((A1413+1)),2)&amp;"."&amp;RIGHT("0"&amp;MONTH((A1413+1)),2)&amp;"."&amp;YEAR((A1413+1))&amp;": "&amp;INDEX('Zgłoszenia'!$H$5:$H$504,MATCH(F1413&amp;"|"&amp;(A1413+1),'Zgłoszenia'!$S$5:$S$504,0)))&amp;IF(K1413&gt;1," (+"&amp;(K1413-1)&amp;")",""))</f>
        <v/>
      </c>
      <c r="M1413" s="63" t="n">
        <v>18</v>
      </c>
      <c r="N1413" s="2" t="n"/>
      <c r="O1413" s="2" t="n"/>
    </row>
    <row r="1414">
      <c r="A1414" s="62">
        <f>IF('18'!$C$1="","",'18'!$C$1)</f>
        <v/>
      </c>
      <c r="B1414" s="63">
        <f>Ustawienia!$A$9&amp;""</f>
        <v/>
      </c>
      <c r="C1414" s="63">
        <f>Ustawienia!$A$15&amp;""</f>
        <v/>
      </c>
      <c r="D1414" s="63" t="n">
        <v>3</v>
      </c>
      <c r="E1414" s="63">
        <f>IF('18'!F15="","",TRIM('18'!F15&amp;""))</f>
        <v/>
      </c>
      <c r="F1414" s="63">
        <f>IF('18'!G15="","",'18'!G15)</f>
        <v/>
      </c>
      <c r="G1414" s="63">
        <f>'18'!H15&amp;""</f>
        <v/>
      </c>
      <c r="H1414" s="63">
        <f>IF(OR(A1414="",F1414=""),"",F1414&amp;"|"&amp;A1414)</f>
        <v/>
      </c>
      <c r="I1414" s="63">
        <f>IF(AND(H1414&lt;&gt;"",OR('Historia wózka'!$B$4="",F1414='Historia wózka'!$B$4),A1414&gt;='Historia wózka'!$B$5,A1414&lt;='Historia wózka'!$B$6),A1414+0.8+(5000-ROW())/10000000,0)</f>
        <v/>
      </c>
      <c r="J1414" s="63">
        <f>Ustawienia!$B$9&amp;""</f>
        <v/>
      </c>
      <c r="K1414" s="63">
        <f>IF(H1414="","",COUNTIFS('Zgłoszenia'!$B$5:$B$504,F1414,'Zgłoszenia'!$D$5:$D$504,"&gt;="&amp;A1414,'Zgłoszenia'!$D$5:$D$504,"&lt;="&amp;(A1414+1)))</f>
        <v/>
      </c>
      <c r="L1414" s="63">
        <f>IF(OR(H1414="",K1414=0),"—",IF(ISNUMBER(MATCH(H1414,'Zgłoszenia'!$S$5:$S$504,0)),RIGHT("0"&amp;DAY(A1414),2)&amp;"."&amp;RIGHT("0"&amp;MONTH(A1414),2)&amp;"."&amp;YEAR(A1414)&amp;": "&amp;INDEX('Zgłoszenia'!$H$5:$H$504,MATCH(H1414,'Zgłoszenia'!$S$5:$S$504,0)),RIGHT("0"&amp;DAY((A1414+1)),2)&amp;"."&amp;RIGHT("0"&amp;MONTH((A1414+1)),2)&amp;"."&amp;YEAR((A1414+1))&amp;": "&amp;INDEX('Zgłoszenia'!$H$5:$H$504,MATCH(F1414&amp;"|"&amp;(A1414+1),'Zgłoszenia'!$S$5:$S$504,0)))&amp;IF(K1414&gt;1," (+"&amp;(K1414-1)&amp;")",""))</f>
        <v/>
      </c>
      <c r="M1414" s="63" t="n">
        <v>18</v>
      </c>
      <c r="N1414" s="2" t="n"/>
      <c r="O1414" s="2" t="n"/>
    </row>
    <row r="1415">
      <c r="A1415" s="62">
        <f>IF('18'!$C$1="","",'18'!$C$1)</f>
        <v/>
      </c>
      <c r="B1415" s="63">
        <f>Ustawienia!$A$9&amp;""</f>
        <v/>
      </c>
      <c r="C1415" s="63">
        <f>Ustawienia!$A$15&amp;""</f>
        <v/>
      </c>
      <c r="D1415" s="63" t="n">
        <v>4</v>
      </c>
      <c r="E1415" s="63">
        <f>IF('18'!F16="","",TRIM('18'!F16&amp;""))</f>
        <v/>
      </c>
      <c r="F1415" s="63">
        <f>IF('18'!G16="","",'18'!G16)</f>
        <v/>
      </c>
      <c r="G1415" s="63">
        <f>'18'!H16&amp;""</f>
        <v/>
      </c>
      <c r="H1415" s="63">
        <f>IF(OR(A1415="",F1415=""),"",F1415&amp;"|"&amp;A1415)</f>
        <v/>
      </c>
      <c r="I1415" s="63">
        <f>IF(AND(H1415&lt;&gt;"",OR('Historia wózka'!$B$4="",F1415='Historia wózka'!$B$4),A1415&gt;='Historia wózka'!$B$5,A1415&lt;='Historia wózka'!$B$6),A1415+0.8+(5000-ROW())/10000000,0)</f>
        <v/>
      </c>
      <c r="J1415" s="63">
        <f>Ustawienia!$B$9&amp;""</f>
        <v/>
      </c>
      <c r="K1415" s="63">
        <f>IF(H1415="","",COUNTIFS('Zgłoszenia'!$B$5:$B$504,F1415,'Zgłoszenia'!$D$5:$D$504,"&gt;="&amp;A1415,'Zgłoszenia'!$D$5:$D$504,"&lt;="&amp;(A1415+1)))</f>
        <v/>
      </c>
      <c r="L1415" s="63">
        <f>IF(OR(H1415="",K1415=0),"—",IF(ISNUMBER(MATCH(H1415,'Zgłoszenia'!$S$5:$S$504,0)),RIGHT("0"&amp;DAY(A1415),2)&amp;"."&amp;RIGHT("0"&amp;MONTH(A1415),2)&amp;"."&amp;YEAR(A1415)&amp;": "&amp;INDEX('Zgłoszenia'!$H$5:$H$504,MATCH(H1415,'Zgłoszenia'!$S$5:$S$504,0)),RIGHT("0"&amp;DAY((A1415+1)),2)&amp;"."&amp;RIGHT("0"&amp;MONTH((A1415+1)),2)&amp;"."&amp;YEAR((A1415+1))&amp;": "&amp;INDEX('Zgłoszenia'!$H$5:$H$504,MATCH(F1415&amp;"|"&amp;(A1415+1),'Zgłoszenia'!$S$5:$S$504,0)))&amp;IF(K1415&gt;1," (+"&amp;(K1415-1)&amp;")",""))</f>
        <v/>
      </c>
      <c r="M1415" s="63" t="n">
        <v>18</v>
      </c>
      <c r="N1415" s="2" t="n"/>
      <c r="O1415" s="2" t="n"/>
    </row>
    <row r="1416">
      <c r="A1416" s="62">
        <f>IF('18'!$C$1="","",'18'!$C$1)</f>
        <v/>
      </c>
      <c r="B1416" s="63">
        <f>Ustawienia!$A$9&amp;""</f>
        <v/>
      </c>
      <c r="C1416" s="63">
        <f>Ustawienia!$A$15&amp;""</f>
        <v/>
      </c>
      <c r="D1416" s="63" t="n">
        <v>5</v>
      </c>
      <c r="E1416" s="63">
        <f>IF('18'!F17="","",TRIM('18'!F17&amp;""))</f>
        <v/>
      </c>
      <c r="F1416" s="63">
        <f>IF('18'!G17="","",'18'!G17)</f>
        <v/>
      </c>
      <c r="G1416" s="63">
        <f>'18'!H17&amp;""</f>
        <v/>
      </c>
      <c r="H1416" s="63">
        <f>IF(OR(A1416="",F1416=""),"",F1416&amp;"|"&amp;A1416)</f>
        <v/>
      </c>
      <c r="I1416" s="63">
        <f>IF(AND(H1416&lt;&gt;"",OR('Historia wózka'!$B$4="",F1416='Historia wózka'!$B$4),A1416&gt;='Historia wózka'!$B$5,A1416&lt;='Historia wózka'!$B$6),A1416+0.8+(5000-ROW())/10000000,0)</f>
        <v/>
      </c>
      <c r="J1416" s="63">
        <f>Ustawienia!$B$9&amp;""</f>
        <v/>
      </c>
      <c r="K1416" s="63">
        <f>IF(H1416="","",COUNTIFS('Zgłoszenia'!$B$5:$B$504,F1416,'Zgłoszenia'!$D$5:$D$504,"&gt;="&amp;A1416,'Zgłoszenia'!$D$5:$D$504,"&lt;="&amp;(A1416+1)))</f>
        <v/>
      </c>
      <c r="L1416" s="63">
        <f>IF(OR(H1416="",K1416=0),"—",IF(ISNUMBER(MATCH(H1416,'Zgłoszenia'!$S$5:$S$504,0)),RIGHT("0"&amp;DAY(A1416),2)&amp;"."&amp;RIGHT("0"&amp;MONTH(A1416),2)&amp;"."&amp;YEAR(A1416)&amp;": "&amp;INDEX('Zgłoszenia'!$H$5:$H$504,MATCH(H1416,'Zgłoszenia'!$S$5:$S$504,0)),RIGHT("0"&amp;DAY((A1416+1)),2)&amp;"."&amp;RIGHT("0"&amp;MONTH((A1416+1)),2)&amp;"."&amp;YEAR((A1416+1))&amp;": "&amp;INDEX('Zgłoszenia'!$H$5:$H$504,MATCH(F1416&amp;"|"&amp;(A1416+1),'Zgłoszenia'!$S$5:$S$504,0)))&amp;IF(K1416&gt;1," (+"&amp;(K1416-1)&amp;")",""))</f>
        <v/>
      </c>
      <c r="M1416" s="63" t="n">
        <v>18</v>
      </c>
      <c r="N1416" s="2" t="n"/>
      <c r="O1416" s="2" t="n"/>
    </row>
    <row r="1417">
      <c r="A1417" s="62">
        <f>IF('18'!$C$1="","",'18'!$C$1)</f>
        <v/>
      </c>
      <c r="B1417" s="63">
        <f>Ustawienia!$A$9&amp;""</f>
        <v/>
      </c>
      <c r="C1417" s="63">
        <f>Ustawienia!$A$15&amp;""</f>
        <v/>
      </c>
      <c r="D1417" s="63" t="n">
        <v>6</v>
      </c>
      <c r="E1417" s="63">
        <f>IF('18'!F18="","",TRIM('18'!F18&amp;""))</f>
        <v/>
      </c>
      <c r="F1417" s="63">
        <f>IF('18'!G18="","",'18'!G18)</f>
        <v/>
      </c>
      <c r="G1417" s="63">
        <f>'18'!H18&amp;""</f>
        <v/>
      </c>
      <c r="H1417" s="63">
        <f>IF(OR(A1417="",F1417=""),"",F1417&amp;"|"&amp;A1417)</f>
        <v/>
      </c>
      <c r="I1417" s="63">
        <f>IF(AND(H1417&lt;&gt;"",OR('Historia wózka'!$B$4="",F1417='Historia wózka'!$B$4),A1417&gt;='Historia wózka'!$B$5,A1417&lt;='Historia wózka'!$B$6),A1417+0.8+(5000-ROW())/10000000,0)</f>
        <v/>
      </c>
      <c r="J1417" s="63">
        <f>Ustawienia!$B$9&amp;""</f>
        <v/>
      </c>
      <c r="K1417" s="63">
        <f>IF(H1417="","",COUNTIFS('Zgłoszenia'!$B$5:$B$504,F1417,'Zgłoszenia'!$D$5:$D$504,"&gt;="&amp;A1417,'Zgłoszenia'!$D$5:$D$504,"&lt;="&amp;(A1417+1)))</f>
        <v/>
      </c>
      <c r="L1417" s="63">
        <f>IF(OR(H1417="",K1417=0),"—",IF(ISNUMBER(MATCH(H1417,'Zgłoszenia'!$S$5:$S$504,0)),RIGHT("0"&amp;DAY(A1417),2)&amp;"."&amp;RIGHT("0"&amp;MONTH(A1417),2)&amp;"."&amp;YEAR(A1417)&amp;": "&amp;INDEX('Zgłoszenia'!$H$5:$H$504,MATCH(H1417,'Zgłoszenia'!$S$5:$S$504,0)),RIGHT("0"&amp;DAY((A1417+1)),2)&amp;"."&amp;RIGHT("0"&amp;MONTH((A1417+1)),2)&amp;"."&amp;YEAR((A1417+1))&amp;": "&amp;INDEX('Zgłoszenia'!$H$5:$H$504,MATCH(F1417&amp;"|"&amp;(A1417+1),'Zgłoszenia'!$S$5:$S$504,0)))&amp;IF(K1417&gt;1," (+"&amp;(K1417-1)&amp;")",""))</f>
        <v/>
      </c>
      <c r="M1417" s="63" t="n">
        <v>18</v>
      </c>
      <c r="N1417" s="2" t="n"/>
      <c r="O1417" s="2" t="n"/>
    </row>
    <row r="1418">
      <c r="A1418" s="62">
        <f>IF('18'!$C$1="","",'18'!$C$1)</f>
        <v/>
      </c>
      <c r="B1418" s="63">
        <f>Ustawienia!$A$9&amp;""</f>
        <v/>
      </c>
      <c r="C1418" s="63">
        <f>Ustawienia!$A$15&amp;""</f>
        <v/>
      </c>
      <c r="D1418" s="63" t="n">
        <v>7</v>
      </c>
      <c r="E1418" s="63">
        <f>IF('18'!F19="","",TRIM('18'!F19&amp;""))</f>
        <v/>
      </c>
      <c r="F1418" s="63">
        <f>IF('18'!G19="","",'18'!G19)</f>
        <v/>
      </c>
      <c r="G1418" s="63">
        <f>'18'!H19&amp;""</f>
        <v/>
      </c>
      <c r="H1418" s="63">
        <f>IF(OR(A1418="",F1418=""),"",F1418&amp;"|"&amp;A1418)</f>
        <v/>
      </c>
      <c r="I1418" s="63">
        <f>IF(AND(H1418&lt;&gt;"",OR('Historia wózka'!$B$4="",F1418='Historia wózka'!$B$4),A1418&gt;='Historia wózka'!$B$5,A1418&lt;='Historia wózka'!$B$6),A1418+0.8+(5000-ROW())/10000000,0)</f>
        <v/>
      </c>
      <c r="J1418" s="63">
        <f>Ustawienia!$B$9&amp;""</f>
        <v/>
      </c>
      <c r="K1418" s="63">
        <f>IF(H1418="","",COUNTIFS('Zgłoszenia'!$B$5:$B$504,F1418,'Zgłoszenia'!$D$5:$D$504,"&gt;="&amp;A1418,'Zgłoszenia'!$D$5:$D$504,"&lt;="&amp;(A1418+1)))</f>
        <v/>
      </c>
      <c r="L1418" s="63">
        <f>IF(OR(H1418="",K1418=0),"—",IF(ISNUMBER(MATCH(H1418,'Zgłoszenia'!$S$5:$S$504,0)),RIGHT("0"&amp;DAY(A1418),2)&amp;"."&amp;RIGHT("0"&amp;MONTH(A1418),2)&amp;"."&amp;YEAR(A1418)&amp;": "&amp;INDEX('Zgłoszenia'!$H$5:$H$504,MATCH(H1418,'Zgłoszenia'!$S$5:$S$504,0)),RIGHT("0"&amp;DAY((A1418+1)),2)&amp;"."&amp;RIGHT("0"&amp;MONTH((A1418+1)),2)&amp;"."&amp;YEAR((A1418+1))&amp;": "&amp;INDEX('Zgłoszenia'!$H$5:$H$504,MATCH(F1418&amp;"|"&amp;(A1418+1),'Zgłoszenia'!$S$5:$S$504,0)))&amp;IF(K1418&gt;1," (+"&amp;(K1418-1)&amp;")",""))</f>
        <v/>
      </c>
      <c r="M1418" s="63" t="n">
        <v>18</v>
      </c>
      <c r="N1418" s="2" t="n"/>
      <c r="O1418" s="2" t="n"/>
    </row>
    <row r="1419">
      <c r="A1419" s="62">
        <f>IF('18'!$C$1="","",'18'!$C$1)</f>
        <v/>
      </c>
      <c r="B1419" s="63">
        <f>Ustawienia!$A$9&amp;""</f>
        <v/>
      </c>
      <c r="C1419" s="63">
        <f>Ustawienia!$A$15&amp;""</f>
        <v/>
      </c>
      <c r="D1419" s="63" t="n">
        <v>8</v>
      </c>
      <c r="E1419" s="63">
        <f>IF('18'!F20="","",TRIM('18'!F20&amp;""))</f>
        <v/>
      </c>
      <c r="F1419" s="63">
        <f>IF('18'!G20="","",'18'!G20)</f>
        <v/>
      </c>
      <c r="G1419" s="63">
        <f>'18'!H20&amp;""</f>
        <v/>
      </c>
      <c r="H1419" s="63">
        <f>IF(OR(A1419="",F1419=""),"",F1419&amp;"|"&amp;A1419)</f>
        <v/>
      </c>
      <c r="I1419" s="63">
        <f>IF(AND(H1419&lt;&gt;"",OR('Historia wózka'!$B$4="",F1419='Historia wózka'!$B$4),A1419&gt;='Historia wózka'!$B$5,A1419&lt;='Historia wózka'!$B$6),A1419+0.8+(5000-ROW())/10000000,0)</f>
        <v/>
      </c>
      <c r="J1419" s="63">
        <f>Ustawienia!$B$9&amp;""</f>
        <v/>
      </c>
      <c r="K1419" s="63">
        <f>IF(H1419="","",COUNTIFS('Zgłoszenia'!$B$5:$B$504,F1419,'Zgłoszenia'!$D$5:$D$504,"&gt;="&amp;A1419,'Zgłoszenia'!$D$5:$D$504,"&lt;="&amp;(A1419+1)))</f>
        <v/>
      </c>
      <c r="L1419" s="63">
        <f>IF(OR(H1419="",K1419=0),"—",IF(ISNUMBER(MATCH(H1419,'Zgłoszenia'!$S$5:$S$504,0)),RIGHT("0"&amp;DAY(A1419),2)&amp;"."&amp;RIGHT("0"&amp;MONTH(A1419),2)&amp;"."&amp;YEAR(A1419)&amp;": "&amp;INDEX('Zgłoszenia'!$H$5:$H$504,MATCH(H1419,'Zgłoszenia'!$S$5:$S$504,0)),RIGHT("0"&amp;DAY((A1419+1)),2)&amp;"."&amp;RIGHT("0"&amp;MONTH((A1419+1)),2)&amp;"."&amp;YEAR((A1419+1))&amp;": "&amp;INDEX('Zgłoszenia'!$H$5:$H$504,MATCH(F1419&amp;"|"&amp;(A1419+1),'Zgłoszenia'!$S$5:$S$504,0)))&amp;IF(K1419&gt;1," (+"&amp;(K1419-1)&amp;")",""))</f>
        <v/>
      </c>
      <c r="M1419" s="63" t="n">
        <v>18</v>
      </c>
      <c r="N1419" s="2" t="n"/>
      <c r="O1419" s="2" t="n"/>
    </row>
    <row r="1420">
      <c r="A1420" s="62">
        <f>IF('18'!$C$1="","",'18'!$C$1)</f>
        <v/>
      </c>
      <c r="B1420" s="63">
        <f>Ustawienia!$A$9&amp;""</f>
        <v/>
      </c>
      <c r="C1420" s="63">
        <f>Ustawienia!$A$16&amp;""</f>
        <v/>
      </c>
      <c r="D1420" s="63" t="n">
        <v>1</v>
      </c>
      <c r="E1420" s="63">
        <f>IF('18'!F22="","",TRIM('18'!F22&amp;""))</f>
        <v/>
      </c>
      <c r="F1420" s="63">
        <f>IF('18'!G22="","",'18'!G22)</f>
        <v/>
      </c>
      <c r="G1420" s="63">
        <f>'18'!H22&amp;""</f>
        <v/>
      </c>
      <c r="H1420" s="63">
        <f>IF(OR(A1420="",F1420=""),"",F1420&amp;"|"&amp;A1420)</f>
        <v/>
      </c>
      <c r="I1420" s="63">
        <f>IF(AND(H1420&lt;&gt;"",OR('Historia wózka'!$B$4="",F1420='Historia wózka'!$B$4),A1420&gt;='Historia wózka'!$B$5,A1420&lt;='Historia wózka'!$B$6),A1420+0.8+(5000-ROW())/10000000,0)</f>
        <v/>
      </c>
      <c r="J1420" s="63">
        <f>Ustawienia!$B$9&amp;""</f>
        <v/>
      </c>
      <c r="K1420" s="63">
        <f>IF(H1420="","",COUNTIFS('Zgłoszenia'!$B$5:$B$504,F1420,'Zgłoszenia'!$D$5:$D$504,"&gt;="&amp;A1420,'Zgłoszenia'!$D$5:$D$504,"&lt;="&amp;(A1420+1)))</f>
        <v/>
      </c>
      <c r="L1420" s="63">
        <f>IF(OR(H1420="",K1420=0),"—",IF(ISNUMBER(MATCH(H1420,'Zgłoszenia'!$S$5:$S$504,0)),RIGHT("0"&amp;DAY(A1420),2)&amp;"."&amp;RIGHT("0"&amp;MONTH(A1420),2)&amp;"."&amp;YEAR(A1420)&amp;": "&amp;INDEX('Zgłoszenia'!$H$5:$H$504,MATCH(H1420,'Zgłoszenia'!$S$5:$S$504,0)),RIGHT("0"&amp;DAY((A1420+1)),2)&amp;"."&amp;RIGHT("0"&amp;MONTH((A1420+1)),2)&amp;"."&amp;YEAR((A1420+1))&amp;": "&amp;INDEX('Zgłoszenia'!$H$5:$H$504,MATCH(F1420&amp;"|"&amp;(A1420+1),'Zgłoszenia'!$S$5:$S$504,0)))&amp;IF(K1420&gt;1," (+"&amp;(K1420-1)&amp;")",""))</f>
        <v/>
      </c>
      <c r="M1420" s="63" t="n">
        <v>18</v>
      </c>
      <c r="N1420" s="2" t="n"/>
      <c r="O1420" s="2" t="n"/>
    </row>
    <row r="1421">
      <c r="A1421" s="62">
        <f>IF('18'!$C$1="","",'18'!$C$1)</f>
        <v/>
      </c>
      <c r="B1421" s="63">
        <f>Ustawienia!$A$9&amp;""</f>
        <v/>
      </c>
      <c r="C1421" s="63">
        <f>Ustawienia!$A$16&amp;""</f>
        <v/>
      </c>
      <c r="D1421" s="63" t="n">
        <v>2</v>
      </c>
      <c r="E1421" s="63">
        <f>IF('18'!F23="","",TRIM('18'!F23&amp;""))</f>
        <v/>
      </c>
      <c r="F1421" s="63">
        <f>IF('18'!G23="","",'18'!G23)</f>
        <v/>
      </c>
      <c r="G1421" s="63">
        <f>'18'!H23&amp;""</f>
        <v/>
      </c>
      <c r="H1421" s="63">
        <f>IF(OR(A1421="",F1421=""),"",F1421&amp;"|"&amp;A1421)</f>
        <v/>
      </c>
      <c r="I1421" s="63">
        <f>IF(AND(H1421&lt;&gt;"",OR('Historia wózka'!$B$4="",F1421='Historia wózka'!$B$4),A1421&gt;='Historia wózka'!$B$5,A1421&lt;='Historia wózka'!$B$6),A1421+0.8+(5000-ROW())/10000000,0)</f>
        <v/>
      </c>
      <c r="J1421" s="63">
        <f>Ustawienia!$B$9&amp;""</f>
        <v/>
      </c>
      <c r="K1421" s="63">
        <f>IF(H1421="","",COUNTIFS('Zgłoszenia'!$B$5:$B$504,F1421,'Zgłoszenia'!$D$5:$D$504,"&gt;="&amp;A1421,'Zgłoszenia'!$D$5:$D$504,"&lt;="&amp;(A1421+1)))</f>
        <v/>
      </c>
      <c r="L1421" s="63">
        <f>IF(OR(H1421="",K1421=0),"—",IF(ISNUMBER(MATCH(H1421,'Zgłoszenia'!$S$5:$S$504,0)),RIGHT("0"&amp;DAY(A1421),2)&amp;"."&amp;RIGHT("0"&amp;MONTH(A1421),2)&amp;"."&amp;YEAR(A1421)&amp;": "&amp;INDEX('Zgłoszenia'!$H$5:$H$504,MATCH(H1421,'Zgłoszenia'!$S$5:$S$504,0)),RIGHT("0"&amp;DAY((A1421+1)),2)&amp;"."&amp;RIGHT("0"&amp;MONTH((A1421+1)),2)&amp;"."&amp;YEAR((A1421+1))&amp;": "&amp;INDEX('Zgłoszenia'!$H$5:$H$504,MATCH(F1421&amp;"|"&amp;(A1421+1),'Zgłoszenia'!$S$5:$S$504,0)))&amp;IF(K1421&gt;1," (+"&amp;(K1421-1)&amp;")",""))</f>
        <v/>
      </c>
      <c r="M1421" s="63" t="n">
        <v>18</v>
      </c>
      <c r="N1421" s="2" t="n"/>
      <c r="O1421" s="2" t="n"/>
    </row>
    <row r="1422">
      <c r="A1422" s="62">
        <f>IF('18'!$C$1="","",'18'!$C$1)</f>
        <v/>
      </c>
      <c r="B1422" s="63">
        <f>Ustawienia!$A$9&amp;""</f>
        <v/>
      </c>
      <c r="C1422" s="63">
        <f>Ustawienia!$A$16&amp;""</f>
        <v/>
      </c>
      <c r="D1422" s="63" t="n">
        <v>3</v>
      </c>
      <c r="E1422" s="63">
        <f>IF('18'!F24="","",TRIM('18'!F24&amp;""))</f>
        <v/>
      </c>
      <c r="F1422" s="63">
        <f>IF('18'!G24="","",'18'!G24)</f>
        <v/>
      </c>
      <c r="G1422" s="63">
        <f>'18'!H24&amp;""</f>
        <v/>
      </c>
      <c r="H1422" s="63">
        <f>IF(OR(A1422="",F1422=""),"",F1422&amp;"|"&amp;A1422)</f>
        <v/>
      </c>
      <c r="I1422" s="63">
        <f>IF(AND(H1422&lt;&gt;"",OR('Historia wózka'!$B$4="",F1422='Historia wózka'!$B$4),A1422&gt;='Historia wózka'!$B$5,A1422&lt;='Historia wózka'!$B$6),A1422+0.8+(5000-ROW())/10000000,0)</f>
        <v/>
      </c>
      <c r="J1422" s="63">
        <f>Ustawienia!$B$9&amp;""</f>
        <v/>
      </c>
      <c r="K1422" s="63">
        <f>IF(H1422="","",COUNTIFS('Zgłoszenia'!$B$5:$B$504,F1422,'Zgłoszenia'!$D$5:$D$504,"&gt;="&amp;A1422,'Zgłoszenia'!$D$5:$D$504,"&lt;="&amp;(A1422+1)))</f>
        <v/>
      </c>
      <c r="L1422" s="63">
        <f>IF(OR(H1422="",K1422=0),"—",IF(ISNUMBER(MATCH(H1422,'Zgłoszenia'!$S$5:$S$504,0)),RIGHT("0"&amp;DAY(A1422),2)&amp;"."&amp;RIGHT("0"&amp;MONTH(A1422),2)&amp;"."&amp;YEAR(A1422)&amp;": "&amp;INDEX('Zgłoszenia'!$H$5:$H$504,MATCH(H1422,'Zgłoszenia'!$S$5:$S$504,0)),RIGHT("0"&amp;DAY((A1422+1)),2)&amp;"."&amp;RIGHT("0"&amp;MONTH((A1422+1)),2)&amp;"."&amp;YEAR((A1422+1))&amp;": "&amp;INDEX('Zgłoszenia'!$H$5:$H$504,MATCH(F1422&amp;"|"&amp;(A1422+1),'Zgłoszenia'!$S$5:$S$504,0)))&amp;IF(K1422&gt;1," (+"&amp;(K1422-1)&amp;")",""))</f>
        <v/>
      </c>
      <c r="M1422" s="63" t="n">
        <v>18</v>
      </c>
      <c r="N1422" s="2" t="n"/>
      <c r="O1422" s="2" t="n"/>
    </row>
    <row r="1423">
      <c r="A1423" s="62">
        <f>IF('18'!$C$1="","",'18'!$C$1)</f>
        <v/>
      </c>
      <c r="B1423" s="63">
        <f>Ustawienia!$A$9&amp;""</f>
        <v/>
      </c>
      <c r="C1423" s="63">
        <f>Ustawienia!$A$16&amp;""</f>
        <v/>
      </c>
      <c r="D1423" s="63" t="n">
        <v>4</v>
      </c>
      <c r="E1423" s="63">
        <f>IF('18'!F25="","",TRIM('18'!F25&amp;""))</f>
        <v/>
      </c>
      <c r="F1423" s="63">
        <f>IF('18'!G25="","",'18'!G25)</f>
        <v/>
      </c>
      <c r="G1423" s="63">
        <f>'18'!H25&amp;""</f>
        <v/>
      </c>
      <c r="H1423" s="63">
        <f>IF(OR(A1423="",F1423=""),"",F1423&amp;"|"&amp;A1423)</f>
        <v/>
      </c>
      <c r="I1423" s="63">
        <f>IF(AND(H1423&lt;&gt;"",OR('Historia wózka'!$B$4="",F1423='Historia wózka'!$B$4),A1423&gt;='Historia wózka'!$B$5,A1423&lt;='Historia wózka'!$B$6),A1423+0.8+(5000-ROW())/10000000,0)</f>
        <v/>
      </c>
      <c r="J1423" s="63">
        <f>Ustawienia!$B$9&amp;""</f>
        <v/>
      </c>
      <c r="K1423" s="63">
        <f>IF(H1423="","",COUNTIFS('Zgłoszenia'!$B$5:$B$504,F1423,'Zgłoszenia'!$D$5:$D$504,"&gt;="&amp;A1423,'Zgłoszenia'!$D$5:$D$504,"&lt;="&amp;(A1423+1)))</f>
        <v/>
      </c>
      <c r="L1423" s="63">
        <f>IF(OR(H1423="",K1423=0),"—",IF(ISNUMBER(MATCH(H1423,'Zgłoszenia'!$S$5:$S$504,0)),RIGHT("0"&amp;DAY(A1423),2)&amp;"."&amp;RIGHT("0"&amp;MONTH(A1423),2)&amp;"."&amp;YEAR(A1423)&amp;": "&amp;INDEX('Zgłoszenia'!$H$5:$H$504,MATCH(H1423,'Zgłoszenia'!$S$5:$S$504,0)),RIGHT("0"&amp;DAY((A1423+1)),2)&amp;"."&amp;RIGHT("0"&amp;MONTH((A1423+1)),2)&amp;"."&amp;YEAR((A1423+1))&amp;": "&amp;INDEX('Zgłoszenia'!$H$5:$H$504,MATCH(F1423&amp;"|"&amp;(A1423+1),'Zgłoszenia'!$S$5:$S$504,0)))&amp;IF(K1423&gt;1," (+"&amp;(K1423-1)&amp;")",""))</f>
        <v/>
      </c>
      <c r="M1423" s="63" t="n">
        <v>18</v>
      </c>
      <c r="N1423" s="2" t="n"/>
      <c r="O1423" s="2" t="n"/>
    </row>
    <row r="1424">
      <c r="A1424" s="62">
        <f>IF('18'!$C$1="","",'18'!$C$1)</f>
        <v/>
      </c>
      <c r="B1424" s="63">
        <f>Ustawienia!$A$9&amp;""</f>
        <v/>
      </c>
      <c r="C1424" s="63">
        <f>Ustawienia!$A$17&amp;""</f>
        <v/>
      </c>
      <c r="D1424" s="63" t="n">
        <v>1</v>
      </c>
      <c r="E1424" s="63">
        <f>IF('18'!F27="","",TRIM('18'!F27&amp;""))</f>
        <v/>
      </c>
      <c r="F1424" s="63">
        <f>IF('18'!G27="","",'18'!G27)</f>
        <v/>
      </c>
      <c r="G1424" s="63">
        <f>'18'!H27&amp;""</f>
        <v/>
      </c>
      <c r="H1424" s="63">
        <f>IF(OR(A1424="",F1424=""),"",F1424&amp;"|"&amp;A1424)</f>
        <v/>
      </c>
      <c r="I1424" s="63">
        <f>IF(AND(H1424&lt;&gt;"",OR('Historia wózka'!$B$4="",F1424='Historia wózka'!$B$4),A1424&gt;='Historia wózka'!$B$5,A1424&lt;='Historia wózka'!$B$6),A1424+0.8+(5000-ROW())/10000000,0)</f>
        <v/>
      </c>
      <c r="J1424" s="63">
        <f>Ustawienia!$B$9&amp;""</f>
        <v/>
      </c>
      <c r="K1424" s="63">
        <f>IF(H1424="","",COUNTIFS('Zgłoszenia'!$B$5:$B$504,F1424,'Zgłoszenia'!$D$5:$D$504,"&gt;="&amp;A1424,'Zgłoszenia'!$D$5:$D$504,"&lt;="&amp;(A1424+1)))</f>
        <v/>
      </c>
      <c r="L1424" s="63">
        <f>IF(OR(H1424="",K1424=0),"—",IF(ISNUMBER(MATCH(H1424,'Zgłoszenia'!$S$5:$S$504,0)),RIGHT("0"&amp;DAY(A1424),2)&amp;"."&amp;RIGHT("0"&amp;MONTH(A1424),2)&amp;"."&amp;YEAR(A1424)&amp;": "&amp;INDEX('Zgłoszenia'!$H$5:$H$504,MATCH(H1424,'Zgłoszenia'!$S$5:$S$504,0)),RIGHT("0"&amp;DAY((A1424+1)),2)&amp;"."&amp;RIGHT("0"&amp;MONTH((A1424+1)),2)&amp;"."&amp;YEAR((A1424+1))&amp;": "&amp;INDEX('Zgłoszenia'!$H$5:$H$504,MATCH(F1424&amp;"|"&amp;(A1424+1),'Zgłoszenia'!$S$5:$S$504,0)))&amp;IF(K1424&gt;1," (+"&amp;(K1424-1)&amp;")",""))</f>
        <v/>
      </c>
      <c r="M1424" s="63" t="n">
        <v>18</v>
      </c>
      <c r="N1424" s="2" t="n"/>
      <c r="O1424" s="2" t="n"/>
    </row>
    <row r="1425">
      <c r="A1425" s="62">
        <f>IF('18'!$C$1="","",'18'!$C$1)</f>
        <v/>
      </c>
      <c r="B1425" s="63">
        <f>Ustawienia!$A$9&amp;""</f>
        <v/>
      </c>
      <c r="C1425" s="63">
        <f>Ustawienia!$A$17&amp;""</f>
        <v/>
      </c>
      <c r="D1425" s="63" t="n">
        <v>2</v>
      </c>
      <c r="E1425" s="63">
        <f>IF('18'!F28="","",TRIM('18'!F28&amp;""))</f>
        <v/>
      </c>
      <c r="F1425" s="63">
        <f>IF('18'!G28="","",'18'!G28)</f>
        <v/>
      </c>
      <c r="G1425" s="63">
        <f>'18'!H28&amp;""</f>
        <v/>
      </c>
      <c r="H1425" s="63">
        <f>IF(OR(A1425="",F1425=""),"",F1425&amp;"|"&amp;A1425)</f>
        <v/>
      </c>
      <c r="I1425" s="63">
        <f>IF(AND(H1425&lt;&gt;"",OR('Historia wózka'!$B$4="",F1425='Historia wózka'!$B$4),A1425&gt;='Historia wózka'!$B$5,A1425&lt;='Historia wózka'!$B$6),A1425+0.8+(5000-ROW())/10000000,0)</f>
        <v/>
      </c>
      <c r="J1425" s="63">
        <f>Ustawienia!$B$9&amp;""</f>
        <v/>
      </c>
      <c r="K1425" s="63">
        <f>IF(H1425="","",COUNTIFS('Zgłoszenia'!$B$5:$B$504,F1425,'Zgłoszenia'!$D$5:$D$504,"&gt;="&amp;A1425,'Zgłoszenia'!$D$5:$D$504,"&lt;="&amp;(A1425+1)))</f>
        <v/>
      </c>
      <c r="L1425" s="63">
        <f>IF(OR(H1425="",K1425=0),"—",IF(ISNUMBER(MATCH(H1425,'Zgłoszenia'!$S$5:$S$504,0)),RIGHT("0"&amp;DAY(A1425),2)&amp;"."&amp;RIGHT("0"&amp;MONTH(A1425),2)&amp;"."&amp;YEAR(A1425)&amp;": "&amp;INDEX('Zgłoszenia'!$H$5:$H$504,MATCH(H1425,'Zgłoszenia'!$S$5:$S$504,0)),RIGHT("0"&amp;DAY((A1425+1)),2)&amp;"."&amp;RIGHT("0"&amp;MONTH((A1425+1)),2)&amp;"."&amp;YEAR((A1425+1))&amp;": "&amp;INDEX('Zgłoszenia'!$H$5:$H$504,MATCH(F1425&amp;"|"&amp;(A1425+1),'Zgłoszenia'!$S$5:$S$504,0)))&amp;IF(K1425&gt;1," (+"&amp;(K1425-1)&amp;")",""))</f>
        <v/>
      </c>
      <c r="M1425" s="63" t="n">
        <v>18</v>
      </c>
      <c r="N1425" s="2" t="n"/>
      <c r="O1425" s="2" t="n"/>
    </row>
    <row r="1426">
      <c r="A1426" s="62">
        <f>IF('18'!$C$1="","",'18'!$C$1)</f>
        <v/>
      </c>
      <c r="B1426" s="63">
        <f>Ustawienia!$A$9&amp;""</f>
        <v/>
      </c>
      <c r="C1426" s="63">
        <f>Ustawienia!$A$17&amp;""</f>
        <v/>
      </c>
      <c r="D1426" s="63" t="n">
        <v>3</v>
      </c>
      <c r="E1426" s="63">
        <f>IF('18'!F29="","",TRIM('18'!F29&amp;""))</f>
        <v/>
      </c>
      <c r="F1426" s="63">
        <f>IF('18'!G29="","",'18'!G29)</f>
        <v/>
      </c>
      <c r="G1426" s="63">
        <f>'18'!H29&amp;""</f>
        <v/>
      </c>
      <c r="H1426" s="63">
        <f>IF(OR(A1426="",F1426=""),"",F1426&amp;"|"&amp;A1426)</f>
        <v/>
      </c>
      <c r="I1426" s="63">
        <f>IF(AND(H1426&lt;&gt;"",OR('Historia wózka'!$B$4="",F1426='Historia wózka'!$B$4),A1426&gt;='Historia wózka'!$B$5,A1426&lt;='Historia wózka'!$B$6),A1426+0.8+(5000-ROW())/10000000,0)</f>
        <v/>
      </c>
      <c r="J1426" s="63">
        <f>Ustawienia!$B$9&amp;""</f>
        <v/>
      </c>
      <c r="K1426" s="63">
        <f>IF(H1426="","",COUNTIFS('Zgłoszenia'!$B$5:$B$504,F1426,'Zgłoszenia'!$D$5:$D$504,"&gt;="&amp;A1426,'Zgłoszenia'!$D$5:$D$504,"&lt;="&amp;(A1426+1)))</f>
        <v/>
      </c>
      <c r="L1426" s="63">
        <f>IF(OR(H1426="",K1426=0),"—",IF(ISNUMBER(MATCH(H1426,'Zgłoszenia'!$S$5:$S$504,0)),RIGHT("0"&amp;DAY(A1426),2)&amp;"."&amp;RIGHT("0"&amp;MONTH(A1426),2)&amp;"."&amp;YEAR(A1426)&amp;": "&amp;INDEX('Zgłoszenia'!$H$5:$H$504,MATCH(H1426,'Zgłoszenia'!$S$5:$S$504,0)),RIGHT("0"&amp;DAY((A1426+1)),2)&amp;"."&amp;RIGHT("0"&amp;MONTH((A1426+1)),2)&amp;"."&amp;YEAR((A1426+1))&amp;": "&amp;INDEX('Zgłoszenia'!$H$5:$H$504,MATCH(F1426&amp;"|"&amp;(A1426+1),'Zgłoszenia'!$S$5:$S$504,0)))&amp;IF(K1426&gt;1," (+"&amp;(K1426-1)&amp;")",""))</f>
        <v/>
      </c>
      <c r="M1426" s="63" t="n">
        <v>18</v>
      </c>
      <c r="N1426" s="2" t="n"/>
      <c r="O1426" s="2" t="n"/>
    </row>
    <row r="1427">
      <c r="A1427" s="62">
        <f>IF('18'!$C$1="","",'18'!$C$1)</f>
        <v/>
      </c>
      <c r="B1427" s="63">
        <f>Ustawienia!$A$9&amp;""</f>
        <v/>
      </c>
      <c r="C1427" s="63">
        <f>Ustawienia!$A$17&amp;""</f>
        <v/>
      </c>
      <c r="D1427" s="63" t="n">
        <v>4</v>
      </c>
      <c r="E1427" s="63">
        <f>IF('18'!F30="","",TRIM('18'!F30&amp;""))</f>
        <v/>
      </c>
      <c r="F1427" s="63">
        <f>IF('18'!G30="","",'18'!G30)</f>
        <v/>
      </c>
      <c r="G1427" s="63">
        <f>'18'!H30&amp;""</f>
        <v/>
      </c>
      <c r="H1427" s="63">
        <f>IF(OR(A1427="",F1427=""),"",F1427&amp;"|"&amp;A1427)</f>
        <v/>
      </c>
      <c r="I1427" s="63">
        <f>IF(AND(H1427&lt;&gt;"",OR('Historia wózka'!$B$4="",F1427='Historia wózka'!$B$4),A1427&gt;='Historia wózka'!$B$5,A1427&lt;='Historia wózka'!$B$6),A1427+0.8+(5000-ROW())/10000000,0)</f>
        <v/>
      </c>
      <c r="J1427" s="63">
        <f>Ustawienia!$B$9&amp;""</f>
        <v/>
      </c>
      <c r="K1427" s="63">
        <f>IF(H1427="","",COUNTIFS('Zgłoszenia'!$B$5:$B$504,F1427,'Zgłoszenia'!$D$5:$D$504,"&gt;="&amp;A1427,'Zgłoszenia'!$D$5:$D$504,"&lt;="&amp;(A1427+1)))</f>
        <v/>
      </c>
      <c r="L1427" s="63">
        <f>IF(OR(H1427="",K1427=0),"—",IF(ISNUMBER(MATCH(H1427,'Zgłoszenia'!$S$5:$S$504,0)),RIGHT("0"&amp;DAY(A1427),2)&amp;"."&amp;RIGHT("0"&amp;MONTH(A1427),2)&amp;"."&amp;YEAR(A1427)&amp;": "&amp;INDEX('Zgłoszenia'!$H$5:$H$504,MATCH(H1427,'Zgłoszenia'!$S$5:$S$504,0)),RIGHT("0"&amp;DAY((A1427+1)),2)&amp;"."&amp;RIGHT("0"&amp;MONTH((A1427+1)),2)&amp;"."&amp;YEAR((A1427+1))&amp;": "&amp;INDEX('Zgłoszenia'!$H$5:$H$504,MATCH(F1427&amp;"|"&amp;(A1427+1),'Zgłoszenia'!$S$5:$S$504,0)))&amp;IF(K1427&gt;1," (+"&amp;(K1427-1)&amp;")",""))</f>
        <v/>
      </c>
      <c r="M1427" s="63" t="n">
        <v>18</v>
      </c>
      <c r="N1427" s="2" t="n"/>
      <c r="O1427" s="2" t="n"/>
    </row>
    <row r="1428">
      <c r="A1428" s="62">
        <f>IF('18'!$C$1="","",'18'!$C$1)</f>
        <v/>
      </c>
      <c r="B1428" s="63">
        <f>Ustawienia!$A$9&amp;""</f>
        <v/>
      </c>
      <c r="C1428" s="63">
        <f>Ustawienia!$A$18&amp;""</f>
        <v/>
      </c>
      <c r="D1428" s="63" t="n">
        <v>1</v>
      </c>
      <c r="E1428" s="63">
        <f>IF('18'!F32="","",TRIM('18'!F32&amp;""))</f>
        <v/>
      </c>
      <c r="F1428" s="63">
        <f>IF('18'!G32="","",'18'!G32)</f>
        <v/>
      </c>
      <c r="G1428" s="63">
        <f>'18'!H32&amp;""</f>
        <v/>
      </c>
      <c r="H1428" s="63">
        <f>IF(OR(A1428="",F1428=""),"",F1428&amp;"|"&amp;A1428)</f>
        <v/>
      </c>
      <c r="I1428" s="63">
        <f>IF(AND(H1428&lt;&gt;"",OR('Historia wózka'!$B$4="",F1428='Historia wózka'!$B$4),A1428&gt;='Historia wózka'!$B$5,A1428&lt;='Historia wózka'!$B$6),A1428+0.8+(5000-ROW())/10000000,0)</f>
        <v/>
      </c>
      <c r="J1428" s="63">
        <f>Ustawienia!$B$9&amp;""</f>
        <v/>
      </c>
      <c r="K1428" s="63">
        <f>IF(H1428="","",COUNTIFS('Zgłoszenia'!$B$5:$B$504,F1428,'Zgłoszenia'!$D$5:$D$504,"&gt;="&amp;A1428,'Zgłoszenia'!$D$5:$D$504,"&lt;="&amp;(A1428+1)))</f>
        <v/>
      </c>
      <c r="L1428" s="63">
        <f>IF(OR(H1428="",K1428=0),"—",IF(ISNUMBER(MATCH(H1428,'Zgłoszenia'!$S$5:$S$504,0)),RIGHT("0"&amp;DAY(A1428),2)&amp;"."&amp;RIGHT("0"&amp;MONTH(A1428),2)&amp;"."&amp;YEAR(A1428)&amp;": "&amp;INDEX('Zgłoszenia'!$H$5:$H$504,MATCH(H1428,'Zgłoszenia'!$S$5:$S$504,0)),RIGHT("0"&amp;DAY((A1428+1)),2)&amp;"."&amp;RIGHT("0"&amp;MONTH((A1428+1)),2)&amp;"."&amp;YEAR((A1428+1))&amp;": "&amp;INDEX('Zgłoszenia'!$H$5:$H$504,MATCH(F1428&amp;"|"&amp;(A1428+1),'Zgłoszenia'!$S$5:$S$504,0)))&amp;IF(K1428&gt;1," (+"&amp;(K1428-1)&amp;")",""))</f>
        <v/>
      </c>
      <c r="M1428" s="63" t="n">
        <v>18</v>
      </c>
      <c r="N1428" s="2" t="n"/>
      <c r="O1428" s="2" t="n"/>
    </row>
    <row r="1429">
      <c r="A1429" s="62">
        <f>IF('18'!$C$1="","",'18'!$C$1)</f>
        <v/>
      </c>
      <c r="B1429" s="63">
        <f>Ustawienia!$A$9&amp;""</f>
        <v/>
      </c>
      <c r="C1429" s="63">
        <f>Ustawienia!$A$18&amp;""</f>
        <v/>
      </c>
      <c r="D1429" s="63" t="n">
        <v>2</v>
      </c>
      <c r="E1429" s="63">
        <f>IF('18'!F33="","",TRIM('18'!F33&amp;""))</f>
        <v/>
      </c>
      <c r="F1429" s="63">
        <f>IF('18'!G33="","",'18'!G33)</f>
        <v/>
      </c>
      <c r="G1429" s="63">
        <f>'18'!H33&amp;""</f>
        <v/>
      </c>
      <c r="H1429" s="63">
        <f>IF(OR(A1429="",F1429=""),"",F1429&amp;"|"&amp;A1429)</f>
        <v/>
      </c>
      <c r="I1429" s="63">
        <f>IF(AND(H1429&lt;&gt;"",OR('Historia wózka'!$B$4="",F1429='Historia wózka'!$B$4),A1429&gt;='Historia wózka'!$B$5,A1429&lt;='Historia wózka'!$B$6),A1429+0.8+(5000-ROW())/10000000,0)</f>
        <v/>
      </c>
      <c r="J1429" s="63">
        <f>Ustawienia!$B$9&amp;""</f>
        <v/>
      </c>
      <c r="K1429" s="63">
        <f>IF(H1429="","",COUNTIFS('Zgłoszenia'!$B$5:$B$504,F1429,'Zgłoszenia'!$D$5:$D$504,"&gt;="&amp;A1429,'Zgłoszenia'!$D$5:$D$504,"&lt;="&amp;(A1429+1)))</f>
        <v/>
      </c>
      <c r="L1429" s="63">
        <f>IF(OR(H1429="",K1429=0),"—",IF(ISNUMBER(MATCH(H1429,'Zgłoszenia'!$S$5:$S$504,0)),RIGHT("0"&amp;DAY(A1429),2)&amp;"."&amp;RIGHT("0"&amp;MONTH(A1429),2)&amp;"."&amp;YEAR(A1429)&amp;": "&amp;INDEX('Zgłoszenia'!$H$5:$H$504,MATCH(H1429,'Zgłoszenia'!$S$5:$S$504,0)),RIGHT("0"&amp;DAY((A1429+1)),2)&amp;"."&amp;RIGHT("0"&amp;MONTH((A1429+1)),2)&amp;"."&amp;YEAR((A1429+1))&amp;": "&amp;INDEX('Zgłoszenia'!$H$5:$H$504,MATCH(F1429&amp;"|"&amp;(A1429+1),'Zgłoszenia'!$S$5:$S$504,0)))&amp;IF(K1429&gt;1," (+"&amp;(K1429-1)&amp;")",""))</f>
        <v/>
      </c>
      <c r="M1429" s="63" t="n">
        <v>18</v>
      </c>
      <c r="N1429" s="2" t="n"/>
      <c r="O1429" s="2" t="n"/>
    </row>
    <row r="1430">
      <c r="A1430" s="62">
        <f>IF('18'!$C$1="","",'18'!$C$1)</f>
        <v/>
      </c>
      <c r="B1430" s="63">
        <f>Ustawienia!$A$9&amp;""</f>
        <v/>
      </c>
      <c r="C1430" s="63">
        <f>Ustawienia!$A$18&amp;""</f>
        <v/>
      </c>
      <c r="D1430" s="63" t="n">
        <v>3</v>
      </c>
      <c r="E1430" s="63">
        <f>IF('18'!F34="","",TRIM('18'!F34&amp;""))</f>
        <v/>
      </c>
      <c r="F1430" s="63">
        <f>IF('18'!G34="","",'18'!G34)</f>
        <v/>
      </c>
      <c r="G1430" s="63">
        <f>'18'!H34&amp;""</f>
        <v/>
      </c>
      <c r="H1430" s="63">
        <f>IF(OR(A1430="",F1430=""),"",F1430&amp;"|"&amp;A1430)</f>
        <v/>
      </c>
      <c r="I1430" s="63">
        <f>IF(AND(H1430&lt;&gt;"",OR('Historia wózka'!$B$4="",F1430='Historia wózka'!$B$4),A1430&gt;='Historia wózka'!$B$5,A1430&lt;='Historia wózka'!$B$6),A1430+0.8+(5000-ROW())/10000000,0)</f>
        <v/>
      </c>
      <c r="J1430" s="63">
        <f>Ustawienia!$B$9&amp;""</f>
        <v/>
      </c>
      <c r="K1430" s="63">
        <f>IF(H1430="","",COUNTIFS('Zgłoszenia'!$B$5:$B$504,F1430,'Zgłoszenia'!$D$5:$D$504,"&gt;="&amp;A1430,'Zgłoszenia'!$D$5:$D$504,"&lt;="&amp;(A1430+1)))</f>
        <v/>
      </c>
      <c r="L1430" s="63">
        <f>IF(OR(H1430="",K1430=0),"—",IF(ISNUMBER(MATCH(H1430,'Zgłoszenia'!$S$5:$S$504,0)),RIGHT("0"&amp;DAY(A1430),2)&amp;"."&amp;RIGHT("0"&amp;MONTH(A1430),2)&amp;"."&amp;YEAR(A1430)&amp;": "&amp;INDEX('Zgłoszenia'!$H$5:$H$504,MATCH(H1430,'Zgłoszenia'!$S$5:$S$504,0)),RIGHT("0"&amp;DAY((A1430+1)),2)&amp;"."&amp;RIGHT("0"&amp;MONTH((A1430+1)),2)&amp;"."&amp;YEAR((A1430+1))&amp;": "&amp;INDEX('Zgłoszenia'!$H$5:$H$504,MATCH(F1430&amp;"|"&amp;(A1430+1),'Zgłoszenia'!$S$5:$S$504,0)))&amp;IF(K1430&gt;1," (+"&amp;(K1430-1)&amp;")",""))</f>
        <v/>
      </c>
      <c r="M1430" s="63" t="n">
        <v>18</v>
      </c>
      <c r="N1430" s="2" t="n"/>
      <c r="O1430" s="2" t="n"/>
    </row>
    <row r="1431">
      <c r="A1431" s="62">
        <f>IF('18'!$C$1="","",'18'!$C$1)</f>
        <v/>
      </c>
      <c r="B1431" s="63">
        <f>Ustawienia!$A$9&amp;""</f>
        <v/>
      </c>
      <c r="C1431" s="63">
        <f>Ustawienia!$A$18&amp;""</f>
        <v/>
      </c>
      <c r="D1431" s="63" t="n">
        <v>4</v>
      </c>
      <c r="E1431" s="63">
        <f>IF('18'!F35="","",TRIM('18'!F35&amp;""))</f>
        <v/>
      </c>
      <c r="F1431" s="63">
        <f>IF('18'!G35="","",'18'!G35)</f>
        <v/>
      </c>
      <c r="G1431" s="63">
        <f>'18'!H35&amp;""</f>
        <v/>
      </c>
      <c r="H1431" s="63">
        <f>IF(OR(A1431="",F1431=""),"",F1431&amp;"|"&amp;A1431)</f>
        <v/>
      </c>
      <c r="I1431" s="63">
        <f>IF(AND(H1431&lt;&gt;"",OR('Historia wózka'!$B$4="",F1431='Historia wózka'!$B$4),A1431&gt;='Historia wózka'!$B$5,A1431&lt;='Historia wózka'!$B$6),A1431+0.8+(5000-ROW())/10000000,0)</f>
        <v/>
      </c>
      <c r="J1431" s="63">
        <f>Ustawienia!$B$9&amp;""</f>
        <v/>
      </c>
      <c r="K1431" s="63">
        <f>IF(H1431="","",COUNTIFS('Zgłoszenia'!$B$5:$B$504,F1431,'Zgłoszenia'!$D$5:$D$504,"&gt;="&amp;A1431,'Zgłoszenia'!$D$5:$D$504,"&lt;="&amp;(A1431+1)))</f>
        <v/>
      </c>
      <c r="L1431" s="63">
        <f>IF(OR(H1431="",K1431=0),"—",IF(ISNUMBER(MATCH(H1431,'Zgłoszenia'!$S$5:$S$504,0)),RIGHT("0"&amp;DAY(A1431),2)&amp;"."&amp;RIGHT("0"&amp;MONTH(A1431),2)&amp;"."&amp;YEAR(A1431)&amp;": "&amp;INDEX('Zgłoszenia'!$H$5:$H$504,MATCH(H1431,'Zgłoszenia'!$S$5:$S$504,0)),RIGHT("0"&amp;DAY((A1431+1)),2)&amp;"."&amp;RIGHT("0"&amp;MONTH((A1431+1)),2)&amp;"."&amp;YEAR((A1431+1))&amp;": "&amp;INDEX('Zgłoszenia'!$H$5:$H$504,MATCH(F1431&amp;"|"&amp;(A1431+1),'Zgłoszenia'!$S$5:$S$504,0)))&amp;IF(K1431&gt;1," (+"&amp;(K1431-1)&amp;")",""))</f>
        <v/>
      </c>
      <c r="M1431" s="63" t="n">
        <v>18</v>
      </c>
      <c r="N1431" s="2" t="n"/>
      <c r="O1431" s="2" t="n"/>
    </row>
    <row r="1432">
      <c r="A1432" s="62">
        <f>IF('18'!$C$1="","",'18'!$C$1)</f>
        <v/>
      </c>
      <c r="B1432" s="63">
        <f>Ustawienia!$A$9&amp;""</f>
        <v/>
      </c>
      <c r="C1432" s="63">
        <f>Ustawienia!$A$18&amp;""</f>
        <v/>
      </c>
      <c r="D1432" s="63" t="n">
        <v>5</v>
      </c>
      <c r="E1432" s="63">
        <f>IF('18'!F36="","",TRIM('18'!F36&amp;""))</f>
        <v/>
      </c>
      <c r="F1432" s="63">
        <f>IF('18'!G36="","",'18'!G36)</f>
        <v/>
      </c>
      <c r="G1432" s="63">
        <f>'18'!H36&amp;""</f>
        <v/>
      </c>
      <c r="H1432" s="63">
        <f>IF(OR(A1432="",F1432=""),"",F1432&amp;"|"&amp;A1432)</f>
        <v/>
      </c>
      <c r="I1432" s="63">
        <f>IF(AND(H1432&lt;&gt;"",OR('Historia wózka'!$B$4="",F1432='Historia wózka'!$B$4),A1432&gt;='Historia wózka'!$B$5,A1432&lt;='Historia wózka'!$B$6),A1432+0.8+(5000-ROW())/10000000,0)</f>
        <v/>
      </c>
      <c r="J1432" s="63">
        <f>Ustawienia!$B$9&amp;""</f>
        <v/>
      </c>
      <c r="K1432" s="63">
        <f>IF(H1432="","",COUNTIFS('Zgłoszenia'!$B$5:$B$504,F1432,'Zgłoszenia'!$D$5:$D$504,"&gt;="&amp;A1432,'Zgłoszenia'!$D$5:$D$504,"&lt;="&amp;(A1432+1)))</f>
        <v/>
      </c>
      <c r="L1432" s="63">
        <f>IF(OR(H1432="",K1432=0),"—",IF(ISNUMBER(MATCH(H1432,'Zgłoszenia'!$S$5:$S$504,0)),RIGHT("0"&amp;DAY(A1432),2)&amp;"."&amp;RIGHT("0"&amp;MONTH(A1432),2)&amp;"."&amp;YEAR(A1432)&amp;": "&amp;INDEX('Zgłoszenia'!$H$5:$H$504,MATCH(H1432,'Zgłoszenia'!$S$5:$S$504,0)),RIGHT("0"&amp;DAY((A1432+1)),2)&amp;"."&amp;RIGHT("0"&amp;MONTH((A1432+1)),2)&amp;"."&amp;YEAR((A1432+1))&amp;": "&amp;INDEX('Zgłoszenia'!$H$5:$H$504,MATCH(F1432&amp;"|"&amp;(A1432+1),'Zgłoszenia'!$S$5:$S$504,0)))&amp;IF(K1432&gt;1," (+"&amp;(K1432-1)&amp;")",""))</f>
        <v/>
      </c>
      <c r="M1432" s="63" t="n">
        <v>18</v>
      </c>
      <c r="N1432" s="2" t="n"/>
      <c r="O1432" s="2" t="n"/>
    </row>
    <row r="1433">
      <c r="A1433" s="62">
        <f>IF('18'!$C$1="","",'18'!$C$1)</f>
        <v/>
      </c>
      <c r="B1433" s="63">
        <f>Ustawienia!$A$10&amp;""</f>
        <v/>
      </c>
      <c r="C1433" s="63">
        <f>Ustawienia!$A$14&amp;""</f>
        <v/>
      </c>
      <c r="D1433" s="63" t="n">
        <v>1</v>
      </c>
      <c r="E1433" s="63">
        <f>IF('18'!J6="","",TRIM('18'!J6&amp;""))</f>
        <v/>
      </c>
      <c r="F1433" s="63">
        <f>IF('18'!K6="","",'18'!K6)</f>
        <v/>
      </c>
      <c r="G1433" s="63">
        <f>'18'!L6&amp;""</f>
        <v/>
      </c>
      <c r="H1433" s="63">
        <f>IF(OR(A1433="",F1433=""),"",F1433&amp;"|"&amp;A1433)</f>
        <v/>
      </c>
      <c r="I1433" s="63">
        <f>IF(AND(H1433&lt;&gt;"",OR('Historia wózka'!$B$4="",F1433='Historia wózka'!$B$4),A1433&gt;='Historia wózka'!$B$5,A1433&lt;='Historia wózka'!$B$6),A1433+0.7+(5000-ROW())/10000000,0)</f>
        <v/>
      </c>
      <c r="J1433" s="63">
        <f>Ustawienia!$B$10&amp;""</f>
        <v/>
      </c>
      <c r="K1433" s="63">
        <f>IF(H1433="","",COUNTIFS('Zgłoszenia'!$B$5:$B$504,F1433,'Zgłoszenia'!$D$5:$D$504,"&gt;="&amp;A1433,'Zgłoszenia'!$D$5:$D$504,"&lt;="&amp;(A1433+1)))</f>
        <v/>
      </c>
      <c r="L1433" s="63">
        <f>IF(OR(H1433="",K1433=0),"—",IF(ISNUMBER(MATCH(H1433,'Zgłoszenia'!$S$5:$S$504,0)),RIGHT("0"&amp;DAY(A1433),2)&amp;"."&amp;RIGHT("0"&amp;MONTH(A1433),2)&amp;"."&amp;YEAR(A1433)&amp;": "&amp;INDEX('Zgłoszenia'!$H$5:$H$504,MATCH(H1433,'Zgłoszenia'!$S$5:$S$504,0)),RIGHT("0"&amp;DAY((A1433+1)),2)&amp;"."&amp;RIGHT("0"&amp;MONTH((A1433+1)),2)&amp;"."&amp;YEAR((A1433+1))&amp;": "&amp;INDEX('Zgłoszenia'!$H$5:$H$504,MATCH(F1433&amp;"|"&amp;(A1433+1),'Zgłoszenia'!$S$5:$S$504,0)))&amp;IF(K1433&gt;1," (+"&amp;(K1433-1)&amp;")",""))</f>
        <v/>
      </c>
      <c r="M1433" s="63" t="n">
        <v>18</v>
      </c>
      <c r="N1433" s="2" t="n"/>
      <c r="O1433" s="2" t="n"/>
    </row>
    <row r="1434">
      <c r="A1434" s="62">
        <f>IF('18'!$C$1="","",'18'!$C$1)</f>
        <v/>
      </c>
      <c r="B1434" s="63">
        <f>Ustawienia!$A$10&amp;""</f>
        <v/>
      </c>
      <c r="C1434" s="63">
        <f>Ustawienia!$A$14&amp;""</f>
        <v/>
      </c>
      <c r="D1434" s="63" t="n">
        <v>2</v>
      </c>
      <c r="E1434" s="63">
        <f>IF('18'!J7="","",TRIM('18'!J7&amp;""))</f>
        <v/>
      </c>
      <c r="F1434" s="63">
        <f>IF('18'!K7="","",'18'!K7)</f>
        <v/>
      </c>
      <c r="G1434" s="63">
        <f>'18'!L7&amp;""</f>
        <v/>
      </c>
      <c r="H1434" s="63">
        <f>IF(OR(A1434="",F1434=""),"",F1434&amp;"|"&amp;A1434)</f>
        <v/>
      </c>
      <c r="I1434" s="63">
        <f>IF(AND(H1434&lt;&gt;"",OR('Historia wózka'!$B$4="",F1434='Historia wózka'!$B$4),A1434&gt;='Historia wózka'!$B$5,A1434&lt;='Historia wózka'!$B$6),A1434+0.7+(5000-ROW())/10000000,0)</f>
        <v/>
      </c>
      <c r="J1434" s="63">
        <f>Ustawienia!$B$10&amp;""</f>
        <v/>
      </c>
      <c r="K1434" s="63">
        <f>IF(H1434="","",COUNTIFS('Zgłoszenia'!$B$5:$B$504,F1434,'Zgłoszenia'!$D$5:$D$504,"&gt;="&amp;A1434,'Zgłoszenia'!$D$5:$D$504,"&lt;="&amp;(A1434+1)))</f>
        <v/>
      </c>
      <c r="L1434" s="63">
        <f>IF(OR(H1434="",K1434=0),"—",IF(ISNUMBER(MATCH(H1434,'Zgłoszenia'!$S$5:$S$504,0)),RIGHT("0"&amp;DAY(A1434),2)&amp;"."&amp;RIGHT("0"&amp;MONTH(A1434),2)&amp;"."&amp;YEAR(A1434)&amp;": "&amp;INDEX('Zgłoszenia'!$H$5:$H$504,MATCH(H1434,'Zgłoszenia'!$S$5:$S$504,0)),RIGHT("0"&amp;DAY((A1434+1)),2)&amp;"."&amp;RIGHT("0"&amp;MONTH((A1434+1)),2)&amp;"."&amp;YEAR((A1434+1))&amp;": "&amp;INDEX('Zgłoszenia'!$H$5:$H$504,MATCH(F1434&amp;"|"&amp;(A1434+1),'Zgłoszenia'!$S$5:$S$504,0)))&amp;IF(K1434&gt;1," (+"&amp;(K1434-1)&amp;")",""))</f>
        <v/>
      </c>
      <c r="M1434" s="63" t="n">
        <v>18</v>
      </c>
      <c r="N1434" s="2" t="n"/>
      <c r="O1434" s="2" t="n"/>
    </row>
    <row r="1435">
      <c r="A1435" s="62">
        <f>IF('18'!$C$1="","",'18'!$C$1)</f>
        <v/>
      </c>
      <c r="B1435" s="63">
        <f>Ustawienia!$A$10&amp;""</f>
        <v/>
      </c>
      <c r="C1435" s="63">
        <f>Ustawienia!$A$14&amp;""</f>
        <v/>
      </c>
      <c r="D1435" s="63" t="n">
        <v>3</v>
      </c>
      <c r="E1435" s="63">
        <f>IF('18'!J8="","",TRIM('18'!J8&amp;""))</f>
        <v/>
      </c>
      <c r="F1435" s="63">
        <f>IF('18'!K8="","",'18'!K8)</f>
        <v/>
      </c>
      <c r="G1435" s="63">
        <f>'18'!L8&amp;""</f>
        <v/>
      </c>
      <c r="H1435" s="63">
        <f>IF(OR(A1435="",F1435=""),"",F1435&amp;"|"&amp;A1435)</f>
        <v/>
      </c>
      <c r="I1435" s="63">
        <f>IF(AND(H1435&lt;&gt;"",OR('Historia wózka'!$B$4="",F1435='Historia wózka'!$B$4),A1435&gt;='Historia wózka'!$B$5,A1435&lt;='Historia wózka'!$B$6),A1435+0.7+(5000-ROW())/10000000,0)</f>
        <v/>
      </c>
      <c r="J1435" s="63">
        <f>Ustawienia!$B$10&amp;""</f>
        <v/>
      </c>
      <c r="K1435" s="63">
        <f>IF(H1435="","",COUNTIFS('Zgłoszenia'!$B$5:$B$504,F1435,'Zgłoszenia'!$D$5:$D$504,"&gt;="&amp;A1435,'Zgłoszenia'!$D$5:$D$504,"&lt;="&amp;(A1435+1)))</f>
        <v/>
      </c>
      <c r="L1435" s="63">
        <f>IF(OR(H1435="",K1435=0),"—",IF(ISNUMBER(MATCH(H1435,'Zgłoszenia'!$S$5:$S$504,0)),RIGHT("0"&amp;DAY(A1435),2)&amp;"."&amp;RIGHT("0"&amp;MONTH(A1435),2)&amp;"."&amp;YEAR(A1435)&amp;": "&amp;INDEX('Zgłoszenia'!$H$5:$H$504,MATCH(H1435,'Zgłoszenia'!$S$5:$S$504,0)),RIGHT("0"&amp;DAY((A1435+1)),2)&amp;"."&amp;RIGHT("0"&amp;MONTH((A1435+1)),2)&amp;"."&amp;YEAR((A1435+1))&amp;": "&amp;INDEX('Zgłoszenia'!$H$5:$H$504,MATCH(F1435&amp;"|"&amp;(A1435+1),'Zgłoszenia'!$S$5:$S$504,0)))&amp;IF(K1435&gt;1," (+"&amp;(K1435-1)&amp;")",""))</f>
        <v/>
      </c>
      <c r="M1435" s="63" t="n">
        <v>18</v>
      </c>
      <c r="N1435" s="2" t="n"/>
      <c r="O1435" s="2" t="n"/>
    </row>
    <row r="1436">
      <c r="A1436" s="62">
        <f>IF('18'!$C$1="","",'18'!$C$1)</f>
        <v/>
      </c>
      <c r="B1436" s="63">
        <f>Ustawienia!$A$10&amp;""</f>
        <v/>
      </c>
      <c r="C1436" s="63">
        <f>Ustawienia!$A$14&amp;""</f>
        <v/>
      </c>
      <c r="D1436" s="63" t="n">
        <v>4</v>
      </c>
      <c r="E1436" s="63">
        <f>IF('18'!J9="","",TRIM('18'!J9&amp;""))</f>
        <v/>
      </c>
      <c r="F1436" s="63">
        <f>IF('18'!K9="","",'18'!K9)</f>
        <v/>
      </c>
      <c r="G1436" s="63">
        <f>'18'!L9&amp;""</f>
        <v/>
      </c>
      <c r="H1436" s="63">
        <f>IF(OR(A1436="",F1436=""),"",F1436&amp;"|"&amp;A1436)</f>
        <v/>
      </c>
      <c r="I1436" s="63">
        <f>IF(AND(H1436&lt;&gt;"",OR('Historia wózka'!$B$4="",F1436='Historia wózka'!$B$4),A1436&gt;='Historia wózka'!$B$5,A1436&lt;='Historia wózka'!$B$6),A1436+0.7+(5000-ROW())/10000000,0)</f>
        <v/>
      </c>
      <c r="J1436" s="63">
        <f>Ustawienia!$B$10&amp;""</f>
        <v/>
      </c>
      <c r="K1436" s="63">
        <f>IF(H1436="","",COUNTIFS('Zgłoszenia'!$B$5:$B$504,F1436,'Zgłoszenia'!$D$5:$D$504,"&gt;="&amp;A1436,'Zgłoszenia'!$D$5:$D$504,"&lt;="&amp;(A1436+1)))</f>
        <v/>
      </c>
      <c r="L1436" s="63">
        <f>IF(OR(H1436="",K1436=0),"—",IF(ISNUMBER(MATCH(H1436,'Zgłoszenia'!$S$5:$S$504,0)),RIGHT("0"&amp;DAY(A1436),2)&amp;"."&amp;RIGHT("0"&amp;MONTH(A1436),2)&amp;"."&amp;YEAR(A1436)&amp;": "&amp;INDEX('Zgłoszenia'!$H$5:$H$504,MATCH(H1436,'Zgłoszenia'!$S$5:$S$504,0)),RIGHT("0"&amp;DAY((A1436+1)),2)&amp;"."&amp;RIGHT("0"&amp;MONTH((A1436+1)),2)&amp;"."&amp;YEAR((A1436+1))&amp;": "&amp;INDEX('Zgłoszenia'!$H$5:$H$504,MATCH(F1436&amp;"|"&amp;(A1436+1),'Zgłoszenia'!$S$5:$S$504,0)))&amp;IF(K1436&gt;1," (+"&amp;(K1436-1)&amp;")",""))</f>
        <v/>
      </c>
      <c r="M1436" s="63" t="n">
        <v>18</v>
      </c>
      <c r="N1436" s="2" t="n"/>
      <c r="O1436" s="2" t="n"/>
    </row>
    <row r="1437">
      <c r="A1437" s="62">
        <f>IF('18'!$C$1="","",'18'!$C$1)</f>
        <v/>
      </c>
      <c r="B1437" s="63">
        <f>Ustawienia!$A$10&amp;""</f>
        <v/>
      </c>
      <c r="C1437" s="63">
        <f>Ustawienia!$A$14&amp;""</f>
        <v/>
      </c>
      <c r="D1437" s="63" t="n">
        <v>5</v>
      </c>
      <c r="E1437" s="63">
        <f>IF('18'!J10="","",TRIM('18'!J10&amp;""))</f>
        <v/>
      </c>
      <c r="F1437" s="63">
        <f>IF('18'!K10="","",'18'!K10)</f>
        <v/>
      </c>
      <c r="G1437" s="63">
        <f>'18'!L10&amp;""</f>
        <v/>
      </c>
      <c r="H1437" s="63">
        <f>IF(OR(A1437="",F1437=""),"",F1437&amp;"|"&amp;A1437)</f>
        <v/>
      </c>
      <c r="I1437" s="63">
        <f>IF(AND(H1437&lt;&gt;"",OR('Historia wózka'!$B$4="",F1437='Historia wózka'!$B$4),A1437&gt;='Historia wózka'!$B$5,A1437&lt;='Historia wózka'!$B$6),A1437+0.7+(5000-ROW())/10000000,0)</f>
        <v/>
      </c>
      <c r="J1437" s="63">
        <f>Ustawienia!$B$10&amp;""</f>
        <v/>
      </c>
      <c r="K1437" s="63">
        <f>IF(H1437="","",COUNTIFS('Zgłoszenia'!$B$5:$B$504,F1437,'Zgłoszenia'!$D$5:$D$504,"&gt;="&amp;A1437,'Zgłoszenia'!$D$5:$D$504,"&lt;="&amp;(A1437+1)))</f>
        <v/>
      </c>
      <c r="L1437" s="63">
        <f>IF(OR(H1437="",K1437=0),"—",IF(ISNUMBER(MATCH(H1437,'Zgłoszenia'!$S$5:$S$504,0)),RIGHT("0"&amp;DAY(A1437),2)&amp;"."&amp;RIGHT("0"&amp;MONTH(A1437),2)&amp;"."&amp;YEAR(A1437)&amp;": "&amp;INDEX('Zgłoszenia'!$H$5:$H$504,MATCH(H1437,'Zgłoszenia'!$S$5:$S$504,0)),RIGHT("0"&amp;DAY((A1437+1)),2)&amp;"."&amp;RIGHT("0"&amp;MONTH((A1437+1)),2)&amp;"."&amp;YEAR((A1437+1))&amp;": "&amp;INDEX('Zgłoszenia'!$H$5:$H$504,MATCH(F1437&amp;"|"&amp;(A1437+1),'Zgłoszenia'!$S$5:$S$504,0)))&amp;IF(K1437&gt;1," (+"&amp;(K1437-1)&amp;")",""))</f>
        <v/>
      </c>
      <c r="M1437" s="63" t="n">
        <v>18</v>
      </c>
      <c r="N1437" s="2" t="n"/>
      <c r="O1437" s="2" t="n"/>
    </row>
    <row r="1438">
      <c r="A1438" s="62">
        <f>IF('18'!$C$1="","",'18'!$C$1)</f>
        <v/>
      </c>
      <c r="B1438" s="63">
        <f>Ustawienia!$A$10&amp;""</f>
        <v/>
      </c>
      <c r="C1438" s="63">
        <f>Ustawienia!$A$14&amp;""</f>
        <v/>
      </c>
      <c r="D1438" s="63" t="n">
        <v>6</v>
      </c>
      <c r="E1438" s="63">
        <f>IF('18'!J11="","",TRIM('18'!J11&amp;""))</f>
        <v/>
      </c>
      <c r="F1438" s="63">
        <f>IF('18'!K11="","",'18'!K11)</f>
        <v/>
      </c>
      <c r="G1438" s="63">
        <f>'18'!L11&amp;""</f>
        <v/>
      </c>
      <c r="H1438" s="63">
        <f>IF(OR(A1438="",F1438=""),"",F1438&amp;"|"&amp;A1438)</f>
        <v/>
      </c>
      <c r="I1438" s="63">
        <f>IF(AND(H1438&lt;&gt;"",OR('Historia wózka'!$B$4="",F1438='Historia wózka'!$B$4),A1438&gt;='Historia wózka'!$B$5,A1438&lt;='Historia wózka'!$B$6),A1438+0.7+(5000-ROW())/10000000,0)</f>
        <v/>
      </c>
      <c r="J1438" s="63">
        <f>Ustawienia!$B$10&amp;""</f>
        <v/>
      </c>
      <c r="K1438" s="63">
        <f>IF(H1438="","",COUNTIFS('Zgłoszenia'!$B$5:$B$504,F1438,'Zgłoszenia'!$D$5:$D$504,"&gt;="&amp;A1438,'Zgłoszenia'!$D$5:$D$504,"&lt;="&amp;(A1438+1)))</f>
        <v/>
      </c>
      <c r="L1438" s="63">
        <f>IF(OR(H1438="",K1438=0),"—",IF(ISNUMBER(MATCH(H1438,'Zgłoszenia'!$S$5:$S$504,0)),RIGHT("0"&amp;DAY(A1438),2)&amp;"."&amp;RIGHT("0"&amp;MONTH(A1438),2)&amp;"."&amp;YEAR(A1438)&amp;": "&amp;INDEX('Zgłoszenia'!$H$5:$H$504,MATCH(H1438,'Zgłoszenia'!$S$5:$S$504,0)),RIGHT("0"&amp;DAY((A1438+1)),2)&amp;"."&amp;RIGHT("0"&amp;MONTH((A1438+1)),2)&amp;"."&amp;YEAR((A1438+1))&amp;": "&amp;INDEX('Zgłoszenia'!$H$5:$H$504,MATCH(F1438&amp;"|"&amp;(A1438+1),'Zgłoszenia'!$S$5:$S$504,0)))&amp;IF(K1438&gt;1," (+"&amp;(K1438-1)&amp;")",""))</f>
        <v/>
      </c>
      <c r="M1438" s="63" t="n">
        <v>18</v>
      </c>
      <c r="N1438" s="2" t="n"/>
      <c r="O1438" s="2" t="n"/>
    </row>
    <row r="1439">
      <c r="A1439" s="62">
        <f>IF('18'!$C$1="","",'18'!$C$1)</f>
        <v/>
      </c>
      <c r="B1439" s="63">
        <f>Ustawienia!$A$10&amp;""</f>
        <v/>
      </c>
      <c r="C1439" s="63">
        <f>Ustawienia!$A$15&amp;""</f>
        <v/>
      </c>
      <c r="D1439" s="63" t="n">
        <v>1</v>
      </c>
      <c r="E1439" s="63">
        <f>IF('18'!J13="","",TRIM('18'!J13&amp;""))</f>
        <v/>
      </c>
      <c r="F1439" s="63">
        <f>IF('18'!K13="","",'18'!K13)</f>
        <v/>
      </c>
      <c r="G1439" s="63">
        <f>'18'!L13&amp;""</f>
        <v/>
      </c>
      <c r="H1439" s="63">
        <f>IF(OR(A1439="",F1439=""),"",F1439&amp;"|"&amp;A1439)</f>
        <v/>
      </c>
      <c r="I1439" s="63">
        <f>IF(AND(H1439&lt;&gt;"",OR('Historia wózka'!$B$4="",F1439='Historia wózka'!$B$4),A1439&gt;='Historia wózka'!$B$5,A1439&lt;='Historia wózka'!$B$6),A1439+0.7+(5000-ROW())/10000000,0)</f>
        <v/>
      </c>
      <c r="J1439" s="63">
        <f>Ustawienia!$B$10&amp;""</f>
        <v/>
      </c>
      <c r="K1439" s="63">
        <f>IF(H1439="","",COUNTIFS('Zgłoszenia'!$B$5:$B$504,F1439,'Zgłoszenia'!$D$5:$D$504,"&gt;="&amp;A1439,'Zgłoszenia'!$D$5:$D$504,"&lt;="&amp;(A1439+1)))</f>
        <v/>
      </c>
      <c r="L1439" s="63">
        <f>IF(OR(H1439="",K1439=0),"—",IF(ISNUMBER(MATCH(H1439,'Zgłoszenia'!$S$5:$S$504,0)),RIGHT("0"&amp;DAY(A1439),2)&amp;"."&amp;RIGHT("0"&amp;MONTH(A1439),2)&amp;"."&amp;YEAR(A1439)&amp;": "&amp;INDEX('Zgłoszenia'!$H$5:$H$504,MATCH(H1439,'Zgłoszenia'!$S$5:$S$504,0)),RIGHT("0"&amp;DAY((A1439+1)),2)&amp;"."&amp;RIGHT("0"&amp;MONTH((A1439+1)),2)&amp;"."&amp;YEAR((A1439+1))&amp;": "&amp;INDEX('Zgłoszenia'!$H$5:$H$504,MATCH(F1439&amp;"|"&amp;(A1439+1),'Zgłoszenia'!$S$5:$S$504,0)))&amp;IF(K1439&gt;1," (+"&amp;(K1439-1)&amp;")",""))</f>
        <v/>
      </c>
      <c r="M1439" s="63" t="n">
        <v>18</v>
      </c>
      <c r="N1439" s="2" t="n"/>
      <c r="O1439" s="2" t="n"/>
    </row>
    <row r="1440">
      <c r="A1440" s="62">
        <f>IF('18'!$C$1="","",'18'!$C$1)</f>
        <v/>
      </c>
      <c r="B1440" s="63">
        <f>Ustawienia!$A$10&amp;""</f>
        <v/>
      </c>
      <c r="C1440" s="63">
        <f>Ustawienia!$A$15&amp;""</f>
        <v/>
      </c>
      <c r="D1440" s="63" t="n">
        <v>2</v>
      </c>
      <c r="E1440" s="63">
        <f>IF('18'!J14="","",TRIM('18'!J14&amp;""))</f>
        <v/>
      </c>
      <c r="F1440" s="63">
        <f>IF('18'!K14="","",'18'!K14)</f>
        <v/>
      </c>
      <c r="G1440" s="63">
        <f>'18'!L14&amp;""</f>
        <v/>
      </c>
      <c r="H1440" s="63">
        <f>IF(OR(A1440="",F1440=""),"",F1440&amp;"|"&amp;A1440)</f>
        <v/>
      </c>
      <c r="I1440" s="63">
        <f>IF(AND(H1440&lt;&gt;"",OR('Historia wózka'!$B$4="",F1440='Historia wózka'!$B$4),A1440&gt;='Historia wózka'!$B$5,A1440&lt;='Historia wózka'!$B$6),A1440+0.7+(5000-ROW())/10000000,0)</f>
        <v/>
      </c>
      <c r="J1440" s="63">
        <f>Ustawienia!$B$10&amp;""</f>
        <v/>
      </c>
      <c r="K1440" s="63">
        <f>IF(H1440="","",COUNTIFS('Zgłoszenia'!$B$5:$B$504,F1440,'Zgłoszenia'!$D$5:$D$504,"&gt;="&amp;A1440,'Zgłoszenia'!$D$5:$D$504,"&lt;="&amp;(A1440+1)))</f>
        <v/>
      </c>
      <c r="L1440" s="63">
        <f>IF(OR(H1440="",K1440=0),"—",IF(ISNUMBER(MATCH(H1440,'Zgłoszenia'!$S$5:$S$504,0)),RIGHT("0"&amp;DAY(A1440),2)&amp;"."&amp;RIGHT("0"&amp;MONTH(A1440),2)&amp;"."&amp;YEAR(A1440)&amp;": "&amp;INDEX('Zgłoszenia'!$H$5:$H$504,MATCH(H1440,'Zgłoszenia'!$S$5:$S$504,0)),RIGHT("0"&amp;DAY((A1440+1)),2)&amp;"."&amp;RIGHT("0"&amp;MONTH((A1440+1)),2)&amp;"."&amp;YEAR((A1440+1))&amp;": "&amp;INDEX('Zgłoszenia'!$H$5:$H$504,MATCH(F1440&amp;"|"&amp;(A1440+1),'Zgłoszenia'!$S$5:$S$504,0)))&amp;IF(K1440&gt;1," (+"&amp;(K1440-1)&amp;")",""))</f>
        <v/>
      </c>
      <c r="M1440" s="63" t="n">
        <v>18</v>
      </c>
      <c r="N1440" s="2" t="n"/>
      <c r="O1440" s="2" t="n"/>
    </row>
    <row r="1441">
      <c r="A1441" s="62">
        <f>IF('18'!$C$1="","",'18'!$C$1)</f>
        <v/>
      </c>
      <c r="B1441" s="63">
        <f>Ustawienia!$A$10&amp;""</f>
        <v/>
      </c>
      <c r="C1441" s="63">
        <f>Ustawienia!$A$15&amp;""</f>
        <v/>
      </c>
      <c r="D1441" s="63" t="n">
        <v>3</v>
      </c>
      <c r="E1441" s="63">
        <f>IF('18'!J15="","",TRIM('18'!J15&amp;""))</f>
        <v/>
      </c>
      <c r="F1441" s="63">
        <f>IF('18'!K15="","",'18'!K15)</f>
        <v/>
      </c>
      <c r="G1441" s="63">
        <f>'18'!L15&amp;""</f>
        <v/>
      </c>
      <c r="H1441" s="63">
        <f>IF(OR(A1441="",F1441=""),"",F1441&amp;"|"&amp;A1441)</f>
        <v/>
      </c>
      <c r="I1441" s="63">
        <f>IF(AND(H1441&lt;&gt;"",OR('Historia wózka'!$B$4="",F1441='Historia wózka'!$B$4),A1441&gt;='Historia wózka'!$B$5,A1441&lt;='Historia wózka'!$B$6),A1441+0.7+(5000-ROW())/10000000,0)</f>
        <v/>
      </c>
      <c r="J1441" s="63">
        <f>Ustawienia!$B$10&amp;""</f>
        <v/>
      </c>
      <c r="K1441" s="63">
        <f>IF(H1441="","",COUNTIFS('Zgłoszenia'!$B$5:$B$504,F1441,'Zgłoszenia'!$D$5:$D$504,"&gt;="&amp;A1441,'Zgłoszenia'!$D$5:$D$504,"&lt;="&amp;(A1441+1)))</f>
        <v/>
      </c>
      <c r="L1441" s="63">
        <f>IF(OR(H1441="",K1441=0),"—",IF(ISNUMBER(MATCH(H1441,'Zgłoszenia'!$S$5:$S$504,0)),RIGHT("0"&amp;DAY(A1441),2)&amp;"."&amp;RIGHT("0"&amp;MONTH(A1441),2)&amp;"."&amp;YEAR(A1441)&amp;": "&amp;INDEX('Zgłoszenia'!$H$5:$H$504,MATCH(H1441,'Zgłoszenia'!$S$5:$S$504,0)),RIGHT("0"&amp;DAY((A1441+1)),2)&amp;"."&amp;RIGHT("0"&amp;MONTH((A1441+1)),2)&amp;"."&amp;YEAR((A1441+1))&amp;": "&amp;INDEX('Zgłoszenia'!$H$5:$H$504,MATCH(F1441&amp;"|"&amp;(A1441+1),'Zgłoszenia'!$S$5:$S$504,0)))&amp;IF(K1441&gt;1," (+"&amp;(K1441-1)&amp;")",""))</f>
        <v/>
      </c>
      <c r="M1441" s="63" t="n">
        <v>18</v>
      </c>
      <c r="N1441" s="2" t="n"/>
      <c r="O1441" s="2" t="n"/>
    </row>
    <row r="1442">
      <c r="A1442" s="62">
        <f>IF('18'!$C$1="","",'18'!$C$1)</f>
        <v/>
      </c>
      <c r="B1442" s="63">
        <f>Ustawienia!$A$10&amp;""</f>
        <v/>
      </c>
      <c r="C1442" s="63">
        <f>Ustawienia!$A$15&amp;""</f>
        <v/>
      </c>
      <c r="D1442" s="63" t="n">
        <v>4</v>
      </c>
      <c r="E1442" s="63">
        <f>IF('18'!J16="","",TRIM('18'!J16&amp;""))</f>
        <v/>
      </c>
      <c r="F1442" s="63">
        <f>IF('18'!K16="","",'18'!K16)</f>
        <v/>
      </c>
      <c r="G1442" s="63">
        <f>'18'!L16&amp;""</f>
        <v/>
      </c>
      <c r="H1442" s="63">
        <f>IF(OR(A1442="",F1442=""),"",F1442&amp;"|"&amp;A1442)</f>
        <v/>
      </c>
      <c r="I1442" s="63">
        <f>IF(AND(H1442&lt;&gt;"",OR('Historia wózka'!$B$4="",F1442='Historia wózka'!$B$4),A1442&gt;='Historia wózka'!$B$5,A1442&lt;='Historia wózka'!$B$6),A1442+0.7+(5000-ROW())/10000000,0)</f>
        <v/>
      </c>
      <c r="J1442" s="63">
        <f>Ustawienia!$B$10&amp;""</f>
        <v/>
      </c>
      <c r="K1442" s="63">
        <f>IF(H1442="","",COUNTIFS('Zgłoszenia'!$B$5:$B$504,F1442,'Zgłoszenia'!$D$5:$D$504,"&gt;="&amp;A1442,'Zgłoszenia'!$D$5:$D$504,"&lt;="&amp;(A1442+1)))</f>
        <v/>
      </c>
      <c r="L1442" s="63">
        <f>IF(OR(H1442="",K1442=0),"—",IF(ISNUMBER(MATCH(H1442,'Zgłoszenia'!$S$5:$S$504,0)),RIGHT("0"&amp;DAY(A1442),2)&amp;"."&amp;RIGHT("0"&amp;MONTH(A1442),2)&amp;"."&amp;YEAR(A1442)&amp;": "&amp;INDEX('Zgłoszenia'!$H$5:$H$504,MATCH(H1442,'Zgłoszenia'!$S$5:$S$504,0)),RIGHT("0"&amp;DAY((A1442+1)),2)&amp;"."&amp;RIGHT("0"&amp;MONTH((A1442+1)),2)&amp;"."&amp;YEAR((A1442+1))&amp;": "&amp;INDEX('Zgłoszenia'!$H$5:$H$504,MATCH(F1442&amp;"|"&amp;(A1442+1),'Zgłoszenia'!$S$5:$S$504,0)))&amp;IF(K1442&gt;1," (+"&amp;(K1442-1)&amp;")",""))</f>
        <v/>
      </c>
      <c r="M1442" s="63" t="n">
        <v>18</v>
      </c>
      <c r="N1442" s="2" t="n"/>
      <c r="O1442" s="2" t="n"/>
    </row>
    <row r="1443">
      <c r="A1443" s="62">
        <f>IF('18'!$C$1="","",'18'!$C$1)</f>
        <v/>
      </c>
      <c r="B1443" s="63">
        <f>Ustawienia!$A$10&amp;""</f>
        <v/>
      </c>
      <c r="C1443" s="63">
        <f>Ustawienia!$A$15&amp;""</f>
        <v/>
      </c>
      <c r="D1443" s="63" t="n">
        <v>5</v>
      </c>
      <c r="E1443" s="63">
        <f>IF('18'!J17="","",TRIM('18'!J17&amp;""))</f>
        <v/>
      </c>
      <c r="F1443" s="63">
        <f>IF('18'!K17="","",'18'!K17)</f>
        <v/>
      </c>
      <c r="G1443" s="63">
        <f>'18'!L17&amp;""</f>
        <v/>
      </c>
      <c r="H1443" s="63">
        <f>IF(OR(A1443="",F1443=""),"",F1443&amp;"|"&amp;A1443)</f>
        <v/>
      </c>
      <c r="I1443" s="63">
        <f>IF(AND(H1443&lt;&gt;"",OR('Historia wózka'!$B$4="",F1443='Historia wózka'!$B$4),A1443&gt;='Historia wózka'!$B$5,A1443&lt;='Historia wózka'!$B$6),A1443+0.7+(5000-ROW())/10000000,0)</f>
        <v/>
      </c>
      <c r="J1443" s="63">
        <f>Ustawienia!$B$10&amp;""</f>
        <v/>
      </c>
      <c r="K1443" s="63">
        <f>IF(H1443="","",COUNTIFS('Zgłoszenia'!$B$5:$B$504,F1443,'Zgłoszenia'!$D$5:$D$504,"&gt;="&amp;A1443,'Zgłoszenia'!$D$5:$D$504,"&lt;="&amp;(A1443+1)))</f>
        <v/>
      </c>
      <c r="L1443" s="63">
        <f>IF(OR(H1443="",K1443=0),"—",IF(ISNUMBER(MATCH(H1443,'Zgłoszenia'!$S$5:$S$504,0)),RIGHT("0"&amp;DAY(A1443),2)&amp;"."&amp;RIGHT("0"&amp;MONTH(A1443),2)&amp;"."&amp;YEAR(A1443)&amp;": "&amp;INDEX('Zgłoszenia'!$H$5:$H$504,MATCH(H1443,'Zgłoszenia'!$S$5:$S$504,0)),RIGHT("0"&amp;DAY((A1443+1)),2)&amp;"."&amp;RIGHT("0"&amp;MONTH((A1443+1)),2)&amp;"."&amp;YEAR((A1443+1))&amp;": "&amp;INDEX('Zgłoszenia'!$H$5:$H$504,MATCH(F1443&amp;"|"&amp;(A1443+1),'Zgłoszenia'!$S$5:$S$504,0)))&amp;IF(K1443&gt;1," (+"&amp;(K1443-1)&amp;")",""))</f>
        <v/>
      </c>
      <c r="M1443" s="63" t="n">
        <v>18</v>
      </c>
      <c r="N1443" s="2" t="n"/>
      <c r="O1443" s="2" t="n"/>
    </row>
    <row r="1444">
      <c r="A1444" s="62">
        <f>IF('18'!$C$1="","",'18'!$C$1)</f>
        <v/>
      </c>
      <c r="B1444" s="63">
        <f>Ustawienia!$A$10&amp;""</f>
        <v/>
      </c>
      <c r="C1444" s="63">
        <f>Ustawienia!$A$15&amp;""</f>
        <v/>
      </c>
      <c r="D1444" s="63" t="n">
        <v>6</v>
      </c>
      <c r="E1444" s="63">
        <f>IF('18'!J18="","",TRIM('18'!J18&amp;""))</f>
        <v/>
      </c>
      <c r="F1444" s="63">
        <f>IF('18'!K18="","",'18'!K18)</f>
        <v/>
      </c>
      <c r="G1444" s="63">
        <f>'18'!L18&amp;""</f>
        <v/>
      </c>
      <c r="H1444" s="63">
        <f>IF(OR(A1444="",F1444=""),"",F1444&amp;"|"&amp;A1444)</f>
        <v/>
      </c>
      <c r="I1444" s="63">
        <f>IF(AND(H1444&lt;&gt;"",OR('Historia wózka'!$B$4="",F1444='Historia wózka'!$B$4),A1444&gt;='Historia wózka'!$B$5,A1444&lt;='Historia wózka'!$B$6),A1444+0.7+(5000-ROW())/10000000,0)</f>
        <v/>
      </c>
      <c r="J1444" s="63">
        <f>Ustawienia!$B$10&amp;""</f>
        <v/>
      </c>
      <c r="K1444" s="63">
        <f>IF(H1444="","",COUNTIFS('Zgłoszenia'!$B$5:$B$504,F1444,'Zgłoszenia'!$D$5:$D$504,"&gt;="&amp;A1444,'Zgłoszenia'!$D$5:$D$504,"&lt;="&amp;(A1444+1)))</f>
        <v/>
      </c>
      <c r="L1444" s="63">
        <f>IF(OR(H1444="",K1444=0),"—",IF(ISNUMBER(MATCH(H1444,'Zgłoszenia'!$S$5:$S$504,0)),RIGHT("0"&amp;DAY(A1444),2)&amp;"."&amp;RIGHT("0"&amp;MONTH(A1444),2)&amp;"."&amp;YEAR(A1444)&amp;": "&amp;INDEX('Zgłoszenia'!$H$5:$H$504,MATCH(H1444,'Zgłoszenia'!$S$5:$S$504,0)),RIGHT("0"&amp;DAY((A1444+1)),2)&amp;"."&amp;RIGHT("0"&amp;MONTH((A1444+1)),2)&amp;"."&amp;YEAR((A1444+1))&amp;": "&amp;INDEX('Zgłoszenia'!$H$5:$H$504,MATCH(F1444&amp;"|"&amp;(A1444+1),'Zgłoszenia'!$S$5:$S$504,0)))&amp;IF(K1444&gt;1," (+"&amp;(K1444-1)&amp;")",""))</f>
        <v/>
      </c>
      <c r="M1444" s="63" t="n">
        <v>18</v>
      </c>
      <c r="N1444" s="2" t="n"/>
      <c r="O1444" s="2" t="n"/>
    </row>
    <row r="1445">
      <c r="A1445" s="62">
        <f>IF('18'!$C$1="","",'18'!$C$1)</f>
        <v/>
      </c>
      <c r="B1445" s="63">
        <f>Ustawienia!$A$10&amp;""</f>
        <v/>
      </c>
      <c r="C1445" s="63">
        <f>Ustawienia!$A$15&amp;""</f>
        <v/>
      </c>
      <c r="D1445" s="63" t="n">
        <v>7</v>
      </c>
      <c r="E1445" s="63">
        <f>IF('18'!J19="","",TRIM('18'!J19&amp;""))</f>
        <v/>
      </c>
      <c r="F1445" s="63">
        <f>IF('18'!K19="","",'18'!K19)</f>
        <v/>
      </c>
      <c r="G1445" s="63">
        <f>'18'!L19&amp;""</f>
        <v/>
      </c>
      <c r="H1445" s="63">
        <f>IF(OR(A1445="",F1445=""),"",F1445&amp;"|"&amp;A1445)</f>
        <v/>
      </c>
      <c r="I1445" s="63">
        <f>IF(AND(H1445&lt;&gt;"",OR('Historia wózka'!$B$4="",F1445='Historia wózka'!$B$4),A1445&gt;='Historia wózka'!$B$5,A1445&lt;='Historia wózka'!$B$6),A1445+0.7+(5000-ROW())/10000000,0)</f>
        <v/>
      </c>
      <c r="J1445" s="63">
        <f>Ustawienia!$B$10&amp;""</f>
        <v/>
      </c>
      <c r="K1445" s="63">
        <f>IF(H1445="","",COUNTIFS('Zgłoszenia'!$B$5:$B$504,F1445,'Zgłoszenia'!$D$5:$D$504,"&gt;="&amp;A1445,'Zgłoszenia'!$D$5:$D$504,"&lt;="&amp;(A1445+1)))</f>
        <v/>
      </c>
      <c r="L1445" s="63">
        <f>IF(OR(H1445="",K1445=0),"—",IF(ISNUMBER(MATCH(H1445,'Zgłoszenia'!$S$5:$S$504,0)),RIGHT("0"&amp;DAY(A1445),2)&amp;"."&amp;RIGHT("0"&amp;MONTH(A1445),2)&amp;"."&amp;YEAR(A1445)&amp;": "&amp;INDEX('Zgłoszenia'!$H$5:$H$504,MATCH(H1445,'Zgłoszenia'!$S$5:$S$504,0)),RIGHT("0"&amp;DAY((A1445+1)),2)&amp;"."&amp;RIGHT("0"&amp;MONTH((A1445+1)),2)&amp;"."&amp;YEAR((A1445+1))&amp;": "&amp;INDEX('Zgłoszenia'!$H$5:$H$504,MATCH(F1445&amp;"|"&amp;(A1445+1),'Zgłoszenia'!$S$5:$S$504,0)))&amp;IF(K1445&gt;1," (+"&amp;(K1445-1)&amp;")",""))</f>
        <v/>
      </c>
      <c r="M1445" s="63" t="n">
        <v>18</v>
      </c>
      <c r="N1445" s="2" t="n"/>
      <c r="O1445" s="2" t="n"/>
    </row>
    <row r="1446">
      <c r="A1446" s="62">
        <f>IF('18'!$C$1="","",'18'!$C$1)</f>
        <v/>
      </c>
      <c r="B1446" s="63">
        <f>Ustawienia!$A$10&amp;""</f>
        <v/>
      </c>
      <c r="C1446" s="63">
        <f>Ustawienia!$A$15&amp;""</f>
        <v/>
      </c>
      <c r="D1446" s="63" t="n">
        <v>8</v>
      </c>
      <c r="E1446" s="63">
        <f>IF('18'!J20="","",TRIM('18'!J20&amp;""))</f>
        <v/>
      </c>
      <c r="F1446" s="63">
        <f>IF('18'!K20="","",'18'!K20)</f>
        <v/>
      </c>
      <c r="G1446" s="63">
        <f>'18'!L20&amp;""</f>
        <v/>
      </c>
      <c r="H1446" s="63">
        <f>IF(OR(A1446="",F1446=""),"",F1446&amp;"|"&amp;A1446)</f>
        <v/>
      </c>
      <c r="I1446" s="63">
        <f>IF(AND(H1446&lt;&gt;"",OR('Historia wózka'!$B$4="",F1446='Historia wózka'!$B$4),A1446&gt;='Historia wózka'!$B$5,A1446&lt;='Historia wózka'!$B$6),A1446+0.7+(5000-ROW())/10000000,0)</f>
        <v/>
      </c>
      <c r="J1446" s="63">
        <f>Ustawienia!$B$10&amp;""</f>
        <v/>
      </c>
      <c r="K1446" s="63">
        <f>IF(H1446="","",COUNTIFS('Zgłoszenia'!$B$5:$B$504,F1446,'Zgłoszenia'!$D$5:$D$504,"&gt;="&amp;A1446,'Zgłoszenia'!$D$5:$D$504,"&lt;="&amp;(A1446+1)))</f>
        <v/>
      </c>
      <c r="L1446" s="63">
        <f>IF(OR(H1446="",K1446=0),"—",IF(ISNUMBER(MATCH(H1446,'Zgłoszenia'!$S$5:$S$504,0)),RIGHT("0"&amp;DAY(A1446),2)&amp;"."&amp;RIGHT("0"&amp;MONTH(A1446),2)&amp;"."&amp;YEAR(A1446)&amp;": "&amp;INDEX('Zgłoszenia'!$H$5:$H$504,MATCH(H1446,'Zgłoszenia'!$S$5:$S$504,0)),RIGHT("0"&amp;DAY((A1446+1)),2)&amp;"."&amp;RIGHT("0"&amp;MONTH((A1446+1)),2)&amp;"."&amp;YEAR((A1446+1))&amp;": "&amp;INDEX('Zgłoszenia'!$H$5:$H$504,MATCH(F1446&amp;"|"&amp;(A1446+1),'Zgłoszenia'!$S$5:$S$504,0)))&amp;IF(K1446&gt;1," (+"&amp;(K1446-1)&amp;")",""))</f>
        <v/>
      </c>
      <c r="M1446" s="63" t="n">
        <v>18</v>
      </c>
      <c r="N1446" s="2" t="n"/>
      <c r="O1446" s="2" t="n"/>
    </row>
    <row r="1447">
      <c r="A1447" s="62">
        <f>IF('18'!$C$1="","",'18'!$C$1)</f>
        <v/>
      </c>
      <c r="B1447" s="63">
        <f>Ustawienia!$A$10&amp;""</f>
        <v/>
      </c>
      <c r="C1447" s="63">
        <f>Ustawienia!$A$16&amp;""</f>
        <v/>
      </c>
      <c r="D1447" s="63" t="n">
        <v>1</v>
      </c>
      <c r="E1447" s="63">
        <f>IF('18'!J22="","",TRIM('18'!J22&amp;""))</f>
        <v/>
      </c>
      <c r="F1447" s="63">
        <f>IF('18'!K22="","",'18'!K22)</f>
        <v/>
      </c>
      <c r="G1447" s="63">
        <f>'18'!L22&amp;""</f>
        <v/>
      </c>
      <c r="H1447" s="63">
        <f>IF(OR(A1447="",F1447=""),"",F1447&amp;"|"&amp;A1447)</f>
        <v/>
      </c>
      <c r="I1447" s="63">
        <f>IF(AND(H1447&lt;&gt;"",OR('Historia wózka'!$B$4="",F1447='Historia wózka'!$B$4),A1447&gt;='Historia wózka'!$B$5,A1447&lt;='Historia wózka'!$B$6),A1447+0.7+(5000-ROW())/10000000,0)</f>
        <v/>
      </c>
      <c r="J1447" s="63">
        <f>Ustawienia!$B$10&amp;""</f>
        <v/>
      </c>
      <c r="K1447" s="63">
        <f>IF(H1447="","",COUNTIFS('Zgłoszenia'!$B$5:$B$504,F1447,'Zgłoszenia'!$D$5:$D$504,"&gt;="&amp;A1447,'Zgłoszenia'!$D$5:$D$504,"&lt;="&amp;(A1447+1)))</f>
        <v/>
      </c>
      <c r="L1447" s="63">
        <f>IF(OR(H1447="",K1447=0),"—",IF(ISNUMBER(MATCH(H1447,'Zgłoszenia'!$S$5:$S$504,0)),RIGHT("0"&amp;DAY(A1447),2)&amp;"."&amp;RIGHT("0"&amp;MONTH(A1447),2)&amp;"."&amp;YEAR(A1447)&amp;": "&amp;INDEX('Zgłoszenia'!$H$5:$H$504,MATCH(H1447,'Zgłoszenia'!$S$5:$S$504,0)),RIGHT("0"&amp;DAY((A1447+1)),2)&amp;"."&amp;RIGHT("0"&amp;MONTH((A1447+1)),2)&amp;"."&amp;YEAR((A1447+1))&amp;": "&amp;INDEX('Zgłoszenia'!$H$5:$H$504,MATCH(F1447&amp;"|"&amp;(A1447+1),'Zgłoszenia'!$S$5:$S$504,0)))&amp;IF(K1447&gt;1," (+"&amp;(K1447-1)&amp;")",""))</f>
        <v/>
      </c>
      <c r="M1447" s="63" t="n">
        <v>18</v>
      </c>
      <c r="N1447" s="2" t="n"/>
      <c r="O1447" s="2" t="n"/>
    </row>
    <row r="1448">
      <c r="A1448" s="62">
        <f>IF('18'!$C$1="","",'18'!$C$1)</f>
        <v/>
      </c>
      <c r="B1448" s="63">
        <f>Ustawienia!$A$10&amp;""</f>
        <v/>
      </c>
      <c r="C1448" s="63">
        <f>Ustawienia!$A$16&amp;""</f>
        <v/>
      </c>
      <c r="D1448" s="63" t="n">
        <v>2</v>
      </c>
      <c r="E1448" s="63">
        <f>IF('18'!J23="","",TRIM('18'!J23&amp;""))</f>
        <v/>
      </c>
      <c r="F1448" s="63">
        <f>IF('18'!K23="","",'18'!K23)</f>
        <v/>
      </c>
      <c r="G1448" s="63">
        <f>'18'!L23&amp;""</f>
        <v/>
      </c>
      <c r="H1448" s="63">
        <f>IF(OR(A1448="",F1448=""),"",F1448&amp;"|"&amp;A1448)</f>
        <v/>
      </c>
      <c r="I1448" s="63">
        <f>IF(AND(H1448&lt;&gt;"",OR('Historia wózka'!$B$4="",F1448='Historia wózka'!$B$4),A1448&gt;='Historia wózka'!$B$5,A1448&lt;='Historia wózka'!$B$6),A1448+0.7+(5000-ROW())/10000000,0)</f>
        <v/>
      </c>
      <c r="J1448" s="63">
        <f>Ustawienia!$B$10&amp;""</f>
        <v/>
      </c>
      <c r="K1448" s="63">
        <f>IF(H1448="","",COUNTIFS('Zgłoszenia'!$B$5:$B$504,F1448,'Zgłoszenia'!$D$5:$D$504,"&gt;="&amp;A1448,'Zgłoszenia'!$D$5:$D$504,"&lt;="&amp;(A1448+1)))</f>
        <v/>
      </c>
      <c r="L1448" s="63">
        <f>IF(OR(H1448="",K1448=0),"—",IF(ISNUMBER(MATCH(H1448,'Zgłoszenia'!$S$5:$S$504,0)),RIGHT("0"&amp;DAY(A1448),2)&amp;"."&amp;RIGHT("0"&amp;MONTH(A1448),2)&amp;"."&amp;YEAR(A1448)&amp;": "&amp;INDEX('Zgłoszenia'!$H$5:$H$504,MATCH(H1448,'Zgłoszenia'!$S$5:$S$504,0)),RIGHT("0"&amp;DAY((A1448+1)),2)&amp;"."&amp;RIGHT("0"&amp;MONTH((A1448+1)),2)&amp;"."&amp;YEAR((A1448+1))&amp;": "&amp;INDEX('Zgłoszenia'!$H$5:$H$504,MATCH(F1448&amp;"|"&amp;(A1448+1),'Zgłoszenia'!$S$5:$S$504,0)))&amp;IF(K1448&gt;1," (+"&amp;(K1448-1)&amp;")",""))</f>
        <v/>
      </c>
      <c r="M1448" s="63" t="n">
        <v>18</v>
      </c>
      <c r="N1448" s="2" t="n"/>
      <c r="O1448" s="2" t="n"/>
    </row>
    <row r="1449">
      <c r="A1449" s="62">
        <f>IF('18'!$C$1="","",'18'!$C$1)</f>
        <v/>
      </c>
      <c r="B1449" s="63">
        <f>Ustawienia!$A$10&amp;""</f>
        <v/>
      </c>
      <c r="C1449" s="63">
        <f>Ustawienia!$A$16&amp;""</f>
        <v/>
      </c>
      <c r="D1449" s="63" t="n">
        <v>3</v>
      </c>
      <c r="E1449" s="63">
        <f>IF('18'!J24="","",TRIM('18'!J24&amp;""))</f>
        <v/>
      </c>
      <c r="F1449" s="63">
        <f>IF('18'!K24="","",'18'!K24)</f>
        <v/>
      </c>
      <c r="G1449" s="63">
        <f>'18'!L24&amp;""</f>
        <v/>
      </c>
      <c r="H1449" s="63">
        <f>IF(OR(A1449="",F1449=""),"",F1449&amp;"|"&amp;A1449)</f>
        <v/>
      </c>
      <c r="I1449" s="63">
        <f>IF(AND(H1449&lt;&gt;"",OR('Historia wózka'!$B$4="",F1449='Historia wózka'!$B$4),A1449&gt;='Historia wózka'!$B$5,A1449&lt;='Historia wózka'!$B$6),A1449+0.7+(5000-ROW())/10000000,0)</f>
        <v/>
      </c>
      <c r="J1449" s="63">
        <f>Ustawienia!$B$10&amp;""</f>
        <v/>
      </c>
      <c r="K1449" s="63">
        <f>IF(H1449="","",COUNTIFS('Zgłoszenia'!$B$5:$B$504,F1449,'Zgłoszenia'!$D$5:$D$504,"&gt;="&amp;A1449,'Zgłoszenia'!$D$5:$D$504,"&lt;="&amp;(A1449+1)))</f>
        <v/>
      </c>
      <c r="L1449" s="63">
        <f>IF(OR(H1449="",K1449=0),"—",IF(ISNUMBER(MATCH(H1449,'Zgłoszenia'!$S$5:$S$504,0)),RIGHT("0"&amp;DAY(A1449),2)&amp;"."&amp;RIGHT("0"&amp;MONTH(A1449),2)&amp;"."&amp;YEAR(A1449)&amp;": "&amp;INDEX('Zgłoszenia'!$H$5:$H$504,MATCH(H1449,'Zgłoszenia'!$S$5:$S$504,0)),RIGHT("0"&amp;DAY((A1449+1)),2)&amp;"."&amp;RIGHT("0"&amp;MONTH((A1449+1)),2)&amp;"."&amp;YEAR((A1449+1))&amp;": "&amp;INDEX('Zgłoszenia'!$H$5:$H$504,MATCH(F1449&amp;"|"&amp;(A1449+1),'Zgłoszenia'!$S$5:$S$504,0)))&amp;IF(K1449&gt;1," (+"&amp;(K1449-1)&amp;")",""))</f>
        <v/>
      </c>
      <c r="M1449" s="63" t="n">
        <v>18</v>
      </c>
      <c r="N1449" s="2" t="n"/>
      <c r="O1449" s="2" t="n"/>
    </row>
    <row r="1450">
      <c r="A1450" s="62">
        <f>IF('18'!$C$1="","",'18'!$C$1)</f>
        <v/>
      </c>
      <c r="B1450" s="63">
        <f>Ustawienia!$A$10&amp;""</f>
        <v/>
      </c>
      <c r="C1450" s="63">
        <f>Ustawienia!$A$16&amp;""</f>
        <v/>
      </c>
      <c r="D1450" s="63" t="n">
        <v>4</v>
      </c>
      <c r="E1450" s="63">
        <f>IF('18'!J25="","",TRIM('18'!J25&amp;""))</f>
        <v/>
      </c>
      <c r="F1450" s="63">
        <f>IF('18'!K25="","",'18'!K25)</f>
        <v/>
      </c>
      <c r="G1450" s="63">
        <f>'18'!L25&amp;""</f>
        <v/>
      </c>
      <c r="H1450" s="63">
        <f>IF(OR(A1450="",F1450=""),"",F1450&amp;"|"&amp;A1450)</f>
        <v/>
      </c>
      <c r="I1450" s="63">
        <f>IF(AND(H1450&lt;&gt;"",OR('Historia wózka'!$B$4="",F1450='Historia wózka'!$B$4),A1450&gt;='Historia wózka'!$B$5,A1450&lt;='Historia wózka'!$B$6),A1450+0.7+(5000-ROW())/10000000,0)</f>
        <v/>
      </c>
      <c r="J1450" s="63">
        <f>Ustawienia!$B$10&amp;""</f>
        <v/>
      </c>
      <c r="K1450" s="63">
        <f>IF(H1450="","",COUNTIFS('Zgłoszenia'!$B$5:$B$504,F1450,'Zgłoszenia'!$D$5:$D$504,"&gt;="&amp;A1450,'Zgłoszenia'!$D$5:$D$504,"&lt;="&amp;(A1450+1)))</f>
        <v/>
      </c>
      <c r="L1450" s="63">
        <f>IF(OR(H1450="",K1450=0),"—",IF(ISNUMBER(MATCH(H1450,'Zgłoszenia'!$S$5:$S$504,0)),RIGHT("0"&amp;DAY(A1450),2)&amp;"."&amp;RIGHT("0"&amp;MONTH(A1450),2)&amp;"."&amp;YEAR(A1450)&amp;": "&amp;INDEX('Zgłoszenia'!$H$5:$H$504,MATCH(H1450,'Zgłoszenia'!$S$5:$S$504,0)),RIGHT("0"&amp;DAY((A1450+1)),2)&amp;"."&amp;RIGHT("0"&amp;MONTH((A1450+1)),2)&amp;"."&amp;YEAR((A1450+1))&amp;": "&amp;INDEX('Zgłoszenia'!$H$5:$H$504,MATCH(F1450&amp;"|"&amp;(A1450+1),'Zgłoszenia'!$S$5:$S$504,0)))&amp;IF(K1450&gt;1," (+"&amp;(K1450-1)&amp;")",""))</f>
        <v/>
      </c>
      <c r="M1450" s="63" t="n">
        <v>18</v>
      </c>
      <c r="N1450" s="2" t="n"/>
      <c r="O1450" s="2" t="n"/>
    </row>
    <row r="1451">
      <c r="A1451" s="62">
        <f>IF('18'!$C$1="","",'18'!$C$1)</f>
        <v/>
      </c>
      <c r="B1451" s="63">
        <f>Ustawienia!$A$10&amp;""</f>
        <v/>
      </c>
      <c r="C1451" s="63">
        <f>Ustawienia!$A$17&amp;""</f>
        <v/>
      </c>
      <c r="D1451" s="63" t="n">
        <v>1</v>
      </c>
      <c r="E1451" s="63">
        <f>IF('18'!J27="","",TRIM('18'!J27&amp;""))</f>
        <v/>
      </c>
      <c r="F1451" s="63">
        <f>IF('18'!K27="","",'18'!K27)</f>
        <v/>
      </c>
      <c r="G1451" s="63">
        <f>'18'!L27&amp;""</f>
        <v/>
      </c>
      <c r="H1451" s="63">
        <f>IF(OR(A1451="",F1451=""),"",F1451&amp;"|"&amp;A1451)</f>
        <v/>
      </c>
      <c r="I1451" s="63">
        <f>IF(AND(H1451&lt;&gt;"",OR('Historia wózka'!$B$4="",F1451='Historia wózka'!$B$4),A1451&gt;='Historia wózka'!$B$5,A1451&lt;='Historia wózka'!$B$6),A1451+0.7+(5000-ROW())/10000000,0)</f>
        <v/>
      </c>
      <c r="J1451" s="63">
        <f>Ustawienia!$B$10&amp;""</f>
        <v/>
      </c>
      <c r="K1451" s="63">
        <f>IF(H1451="","",COUNTIFS('Zgłoszenia'!$B$5:$B$504,F1451,'Zgłoszenia'!$D$5:$D$504,"&gt;="&amp;A1451,'Zgłoszenia'!$D$5:$D$504,"&lt;="&amp;(A1451+1)))</f>
        <v/>
      </c>
      <c r="L1451" s="63">
        <f>IF(OR(H1451="",K1451=0),"—",IF(ISNUMBER(MATCH(H1451,'Zgłoszenia'!$S$5:$S$504,0)),RIGHT("0"&amp;DAY(A1451),2)&amp;"."&amp;RIGHT("0"&amp;MONTH(A1451),2)&amp;"."&amp;YEAR(A1451)&amp;": "&amp;INDEX('Zgłoszenia'!$H$5:$H$504,MATCH(H1451,'Zgłoszenia'!$S$5:$S$504,0)),RIGHT("0"&amp;DAY((A1451+1)),2)&amp;"."&amp;RIGHT("0"&amp;MONTH((A1451+1)),2)&amp;"."&amp;YEAR((A1451+1))&amp;": "&amp;INDEX('Zgłoszenia'!$H$5:$H$504,MATCH(F1451&amp;"|"&amp;(A1451+1),'Zgłoszenia'!$S$5:$S$504,0)))&amp;IF(K1451&gt;1," (+"&amp;(K1451-1)&amp;")",""))</f>
        <v/>
      </c>
      <c r="M1451" s="63" t="n">
        <v>18</v>
      </c>
      <c r="N1451" s="2" t="n"/>
      <c r="O1451" s="2" t="n"/>
    </row>
    <row r="1452">
      <c r="A1452" s="62">
        <f>IF('18'!$C$1="","",'18'!$C$1)</f>
        <v/>
      </c>
      <c r="B1452" s="63">
        <f>Ustawienia!$A$10&amp;""</f>
        <v/>
      </c>
      <c r="C1452" s="63">
        <f>Ustawienia!$A$17&amp;""</f>
        <v/>
      </c>
      <c r="D1452" s="63" t="n">
        <v>2</v>
      </c>
      <c r="E1452" s="63">
        <f>IF('18'!J28="","",TRIM('18'!J28&amp;""))</f>
        <v/>
      </c>
      <c r="F1452" s="63">
        <f>IF('18'!K28="","",'18'!K28)</f>
        <v/>
      </c>
      <c r="G1452" s="63">
        <f>'18'!L28&amp;""</f>
        <v/>
      </c>
      <c r="H1452" s="63">
        <f>IF(OR(A1452="",F1452=""),"",F1452&amp;"|"&amp;A1452)</f>
        <v/>
      </c>
      <c r="I1452" s="63">
        <f>IF(AND(H1452&lt;&gt;"",OR('Historia wózka'!$B$4="",F1452='Historia wózka'!$B$4),A1452&gt;='Historia wózka'!$B$5,A1452&lt;='Historia wózka'!$B$6),A1452+0.7+(5000-ROW())/10000000,0)</f>
        <v/>
      </c>
      <c r="J1452" s="63">
        <f>Ustawienia!$B$10&amp;""</f>
        <v/>
      </c>
      <c r="K1452" s="63">
        <f>IF(H1452="","",COUNTIFS('Zgłoszenia'!$B$5:$B$504,F1452,'Zgłoszenia'!$D$5:$D$504,"&gt;="&amp;A1452,'Zgłoszenia'!$D$5:$D$504,"&lt;="&amp;(A1452+1)))</f>
        <v/>
      </c>
      <c r="L1452" s="63">
        <f>IF(OR(H1452="",K1452=0),"—",IF(ISNUMBER(MATCH(H1452,'Zgłoszenia'!$S$5:$S$504,0)),RIGHT("0"&amp;DAY(A1452),2)&amp;"."&amp;RIGHT("0"&amp;MONTH(A1452),2)&amp;"."&amp;YEAR(A1452)&amp;": "&amp;INDEX('Zgłoszenia'!$H$5:$H$504,MATCH(H1452,'Zgłoszenia'!$S$5:$S$504,0)),RIGHT("0"&amp;DAY((A1452+1)),2)&amp;"."&amp;RIGHT("0"&amp;MONTH((A1452+1)),2)&amp;"."&amp;YEAR((A1452+1))&amp;": "&amp;INDEX('Zgłoszenia'!$H$5:$H$504,MATCH(F1452&amp;"|"&amp;(A1452+1),'Zgłoszenia'!$S$5:$S$504,0)))&amp;IF(K1452&gt;1," (+"&amp;(K1452-1)&amp;")",""))</f>
        <v/>
      </c>
      <c r="M1452" s="63" t="n">
        <v>18</v>
      </c>
      <c r="N1452" s="2" t="n"/>
      <c r="O1452" s="2" t="n"/>
    </row>
    <row r="1453">
      <c r="A1453" s="62">
        <f>IF('18'!$C$1="","",'18'!$C$1)</f>
        <v/>
      </c>
      <c r="B1453" s="63">
        <f>Ustawienia!$A$10&amp;""</f>
        <v/>
      </c>
      <c r="C1453" s="63">
        <f>Ustawienia!$A$17&amp;""</f>
        <v/>
      </c>
      <c r="D1453" s="63" t="n">
        <v>3</v>
      </c>
      <c r="E1453" s="63">
        <f>IF('18'!J29="","",TRIM('18'!J29&amp;""))</f>
        <v/>
      </c>
      <c r="F1453" s="63">
        <f>IF('18'!K29="","",'18'!K29)</f>
        <v/>
      </c>
      <c r="G1453" s="63">
        <f>'18'!L29&amp;""</f>
        <v/>
      </c>
      <c r="H1453" s="63">
        <f>IF(OR(A1453="",F1453=""),"",F1453&amp;"|"&amp;A1453)</f>
        <v/>
      </c>
      <c r="I1453" s="63">
        <f>IF(AND(H1453&lt;&gt;"",OR('Historia wózka'!$B$4="",F1453='Historia wózka'!$B$4),A1453&gt;='Historia wózka'!$B$5,A1453&lt;='Historia wózka'!$B$6),A1453+0.7+(5000-ROW())/10000000,0)</f>
        <v/>
      </c>
      <c r="J1453" s="63">
        <f>Ustawienia!$B$10&amp;""</f>
        <v/>
      </c>
      <c r="K1453" s="63">
        <f>IF(H1453="","",COUNTIFS('Zgłoszenia'!$B$5:$B$504,F1453,'Zgłoszenia'!$D$5:$D$504,"&gt;="&amp;A1453,'Zgłoszenia'!$D$5:$D$504,"&lt;="&amp;(A1453+1)))</f>
        <v/>
      </c>
      <c r="L1453" s="63">
        <f>IF(OR(H1453="",K1453=0),"—",IF(ISNUMBER(MATCH(H1453,'Zgłoszenia'!$S$5:$S$504,0)),RIGHT("0"&amp;DAY(A1453),2)&amp;"."&amp;RIGHT("0"&amp;MONTH(A1453),2)&amp;"."&amp;YEAR(A1453)&amp;": "&amp;INDEX('Zgłoszenia'!$H$5:$H$504,MATCH(H1453,'Zgłoszenia'!$S$5:$S$504,0)),RIGHT("0"&amp;DAY((A1453+1)),2)&amp;"."&amp;RIGHT("0"&amp;MONTH((A1453+1)),2)&amp;"."&amp;YEAR((A1453+1))&amp;": "&amp;INDEX('Zgłoszenia'!$H$5:$H$504,MATCH(F1453&amp;"|"&amp;(A1453+1),'Zgłoszenia'!$S$5:$S$504,0)))&amp;IF(K1453&gt;1," (+"&amp;(K1453-1)&amp;")",""))</f>
        <v/>
      </c>
      <c r="M1453" s="63" t="n">
        <v>18</v>
      </c>
      <c r="N1453" s="2" t="n"/>
      <c r="O1453" s="2" t="n"/>
    </row>
    <row r="1454">
      <c r="A1454" s="62">
        <f>IF('18'!$C$1="","",'18'!$C$1)</f>
        <v/>
      </c>
      <c r="B1454" s="63">
        <f>Ustawienia!$A$10&amp;""</f>
        <v/>
      </c>
      <c r="C1454" s="63">
        <f>Ustawienia!$A$17&amp;""</f>
        <v/>
      </c>
      <c r="D1454" s="63" t="n">
        <v>4</v>
      </c>
      <c r="E1454" s="63">
        <f>IF('18'!J30="","",TRIM('18'!J30&amp;""))</f>
        <v/>
      </c>
      <c r="F1454" s="63">
        <f>IF('18'!K30="","",'18'!K30)</f>
        <v/>
      </c>
      <c r="G1454" s="63">
        <f>'18'!L30&amp;""</f>
        <v/>
      </c>
      <c r="H1454" s="63">
        <f>IF(OR(A1454="",F1454=""),"",F1454&amp;"|"&amp;A1454)</f>
        <v/>
      </c>
      <c r="I1454" s="63">
        <f>IF(AND(H1454&lt;&gt;"",OR('Historia wózka'!$B$4="",F1454='Historia wózka'!$B$4),A1454&gt;='Historia wózka'!$B$5,A1454&lt;='Historia wózka'!$B$6),A1454+0.7+(5000-ROW())/10000000,0)</f>
        <v/>
      </c>
      <c r="J1454" s="63">
        <f>Ustawienia!$B$10&amp;""</f>
        <v/>
      </c>
      <c r="K1454" s="63">
        <f>IF(H1454="","",COUNTIFS('Zgłoszenia'!$B$5:$B$504,F1454,'Zgłoszenia'!$D$5:$D$504,"&gt;="&amp;A1454,'Zgłoszenia'!$D$5:$D$504,"&lt;="&amp;(A1454+1)))</f>
        <v/>
      </c>
      <c r="L1454" s="63">
        <f>IF(OR(H1454="",K1454=0),"—",IF(ISNUMBER(MATCH(H1454,'Zgłoszenia'!$S$5:$S$504,0)),RIGHT("0"&amp;DAY(A1454),2)&amp;"."&amp;RIGHT("0"&amp;MONTH(A1454),2)&amp;"."&amp;YEAR(A1454)&amp;": "&amp;INDEX('Zgłoszenia'!$H$5:$H$504,MATCH(H1454,'Zgłoszenia'!$S$5:$S$504,0)),RIGHT("0"&amp;DAY((A1454+1)),2)&amp;"."&amp;RIGHT("0"&amp;MONTH((A1454+1)),2)&amp;"."&amp;YEAR((A1454+1))&amp;": "&amp;INDEX('Zgłoszenia'!$H$5:$H$504,MATCH(F1454&amp;"|"&amp;(A1454+1),'Zgłoszenia'!$S$5:$S$504,0)))&amp;IF(K1454&gt;1," (+"&amp;(K1454-1)&amp;")",""))</f>
        <v/>
      </c>
      <c r="M1454" s="63" t="n">
        <v>18</v>
      </c>
      <c r="N1454" s="2" t="n"/>
      <c r="O1454" s="2" t="n"/>
    </row>
    <row r="1455">
      <c r="A1455" s="62">
        <f>IF('18'!$C$1="","",'18'!$C$1)</f>
        <v/>
      </c>
      <c r="B1455" s="63">
        <f>Ustawienia!$A$10&amp;""</f>
        <v/>
      </c>
      <c r="C1455" s="63">
        <f>Ustawienia!$A$18&amp;""</f>
        <v/>
      </c>
      <c r="D1455" s="63" t="n">
        <v>1</v>
      </c>
      <c r="E1455" s="63">
        <f>IF('18'!J32="","",TRIM('18'!J32&amp;""))</f>
        <v/>
      </c>
      <c r="F1455" s="63">
        <f>IF('18'!K32="","",'18'!K32)</f>
        <v/>
      </c>
      <c r="G1455" s="63">
        <f>'18'!L32&amp;""</f>
        <v/>
      </c>
      <c r="H1455" s="63">
        <f>IF(OR(A1455="",F1455=""),"",F1455&amp;"|"&amp;A1455)</f>
        <v/>
      </c>
      <c r="I1455" s="63">
        <f>IF(AND(H1455&lt;&gt;"",OR('Historia wózka'!$B$4="",F1455='Historia wózka'!$B$4),A1455&gt;='Historia wózka'!$B$5,A1455&lt;='Historia wózka'!$B$6),A1455+0.7+(5000-ROW())/10000000,0)</f>
        <v/>
      </c>
      <c r="J1455" s="63">
        <f>Ustawienia!$B$10&amp;""</f>
        <v/>
      </c>
      <c r="K1455" s="63">
        <f>IF(H1455="","",COUNTIFS('Zgłoszenia'!$B$5:$B$504,F1455,'Zgłoszenia'!$D$5:$D$504,"&gt;="&amp;A1455,'Zgłoszenia'!$D$5:$D$504,"&lt;="&amp;(A1455+1)))</f>
        <v/>
      </c>
      <c r="L1455" s="63">
        <f>IF(OR(H1455="",K1455=0),"—",IF(ISNUMBER(MATCH(H1455,'Zgłoszenia'!$S$5:$S$504,0)),RIGHT("0"&amp;DAY(A1455),2)&amp;"."&amp;RIGHT("0"&amp;MONTH(A1455),2)&amp;"."&amp;YEAR(A1455)&amp;": "&amp;INDEX('Zgłoszenia'!$H$5:$H$504,MATCH(H1455,'Zgłoszenia'!$S$5:$S$504,0)),RIGHT("0"&amp;DAY((A1455+1)),2)&amp;"."&amp;RIGHT("0"&amp;MONTH((A1455+1)),2)&amp;"."&amp;YEAR((A1455+1))&amp;": "&amp;INDEX('Zgłoszenia'!$H$5:$H$504,MATCH(F1455&amp;"|"&amp;(A1455+1),'Zgłoszenia'!$S$5:$S$504,0)))&amp;IF(K1455&gt;1," (+"&amp;(K1455-1)&amp;")",""))</f>
        <v/>
      </c>
      <c r="M1455" s="63" t="n">
        <v>18</v>
      </c>
      <c r="N1455" s="2" t="n"/>
      <c r="O1455" s="2" t="n"/>
    </row>
    <row r="1456">
      <c r="A1456" s="62">
        <f>IF('18'!$C$1="","",'18'!$C$1)</f>
        <v/>
      </c>
      <c r="B1456" s="63">
        <f>Ustawienia!$A$10&amp;""</f>
        <v/>
      </c>
      <c r="C1456" s="63">
        <f>Ustawienia!$A$18&amp;""</f>
        <v/>
      </c>
      <c r="D1456" s="63" t="n">
        <v>2</v>
      </c>
      <c r="E1456" s="63">
        <f>IF('18'!J33="","",TRIM('18'!J33&amp;""))</f>
        <v/>
      </c>
      <c r="F1456" s="63">
        <f>IF('18'!K33="","",'18'!K33)</f>
        <v/>
      </c>
      <c r="G1456" s="63">
        <f>'18'!L33&amp;""</f>
        <v/>
      </c>
      <c r="H1456" s="63">
        <f>IF(OR(A1456="",F1456=""),"",F1456&amp;"|"&amp;A1456)</f>
        <v/>
      </c>
      <c r="I1456" s="63">
        <f>IF(AND(H1456&lt;&gt;"",OR('Historia wózka'!$B$4="",F1456='Historia wózka'!$B$4),A1456&gt;='Historia wózka'!$B$5,A1456&lt;='Historia wózka'!$B$6),A1456+0.7+(5000-ROW())/10000000,0)</f>
        <v/>
      </c>
      <c r="J1456" s="63">
        <f>Ustawienia!$B$10&amp;""</f>
        <v/>
      </c>
      <c r="K1456" s="63">
        <f>IF(H1456="","",COUNTIFS('Zgłoszenia'!$B$5:$B$504,F1456,'Zgłoszenia'!$D$5:$D$504,"&gt;="&amp;A1456,'Zgłoszenia'!$D$5:$D$504,"&lt;="&amp;(A1456+1)))</f>
        <v/>
      </c>
      <c r="L1456" s="63">
        <f>IF(OR(H1456="",K1456=0),"—",IF(ISNUMBER(MATCH(H1456,'Zgłoszenia'!$S$5:$S$504,0)),RIGHT("0"&amp;DAY(A1456),2)&amp;"."&amp;RIGHT("0"&amp;MONTH(A1456),2)&amp;"."&amp;YEAR(A1456)&amp;": "&amp;INDEX('Zgłoszenia'!$H$5:$H$504,MATCH(H1456,'Zgłoszenia'!$S$5:$S$504,0)),RIGHT("0"&amp;DAY((A1456+1)),2)&amp;"."&amp;RIGHT("0"&amp;MONTH((A1456+1)),2)&amp;"."&amp;YEAR((A1456+1))&amp;": "&amp;INDEX('Zgłoszenia'!$H$5:$H$504,MATCH(F1456&amp;"|"&amp;(A1456+1),'Zgłoszenia'!$S$5:$S$504,0)))&amp;IF(K1456&gt;1," (+"&amp;(K1456-1)&amp;")",""))</f>
        <v/>
      </c>
      <c r="M1456" s="63" t="n">
        <v>18</v>
      </c>
      <c r="N1456" s="2" t="n"/>
      <c r="O1456" s="2" t="n"/>
    </row>
    <row r="1457">
      <c r="A1457" s="62">
        <f>IF('18'!$C$1="","",'18'!$C$1)</f>
        <v/>
      </c>
      <c r="B1457" s="63">
        <f>Ustawienia!$A$10&amp;""</f>
        <v/>
      </c>
      <c r="C1457" s="63">
        <f>Ustawienia!$A$18&amp;""</f>
        <v/>
      </c>
      <c r="D1457" s="63" t="n">
        <v>3</v>
      </c>
      <c r="E1457" s="63">
        <f>IF('18'!J34="","",TRIM('18'!J34&amp;""))</f>
        <v/>
      </c>
      <c r="F1457" s="63">
        <f>IF('18'!K34="","",'18'!K34)</f>
        <v/>
      </c>
      <c r="G1457" s="63">
        <f>'18'!L34&amp;""</f>
        <v/>
      </c>
      <c r="H1457" s="63">
        <f>IF(OR(A1457="",F1457=""),"",F1457&amp;"|"&amp;A1457)</f>
        <v/>
      </c>
      <c r="I1457" s="63">
        <f>IF(AND(H1457&lt;&gt;"",OR('Historia wózka'!$B$4="",F1457='Historia wózka'!$B$4),A1457&gt;='Historia wózka'!$B$5,A1457&lt;='Historia wózka'!$B$6),A1457+0.7+(5000-ROW())/10000000,0)</f>
        <v/>
      </c>
      <c r="J1457" s="63">
        <f>Ustawienia!$B$10&amp;""</f>
        <v/>
      </c>
      <c r="K1457" s="63">
        <f>IF(H1457="","",COUNTIFS('Zgłoszenia'!$B$5:$B$504,F1457,'Zgłoszenia'!$D$5:$D$504,"&gt;="&amp;A1457,'Zgłoszenia'!$D$5:$D$504,"&lt;="&amp;(A1457+1)))</f>
        <v/>
      </c>
      <c r="L1457" s="63">
        <f>IF(OR(H1457="",K1457=0),"—",IF(ISNUMBER(MATCH(H1457,'Zgłoszenia'!$S$5:$S$504,0)),RIGHT("0"&amp;DAY(A1457),2)&amp;"."&amp;RIGHT("0"&amp;MONTH(A1457),2)&amp;"."&amp;YEAR(A1457)&amp;": "&amp;INDEX('Zgłoszenia'!$H$5:$H$504,MATCH(H1457,'Zgłoszenia'!$S$5:$S$504,0)),RIGHT("0"&amp;DAY((A1457+1)),2)&amp;"."&amp;RIGHT("0"&amp;MONTH((A1457+1)),2)&amp;"."&amp;YEAR((A1457+1))&amp;": "&amp;INDEX('Zgłoszenia'!$H$5:$H$504,MATCH(F1457&amp;"|"&amp;(A1457+1),'Zgłoszenia'!$S$5:$S$504,0)))&amp;IF(K1457&gt;1," (+"&amp;(K1457-1)&amp;")",""))</f>
        <v/>
      </c>
      <c r="M1457" s="63" t="n">
        <v>18</v>
      </c>
      <c r="N1457" s="2" t="n"/>
      <c r="O1457" s="2" t="n"/>
    </row>
    <row r="1458">
      <c r="A1458" s="62">
        <f>IF('18'!$C$1="","",'18'!$C$1)</f>
        <v/>
      </c>
      <c r="B1458" s="63">
        <f>Ustawienia!$A$10&amp;""</f>
        <v/>
      </c>
      <c r="C1458" s="63">
        <f>Ustawienia!$A$18&amp;""</f>
        <v/>
      </c>
      <c r="D1458" s="63" t="n">
        <v>4</v>
      </c>
      <c r="E1458" s="63">
        <f>IF('18'!J35="","",TRIM('18'!J35&amp;""))</f>
        <v/>
      </c>
      <c r="F1458" s="63">
        <f>IF('18'!K35="","",'18'!K35)</f>
        <v/>
      </c>
      <c r="G1458" s="63">
        <f>'18'!L35&amp;""</f>
        <v/>
      </c>
      <c r="H1458" s="63">
        <f>IF(OR(A1458="",F1458=""),"",F1458&amp;"|"&amp;A1458)</f>
        <v/>
      </c>
      <c r="I1458" s="63">
        <f>IF(AND(H1458&lt;&gt;"",OR('Historia wózka'!$B$4="",F1458='Historia wózka'!$B$4),A1458&gt;='Historia wózka'!$B$5,A1458&lt;='Historia wózka'!$B$6),A1458+0.7+(5000-ROW())/10000000,0)</f>
        <v/>
      </c>
      <c r="J1458" s="63">
        <f>Ustawienia!$B$10&amp;""</f>
        <v/>
      </c>
      <c r="K1458" s="63">
        <f>IF(H1458="","",COUNTIFS('Zgłoszenia'!$B$5:$B$504,F1458,'Zgłoszenia'!$D$5:$D$504,"&gt;="&amp;A1458,'Zgłoszenia'!$D$5:$D$504,"&lt;="&amp;(A1458+1)))</f>
        <v/>
      </c>
      <c r="L1458" s="63">
        <f>IF(OR(H1458="",K1458=0),"—",IF(ISNUMBER(MATCH(H1458,'Zgłoszenia'!$S$5:$S$504,0)),RIGHT("0"&amp;DAY(A1458),2)&amp;"."&amp;RIGHT("0"&amp;MONTH(A1458),2)&amp;"."&amp;YEAR(A1458)&amp;": "&amp;INDEX('Zgłoszenia'!$H$5:$H$504,MATCH(H1458,'Zgłoszenia'!$S$5:$S$504,0)),RIGHT("0"&amp;DAY((A1458+1)),2)&amp;"."&amp;RIGHT("0"&amp;MONTH((A1458+1)),2)&amp;"."&amp;YEAR((A1458+1))&amp;": "&amp;INDEX('Zgłoszenia'!$H$5:$H$504,MATCH(F1458&amp;"|"&amp;(A1458+1),'Zgłoszenia'!$S$5:$S$504,0)))&amp;IF(K1458&gt;1," (+"&amp;(K1458-1)&amp;")",""))</f>
        <v/>
      </c>
      <c r="M1458" s="63" t="n">
        <v>18</v>
      </c>
      <c r="N1458" s="2" t="n"/>
      <c r="O1458" s="2" t="n"/>
    </row>
    <row r="1459">
      <c r="A1459" s="62">
        <f>IF('18'!$C$1="","",'18'!$C$1)</f>
        <v/>
      </c>
      <c r="B1459" s="63">
        <f>Ustawienia!$A$10&amp;""</f>
        <v/>
      </c>
      <c r="C1459" s="63">
        <f>Ustawienia!$A$18&amp;""</f>
        <v/>
      </c>
      <c r="D1459" s="63" t="n">
        <v>5</v>
      </c>
      <c r="E1459" s="63">
        <f>IF('18'!J36="","",TRIM('18'!J36&amp;""))</f>
        <v/>
      </c>
      <c r="F1459" s="63">
        <f>IF('18'!K36="","",'18'!K36)</f>
        <v/>
      </c>
      <c r="G1459" s="63">
        <f>'18'!L36&amp;""</f>
        <v/>
      </c>
      <c r="H1459" s="63">
        <f>IF(OR(A1459="",F1459=""),"",F1459&amp;"|"&amp;A1459)</f>
        <v/>
      </c>
      <c r="I1459" s="63">
        <f>IF(AND(H1459&lt;&gt;"",OR('Historia wózka'!$B$4="",F1459='Historia wózka'!$B$4),A1459&gt;='Historia wózka'!$B$5,A1459&lt;='Historia wózka'!$B$6),A1459+0.7+(5000-ROW())/10000000,0)</f>
        <v/>
      </c>
      <c r="J1459" s="63">
        <f>Ustawienia!$B$10&amp;""</f>
        <v/>
      </c>
      <c r="K1459" s="63">
        <f>IF(H1459="","",COUNTIFS('Zgłoszenia'!$B$5:$B$504,F1459,'Zgłoszenia'!$D$5:$D$504,"&gt;="&amp;A1459,'Zgłoszenia'!$D$5:$D$504,"&lt;="&amp;(A1459+1)))</f>
        <v/>
      </c>
      <c r="L1459" s="63">
        <f>IF(OR(H1459="",K1459=0),"—",IF(ISNUMBER(MATCH(H1459,'Zgłoszenia'!$S$5:$S$504,0)),RIGHT("0"&amp;DAY(A1459),2)&amp;"."&amp;RIGHT("0"&amp;MONTH(A1459),2)&amp;"."&amp;YEAR(A1459)&amp;": "&amp;INDEX('Zgłoszenia'!$H$5:$H$504,MATCH(H1459,'Zgłoszenia'!$S$5:$S$504,0)),RIGHT("0"&amp;DAY((A1459+1)),2)&amp;"."&amp;RIGHT("0"&amp;MONTH((A1459+1)),2)&amp;"."&amp;YEAR((A1459+1))&amp;": "&amp;INDEX('Zgłoszenia'!$H$5:$H$504,MATCH(F1459&amp;"|"&amp;(A1459+1),'Zgłoszenia'!$S$5:$S$504,0)))&amp;IF(K1459&gt;1," (+"&amp;(K1459-1)&amp;")",""))</f>
        <v/>
      </c>
      <c r="M1459" s="63" t="n">
        <v>18</v>
      </c>
      <c r="N1459" s="2" t="n"/>
      <c r="O1459" s="2" t="n"/>
    </row>
    <row r="1460">
      <c r="A1460" s="62">
        <f>IF('19'!$C$1="","",'19'!$C$1)</f>
        <v/>
      </c>
      <c r="B1460" s="63">
        <f>Ustawienia!$A$8&amp;""</f>
        <v/>
      </c>
      <c r="C1460" s="63">
        <f>Ustawienia!$A$14&amp;""</f>
        <v/>
      </c>
      <c r="D1460" s="63" t="n">
        <v>1</v>
      </c>
      <c r="E1460" s="63">
        <f>IF('19'!B6="","",TRIM('19'!B6&amp;""))</f>
        <v/>
      </c>
      <c r="F1460" s="63">
        <f>IF('19'!C6="","",'19'!C6)</f>
        <v/>
      </c>
      <c r="G1460" s="63">
        <f>'19'!D6&amp;""</f>
        <v/>
      </c>
      <c r="H1460" s="63">
        <f>IF(OR(A1460="",F1460=""),"",F1460&amp;"|"&amp;A1460)</f>
        <v/>
      </c>
      <c r="I1460" s="63">
        <f>IF(AND(H1460&lt;&gt;"",OR('Historia wózka'!$B$4="",F1460='Historia wózka'!$B$4),A1460&gt;='Historia wózka'!$B$5,A1460&lt;='Historia wózka'!$B$6),A1460+0.9+(5000-ROW())/10000000,0)</f>
        <v/>
      </c>
      <c r="J1460" s="63">
        <f>Ustawienia!$B$8&amp;""</f>
        <v/>
      </c>
      <c r="K1460" s="63">
        <f>IF(H1460="","",COUNTIFS('Zgłoszenia'!$B$5:$B$504,F1460,'Zgłoszenia'!$D$5:$D$504,"&gt;="&amp;A1460,'Zgłoszenia'!$D$5:$D$504,"&lt;="&amp;(A1460+1)))</f>
        <v/>
      </c>
      <c r="L1460" s="63">
        <f>IF(OR(H1460="",K1460=0),"—",IF(ISNUMBER(MATCH(H1460,'Zgłoszenia'!$S$5:$S$504,0)),RIGHT("0"&amp;DAY(A1460),2)&amp;"."&amp;RIGHT("0"&amp;MONTH(A1460),2)&amp;"."&amp;YEAR(A1460)&amp;": "&amp;INDEX('Zgłoszenia'!$H$5:$H$504,MATCH(H1460,'Zgłoszenia'!$S$5:$S$504,0)),RIGHT("0"&amp;DAY((A1460+1)),2)&amp;"."&amp;RIGHT("0"&amp;MONTH((A1460+1)),2)&amp;"."&amp;YEAR((A1460+1))&amp;": "&amp;INDEX('Zgłoszenia'!$H$5:$H$504,MATCH(F1460&amp;"|"&amp;(A1460+1),'Zgłoszenia'!$S$5:$S$504,0)))&amp;IF(K1460&gt;1," (+"&amp;(K1460-1)&amp;")",""))</f>
        <v/>
      </c>
      <c r="M1460" s="63" t="n">
        <v>19</v>
      </c>
      <c r="N1460" s="2" t="n"/>
      <c r="O1460" s="2" t="n"/>
    </row>
    <row r="1461">
      <c r="A1461" s="62">
        <f>IF('19'!$C$1="","",'19'!$C$1)</f>
        <v/>
      </c>
      <c r="B1461" s="63">
        <f>Ustawienia!$A$8&amp;""</f>
        <v/>
      </c>
      <c r="C1461" s="63">
        <f>Ustawienia!$A$14&amp;""</f>
        <v/>
      </c>
      <c r="D1461" s="63" t="n">
        <v>2</v>
      </c>
      <c r="E1461" s="63">
        <f>IF('19'!B7="","",TRIM('19'!B7&amp;""))</f>
        <v/>
      </c>
      <c r="F1461" s="63">
        <f>IF('19'!C7="","",'19'!C7)</f>
        <v/>
      </c>
      <c r="G1461" s="63">
        <f>'19'!D7&amp;""</f>
        <v/>
      </c>
      <c r="H1461" s="63">
        <f>IF(OR(A1461="",F1461=""),"",F1461&amp;"|"&amp;A1461)</f>
        <v/>
      </c>
      <c r="I1461" s="63">
        <f>IF(AND(H1461&lt;&gt;"",OR('Historia wózka'!$B$4="",F1461='Historia wózka'!$B$4),A1461&gt;='Historia wózka'!$B$5,A1461&lt;='Historia wózka'!$B$6),A1461+0.9+(5000-ROW())/10000000,0)</f>
        <v/>
      </c>
      <c r="J1461" s="63">
        <f>Ustawienia!$B$8&amp;""</f>
        <v/>
      </c>
      <c r="K1461" s="63">
        <f>IF(H1461="","",COUNTIFS('Zgłoszenia'!$B$5:$B$504,F1461,'Zgłoszenia'!$D$5:$D$504,"&gt;="&amp;A1461,'Zgłoszenia'!$D$5:$D$504,"&lt;="&amp;(A1461+1)))</f>
        <v/>
      </c>
      <c r="L1461" s="63">
        <f>IF(OR(H1461="",K1461=0),"—",IF(ISNUMBER(MATCH(H1461,'Zgłoszenia'!$S$5:$S$504,0)),RIGHT("0"&amp;DAY(A1461),2)&amp;"."&amp;RIGHT("0"&amp;MONTH(A1461),2)&amp;"."&amp;YEAR(A1461)&amp;": "&amp;INDEX('Zgłoszenia'!$H$5:$H$504,MATCH(H1461,'Zgłoszenia'!$S$5:$S$504,0)),RIGHT("0"&amp;DAY((A1461+1)),2)&amp;"."&amp;RIGHT("0"&amp;MONTH((A1461+1)),2)&amp;"."&amp;YEAR((A1461+1))&amp;": "&amp;INDEX('Zgłoszenia'!$H$5:$H$504,MATCH(F1461&amp;"|"&amp;(A1461+1),'Zgłoszenia'!$S$5:$S$504,0)))&amp;IF(K1461&gt;1," (+"&amp;(K1461-1)&amp;")",""))</f>
        <v/>
      </c>
      <c r="M1461" s="63" t="n">
        <v>19</v>
      </c>
      <c r="N1461" s="2" t="n"/>
      <c r="O1461" s="2" t="n"/>
    </row>
    <row r="1462">
      <c r="A1462" s="62">
        <f>IF('19'!$C$1="","",'19'!$C$1)</f>
        <v/>
      </c>
      <c r="B1462" s="63">
        <f>Ustawienia!$A$8&amp;""</f>
        <v/>
      </c>
      <c r="C1462" s="63">
        <f>Ustawienia!$A$14&amp;""</f>
        <v/>
      </c>
      <c r="D1462" s="63" t="n">
        <v>3</v>
      </c>
      <c r="E1462" s="63">
        <f>IF('19'!B8="","",TRIM('19'!B8&amp;""))</f>
        <v/>
      </c>
      <c r="F1462" s="63">
        <f>IF('19'!C8="","",'19'!C8)</f>
        <v/>
      </c>
      <c r="G1462" s="63">
        <f>'19'!D8&amp;""</f>
        <v/>
      </c>
      <c r="H1462" s="63">
        <f>IF(OR(A1462="",F1462=""),"",F1462&amp;"|"&amp;A1462)</f>
        <v/>
      </c>
      <c r="I1462" s="63">
        <f>IF(AND(H1462&lt;&gt;"",OR('Historia wózka'!$B$4="",F1462='Historia wózka'!$B$4),A1462&gt;='Historia wózka'!$B$5,A1462&lt;='Historia wózka'!$B$6),A1462+0.9+(5000-ROW())/10000000,0)</f>
        <v/>
      </c>
      <c r="J1462" s="63">
        <f>Ustawienia!$B$8&amp;""</f>
        <v/>
      </c>
      <c r="K1462" s="63">
        <f>IF(H1462="","",COUNTIFS('Zgłoszenia'!$B$5:$B$504,F1462,'Zgłoszenia'!$D$5:$D$504,"&gt;="&amp;A1462,'Zgłoszenia'!$D$5:$D$504,"&lt;="&amp;(A1462+1)))</f>
        <v/>
      </c>
      <c r="L1462" s="63">
        <f>IF(OR(H1462="",K1462=0),"—",IF(ISNUMBER(MATCH(H1462,'Zgłoszenia'!$S$5:$S$504,0)),RIGHT("0"&amp;DAY(A1462),2)&amp;"."&amp;RIGHT("0"&amp;MONTH(A1462),2)&amp;"."&amp;YEAR(A1462)&amp;": "&amp;INDEX('Zgłoszenia'!$H$5:$H$504,MATCH(H1462,'Zgłoszenia'!$S$5:$S$504,0)),RIGHT("0"&amp;DAY((A1462+1)),2)&amp;"."&amp;RIGHT("0"&amp;MONTH((A1462+1)),2)&amp;"."&amp;YEAR((A1462+1))&amp;": "&amp;INDEX('Zgłoszenia'!$H$5:$H$504,MATCH(F1462&amp;"|"&amp;(A1462+1),'Zgłoszenia'!$S$5:$S$504,0)))&amp;IF(K1462&gt;1," (+"&amp;(K1462-1)&amp;")",""))</f>
        <v/>
      </c>
      <c r="M1462" s="63" t="n">
        <v>19</v>
      </c>
      <c r="N1462" s="2" t="n"/>
      <c r="O1462" s="2" t="n"/>
    </row>
    <row r="1463">
      <c r="A1463" s="62">
        <f>IF('19'!$C$1="","",'19'!$C$1)</f>
        <v/>
      </c>
      <c r="B1463" s="63">
        <f>Ustawienia!$A$8&amp;""</f>
        <v/>
      </c>
      <c r="C1463" s="63">
        <f>Ustawienia!$A$14&amp;""</f>
        <v/>
      </c>
      <c r="D1463" s="63" t="n">
        <v>4</v>
      </c>
      <c r="E1463" s="63">
        <f>IF('19'!B9="","",TRIM('19'!B9&amp;""))</f>
        <v/>
      </c>
      <c r="F1463" s="63">
        <f>IF('19'!C9="","",'19'!C9)</f>
        <v/>
      </c>
      <c r="G1463" s="63">
        <f>'19'!D9&amp;""</f>
        <v/>
      </c>
      <c r="H1463" s="63">
        <f>IF(OR(A1463="",F1463=""),"",F1463&amp;"|"&amp;A1463)</f>
        <v/>
      </c>
      <c r="I1463" s="63">
        <f>IF(AND(H1463&lt;&gt;"",OR('Historia wózka'!$B$4="",F1463='Historia wózka'!$B$4),A1463&gt;='Historia wózka'!$B$5,A1463&lt;='Historia wózka'!$B$6),A1463+0.9+(5000-ROW())/10000000,0)</f>
        <v/>
      </c>
      <c r="J1463" s="63">
        <f>Ustawienia!$B$8&amp;""</f>
        <v/>
      </c>
      <c r="K1463" s="63">
        <f>IF(H1463="","",COUNTIFS('Zgłoszenia'!$B$5:$B$504,F1463,'Zgłoszenia'!$D$5:$D$504,"&gt;="&amp;A1463,'Zgłoszenia'!$D$5:$D$504,"&lt;="&amp;(A1463+1)))</f>
        <v/>
      </c>
      <c r="L1463" s="63">
        <f>IF(OR(H1463="",K1463=0),"—",IF(ISNUMBER(MATCH(H1463,'Zgłoszenia'!$S$5:$S$504,0)),RIGHT("0"&amp;DAY(A1463),2)&amp;"."&amp;RIGHT("0"&amp;MONTH(A1463),2)&amp;"."&amp;YEAR(A1463)&amp;": "&amp;INDEX('Zgłoszenia'!$H$5:$H$504,MATCH(H1463,'Zgłoszenia'!$S$5:$S$504,0)),RIGHT("0"&amp;DAY((A1463+1)),2)&amp;"."&amp;RIGHT("0"&amp;MONTH((A1463+1)),2)&amp;"."&amp;YEAR((A1463+1))&amp;": "&amp;INDEX('Zgłoszenia'!$H$5:$H$504,MATCH(F1463&amp;"|"&amp;(A1463+1),'Zgłoszenia'!$S$5:$S$504,0)))&amp;IF(K1463&gt;1," (+"&amp;(K1463-1)&amp;")",""))</f>
        <v/>
      </c>
      <c r="M1463" s="63" t="n">
        <v>19</v>
      </c>
      <c r="N1463" s="2" t="n"/>
      <c r="O1463" s="2" t="n"/>
    </row>
    <row r="1464">
      <c r="A1464" s="62">
        <f>IF('19'!$C$1="","",'19'!$C$1)</f>
        <v/>
      </c>
      <c r="B1464" s="63">
        <f>Ustawienia!$A$8&amp;""</f>
        <v/>
      </c>
      <c r="C1464" s="63">
        <f>Ustawienia!$A$14&amp;""</f>
        <v/>
      </c>
      <c r="D1464" s="63" t="n">
        <v>5</v>
      </c>
      <c r="E1464" s="63">
        <f>IF('19'!B10="","",TRIM('19'!B10&amp;""))</f>
        <v/>
      </c>
      <c r="F1464" s="63">
        <f>IF('19'!C10="","",'19'!C10)</f>
        <v/>
      </c>
      <c r="G1464" s="63">
        <f>'19'!D10&amp;""</f>
        <v/>
      </c>
      <c r="H1464" s="63">
        <f>IF(OR(A1464="",F1464=""),"",F1464&amp;"|"&amp;A1464)</f>
        <v/>
      </c>
      <c r="I1464" s="63">
        <f>IF(AND(H1464&lt;&gt;"",OR('Historia wózka'!$B$4="",F1464='Historia wózka'!$B$4),A1464&gt;='Historia wózka'!$B$5,A1464&lt;='Historia wózka'!$B$6),A1464+0.9+(5000-ROW())/10000000,0)</f>
        <v/>
      </c>
      <c r="J1464" s="63">
        <f>Ustawienia!$B$8&amp;""</f>
        <v/>
      </c>
      <c r="K1464" s="63">
        <f>IF(H1464="","",COUNTIFS('Zgłoszenia'!$B$5:$B$504,F1464,'Zgłoszenia'!$D$5:$D$504,"&gt;="&amp;A1464,'Zgłoszenia'!$D$5:$D$504,"&lt;="&amp;(A1464+1)))</f>
        <v/>
      </c>
      <c r="L1464" s="63">
        <f>IF(OR(H1464="",K1464=0),"—",IF(ISNUMBER(MATCH(H1464,'Zgłoszenia'!$S$5:$S$504,0)),RIGHT("0"&amp;DAY(A1464),2)&amp;"."&amp;RIGHT("0"&amp;MONTH(A1464),2)&amp;"."&amp;YEAR(A1464)&amp;": "&amp;INDEX('Zgłoszenia'!$H$5:$H$504,MATCH(H1464,'Zgłoszenia'!$S$5:$S$504,0)),RIGHT("0"&amp;DAY((A1464+1)),2)&amp;"."&amp;RIGHT("0"&amp;MONTH((A1464+1)),2)&amp;"."&amp;YEAR((A1464+1))&amp;": "&amp;INDEX('Zgłoszenia'!$H$5:$H$504,MATCH(F1464&amp;"|"&amp;(A1464+1),'Zgłoszenia'!$S$5:$S$504,0)))&amp;IF(K1464&gt;1," (+"&amp;(K1464-1)&amp;")",""))</f>
        <v/>
      </c>
      <c r="M1464" s="63" t="n">
        <v>19</v>
      </c>
      <c r="N1464" s="2" t="n"/>
      <c r="O1464" s="2" t="n"/>
    </row>
    <row r="1465">
      <c r="A1465" s="62">
        <f>IF('19'!$C$1="","",'19'!$C$1)</f>
        <v/>
      </c>
      <c r="B1465" s="63">
        <f>Ustawienia!$A$8&amp;""</f>
        <v/>
      </c>
      <c r="C1465" s="63">
        <f>Ustawienia!$A$14&amp;""</f>
        <v/>
      </c>
      <c r="D1465" s="63" t="n">
        <v>6</v>
      </c>
      <c r="E1465" s="63">
        <f>IF('19'!B11="","",TRIM('19'!B11&amp;""))</f>
        <v/>
      </c>
      <c r="F1465" s="63">
        <f>IF('19'!C11="","",'19'!C11)</f>
        <v/>
      </c>
      <c r="G1465" s="63">
        <f>'19'!D11&amp;""</f>
        <v/>
      </c>
      <c r="H1465" s="63">
        <f>IF(OR(A1465="",F1465=""),"",F1465&amp;"|"&amp;A1465)</f>
        <v/>
      </c>
      <c r="I1465" s="63">
        <f>IF(AND(H1465&lt;&gt;"",OR('Historia wózka'!$B$4="",F1465='Historia wózka'!$B$4),A1465&gt;='Historia wózka'!$B$5,A1465&lt;='Historia wózka'!$B$6),A1465+0.9+(5000-ROW())/10000000,0)</f>
        <v/>
      </c>
      <c r="J1465" s="63">
        <f>Ustawienia!$B$8&amp;""</f>
        <v/>
      </c>
      <c r="K1465" s="63">
        <f>IF(H1465="","",COUNTIFS('Zgłoszenia'!$B$5:$B$504,F1465,'Zgłoszenia'!$D$5:$D$504,"&gt;="&amp;A1465,'Zgłoszenia'!$D$5:$D$504,"&lt;="&amp;(A1465+1)))</f>
        <v/>
      </c>
      <c r="L1465" s="63">
        <f>IF(OR(H1465="",K1465=0),"—",IF(ISNUMBER(MATCH(H1465,'Zgłoszenia'!$S$5:$S$504,0)),RIGHT("0"&amp;DAY(A1465),2)&amp;"."&amp;RIGHT("0"&amp;MONTH(A1465),2)&amp;"."&amp;YEAR(A1465)&amp;": "&amp;INDEX('Zgłoszenia'!$H$5:$H$504,MATCH(H1465,'Zgłoszenia'!$S$5:$S$504,0)),RIGHT("0"&amp;DAY((A1465+1)),2)&amp;"."&amp;RIGHT("0"&amp;MONTH((A1465+1)),2)&amp;"."&amp;YEAR((A1465+1))&amp;": "&amp;INDEX('Zgłoszenia'!$H$5:$H$504,MATCH(F1465&amp;"|"&amp;(A1465+1),'Zgłoszenia'!$S$5:$S$504,0)))&amp;IF(K1465&gt;1," (+"&amp;(K1465-1)&amp;")",""))</f>
        <v/>
      </c>
      <c r="M1465" s="63" t="n">
        <v>19</v>
      </c>
      <c r="N1465" s="2" t="n"/>
      <c r="O1465" s="2" t="n"/>
    </row>
    <row r="1466">
      <c r="A1466" s="62">
        <f>IF('19'!$C$1="","",'19'!$C$1)</f>
        <v/>
      </c>
      <c r="B1466" s="63">
        <f>Ustawienia!$A$8&amp;""</f>
        <v/>
      </c>
      <c r="C1466" s="63">
        <f>Ustawienia!$A$15&amp;""</f>
        <v/>
      </c>
      <c r="D1466" s="63" t="n">
        <v>1</v>
      </c>
      <c r="E1466" s="63">
        <f>IF('19'!B13="","",TRIM('19'!B13&amp;""))</f>
        <v/>
      </c>
      <c r="F1466" s="63">
        <f>IF('19'!C13="","",'19'!C13)</f>
        <v/>
      </c>
      <c r="G1466" s="63">
        <f>'19'!D13&amp;""</f>
        <v/>
      </c>
      <c r="H1466" s="63">
        <f>IF(OR(A1466="",F1466=""),"",F1466&amp;"|"&amp;A1466)</f>
        <v/>
      </c>
      <c r="I1466" s="63">
        <f>IF(AND(H1466&lt;&gt;"",OR('Historia wózka'!$B$4="",F1466='Historia wózka'!$B$4),A1466&gt;='Historia wózka'!$B$5,A1466&lt;='Historia wózka'!$B$6),A1466+0.9+(5000-ROW())/10000000,0)</f>
        <v/>
      </c>
      <c r="J1466" s="63">
        <f>Ustawienia!$B$8&amp;""</f>
        <v/>
      </c>
      <c r="K1466" s="63">
        <f>IF(H1466="","",COUNTIFS('Zgłoszenia'!$B$5:$B$504,F1466,'Zgłoszenia'!$D$5:$D$504,"&gt;="&amp;A1466,'Zgłoszenia'!$D$5:$D$504,"&lt;="&amp;(A1466+1)))</f>
        <v/>
      </c>
      <c r="L1466" s="63">
        <f>IF(OR(H1466="",K1466=0),"—",IF(ISNUMBER(MATCH(H1466,'Zgłoszenia'!$S$5:$S$504,0)),RIGHT("0"&amp;DAY(A1466),2)&amp;"."&amp;RIGHT("0"&amp;MONTH(A1466),2)&amp;"."&amp;YEAR(A1466)&amp;": "&amp;INDEX('Zgłoszenia'!$H$5:$H$504,MATCH(H1466,'Zgłoszenia'!$S$5:$S$504,0)),RIGHT("0"&amp;DAY((A1466+1)),2)&amp;"."&amp;RIGHT("0"&amp;MONTH((A1466+1)),2)&amp;"."&amp;YEAR((A1466+1))&amp;": "&amp;INDEX('Zgłoszenia'!$H$5:$H$504,MATCH(F1466&amp;"|"&amp;(A1466+1),'Zgłoszenia'!$S$5:$S$504,0)))&amp;IF(K1466&gt;1," (+"&amp;(K1466-1)&amp;")",""))</f>
        <v/>
      </c>
      <c r="M1466" s="63" t="n">
        <v>19</v>
      </c>
      <c r="N1466" s="2" t="n"/>
      <c r="O1466" s="2" t="n"/>
    </row>
    <row r="1467">
      <c r="A1467" s="62">
        <f>IF('19'!$C$1="","",'19'!$C$1)</f>
        <v/>
      </c>
      <c r="B1467" s="63">
        <f>Ustawienia!$A$8&amp;""</f>
        <v/>
      </c>
      <c r="C1467" s="63">
        <f>Ustawienia!$A$15&amp;""</f>
        <v/>
      </c>
      <c r="D1467" s="63" t="n">
        <v>2</v>
      </c>
      <c r="E1467" s="63">
        <f>IF('19'!B14="","",TRIM('19'!B14&amp;""))</f>
        <v/>
      </c>
      <c r="F1467" s="63">
        <f>IF('19'!C14="","",'19'!C14)</f>
        <v/>
      </c>
      <c r="G1467" s="63">
        <f>'19'!D14&amp;""</f>
        <v/>
      </c>
      <c r="H1467" s="63">
        <f>IF(OR(A1467="",F1467=""),"",F1467&amp;"|"&amp;A1467)</f>
        <v/>
      </c>
      <c r="I1467" s="63">
        <f>IF(AND(H1467&lt;&gt;"",OR('Historia wózka'!$B$4="",F1467='Historia wózka'!$B$4),A1467&gt;='Historia wózka'!$B$5,A1467&lt;='Historia wózka'!$B$6),A1467+0.9+(5000-ROW())/10000000,0)</f>
        <v/>
      </c>
      <c r="J1467" s="63">
        <f>Ustawienia!$B$8&amp;""</f>
        <v/>
      </c>
      <c r="K1467" s="63">
        <f>IF(H1467="","",COUNTIFS('Zgłoszenia'!$B$5:$B$504,F1467,'Zgłoszenia'!$D$5:$D$504,"&gt;="&amp;A1467,'Zgłoszenia'!$D$5:$D$504,"&lt;="&amp;(A1467+1)))</f>
        <v/>
      </c>
      <c r="L1467" s="63">
        <f>IF(OR(H1467="",K1467=0),"—",IF(ISNUMBER(MATCH(H1467,'Zgłoszenia'!$S$5:$S$504,0)),RIGHT("0"&amp;DAY(A1467),2)&amp;"."&amp;RIGHT("0"&amp;MONTH(A1467),2)&amp;"."&amp;YEAR(A1467)&amp;": "&amp;INDEX('Zgłoszenia'!$H$5:$H$504,MATCH(H1467,'Zgłoszenia'!$S$5:$S$504,0)),RIGHT("0"&amp;DAY((A1467+1)),2)&amp;"."&amp;RIGHT("0"&amp;MONTH((A1467+1)),2)&amp;"."&amp;YEAR((A1467+1))&amp;": "&amp;INDEX('Zgłoszenia'!$H$5:$H$504,MATCH(F1467&amp;"|"&amp;(A1467+1),'Zgłoszenia'!$S$5:$S$504,0)))&amp;IF(K1467&gt;1," (+"&amp;(K1467-1)&amp;")",""))</f>
        <v/>
      </c>
      <c r="M1467" s="63" t="n">
        <v>19</v>
      </c>
      <c r="N1467" s="2" t="n"/>
      <c r="O1467" s="2" t="n"/>
    </row>
    <row r="1468">
      <c r="A1468" s="62">
        <f>IF('19'!$C$1="","",'19'!$C$1)</f>
        <v/>
      </c>
      <c r="B1468" s="63">
        <f>Ustawienia!$A$8&amp;""</f>
        <v/>
      </c>
      <c r="C1468" s="63">
        <f>Ustawienia!$A$15&amp;""</f>
        <v/>
      </c>
      <c r="D1468" s="63" t="n">
        <v>3</v>
      </c>
      <c r="E1468" s="63">
        <f>IF('19'!B15="","",TRIM('19'!B15&amp;""))</f>
        <v/>
      </c>
      <c r="F1468" s="63">
        <f>IF('19'!C15="","",'19'!C15)</f>
        <v/>
      </c>
      <c r="G1468" s="63">
        <f>'19'!D15&amp;""</f>
        <v/>
      </c>
      <c r="H1468" s="63">
        <f>IF(OR(A1468="",F1468=""),"",F1468&amp;"|"&amp;A1468)</f>
        <v/>
      </c>
      <c r="I1468" s="63">
        <f>IF(AND(H1468&lt;&gt;"",OR('Historia wózka'!$B$4="",F1468='Historia wózka'!$B$4),A1468&gt;='Historia wózka'!$B$5,A1468&lt;='Historia wózka'!$B$6),A1468+0.9+(5000-ROW())/10000000,0)</f>
        <v/>
      </c>
      <c r="J1468" s="63">
        <f>Ustawienia!$B$8&amp;""</f>
        <v/>
      </c>
      <c r="K1468" s="63">
        <f>IF(H1468="","",COUNTIFS('Zgłoszenia'!$B$5:$B$504,F1468,'Zgłoszenia'!$D$5:$D$504,"&gt;="&amp;A1468,'Zgłoszenia'!$D$5:$D$504,"&lt;="&amp;(A1468+1)))</f>
        <v/>
      </c>
      <c r="L1468" s="63">
        <f>IF(OR(H1468="",K1468=0),"—",IF(ISNUMBER(MATCH(H1468,'Zgłoszenia'!$S$5:$S$504,0)),RIGHT("0"&amp;DAY(A1468),2)&amp;"."&amp;RIGHT("0"&amp;MONTH(A1468),2)&amp;"."&amp;YEAR(A1468)&amp;": "&amp;INDEX('Zgłoszenia'!$H$5:$H$504,MATCH(H1468,'Zgłoszenia'!$S$5:$S$504,0)),RIGHT("0"&amp;DAY((A1468+1)),2)&amp;"."&amp;RIGHT("0"&amp;MONTH((A1468+1)),2)&amp;"."&amp;YEAR((A1468+1))&amp;": "&amp;INDEX('Zgłoszenia'!$H$5:$H$504,MATCH(F1468&amp;"|"&amp;(A1468+1),'Zgłoszenia'!$S$5:$S$504,0)))&amp;IF(K1468&gt;1," (+"&amp;(K1468-1)&amp;")",""))</f>
        <v/>
      </c>
      <c r="M1468" s="63" t="n">
        <v>19</v>
      </c>
      <c r="N1468" s="2" t="n"/>
      <c r="O1468" s="2" t="n"/>
    </row>
    <row r="1469">
      <c r="A1469" s="62">
        <f>IF('19'!$C$1="","",'19'!$C$1)</f>
        <v/>
      </c>
      <c r="B1469" s="63">
        <f>Ustawienia!$A$8&amp;""</f>
        <v/>
      </c>
      <c r="C1469" s="63">
        <f>Ustawienia!$A$15&amp;""</f>
        <v/>
      </c>
      <c r="D1469" s="63" t="n">
        <v>4</v>
      </c>
      <c r="E1469" s="63">
        <f>IF('19'!B16="","",TRIM('19'!B16&amp;""))</f>
        <v/>
      </c>
      <c r="F1469" s="63">
        <f>IF('19'!C16="","",'19'!C16)</f>
        <v/>
      </c>
      <c r="G1469" s="63">
        <f>'19'!D16&amp;""</f>
        <v/>
      </c>
      <c r="H1469" s="63">
        <f>IF(OR(A1469="",F1469=""),"",F1469&amp;"|"&amp;A1469)</f>
        <v/>
      </c>
      <c r="I1469" s="63">
        <f>IF(AND(H1469&lt;&gt;"",OR('Historia wózka'!$B$4="",F1469='Historia wózka'!$B$4),A1469&gt;='Historia wózka'!$B$5,A1469&lt;='Historia wózka'!$B$6),A1469+0.9+(5000-ROW())/10000000,0)</f>
        <v/>
      </c>
      <c r="J1469" s="63">
        <f>Ustawienia!$B$8&amp;""</f>
        <v/>
      </c>
      <c r="K1469" s="63">
        <f>IF(H1469="","",COUNTIFS('Zgłoszenia'!$B$5:$B$504,F1469,'Zgłoszenia'!$D$5:$D$504,"&gt;="&amp;A1469,'Zgłoszenia'!$D$5:$D$504,"&lt;="&amp;(A1469+1)))</f>
        <v/>
      </c>
      <c r="L1469" s="63">
        <f>IF(OR(H1469="",K1469=0),"—",IF(ISNUMBER(MATCH(H1469,'Zgłoszenia'!$S$5:$S$504,0)),RIGHT("0"&amp;DAY(A1469),2)&amp;"."&amp;RIGHT("0"&amp;MONTH(A1469),2)&amp;"."&amp;YEAR(A1469)&amp;": "&amp;INDEX('Zgłoszenia'!$H$5:$H$504,MATCH(H1469,'Zgłoszenia'!$S$5:$S$504,0)),RIGHT("0"&amp;DAY((A1469+1)),2)&amp;"."&amp;RIGHT("0"&amp;MONTH((A1469+1)),2)&amp;"."&amp;YEAR((A1469+1))&amp;": "&amp;INDEX('Zgłoszenia'!$H$5:$H$504,MATCH(F1469&amp;"|"&amp;(A1469+1),'Zgłoszenia'!$S$5:$S$504,0)))&amp;IF(K1469&gt;1," (+"&amp;(K1469-1)&amp;")",""))</f>
        <v/>
      </c>
      <c r="M1469" s="63" t="n">
        <v>19</v>
      </c>
      <c r="N1469" s="2" t="n"/>
      <c r="O1469" s="2" t="n"/>
    </row>
    <row r="1470">
      <c r="A1470" s="62">
        <f>IF('19'!$C$1="","",'19'!$C$1)</f>
        <v/>
      </c>
      <c r="B1470" s="63">
        <f>Ustawienia!$A$8&amp;""</f>
        <v/>
      </c>
      <c r="C1470" s="63">
        <f>Ustawienia!$A$15&amp;""</f>
        <v/>
      </c>
      <c r="D1470" s="63" t="n">
        <v>5</v>
      </c>
      <c r="E1470" s="63">
        <f>IF('19'!B17="","",TRIM('19'!B17&amp;""))</f>
        <v/>
      </c>
      <c r="F1470" s="63">
        <f>IF('19'!C17="","",'19'!C17)</f>
        <v/>
      </c>
      <c r="G1470" s="63">
        <f>'19'!D17&amp;""</f>
        <v/>
      </c>
      <c r="H1470" s="63">
        <f>IF(OR(A1470="",F1470=""),"",F1470&amp;"|"&amp;A1470)</f>
        <v/>
      </c>
      <c r="I1470" s="63">
        <f>IF(AND(H1470&lt;&gt;"",OR('Historia wózka'!$B$4="",F1470='Historia wózka'!$B$4),A1470&gt;='Historia wózka'!$B$5,A1470&lt;='Historia wózka'!$B$6),A1470+0.9+(5000-ROW())/10000000,0)</f>
        <v/>
      </c>
      <c r="J1470" s="63">
        <f>Ustawienia!$B$8&amp;""</f>
        <v/>
      </c>
      <c r="K1470" s="63">
        <f>IF(H1470="","",COUNTIFS('Zgłoszenia'!$B$5:$B$504,F1470,'Zgłoszenia'!$D$5:$D$504,"&gt;="&amp;A1470,'Zgłoszenia'!$D$5:$D$504,"&lt;="&amp;(A1470+1)))</f>
        <v/>
      </c>
      <c r="L1470" s="63">
        <f>IF(OR(H1470="",K1470=0),"—",IF(ISNUMBER(MATCH(H1470,'Zgłoszenia'!$S$5:$S$504,0)),RIGHT("0"&amp;DAY(A1470),2)&amp;"."&amp;RIGHT("0"&amp;MONTH(A1470),2)&amp;"."&amp;YEAR(A1470)&amp;": "&amp;INDEX('Zgłoszenia'!$H$5:$H$504,MATCH(H1470,'Zgłoszenia'!$S$5:$S$504,0)),RIGHT("0"&amp;DAY((A1470+1)),2)&amp;"."&amp;RIGHT("0"&amp;MONTH((A1470+1)),2)&amp;"."&amp;YEAR((A1470+1))&amp;": "&amp;INDEX('Zgłoszenia'!$H$5:$H$504,MATCH(F1470&amp;"|"&amp;(A1470+1),'Zgłoszenia'!$S$5:$S$504,0)))&amp;IF(K1470&gt;1," (+"&amp;(K1470-1)&amp;")",""))</f>
        <v/>
      </c>
      <c r="M1470" s="63" t="n">
        <v>19</v>
      </c>
      <c r="N1470" s="2" t="n"/>
      <c r="O1470" s="2" t="n"/>
    </row>
    <row r="1471">
      <c r="A1471" s="62">
        <f>IF('19'!$C$1="","",'19'!$C$1)</f>
        <v/>
      </c>
      <c r="B1471" s="63">
        <f>Ustawienia!$A$8&amp;""</f>
        <v/>
      </c>
      <c r="C1471" s="63">
        <f>Ustawienia!$A$15&amp;""</f>
        <v/>
      </c>
      <c r="D1471" s="63" t="n">
        <v>6</v>
      </c>
      <c r="E1471" s="63">
        <f>IF('19'!B18="","",TRIM('19'!B18&amp;""))</f>
        <v/>
      </c>
      <c r="F1471" s="63">
        <f>IF('19'!C18="","",'19'!C18)</f>
        <v/>
      </c>
      <c r="G1471" s="63">
        <f>'19'!D18&amp;""</f>
        <v/>
      </c>
      <c r="H1471" s="63">
        <f>IF(OR(A1471="",F1471=""),"",F1471&amp;"|"&amp;A1471)</f>
        <v/>
      </c>
      <c r="I1471" s="63">
        <f>IF(AND(H1471&lt;&gt;"",OR('Historia wózka'!$B$4="",F1471='Historia wózka'!$B$4),A1471&gt;='Historia wózka'!$B$5,A1471&lt;='Historia wózka'!$B$6),A1471+0.9+(5000-ROW())/10000000,0)</f>
        <v/>
      </c>
      <c r="J1471" s="63">
        <f>Ustawienia!$B$8&amp;""</f>
        <v/>
      </c>
      <c r="K1471" s="63">
        <f>IF(H1471="","",COUNTIFS('Zgłoszenia'!$B$5:$B$504,F1471,'Zgłoszenia'!$D$5:$D$504,"&gt;="&amp;A1471,'Zgłoszenia'!$D$5:$D$504,"&lt;="&amp;(A1471+1)))</f>
        <v/>
      </c>
      <c r="L1471" s="63">
        <f>IF(OR(H1471="",K1471=0),"—",IF(ISNUMBER(MATCH(H1471,'Zgłoszenia'!$S$5:$S$504,0)),RIGHT("0"&amp;DAY(A1471),2)&amp;"."&amp;RIGHT("0"&amp;MONTH(A1471),2)&amp;"."&amp;YEAR(A1471)&amp;": "&amp;INDEX('Zgłoszenia'!$H$5:$H$504,MATCH(H1471,'Zgłoszenia'!$S$5:$S$504,0)),RIGHT("0"&amp;DAY((A1471+1)),2)&amp;"."&amp;RIGHT("0"&amp;MONTH((A1471+1)),2)&amp;"."&amp;YEAR((A1471+1))&amp;": "&amp;INDEX('Zgłoszenia'!$H$5:$H$504,MATCH(F1471&amp;"|"&amp;(A1471+1),'Zgłoszenia'!$S$5:$S$504,0)))&amp;IF(K1471&gt;1," (+"&amp;(K1471-1)&amp;")",""))</f>
        <v/>
      </c>
      <c r="M1471" s="63" t="n">
        <v>19</v>
      </c>
      <c r="N1471" s="2" t="n"/>
      <c r="O1471" s="2" t="n"/>
    </row>
    <row r="1472">
      <c r="A1472" s="62">
        <f>IF('19'!$C$1="","",'19'!$C$1)</f>
        <v/>
      </c>
      <c r="B1472" s="63">
        <f>Ustawienia!$A$8&amp;""</f>
        <v/>
      </c>
      <c r="C1472" s="63">
        <f>Ustawienia!$A$15&amp;""</f>
        <v/>
      </c>
      <c r="D1472" s="63" t="n">
        <v>7</v>
      </c>
      <c r="E1472" s="63">
        <f>IF('19'!B19="","",TRIM('19'!B19&amp;""))</f>
        <v/>
      </c>
      <c r="F1472" s="63">
        <f>IF('19'!C19="","",'19'!C19)</f>
        <v/>
      </c>
      <c r="G1472" s="63">
        <f>'19'!D19&amp;""</f>
        <v/>
      </c>
      <c r="H1472" s="63">
        <f>IF(OR(A1472="",F1472=""),"",F1472&amp;"|"&amp;A1472)</f>
        <v/>
      </c>
      <c r="I1472" s="63">
        <f>IF(AND(H1472&lt;&gt;"",OR('Historia wózka'!$B$4="",F1472='Historia wózka'!$B$4),A1472&gt;='Historia wózka'!$B$5,A1472&lt;='Historia wózka'!$B$6),A1472+0.9+(5000-ROW())/10000000,0)</f>
        <v/>
      </c>
      <c r="J1472" s="63">
        <f>Ustawienia!$B$8&amp;""</f>
        <v/>
      </c>
      <c r="K1472" s="63">
        <f>IF(H1472="","",COUNTIFS('Zgłoszenia'!$B$5:$B$504,F1472,'Zgłoszenia'!$D$5:$D$504,"&gt;="&amp;A1472,'Zgłoszenia'!$D$5:$D$504,"&lt;="&amp;(A1472+1)))</f>
        <v/>
      </c>
      <c r="L1472" s="63">
        <f>IF(OR(H1472="",K1472=0),"—",IF(ISNUMBER(MATCH(H1472,'Zgłoszenia'!$S$5:$S$504,0)),RIGHT("0"&amp;DAY(A1472),2)&amp;"."&amp;RIGHT("0"&amp;MONTH(A1472),2)&amp;"."&amp;YEAR(A1472)&amp;": "&amp;INDEX('Zgłoszenia'!$H$5:$H$504,MATCH(H1472,'Zgłoszenia'!$S$5:$S$504,0)),RIGHT("0"&amp;DAY((A1472+1)),2)&amp;"."&amp;RIGHT("0"&amp;MONTH((A1472+1)),2)&amp;"."&amp;YEAR((A1472+1))&amp;": "&amp;INDEX('Zgłoszenia'!$H$5:$H$504,MATCH(F1472&amp;"|"&amp;(A1472+1),'Zgłoszenia'!$S$5:$S$504,0)))&amp;IF(K1472&gt;1," (+"&amp;(K1472-1)&amp;")",""))</f>
        <v/>
      </c>
      <c r="M1472" s="63" t="n">
        <v>19</v>
      </c>
      <c r="N1472" s="2" t="n"/>
      <c r="O1472" s="2" t="n"/>
    </row>
    <row r="1473">
      <c r="A1473" s="62">
        <f>IF('19'!$C$1="","",'19'!$C$1)</f>
        <v/>
      </c>
      <c r="B1473" s="63">
        <f>Ustawienia!$A$8&amp;""</f>
        <v/>
      </c>
      <c r="C1473" s="63">
        <f>Ustawienia!$A$15&amp;""</f>
        <v/>
      </c>
      <c r="D1473" s="63" t="n">
        <v>8</v>
      </c>
      <c r="E1473" s="63">
        <f>IF('19'!B20="","",TRIM('19'!B20&amp;""))</f>
        <v/>
      </c>
      <c r="F1473" s="63">
        <f>IF('19'!C20="","",'19'!C20)</f>
        <v/>
      </c>
      <c r="G1473" s="63">
        <f>'19'!D20&amp;""</f>
        <v/>
      </c>
      <c r="H1473" s="63">
        <f>IF(OR(A1473="",F1473=""),"",F1473&amp;"|"&amp;A1473)</f>
        <v/>
      </c>
      <c r="I1473" s="63">
        <f>IF(AND(H1473&lt;&gt;"",OR('Historia wózka'!$B$4="",F1473='Historia wózka'!$B$4),A1473&gt;='Historia wózka'!$B$5,A1473&lt;='Historia wózka'!$B$6),A1473+0.9+(5000-ROW())/10000000,0)</f>
        <v/>
      </c>
      <c r="J1473" s="63">
        <f>Ustawienia!$B$8&amp;""</f>
        <v/>
      </c>
      <c r="K1473" s="63">
        <f>IF(H1473="","",COUNTIFS('Zgłoszenia'!$B$5:$B$504,F1473,'Zgłoszenia'!$D$5:$D$504,"&gt;="&amp;A1473,'Zgłoszenia'!$D$5:$D$504,"&lt;="&amp;(A1473+1)))</f>
        <v/>
      </c>
      <c r="L1473" s="63">
        <f>IF(OR(H1473="",K1473=0),"—",IF(ISNUMBER(MATCH(H1473,'Zgłoszenia'!$S$5:$S$504,0)),RIGHT("0"&amp;DAY(A1473),2)&amp;"."&amp;RIGHT("0"&amp;MONTH(A1473),2)&amp;"."&amp;YEAR(A1473)&amp;": "&amp;INDEX('Zgłoszenia'!$H$5:$H$504,MATCH(H1473,'Zgłoszenia'!$S$5:$S$504,0)),RIGHT("0"&amp;DAY((A1473+1)),2)&amp;"."&amp;RIGHT("0"&amp;MONTH((A1473+1)),2)&amp;"."&amp;YEAR((A1473+1))&amp;": "&amp;INDEX('Zgłoszenia'!$H$5:$H$504,MATCH(F1473&amp;"|"&amp;(A1473+1),'Zgłoszenia'!$S$5:$S$504,0)))&amp;IF(K1473&gt;1," (+"&amp;(K1473-1)&amp;")",""))</f>
        <v/>
      </c>
      <c r="M1473" s="63" t="n">
        <v>19</v>
      </c>
      <c r="N1473" s="2" t="n"/>
      <c r="O1473" s="2" t="n"/>
    </row>
    <row r="1474">
      <c r="A1474" s="62">
        <f>IF('19'!$C$1="","",'19'!$C$1)</f>
        <v/>
      </c>
      <c r="B1474" s="63">
        <f>Ustawienia!$A$8&amp;""</f>
        <v/>
      </c>
      <c r="C1474" s="63">
        <f>Ustawienia!$A$16&amp;""</f>
        <v/>
      </c>
      <c r="D1474" s="63" t="n">
        <v>1</v>
      </c>
      <c r="E1474" s="63">
        <f>IF('19'!B22="","",TRIM('19'!B22&amp;""))</f>
        <v/>
      </c>
      <c r="F1474" s="63">
        <f>IF('19'!C22="","",'19'!C22)</f>
        <v/>
      </c>
      <c r="G1474" s="63">
        <f>'19'!D22&amp;""</f>
        <v/>
      </c>
      <c r="H1474" s="63">
        <f>IF(OR(A1474="",F1474=""),"",F1474&amp;"|"&amp;A1474)</f>
        <v/>
      </c>
      <c r="I1474" s="63">
        <f>IF(AND(H1474&lt;&gt;"",OR('Historia wózka'!$B$4="",F1474='Historia wózka'!$B$4),A1474&gt;='Historia wózka'!$B$5,A1474&lt;='Historia wózka'!$B$6),A1474+0.9+(5000-ROW())/10000000,0)</f>
        <v/>
      </c>
      <c r="J1474" s="63">
        <f>Ustawienia!$B$8&amp;""</f>
        <v/>
      </c>
      <c r="K1474" s="63">
        <f>IF(H1474="","",COUNTIFS('Zgłoszenia'!$B$5:$B$504,F1474,'Zgłoszenia'!$D$5:$D$504,"&gt;="&amp;A1474,'Zgłoszenia'!$D$5:$D$504,"&lt;="&amp;(A1474+1)))</f>
        <v/>
      </c>
      <c r="L1474" s="63">
        <f>IF(OR(H1474="",K1474=0),"—",IF(ISNUMBER(MATCH(H1474,'Zgłoszenia'!$S$5:$S$504,0)),RIGHT("0"&amp;DAY(A1474),2)&amp;"."&amp;RIGHT("0"&amp;MONTH(A1474),2)&amp;"."&amp;YEAR(A1474)&amp;": "&amp;INDEX('Zgłoszenia'!$H$5:$H$504,MATCH(H1474,'Zgłoszenia'!$S$5:$S$504,0)),RIGHT("0"&amp;DAY((A1474+1)),2)&amp;"."&amp;RIGHT("0"&amp;MONTH((A1474+1)),2)&amp;"."&amp;YEAR((A1474+1))&amp;": "&amp;INDEX('Zgłoszenia'!$H$5:$H$504,MATCH(F1474&amp;"|"&amp;(A1474+1),'Zgłoszenia'!$S$5:$S$504,0)))&amp;IF(K1474&gt;1," (+"&amp;(K1474-1)&amp;")",""))</f>
        <v/>
      </c>
      <c r="M1474" s="63" t="n">
        <v>19</v>
      </c>
      <c r="N1474" s="2" t="n"/>
      <c r="O1474" s="2" t="n"/>
    </row>
    <row r="1475">
      <c r="A1475" s="62">
        <f>IF('19'!$C$1="","",'19'!$C$1)</f>
        <v/>
      </c>
      <c r="B1475" s="63">
        <f>Ustawienia!$A$8&amp;""</f>
        <v/>
      </c>
      <c r="C1475" s="63">
        <f>Ustawienia!$A$16&amp;""</f>
        <v/>
      </c>
      <c r="D1475" s="63" t="n">
        <v>2</v>
      </c>
      <c r="E1475" s="63">
        <f>IF('19'!B23="","",TRIM('19'!B23&amp;""))</f>
        <v/>
      </c>
      <c r="F1475" s="63">
        <f>IF('19'!C23="","",'19'!C23)</f>
        <v/>
      </c>
      <c r="G1475" s="63">
        <f>'19'!D23&amp;""</f>
        <v/>
      </c>
      <c r="H1475" s="63">
        <f>IF(OR(A1475="",F1475=""),"",F1475&amp;"|"&amp;A1475)</f>
        <v/>
      </c>
      <c r="I1475" s="63">
        <f>IF(AND(H1475&lt;&gt;"",OR('Historia wózka'!$B$4="",F1475='Historia wózka'!$B$4),A1475&gt;='Historia wózka'!$B$5,A1475&lt;='Historia wózka'!$B$6),A1475+0.9+(5000-ROW())/10000000,0)</f>
        <v/>
      </c>
      <c r="J1475" s="63">
        <f>Ustawienia!$B$8&amp;""</f>
        <v/>
      </c>
      <c r="K1475" s="63">
        <f>IF(H1475="","",COUNTIFS('Zgłoszenia'!$B$5:$B$504,F1475,'Zgłoszenia'!$D$5:$D$504,"&gt;="&amp;A1475,'Zgłoszenia'!$D$5:$D$504,"&lt;="&amp;(A1475+1)))</f>
        <v/>
      </c>
      <c r="L1475" s="63">
        <f>IF(OR(H1475="",K1475=0),"—",IF(ISNUMBER(MATCH(H1475,'Zgłoszenia'!$S$5:$S$504,0)),RIGHT("0"&amp;DAY(A1475),2)&amp;"."&amp;RIGHT("0"&amp;MONTH(A1475),2)&amp;"."&amp;YEAR(A1475)&amp;": "&amp;INDEX('Zgłoszenia'!$H$5:$H$504,MATCH(H1475,'Zgłoszenia'!$S$5:$S$504,0)),RIGHT("0"&amp;DAY((A1475+1)),2)&amp;"."&amp;RIGHT("0"&amp;MONTH((A1475+1)),2)&amp;"."&amp;YEAR((A1475+1))&amp;": "&amp;INDEX('Zgłoszenia'!$H$5:$H$504,MATCH(F1475&amp;"|"&amp;(A1475+1),'Zgłoszenia'!$S$5:$S$504,0)))&amp;IF(K1475&gt;1," (+"&amp;(K1475-1)&amp;")",""))</f>
        <v/>
      </c>
      <c r="M1475" s="63" t="n">
        <v>19</v>
      </c>
      <c r="N1475" s="2" t="n"/>
      <c r="O1475" s="2" t="n"/>
    </row>
    <row r="1476">
      <c r="A1476" s="62">
        <f>IF('19'!$C$1="","",'19'!$C$1)</f>
        <v/>
      </c>
      <c r="B1476" s="63">
        <f>Ustawienia!$A$8&amp;""</f>
        <v/>
      </c>
      <c r="C1476" s="63">
        <f>Ustawienia!$A$16&amp;""</f>
        <v/>
      </c>
      <c r="D1476" s="63" t="n">
        <v>3</v>
      </c>
      <c r="E1476" s="63">
        <f>IF('19'!B24="","",TRIM('19'!B24&amp;""))</f>
        <v/>
      </c>
      <c r="F1476" s="63">
        <f>IF('19'!C24="","",'19'!C24)</f>
        <v/>
      </c>
      <c r="G1476" s="63">
        <f>'19'!D24&amp;""</f>
        <v/>
      </c>
      <c r="H1476" s="63">
        <f>IF(OR(A1476="",F1476=""),"",F1476&amp;"|"&amp;A1476)</f>
        <v/>
      </c>
      <c r="I1476" s="63">
        <f>IF(AND(H1476&lt;&gt;"",OR('Historia wózka'!$B$4="",F1476='Historia wózka'!$B$4),A1476&gt;='Historia wózka'!$B$5,A1476&lt;='Historia wózka'!$B$6),A1476+0.9+(5000-ROW())/10000000,0)</f>
        <v/>
      </c>
      <c r="J1476" s="63">
        <f>Ustawienia!$B$8&amp;""</f>
        <v/>
      </c>
      <c r="K1476" s="63">
        <f>IF(H1476="","",COUNTIFS('Zgłoszenia'!$B$5:$B$504,F1476,'Zgłoszenia'!$D$5:$D$504,"&gt;="&amp;A1476,'Zgłoszenia'!$D$5:$D$504,"&lt;="&amp;(A1476+1)))</f>
        <v/>
      </c>
      <c r="L1476" s="63">
        <f>IF(OR(H1476="",K1476=0),"—",IF(ISNUMBER(MATCH(H1476,'Zgłoszenia'!$S$5:$S$504,0)),RIGHT("0"&amp;DAY(A1476),2)&amp;"."&amp;RIGHT("0"&amp;MONTH(A1476),2)&amp;"."&amp;YEAR(A1476)&amp;": "&amp;INDEX('Zgłoszenia'!$H$5:$H$504,MATCH(H1476,'Zgłoszenia'!$S$5:$S$504,0)),RIGHT("0"&amp;DAY((A1476+1)),2)&amp;"."&amp;RIGHT("0"&amp;MONTH((A1476+1)),2)&amp;"."&amp;YEAR((A1476+1))&amp;": "&amp;INDEX('Zgłoszenia'!$H$5:$H$504,MATCH(F1476&amp;"|"&amp;(A1476+1),'Zgłoszenia'!$S$5:$S$504,0)))&amp;IF(K1476&gt;1," (+"&amp;(K1476-1)&amp;")",""))</f>
        <v/>
      </c>
      <c r="M1476" s="63" t="n">
        <v>19</v>
      </c>
      <c r="N1476" s="2" t="n"/>
      <c r="O1476" s="2" t="n"/>
    </row>
    <row r="1477">
      <c r="A1477" s="62">
        <f>IF('19'!$C$1="","",'19'!$C$1)</f>
        <v/>
      </c>
      <c r="B1477" s="63">
        <f>Ustawienia!$A$8&amp;""</f>
        <v/>
      </c>
      <c r="C1477" s="63">
        <f>Ustawienia!$A$16&amp;""</f>
        <v/>
      </c>
      <c r="D1477" s="63" t="n">
        <v>4</v>
      </c>
      <c r="E1477" s="63">
        <f>IF('19'!B25="","",TRIM('19'!B25&amp;""))</f>
        <v/>
      </c>
      <c r="F1477" s="63">
        <f>IF('19'!C25="","",'19'!C25)</f>
        <v/>
      </c>
      <c r="G1477" s="63">
        <f>'19'!D25&amp;""</f>
        <v/>
      </c>
      <c r="H1477" s="63">
        <f>IF(OR(A1477="",F1477=""),"",F1477&amp;"|"&amp;A1477)</f>
        <v/>
      </c>
      <c r="I1477" s="63">
        <f>IF(AND(H1477&lt;&gt;"",OR('Historia wózka'!$B$4="",F1477='Historia wózka'!$B$4),A1477&gt;='Historia wózka'!$B$5,A1477&lt;='Historia wózka'!$B$6),A1477+0.9+(5000-ROW())/10000000,0)</f>
        <v/>
      </c>
      <c r="J1477" s="63">
        <f>Ustawienia!$B$8&amp;""</f>
        <v/>
      </c>
      <c r="K1477" s="63">
        <f>IF(H1477="","",COUNTIFS('Zgłoszenia'!$B$5:$B$504,F1477,'Zgłoszenia'!$D$5:$D$504,"&gt;="&amp;A1477,'Zgłoszenia'!$D$5:$D$504,"&lt;="&amp;(A1477+1)))</f>
        <v/>
      </c>
      <c r="L1477" s="63">
        <f>IF(OR(H1477="",K1477=0),"—",IF(ISNUMBER(MATCH(H1477,'Zgłoszenia'!$S$5:$S$504,0)),RIGHT("0"&amp;DAY(A1477),2)&amp;"."&amp;RIGHT("0"&amp;MONTH(A1477),2)&amp;"."&amp;YEAR(A1477)&amp;": "&amp;INDEX('Zgłoszenia'!$H$5:$H$504,MATCH(H1477,'Zgłoszenia'!$S$5:$S$504,0)),RIGHT("0"&amp;DAY((A1477+1)),2)&amp;"."&amp;RIGHT("0"&amp;MONTH((A1477+1)),2)&amp;"."&amp;YEAR((A1477+1))&amp;": "&amp;INDEX('Zgłoszenia'!$H$5:$H$504,MATCH(F1477&amp;"|"&amp;(A1477+1),'Zgłoszenia'!$S$5:$S$504,0)))&amp;IF(K1477&gt;1," (+"&amp;(K1477-1)&amp;")",""))</f>
        <v/>
      </c>
      <c r="M1477" s="63" t="n">
        <v>19</v>
      </c>
      <c r="N1477" s="2" t="n"/>
      <c r="O1477" s="2" t="n"/>
    </row>
    <row r="1478">
      <c r="A1478" s="62">
        <f>IF('19'!$C$1="","",'19'!$C$1)</f>
        <v/>
      </c>
      <c r="B1478" s="63">
        <f>Ustawienia!$A$8&amp;""</f>
        <v/>
      </c>
      <c r="C1478" s="63">
        <f>Ustawienia!$A$17&amp;""</f>
        <v/>
      </c>
      <c r="D1478" s="63" t="n">
        <v>1</v>
      </c>
      <c r="E1478" s="63">
        <f>IF('19'!B27="","",TRIM('19'!B27&amp;""))</f>
        <v/>
      </c>
      <c r="F1478" s="63">
        <f>IF('19'!C27="","",'19'!C27)</f>
        <v/>
      </c>
      <c r="G1478" s="63">
        <f>'19'!D27&amp;""</f>
        <v/>
      </c>
      <c r="H1478" s="63">
        <f>IF(OR(A1478="",F1478=""),"",F1478&amp;"|"&amp;A1478)</f>
        <v/>
      </c>
      <c r="I1478" s="63">
        <f>IF(AND(H1478&lt;&gt;"",OR('Historia wózka'!$B$4="",F1478='Historia wózka'!$B$4),A1478&gt;='Historia wózka'!$B$5,A1478&lt;='Historia wózka'!$B$6),A1478+0.9+(5000-ROW())/10000000,0)</f>
        <v/>
      </c>
      <c r="J1478" s="63">
        <f>Ustawienia!$B$8&amp;""</f>
        <v/>
      </c>
      <c r="K1478" s="63">
        <f>IF(H1478="","",COUNTIFS('Zgłoszenia'!$B$5:$B$504,F1478,'Zgłoszenia'!$D$5:$D$504,"&gt;="&amp;A1478,'Zgłoszenia'!$D$5:$D$504,"&lt;="&amp;(A1478+1)))</f>
        <v/>
      </c>
      <c r="L1478" s="63">
        <f>IF(OR(H1478="",K1478=0),"—",IF(ISNUMBER(MATCH(H1478,'Zgłoszenia'!$S$5:$S$504,0)),RIGHT("0"&amp;DAY(A1478),2)&amp;"."&amp;RIGHT("0"&amp;MONTH(A1478),2)&amp;"."&amp;YEAR(A1478)&amp;": "&amp;INDEX('Zgłoszenia'!$H$5:$H$504,MATCH(H1478,'Zgłoszenia'!$S$5:$S$504,0)),RIGHT("0"&amp;DAY((A1478+1)),2)&amp;"."&amp;RIGHT("0"&amp;MONTH((A1478+1)),2)&amp;"."&amp;YEAR((A1478+1))&amp;": "&amp;INDEX('Zgłoszenia'!$H$5:$H$504,MATCH(F1478&amp;"|"&amp;(A1478+1),'Zgłoszenia'!$S$5:$S$504,0)))&amp;IF(K1478&gt;1," (+"&amp;(K1478-1)&amp;")",""))</f>
        <v/>
      </c>
      <c r="M1478" s="63" t="n">
        <v>19</v>
      </c>
      <c r="N1478" s="2" t="n"/>
      <c r="O1478" s="2" t="n"/>
    </row>
    <row r="1479">
      <c r="A1479" s="62">
        <f>IF('19'!$C$1="","",'19'!$C$1)</f>
        <v/>
      </c>
      <c r="B1479" s="63">
        <f>Ustawienia!$A$8&amp;""</f>
        <v/>
      </c>
      <c r="C1479" s="63">
        <f>Ustawienia!$A$17&amp;""</f>
        <v/>
      </c>
      <c r="D1479" s="63" t="n">
        <v>2</v>
      </c>
      <c r="E1479" s="63">
        <f>IF('19'!B28="","",TRIM('19'!B28&amp;""))</f>
        <v/>
      </c>
      <c r="F1479" s="63">
        <f>IF('19'!C28="","",'19'!C28)</f>
        <v/>
      </c>
      <c r="G1479" s="63">
        <f>'19'!D28&amp;""</f>
        <v/>
      </c>
      <c r="H1479" s="63">
        <f>IF(OR(A1479="",F1479=""),"",F1479&amp;"|"&amp;A1479)</f>
        <v/>
      </c>
      <c r="I1479" s="63">
        <f>IF(AND(H1479&lt;&gt;"",OR('Historia wózka'!$B$4="",F1479='Historia wózka'!$B$4),A1479&gt;='Historia wózka'!$B$5,A1479&lt;='Historia wózka'!$B$6),A1479+0.9+(5000-ROW())/10000000,0)</f>
        <v/>
      </c>
      <c r="J1479" s="63">
        <f>Ustawienia!$B$8&amp;""</f>
        <v/>
      </c>
      <c r="K1479" s="63">
        <f>IF(H1479="","",COUNTIFS('Zgłoszenia'!$B$5:$B$504,F1479,'Zgłoszenia'!$D$5:$D$504,"&gt;="&amp;A1479,'Zgłoszenia'!$D$5:$D$504,"&lt;="&amp;(A1479+1)))</f>
        <v/>
      </c>
      <c r="L1479" s="63">
        <f>IF(OR(H1479="",K1479=0),"—",IF(ISNUMBER(MATCH(H1479,'Zgłoszenia'!$S$5:$S$504,0)),RIGHT("0"&amp;DAY(A1479),2)&amp;"."&amp;RIGHT("0"&amp;MONTH(A1479),2)&amp;"."&amp;YEAR(A1479)&amp;": "&amp;INDEX('Zgłoszenia'!$H$5:$H$504,MATCH(H1479,'Zgłoszenia'!$S$5:$S$504,0)),RIGHT("0"&amp;DAY((A1479+1)),2)&amp;"."&amp;RIGHT("0"&amp;MONTH((A1479+1)),2)&amp;"."&amp;YEAR((A1479+1))&amp;": "&amp;INDEX('Zgłoszenia'!$H$5:$H$504,MATCH(F1479&amp;"|"&amp;(A1479+1),'Zgłoszenia'!$S$5:$S$504,0)))&amp;IF(K1479&gt;1," (+"&amp;(K1479-1)&amp;")",""))</f>
        <v/>
      </c>
      <c r="M1479" s="63" t="n">
        <v>19</v>
      </c>
      <c r="N1479" s="2" t="n"/>
      <c r="O1479" s="2" t="n"/>
    </row>
    <row r="1480">
      <c r="A1480" s="62">
        <f>IF('19'!$C$1="","",'19'!$C$1)</f>
        <v/>
      </c>
      <c r="B1480" s="63">
        <f>Ustawienia!$A$8&amp;""</f>
        <v/>
      </c>
      <c r="C1480" s="63">
        <f>Ustawienia!$A$17&amp;""</f>
        <v/>
      </c>
      <c r="D1480" s="63" t="n">
        <v>3</v>
      </c>
      <c r="E1480" s="63">
        <f>IF('19'!B29="","",TRIM('19'!B29&amp;""))</f>
        <v/>
      </c>
      <c r="F1480" s="63">
        <f>IF('19'!C29="","",'19'!C29)</f>
        <v/>
      </c>
      <c r="G1480" s="63">
        <f>'19'!D29&amp;""</f>
        <v/>
      </c>
      <c r="H1480" s="63">
        <f>IF(OR(A1480="",F1480=""),"",F1480&amp;"|"&amp;A1480)</f>
        <v/>
      </c>
      <c r="I1480" s="63">
        <f>IF(AND(H1480&lt;&gt;"",OR('Historia wózka'!$B$4="",F1480='Historia wózka'!$B$4),A1480&gt;='Historia wózka'!$B$5,A1480&lt;='Historia wózka'!$B$6),A1480+0.9+(5000-ROW())/10000000,0)</f>
        <v/>
      </c>
      <c r="J1480" s="63">
        <f>Ustawienia!$B$8&amp;""</f>
        <v/>
      </c>
      <c r="K1480" s="63">
        <f>IF(H1480="","",COUNTIFS('Zgłoszenia'!$B$5:$B$504,F1480,'Zgłoszenia'!$D$5:$D$504,"&gt;="&amp;A1480,'Zgłoszenia'!$D$5:$D$504,"&lt;="&amp;(A1480+1)))</f>
        <v/>
      </c>
      <c r="L1480" s="63">
        <f>IF(OR(H1480="",K1480=0),"—",IF(ISNUMBER(MATCH(H1480,'Zgłoszenia'!$S$5:$S$504,0)),RIGHT("0"&amp;DAY(A1480),2)&amp;"."&amp;RIGHT("0"&amp;MONTH(A1480),2)&amp;"."&amp;YEAR(A1480)&amp;": "&amp;INDEX('Zgłoszenia'!$H$5:$H$504,MATCH(H1480,'Zgłoszenia'!$S$5:$S$504,0)),RIGHT("0"&amp;DAY((A1480+1)),2)&amp;"."&amp;RIGHT("0"&amp;MONTH((A1480+1)),2)&amp;"."&amp;YEAR((A1480+1))&amp;": "&amp;INDEX('Zgłoszenia'!$H$5:$H$504,MATCH(F1480&amp;"|"&amp;(A1480+1),'Zgłoszenia'!$S$5:$S$504,0)))&amp;IF(K1480&gt;1," (+"&amp;(K1480-1)&amp;")",""))</f>
        <v/>
      </c>
      <c r="M1480" s="63" t="n">
        <v>19</v>
      </c>
      <c r="N1480" s="2" t="n"/>
      <c r="O1480" s="2" t="n"/>
    </row>
    <row r="1481">
      <c r="A1481" s="62">
        <f>IF('19'!$C$1="","",'19'!$C$1)</f>
        <v/>
      </c>
      <c r="B1481" s="63">
        <f>Ustawienia!$A$8&amp;""</f>
        <v/>
      </c>
      <c r="C1481" s="63">
        <f>Ustawienia!$A$17&amp;""</f>
        <v/>
      </c>
      <c r="D1481" s="63" t="n">
        <v>4</v>
      </c>
      <c r="E1481" s="63">
        <f>IF('19'!B30="","",TRIM('19'!B30&amp;""))</f>
        <v/>
      </c>
      <c r="F1481" s="63">
        <f>IF('19'!C30="","",'19'!C30)</f>
        <v/>
      </c>
      <c r="G1481" s="63">
        <f>'19'!D30&amp;""</f>
        <v/>
      </c>
      <c r="H1481" s="63">
        <f>IF(OR(A1481="",F1481=""),"",F1481&amp;"|"&amp;A1481)</f>
        <v/>
      </c>
      <c r="I1481" s="63">
        <f>IF(AND(H1481&lt;&gt;"",OR('Historia wózka'!$B$4="",F1481='Historia wózka'!$B$4),A1481&gt;='Historia wózka'!$B$5,A1481&lt;='Historia wózka'!$B$6),A1481+0.9+(5000-ROW())/10000000,0)</f>
        <v/>
      </c>
      <c r="J1481" s="63">
        <f>Ustawienia!$B$8&amp;""</f>
        <v/>
      </c>
      <c r="K1481" s="63">
        <f>IF(H1481="","",COUNTIFS('Zgłoszenia'!$B$5:$B$504,F1481,'Zgłoszenia'!$D$5:$D$504,"&gt;="&amp;A1481,'Zgłoszenia'!$D$5:$D$504,"&lt;="&amp;(A1481+1)))</f>
        <v/>
      </c>
      <c r="L1481" s="63">
        <f>IF(OR(H1481="",K1481=0),"—",IF(ISNUMBER(MATCH(H1481,'Zgłoszenia'!$S$5:$S$504,0)),RIGHT("0"&amp;DAY(A1481),2)&amp;"."&amp;RIGHT("0"&amp;MONTH(A1481),2)&amp;"."&amp;YEAR(A1481)&amp;": "&amp;INDEX('Zgłoszenia'!$H$5:$H$504,MATCH(H1481,'Zgłoszenia'!$S$5:$S$504,0)),RIGHT("0"&amp;DAY((A1481+1)),2)&amp;"."&amp;RIGHT("0"&amp;MONTH((A1481+1)),2)&amp;"."&amp;YEAR((A1481+1))&amp;": "&amp;INDEX('Zgłoszenia'!$H$5:$H$504,MATCH(F1481&amp;"|"&amp;(A1481+1),'Zgłoszenia'!$S$5:$S$504,0)))&amp;IF(K1481&gt;1," (+"&amp;(K1481-1)&amp;")",""))</f>
        <v/>
      </c>
      <c r="M1481" s="63" t="n">
        <v>19</v>
      </c>
      <c r="N1481" s="2" t="n"/>
      <c r="O1481" s="2" t="n"/>
    </row>
    <row r="1482">
      <c r="A1482" s="62">
        <f>IF('19'!$C$1="","",'19'!$C$1)</f>
        <v/>
      </c>
      <c r="B1482" s="63">
        <f>Ustawienia!$A$8&amp;""</f>
        <v/>
      </c>
      <c r="C1482" s="63">
        <f>Ustawienia!$A$18&amp;""</f>
        <v/>
      </c>
      <c r="D1482" s="63" t="n">
        <v>1</v>
      </c>
      <c r="E1482" s="63">
        <f>IF('19'!B32="","",TRIM('19'!B32&amp;""))</f>
        <v/>
      </c>
      <c r="F1482" s="63">
        <f>IF('19'!C32="","",'19'!C32)</f>
        <v/>
      </c>
      <c r="G1482" s="63">
        <f>'19'!D32&amp;""</f>
        <v/>
      </c>
      <c r="H1482" s="63">
        <f>IF(OR(A1482="",F1482=""),"",F1482&amp;"|"&amp;A1482)</f>
        <v/>
      </c>
      <c r="I1482" s="63">
        <f>IF(AND(H1482&lt;&gt;"",OR('Historia wózka'!$B$4="",F1482='Historia wózka'!$B$4),A1482&gt;='Historia wózka'!$B$5,A1482&lt;='Historia wózka'!$B$6),A1482+0.9+(5000-ROW())/10000000,0)</f>
        <v/>
      </c>
      <c r="J1482" s="63">
        <f>Ustawienia!$B$8&amp;""</f>
        <v/>
      </c>
      <c r="K1482" s="63">
        <f>IF(H1482="","",COUNTIFS('Zgłoszenia'!$B$5:$B$504,F1482,'Zgłoszenia'!$D$5:$D$504,"&gt;="&amp;A1482,'Zgłoszenia'!$D$5:$D$504,"&lt;="&amp;(A1482+1)))</f>
        <v/>
      </c>
      <c r="L1482" s="63">
        <f>IF(OR(H1482="",K1482=0),"—",IF(ISNUMBER(MATCH(H1482,'Zgłoszenia'!$S$5:$S$504,0)),RIGHT("0"&amp;DAY(A1482),2)&amp;"."&amp;RIGHT("0"&amp;MONTH(A1482),2)&amp;"."&amp;YEAR(A1482)&amp;": "&amp;INDEX('Zgłoszenia'!$H$5:$H$504,MATCH(H1482,'Zgłoszenia'!$S$5:$S$504,0)),RIGHT("0"&amp;DAY((A1482+1)),2)&amp;"."&amp;RIGHT("0"&amp;MONTH((A1482+1)),2)&amp;"."&amp;YEAR((A1482+1))&amp;": "&amp;INDEX('Zgłoszenia'!$H$5:$H$504,MATCH(F1482&amp;"|"&amp;(A1482+1),'Zgłoszenia'!$S$5:$S$504,0)))&amp;IF(K1482&gt;1," (+"&amp;(K1482-1)&amp;")",""))</f>
        <v/>
      </c>
      <c r="M1482" s="63" t="n">
        <v>19</v>
      </c>
      <c r="N1482" s="2" t="n"/>
      <c r="O1482" s="2" t="n"/>
    </row>
    <row r="1483">
      <c r="A1483" s="62">
        <f>IF('19'!$C$1="","",'19'!$C$1)</f>
        <v/>
      </c>
      <c r="B1483" s="63">
        <f>Ustawienia!$A$8&amp;""</f>
        <v/>
      </c>
      <c r="C1483" s="63">
        <f>Ustawienia!$A$18&amp;""</f>
        <v/>
      </c>
      <c r="D1483" s="63" t="n">
        <v>2</v>
      </c>
      <c r="E1483" s="63">
        <f>IF('19'!B33="","",TRIM('19'!B33&amp;""))</f>
        <v/>
      </c>
      <c r="F1483" s="63">
        <f>IF('19'!C33="","",'19'!C33)</f>
        <v/>
      </c>
      <c r="G1483" s="63">
        <f>'19'!D33&amp;""</f>
        <v/>
      </c>
      <c r="H1483" s="63">
        <f>IF(OR(A1483="",F1483=""),"",F1483&amp;"|"&amp;A1483)</f>
        <v/>
      </c>
      <c r="I1483" s="63">
        <f>IF(AND(H1483&lt;&gt;"",OR('Historia wózka'!$B$4="",F1483='Historia wózka'!$B$4),A1483&gt;='Historia wózka'!$B$5,A1483&lt;='Historia wózka'!$B$6),A1483+0.9+(5000-ROW())/10000000,0)</f>
        <v/>
      </c>
      <c r="J1483" s="63">
        <f>Ustawienia!$B$8&amp;""</f>
        <v/>
      </c>
      <c r="K1483" s="63">
        <f>IF(H1483="","",COUNTIFS('Zgłoszenia'!$B$5:$B$504,F1483,'Zgłoszenia'!$D$5:$D$504,"&gt;="&amp;A1483,'Zgłoszenia'!$D$5:$D$504,"&lt;="&amp;(A1483+1)))</f>
        <v/>
      </c>
      <c r="L1483" s="63">
        <f>IF(OR(H1483="",K1483=0),"—",IF(ISNUMBER(MATCH(H1483,'Zgłoszenia'!$S$5:$S$504,0)),RIGHT("0"&amp;DAY(A1483),2)&amp;"."&amp;RIGHT("0"&amp;MONTH(A1483),2)&amp;"."&amp;YEAR(A1483)&amp;": "&amp;INDEX('Zgłoszenia'!$H$5:$H$504,MATCH(H1483,'Zgłoszenia'!$S$5:$S$504,0)),RIGHT("0"&amp;DAY((A1483+1)),2)&amp;"."&amp;RIGHT("0"&amp;MONTH((A1483+1)),2)&amp;"."&amp;YEAR((A1483+1))&amp;": "&amp;INDEX('Zgłoszenia'!$H$5:$H$504,MATCH(F1483&amp;"|"&amp;(A1483+1),'Zgłoszenia'!$S$5:$S$504,0)))&amp;IF(K1483&gt;1," (+"&amp;(K1483-1)&amp;")",""))</f>
        <v/>
      </c>
      <c r="M1483" s="63" t="n">
        <v>19</v>
      </c>
      <c r="N1483" s="2" t="n"/>
      <c r="O1483" s="2" t="n"/>
    </row>
    <row r="1484">
      <c r="A1484" s="62">
        <f>IF('19'!$C$1="","",'19'!$C$1)</f>
        <v/>
      </c>
      <c r="B1484" s="63">
        <f>Ustawienia!$A$8&amp;""</f>
        <v/>
      </c>
      <c r="C1484" s="63">
        <f>Ustawienia!$A$18&amp;""</f>
        <v/>
      </c>
      <c r="D1484" s="63" t="n">
        <v>3</v>
      </c>
      <c r="E1484" s="63">
        <f>IF('19'!B34="","",TRIM('19'!B34&amp;""))</f>
        <v/>
      </c>
      <c r="F1484" s="63">
        <f>IF('19'!C34="","",'19'!C34)</f>
        <v/>
      </c>
      <c r="G1484" s="63">
        <f>'19'!D34&amp;""</f>
        <v/>
      </c>
      <c r="H1484" s="63">
        <f>IF(OR(A1484="",F1484=""),"",F1484&amp;"|"&amp;A1484)</f>
        <v/>
      </c>
      <c r="I1484" s="63">
        <f>IF(AND(H1484&lt;&gt;"",OR('Historia wózka'!$B$4="",F1484='Historia wózka'!$B$4),A1484&gt;='Historia wózka'!$B$5,A1484&lt;='Historia wózka'!$B$6),A1484+0.9+(5000-ROW())/10000000,0)</f>
        <v/>
      </c>
      <c r="J1484" s="63">
        <f>Ustawienia!$B$8&amp;""</f>
        <v/>
      </c>
      <c r="K1484" s="63">
        <f>IF(H1484="","",COUNTIFS('Zgłoszenia'!$B$5:$B$504,F1484,'Zgłoszenia'!$D$5:$D$504,"&gt;="&amp;A1484,'Zgłoszenia'!$D$5:$D$504,"&lt;="&amp;(A1484+1)))</f>
        <v/>
      </c>
      <c r="L1484" s="63">
        <f>IF(OR(H1484="",K1484=0),"—",IF(ISNUMBER(MATCH(H1484,'Zgłoszenia'!$S$5:$S$504,0)),RIGHT("0"&amp;DAY(A1484),2)&amp;"."&amp;RIGHT("0"&amp;MONTH(A1484),2)&amp;"."&amp;YEAR(A1484)&amp;": "&amp;INDEX('Zgłoszenia'!$H$5:$H$504,MATCH(H1484,'Zgłoszenia'!$S$5:$S$504,0)),RIGHT("0"&amp;DAY((A1484+1)),2)&amp;"."&amp;RIGHT("0"&amp;MONTH((A1484+1)),2)&amp;"."&amp;YEAR((A1484+1))&amp;": "&amp;INDEX('Zgłoszenia'!$H$5:$H$504,MATCH(F1484&amp;"|"&amp;(A1484+1),'Zgłoszenia'!$S$5:$S$504,0)))&amp;IF(K1484&gt;1," (+"&amp;(K1484-1)&amp;")",""))</f>
        <v/>
      </c>
      <c r="M1484" s="63" t="n">
        <v>19</v>
      </c>
      <c r="N1484" s="2" t="n"/>
      <c r="O1484" s="2" t="n"/>
    </row>
    <row r="1485">
      <c r="A1485" s="62">
        <f>IF('19'!$C$1="","",'19'!$C$1)</f>
        <v/>
      </c>
      <c r="B1485" s="63">
        <f>Ustawienia!$A$8&amp;""</f>
        <v/>
      </c>
      <c r="C1485" s="63">
        <f>Ustawienia!$A$18&amp;""</f>
        <v/>
      </c>
      <c r="D1485" s="63" t="n">
        <v>4</v>
      </c>
      <c r="E1485" s="63">
        <f>IF('19'!B35="","",TRIM('19'!B35&amp;""))</f>
        <v/>
      </c>
      <c r="F1485" s="63">
        <f>IF('19'!C35="","",'19'!C35)</f>
        <v/>
      </c>
      <c r="G1485" s="63">
        <f>'19'!D35&amp;""</f>
        <v/>
      </c>
      <c r="H1485" s="63">
        <f>IF(OR(A1485="",F1485=""),"",F1485&amp;"|"&amp;A1485)</f>
        <v/>
      </c>
      <c r="I1485" s="63">
        <f>IF(AND(H1485&lt;&gt;"",OR('Historia wózka'!$B$4="",F1485='Historia wózka'!$B$4),A1485&gt;='Historia wózka'!$B$5,A1485&lt;='Historia wózka'!$B$6),A1485+0.9+(5000-ROW())/10000000,0)</f>
        <v/>
      </c>
      <c r="J1485" s="63">
        <f>Ustawienia!$B$8&amp;""</f>
        <v/>
      </c>
      <c r="K1485" s="63">
        <f>IF(H1485="","",COUNTIFS('Zgłoszenia'!$B$5:$B$504,F1485,'Zgłoszenia'!$D$5:$D$504,"&gt;="&amp;A1485,'Zgłoszenia'!$D$5:$D$504,"&lt;="&amp;(A1485+1)))</f>
        <v/>
      </c>
      <c r="L1485" s="63">
        <f>IF(OR(H1485="",K1485=0),"—",IF(ISNUMBER(MATCH(H1485,'Zgłoszenia'!$S$5:$S$504,0)),RIGHT("0"&amp;DAY(A1485),2)&amp;"."&amp;RIGHT("0"&amp;MONTH(A1485),2)&amp;"."&amp;YEAR(A1485)&amp;": "&amp;INDEX('Zgłoszenia'!$H$5:$H$504,MATCH(H1485,'Zgłoszenia'!$S$5:$S$504,0)),RIGHT("0"&amp;DAY((A1485+1)),2)&amp;"."&amp;RIGHT("0"&amp;MONTH((A1485+1)),2)&amp;"."&amp;YEAR((A1485+1))&amp;": "&amp;INDEX('Zgłoszenia'!$H$5:$H$504,MATCH(F1485&amp;"|"&amp;(A1485+1),'Zgłoszenia'!$S$5:$S$504,0)))&amp;IF(K1485&gt;1," (+"&amp;(K1485-1)&amp;")",""))</f>
        <v/>
      </c>
      <c r="M1485" s="63" t="n">
        <v>19</v>
      </c>
      <c r="N1485" s="2" t="n"/>
      <c r="O1485" s="2" t="n"/>
    </row>
    <row r="1486">
      <c r="A1486" s="62">
        <f>IF('19'!$C$1="","",'19'!$C$1)</f>
        <v/>
      </c>
      <c r="B1486" s="63">
        <f>Ustawienia!$A$8&amp;""</f>
        <v/>
      </c>
      <c r="C1486" s="63">
        <f>Ustawienia!$A$18&amp;""</f>
        <v/>
      </c>
      <c r="D1486" s="63" t="n">
        <v>5</v>
      </c>
      <c r="E1486" s="63">
        <f>IF('19'!B36="","",TRIM('19'!B36&amp;""))</f>
        <v/>
      </c>
      <c r="F1486" s="63">
        <f>IF('19'!C36="","",'19'!C36)</f>
        <v/>
      </c>
      <c r="G1486" s="63">
        <f>'19'!D36&amp;""</f>
        <v/>
      </c>
      <c r="H1486" s="63">
        <f>IF(OR(A1486="",F1486=""),"",F1486&amp;"|"&amp;A1486)</f>
        <v/>
      </c>
      <c r="I1486" s="63">
        <f>IF(AND(H1486&lt;&gt;"",OR('Historia wózka'!$B$4="",F1486='Historia wózka'!$B$4),A1486&gt;='Historia wózka'!$B$5,A1486&lt;='Historia wózka'!$B$6),A1486+0.9+(5000-ROW())/10000000,0)</f>
        <v/>
      </c>
      <c r="J1486" s="63">
        <f>Ustawienia!$B$8&amp;""</f>
        <v/>
      </c>
      <c r="K1486" s="63">
        <f>IF(H1486="","",COUNTIFS('Zgłoszenia'!$B$5:$B$504,F1486,'Zgłoszenia'!$D$5:$D$504,"&gt;="&amp;A1486,'Zgłoszenia'!$D$5:$D$504,"&lt;="&amp;(A1486+1)))</f>
        <v/>
      </c>
      <c r="L1486" s="63">
        <f>IF(OR(H1486="",K1486=0),"—",IF(ISNUMBER(MATCH(H1486,'Zgłoszenia'!$S$5:$S$504,0)),RIGHT("0"&amp;DAY(A1486),2)&amp;"."&amp;RIGHT("0"&amp;MONTH(A1486),2)&amp;"."&amp;YEAR(A1486)&amp;": "&amp;INDEX('Zgłoszenia'!$H$5:$H$504,MATCH(H1486,'Zgłoszenia'!$S$5:$S$504,0)),RIGHT("0"&amp;DAY((A1486+1)),2)&amp;"."&amp;RIGHT("0"&amp;MONTH((A1486+1)),2)&amp;"."&amp;YEAR((A1486+1))&amp;": "&amp;INDEX('Zgłoszenia'!$H$5:$H$504,MATCH(F1486&amp;"|"&amp;(A1486+1),'Zgłoszenia'!$S$5:$S$504,0)))&amp;IF(K1486&gt;1," (+"&amp;(K1486-1)&amp;")",""))</f>
        <v/>
      </c>
      <c r="M1486" s="63" t="n">
        <v>19</v>
      </c>
      <c r="N1486" s="2" t="n"/>
      <c r="O1486" s="2" t="n"/>
    </row>
    <row r="1487">
      <c r="A1487" s="62">
        <f>IF('19'!$C$1="","",'19'!$C$1)</f>
        <v/>
      </c>
      <c r="B1487" s="63">
        <f>Ustawienia!$A$9&amp;""</f>
        <v/>
      </c>
      <c r="C1487" s="63">
        <f>Ustawienia!$A$14&amp;""</f>
        <v/>
      </c>
      <c r="D1487" s="63" t="n">
        <v>1</v>
      </c>
      <c r="E1487" s="63">
        <f>IF('19'!F6="","",TRIM('19'!F6&amp;""))</f>
        <v/>
      </c>
      <c r="F1487" s="63">
        <f>IF('19'!G6="","",'19'!G6)</f>
        <v/>
      </c>
      <c r="G1487" s="63">
        <f>'19'!H6&amp;""</f>
        <v/>
      </c>
      <c r="H1487" s="63">
        <f>IF(OR(A1487="",F1487=""),"",F1487&amp;"|"&amp;A1487)</f>
        <v/>
      </c>
      <c r="I1487" s="63">
        <f>IF(AND(H1487&lt;&gt;"",OR('Historia wózka'!$B$4="",F1487='Historia wózka'!$B$4),A1487&gt;='Historia wózka'!$B$5,A1487&lt;='Historia wózka'!$B$6),A1487+0.8+(5000-ROW())/10000000,0)</f>
        <v/>
      </c>
      <c r="J1487" s="63">
        <f>Ustawienia!$B$9&amp;""</f>
        <v/>
      </c>
      <c r="K1487" s="63">
        <f>IF(H1487="","",COUNTIFS('Zgłoszenia'!$B$5:$B$504,F1487,'Zgłoszenia'!$D$5:$D$504,"&gt;="&amp;A1487,'Zgłoszenia'!$D$5:$D$504,"&lt;="&amp;(A1487+1)))</f>
        <v/>
      </c>
      <c r="L1487" s="63">
        <f>IF(OR(H1487="",K1487=0),"—",IF(ISNUMBER(MATCH(H1487,'Zgłoszenia'!$S$5:$S$504,0)),RIGHT("0"&amp;DAY(A1487),2)&amp;"."&amp;RIGHT("0"&amp;MONTH(A1487),2)&amp;"."&amp;YEAR(A1487)&amp;": "&amp;INDEX('Zgłoszenia'!$H$5:$H$504,MATCH(H1487,'Zgłoszenia'!$S$5:$S$504,0)),RIGHT("0"&amp;DAY((A1487+1)),2)&amp;"."&amp;RIGHT("0"&amp;MONTH((A1487+1)),2)&amp;"."&amp;YEAR((A1487+1))&amp;": "&amp;INDEX('Zgłoszenia'!$H$5:$H$504,MATCH(F1487&amp;"|"&amp;(A1487+1),'Zgłoszenia'!$S$5:$S$504,0)))&amp;IF(K1487&gt;1," (+"&amp;(K1487-1)&amp;")",""))</f>
        <v/>
      </c>
      <c r="M1487" s="63" t="n">
        <v>19</v>
      </c>
      <c r="N1487" s="2" t="n"/>
      <c r="O1487" s="2" t="n"/>
    </row>
    <row r="1488">
      <c r="A1488" s="62">
        <f>IF('19'!$C$1="","",'19'!$C$1)</f>
        <v/>
      </c>
      <c r="B1488" s="63">
        <f>Ustawienia!$A$9&amp;""</f>
        <v/>
      </c>
      <c r="C1488" s="63">
        <f>Ustawienia!$A$14&amp;""</f>
        <v/>
      </c>
      <c r="D1488" s="63" t="n">
        <v>2</v>
      </c>
      <c r="E1488" s="63">
        <f>IF('19'!F7="","",TRIM('19'!F7&amp;""))</f>
        <v/>
      </c>
      <c r="F1488" s="63">
        <f>IF('19'!G7="","",'19'!G7)</f>
        <v/>
      </c>
      <c r="G1488" s="63">
        <f>'19'!H7&amp;""</f>
        <v/>
      </c>
      <c r="H1488" s="63">
        <f>IF(OR(A1488="",F1488=""),"",F1488&amp;"|"&amp;A1488)</f>
        <v/>
      </c>
      <c r="I1488" s="63">
        <f>IF(AND(H1488&lt;&gt;"",OR('Historia wózka'!$B$4="",F1488='Historia wózka'!$B$4),A1488&gt;='Historia wózka'!$B$5,A1488&lt;='Historia wózka'!$B$6),A1488+0.8+(5000-ROW())/10000000,0)</f>
        <v/>
      </c>
      <c r="J1488" s="63">
        <f>Ustawienia!$B$9&amp;""</f>
        <v/>
      </c>
      <c r="K1488" s="63">
        <f>IF(H1488="","",COUNTIFS('Zgłoszenia'!$B$5:$B$504,F1488,'Zgłoszenia'!$D$5:$D$504,"&gt;="&amp;A1488,'Zgłoszenia'!$D$5:$D$504,"&lt;="&amp;(A1488+1)))</f>
        <v/>
      </c>
      <c r="L1488" s="63">
        <f>IF(OR(H1488="",K1488=0),"—",IF(ISNUMBER(MATCH(H1488,'Zgłoszenia'!$S$5:$S$504,0)),RIGHT("0"&amp;DAY(A1488),2)&amp;"."&amp;RIGHT("0"&amp;MONTH(A1488),2)&amp;"."&amp;YEAR(A1488)&amp;": "&amp;INDEX('Zgłoszenia'!$H$5:$H$504,MATCH(H1488,'Zgłoszenia'!$S$5:$S$504,0)),RIGHT("0"&amp;DAY((A1488+1)),2)&amp;"."&amp;RIGHT("0"&amp;MONTH((A1488+1)),2)&amp;"."&amp;YEAR((A1488+1))&amp;": "&amp;INDEX('Zgłoszenia'!$H$5:$H$504,MATCH(F1488&amp;"|"&amp;(A1488+1),'Zgłoszenia'!$S$5:$S$504,0)))&amp;IF(K1488&gt;1," (+"&amp;(K1488-1)&amp;")",""))</f>
        <v/>
      </c>
      <c r="M1488" s="63" t="n">
        <v>19</v>
      </c>
      <c r="N1488" s="2" t="n"/>
      <c r="O1488" s="2" t="n"/>
    </row>
    <row r="1489">
      <c r="A1489" s="62">
        <f>IF('19'!$C$1="","",'19'!$C$1)</f>
        <v/>
      </c>
      <c r="B1489" s="63">
        <f>Ustawienia!$A$9&amp;""</f>
        <v/>
      </c>
      <c r="C1489" s="63">
        <f>Ustawienia!$A$14&amp;""</f>
        <v/>
      </c>
      <c r="D1489" s="63" t="n">
        <v>3</v>
      </c>
      <c r="E1489" s="63">
        <f>IF('19'!F8="","",TRIM('19'!F8&amp;""))</f>
        <v/>
      </c>
      <c r="F1489" s="63">
        <f>IF('19'!G8="","",'19'!G8)</f>
        <v/>
      </c>
      <c r="G1489" s="63">
        <f>'19'!H8&amp;""</f>
        <v/>
      </c>
      <c r="H1489" s="63">
        <f>IF(OR(A1489="",F1489=""),"",F1489&amp;"|"&amp;A1489)</f>
        <v/>
      </c>
      <c r="I1489" s="63">
        <f>IF(AND(H1489&lt;&gt;"",OR('Historia wózka'!$B$4="",F1489='Historia wózka'!$B$4),A1489&gt;='Historia wózka'!$B$5,A1489&lt;='Historia wózka'!$B$6),A1489+0.8+(5000-ROW())/10000000,0)</f>
        <v/>
      </c>
      <c r="J1489" s="63">
        <f>Ustawienia!$B$9&amp;""</f>
        <v/>
      </c>
      <c r="K1489" s="63">
        <f>IF(H1489="","",COUNTIFS('Zgłoszenia'!$B$5:$B$504,F1489,'Zgłoszenia'!$D$5:$D$504,"&gt;="&amp;A1489,'Zgłoszenia'!$D$5:$D$504,"&lt;="&amp;(A1489+1)))</f>
        <v/>
      </c>
      <c r="L1489" s="63">
        <f>IF(OR(H1489="",K1489=0),"—",IF(ISNUMBER(MATCH(H1489,'Zgłoszenia'!$S$5:$S$504,0)),RIGHT("0"&amp;DAY(A1489),2)&amp;"."&amp;RIGHT("0"&amp;MONTH(A1489),2)&amp;"."&amp;YEAR(A1489)&amp;": "&amp;INDEX('Zgłoszenia'!$H$5:$H$504,MATCH(H1489,'Zgłoszenia'!$S$5:$S$504,0)),RIGHT("0"&amp;DAY((A1489+1)),2)&amp;"."&amp;RIGHT("0"&amp;MONTH((A1489+1)),2)&amp;"."&amp;YEAR((A1489+1))&amp;": "&amp;INDEX('Zgłoszenia'!$H$5:$H$504,MATCH(F1489&amp;"|"&amp;(A1489+1),'Zgłoszenia'!$S$5:$S$504,0)))&amp;IF(K1489&gt;1," (+"&amp;(K1489-1)&amp;")",""))</f>
        <v/>
      </c>
      <c r="M1489" s="63" t="n">
        <v>19</v>
      </c>
      <c r="N1489" s="2" t="n"/>
      <c r="O1489" s="2" t="n"/>
    </row>
    <row r="1490">
      <c r="A1490" s="62">
        <f>IF('19'!$C$1="","",'19'!$C$1)</f>
        <v/>
      </c>
      <c r="B1490" s="63">
        <f>Ustawienia!$A$9&amp;""</f>
        <v/>
      </c>
      <c r="C1490" s="63">
        <f>Ustawienia!$A$14&amp;""</f>
        <v/>
      </c>
      <c r="D1490" s="63" t="n">
        <v>4</v>
      </c>
      <c r="E1490" s="63">
        <f>IF('19'!F9="","",TRIM('19'!F9&amp;""))</f>
        <v/>
      </c>
      <c r="F1490" s="63">
        <f>IF('19'!G9="","",'19'!G9)</f>
        <v/>
      </c>
      <c r="G1490" s="63">
        <f>'19'!H9&amp;""</f>
        <v/>
      </c>
      <c r="H1490" s="63">
        <f>IF(OR(A1490="",F1490=""),"",F1490&amp;"|"&amp;A1490)</f>
        <v/>
      </c>
      <c r="I1490" s="63">
        <f>IF(AND(H1490&lt;&gt;"",OR('Historia wózka'!$B$4="",F1490='Historia wózka'!$B$4),A1490&gt;='Historia wózka'!$B$5,A1490&lt;='Historia wózka'!$B$6),A1490+0.8+(5000-ROW())/10000000,0)</f>
        <v/>
      </c>
      <c r="J1490" s="63">
        <f>Ustawienia!$B$9&amp;""</f>
        <v/>
      </c>
      <c r="K1490" s="63">
        <f>IF(H1490="","",COUNTIFS('Zgłoszenia'!$B$5:$B$504,F1490,'Zgłoszenia'!$D$5:$D$504,"&gt;="&amp;A1490,'Zgłoszenia'!$D$5:$D$504,"&lt;="&amp;(A1490+1)))</f>
        <v/>
      </c>
      <c r="L1490" s="63">
        <f>IF(OR(H1490="",K1490=0),"—",IF(ISNUMBER(MATCH(H1490,'Zgłoszenia'!$S$5:$S$504,0)),RIGHT("0"&amp;DAY(A1490),2)&amp;"."&amp;RIGHT("0"&amp;MONTH(A1490),2)&amp;"."&amp;YEAR(A1490)&amp;": "&amp;INDEX('Zgłoszenia'!$H$5:$H$504,MATCH(H1490,'Zgłoszenia'!$S$5:$S$504,0)),RIGHT("0"&amp;DAY((A1490+1)),2)&amp;"."&amp;RIGHT("0"&amp;MONTH((A1490+1)),2)&amp;"."&amp;YEAR((A1490+1))&amp;": "&amp;INDEX('Zgłoszenia'!$H$5:$H$504,MATCH(F1490&amp;"|"&amp;(A1490+1),'Zgłoszenia'!$S$5:$S$504,0)))&amp;IF(K1490&gt;1," (+"&amp;(K1490-1)&amp;")",""))</f>
        <v/>
      </c>
      <c r="M1490" s="63" t="n">
        <v>19</v>
      </c>
      <c r="N1490" s="2" t="n"/>
      <c r="O1490" s="2" t="n"/>
    </row>
    <row r="1491">
      <c r="A1491" s="62">
        <f>IF('19'!$C$1="","",'19'!$C$1)</f>
        <v/>
      </c>
      <c r="B1491" s="63">
        <f>Ustawienia!$A$9&amp;""</f>
        <v/>
      </c>
      <c r="C1491" s="63">
        <f>Ustawienia!$A$14&amp;""</f>
        <v/>
      </c>
      <c r="D1491" s="63" t="n">
        <v>5</v>
      </c>
      <c r="E1491" s="63">
        <f>IF('19'!F10="","",TRIM('19'!F10&amp;""))</f>
        <v/>
      </c>
      <c r="F1491" s="63">
        <f>IF('19'!G10="","",'19'!G10)</f>
        <v/>
      </c>
      <c r="G1491" s="63">
        <f>'19'!H10&amp;""</f>
        <v/>
      </c>
      <c r="H1491" s="63">
        <f>IF(OR(A1491="",F1491=""),"",F1491&amp;"|"&amp;A1491)</f>
        <v/>
      </c>
      <c r="I1491" s="63">
        <f>IF(AND(H1491&lt;&gt;"",OR('Historia wózka'!$B$4="",F1491='Historia wózka'!$B$4),A1491&gt;='Historia wózka'!$B$5,A1491&lt;='Historia wózka'!$B$6),A1491+0.8+(5000-ROW())/10000000,0)</f>
        <v/>
      </c>
      <c r="J1491" s="63">
        <f>Ustawienia!$B$9&amp;""</f>
        <v/>
      </c>
      <c r="K1491" s="63">
        <f>IF(H1491="","",COUNTIFS('Zgłoszenia'!$B$5:$B$504,F1491,'Zgłoszenia'!$D$5:$D$504,"&gt;="&amp;A1491,'Zgłoszenia'!$D$5:$D$504,"&lt;="&amp;(A1491+1)))</f>
        <v/>
      </c>
      <c r="L1491" s="63">
        <f>IF(OR(H1491="",K1491=0),"—",IF(ISNUMBER(MATCH(H1491,'Zgłoszenia'!$S$5:$S$504,0)),RIGHT("0"&amp;DAY(A1491),2)&amp;"."&amp;RIGHT("0"&amp;MONTH(A1491),2)&amp;"."&amp;YEAR(A1491)&amp;": "&amp;INDEX('Zgłoszenia'!$H$5:$H$504,MATCH(H1491,'Zgłoszenia'!$S$5:$S$504,0)),RIGHT("0"&amp;DAY((A1491+1)),2)&amp;"."&amp;RIGHT("0"&amp;MONTH((A1491+1)),2)&amp;"."&amp;YEAR((A1491+1))&amp;": "&amp;INDEX('Zgłoszenia'!$H$5:$H$504,MATCH(F1491&amp;"|"&amp;(A1491+1),'Zgłoszenia'!$S$5:$S$504,0)))&amp;IF(K1491&gt;1," (+"&amp;(K1491-1)&amp;")",""))</f>
        <v/>
      </c>
      <c r="M1491" s="63" t="n">
        <v>19</v>
      </c>
      <c r="N1491" s="2" t="n"/>
      <c r="O1491" s="2" t="n"/>
    </row>
    <row r="1492">
      <c r="A1492" s="62">
        <f>IF('19'!$C$1="","",'19'!$C$1)</f>
        <v/>
      </c>
      <c r="B1492" s="63">
        <f>Ustawienia!$A$9&amp;""</f>
        <v/>
      </c>
      <c r="C1492" s="63">
        <f>Ustawienia!$A$14&amp;""</f>
        <v/>
      </c>
      <c r="D1492" s="63" t="n">
        <v>6</v>
      </c>
      <c r="E1492" s="63">
        <f>IF('19'!F11="","",TRIM('19'!F11&amp;""))</f>
        <v/>
      </c>
      <c r="F1492" s="63">
        <f>IF('19'!G11="","",'19'!G11)</f>
        <v/>
      </c>
      <c r="G1492" s="63">
        <f>'19'!H11&amp;""</f>
        <v/>
      </c>
      <c r="H1492" s="63">
        <f>IF(OR(A1492="",F1492=""),"",F1492&amp;"|"&amp;A1492)</f>
        <v/>
      </c>
      <c r="I1492" s="63">
        <f>IF(AND(H1492&lt;&gt;"",OR('Historia wózka'!$B$4="",F1492='Historia wózka'!$B$4),A1492&gt;='Historia wózka'!$B$5,A1492&lt;='Historia wózka'!$B$6),A1492+0.8+(5000-ROW())/10000000,0)</f>
        <v/>
      </c>
      <c r="J1492" s="63">
        <f>Ustawienia!$B$9&amp;""</f>
        <v/>
      </c>
      <c r="K1492" s="63">
        <f>IF(H1492="","",COUNTIFS('Zgłoszenia'!$B$5:$B$504,F1492,'Zgłoszenia'!$D$5:$D$504,"&gt;="&amp;A1492,'Zgłoszenia'!$D$5:$D$504,"&lt;="&amp;(A1492+1)))</f>
        <v/>
      </c>
      <c r="L1492" s="63">
        <f>IF(OR(H1492="",K1492=0),"—",IF(ISNUMBER(MATCH(H1492,'Zgłoszenia'!$S$5:$S$504,0)),RIGHT("0"&amp;DAY(A1492),2)&amp;"."&amp;RIGHT("0"&amp;MONTH(A1492),2)&amp;"."&amp;YEAR(A1492)&amp;": "&amp;INDEX('Zgłoszenia'!$H$5:$H$504,MATCH(H1492,'Zgłoszenia'!$S$5:$S$504,0)),RIGHT("0"&amp;DAY((A1492+1)),2)&amp;"."&amp;RIGHT("0"&amp;MONTH((A1492+1)),2)&amp;"."&amp;YEAR((A1492+1))&amp;": "&amp;INDEX('Zgłoszenia'!$H$5:$H$504,MATCH(F1492&amp;"|"&amp;(A1492+1),'Zgłoszenia'!$S$5:$S$504,0)))&amp;IF(K1492&gt;1," (+"&amp;(K1492-1)&amp;")",""))</f>
        <v/>
      </c>
      <c r="M1492" s="63" t="n">
        <v>19</v>
      </c>
      <c r="N1492" s="2" t="n"/>
      <c r="O1492" s="2" t="n"/>
    </row>
    <row r="1493">
      <c r="A1493" s="62">
        <f>IF('19'!$C$1="","",'19'!$C$1)</f>
        <v/>
      </c>
      <c r="B1493" s="63">
        <f>Ustawienia!$A$9&amp;""</f>
        <v/>
      </c>
      <c r="C1493" s="63">
        <f>Ustawienia!$A$15&amp;""</f>
        <v/>
      </c>
      <c r="D1493" s="63" t="n">
        <v>1</v>
      </c>
      <c r="E1493" s="63">
        <f>IF('19'!F13="","",TRIM('19'!F13&amp;""))</f>
        <v/>
      </c>
      <c r="F1493" s="63">
        <f>IF('19'!G13="","",'19'!G13)</f>
        <v/>
      </c>
      <c r="G1493" s="63">
        <f>'19'!H13&amp;""</f>
        <v/>
      </c>
      <c r="H1493" s="63">
        <f>IF(OR(A1493="",F1493=""),"",F1493&amp;"|"&amp;A1493)</f>
        <v/>
      </c>
      <c r="I1493" s="63">
        <f>IF(AND(H1493&lt;&gt;"",OR('Historia wózka'!$B$4="",F1493='Historia wózka'!$B$4),A1493&gt;='Historia wózka'!$B$5,A1493&lt;='Historia wózka'!$B$6),A1493+0.8+(5000-ROW())/10000000,0)</f>
        <v/>
      </c>
      <c r="J1493" s="63">
        <f>Ustawienia!$B$9&amp;""</f>
        <v/>
      </c>
      <c r="K1493" s="63">
        <f>IF(H1493="","",COUNTIFS('Zgłoszenia'!$B$5:$B$504,F1493,'Zgłoszenia'!$D$5:$D$504,"&gt;="&amp;A1493,'Zgłoszenia'!$D$5:$D$504,"&lt;="&amp;(A1493+1)))</f>
        <v/>
      </c>
      <c r="L1493" s="63">
        <f>IF(OR(H1493="",K1493=0),"—",IF(ISNUMBER(MATCH(H1493,'Zgłoszenia'!$S$5:$S$504,0)),RIGHT("0"&amp;DAY(A1493),2)&amp;"."&amp;RIGHT("0"&amp;MONTH(A1493),2)&amp;"."&amp;YEAR(A1493)&amp;": "&amp;INDEX('Zgłoszenia'!$H$5:$H$504,MATCH(H1493,'Zgłoszenia'!$S$5:$S$504,0)),RIGHT("0"&amp;DAY((A1493+1)),2)&amp;"."&amp;RIGHT("0"&amp;MONTH((A1493+1)),2)&amp;"."&amp;YEAR((A1493+1))&amp;": "&amp;INDEX('Zgłoszenia'!$H$5:$H$504,MATCH(F1493&amp;"|"&amp;(A1493+1),'Zgłoszenia'!$S$5:$S$504,0)))&amp;IF(K1493&gt;1," (+"&amp;(K1493-1)&amp;")",""))</f>
        <v/>
      </c>
      <c r="M1493" s="63" t="n">
        <v>19</v>
      </c>
      <c r="N1493" s="2" t="n"/>
      <c r="O1493" s="2" t="n"/>
    </row>
    <row r="1494">
      <c r="A1494" s="62">
        <f>IF('19'!$C$1="","",'19'!$C$1)</f>
        <v/>
      </c>
      <c r="B1494" s="63">
        <f>Ustawienia!$A$9&amp;""</f>
        <v/>
      </c>
      <c r="C1494" s="63">
        <f>Ustawienia!$A$15&amp;""</f>
        <v/>
      </c>
      <c r="D1494" s="63" t="n">
        <v>2</v>
      </c>
      <c r="E1494" s="63">
        <f>IF('19'!F14="","",TRIM('19'!F14&amp;""))</f>
        <v/>
      </c>
      <c r="F1494" s="63">
        <f>IF('19'!G14="","",'19'!G14)</f>
        <v/>
      </c>
      <c r="G1494" s="63">
        <f>'19'!H14&amp;""</f>
        <v/>
      </c>
      <c r="H1494" s="63">
        <f>IF(OR(A1494="",F1494=""),"",F1494&amp;"|"&amp;A1494)</f>
        <v/>
      </c>
      <c r="I1494" s="63">
        <f>IF(AND(H1494&lt;&gt;"",OR('Historia wózka'!$B$4="",F1494='Historia wózka'!$B$4),A1494&gt;='Historia wózka'!$B$5,A1494&lt;='Historia wózka'!$B$6),A1494+0.8+(5000-ROW())/10000000,0)</f>
        <v/>
      </c>
      <c r="J1494" s="63">
        <f>Ustawienia!$B$9&amp;""</f>
        <v/>
      </c>
      <c r="K1494" s="63">
        <f>IF(H1494="","",COUNTIFS('Zgłoszenia'!$B$5:$B$504,F1494,'Zgłoszenia'!$D$5:$D$504,"&gt;="&amp;A1494,'Zgłoszenia'!$D$5:$D$504,"&lt;="&amp;(A1494+1)))</f>
        <v/>
      </c>
      <c r="L1494" s="63">
        <f>IF(OR(H1494="",K1494=0),"—",IF(ISNUMBER(MATCH(H1494,'Zgłoszenia'!$S$5:$S$504,0)),RIGHT("0"&amp;DAY(A1494),2)&amp;"."&amp;RIGHT("0"&amp;MONTH(A1494),2)&amp;"."&amp;YEAR(A1494)&amp;": "&amp;INDEX('Zgłoszenia'!$H$5:$H$504,MATCH(H1494,'Zgłoszenia'!$S$5:$S$504,0)),RIGHT("0"&amp;DAY((A1494+1)),2)&amp;"."&amp;RIGHT("0"&amp;MONTH((A1494+1)),2)&amp;"."&amp;YEAR((A1494+1))&amp;": "&amp;INDEX('Zgłoszenia'!$H$5:$H$504,MATCH(F1494&amp;"|"&amp;(A1494+1),'Zgłoszenia'!$S$5:$S$504,0)))&amp;IF(K1494&gt;1," (+"&amp;(K1494-1)&amp;")",""))</f>
        <v/>
      </c>
      <c r="M1494" s="63" t="n">
        <v>19</v>
      </c>
      <c r="N1494" s="2" t="n"/>
      <c r="O1494" s="2" t="n"/>
    </row>
    <row r="1495">
      <c r="A1495" s="62">
        <f>IF('19'!$C$1="","",'19'!$C$1)</f>
        <v/>
      </c>
      <c r="B1495" s="63">
        <f>Ustawienia!$A$9&amp;""</f>
        <v/>
      </c>
      <c r="C1495" s="63">
        <f>Ustawienia!$A$15&amp;""</f>
        <v/>
      </c>
      <c r="D1495" s="63" t="n">
        <v>3</v>
      </c>
      <c r="E1495" s="63">
        <f>IF('19'!F15="","",TRIM('19'!F15&amp;""))</f>
        <v/>
      </c>
      <c r="F1495" s="63">
        <f>IF('19'!G15="","",'19'!G15)</f>
        <v/>
      </c>
      <c r="G1495" s="63">
        <f>'19'!H15&amp;""</f>
        <v/>
      </c>
      <c r="H1495" s="63">
        <f>IF(OR(A1495="",F1495=""),"",F1495&amp;"|"&amp;A1495)</f>
        <v/>
      </c>
      <c r="I1495" s="63">
        <f>IF(AND(H1495&lt;&gt;"",OR('Historia wózka'!$B$4="",F1495='Historia wózka'!$B$4),A1495&gt;='Historia wózka'!$B$5,A1495&lt;='Historia wózka'!$B$6),A1495+0.8+(5000-ROW())/10000000,0)</f>
        <v/>
      </c>
      <c r="J1495" s="63">
        <f>Ustawienia!$B$9&amp;""</f>
        <v/>
      </c>
      <c r="K1495" s="63">
        <f>IF(H1495="","",COUNTIFS('Zgłoszenia'!$B$5:$B$504,F1495,'Zgłoszenia'!$D$5:$D$504,"&gt;="&amp;A1495,'Zgłoszenia'!$D$5:$D$504,"&lt;="&amp;(A1495+1)))</f>
        <v/>
      </c>
      <c r="L1495" s="63">
        <f>IF(OR(H1495="",K1495=0),"—",IF(ISNUMBER(MATCH(H1495,'Zgłoszenia'!$S$5:$S$504,0)),RIGHT("0"&amp;DAY(A1495),2)&amp;"."&amp;RIGHT("0"&amp;MONTH(A1495),2)&amp;"."&amp;YEAR(A1495)&amp;": "&amp;INDEX('Zgłoszenia'!$H$5:$H$504,MATCH(H1495,'Zgłoszenia'!$S$5:$S$504,0)),RIGHT("0"&amp;DAY((A1495+1)),2)&amp;"."&amp;RIGHT("0"&amp;MONTH((A1495+1)),2)&amp;"."&amp;YEAR((A1495+1))&amp;": "&amp;INDEX('Zgłoszenia'!$H$5:$H$504,MATCH(F1495&amp;"|"&amp;(A1495+1),'Zgłoszenia'!$S$5:$S$504,0)))&amp;IF(K1495&gt;1," (+"&amp;(K1495-1)&amp;")",""))</f>
        <v/>
      </c>
      <c r="M1495" s="63" t="n">
        <v>19</v>
      </c>
      <c r="N1495" s="2" t="n"/>
      <c r="O1495" s="2" t="n"/>
    </row>
    <row r="1496">
      <c r="A1496" s="62">
        <f>IF('19'!$C$1="","",'19'!$C$1)</f>
        <v/>
      </c>
      <c r="B1496" s="63">
        <f>Ustawienia!$A$9&amp;""</f>
        <v/>
      </c>
      <c r="C1496" s="63">
        <f>Ustawienia!$A$15&amp;""</f>
        <v/>
      </c>
      <c r="D1496" s="63" t="n">
        <v>4</v>
      </c>
      <c r="E1496" s="63">
        <f>IF('19'!F16="","",TRIM('19'!F16&amp;""))</f>
        <v/>
      </c>
      <c r="F1496" s="63">
        <f>IF('19'!G16="","",'19'!G16)</f>
        <v/>
      </c>
      <c r="G1496" s="63">
        <f>'19'!H16&amp;""</f>
        <v/>
      </c>
      <c r="H1496" s="63">
        <f>IF(OR(A1496="",F1496=""),"",F1496&amp;"|"&amp;A1496)</f>
        <v/>
      </c>
      <c r="I1496" s="63">
        <f>IF(AND(H1496&lt;&gt;"",OR('Historia wózka'!$B$4="",F1496='Historia wózka'!$B$4),A1496&gt;='Historia wózka'!$B$5,A1496&lt;='Historia wózka'!$B$6),A1496+0.8+(5000-ROW())/10000000,0)</f>
        <v/>
      </c>
      <c r="J1496" s="63">
        <f>Ustawienia!$B$9&amp;""</f>
        <v/>
      </c>
      <c r="K1496" s="63">
        <f>IF(H1496="","",COUNTIFS('Zgłoszenia'!$B$5:$B$504,F1496,'Zgłoszenia'!$D$5:$D$504,"&gt;="&amp;A1496,'Zgłoszenia'!$D$5:$D$504,"&lt;="&amp;(A1496+1)))</f>
        <v/>
      </c>
      <c r="L1496" s="63">
        <f>IF(OR(H1496="",K1496=0),"—",IF(ISNUMBER(MATCH(H1496,'Zgłoszenia'!$S$5:$S$504,0)),RIGHT("0"&amp;DAY(A1496),2)&amp;"."&amp;RIGHT("0"&amp;MONTH(A1496),2)&amp;"."&amp;YEAR(A1496)&amp;": "&amp;INDEX('Zgłoszenia'!$H$5:$H$504,MATCH(H1496,'Zgłoszenia'!$S$5:$S$504,0)),RIGHT("0"&amp;DAY((A1496+1)),2)&amp;"."&amp;RIGHT("0"&amp;MONTH((A1496+1)),2)&amp;"."&amp;YEAR((A1496+1))&amp;": "&amp;INDEX('Zgłoszenia'!$H$5:$H$504,MATCH(F1496&amp;"|"&amp;(A1496+1),'Zgłoszenia'!$S$5:$S$504,0)))&amp;IF(K1496&gt;1," (+"&amp;(K1496-1)&amp;")",""))</f>
        <v/>
      </c>
      <c r="M1496" s="63" t="n">
        <v>19</v>
      </c>
      <c r="N1496" s="2" t="n"/>
      <c r="O1496" s="2" t="n"/>
    </row>
    <row r="1497">
      <c r="A1497" s="62">
        <f>IF('19'!$C$1="","",'19'!$C$1)</f>
        <v/>
      </c>
      <c r="B1497" s="63">
        <f>Ustawienia!$A$9&amp;""</f>
        <v/>
      </c>
      <c r="C1497" s="63">
        <f>Ustawienia!$A$15&amp;""</f>
        <v/>
      </c>
      <c r="D1497" s="63" t="n">
        <v>5</v>
      </c>
      <c r="E1497" s="63">
        <f>IF('19'!F17="","",TRIM('19'!F17&amp;""))</f>
        <v/>
      </c>
      <c r="F1497" s="63">
        <f>IF('19'!G17="","",'19'!G17)</f>
        <v/>
      </c>
      <c r="G1497" s="63">
        <f>'19'!H17&amp;""</f>
        <v/>
      </c>
      <c r="H1497" s="63">
        <f>IF(OR(A1497="",F1497=""),"",F1497&amp;"|"&amp;A1497)</f>
        <v/>
      </c>
      <c r="I1497" s="63">
        <f>IF(AND(H1497&lt;&gt;"",OR('Historia wózka'!$B$4="",F1497='Historia wózka'!$B$4),A1497&gt;='Historia wózka'!$B$5,A1497&lt;='Historia wózka'!$B$6),A1497+0.8+(5000-ROW())/10000000,0)</f>
        <v/>
      </c>
      <c r="J1497" s="63">
        <f>Ustawienia!$B$9&amp;""</f>
        <v/>
      </c>
      <c r="K1497" s="63">
        <f>IF(H1497="","",COUNTIFS('Zgłoszenia'!$B$5:$B$504,F1497,'Zgłoszenia'!$D$5:$D$504,"&gt;="&amp;A1497,'Zgłoszenia'!$D$5:$D$504,"&lt;="&amp;(A1497+1)))</f>
        <v/>
      </c>
      <c r="L1497" s="63">
        <f>IF(OR(H1497="",K1497=0),"—",IF(ISNUMBER(MATCH(H1497,'Zgłoszenia'!$S$5:$S$504,0)),RIGHT("0"&amp;DAY(A1497),2)&amp;"."&amp;RIGHT("0"&amp;MONTH(A1497),2)&amp;"."&amp;YEAR(A1497)&amp;": "&amp;INDEX('Zgłoszenia'!$H$5:$H$504,MATCH(H1497,'Zgłoszenia'!$S$5:$S$504,0)),RIGHT("0"&amp;DAY((A1497+1)),2)&amp;"."&amp;RIGHT("0"&amp;MONTH((A1497+1)),2)&amp;"."&amp;YEAR((A1497+1))&amp;": "&amp;INDEX('Zgłoszenia'!$H$5:$H$504,MATCH(F1497&amp;"|"&amp;(A1497+1),'Zgłoszenia'!$S$5:$S$504,0)))&amp;IF(K1497&gt;1," (+"&amp;(K1497-1)&amp;")",""))</f>
        <v/>
      </c>
      <c r="M1497" s="63" t="n">
        <v>19</v>
      </c>
      <c r="N1497" s="2" t="n"/>
      <c r="O1497" s="2" t="n"/>
    </row>
    <row r="1498">
      <c r="A1498" s="62">
        <f>IF('19'!$C$1="","",'19'!$C$1)</f>
        <v/>
      </c>
      <c r="B1498" s="63">
        <f>Ustawienia!$A$9&amp;""</f>
        <v/>
      </c>
      <c r="C1498" s="63">
        <f>Ustawienia!$A$15&amp;""</f>
        <v/>
      </c>
      <c r="D1498" s="63" t="n">
        <v>6</v>
      </c>
      <c r="E1498" s="63">
        <f>IF('19'!F18="","",TRIM('19'!F18&amp;""))</f>
        <v/>
      </c>
      <c r="F1498" s="63">
        <f>IF('19'!G18="","",'19'!G18)</f>
        <v/>
      </c>
      <c r="G1498" s="63">
        <f>'19'!H18&amp;""</f>
        <v/>
      </c>
      <c r="H1498" s="63">
        <f>IF(OR(A1498="",F1498=""),"",F1498&amp;"|"&amp;A1498)</f>
        <v/>
      </c>
      <c r="I1498" s="63">
        <f>IF(AND(H1498&lt;&gt;"",OR('Historia wózka'!$B$4="",F1498='Historia wózka'!$B$4),A1498&gt;='Historia wózka'!$B$5,A1498&lt;='Historia wózka'!$B$6),A1498+0.8+(5000-ROW())/10000000,0)</f>
        <v/>
      </c>
      <c r="J1498" s="63">
        <f>Ustawienia!$B$9&amp;""</f>
        <v/>
      </c>
      <c r="K1498" s="63">
        <f>IF(H1498="","",COUNTIFS('Zgłoszenia'!$B$5:$B$504,F1498,'Zgłoszenia'!$D$5:$D$504,"&gt;="&amp;A1498,'Zgłoszenia'!$D$5:$D$504,"&lt;="&amp;(A1498+1)))</f>
        <v/>
      </c>
      <c r="L1498" s="63">
        <f>IF(OR(H1498="",K1498=0),"—",IF(ISNUMBER(MATCH(H1498,'Zgłoszenia'!$S$5:$S$504,0)),RIGHT("0"&amp;DAY(A1498),2)&amp;"."&amp;RIGHT("0"&amp;MONTH(A1498),2)&amp;"."&amp;YEAR(A1498)&amp;": "&amp;INDEX('Zgłoszenia'!$H$5:$H$504,MATCH(H1498,'Zgłoszenia'!$S$5:$S$504,0)),RIGHT("0"&amp;DAY((A1498+1)),2)&amp;"."&amp;RIGHT("0"&amp;MONTH((A1498+1)),2)&amp;"."&amp;YEAR((A1498+1))&amp;": "&amp;INDEX('Zgłoszenia'!$H$5:$H$504,MATCH(F1498&amp;"|"&amp;(A1498+1),'Zgłoszenia'!$S$5:$S$504,0)))&amp;IF(K1498&gt;1," (+"&amp;(K1498-1)&amp;")",""))</f>
        <v/>
      </c>
      <c r="M1498" s="63" t="n">
        <v>19</v>
      </c>
      <c r="N1498" s="2" t="n"/>
      <c r="O1498" s="2" t="n"/>
    </row>
    <row r="1499">
      <c r="A1499" s="62">
        <f>IF('19'!$C$1="","",'19'!$C$1)</f>
        <v/>
      </c>
      <c r="B1499" s="63">
        <f>Ustawienia!$A$9&amp;""</f>
        <v/>
      </c>
      <c r="C1499" s="63">
        <f>Ustawienia!$A$15&amp;""</f>
        <v/>
      </c>
      <c r="D1499" s="63" t="n">
        <v>7</v>
      </c>
      <c r="E1499" s="63">
        <f>IF('19'!F19="","",TRIM('19'!F19&amp;""))</f>
        <v/>
      </c>
      <c r="F1499" s="63">
        <f>IF('19'!G19="","",'19'!G19)</f>
        <v/>
      </c>
      <c r="G1499" s="63">
        <f>'19'!H19&amp;""</f>
        <v/>
      </c>
      <c r="H1499" s="63">
        <f>IF(OR(A1499="",F1499=""),"",F1499&amp;"|"&amp;A1499)</f>
        <v/>
      </c>
      <c r="I1499" s="63">
        <f>IF(AND(H1499&lt;&gt;"",OR('Historia wózka'!$B$4="",F1499='Historia wózka'!$B$4),A1499&gt;='Historia wózka'!$B$5,A1499&lt;='Historia wózka'!$B$6),A1499+0.8+(5000-ROW())/10000000,0)</f>
        <v/>
      </c>
      <c r="J1499" s="63">
        <f>Ustawienia!$B$9&amp;""</f>
        <v/>
      </c>
      <c r="K1499" s="63">
        <f>IF(H1499="","",COUNTIFS('Zgłoszenia'!$B$5:$B$504,F1499,'Zgłoszenia'!$D$5:$D$504,"&gt;="&amp;A1499,'Zgłoszenia'!$D$5:$D$504,"&lt;="&amp;(A1499+1)))</f>
        <v/>
      </c>
      <c r="L1499" s="63">
        <f>IF(OR(H1499="",K1499=0),"—",IF(ISNUMBER(MATCH(H1499,'Zgłoszenia'!$S$5:$S$504,0)),RIGHT("0"&amp;DAY(A1499),2)&amp;"."&amp;RIGHT("0"&amp;MONTH(A1499),2)&amp;"."&amp;YEAR(A1499)&amp;": "&amp;INDEX('Zgłoszenia'!$H$5:$H$504,MATCH(H1499,'Zgłoszenia'!$S$5:$S$504,0)),RIGHT("0"&amp;DAY((A1499+1)),2)&amp;"."&amp;RIGHT("0"&amp;MONTH((A1499+1)),2)&amp;"."&amp;YEAR((A1499+1))&amp;": "&amp;INDEX('Zgłoszenia'!$H$5:$H$504,MATCH(F1499&amp;"|"&amp;(A1499+1),'Zgłoszenia'!$S$5:$S$504,0)))&amp;IF(K1499&gt;1," (+"&amp;(K1499-1)&amp;")",""))</f>
        <v/>
      </c>
      <c r="M1499" s="63" t="n">
        <v>19</v>
      </c>
      <c r="N1499" s="2" t="n"/>
      <c r="O1499" s="2" t="n"/>
    </row>
    <row r="1500">
      <c r="A1500" s="62">
        <f>IF('19'!$C$1="","",'19'!$C$1)</f>
        <v/>
      </c>
      <c r="B1500" s="63">
        <f>Ustawienia!$A$9&amp;""</f>
        <v/>
      </c>
      <c r="C1500" s="63">
        <f>Ustawienia!$A$15&amp;""</f>
        <v/>
      </c>
      <c r="D1500" s="63" t="n">
        <v>8</v>
      </c>
      <c r="E1500" s="63">
        <f>IF('19'!F20="","",TRIM('19'!F20&amp;""))</f>
        <v/>
      </c>
      <c r="F1500" s="63">
        <f>IF('19'!G20="","",'19'!G20)</f>
        <v/>
      </c>
      <c r="G1500" s="63">
        <f>'19'!H20&amp;""</f>
        <v/>
      </c>
      <c r="H1500" s="63">
        <f>IF(OR(A1500="",F1500=""),"",F1500&amp;"|"&amp;A1500)</f>
        <v/>
      </c>
      <c r="I1500" s="63">
        <f>IF(AND(H1500&lt;&gt;"",OR('Historia wózka'!$B$4="",F1500='Historia wózka'!$B$4),A1500&gt;='Historia wózka'!$B$5,A1500&lt;='Historia wózka'!$B$6),A1500+0.8+(5000-ROW())/10000000,0)</f>
        <v/>
      </c>
      <c r="J1500" s="63">
        <f>Ustawienia!$B$9&amp;""</f>
        <v/>
      </c>
      <c r="K1500" s="63">
        <f>IF(H1500="","",COUNTIFS('Zgłoszenia'!$B$5:$B$504,F1500,'Zgłoszenia'!$D$5:$D$504,"&gt;="&amp;A1500,'Zgłoszenia'!$D$5:$D$504,"&lt;="&amp;(A1500+1)))</f>
        <v/>
      </c>
      <c r="L1500" s="63">
        <f>IF(OR(H1500="",K1500=0),"—",IF(ISNUMBER(MATCH(H1500,'Zgłoszenia'!$S$5:$S$504,0)),RIGHT("0"&amp;DAY(A1500),2)&amp;"."&amp;RIGHT("0"&amp;MONTH(A1500),2)&amp;"."&amp;YEAR(A1500)&amp;": "&amp;INDEX('Zgłoszenia'!$H$5:$H$504,MATCH(H1500,'Zgłoszenia'!$S$5:$S$504,0)),RIGHT("0"&amp;DAY((A1500+1)),2)&amp;"."&amp;RIGHT("0"&amp;MONTH((A1500+1)),2)&amp;"."&amp;YEAR((A1500+1))&amp;": "&amp;INDEX('Zgłoszenia'!$H$5:$H$504,MATCH(F1500&amp;"|"&amp;(A1500+1),'Zgłoszenia'!$S$5:$S$504,0)))&amp;IF(K1500&gt;1," (+"&amp;(K1500-1)&amp;")",""))</f>
        <v/>
      </c>
      <c r="M1500" s="63" t="n">
        <v>19</v>
      </c>
      <c r="N1500" s="2" t="n"/>
      <c r="O1500" s="2" t="n"/>
    </row>
    <row r="1501">
      <c r="A1501" s="62">
        <f>IF('19'!$C$1="","",'19'!$C$1)</f>
        <v/>
      </c>
      <c r="B1501" s="63">
        <f>Ustawienia!$A$9&amp;""</f>
        <v/>
      </c>
      <c r="C1501" s="63">
        <f>Ustawienia!$A$16&amp;""</f>
        <v/>
      </c>
      <c r="D1501" s="63" t="n">
        <v>1</v>
      </c>
      <c r="E1501" s="63">
        <f>IF('19'!F22="","",TRIM('19'!F22&amp;""))</f>
        <v/>
      </c>
      <c r="F1501" s="63">
        <f>IF('19'!G22="","",'19'!G22)</f>
        <v/>
      </c>
      <c r="G1501" s="63">
        <f>'19'!H22&amp;""</f>
        <v/>
      </c>
      <c r="H1501" s="63">
        <f>IF(OR(A1501="",F1501=""),"",F1501&amp;"|"&amp;A1501)</f>
        <v/>
      </c>
      <c r="I1501" s="63">
        <f>IF(AND(H1501&lt;&gt;"",OR('Historia wózka'!$B$4="",F1501='Historia wózka'!$B$4),A1501&gt;='Historia wózka'!$B$5,A1501&lt;='Historia wózka'!$B$6),A1501+0.8+(5000-ROW())/10000000,0)</f>
        <v/>
      </c>
      <c r="J1501" s="63">
        <f>Ustawienia!$B$9&amp;""</f>
        <v/>
      </c>
      <c r="K1501" s="63">
        <f>IF(H1501="","",COUNTIFS('Zgłoszenia'!$B$5:$B$504,F1501,'Zgłoszenia'!$D$5:$D$504,"&gt;="&amp;A1501,'Zgłoszenia'!$D$5:$D$504,"&lt;="&amp;(A1501+1)))</f>
        <v/>
      </c>
      <c r="L1501" s="63">
        <f>IF(OR(H1501="",K1501=0),"—",IF(ISNUMBER(MATCH(H1501,'Zgłoszenia'!$S$5:$S$504,0)),RIGHT("0"&amp;DAY(A1501),2)&amp;"."&amp;RIGHT("0"&amp;MONTH(A1501),2)&amp;"."&amp;YEAR(A1501)&amp;": "&amp;INDEX('Zgłoszenia'!$H$5:$H$504,MATCH(H1501,'Zgłoszenia'!$S$5:$S$504,0)),RIGHT("0"&amp;DAY((A1501+1)),2)&amp;"."&amp;RIGHT("0"&amp;MONTH((A1501+1)),2)&amp;"."&amp;YEAR((A1501+1))&amp;": "&amp;INDEX('Zgłoszenia'!$H$5:$H$504,MATCH(F1501&amp;"|"&amp;(A1501+1),'Zgłoszenia'!$S$5:$S$504,0)))&amp;IF(K1501&gt;1," (+"&amp;(K1501-1)&amp;")",""))</f>
        <v/>
      </c>
      <c r="M1501" s="63" t="n">
        <v>19</v>
      </c>
      <c r="N1501" s="2" t="n"/>
      <c r="O1501" s="2" t="n"/>
    </row>
    <row r="1502">
      <c r="A1502" s="62">
        <f>IF('19'!$C$1="","",'19'!$C$1)</f>
        <v/>
      </c>
      <c r="B1502" s="63">
        <f>Ustawienia!$A$9&amp;""</f>
        <v/>
      </c>
      <c r="C1502" s="63">
        <f>Ustawienia!$A$16&amp;""</f>
        <v/>
      </c>
      <c r="D1502" s="63" t="n">
        <v>2</v>
      </c>
      <c r="E1502" s="63">
        <f>IF('19'!F23="","",TRIM('19'!F23&amp;""))</f>
        <v/>
      </c>
      <c r="F1502" s="63">
        <f>IF('19'!G23="","",'19'!G23)</f>
        <v/>
      </c>
      <c r="G1502" s="63">
        <f>'19'!H23&amp;""</f>
        <v/>
      </c>
      <c r="H1502" s="63">
        <f>IF(OR(A1502="",F1502=""),"",F1502&amp;"|"&amp;A1502)</f>
        <v/>
      </c>
      <c r="I1502" s="63">
        <f>IF(AND(H1502&lt;&gt;"",OR('Historia wózka'!$B$4="",F1502='Historia wózka'!$B$4),A1502&gt;='Historia wózka'!$B$5,A1502&lt;='Historia wózka'!$B$6),A1502+0.8+(5000-ROW())/10000000,0)</f>
        <v/>
      </c>
      <c r="J1502" s="63">
        <f>Ustawienia!$B$9&amp;""</f>
        <v/>
      </c>
      <c r="K1502" s="63">
        <f>IF(H1502="","",COUNTIFS('Zgłoszenia'!$B$5:$B$504,F1502,'Zgłoszenia'!$D$5:$D$504,"&gt;="&amp;A1502,'Zgłoszenia'!$D$5:$D$504,"&lt;="&amp;(A1502+1)))</f>
        <v/>
      </c>
      <c r="L1502" s="63">
        <f>IF(OR(H1502="",K1502=0),"—",IF(ISNUMBER(MATCH(H1502,'Zgłoszenia'!$S$5:$S$504,0)),RIGHT("0"&amp;DAY(A1502),2)&amp;"."&amp;RIGHT("0"&amp;MONTH(A1502),2)&amp;"."&amp;YEAR(A1502)&amp;": "&amp;INDEX('Zgłoszenia'!$H$5:$H$504,MATCH(H1502,'Zgłoszenia'!$S$5:$S$504,0)),RIGHT("0"&amp;DAY((A1502+1)),2)&amp;"."&amp;RIGHT("0"&amp;MONTH((A1502+1)),2)&amp;"."&amp;YEAR((A1502+1))&amp;": "&amp;INDEX('Zgłoszenia'!$H$5:$H$504,MATCH(F1502&amp;"|"&amp;(A1502+1),'Zgłoszenia'!$S$5:$S$504,0)))&amp;IF(K1502&gt;1," (+"&amp;(K1502-1)&amp;")",""))</f>
        <v/>
      </c>
      <c r="M1502" s="63" t="n">
        <v>19</v>
      </c>
      <c r="N1502" s="2" t="n"/>
      <c r="O1502" s="2" t="n"/>
    </row>
    <row r="1503">
      <c r="A1503" s="62">
        <f>IF('19'!$C$1="","",'19'!$C$1)</f>
        <v/>
      </c>
      <c r="B1503" s="63">
        <f>Ustawienia!$A$9&amp;""</f>
        <v/>
      </c>
      <c r="C1503" s="63">
        <f>Ustawienia!$A$16&amp;""</f>
        <v/>
      </c>
      <c r="D1503" s="63" t="n">
        <v>3</v>
      </c>
      <c r="E1503" s="63">
        <f>IF('19'!F24="","",TRIM('19'!F24&amp;""))</f>
        <v/>
      </c>
      <c r="F1503" s="63">
        <f>IF('19'!G24="","",'19'!G24)</f>
        <v/>
      </c>
      <c r="G1503" s="63">
        <f>'19'!H24&amp;""</f>
        <v/>
      </c>
      <c r="H1503" s="63">
        <f>IF(OR(A1503="",F1503=""),"",F1503&amp;"|"&amp;A1503)</f>
        <v/>
      </c>
      <c r="I1503" s="63">
        <f>IF(AND(H1503&lt;&gt;"",OR('Historia wózka'!$B$4="",F1503='Historia wózka'!$B$4),A1503&gt;='Historia wózka'!$B$5,A1503&lt;='Historia wózka'!$B$6),A1503+0.8+(5000-ROW())/10000000,0)</f>
        <v/>
      </c>
      <c r="J1503" s="63">
        <f>Ustawienia!$B$9&amp;""</f>
        <v/>
      </c>
      <c r="K1503" s="63">
        <f>IF(H1503="","",COUNTIFS('Zgłoszenia'!$B$5:$B$504,F1503,'Zgłoszenia'!$D$5:$D$504,"&gt;="&amp;A1503,'Zgłoszenia'!$D$5:$D$504,"&lt;="&amp;(A1503+1)))</f>
        <v/>
      </c>
      <c r="L1503" s="63">
        <f>IF(OR(H1503="",K1503=0),"—",IF(ISNUMBER(MATCH(H1503,'Zgłoszenia'!$S$5:$S$504,0)),RIGHT("0"&amp;DAY(A1503),2)&amp;"."&amp;RIGHT("0"&amp;MONTH(A1503),2)&amp;"."&amp;YEAR(A1503)&amp;": "&amp;INDEX('Zgłoszenia'!$H$5:$H$504,MATCH(H1503,'Zgłoszenia'!$S$5:$S$504,0)),RIGHT("0"&amp;DAY((A1503+1)),2)&amp;"."&amp;RIGHT("0"&amp;MONTH((A1503+1)),2)&amp;"."&amp;YEAR((A1503+1))&amp;": "&amp;INDEX('Zgłoszenia'!$H$5:$H$504,MATCH(F1503&amp;"|"&amp;(A1503+1),'Zgłoszenia'!$S$5:$S$504,0)))&amp;IF(K1503&gt;1," (+"&amp;(K1503-1)&amp;")",""))</f>
        <v/>
      </c>
      <c r="M1503" s="63" t="n">
        <v>19</v>
      </c>
      <c r="N1503" s="2" t="n"/>
      <c r="O1503" s="2" t="n"/>
    </row>
    <row r="1504">
      <c r="A1504" s="62">
        <f>IF('19'!$C$1="","",'19'!$C$1)</f>
        <v/>
      </c>
      <c r="B1504" s="63">
        <f>Ustawienia!$A$9&amp;""</f>
        <v/>
      </c>
      <c r="C1504" s="63">
        <f>Ustawienia!$A$16&amp;""</f>
        <v/>
      </c>
      <c r="D1504" s="63" t="n">
        <v>4</v>
      </c>
      <c r="E1504" s="63">
        <f>IF('19'!F25="","",TRIM('19'!F25&amp;""))</f>
        <v/>
      </c>
      <c r="F1504" s="63">
        <f>IF('19'!G25="","",'19'!G25)</f>
        <v/>
      </c>
      <c r="G1504" s="63">
        <f>'19'!H25&amp;""</f>
        <v/>
      </c>
      <c r="H1504" s="63">
        <f>IF(OR(A1504="",F1504=""),"",F1504&amp;"|"&amp;A1504)</f>
        <v/>
      </c>
      <c r="I1504" s="63">
        <f>IF(AND(H1504&lt;&gt;"",OR('Historia wózka'!$B$4="",F1504='Historia wózka'!$B$4),A1504&gt;='Historia wózka'!$B$5,A1504&lt;='Historia wózka'!$B$6),A1504+0.8+(5000-ROW())/10000000,0)</f>
        <v/>
      </c>
      <c r="J1504" s="63">
        <f>Ustawienia!$B$9&amp;""</f>
        <v/>
      </c>
      <c r="K1504" s="63">
        <f>IF(H1504="","",COUNTIFS('Zgłoszenia'!$B$5:$B$504,F1504,'Zgłoszenia'!$D$5:$D$504,"&gt;="&amp;A1504,'Zgłoszenia'!$D$5:$D$504,"&lt;="&amp;(A1504+1)))</f>
        <v/>
      </c>
      <c r="L1504" s="63">
        <f>IF(OR(H1504="",K1504=0),"—",IF(ISNUMBER(MATCH(H1504,'Zgłoszenia'!$S$5:$S$504,0)),RIGHT("0"&amp;DAY(A1504),2)&amp;"."&amp;RIGHT("0"&amp;MONTH(A1504),2)&amp;"."&amp;YEAR(A1504)&amp;": "&amp;INDEX('Zgłoszenia'!$H$5:$H$504,MATCH(H1504,'Zgłoszenia'!$S$5:$S$504,0)),RIGHT("0"&amp;DAY((A1504+1)),2)&amp;"."&amp;RIGHT("0"&amp;MONTH((A1504+1)),2)&amp;"."&amp;YEAR((A1504+1))&amp;": "&amp;INDEX('Zgłoszenia'!$H$5:$H$504,MATCH(F1504&amp;"|"&amp;(A1504+1),'Zgłoszenia'!$S$5:$S$504,0)))&amp;IF(K1504&gt;1," (+"&amp;(K1504-1)&amp;")",""))</f>
        <v/>
      </c>
      <c r="M1504" s="63" t="n">
        <v>19</v>
      </c>
      <c r="N1504" s="2" t="n"/>
      <c r="O1504" s="2" t="n"/>
    </row>
    <row r="1505">
      <c r="A1505" s="62">
        <f>IF('19'!$C$1="","",'19'!$C$1)</f>
        <v/>
      </c>
      <c r="B1505" s="63">
        <f>Ustawienia!$A$9&amp;""</f>
        <v/>
      </c>
      <c r="C1505" s="63">
        <f>Ustawienia!$A$17&amp;""</f>
        <v/>
      </c>
      <c r="D1505" s="63" t="n">
        <v>1</v>
      </c>
      <c r="E1505" s="63">
        <f>IF('19'!F27="","",TRIM('19'!F27&amp;""))</f>
        <v/>
      </c>
      <c r="F1505" s="63">
        <f>IF('19'!G27="","",'19'!G27)</f>
        <v/>
      </c>
      <c r="G1505" s="63">
        <f>'19'!H27&amp;""</f>
        <v/>
      </c>
      <c r="H1505" s="63">
        <f>IF(OR(A1505="",F1505=""),"",F1505&amp;"|"&amp;A1505)</f>
        <v/>
      </c>
      <c r="I1505" s="63">
        <f>IF(AND(H1505&lt;&gt;"",OR('Historia wózka'!$B$4="",F1505='Historia wózka'!$B$4),A1505&gt;='Historia wózka'!$B$5,A1505&lt;='Historia wózka'!$B$6),A1505+0.8+(5000-ROW())/10000000,0)</f>
        <v/>
      </c>
      <c r="J1505" s="63">
        <f>Ustawienia!$B$9&amp;""</f>
        <v/>
      </c>
      <c r="K1505" s="63">
        <f>IF(H1505="","",COUNTIFS('Zgłoszenia'!$B$5:$B$504,F1505,'Zgłoszenia'!$D$5:$D$504,"&gt;="&amp;A1505,'Zgłoszenia'!$D$5:$D$504,"&lt;="&amp;(A1505+1)))</f>
        <v/>
      </c>
      <c r="L1505" s="63">
        <f>IF(OR(H1505="",K1505=0),"—",IF(ISNUMBER(MATCH(H1505,'Zgłoszenia'!$S$5:$S$504,0)),RIGHT("0"&amp;DAY(A1505),2)&amp;"."&amp;RIGHT("0"&amp;MONTH(A1505),2)&amp;"."&amp;YEAR(A1505)&amp;": "&amp;INDEX('Zgłoszenia'!$H$5:$H$504,MATCH(H1505,'Zgłoszenia'!$S$5:$S$504,0)),RIGHT("0"&amp;DAY((A1505+1)),2)&amp;"."&amp;RIGHT("0"&amp;MONTH((A1505+1)),2)&amp;"."&amp;YEAR((A1505+1))&amp;": "&amp;INDEX('Zgłoszenia'!$H$5:$H$504,MATCH(F1505&amp;"|"&amp;(A1505+1),'Zgłoszenia'!$S$5:$S$504,0)))&amp;IF(K1505&gt;1," (+"&amp;(K1505-1)&amp;")",""))</f>
        <v/>
      </c>
      <c r="M1505" s="63" t="n">
        <v>19</v>
      </c>
      <c r="N1505" s="2" t="n"/>
      <c r="O1505" s="2" t="n"/>
    </row>
    <row r="1506">
      <c r="A1506" s="62">
        <f>IF('19'!$C$1="","",'19'!$C$1)</f>
        <v/>
      </c>
      <c r="B1506" s="63">
        <f>Ustawienia!$A$9&amp;""</f>
        <v/>
      </c>
      <c r="C1506" s="63">
        <f>Ustawienia!$A$17&amp;""</f>
        <v/>
      </c>
      <c r="D1506" s="63" t="n">
        <v>2</v>
      </c>
      <c r="E1506" s="63">
        <f>IF('19'!F28="","",TRIM('19'!F28&amp;""))</f>
        <v/>
      </c>
      <c r="F1506" s="63">
        <f>IF('19'!G28="","",'19'!G28)</f>
        <v/>
      </c>
      <c r="G1506" s="63">
        <f>'19'!H28&amp;""</f>
        <v/>
      </c>
      <c r="H1506" s="63">
        <f>IF(OR(A1506="",F1506=""),"",F1506&amp;"|"&amp;A1506)</f>
        <v/>
      </c>
      <c r="I1506" s="63">
        <f>IF(AND(H1506&lt;&gt;"",OR('Historia wózka'!$B$4="",F1506='Historia wózka'!$B$4),A1506&gt;='Historia wózka'!$B$5,A1506&lt;='Historia wózka'!$B$6),A1506+0.8+(5000-ROW())/10000000,0)</f>
        <v/>
      </c>
      <c r="J1506" s="63">
        <f>Ustawienia!$B$9&amp;""</f>
        <v/>
      </c>
      <c r="K1506" s="63">
        <f>IF(H1506="","",COUNTIFS('Zgłoszenia'!$B$5:$B$504,F1506,'Zgłoszenia'!$D$5:$D$504,"&gt;="&amp;A1506,'Zgłoszenia'!$D$5:$D$504,"&lt;="&amp;(A1506+1)))</f>
        <v/>
      </c>
      <c r="L1506" s="63">
        <f>IF(OR(H1506="",K1506=0),"—",IF(ISNUMBER(MATCH(H1506,'Zgłoszenia'!$S$5:$S$504,0)),RIGHT("0"&amp;DAY(A1506),2)&amp;"."&amp;RIGHT("0"&amp;MONTH(A1506),2)&amp;"."&amp;YEAR(A1506)&amp;": "&amp;INDEX('Zgłoszenia'!$H$5:$H$504,MATCH(H1506,'Zgłoszenia'!$S$5:$S$504,0)),RIGHT("0"&amp;DAY((A1506+1)),2)&amp;"."&amp;RIGHT("0"&amp;MONTH((A1506+1)),2)&amp;"."&amp;YEAR((A1506+1))&amp;": "&amp;INDEX('Zgłoszenia'!$H$5:$H$504,MATCH(F1506&amp;"|"&amp;(A1506+1),'Zgłoszenia'!$S$5:$S$504,0)))&amp;IF(K1506&gt;1," (+"&amp;(K1506-1)&amp;")",""))</f>
        <v/>
      </c>
      <c r="M1506" s="63" t="n">
        <v>19</v>
      </c>
      <c r="N1506" s="2" t="n"/>
      <c r="O1506" s="2" t="n"/>
    </row>
    <row r="1507">
      <c r="A1507" s="62">
        <f>IF('19'!$C$1="","",'19'!$C$1)</f>
        <v/>
      </c>
      <c r="B1507" s="63">
        <f>Ustawienia!$A$9&amp;""</f>
        <v/>
      </c>
      <c r="C1507" s="63">
        <f>Ustawienia!$A$17&amp;""</f>
        <v/>
      </c>
      <c r="D1507" s="63" t="n">
        <v>3</v>
      </c>
      <c r="E1507" s="63">
        <f>IF('19'!F29="","",TRIM('19'!F29&amp;""))</f>
        <v/>
      </c>
      <c r="F1507" s="63">
        <f>IF('19'!G29="","",'19'!G29)</f>
        <v/>
      </c>
      <c r="G1507" s="63">
        <f>'19'!H29&amp;""</f>
        <v/>
      </c>
      <c r="H1507" s="63">
        <f>IF(OR(A1507="",F1507=""),"",F1507&amp;"|"&amp;A1507)</f>
        <v/>
      </c>
      <c r="I1507" s="63">
        <f>IF(AND(H1507&lt;&gt;"",OR('Historia wózka'!$B$4="",F1507='Historia wózka'!$B$4),A1507&gt;='Historia wózka'!$B$5,A1507&lt;='Historia wózka'!$B$6),A1507+0.8+(5000-ROW())/10000000,0)</f>
        <v/>
      </c>
      <c r="J1507" s="63">
        <f>Ustawienia!$B$9&amp;""</f>
        <v/>
      </c>
      <c r="K1507" s="63">
        <f>IF(H1507="","",COUNTIFS('Zgłoszenia'!$B$5:$B$504,F1507,'Zgłoszenia'!$D$5:$D$504,"&gt;="&amp;A1507,'Zgłoszenia'!$D$5:$D$504,"&lt;="&amp;(A1507+1)))</f>
        <v/>
      </c>
      <c r="L1507" s="63">
        <f>IF(OR(H1507="",K1507=0),"—",IF(ISNUMBER(MATCH(H1507,'Zgłoszenia'!$S$5:$S$504,0)),RIGHT("0"&amp;DAY(A1507),2)&amp;"."&amp;RIGHT("0"&amp;MONTH(A1507),2)&amp;"."&amp;YEAR(A1507)&amp;": "&amp;INDEX('Zgłoszenia'!$H$5:$H$504,MATCH(H1507,'Zgłoszenia'!$S$5:$S$504,0)),RIGHT("0"&amp;DAY((A1507+1)),2)&amp;"."&amp;RIGHT("0"&amp;MONTH((A1507+1)),2)&amp;"."&amp;YEAR((A1507+1))&amp;": "&amp;INDEX('Zgłoszenia'!$H$5:$H$504,MATCH(F1507&amp;"|"&amp;(A1507+1),'Zgłoszenia'!$S$5:$S$504,0)))&amp;IF(K1507&gt;1," (+"&amp;(K1507-1)&amp;")",""))</f>
        <v/>
      </c>
      <c r="M1507" s="63" t="n">
        <v>19</v>
      </c>
      <c r="N1507" s="2" t="n"/>
      <c r="O1507" s="2" t="n"/>
    </row>
    <row r="1508">
      <c r="A1508" s="62">
        <f>IF('19'!$C$1="","",'19'!$C$1)</f>
        <v/>
      </c>
      <c r="B1508" s="63">
        <f>Ustawienia!$A$9&amp;""</f>
        <v/>
      </c>
      <c r="C1508" s="63">
        <f>Ustawienia!$A$17&amp;""</f>
        <v/>
      </c>
      <c r="D1508" s="63" t="n">
        <v>4</v>
      </c>
      <c r="E1508" s="63">
        <f>IF('19'!F30="","",TRIM('19'!F30&amp;""))</f>
        <v/>
      </c>
      <c r="F1508" s="63">
        <f>IF('19'!G30="","",'19'!G30)</f>
        <v/>
      </c>
      <c r="G1508" s="63">
        <f>'19'!H30&amp;""</f>
        <v/>
      </c>
      <c r="H1508" s="63">
        <f>IF(OR(A1508="",F1508=""),"",F1508&amp;"|"&amp;A1508)</f>
        <v/>
      </c>
      <c r="I1508" s="63">
        <f>IF(AND(H1508&lt;&gt;"",OR('Historia wózka'!$B$4="",F1508='Historia wózka'!$B$4),A1508&gt;='Historia wózka'!$B$5,A1508&lt;='Historia wózka'!$B$6),A1508+0.8+(5000-ROW())/10000000,0)</f>
        <v/>
      </c>
      <c r="J1508" s="63">
        <f>Ustawienia!$B$9&amp;""</f>
        <v/>
      </c>
      <c r="K1508" s="63">
        <f>IF(H1508="","",COUNTIFS('Zgłoszenia'!$B$5:$B$504,F1508,'Zgłoszenia'!$D$5:$D$504,"&gt;="&amp;A1508,'Zgłoszenia'!$D$5:$D$504,"&lt;="&amp;(A1508+1)))</f>
        <v/>
      </c>
      <c r="L1508" s="63">
        <f>IF(OR(H1508="",K1508=0),"—",IF(ISNUMBER(MATCH(H1508,'Zgłoszenia'!$S$5:$S$504,0)),RIGHT("0"&amp;DAY(A1508),2)&amp;"."&amp;RIGHT("0"&amp;MONTH(A1508),2)&amp;"."&amp;YEAR(A1508)&amp;": "&amp;INDEX('Zgłoszenia'!$H$5:$H$504,MATCH(H1508,'Zgłoszenia'!$S$5:$S$504,0)),RIGHT("0"&amp;DAY((A1508+1)),2)&amp;"."&amp;RIGHT("0"&amp;MONTH((A1508+1)),2)&amp;"."&amp;YEAR((A1508+1))&amp;": "&amp;INDEX('Zgłoszenia'!$H$5:$H$504,MATCH(F1508&amp;"|"&amp;(A1508+1),'Zgłoszenia'!$S$5:$S$504,0)))&amp;IF(K1508&gt;1," (+"&amp;(K1508-1)&amp;")",""))</f>
        <v/>
      </c>
      <c r="M1508" s="63" t="n">
        <v>19</v>
      </c>
      <c r="N1508" s="2" t="n"/>
      <c r="O1508" s="2" t="n"/>
    </row>
    <row r="1509">
      <c r="A1509" s="62">
        <f>IF('19'!$C$1="","",'19'!$C$1)</f>
        <v/>
      </c>
      <c r="B1509" s="63">
        <f>Ustawienia!$A$9&amp;""</f>
        <v/>
      </c>
      <c r="C1509" s="63">
        <f>Ustawienia!$A$18&amp;""</f>
        <v/>
      </c>
      <c r="D1509" s="63" t="n">
        <v>1</v>
      </c>
      <c r="E1509" s="63">
        <f>IF('19'!F32="","",TRIM('19'!F32&amp;""))</f>
        <v/>
      </c>
      <c r="F1509" s="63">
        <f>IF('19'!G32="","",'19'!G32)</f>
        <v/>
      </c>
      <c r="G1509" s="63">
        <f>'19'!H32&amp;""</f>
        <v/>
      </c>
      <c r="H1509" s="63">
        <f>IF(OR(A1509="",F1509=""),"",F1509&amp;"|"&amp;A1509)</f>
        <v/>
      </c>
      <c r="I1509" s="63">
        <f>IF(AND(H1509&lt;&gt;"",OR('Historia wózka'!$B$4="",F1509='Historia wózka'!$B$4),A1509&gt;='Historia wózka'!$B$5,A1509&lt;='Historia wózka'!$B$6),A1509+0.8+(5000-ROW())/10000000,0)</f>
        <v/>
      </c>
      <c r="J1509" s="63">
        <f>Ustawienia!$B$9&amp;""</f>
        <v/>
      </c>
      <c r="K1509" s="63">
        <f>IF(H1509="","",COUNTIFS('Zgłoszenia'!$B$5:$B$504,F1509,'Zgłoszenia'!$D$5:$D$504,"&gt;="&amp;A1509,'Zgłoszenia'!$D$5:$D$504,"&lt;="&amp;(A1509+1)))</f>
        <v/>
      </c>
      <c r="L1509" s="63">
        <f>IF(OR(H1509="",K1509=0),"—",IF(ISNUMBER(MATCH(H1509,'Zgłoszenia'!$S$5:$S$504,0)),RIGHT("0"&amp;DAY(A1509),2)&amp;"."&amp;RIGHT("0"&amp;MONTH(A1509),2)&amp;"."&amp;YEAR(A1509)&amp;": "&amp;INDEX('Zgłoszenia'!$H$5:$H$504,MATCH(H1509,'Zgłoszenia'!$S$5:$S$504,0)),RIGHT("0"&amp;DAY((A1509+1)),2)&amp;"."&amp;RIGHT("0"&amp;MONTH((A1509+1)),2)&amp;"."&amp;YEAR((A1509+1))&amp;": "&amp;INDEX('Zgłoszenia'!$H$5:$H$504,MATCH(F1509&amp;"|"&amp;(A1509+1),'Zgłoszenia'!$S$5:$S$504,0)))&amp;IF(K1509&gt;1," (+"&amp;(K1509-1)&amp;")",""))</f>
        <v/>
      </c>
      <c r="M1509" s="63" t="n">
        <v>19</v>
      </c>
      <c r="N1509" s="2" t="n"/>
      <c r="O1509" s="2" t="n"/>
    </row>
    <row r="1510">
      <c r="A1510" s="62">
        <f>IF('19'!$C$1="","",'19'!$C$1)</f>
        <v/>
      </c>
      <c r="B1510" s="63">
        <f>Ustawienia!$A$9&amp;""</f>
        <v/>
      </c>
      <c r="C1510" s="63">
        <f>Ustawienia!$A$18&amp;""</f>
        <v/>
      </c>
      <c r="D1510" s="63" t="n">
        <v>2</v>
      </c>
      <c r="E1510" s="63">
        <f>IF('19'!F33="","",TRIM('19'!F33&amp;""))</f>
        <v/>
      </c>
      <c r="F1510" s="63">
        <f>IF('19'!G33="","",'19'!G33)</f>
        <v/>
      </c>
      <c r="G1510" s="63">
        <f>'19'!H33&amp;""</f>
        <v/>
      </c>
      <c r="H1510" s="63">
        <f>IF(OR(A1510="",F1510=""),"",F1510&amp;"|"&amp;A1510)</f>
        <v/>
      </c>
      <c r="I1510" s="63">
        <f>IF(AND(H1510&lt;&gt;"",OR('Historia wózka'!$B$4="",F1510='Historia wózka'!$B$4),A1510&gt;='Historia wózka'!$B$5,A1510&lt;='Historia wózka'!$B$6),A1510+0.8+(5000-ROW())/10000000,0)</f>
        <v/>
      </c>
      <c r="J1510" s="63">
        <f>Ustawienia!$B$9&amp;""</f>
        <v/>
      </c>
      <c r="K1510" s="63">
        <f>IF(H1510="","",COUNTIFS('Zgłoszenia'!$B$5:$B$504,F1510,'Zgłoszenia'!$D$5:$D$504,"&gt;="&amp;A1510,'Zgłoszenia'!$D$5:$D$504,"&lt;="&amp;(A1510+1)))</f>
        <v/>
      </c>
      <c r="L1510" s="63">
        <f>IF(OR(H1510="",K1510=0),"—",IF(ISNUMBER(MATCH(H1510,'Zgłoszenia'!$S$5:$S$504,0)),RIGHT("0"&amp;DAY(A1510),2)&amp;"."&amp;RIGHT("0"&amp;MONTH(A1510),2)&amp;"."&amp;YEAR(A1510)&amp;": "&amp;INDEX('Zgłoszenia'!$H$5:$H$504,MATCH(H1510,'Zgłoszenia'!$S$5:$S$504,0)),RIGHT("0"&amp;DAY((A1510+1)),2)&amp;"."&amp;RIGHT("0"&amp;MONTH((A1510+1)),2)&amp;"."&amp;YEAR((A1510+1))&amp;": "&amp;INDEX('Zgłoszenia'!$H$5:$H$504,MATCH(F1510&amp;"|"&amp;(A1510+1),'Zgłoszenia'!$S$5:$S$504,0)))&amp;IF(K1510&gt;1," (+"&amp;(K1510-1)&amp;")",""))</f>
        <v/>
      </c>
      <c r="M1510" s="63" t="n">
        <v>19</v>
      </c>
      <c r="N1510" s="2" t="n"/>
      <c r="O1510" s="2" t="n"/>
    </row>
    <row r="1511">
      <c r="A1511" s="62">
        <f>IF('19'!$C$1="","",'19'!$C$1)</f>
        <v/>
      </c>
      <c r="B1511" s="63">
        <f>Ustawienia!$A$9&amp;""</f>
        <v/>
      </c>
      <c r="C1511" s="63">
        <f>Ustawienia!$A$18&amp;""</f>
        <v/>
      </c>
      <c r="D1511" s="63" t="n">
        <v>3</v>
      </c>
      <c r="E1511" s="63">
        <f>IF('19'!F34="","",TRIM('19'!F34&amp;""))</f>
        <v/>
      </c>
      <c r="F1511" s="63">
        <f>IF('19'!G34="","",'19'!G34)</f>
        <v/>
      </c>
      <c r="G1511" s="63">
        <f>'19'!H34&amp;""</f>
        <v/>
      </c>
      <c r="H1511" s="63">
        <f>IF(OR(A1511="",F1511=""),"",F1511&amp;"|"&amp;A1511)</f>
        <v/>
      </c>
      <c r="I1511" s="63">
        <f>IF(AND(H1511&lt;&gt;"",OR('Historia wózka'!$B$4="",F1511='Historia wózka'!$B$4),A1511&gt;='Historia wózka'!$B$5,A1511&lt;='Historia wózka'!$B$6),A1511+0.8+(5000-ROW())/10000000,0)</f>
        <v/>
      </c>
      <c r="J1511" s="63">
        <f>Ustawienia!$B$9&amp;""</f>
        <v/>
      </c>
      <c r="K1511" s="63">
        <f>IF(H1511="","",COUNTIFS('Zgłoszenia'!$B$5:$B$504,F1511,'Zgłoszenia'!$D$5:$D$504,"&gt;="&amp;A1511,'Zgłoszenia'!$D$5:$D$504,"&lt;="&amp;(A1511+1)))</f>
        <v/>
      </c>
      <c r="L1511" s="63">
        <f>IF(OR(H1511="",K1511=0),"—",IF(ISNUMBER(MATCH(H1511,'Zgłoszenia'!$S$5:$S$504,0)),RIGHT("0"&amp;DAY(A1511),2)&amp;"."&amp;RIGHT("0"&amp;MONTH(A1511),2)&amp;"."&amp;YEAR(A1511)&amp;": "&amp;INDEX('Zgłoszenia'!$H$5:$H$504,MATCH(H1511,'Zgłoszenia'!$S$5:$S$504,0)),RIGHT("0"&amp;DAY((A1511+1)),2)&amp;"."&amp;RIGHT("0"&amp;MONTH((A1511+1)),2)&amp;"."&amp;YEAR((A1511+1))&amp;": "&amp;INDEX('Zgłoszenia'!$H$5:$H$504,MATCH(F1511&amp;"|"&amp;(A1511+1),'Zgłoszenia'!$S$5:$S$504,0)))&amp;IF(K1511&gt;1," (+"&amp;(K1511-1)&amp;")",""))</f>
        <v/>
      </c>
      <c r="M1511" s="63" t="n">
        <v>19</v>
      </c>
      <c r="N1511" s="2" t="n"/>
      <c r="O1511" s="2" t="n"/>
    </row>
    <row r="1512">
      <c r="A1512" s="62">
        <f>IF('19'!$C$1="","",'19'!$C$1)</f>
        <v/>
      </c>
      <c r="B1512" s="63">
        <f>Ustawienia!$A$9&amp;""</f>
        <v/>
      </c>
      <c r="C1512" s="63">
        <f>Ustawienia!$A$18&amp;""</f>
        <v/>
      </c>
      <c r="D1512" s="63" t="n">
        <v>4</v>
      </c>
      <c r="E1512" s="63">
        <f>IF('19'!F35="","",TRIM('19'!F35&amp;""))</f>
        <v/>
      </c>
      <c r="F1512" s="63">
        <f>IF('19'!G35="","",'19'!G35)</f>
        <v/>
      </c>
      <c r="G1512" s="63">
        <f>'19'!H35&amp;""</f>
        <v/>
      </c>
      <c r="H1512" s="63">
        <f>IF(OR(A1512="",F1512=""),"",F1512&amp;"|"&amp;A1512)</f>
        <v/>
      </c>
      <c r="I1512" s="63">
        <f>IF(AND(H1512&lt;&gt;"",OR('Historia wózka'!$B$4="",F1512='Historia wózka'!$B$4),A1512&gt;='Historia wózka'!$B$5,A1512&lt;='Historia wózka'!$B$6),A1512+0.8+(5000-ROW())/10000000,0)</f>
        <v/>
      </c>
      <c r="J1512" s="63">
        <f>Ustawienia!$B$9&amp;""</f>
        <v/>
      </c>
      <c r="K1512" s="63">
        <f>IF(H1512="","",COUNTIFS('Zgłoszenia'!$B$5:$B$504,F1512,'Zgłoszenia'!$D$5:$D$504,"&gt;="&amp;A1512,'Zgłoszenia'!$D$5:$D$504,"&lt;="&amp;(A1512+1)))</f>
        <v/>
      </c>
      <c r="L1512" s="63">
        <f>IF(OR(H1512="",K1512=0),"—",IF(ISNUMBER(MATCH(H1512,'Zgłoszenia'!$S$5:$S$504,0)),RIGHT("0"&amp;DAY(A1512),2)&amp;"."&amp;RIGHT("0"&amp;MONTH(A1512),2)&amp;"."&amp;YEAR(A1512)&amp;": "&amp;INDEX('Zgłoszenia'!$H$5:$H$504,MATCH(H1512,'Zgłoszenia'!$S$5:$S$504,0)),RIGHT("0"&amp;DAY((A1512+1)),2)&amp;"."&amp;RIGHT("0"&amp;MONTH((A1512+1)),2)&amp;"."&amp;YEAR((A1512+1))&amp;": "&amp;INDEX('Zgłoszenia'!$H$5:$H$504,MATCH(F1512&amp;"|"&amp;(A1512+1),'Zgłoszenia'!$S$5:$S$504,0)))&amp;IF(K1512&gt;1," (+"&amp;(K1512-1)&amp;")",""))</f>
        <v/>
      </c>
      <c r="M1512" s="63" t="n">
        <v>19</v>
      </c>
      <c r="N1512" s="2" t="n"/>
      <c r="O1512" s="2" t="n"/>
    </row>
    <row r="1513">
      <c r="A1513" s="62">
        <f>IF('19'!$C$1="","",'19'!$C$1)</f>
        <v/>
      </c>
      <c r="B1513" s="63">
        <f>Ustawienia!$A$9&amp;""</f>
        <v/>
      </c>
      <c r="C1513" s="63">
        <f>Ustawienia!$A$18&amp;""</f>
        <v/>
      </c>
      <c r="D1513" s="63" t="n">
        <v>5</v>
      </c>
      <c r="E1513" s="63">
        <f>IF('19'!F36="","",TRIM('19'!F36&amp;""))</f>
        <v/>
      </c>
      <c r="F1513" s="63">
        <f>IF('19'!G36="","",'19'!G36)</f>
        <v/>
      </c>
      <c r="G1513" s="63">
        <f>'19'!H36&amp;""</f>
        <v/>
      </c>
      <c r="H1513" s="63">
        <f>IF(OR(A1513="",F1513=""),"",F1513&amp;"|"&amp;A1513)</f>
        <v/>
      </c>
      <c r="I1513" s="63">
        <f>IF(AND(H1513&lt;&gt;"",OR('Historia wózka'!$B$4="",F1513='Historia wózka'!$B$4),A1513&gt;='Historia wózka'!$B$5,A1513&lt;='Historia wózka'!$B$6),A1513+0.8+(5000-ROW())/10000000,0)</f>
        <v/>
      </c>
      <c r="J1513" s="63">
        <f>Ustawienia!$B$9&amp;""</f>
        <v/>
      </c>
      <c r="K1513" s="63">
        <f>IF(H1513="","",COUNTIFS('Zgłoszenia'!$B$5:$B$504,F1513,'Zgłoszenia'!$D$5:$D$504,"&gt;="&amp;A1513,'Zgłoszenia'!$D$5:$D$504,"&lt;="&amp;(A1513+1)))</f>
        <v/>
      </c>
      <c r="L1513" s="63">
        <f>IF(OR(H1513="",K1513=0),"—",IF(ISNUMBER(MATCH(H1513,'Zgłoszenia'!$S$5:$S$504,0)),RIGHT("0"&amp;DAY(A1513),2)&amp;"."&amp;RIGHT("0"&amp;MONTH(A1513),2)&amp;"."&amp;YEAR(A1513)&amp;": "&amp;INDEX('Zgłoszenia'!$H$5:$H$504,MATCH(H1513,'Zgłoszenia'!$S$5:$S$504,0)),RIGHT("0"&amp;DAY((A1513+1)),2)&amp;"."&amp;RIGHT("0"&amp;MONTH((A1513+1)),2)&amp;"."&amp;YEAR((A1513+1))&amp;": "&amp;INDEX('Zgłoszenia'!$H$5:$H$504,MATCH(F1513&amp;"|"&amp;(A1513+1),'Zgłoszenia'!$S$5:$S$504,0)))&amp;IF(K1513&gt;1," (+"&amp;(K1513-1)&amp;")",""))</f>
        <v/>
      </c>
      <c r="M1513" s="63" t="n">
        <v>19</v>
      </c>
      <c r="N1513" s="2" t="n"/>
      <c r="O1513" s="2" t="n"/>
    </row>
    <row r="1514">
      <c r="A1514" s="62">
        <f>IF('19'!$C$1="","",'19'!$C$1)</f>
        <v/>
      </c>
      <c r="B1514" s="63">
        <f>Ustawienia!$A$10&amp;""</f>
        <v/>
      </c>
      <c r="C1514" s="63">
        <f>Ustawienia!$A$14&amp;""</f>
        <v/>
      </c>
      <c r="D1514" s="63" t="n">
        <v>1</v>
      </c>
      <c r="E1514" s="63">
        <f>IF('19'!J6="","",TRIM('19'!J6&amp;""))</f>
        <v/>
      </c>
      <c r="F1514" s="63">
        <f>IF('19'!K6="","",'19'!K6)</f>
        <v/>
      </c>
      <c r="G1514" s="63">
        <f>'19'!L6&amp;""</f>
        <v/>
      </c>
      <c r="H1514" s="63">
        <f>IF(OR(A1514="",F1514=""),"",F1514&amp;"|"&amp;A1514)</f>
        <v/>
      </c>
      <c r="I1514" s="63">
        <f>IF(AND(H1514&lt;&gt;"",OR('Historia wózka'!$B$4="",F1514='Historia wózka'!$B$4),A1514&gt;='Historia wózka'!$B$5,A1514&lt;='Historia wózka'!$B$6),A1514+0.7+(5000-ROW())/10000000,0)</f>
        <v/>
      </c>
      <c r="J1514" s="63">
        <f>Ustawienia!$B$10&amp;""</f>
        <v/>
      </c>
      <c r="K1514" s="63">
        <f>IF(H1514="","",COUNTIFS('Zgłoszenia'!$B$5:$B$504,F1514,'Zgłoszenia'!$D$5:$D$504,"&gt;="&amp;A1514,'Zgłoszenia'!$D$5:$D$504,"&lt;="&amp;(A1514+1)))</f>
        <v/>
      </c>
      <c r="L1514" s="63">
        <f>IF(OR(H1514="",K1514=0),"—",IF(ISNUMBER(MATCH(H1514,'Zgłoszenia'!$S$5:$S$504,0)),RIGHT("0"&amp;DAY(A1514),2)&amp;"."&amp;RIGHT("0"&amp;MONTH(A1514),2)&amp;"."&amp;YEAR(A1514)&amp;": "&amp;INDEX('Zgłoszenia'!$H$5:$H$504,MATCH(H1514,'Zgłoszenia'!$S$5:$S$504,0)),RIGHT("0"&amp;DAY((A1514+1)),2)&amp;"."&amp;RIGHT("0"&amp;MONTH((A1514+1)),2)&amp;"."&amp;YEAR((A1514+1))&amp;": "&amp;INDEX('Zgłoszenia'!$H$5:$H$504,MATCH(F1514&amp;"|"&amp;(A1514+1),'Zgłoszenia'!$S$5:$S$504,0)))&amp;IF(K1514&gt;1," (+"&amp;(K1514-1)&amp;")",""))</f>
        <v/>
      </c>
      <c r="M1514" s="63" t="n">
        <v>19</v>
      </c>
      <c r="N1514" s="2" t="n"/>
      <c r="O1514" s="2" t="n"/>
    </row>
    <row r="1515">
      <c r="A1515" s="62">
        <f>IF('19'!$C$1="","",'19'!$C$1)</f>
        <v/>
      </c>
      <c r="B1515" s="63">
        <f>Ustawienia!$A$10&amp;""</f>
        <v/>
      </c>
      <c r="C1515" s="63">
        <f>Ustawienia!$A$14&amp;""</f>
        <v/>
      </c>
      <c r="D1515" s="63" t="n">
        <v>2</v>
      </c>
      <c r="E1515" s="63">
        <f>IF('19'!J7="","",TRIM('19'!J7&amp;""))</f>
        <v/>
      </c>
      <c r="F1515" s="63">
        <f>IF('19'!K7="","",'19'!K7)</f>
        <v/>
      </c>
      <c r="G1515" s="63">
        <f>'19'!L7&amp;""</f>
        <v/>
      </c>
      <c r="H1515" s="63">
        <f>IF(OR(A1515="",F1515=""),"",F1515&amp;"|"&amp;A1515)</f>
        <v/>
      </c>
      <c r="I1515" s="63">
        <f>IF(AND(H1515&lt;&gt;"",OR('Historia wózka'!$B$4="",F1515='Historia wózka'!$B$4),A1515&gt;='Historia wózka'!$B$5,A1515&lt;='Historia wózka'!$B$6),A1515+0.7+(5000-ROW())/10000000,0)</f>
        <v/>
      </c>
      <c r="J1515" s="63">
        <f>Ustawienia!$B$10&amp;""</f>
        <v/>
      </c>
      <c r="K1515" s="63">
        <f>IF(H1515="","",COUNTIFS('Zgłoszenia'!$B$5:$B$504,F1515,'Zgłoszenia'!$D$5:$D$504,"&gt;="&amp;A1515,'Zgłoszenia'!$D$5:$D$504,"&lt;="&amp;(A1515+1)))</f>
        <v/>
      </c>
      <c r="L1515" s="63">
        <f>IF(OR(H1515="",K1515=0),"—",IF(ISNUMBER(MATCH(H1515,'Zgłoszenia'!$S$5:$S$504,0)),RIGHT("0"&amp;DAY(A1515),2)&amp;"."&amp;RIGHT("0"&amp;MONTH(A1515),2)&amp;"."&amp;YEAR(A1515)&amp;": "&amp;INDEX('Zgłoszenia'!$H$5:$H$504,MATCH(H1515,'Zgłoszenia'!$S$5:$S$504,0)),RIGHT("0"&amp;DAY((A1515+1)),2)&amp;"."&amp;RIGHT("0"&amp;MONTH((A1515+1)),2)&amp;"."&amp;YEAR((A1515+1))&amp;": "&amp;INDEX('Zgłoszenia'!$H$5:$H$504,MATCH(F1515&amp;"|"&amp;(A1515+1),'Zgłoszenia'!$S$5:$S$504,0)))&amp;IF(K1515&gt;1," (+"&amp;(K1515-1)&amp;")",""))</f>
        <v/>
      </c>
      <c r="M1515" s="63" t="n">
        <v>19</v>
      </c>
      <c r="N1515" s="2" t="n"/>
      <c r="O1515" s="2" t="n"/>
    </row>
    <row r="1516">
      <c r="A1516" s="62">
        <f>IF('19'!$C$1="","",'19'!$C$1)</f>
        <v/>
      </c>
      <c r="B1516" s="63">
        <f>Ustawienia!$A$10&amp;""</f>
        <v/>
      </c>
      <c r="C1516" s="63">
        <f>Ustawienia!$A$14&amp;""</f>
        <v/>
      </c>
      <c r="D1516" s="63" t="n">
        <v>3</v>
      </c>
      <c r="E1516" s="63">
        <f>IF('19'!J8="","",TRIM('19'!J8&amp;""))</f>
        <v/>
      </c>
      <c r="F1516" s="63">
        <f>IF('19'!K8="","",'19'!K8)</f>
        <v/>
      </c>
      <c r="G1516" s="63">
        <f>'19'!L8&amp;""</f>
        <v/>
      </c>
      <c r="H1516" s="63">
        <f>IF(OR(A1516="",F1516=""),"",F1516&amp;"|"&amp;A1516)</f>
        <v/>
      </c>
      <c r="I1516" s="63">
        <f>IF(AND(H1516&lt;&gt;"",OR('Historia wózka'!$B$4="",F1516='Historia wózka'!$B$4),A1516&gt;='Historia wózka'!$B$5,A1516&lt;='Historia wózka'!$B$6),A1516+0.7+(5000-ROW())/10000000,0)</f>
        <v/>
      </c>
      <c r="J1516" s="63">
        <f>Ustawienia!$B$10&amp;""</f>
        <v/>
      </c>
      <c r="K1516" s="63">
        <f>IF(H1516="","",COUNTIFS('Zgłoszenia'!$B$5:$B$504,F1516,'Zgłoszenia'!$D$5:$D$504,"&gt;="&amp;A1516,'Zgłoszenia'!$D$5:$D$504,"&lt;="&amp;(A1516+1)))</f>
        <v/>
      </c>
      <c r="L1516" s="63">
        <f>IF(OR(H1516="",K1516=0),"—",IF(ISNUMBER(MATCH(H1516,'Zgłoszenia'!$S$5:$S$504,0)),RIGHT("0"&amp;DAY(A1516),2)&amp;"."&amp;RIGHT("0"&amp;MONTH(A1516),2)&amp;"."&amp;YEAR(A1516)&amp;": "&amp;INDEX('Zgłoszenia'!$H$5:$H$504,MATCH(H1516,'Zgłoszenia'!$S$5:$S$504,0)),RIGHT("0"&amp;DAY((A1516+1)),2)&amp;"."&amp;RIGHT("0"&amp;MONTH((A1516+1)),2)&amp;"."&amp;YEAR((A1516+1))&amp;": "&amp;INDEX('Zgłoszenia'!$H$5:$H$504,MATCH(F1516&amp;"|"&amp;(A1516+1),'Zgłoszenia'!$S$5:$S$504,0)))&amp;IF(K1516&gt;1," (+"&amp;(K1516-1)&amp;")",""))</f>
        <v/>
      </c>
      <c r="M1516" s="63" t="n">
        <v>19</v>
      </c>
      <c r="N1516" s="2" t="n"/>
      <c r="O1516" s="2" t="n"/>
    </row>
    <row r="1517">
      <c r="A1517" s="62">
        <f>IF('19'!$C$1="","",'19'!$C$1)</f>
        <v/>
      </c>
      <c r="B1517" s="63">
        <f>Ustawienia!$A$10&amp;""</f>
        <v/>
      </c>
      <c r="C1517" s="63">
        <f>Ustawienia!$A$14&amp;""</f>
        <v/>
      </c>
      <c r="D1517" s="63" t="n">
        <v>4</v>
      </c>
      <c r="E1517" s="63">
        <f>IF('19'!J9="","",TRIM('19'!J9&amp;""))</f>
        <v/>
      </c>
      <c r="F1517" s="63">
        <f>IF('19'!K9="","",'19'!K9)</f>
        <v/>
      </c>
      <c r="G1517" s="63">
        <f>'19'!L9&amp;""</f>
        <v/>
      </c>
      <c r="H1517" s="63">
        <f>IF(OR(A1517="",F1517=""),"",F1517&amp;"|"&amp;A1517)</f>
        <v/>
      </c>
      <c r="I1517" s="63">
        <f>IF(AND(H1517&lt;&gt;"",OR('Historia wózka'!$B$4="",F1517='Historia wózka'!$B$4),A1517&gt;='Historia wózka'!$B$5,A1517&lt;='Historia wózka'!$B$6),A1517+0.7+(5000-ROW())/10000000,0)</f>
        <v/>
      </c>
      <c r="J1517" s="63">
        <f>Ustawienia!$B$10&amp;""</f>
        <v/>
      </c>
      <c r="K1517" s="63">
        <f>IF(H1517="","",COUNTIFS('Zgłoszenia'!$B$5:$B$504,F1517,'Zgłoszenia'!$D$5:$D$504,"&gt;="&amp;A1517,'Zgłoszenia'!$D$5:$D$504,"&lt;="&amp;(A1517+1)))</f>
        <v/>
      </c>
      <c r="L1517" s="63">
        <f>IF(OR(H1517="",K1517=0),"—",IF(ISNUMBER(MATCH(H1517,'Zgłoszenia'!$S$5:$S$504,0)),RIGHT("0"&amp;DAY(A1517),2)&amp;"."&amp;RIGHT("0"&amp;MONTH(A1517),2)&amp;"."&amp;YEAR(A1517)&amp;": "&amp;INDEX('Zgłoszenia'!$H$5:$H$504,MATCH(H1517,'Zgłoszenia'!$S$5:$S$504,0)),RIGHT("0"&amp;DAY((A1517+1)),2)&amp;"."&amp;RIGHT("0"&amp;MONTH((A1517+1)),2)&amp;"."&amp;YEAR((A1517+1))&amp;": "&amp;INDEX('Zgłoszenia'!$H$5:$H$504,MATCH(F1517&amp;"|"&amp;(A1517+1),'Zgłoszenia'!$S$5:$S$504,0)))&amp;IF(K1517&gt;1," (+"&amp;(K1517-1)&amp;")",""))</f>
        <v/>
      </c>
      <c r="M1517" s="63" t="n">
        <v>19</v>
      </c>
      <c r="N1517" s="2" t="n"/>
      <c r="O1517" s="2" t="n"/>
    </row>
    <row r="1518">
      <c r="A1518" s="62">
        <f>IF('19'!$C$1="","",'19'!$C$1)</f>
        <v/>
      </c>
      <c r="B1518" s="63">
        <f>Ustawienia!$A$10&amp;""</f>
        <v/>
      </c>
      <c r="C1518" s="63">
        <f>Ustawienia!$A$14&amp;""</f>
        <v/>
      </c>
      <c r="D1518" s="63" t="n">
        <v>5</v>
      </c>
      <c r="E1518" s="63">
        <f>IF('19'!J10="","",TRIM('19'!J10&amp;""))</f>
        <v/>
      </c>
      <c r="F1518" s="63">
        <f>IF('19'!K10="","",'19'!K10)</f>
        <v/>
      </c>
      <c r="G1518" s="63">
        <f>'19'!L10&amp;""</f>
        <v/>
      </c>
      <c r="H1518" s="63">
        <f>IF(OR(A1518="",F1518=""),"",F1518&amp;"|"&amp;A1518)</f>
        <v/>
      </c>
      <c r="I1518" s="63">
        <f>IF(AND(H1518&lt;&gt;"",OR('Historia wózka'!$B$4="",F1518='Historia wózka'!$B$4),A1518&gt;='Historia wózka'!$B$5,A1518&lt;='Historia wózka'!$B$6),A1518+0.7+(5000-ROW())/10000000,0)</f>
        <v/>
      </c>
      <c r="J1518" s="63">
        <f>Ustawienia!$B$10&amp;""</f>
        <v/>
      </c>
      <c r="K1518" s="63">
        <f>IF(H1518="","",COUNTIFS('Zgłoszenia'!$B$5:$B$504,F1518,'Zgłoszenia'!$D$5:$D$504,"&gt;="&amp;A1518,'Zgłoszenia'!$D$5:$D$504,"&lt;="&amp;(A1518+1)))</f>
        <v/>
      </c>
      <c r="L1518" s="63">
        <f>IF(OR(H1518="",K1518=0),"—",IF(ISNUMBER(MATCH(H1518,'Zgłoszenia'!$S$5:$S$504,0)),RIGHT("0"&amp;DAY(A1518),2)&amp;"."&amp;RIGHT("0"&amp;MONTH(A1518),2)&amp;"."&amp;YEAR(A1518)&amp;": "&amp;INDEX('Zgłoszenia'!$H$5:$H$504,MATCH(H1518,'Zgłoszenia'!$S$5:$S$504,0)),RIGHT("0"&amp;DAY((A1518+1)),2)&amp;"."&amp;RIGHT("0"&amp;MONTH((A1518+1)),2)&amp;"."&amp;YEAR((A1518+1))&amp;": "&amp;INDEX('Zgłoszenia'!$H$5:$H$504,MATCH(F1518&amp;"|"&amp;(A1518+1),'Zgłoszenia'!$S$5:$S$504,0)))&amp;IF(K1518&gt;1," (+"&amp;(K1518-1)&amp;")",""))</f>
        <v/>
      </c>
      <c r="M1518" s="63" t="n">
        <v>19</v>
      </c>
      <c r="N1518" s="2" t="n"/>
      <c r="O1518" s="2" t="n"/>
    </row>
    <row r="1519">
      <c r="A1519" s="62">
        <f>IF('19'!$C$1="","",'19'!$C$1)</f>
        <v/>
      </c>
      <c r="B1519" s="63">
        <f>Ustawienia!$A$10&amp;""</f>
        <v/>
      </c>
      <c r="C1519" s="63">
        <f>Ustawienia!$A$14&amp;""</f>
        <v/>
      </c>
      <c r="D1519" s="63" t="n">
        <v>6</v>
      </c>
      <c r="E1519" s="63">
        <f>IF('19'!J11="","",TRIM('19'!J11&amp;""))</f>
        <v/>
      </c>
      <c r="F1519" s="63">
        <f>IF('19'!K11="","",'19'!K11)</f>
        <v/>
      </c>
      <c r="G1519" s="63">
        <f>'19'!L11&amp;""</f>
        <v/>
      </c>
      <c r="H1519" s="63">
        <f>IF(OR(A1519="",F1519=""),"",F1519&amp;"|"&amp;A1519)</f>
        <v/>
      </c>
      <c r="I1519" s="63">
        <f>IF(AND(H1519&lt;&gt;"",OR('Historia wózka'!$B$4="",F1519='Historia wózka'!$B$4),A1519&gt;='Historia wózka'!$B$5,A1519&lt;='Historia wózka'!$B$6),A1519+0.7+(5000-ROW())/10000000,0)</f>
        <v/>
      </c>
      <c r="J1519" s="63">
        <f>Ustawienia!$B$10&amp;""</f>
        <v/>
      </c>
      <c r="K1519" s="63">
        <f>IF(H1519="","",COUNTIFS('Zgłoszenia'!$B$5:$B$504,F1519,'Zgłoszenia'!$D$5:$D$504,"&gt;="&amp;A1519,'Zgłoszenia'!$D$5:$D$504,"&lt;="&amp;(A1519+1)))</f>
        <v/>
      </c>
      <c r="L1519" s="63">
        <f>IF(OR(H1519="",K1519=0),"—",IF(ISNUMBER(MATCH(H1519,'Zgłoszenia'!$S$5:$S$504,0)),RIGHT("0"&amp;DAY(A1519),2)&amp;"."&amp;RIGHT("0"&amp;MONTH(A1519),2)&amp;"."&amp;YEAR(A1519)&amp;": "&amp;INDEX('Zgłoszenia'!$H$5:$H$504,MATCH(H1519,'Zgłoszenia'!$S$5:$S$504,0)),RIGHT("0"&amp;DAY((A1519+1)),2)&amp;"."&amp;RIGHT("0"&amp;MONTH((A1519+1)),2)&amp;"."&amp;YEAR((A1519+1))&amp;": "&amp;INDEX('Zgłoszenia'!$H$5:$H$504,MATCH(F1519&amp;"|"&amp;(A1519+1),'Zgłoszenia'!$S$5:$S$504,0)))&amp;IF(K1519&gt;1," (+"&amp;(K1519-1)&amp;")",""))</f>
        <v/>
      </c>
      <c r="M1519" s="63" t="n">
        <v>19</v>
      </c>
      <c r="N1519" s="2" t="n"/>
      <c r="O1519" s="2" t="n"/>
    </row>
    <row r="1520">
      <c r="A1520" s="62">
        <f>IF('19'!$C$1="","",'19'!$C$1)</f>
        <v/>
      </c>
      <c r="B1520" s="63">
        <f>Ustawienia!$A$10&amp;""</f>
        <v/>
      </c>
      <c r="C1520" s="63">
        <f>Ustawienia!$A$15&amp;""</f>
        <v/>
      </c>
      <c r="D1520" s="63" t="n">
        <v>1</v>
      </c>
      <c r="E1520" s="63">
        <f>IF('19'!J13="","",TRIM('19'!J13&amp;""))</f>
        <v/>
      </c>
      <c r="F1520" s="63">
        <f>IF('19'!K13="","",'19'!K13)</f>
        <v/>
      </c>
      <c r="G1520" s="63">
        <f>'19'!L13&amp;""</f>
        <v/>
      </c>
      <c r="H1520" s="63">
        <f>IF(OR(A1520="",F1520=""),"",F1520&amp;"|"&amp;A1520)</f>
        <v/>
      </c>
      <c r="I1520" s="63">
        <f>IF(AND(H1520&lt;&gt;"",OR('Historia wózka'!$B$4="",F1520='Historia wózka'!$B$4),A1520&gt;='Historia wózka'!$B$5,A1520&lt;='Historia wózka'!$B$6),A1520+0.7+(5000-ROW())/10000000,0)</f>
        <v/>
      </c>
      <c r="J1520" s="63">
        <f>Ustawienia!$B$10&amp;""</f>
        <v/>
      </c>
      <c r="K1520" s="63">
        <f>IF(H1520="","",COUNTIFS('Zgłoszenia'!$B$5:$B$504,F1520,'Zgłoszenia'!$D$5:$D$504,"&gt;="&amp;A1520,'Zgłoszenia'!$D$5:$D$504,"&lt;="&amp;(A1520+1)))</f>
        <v/>
      </c>
      <c r="L1520" s="63">
        <f>IF(OR(H1520="",K1520=0),"—",IF(ISNUMBER(MATCH(H1520,'Zgłoszenia'!$S$5:$S$504,0)),RIGHT("0"&amp;DAY(A1520),2)&amp;"."&amp;RIGHT("0"&amp;MONTH(A1520),2)&amp;"."&amp;YEAR(A1520)&amp;": "&amp;INDEX('Zgłoszenia'!$H$5:$H$504,MATCH(H1520,'Zgłoszenia'!$S$5:$S$504,0)),RIGHT("0"&amp;DAY((A1520+1)),2)&amp;"."&amp;RIGHT("0"&amp;MONTH((A1520+1)),2)&amp;"."&amp;YEAR((A1520+1))&amp;": "&amp;INDEX('Zgłoszenia'!$H$5:$H$504,MATCH(F1520&amp;"|"&amp;(A1520+1),'Zgłoszenia'!$S$5:$S$504,0)))&amp;IF(K1520&gt;1," (+"&amp;(K1520-1)&amp;")",""))</f>
        <v/>
      </c>
      <c r="M1520" s="63" t="n">
        <v>19</v>
      </c>
      <c r="N1520" s="2" t="n"/>
      <c r="O1520" s="2" t="n"/>
    </row>
    <row r="1521">
      <c r="A1521" s="62">
        <f>IF('19'!$C$1="","",'19'!$C$1)</f>
        <v/>
      </c>
      <c r="B1521" s="63">
        <f>Ustawienia!$A$10&amp;""</f>
        <v/>
      </c>
      <c r="C1521" s="63">
        <f>Ustawienia!$A$15&amp;""</f>
        <v/>
      </c>
      <c r="D1521" s="63" t="n">
        <v>2</v>
      </c>
      <c r="E1521" s="63">
        <f>IF('19'!J14="","",TRIM('19'!J14&amp;""))</f>
        <v/>
      </c>
      <c r="F1521" s="63">
        <f>IF('19'!K14="","",'19'!K14)</f>
        <v/>
      </c>
      <c r="G1521" s="63">
        <f>'19'!L14&amp;""</f>
        <v/>
      </c>
      <c r="H1521" s="63">
        <f>IF(OR(A1521="",F1521=""),"",F1521&amp;"|"&amp;A1521)</f>
        <v/>
      </c>
      <c r="I1521" s="63">
        <f>IF(AND(H1521&lt;&gt;"",OR('Historia wózka'!$B$4="",F1521='Historia wózka'!$B$4),A1521&gt;='Historia wózka'!$B$5,A1521&lt;='Historia wózka'!$B$6),A1521+0.7+(5000-ROW())/10000000,0)</f>
        <v/>
      </c>
      <c r="J1521" s="63">
        <f>Ustawienia!$B$10&amp;""</f>
        <v/>
      </c>
      <c r="K1521" s="63">
        <f>IF(H1521="","",COUNTIFS('Zgłoszenia'!$B$5:$B$504,F1521,'Zgłoszenia'!$D$5:$D$504,"&gt;="&amp;A1521,'Zgłoszenia'!$D$5:$D$504,"&lt;="&amp;(A1521+1)))</f>
        <v/>
      </c>
      <c r="L1521" s="63">
        <f>IF(OR(H1521="",K1521=0),"—",IF(ISNUMBER(MATCH(H1521,'Zgłoszenia'!$S$5:$S$504,0)),RIGHT("0"&amp;DAY(A1521),2)&amp;"."&amp;RIGHT("0"&amp;MONTH(A1521),2)&amp;"."&amp;YEAR(A1521)&amp;": "&amp;INDEX('Zgłoszenia'!$H$5:$H$504,MATCH(H1521,'Zgłoszenia'!$S$5:$S$504,0)),RIGHT("0"&amp;DAY((A1521+1)),2)&amp;"."&amp;RIGHT("0"&amp;MONTH((A1521+1)),2)&amp;"."&amp;YEAR((A1521+1))&amp;": "&amp;INDEX('Zgłoszenia'!$H$5:$H$504,MATCH(F1521&amp;"|"&amp;(A1521+1),'Zgłoszenia'!$S$5:$S$504,0)))&amp;IF(K1521&gt;1," (+"&amp;(K1521-1)&amp;")",""))</f>
        <v/>
      </c>
      <c r="M1521" s="63" t="n">
        <v>19</v>
      </c>
      <c r="N1521" s="2" t="n"/>
      <c r="O1521" s="2" t="n"/>
    </row>
    <row r="1522">
      <c r="A1522" s="62">
        <f>IF('19'!$C$1="","",'19'!$C$1)</f>
        <v/>
      </c>
      <c r="B1522" s="63">
        <f>Ustawienia!$A$10&amp;""</f>
        <v/>
      </c>
      <c r="C1522" s="63">
        <f>Ustawienia!$A$15&amp;""</f>
        <v/>
      </c>
      <c r="D1522" s="63" t="n">
        <v>3</v>
      </c>
      <c r="E1522" s="63">
        <f>IF('19'!J15="","",TRIM('19'!J15&amp;""))</f>
        <v/>
      </c>
      <c r="F1522" s="63">
        <f>IF('19'!K15="","",'19'!K15)</f>
        <v/>
      </c>
      <c r="G1522" s="63">
        <f>'19'!L15&amp;""</f>
        <v/>
      </c>
      <c r="H1522" s="63">
        <f>IF(OR(A1522="",F1522=""),"",F1522&amp;"|"&amp;A1522)</f>
        <v/>
      </c>
      <c r="I1522" s="63">
        <f>IF(AND(H1522&lt;&gt;"",OR('Historia wózka'!$B$4="",F1522='Historia wózka'!$B$4),A1522&gt;='Historia wózka'!$B$5,A1522&lt;='Historia wózka'!$B$6),A1522+0.7+(5000-ROW())/10000000,0)</f>
        <v/>
      </c>
      <c r="J1522" s="63">
        <f>Ustawienia!$B$10&amp;""</f>
        <v/>
      </c>
      <c r="K1522" s="63">
        <f>IF(H1522="","",COUNTIFS('Zgłoszenia'!$B$5:$B$504,F1522,'Zgłoszenia'!$D$5:$D$504,"&gt;="&amp;A1522,'Zgłoszenia'!$D$5:$D$504,"&lt;="&amp;(A1522+1)))</f>
        <v/>
      </c>
      <c r="L1522" s="63">
        <f>IF(OR(H1522="",K1522=0),"—",IF(ISNUMBER(MATCH(H1522,'Zgłoszenia'!$S$5:$S$504,0)),RIGHT("0"&amp;DAY(A1522),2)&amp;"."&amp;RIGHT("0"&amp;MONTH(A1522),2)&amp;"."&amp;YEAR(A1522)&amp;": "&amp;INDEX('Zgłoszenia'!$H$5:$H$504,MATCH(H1522,'Zgłoszenia'!$S$5:$S$504,0)),RIGHT("0"&amp;DAY((A1522+1)),2)&amp;"."&amp;RIGHT("0"&amp;MONTH((A1522+1)),2)&amp;"."&amp;YEAR((A1522+1))&amp;": "&amp;INDEX('Zgłoszenia'!$H$5:$H$504,MATCH(F1522&amp;"|"&amp;(A1522+1),'Zgłoszenia'!$S$5:$S$504,0)))&amp;IF(K1522&gt;1," (+"&amp;(K1522-1)&amp;")",""))</f>
        <v/>
      </c>
      <c r="M1522" s="63" t="n">
        <v>19</v>
      </c>
      <c r="N1522" s="2" t="n"/>
      <c r="O1522" s="2" t="n"/>
    </row>
    <row r="1523">
      <c r="A1523" s="62">
        <f>IF('19'!$C$1="","",'19'!$C$1)</f>
        <v/>
      </c>
      <c r="B1523" s="63">
        <f>Ustawienia!$A$10&amp;""</f>
        <v/>
      </c>
      <c r="C1523" s="63">
        <f>Ustawienia!$A$15&amp;""</f>
        <v/>
      </c>
      <c r="D1523" s="63" t="n">
        <v>4</v>
      </c>
      <c r="E1523" s="63">
        <f>IF('19'!J16="","",TRIM('19'!J16&amp;""))</f>
        <v/>
      </c>
      <c r="F1523" s="63">
        <f>IF('19'!K16="","",'19'!K16)</f>
        <v/>
      </c>
      <c r="G1523" s="63">
        <f>'19'!L16&amp;""</f>
        <v/>
      </c>
      <c r="H1523" s="63">
        <f>IF(OR(A1523="",F1523=""),"",F1523&amp;"|"&amp;A1523)</f>
        <v/>
      </c>
      <c r="I1523" s="63">
        <f>IF(AND(H1523&lt;&gt;"",OR('Historia wózka'!$B$4="",F1523='Historia wózka'!$B$4),A1523&gt;='Historia wózka'!$B$5,A1523&lt;='Historia wózka'!$B$6),A1523+0.7+(5000-ROW())/10000000,0)</f>
        <v/>
      </c>
      <c r="J1523" s="63">
        <f>Ustawienia!$B$10&amp;""</f>
        <v/>
      </c>
      <c r="K1523" s="63">
        <f>IF(H1523="","",COUNTIFS('Zgłoszenia'!$B$5:$B$504,F1523,'Zgłoszenia'!$D$5:$D$504,"&gt;="&amp;A1523,'Zgłoszenia'!$D$5:$D$504,"&lt;="&amp;(A1523+1)))</f>
        <v/>
      </c>
      <c r="L1523" s="63">
        <f>IF(OR(H1523="",K1523=0),"—",IF(ISNUMBER(MATCH(H1523,'Zgłoszenia'!$S$5:$S$504,0)),RIGHT("0"&amp;DAY(A1523),2)&amp;"."&amp;RIGHT("0"&amp;MONTH(A1523),2)&amp;"."&amp;YEAR(A1523)&amp;": "&amp;INDEX('Zgłoszenia'!$H$5:$H$504,MATCH(H1523,'Zgłoszenia'!$S$5:$S$504,0)),RIGHT("0"&amp;DAY((A1523+1)),2)&amp;"."&amp;RIGHT("0"&amp;MONTH((A1523+1)),2)&amp;"."&amp;YEAR((A1523+1))&amp;": "&amp;INDEX('Zgłoszenia'!$H$5:$H$504,MATCH(F1523&amp;"|"&amp;(A1523+1),'Zgłoszenia'!$S$5:$S$504,0)))&amp;IF(K1523&gt;1," (+"&amp;(K1523-1)&amp;")",""))</f>
        <v/>
      </c>
      <c r="M1523" s="63" t="n">
        <v>19</v>
      </c>
      <c r="N1523" s="2" t="n"/>
      <c r="O1523" s="2" t="n"/>
    </row>
    <row r="1524">
      <c r="A1524" s="62">
        <f>IF('19'!$C$1="","",'19'!$C$1)</f>
        <v/>
      </c>
      <c r="B1524" s="63">
        <f>Ustawienia!$A$10&amp;""</f>
        <v/>
      </c>
      <c r="C1524" s="63">
        <f>Ustawienia!$A$15&amp;""</f>
        <v/>
      </c>
      <c r="D1524" s="63" t="n">
        <v>5</v>
      </c>
      <c r="E1524" s="63">
        <f>IF('19'!J17="","",TRIM('19'!J17&amp;""))</f>
        <v/>
      </c>
      <c r="F1524" s="63">
        <f>IF('19'!K17="","",'19'!K17)</f>
        <v/>
      </c>
      <c r="G1524" s="63">
        <f>'19'!L17&amp;""</f>
        <v/>
      </c>
      <c r="H1524" s="63">
        <f>IF(OR(A1524="",F1524=""),"",F1524&amp;"|"&amp;A1524)</f>
        <v/>
      </c>
      <c r="I1524" s="63">
        <f>IF(AND(H1524&lt;&gt;"",OR('Historia wózka'!$B$4="",F1524='Historia wózka'!$B$4),A1524&gt;='Historia wózka'!$B$5,A1524&lt;='Historia wózka'!$B$6),A1524+0.7+(5000-ROW())/10000000,0)</f>
        <v/>
      </c>
      <c r="J1524" s="63">
        <f>Ustawienia!$B$10&amp;""</f>
        <v/>
      </c>
      <c r="K1524" s="63">
        <f>IF(H1524="","",COUNTIFS('Zgłoszenia'!$B$5:$B$504,F1524,'Zgłoszenia'!$D$5:$D$504,"&gt;="&amp;A1524,'Zgłoszenia'!$D$5:$D$504,"&lt;="&amp;(A1524+1)))</f>
        <v/>
      </c>
      <c r="L1524" s="63">
        <f>IF(OR(H1524="",K1524=0),"—",IF(ISNUMBER(MATCH(H1524,'Zgłoszenia'!$S$5:$S$504,0)),RIGHT("0"&amp;DAY(A1524),2)&amp;"."&amp;RIGHT("0"&amp;MONTH(A1524),2)&amp;"."&amp;YEAR(A1524)&amp;": "&amp;INDEX('Zgłoszenia'!$H$5:$H$504,MATCH(H1524,'Zgłoszenia'!$S$5:$S$504,0)),RIGHT("0"&amp;DAY((A1524+1)),2)&amp;"."&amp;RIGHT("0"&amp;MONTH((A1524+1)),2)&amp;"."&amp;YEAR((A1524+1))&amp;": "&amp;INDEX('Zgłoszenia'!$H$5:$H$504,MATCH(F1524&amp;"|"&amp;(A1524+1),'Zgłoszenia'!$S$5:$S$504,0)))&amp;IF(K1524&gt;1," (+"&amp;(K1524-1)&amp;")",""))</f>
        <v/>
      </c>
      <c r="M1524" s="63" t="n">
        <v>19</v>
      </c>
      <c r="N1524" s="2" t="n"/>
      <c r="O1524" s="2" t="n"/>
    </row>
    <row r="1525">
      <c r="A1525" s="62">
        <f>IF('19'!$C$1="","",'19'!$C$1)</f>
        <v/>
      </c>
      <c r="B1525" s="63">
        <f>Ustawienia!$A$10&amp;""</f>
        <v/>
      </c>
      <c r="C1525" s="63">
        <f>Ustawienia!$A$15&amp;""</f>
        <v/>
      </c>
      <c r="D1525" s="63" t="n">
        <v>6</v>
      </c>
      <c r="E1525" s="63">
        <f>IF('19'!J18="","",TRIM('19'!J18&amp;""))</f>
        <v/>
      </c>
      <c r="F1525" s="63">
        <f>IF('19'!K18="","",'19'!K18)</f>
        <v/>
      </c>
      <c r="G1525" s="63">
        <f>'19'!L18&amp;""</f>
        <v/>
      </c>
      <c r="H1525" s="63">
        <f>IF(OR(A1525="",F1525=""),"",F1525&amp;"|"&amp;A1525)</f>
        <v/>
      </c>
      <c r="I1525" s="63">
        <f>IF(AND(H1525&lt;&gt;"",OR('Historia wózka'!$B$4="",F1525='Historia wózka'!$B$4),A1525&gt;='Historia wózka'!$B$5,A1525&lt;='Historia wózka'!$B$6),A1525+0.7+(5000-ROW())/10000000,0)</f>
        <v/>
      </c>
      <c r="J1525" s="63">
        <f>Ustawienia!$B$10&amp;""</f>
        <v/>
      </c>
      <c r="K1525" s="63">
        <f>IF(H1525="","",COUNTIFS('Zgłoszenia'!$B$5:$B$504,F1525,'Zgłoszenia'!$D$5:$D$504,"&gt;="&amp;A1525,'Zgłoszenia'!$D$5:$D$504,"&lt;="&amp;(A1525+1)))</f>
        <v/>
      </c>
      <c r="L1525" s="63">
        <f>IF(OR(H1525="",K1525=0),"—",IF(ISNUMBER(MATCH(H1525,'Zgłoszenia'!$S$5:$S$504,0)),RIGHT("0"&amp;DAY(A1525),2)&amp;"."&amp;RIGHT("0"&amp;MONTH(A1525),2)&amp;"."&amp;YEAR(A1525)&amp;": "&amp;INDEX('Zgłoszenia'!$H$5:$H$504,MATCH(H1525,'Zgłoszenia'!$S$5:$S$504,0)),RIGHT("0"&amp;DAY((A1525+1)),2)&amp;"."&amp;RIGHT("0"&amp;MONTH((A1525+1)),2)&amp;"."&amp;YEAR((A1525+1))&amp;": "&amp;INDEX('Zgłoszenia'!$H$5:$H$504,MATCH(F1525&amp;"|"&amp;(A1525+1),'Zgłoszenia'!$S$5:$S$504,0)))&amp;IF(K1525&gt;1," (+"&amp;(K1525-1)&amp;")",""))</f>
        <v/>
      </c>
      <c r="M1525" s="63" t="n">
        <v>19</v>
      </c>
      <c r="N1525" s="2" t="n"/>
      <c r="O1525" s="2" t="n"/>
    </row>
    <row r="1526">
      <c r="A1526" s="62">
        <f>IF('19'!$C$1="","",'19'!$C$1)</f>
        <v/>
      </c>
      <c r="B1526" s="63">
        <f>Ustawienia!$A$10&amp;""</f>
        <v/>
      </c>
      <c r="C1526" s="63">
        <f>Ustawienia!$A$15&amp;""</f>
        <v/>
      </c>
      <c r="D1526" s="63" t="n">
        <v>7</v>
      </c>
      <c r="E1526" s="63">
        <f>IF('19'!J19="","",TRIM('19'!J19&amp;""))</f>
        <v/>
      </c>
      <c r="F1526" s="63">
        <f>IF('19'!K19="","",'19'!K19)</f>
        <v/>
      </c>
      <c r="G1526" s="63">
        <f>'19'!L19&amp;""</f>
        <v/>
      </c>
      <c r="H1526" s="63">
        <f>IF(OR(A1526="",F1526=""),"",F1526&amp;"|"&amp;A1526)</f>
        <v/>
      </c>
      <c r="I1526" s="63">
        <f>IF(AND(H1526&lt;&gt;"",OR('Historia wózka'!$B$4="",F1526='Historia wózka'!$B$4),A1526&gt;='Historia wózka'!$B$5,A1526&lt;='Historia wózka'!$B$6),A1526+0.7+(5000-ROW())/10000000,0)</f>
        <v/>
      </c>
      <c r="J1526" s="63">
        <f>Ustawienia!$B$10&amp;""</f>
        <v/>
      </c>
      <c r="K1526" s="63">
        <f>IF(H1526="","",COUNTIFS('Zgłoszenia'!$B$5:$B$504,F1526,'Zgłoszenia'!$D$5:$D$504,"&gt;="&amp;A1526,'Zgłoszenia'!$D$5:$D$504,"&lt;="&amp;(A1526+1)))</f>
        <v/>
      </c>
      <c r="L1526" s="63">
        <f>IF(OR(H1526="",K1526=0),"—",IF(ISNUMBER(MATCH(H1526,'Zgłoszenia'!$S$5:$S$504,0)),RIGHT("0"&amp;DAY(A1526),2)&amp;"."&amp;RIGHT("0"&amp;MONTH(A1526),2)&amp;"."&amp;YEAR(A1526)&amp;": "&amp;INDEX('Zgłoszenia'!$H$5:$H$504,MATCH(H1526,'Zgłoszenia'!$S$5:$S$504,0)),RIGHT("0"&amp;DAY((A1526+1)),2)&amp;"."&amp;RIGHT("0"&amp;MONTH((A1526+1)),2)&amp;"."&amp;YEAR((A1526+1))&amp;": "&amp;INDEX('Zgłoszenia'!$H$5:$H$504,MATCH(F1526&amp;"|"&amp;(A1526+1),'Zgłoszenia'!$S$5:$S$504,0)))&amp;IF(K1526&gt;1," (+"&amp;(K1526-1)&amp;")",""))</f>
        <v/>
      </c>
      <c r="M1526" s="63" t="n">
        <v>19</v>
      </c>
      <c r="N1526" s="2" t="n"/>
      <c r="O1526" s="2" t="n"/>
    </row>
    <row r="1527">
      <c r="A1527" s="62">
        <f>IF('19'!$C$1="","",'19'!$C$1)</f>
        <v/>
      </c>
      <c r="B1527" s="63">
        <f>Ustawienia!$A$10&amp;""</f>
        <v/>
      </c>
      <c r="C1527" s="63">
        <f>Ustawienia!$A$15&amp;""</f>
        <v/>
      </c>
      <c r="D1527" s="63" t="n">
        <v>8</v>
      </c>
      <c r="E1527" s="63">
        <f>IF('19'!J20="","",TRIM('19'!J20&amp;""))</f>
        <v/>
      </c>
      <c r="F1527" s="63">
        <f>IF('19'!K20="","",'19'!K20)</f>
        <v/>
      </c>
      <c r="G1527" s="63">
        <f>'19'!L20&amp;""</f>
        <v/>
      </c>
      <c r="H1527" s="63">
        <f>IF(OR(A1527="",F1527=""),"",F1527&amp;"|"&amp;A1527)</f>
        <v/>
      </c>
      <c r="I1527" s="63">
        <f>IF(AND(H1527&lt;&gt;"",OR('Historia wózka'!$B$4="",F1527='Historia wózka'!$B$4),A1527&gt;='Historia wózka'!$B$5,A1527&lt;='Historia wózka'!$B$6),A1527+0.7+(5000-ROW())/10000000,0)</f>
        <v/>
      </c>
      <c r="J1527" s="63">
        <f>Ustawienia!$B$10&amp;""</f>
        <v/>
      </c>
      <c r="K1527" s="63">
        <f>IF(H1527="","",COUNTIFS('Zgłoszenia'!$B$5:$B$504,F1527,'Zgłoszenia'!$D$5:$D$504,"&gt;="&amp;A1527,'Zgłoszenia'!$D$5:$D$504,"&lt;="&amp;(A1527+1)))</f>
        <v/>
      </c>
      <c r="L1527" s="63">
        <f>IF(OR(H1527="",K1527=0),"—",IF(ISNUMBER(MATCH(H1527,'Zgłoszenia'!$S$5:$S$504,0)),RIGHT("0"&amp;DAY(A1527),2)&amp;"."&amp;RIGHT("0"&amp;MONTH(A1527),2)&amp;"."&amp;YEAR(A1527)&amp;": "&amp;INDEX('Zgłoszenia'!$H$5:$H$504,MATCH(H1527,'Zgłoszenia'!$S$5:$S$504,0)),RIGHT("0"&amp;DAY((A1527+1)),2)&amp;"."&amp;RIGHT("0"&amp;MONTH((A1527+1)),2)&amp;"."&amp;YEAR((A1527+1))&amp;": "&amp;INDEX('Zgłoszenia'!$H$5:$H$504,MATCH(F1527&amp;"|"&amp;(A1527+1),'Zgłoszenia'!$S$5:$S$504,0)))&amp;IF(K1527&gt;1," (+"&amp;(K1527-1)&amp;")",""))</f>
        <v/>
      </c>
      <c r="M1527" s="63" t="n">
        <v>19</v>
      </c>
      <c r="N1527" s="2" t="n"/>
      <c r="O1527" s="2" t="n"/>
    </row>
    <row r="1528">
      <c r="A1528" s="62">
        <f>IF('19'!$C$1="","",'19'!$C$1)</f>
        <v/>
      </c>
      <c r="B1528" s="63">
        <f>Ustawienia!$A$10&amp;""</f>
        <v/>
      </c>
      <c r="C1528" s="63">
        <f>Ustawienia!$A$16&amp;""</f>
        <v/>
      </c>
      <c r="D1528" s="63" t="n">
        <v>1</v>
      </c>
      <c r="E1528" s="63">
        <f>IF('19'!J22="","",TRIM('19'!J22&amp;""))</f>
        <v/>
      </c>
      <c r="F1528" s="63">
        <f>IF('19'!K22="","",'19'!K22)</f>
        <v/>
      </c>
      <c r="G1528" s="63">
        <f>'19'!L22&amp;""</f>
        <v/>
      </c>
      <c r="H1528" s="63">
        <f>IF(OR(A1528="",F1528=""),"",F1528&amp;"|"&amp;A1528)</f>
        <v/>
      </c>
      <c r="I1528" s="63">
        <f>IF(AND(H1528&lt;&gt;"",OR('Historia wózka'!$B$4="",F1528='Historia wózka'!$B$4),A1528&gt;='Historia wózka'!$B$5,A1528&lt;='Historia wózka'!$B$6),A1528+0.7+(5000-ROW())/10000000,0)</f>
        <v/>
      </c>
      <c r="J1528" s="63">
        <f>Ustawienia!$B$10&amp;""</f>
        <v/>
      </c>
      <c r="K1528" s="63">
        <f>IF(H1528="","",COUNTIFS('Zgłoszenia'!$B$5:$B$504,F1528,'Zgłoszenia'!$D$5:$D$504,"&gt;="&amp;A1528,'Zgłoszenia'!$D$5:$D$504,"&lt;="&amp;(A1528+1)))</f>
        <v/>
      </c>
      <c r="L1528" s="63">
        <f>IF(OR(H1528="",K1528=0),"—",IF(ISNUMBER(MATCH(H1528,'Zgłoszenia'!$S$5:$S$504,0)),RIGHT("0"&amp;DAY(A1528),2)&amp;"."&amp;RIGHT("0"&amp;MONTH(A1528),2)&amp;"."&amp;YEAR(A1528)&amp;": "&amp;INDEX('Zgłoszenia'!$H$5:$H$504,MATCH(H1528,'Zgłoszenia'!$S$5:$S$504,0)),RIGHT("0"&amp;DAY((A1528+1)),2)&amp;"."&amp;RIGHT("0"&amp;MONTH((A1528+1)),2)&amp;"."&amp;YEAR((A1528+1))&amp;": "&amp;INDEX('Zgłoszenia'!$H$5:$H$504,MATCH(F1528&amp;"|"&amp;(A1528+1),'Zgłoszenia'!$S$5:$S$504,0)))&amp;IF(K1528&gt;1," (+"&amp;(K1528-1)&amp;")",""))</f>
        <v/>
      </c>
      <c r="M1528" s="63" t="n">
        <v>19</v>
      </c>
      <c r="N1528" s="2" t="n"/>
      <c r="O1528" s="2" t="n"/>
    </row>
    <row r="1529">
      <c r="A1529" s="62">
        <f>IF('19'!$C$1="","",'19'!$C$1)</f>
        <v/>
      </c>
      <c r="B1529" s="63">
        <f>Ustawienia!$A$10&amp;""</f>
        <v/>
      </c>
      <c r="C1529" s="63">
        <f>Ustawienia!$A$16&amp;""</f>
        <v/>
      </c>
      <c r="D1529" s="63" t="n">
        <v>2</v>
      </c>
      <c r="E1529" s="63">
        <f>IF('19'!J23="","",TRIM('19'!J23&amp;""))</f>
        <v/>
      </c>
      <c r="F1529" s="63">
        <f>IF('19'!K23="","",'19'!K23)</f>
        <v/>
      </c>
      <c r="G1529" s="63">
        <f>'19'!L23&amp;""</f>
        <v/>
      </c>
      <c r="H1529" s="63">
        <f>IF(OR(A1529="",F1529=""),"",F1529&amp;"|"&amp;A1529)</f>
        <v/>
      </c>
      <c r="I1529" s="63">
        <f>IF(AND(H1529&lt;&gt;"",OR('Historia wózka'!$B$4="",F1529='Historia wózka'!$B$4),A1529&gt;='Historia wózka'!$B$5,A1529&lt;='Historia wózka'!$B$6),A1529+0.7+(5000-ROW())/10000000,0)</f>
        <v/>
      </c>
      <c r="J1529" s="63">
        <f>Ustawienia!$B$10&amp;""</f>
        <v/>
      </c>
      <c r="K1529" s="63">
        <f>IF(H1529="","",COUNTIFS('Zgłoszenia'!$B$5:$B$504,F1529,'Zgłoszenia'!$D$5:$D$504,"&gt;="&amp;A1529,'Zgłoszenia'!$D$5:$D$504,"&lt;="&amp;(A1529+1)))</f>
        <v/>
      </c>
      <c r="L1529" s="63">
        <f>IF(OR(H1529="",K1529=0),"—",IF(ISNUMBER(MATCH(H1529,'Zgłoszenia'!$S$5:$S$504,0)),RIGHT("0"&amp;DAY(A1529),2)&amp;"."&amp;RIGHT("0"&amp;MONTH(A1529),2)&amp;"."&amp;YEAR(A1529)&amp;": "&amp;INDEX('Zgłoszenia'!$H$5:$H$504,MATCH(H1529,'Zgłoszenia'!$S$5:$S$504,0)),RIGHT("0"&amp;DAY((A1529+1)),2)&amp;"."&amp;RIGHT("0"&amp;MONTH((A1529+1)),2)&amp;"."&amp;YEAR((A1529+1))&amp;": "&amp;INDEX('Zgłoszenia'!$H$5:$H$504,MATCH(F1529&amp;"|"&amp;(A1529+1),'Zgłoszenia'!$S$5:$S$504,0)))&amp;IF(K1529&gt;1," (+"&amp;(K1529-1)&amp;")",""))</f>
        <v/>
      </c>
      <c r="M1529" s="63" t="n">
        <v>19</v>
      </c>
      <c r="N1529" s="2" t="n"/>
      <c r="O1529" s="2" t="n"/>
    </row>
    <row r="1530">
      <c r="A1530" s="62">
        <f>IF('19'!$C$1="","",'19'!$C$1)</f>
        <v/>
      </c>
      <c r="B1530" s="63">
        <f>Ustawienia!$A$10&amp;""</f>
        <v/>
      </c>
      <c r="C1530" s="63">
        <f>Ustawienia!$A$16&amp;""</f>
        <v/>
      </c>
      <c r="D1530" s="63" t="n">
        <v>3</v>
      </c>
      <c r="E1530" s="63">
        <f>IF('19'!J24="","",TRIM('19'!J24&amp;""))</f>
        <v/>
      </c>
      <c r="F1530" s="63">
        <f>IF('19'!K24="","",'19'!K24)</f>
        <v/>
      </c>
      <c r="G1530" s="63">
        <f>'19'!L24&amp;""</f>
        <v/>
      </c>
      <c r="H1530" s="63">
        <f>IF(OR(A1530="",F1530=""),"",F1530&amp;"|"&amp;A1530)</f>
        <v/>
      </c>
      <c r="I1530" s="63">
        <f>IF(AND(H1530&lt;&gt;"",OR('Historia wózka'!$B$4="",F1530='Historia wózka'!$B$4),A1530&gt;='Historia wózka'!$B$5,A1530&lt;='Historia wózka'!$B$6),A1530+0.7+(5000-ROW())/10000000,0)</f>
        <v/>
      </c>
      <c r="J1530" s="63">
        <f>Ustawienia!$B$10&amp;""</f>
        <v/>
      </c>
      <c r="K1530" s="63">
        <f>IF(H1530="","",COUNTIFS('Zgłoszenia'!$B$5:$B$504,F1530,'Zgłoszenia'!$D$5:$D$504,"&gt;="&amp;A1530,'Zgłoszenia'!$D$5:$D$504,"&lt;="&amp;(A1530+1)))</f>
        <v/>
      </c>
      <c r="L1530" s="63">
        <f>IF(OR(H1530="",K1530=0),"—",IF(ISNUMBER(MATCH(H1530,'Zgłoszenia'!$S$5:$S$504,0)),RIGHT("0"&amp;DAY(A1530),2)&amp;"."&amp;RIGHT("0"&amp;MONTH(A1530),2)&amp;"."&amp;YEAR(A1530)&amp;": "&amp;INDEX('Zgłoszenia'!$H$5:$H$504,MATCH(H1530,'Zgłoszenia'!$S$5:$S$504,0)),RIGHT("0"&amp;DAY((A1530+1)),2)&amp;"."&amp;RIGHT("0"&amp;MONTH((A1530+1)),2)&amp;"."&amp;YEAR((A1530+1))&amp;": "&amp;INDEX('Zgłoszenia'!$H$5:$H$504,MATCH(F1530&amp;"|"&amp;(A1530+1),'Zgłoszenia'!$S$5:$S$504,0)))&amp;IF(K1530&gt;1," (+"&amp;(K1530-1)&amp;")",""))</f>
        <v/>
      </c>
      <c r="M1530" s="63" t="n">
        <v>19</v>
      </c>
      <c r="N1530" s="2" t="n"/>
      <c r="O1530" s="2" t="n"/>
    </row>
    <row r="1531">
      <c r="A1531" s="62">
        <f>IF('19'!$C$1="","",'19'!$C$1)</f>
        <v/>
      </c>
      <c r="B1531" s="63">
        <f>Ustawienia!$A$10&amp;""</f>
        <v/>
      </c>
      <c r="C1531" s="63">
        <f>Ustawienia!$A$16&amp;""</f>
        <v/>
      </c>
      <c r="D1531" s="63" t="n">
        <v>4</v>
      </c>
      <c r="E1531" s="63">
        <f>IF('19'!J25="","",TRIM('19'!J25&amp;""))</f>
        <v/>
      </c>
      <c r="F1531" s="63">
        <f>IF('19'!K25="","",'19'!K25)</f>
        <v/>
      </c>
      <c r="G1531" s="63">
        <f>'19'!L25&amp;""</f>
        <v/>
      </c>
      <c r="H1531" s="63">
        <f>IF(OR(A1531="",F1531=""),"",F1531&amp;"|"&amp;A1531)</f>
        <v/>
      </c>
      <c r="I1531" s="63">
        <f>IF(AND(H1531&lt;&gt;"",OR('Historia wózka'!$B$4="",F1531='Historia wózka'!$B$4),A1531&gt;='Historia wózka'!$B$5,A1531&lt;='Historia wózka'!$B$6),A1531+0.7+(5000-ROW())/10000000,0)</f>
        <v/>
      </c>
      <c r="J1531" s="63">
        <f>Ustawienia!$B$10&amp;""</f>
        <v/>
      </c>
      <c r="K1531" s="63">
        <f>IF(H1531="","",COUNTIFS('Zgłoszenia'!$B$5:$B$504,F1531,'Zgłoszenia'!$D$5:$D$504,"&gt;="&amp;A1531,'Zgłoszenia'!$D$5:$D$504,"&lt;="&amp;(A1531+1)))</f>
        <v/>
      </c>
      <c r="L1531" s="63">
        <f>IF(OR(H1531="",K1531=0),"—",IF(ISNUMBER(MATCH(H1531,'Zgłoszenia'!$S$5:$S$504,0)),RIGHT("0"&amp;DAY(A1531),2)&amp;"."&amp;RIGHT("0"&amp;MONTH(A1531),2)&amp;"."&amp;YEAR(A1531)&amp;": "&amp;INDEX('Zgłoszenia'!$H$5:$H$504,MATCH(H1531,'Zgłoszenia'!$S$5:$S$504,0)),RIGHT("0"&amp;DAY((A1531+1)),2)&amp;"."&amp;RIGHT("0"&amp;MONTH((A1531+1)),2)&amp;"."&amp;YEAR((A1531+1))&amp;": "&amp;INDEX('Zgłoszenia'!$H$5:$H$504,MATCH(F1531&amp;"|"&amp;(A1531+1),'Zgłoszenia'!$S$5:$S$504,0)))&amp;IF(K1531&gt;1," (+"&amp;(K1531-1)&amp;")",""))</f>
        <v/>
      </c>
      <c r="M1531" s="63" t="n">
        <v>19</v>
      </c>
      <c r="N1531" s="2" t="n"/>
      <c r="O1531" s="2" t="n"/>
    </row>
    <row r="1532">
      <c r="A1532" s="62">
        <f>IF('19'!$C$1="","",'19'!$C$1)</f>
        <v/>
      </c>
      <c r="B1532" s="63">
        <f>Ustawienia!$A$10&amp;""</f>
        <v/>
      </c>
      <c r="C1532" s="63">
        <f>Ustawienia!$A$17&amp;""</f>
        <v/>
      </c>
      <c r="D1532" s="63" t="n">
        <v>1</v>
      </c>
      <c r="E1532" s="63">
        <f>IF('19'!J27="","",TRIM('19'!J27&amp;""))</f>
        <v/>
      </c>
      <c r="F1532" s="63">
        <f>IF('19'!K27="","",'19'!K27)</f>
        <v/>
      </c>
      <c r="G1532" s="63">
        <f>'19'!L27&amp;""</f>
        <v/>
      </c>
      <c r="H1532" s="63">
        <f>IF(OR(A1532="",F1532=""),"",F1532&amp;"|"&amp;A1532)</f>
        <v/>
      </c>
      <c r="I1532" s="63">
        <f>IF(AND(H1532&lt;&gt;"",OR('Historia wózka'!$B$4="",F1532='Historia wózka'!$B$4),A1532&gt;='Historia wózka'!$B$5,A1532&lt;='Historia wózka'!$B$6),A1532+0.7+(5000-ROW())/10000000,0)</f>
        <v/>
      </c>
      <c r="J1532" s="63">
        <f>Ustawienia!$B$10&amp;""</f>
        <v/>
      </c>
      <c r="K1532" s="63">
        <f>IF(H1532="","",COUNTIFS('Zgłoszenia'!$B$5:$B$504,F1532,'Zgłoszenia'!$D$5:$D$504,"&gt;="&amp;A1532,'Zgłoszenia'!$D$5:$D$504,"&lt;="&amp;(A1532+1)))</f>
        <v/>
      </c>
      <c r="L1532" s="63">
        <f>IF(OR(H1532="",K1532=0),"—",IF(ISNUMBER(MATCH(H1532,'Zgłoszenia'!$S$5:$S$504,0)),RIGHT("0"&amp;DAY(A1532),2)&amp;"."&amp;RIGHT("0"&amp;MONTH(A1532),2)&amp;"."&amp;YEAR(A1532)&amp;": "&amp;INDEX('Zgłoszenia'!$H$5:$H$504,MATCH(H1532,'Zgłoszenia'!$S$5:$S$504,0)),RIGHT("0"&amp;DAY((A1532+1)),2)&amp;"."&amp;RIGHT("0"&amp;MONTH((A1532+1)),2)&amp;"."&amp;YEAR((A1532+1))&amp;": "&amp;INDEX('Zgłoszenia'!$H$5:$H$504,MATCH(F1532&amp;"|"&amp;(A1532+1),'Zgłoszenia'!$S$5:$S$504,0)))&amp;IF(K1532&gt;1," (+"&amp;(K1532-1)&amp;")",""))</f>
        <v/>
      </c>
      <c r="M1532" s="63" t="n">
        <v>19</v>
      </c>
      <c r="N1532" s="2" t="n"/>
      <c r="O1532" s="2" t="n"/>
    </row>
    <row r="1533">
      <c r="A1533" s="62">
        <f>IF('19'!$C$1="","",'19'!$C$1)</f>
        <v/>
      </c>
      <c r="B1533" s="63">
        <f>Ustawienia!$A$10&amp;""</f>
        <v/>
      </c>
      <c r="C1533" s="63">
        <f>Ustawienia!$A$17&amp;""</f>
        <v/>
      </c>
      <c r="D1533" s="63" t="n">
        <v>2</v>
      </c>
      <c r="E1533" s="63">
        <f>IF('19'!J28="","",TRIM('19'!J28&amp;""))</f>
        <v/>
      </c>
      <c r="F1533" s="63">
        <f>IF('19'!K28="","",'19'!K28)</f>
        <v/>
      </c>
      <c r="G1533" s="63">
        <f>'19'!L28&amp;""</f>
        <v/>
      </c>
      <c r="H1533" s="63">
        <f>IF(OR(A1533="",F1533=""),"",F1533&amp;"|"&amp;A1533)</f>
        <v/>
      </c>
      <c r="I1533" s="63">
        <f>IF(AND(H1533&lt;&gt;"",OR('Historia wózka'!$B$4="",F1533='Historia wózka'!$B$4),A1533&gt;='Historia wózka'!$B$5,A1533&lt;='Historia wózka'!$B$6),A1533+0.7+(5000-ROW())/10000000,0)</f>
        <v/>
      </c>
      <c r="J1533" s="63">
        <f>Ustawienia!$B$10&amp;""</f>
        <v/>
      </c>
      <c r="K1533" s="63">
        <f>IF(H1533="","",COUNTIFS('Zgłoszenia'!$B$5:$B$504,F1533,'Zgłoszenia'!$D$5:$D$504,"&gt;="&amp;A1533,'Zgłoszenia'!$D$5:$D$504,"&lt;="&amp;(A1533+1)))</f>
        <v/>
      </c>
      <c r="L1533" s="63">
        <f>IF(OR(H1533="",K1533=0),"—",IF(ISNUMBER(MATCH(H1533,'Zgłoszenia'!$S$5:$S$504,0)),RIGHT("0"&amp;DAY(A1533),2)&amp;"."&amp;RIGHT("0"&amp;MONTH(A1533),2)&amp;"."&amp;YEAR(A1533)&amp;": "&amp;INDEX('Zgłoszenia'!$H$5:$H$504,MATCH(H1533,'Zgłoszenia'!$S$5:$S$504,0)),RIGHT("0"&amp;DAY((A1533+1)),2)&amp;"."&amp;RIGHT("0"&amp;MONTH((A1533+1)),2)&amp;"."&amp;YEAR((A1533+1))&amp;": "&amp;INDEX('Zgłoszenia'!$H$5:$H$504,MATCH(F1533&amp;"|"&amp;(A1533+1),'Zgłoszenia'!$S$5:$S$504,0)))&amp;IF(K1533&gt;1," (+"&amp;(K1533-1)&amp;")",""))</f>
        <v/>
      </c>
      <c r="M1533" s="63" t="n">
        <v>19</v>
      </c>
      <c r="N1533" s="2" t="n"/>
      <c r="O1533" s="2" t="n"/>
    </row>
    <row r="1534">
      <c r="A1534" s="62">
        <f>IF('19'!$C$1="","",'19'!$C$1)</f>
        <v/>
      </c>
      <c r="B1534" s="63">
        <f>Ustawienia!$A$10&amp;""</f>
        <v/>
      </c>
      <c r="C1534" s="63">
        <f>Ustawienia!$A$17&amp;""</f>
        <v/>
      </c>
      <c r="D1534" s="63" t="n">
        <v>3</v>
      </c>
      <c r="E1534" s="63">
        <f>IF('19'!J29="","",TRIM('19'!J29&amp;""))</f>
        <v/>
      </c>
      <c r="F1534" s="63">
        <f>IF('19'!K29="","",'19'!K29)</f>
        <v/>
      </c>
      <c r="G1534" s="63">
        <f>'19'!L29&amp;""</f>
        <v/>
      </c>
      <c r="H1534" s="63">
        <f>IF(OR(A1534="",F1534=""),"",F1534&amp;"|"&amp;A1534)</f>
        <v/>
      </c>
      <c r="I1534" s="63">
        <f>IF(AND(H1534&lt;&gt;"",OR('Historia wózka'!$B$4="",F1534='Historia wózka'!$B$4),A1534&gt;='Historia wózka'!$B$5,A1534&lt;='Historia wózka'!$B$6),A1534+0.7+(5000-ROW())/10000000,0)</f>
        <v/>
      </c>
      <c r="J1534" s="63">
        <f>Ustawienia!$B$10&amp;""</f>
        <v/>
      </c>
      <c r="K1534" s="63">
        <f>IF(H1534="","",COUNTIFS('Zgłoszenia'!$B$5:$B$504,F1534,'Zgłoszenia'!$D$5:$D$504,"&gt;="&amp;A1534,'Zgłoszenia'!$D$5:$D$504,"&lt;="&amp;(A1534+1)))</f>
        <v/>
      </c>
      <c r="L1534" s="63">
        <f>IF(OR(H1534="",K1534=0),"—",IF(ISNUMBER(MATCH(H1534,'Zgłoszenia'!$S$5:$S$504,0)),RIGHT("0"&amp;DAY(A1534),2)&amp;"."&amp;RIGHT("0"&amp;MONTH(A1534),2)&amp;"."&amp;YEAR(A1534)&amp;": "&amp;INDEX('Zgłoszenia'!$H$5:$H$504,MATCH(H1534,'Zgłoszenia'!$S$5:$S$504,0)),RIGHT("0"&amp;DAY((A1534+1)),2)&amp;"."&amp;RIGHT("0"&amp;MONTH((A1534+1)),2)&amp;"."&amp;YEAR((A1534+1))&amp;": "&amp;INDEX('Zgłoszenia'!$H$5:$H$504,MATCH(F1534&amp;"|"&amp;(A1534+1),'Zgłoszenia'!$S$5:$S$504,0)))&amp;IF(K1534&gt;1," (+"&amp;(K1534-1)&amp;")",""))</f>
        <v/>
      </c>
      <c r="M1534" s="63" t="n">
        <v>19</v>
      </c>
      <c r="N1534" s="2" t="n"/>
      <c r="O1534" s="2" t="n"/>
    </row>
    <row r="1535">
      <c r="A1535" s="62">
        <f>IF('19'!$C$1="","",'19'!$C$1)</f>
        <v/>
      </c>
      <c r="B1535" s="63">
        <f>Ustawienia!$A$10&amp;""</f>
        <v/>
      </c>
      <c r="C1535" s="63">
        <f>Ustawienia!$A$17&amp;""</f>
        <v/>
      </c>
      <c r="D1535" s="63" t="n">
        <v>4</v>
      </c>
      <c r="E1535" s="63">
        <f>IF('19'!J30="","",TRIM('19'!J30&amp;""))</f>
        <v/>
      </c>
      <c r="F1535" s="63">
        <f>IF('19'!K30="","",'19'!K30)</f>
        <v/>
      </c>
      <c r="G1535" s="63">
        <f>'19'!L30&amp;""</f>
        <v/>
      </c>
      <c r="H1535" s="63">
        <f>IF(OR(A1535="",F1535=""),"",F1535&amp;"|"&amp;A1535)</f>
        <v/>
      </c>
      <c r="I1535" s="63">
        <f>IF(AND(H1535&lt;&gt;"",OR('Historia wózka'!$B$4="",F1535='Historia wózka'!$B$4),A1535&gt;='Historia wózka'!$B$5,A1535&lt;='Historia wózka'!$B$6),A1535+0.7+(5000-ROW())/10000000,0)</f>
        <v/>
      </c>
      <c r="J1535" s="63">
        <f>Ustawienia!$B$10&amp;""</f>
        <v/>
      </c>
      <c r="K1535" s="63">
        <f>IF(H1535="","",COUNTIFS('Zgłoszenia'!$B$5:$B$504,F1535,'Zgłoszenia'!$D$5:$D$504,"&gt;="&amp;A1535,'Zgłoszenia'!$D$5:$D$504,"&lt;="&amp;(A1535+1)))</f>
        <v/>
      </c>
      <c r="L1535" s="63">
        <f>IF(OR(H1535="",K1535=0),"—",IF(ISNUMBER(MATCH(H1535,'Zgłoszenia'!$S$5:$S$504,0)),RIGHT("0"&amp;DAY(A1535),2)&amp;"."&amp;RIGHT("0"&amp;MONTH(A1535),2)&amp;"."&amp;YEAR(A1535)&amp;": "&amp;INDEX('Zgłoszenia'!$H$5:$H$504,MATCH(H1535,'Zgłoszenia'!$S$5:$S$504,0)),RIGHT("0"&amp;DAY((A1535+1)),2)&amp;"."&amp;RIGHT("0"&amp;MONTH((A1535+1)),2)&amp;"."&amp;YEAR((A1535+1))&amp;": "&amp;INDEX('Zgłoszenia'!$H$5:$H$504,MATCH(F1535&amp;"|"&amp;(A1535+1),'Zgłoszenia'!$S$5:$S$504,0)))&amp;IF(K1535&gt;1," (+"&amp;(K1535-1)&amp;")",""))</f>
        <v/>
      </c>
      <c r="M1535" s="63" t="n">
        <v>19</v>
      </c>
      <c r="N1535" s="2" t="n"/>
      <c r="O1535" s="2" t="n"/>
    </row>
    <row r="1536">
      <c r="A1536" s="62">
        <f>IF('19'!$C$1="","",'19'!$C$1)</f>
        <v/>
      </c>
      <c r="B1536" s="63">
        <f>Ustawienia!$A$10&amp;""</f>
        <v/>
      </c>
      <c r="C1536" s="63">
        <f>Ustawienia!$A$18&amp;""</f>
        <v/>
      </c>
      <c r="D1536" s="63" t="n">
        <v>1</v>
      </c>
      <c r="E1536" s="63">
        <f>IF('19'!J32="","",TRIM('19'!J32&amp;""))</f>
        <v/>
      </c>
      <c r="F1536" s="63">
        <f>IF('19'!K32="","",'19'!K32)</f>
        <v/>
      </c>
      <c r="G1536" s="63">
        <f>'19'!L32&amp;""</f>
        <v/>
      </c>
      <c r="H1536" s="63">
        <f>IF(OR(A1536="",F1536=""),"",F1536&amp;"|"&amp;A1536)</f>
        <v/>
      </c>
      <c r="I1536" s="63">
        <f>IF(AND(H1536&lt;&gt;"",OR('Historia wózka'!$B$4="",F1536='Historia wózka'!$B$4),A1536&gt;='Historia wózka'!$B$5,A1536&lt;='Historia wózka'!$B$6),A1536+0.7+(5000-ROW())/10000000,0)</f>
        <v/>
      </c>
      <c r="J1536" s="63">
        <f>Ustawienia!$B$10&amp;""</f>
        <v/>
      </c>
      <c r="K1536" s="63">
        <f>IF(H1536="","",COUNTIFS('Zgłoszenia'!$B$5:$B$504,F1536,'Zgłoszenia'!$D$5:$D$504,"&gt;="&amp;A1536,'Zgłoszenia'!$D$5:$D$504,"&lt;="&amp;(A1536+1)))</f>
        <v/>
      </c>
      <c r="L1536" s="63">
        <f>IF(OR(H1536="",K1536=0),"—",IF(ISNUMBER(MATCH(H1536,'Zgłoszenia'!$S$5:$S$504,0)),RIGHT("0"&amp;DAY(A1536),2)&amp;"."&amp;RIGHT("0"&amp;MONTH(A1536),2)&amp;"."&amp;YEAR(A1536)&amp;": "&amp;INDEX('Zgłoszenia'!$H$5:$H$504,MATCH(H1536,'Zgłoszenia'!$S$5:$S$504,0)),RIGHT("0"&amp;DAY((A1536+1)),2)&amp;"."&amp;RIGHT("0"&amp;MONTH((A1536+1)),2)&amp;"."&amp;YEAR((A1536+1))&amp;": "&amp;INDEX('Zgłoszenia'!$H$5:$H$504,MATCH(F1536&amp;"|"&amp;(A1536+1),'Zgłoszenia'!$S$5:$S$504,0)))&amp;IF(K1536&gt;1," (+"&amp;(K1536-1)&amp;")",""))</f>
        <v/>
      </c>
      <c r="M1536" s="63" t="n">
        <v>19</v>
      </c>
      <c r="N1536" s="2" t="n"/>
      <c r="O1536" s="2" t="n"/>
    </row>
    <row r="1537">
      <c r="A1537" s="62">
        <f>IF('19'!$C$1="","",'19'!$C$1)</f>
        <v/>
      </c>
      <c r="B1537" s="63">
        <f>Ustawienia!$A$10&amp;""</f>
        <v/>
      </c>
      <c r="C1537" s="63">
        <f>Ustawienia!$A$18&amp;""</f>
        <v/>
      </c>
      <c r="D1537" s="63" t="n">
        <v>2</v>
      </c>
      <c r="E1537" s="63">
        <f>IF('19'!J33="","",TRIM('19'!J33&amp;""))</f>
        <v/>
      </c>
      <c r="F1537" s="63">
        <f>IF('19'!K33="","",'19'!K33)</f>
        <v/>
      </c>
      <c r="G1537" s="63">
        <f>'19'!L33&amp;""</f>
        <v/>
      </c>
      <c r="H1537" s="63">
        <f>IF(OR(A1537="",F1537=""),"",F1537&amp;"|"&amp;A1537)</f>
        <v/>
      </c>
      <c r="I1537" s="63">
        <f>IF(AND(H1537&lt;&gt;"",OR('Historia wózka'!$B$4="",F1537='Historia wózka'!$B$4),A1537&gt;='Historia wózka'!$B$5,A1537&lt;='Historia wózka'!$B$6),A1537+0.7+(5000-ROW())/10000000,0)</f>
        <v/>
      </c>
      <c r="J1537" s="63">
        <f>Ustawienia!$B$10&amp;""</f>
        <v/>
      </c>
      <c r="K1537" s="63">
        <f>IF(H1537="","",COUNTIFS('Zgłoszenia'!$B$5:$B$504,F1537,'Zgłoszenia'!$D$5:$D$504,"&gt;="&amp;A1537,'Zgłoszenia'!$D$5:$D$504,"&lt;="&amp;(A1537+1)))</f>
        <v/>
      </c>
      <c r="L1537" s="63">
        <f>IF(OR(H1537="",K1537=0),"—",IF(ISNUMBER(MATCH(H1537,'Zgłoszenia'!$S$5:$S$504,0)),RIGHT("0"&amp;DAY(A1537),2)&amp;"."&amp;RIGHT("0"&amp;MONTH(A1537),2)&amp;"."&amp;YEAR(A1537)&amp;": "&amp;INDEX('Zgłoszenia'!$H$5:$H$504,MATCH(H1537,'Zgłoszenia'!$S$5:$S$504,0)),RIGHT("0"&amp;DAY((A1537+1)),2)&amp;"."&amp;RIGHT("0"&amp;MONTH((A1537+1)),2)&amp;"."&amp;YEAR((A1537+1))&amp;": "&amp;INDEX('Zgłoszenia'!$H$5:$H$504,MATCH(F1537&amp;"|"&amp;(A1537+1),'Zgłoszenia'!$S$5:$S$504,0)))&amp;IF(K1537&gt;1," (+"&amp;(K1537-1)&amp;")",""))</f>
        <v/>
      </c>
      <c r="M1537" s="63" t="n">
        <v>19</v>
      </c>
      <c r="N1537" s="2" t="n"/>
      <c r="O1537" s="2" t="n"/>
    </row>
    <row r="1538">
      <c r="A1538" s="62">
        <f>IF('19'!$C$1="","",'19'!$C$1)</f>
        <v/>
      </c>
      <c r="B1538" s="63">
        <f>Ustawienia!$A$10&amp;""</f>
        <v/>
      </c>
      <c r="C1538" s="63">
        <f>Ustawienia!$A$18&amp;""</f>
        <v/>
      </c>
      <c r="D1538" s="63" t="n">
        <v>3</v>
      </c>
      <c r="E1538" s="63">
        <f>IF('19'!J34="","",TRIM('19'!J34&amp;""))</f>
        <v/>
      </c>
      <c r="F1538" s="63">
        <f>IF('19'!K34="","",'19'!K34)</f>
        <v/>
      </c>
      <c r="G1538" s="63">
        <f>'19'!L34&amp;""</f>
        <v/>
      </c>
      <c r="H1538" s="63">
        <f>IF(OR(A1538="",F1538=""),"",F1538&amp;"|"&amp;A1538)</f>
        <v/>
      </c>
      <c r="I1538" s="63">
        <f>IF(AND(H1538&lt;&gt;"",OR('Historia wózka'!$B$4="",F1538='Historia wózka'!$B$4),A1538&gt;='Historia wózka'!$B$5,A1538&lt;='Historia wózka'!$B$6),A1538+0.7+(5000-ROW())/10000000,0)</f>
        <v/>
      </c>
      <c r="J1538" s="63">
        <f>Ustawienia!$B$10&amp;""</f>
        <v/>
      </c>
      <c r="K1538" s="63">
        <f>IF(H1538="","",COUNTIFS('Zgłoszenia'!$B$5:$B$504,F1538,'Zgłoszenia'!$D$5:$D$504,"&gt;="&amp;A1538,'Zgłoszenia'!$D$5:$D$504,"&lt;="&amp;(A1538+1)))</f>
        <v/>
      </c>
      <c r="L1538" s="63">
        <f>IF(OR(H1538="",K1538=0),"—",IF(ISNUMBER(MATCH(H1538,'Zgłoszenia'!$S$5:$S$504,0)),RIGHT("0"&amp;DAY(A1538),2)&amp;"."&amp;RIGHT("0"&amp;MONTH(A1538),2)&amp;"."&amp;YEAR(A1538)&amp;": "&amp;INDEX('Zgłoszenia'!$H$5:$H$504,MATCH(H1538,'Zgłoszenia'!$S$5:$S$504,0)),RIGHT("0"&amp;DAY((A1538+1)),2)&amp;"."&amp;RIGHT("0"&amp;MONTH((A1538+1)),2)&amp;"."&amp;YEAR((A1538+1))&amp;": "&amp;INDEX('Zgłoszenia'!$H$5:$H$504,MATCH(F1538&amp;"|"&amp;(A1538+1),'Zgłoszenia'!$S$5:$S$504,0)))&amp;IF(K1538&gt;1," (+"&amp;(K1538-1)&amp;")",""))</f>
        <v/>
      </c>
      <c r="M1538" s="63" t="n">
        <v>19</v>
      </c>
      <c r="N1538" s="2" t="n"/>
      <c r="O1538" s="2" t="n"/>
    </row>
    <row r="1539">
      <c r="A1539" s="62">
        <f>IF('19'!$C$1="","",'19'!$C$1)</f>
        <v/>
      </c>
      <c r="B1539" s="63">
        <f>Ustawienia!$A$10&amp;""</f>
        <v/>
      </c>
      <c r="C1539" s="63">
        <f>Ustawienia!$A$18&amp;""</f>
        <v/>
      </c>
      <c r="D1539" s="63" t="n">
        <v>4</v>
      </c>
      <c r="E1539" s="63">
        <f>IF('19'!J35="","",TRIM('19'!J35&amp;""))</f>
        <v/>
      </c>
      <c r="F1539" s="63">
        <f>IF('19'!K35="","",'19'!K35)</f>
        <v/>
      </c>
      <c r="G1539" s="63">
        <f>'19'!L35&amp;""</f>
        <v/>
      </c>
      <c r="H1539" s="63">
        <f>IF(OR(A1539="",F1539=""),"",F1539&amp;"|"&amp;A1539)</f>
        <v/>
      </c>
      <c r="I1539" s="63">
        <f>IF(AND(H1539&lt;&gt;"",OR('Historia wózka'!$B$4="",F1539='Historia wózka'!$B$4),A1539&gt;='Historia wózka'!$B$5,A1539&lt;='Historia wózka'!$B$6),A1539+0.7+(5000-ROW())/10000000,0)</f>
        <v/>
      </c>
      <c r="J1539" s="63">
        <f>Ustawienia!$B$10&amp;""</f>
        <v/>
      </c>
      <c r="K1539" s="63">
        <f>IF(H1539="","",COUNTIFS('Zgłoszenia'!$B$5:$B$504,F1539,'Zgłoszenia'!$D$5:$D$504,"&gt;="&amp;A1539,'Zgłoszenia'!$D$5:$D$504,"&lt;="&amp;(A1539+1)))</f>
        <v/>
      </c>
      <c r="L1539" s="63">
        <f>IF(OR(H1539="",K1539=0),"—",IF(ISNUMBER(MATCH(H1539,'Zgłoszenia'!$S$5:$S$504,0)),RIGHT("0"&amp;DAY(A1539),2)&amp;"."&amp;RIGHT("0"&amp;MONTH(A1539),2)&amp;"."&amp;YEAR(A1539)&amp;": "&amp;INDEX('Zgłoszenia'!$H$5:$H$504,MATCH(H1539,'Zgłoszenia'!$S$5:$S$504,0)),RIGHT("0"&amp;DAY((A1539+1)),2)&amp;"."&amp;RIGHT("0"&amp;MONTH((A1539+1)),2)&amp;"."&amp;YEAR((A1539+1))&amp;": "&amp;INDEX('Zgłoszenia'!$H$5:$H$504,MATCH(F1539&amp;"|"&amp;(A1539+1),'Zgłoszenia'!$S$5:$S$504,0)))&amp;IF(K1539&gt;1," (+"&amp;(K1539-1)&amp;")",""))</f>
        <v/>
      </c>
      <c r="M1539" s="63" t="n">
        <v>19</v>
      </c>
      <c r="N1539" s="2" t="n"/>
      <c r="O1539" s="2" t="n"/>
    </row>
    <row r="1540">
      <c r="A1540" s="62">
        <f>IF('19'!$C$1="","",'19'!$C$1)</f>
        <v/>
      </c>
      <c r="B1540" s="63">
        <f>Ustawienia!$A$10&amp;""</f>
        <v/>
      </c>
      <c r="C1540" s="63">
        <f>Ustawienia!$A$18&amp;""</f>
        <v/>
      </c>
      <c r="D1540" s="63" t="n">
        <v>5</v>
      </c>
      <c r="E1540" s="63">
        <f>IF('19'!J36="","",TRIM('19'!J36&amp;""))</f>
        <v/>
      </c>
      <c r="F1540" s="63">
        <f>IF('19'!K36="","",'19'!K36)</f>
        <v/>
      </c>
      <c r="G1540" s="63">
        <f>'19'!L36&amp;""</f>
        <v/>
      </c>
      <c r="H1540" s="63">
        <f>IF(OR(A1540="",F1540=""),"",F1540&amp;"|"&amp;A1540)</f>
        <v/>
      </c>
      <c r="I1540" s="63">
        <f>IF(AND(H1540&lt;&gt;"",OR('Historia wózka'!$B$4="",F1540='Historia wózka'!$B$4),A1540&gt;='Historia wózka'!$B$5,A1540&lt;='Historia wózka'!$B$6),A1540+0.7+(5000-ROW())/10000000,0)</f>
        <v/>
      </c>
      <c r="J1540" s="63">
        <f>Ustawienia!$B$10&amp;""</f>
        <v/>
      </c>
      <c r="K1540" s="63">
        <f>IF(H1540="","",COUNTIFS('Zgłoszenia'!$B$5:$B$504,F1540,'Zgłoszenia'!$D$5:$D$504,"&gt;="&amp;A1540,'Zgłoszenia'!$D$5:$D$504,"&lt;="&amp;(A1540+1)))</f>
        <v/>
      </c>
      <c r="L1540" s="63">
        <f>IF(OR(H1540="",K1540=0),"—",IF(ISNUMBER(MATCH(H1540,'Zgłoszenia'!$S$5:$S$504,0)),RIGHT("0"&amp;DAY(A1540),2)&amp;"."&amp;RIGHT("0"&amp;MONTH(A1540),2)&amp;"."&amp;YEAR(A1540)&amp;": "&amp;INDEX('Zgłoszenia'!$H$5:$H$504,MATCH(H1540,'Zgłoszenia'!$S$5:$S$504,0)),RIGHT("0"&amp;DAY((A1540+1)),2)&amp;"."&amp;RIGHT("0"&amp;MONTH((A1540+1)),2)&amp;"."&amp;YEAR((A1540+1))&amp;": "&amp;INDEX('Zgłoszenia'!$H$5:$H$504,MATCH(F1540&amp;"|"&amp;(A1540+1),'Zgłoszenia'!$S$5:$S$504,0)))&amp;IF(K1540&gt;1," (+"&amp;(K1540-1)&amp;")",""))</f>
        <v/>
      </c>
      <c r="M1540" s="63" t="n">
        <v>19</v>
      </c>
      <c r="N1540" s="2" t="n"/>
      <c r="O1540" s="2" t="n"/>
    </row>
    <row r="1541">
      <c r="A1541" s="62">
        <f>IF('20'!$C$1="","",'20'!$C$1)</f>
        <v/>
      </c>
      <c r="B1541" s="63">
        <f>Ustawienia!$A$8&amp;""</f>
        <v/>
      </c>
      <c r="C1541" s="63">
        <f>Ustawienia!$A$14&amp;""</f>
        <v/>
      </c>
      <c r="D1541" s="63" t="n">
        <v>1</v>
      </c>
      <c r="E1541" s="63">
        <f>IF('20'!B6="","",TRIM('20'!B6&amp;""))</f>
        <v/>
      </c>
      <c r="F1541" s="63">
        <f>IF('20'!C6="","",'20'!C6)</f>
        <v/>
      </c>
      <c r="G1541" s="63">
        <f>'20'!D6&amp;""</f>
        <v/>
      </c>
      <c r="H1541" s="63">
        <f>IF(OR(A1541="",F1541=""),"",F1541&amp;"|"&amp;A1541)</f>
        <v/>
      </c>
      <c r="I1541" s="63">
        <f>IF(AND(H1541&lt;&gt;"",OR('Historia wózka'!$B$4="",F1541='Historia wózka'!$B$4),A1541&gt;='Historia wózka'!$B$5,A1541&lt;='Historia wózka'!$B$6),A1541+0.9+(5000-ROW())/10000000,0)</f>
        <v/>
      </c>
      <c r="J1541" s="63">
        <f>Ustawienia!$B$8&amp;""</f>
        <v/>
      </c>
      <c r="K1541" s="63">
        <f>IF(H1541="","",COUNTIFS('Zgłoszenia'!$B$5:$B$504,F1541,'Zgłoszenia'!$D$5:$D$504,"&gt;="&amp;A1541,'Zgłoszenia'!$D$5:$D$504,"&lt;="&amp;(A1541+1)))</f>
        <v/>
      </c>
      <c r="L1541" s="63">
        <f>IF(OR(H1541="",K1541=0),"—",IF(ISNUMBER(MATCH(H1541,'Zgłoszenia'!$S$5:$S$504,0)),RIGHT("0"&amp;DAY(A1541),2)&amp;"."&amp;RIGHT("0"&amp;MONTH(A1541),2)&amp;"."&amp;YEAR(A1541)&amp;": "&amp;INDEX('Zgłoszenia'!$H$5:$H$504,MATCH(H1541,'Zgłoszenia'!$S$5:$S$504,0)),RIGHT("0"&amp;DAY((A1541+1)),2)&amp;"."&amp;RIGHT("0"&amp;MONTH((A1541+1)),2)&amp;"."&amp;YEAR((A1541+1))&amp;": "&amp;INDEX('Zgłoszenia'!$H$5:$H$504,MATCH(F1541&amp;"|"&amp;(A1541+1),'Zgłoszenia'!$S$5:$S$504,0)))&amp;IF(K1541&gt;1," (+"&amp;(K1541-1)&amp;")",""))</f>
        <v/>
      </c>
      <c r="M1541" s="63" t="n">
        <v>20</v>
      </c>
      <c r="N1541" s="2" t="n"/>
      <c r="O1541" s="2" t="n"/>
    </row>
    <row r="1542">
      <c r="A1542" s="62">
        <f>IF('20'!$C$1="","",'20'!$C$1)</f>
        <v/>
      </c>
      <c r="B1542" s="63">
        <f>Ustawienia!$A$8&amp;""</f>
        <v/>
      </c>
      <c r="C1542" s="63">
        <f>Ustawienia!$A$14&amp;""</f>
        <v/>
      </c>
      <c r="D1542" s="63" t="n">
        <v>2</v>
      </c>
      <c r="E1542" s="63">
        <f>IF('20'!B7="","",TRIM('20'!B7&amp;""))</f>
        <v/>
      </c>
      <c r="F1542" s="63">
        <f>IF('20'!C7="","",'20'!C7)</f>
        <v/>
      </c>
      <c r="G1542" s="63">
        <f>'20'!D7&amp;""</f>
        <v/>
      </c>
      <c r="H1542" s="63">
        <f>IF(OR(A1542="",F1542=""),"",F1542&amp;"|"&amp;A1542)</f>
        <v/>
      </c>
      <c r="I1542" s="63">
        <f>IF(AND(H1542&lt;&gt;"",OR('Historia wózka'!$B$4="",F1542='Historia wózka'!$B$4),A1542&gt;='Historia wózka'!$B$5,A1542&lt;='Historia wózka'!$B$6),A1542+0.9+(5000-ROW())/10000000,0)</f>
        <v/>
      </c>
      <c r="J1542" s="63">
        <f>Ustawienia!$B$8&amp;""</f>
        <v/>
      </c>
      <c r="K1542" s="63">
        <f>IF(H1542="","",COUNTIFS('Zgłoszenia'!$B$5:$B$504,F1542,'Zgłoszenia'!$D$5:$D$504,"&gt;="&amp;A1542,'Zgłoszenia'!$D$5:$D$504,"&lt;="&amp;(A1542+1)))</f>
        <v/>
      </c>
      <c r="L1542" s="63">
        <f>IF(OR(H1542="",K1542=0),"—",IF(ISNUMBER(MATCH(H1542,'Zgłoszenia'!$S$5:$S$504,0)),RIGHT("0"&amp;DAY(A1542),2)&amp;"."&amp;RIGHT("0"&amp;MONTH(A1542),2)&amp;"."&amp;YEAR(A1542)&amp;": "&amp;INDEX('Zgłoszenia'!$H$5:$H$504,MATCH(H1542,'Zgłoszenia'!$S$5:$S$504,0)),RIGHT("0"&amp;DAY((A1542+1)),2)&amp;"."&amp;RIGHT("0"&amp;MONTH((A1542+1)),2)&amp;"."&amp;YEAR((A1542+1))&amp;": "&amp;INDEX('Zgłoszenia'!$H$5:$H$504,MATCH(F1542&amp;"|"&amp;(A1542+1),'Zgłoszenia'!$S$5:$S$504,0)))&amp;IF(K1542&gt;1," (+"&amp;(K1542-1)&amp;")",""))</f>
        <v/>
      </c>
      <c r="M1542" s="63" t="n">
        <v>20</v>
      </c>
      <c r="N1542" s="2" t="n"/>
      <c r="O1542" s="2" t="n"/>
    </row>
    <row r="1543">
      <c r="A1543" s="62">
        <f>IF('20'!$C$1="","",'20'!$C$1)</f>
        <v/>
      </c>
      <c r="B1543" s="63">
        <f>Ustawienia!$A$8&amp;""</f>
        <v/>
      </c>
      <c r="C1543" s="63">
        <f>Ustawienia!$A$14&amp;""</f>
        <v/>
      </c>
      <c r="D1543" s="63" t="n">
        <v>3</v>
      </c>
      <c r="E1543" s="63">
        <f>IF('20'!B8="","",TRIM('20'!B8&amp;""))</f>
        <v/>
      </c>
      <c r="F1543" s="63">
        <f>IF('20'!C8="","",'20'!C8)</f>
        <v/>
      </c>
      <c r="G1543" s="63">
        <f>'20'!D8&amp;""</f>
        <v/>
      </c>
      <c r="H1543" s="63">
        <f>IF(OR(A1543="",F1543=""),"",F1543&amp;"|"&amp;A1543)</f>
        <v/>
      </c>
      <c r="I1543" s="63">
        <f>IF(AND(H1543&lt;&gt;"",OR('Historia wózka'!$B$4="",F1543='Historia wózka'!$B$4),A1543&gt;='Historia wózka'!$B$5,A1543&lt;='Historia wózka'!$B$6),A1543+0.9+(5000-ROW())/10000000,0)</f>
        <v/>
      </c>
      <c r="J1543" s="63">
        <f>Ustawienia!$B$8&amp;""</f>
        <v/>
      </c>
      <c r="K1543" s="63">
        <f>IF(H1543="","",COUNTIFS('Zgłoszenia'!$B$5:$B$504,F1543,'Zgłoszenia'!$D$5:$D$504,"&gt;="&amp;A1543,'Zgłoszenia'!$D$5:$D$504,"&lt;="&amp;(A1543+1)))</f>
        <v/>
      </c>
      <c r="L1543" s="63">
        <f>IF(OR(H1543="",K1543=0),"—",IF(ISNUMBER(MATCH(H1543,'Zgłoszenia'!$S$5:$S$504,0)),RIGHT("0"&amp;DAY(A1543),2)&amp;"."&amp;RIGHT("0"&amp;MONTH(A1543),2)&amp;"."&amp;YEAR(A1543)&amp;": "&amp;INDEX('Zgłoszenia'!$H$5:$H$504,MATCH(H1543,'Zgłoszenia'!$S$5:$S$504,0)),RIGHT("0"&amp;DAY((A1543+1)),2)&amp;"."&amp;RIGHT("0"&amp;MONTH((A1543+1)),2)&amp;"."&amp;YEAR((A1543+1))&amp;": "&amp;INDEX('Zgłoszenia'!$H$5:$H$504,MATCH(F1543&amp;"|"&amp;(A1543+1),'Zgłoszenia'!$S$5:$S$504,0)))&amp;IF(K1543&gt;1," (+"&amp;(K1543-1)&amp;")",""))</f>
        <v/>
      </c>
      <c r="M1543" s="63" t="n">
        <v>20</v>
      </c>
      <c r="N1543" s="2" t="n"/>
      <c r="O1543" s="2" t="n"/>
    </row>
    <row r="1544">
      <c r="A1544" s="62">
        <f>IF('20'!$C$1="","",'20'!$C$1)</f>
        <v/>
      </c>
      <c r="B1544" s="63">
        <f>Ustawienia!$A$8&amp;""</f>
        <v/>
      </c>
      <c r="C1544" s="63">
        <f>Ustawienia!$A$14&amp;""</f>
        <v/>
      </c>
      <c r="D1544" s="63" t="n">
        <v>4</v>
      </c>
      <c r="E1544" s="63">
        <f>IF('20'!B9="","",TRIM('20'!B9&amp;""))</f>
        <v/>
      </c>
      <c r="F1544" s="63">
        <f>IF('20'!C9="","",'20'!C9)</f>
        <v/>
      </c>
      <c r="G1544" s="63">
        <f>'20'!D9&amp;""</f>
        <v/>
      </c>
      <c r="H1544" s="63">
        <f>IF(OR(A1544="",F1544=""),"",F1544&amp;"|"&amp;A1544)</f>
        <v/>
      </c>
      <c r="I1544" s="63">
        <f>IF(AND(H1544&lt;&gt;"",OR('Historia wózka'!$B$4="",F1544='Historia wózka'!$B$4),A1544&gt;='Historia wózka'!$B$5,A1544&lt;='Historia wózka'!$B$6),A1544+0.9+(5000-ROW())/10000000,0)</f>
        <v/>
      </c>
      <c r="J1544" s="63">
        <f>Ustawienia!$B$8&amp;""</f>
        <v/>
      </c>
      <c r="K1544" s="63">
        <f>IF(H1544="","",COUNTIFS('Zgłoszenia'!$B$5:$B$504,F1544,'Zgłoszenia'!$D$5:$D$504,"&gt;="&amp;A1544,'Zgłoszenia'!$D$5:$D$504,"&lt;="&amp;(A1544+1)))</f>
        <v/>
      </c>
      <c r="L1544" s="63">
        <f>IF(OR(H1544="",K1544=0),"—",IF(ISNUMBER(MATCH(H1544,'Zgłoszenia'!$S$5:$S$504,0)),RIGHT("0"&amp;DAY(A1544),2)&amp;"."&amp;RIGHT("0"&amp;MONTH(A1544),2)&amp;"."&amp;YEAR(A1544)&amp;": "&amp;INDEX('Zgłoszenia'!$H$5:$H$504,MATCH(H1544,'Zgłoszenia'!$S$5:$S$504,0)),RIGHT("0"&amp;DAY((A1544+1)),2)&amp;"."&amp;RIGHT("0"&amp;MONTH((A1544+1)),2)&amp;"."&amp;YEAR((A1544+1))&amp;": "&amp;INDEX('Zgłoszenia'!$H$5:$H$504,MATCH(F1544&amp;"|"&amp;(A1544+1),'Zgłoszenia'!$S$5:$S$504,0)))&amp;IF(K1544&gt;1," (+"&amp;(K1544-1)&amp;")",""))</f>
        <v/>
      </c>
      <c r="M1544" s="63" t="n">
        <v>20</v>
      </c>
      <c r="N1544" s="2" t="n"/>
      <c r="O1544" s="2" t="n"/>
    </row>
    <row r="1545">
      <c r="A1545" s="62">
        <f>IF('20'!$C$1="","",'20'!$C$1)</f>
        <v/>
      </c>
      <c r="B1545" s="63">
        <f>Ustawienia!$A$8&amp;""</f>
        <v/>
      </c>
      <c r="C1545" s="63">
        <f>Ustawienia!$A$14&amp;""</f>
        <v/>
      </c>
      <c r="D1545" s="63" t="n">
        <v>5</v>
      </c>
      <c r="E1545" s="63">
        <f>IF('20'!B10="","",TRIM('20'!B10&amp;""))</f>
        <v/>
      </c>
      <c r="F1545" s="63">
        <f>IF('20'!C10="","",'20'!C10)</f>
        <v/>
      </c>
      <c r="G1545" s="63">
        <f>'20'!D10&amp;""</f>
        <v/>
      </c>
      <c r="H1545" s="63">
        <f>IF(OR(A1545="",F1545=""),"",F1545&amp;"|"&amp;A1545)</f>
        <v/>
      </c>
      <c r="I1545" s="63">
        <f>IF(AND(H1545&lt;&gt;"",OR('Historia wózka'!$B$4="",F1545='Historia wózka'!$B$4),A1545&gt;='Historia wózka'!$B$5,A1545&lt;='Historia wózka'!$B$6),A1545+0.9+(5000-ROW())/10000000,0)</f>
        <v/>
      </c>
      <c r="J1545" s="63">
        <f>Ustawienia!$B$8&amp;""</f>
        <v/>
      </c>
      <c r="K1545" s="63">
        <f>IF(H1545="","",COUNTIFS('Zgłoszenia'!$B$5:$B$504,F1545,'Zgłoszenia'!$D$5:$D$504,"&gt;="&amp;A1545,'Zgłoszenia'!$D$5:$D$504,"&lt;="&amp;(A1545+1)))</f>
        <v/>
      </c>
      <c r="L1545" s="63">
        <f>IF(OR(H1545="",K1545=0),"—",IF(ISNUMBER(MATCH(H1545,'Zgłoszenia'!$S$5:$S$504,0)),RIGHT("0"&amp;DAY(A1545),2)&amp;"."&amp;RIGHT("0"&amp;MONTH(A1545),2)&amp;"."&amp;YEAR(A1545)&amp;": "&amp;INDEX('Zgłoszenia'!$H$5:$H$504,MATCH(H1545,'Zgłoszenia'!$S$5:$S$504,0)),RIGHT("0"&amp;DAY((A1545+1)),2)&amp;"."&amp;RIGHT("0"&amp;MONTH((A1545+1)),2)&amp;"."&amp;YEAR((A1545+1))&amp;": "&amp;INDEX('Zgłoszenia'!$H$5:$H$504,MATCH(F1545&amp;"|"&amp;(A1545+1),'Zgłoszenia'!$S$5:$S$504,0)))&amp;IF(K1545&gt;1," (+"&amp;(K1545-1)&amp;")",""))</f>
        <v/>
      </c>
      <c r="M1545" s="63" t="n">
        <v>20</v>
      </c>
      <c r="N1545" s="2" t="n"/>
      <c r="O1545" s="2" t="n"/>
    </row>
    <row r="1546">
      <c r="A1546" s="62">
        <f>IF('20'!$C$1="","",'20'!$C$1)</f>
        <v/>
      </c>
      <c r="B1546" s="63">
        <f>Ustawienia!$A$8&amp;""</f>
        <v/>
      </c>
      <c r="C1546" s="63">
        <f>Ustawienia!$A$14&amp;""</f>
        <v/>
      </c>
      <c r="D1546" s="63" t="n">
        <v>6</v>
      </c>
      <c r="E1546" s="63">
        <f>IF('20'!B11="","",TRIM('20'!B11&amp;""))</f>
        <v/>
      </c>
      <c r="F1546" s="63">
        <f>IF('20'!C11="","",'20'!C11)</f>
        <v/>
      </c>
      <c r="G1546" s="63">
        <f>'20'!D11&amp;""</f>
        <v/>
      </c>
      <c r="H1546" s="63">
        <f>IF(OR(A1546="",F1546=""),"",F1546&amp;"|"&amp;A1546)</f>
        <v/>
      </c>
      <c r="I1546" s="63">
        <f>IF(AND(H1546&lt;&gt;"",OR('Historia wózka'!$B$4="",F1546='Historia wózka'!$B$4),A1546&gt;='Historia wózka'!$B$5,A1546&lt;='Historia wózka'!$B$6),A1546+0.9+(5000-ROW())/10000000,0)</f>
        <v/>
      </c>
      <c r="J1546" s="63">
        <f>Ustawienia!$B$8&amp;""</f>
        <v/>
      </c>
      <c r="K1546" s="63">
        <f>IF(H1546="","",COUNTIFS('Zgłoszenia'!$B$5:$B$504,F1546,'Zgłoszenia'!$D$5:$D$504,"&gt;="&amp;A1546,'Zgłoszenia'!$D$5:$D$504,"&lt;="&amp;(A1546+1)))</f>
        <v/>
      </c>
      <c r="L1546" s="63">
        <f>IF(OR(H1546="",K1546=0),"—",IF(ISNUMBER(MATCH(H1546,'Zgłoszenia'!$S$5:$S$504,0)),RIGHT("0"&amp;DAY(A1546),2)&amp;"."&amp;RIGHT("0"&amp;MONTH(A1546),2)&amp;"."&amp;YEAR(A1546)&amp;": "&amp;INDEX('Zgłoszenia'!$H$5:$H$504,MATCH(H1546,'Zgłoszenia'!$S$5:$S$504,0)),RIGHT("0"&amp;DAY((A1546+1)),2)&amp;"."&amp;RIGHT("0"&amp;MONTH((A1546+1)),2)&amp;"."&amp;YEAR((A1546+1))&amp;": "&amp;INDEX('Zgłoszenia'!$H$5:$H$504,MATCH(F1546&amp;"|"&amp;(A1546+1),'Zgłoszenia'!$S$5:$S$504,0)))&amp;IF(K1546&gt;1," (+"&amp;(K1546-1)&amp;")",""))</f>
        <v/>
      </c>
      <c r="M1546" s="63" t="n">
        <v>20</v>
      </c>
      <c r="N1546" s="2" t="n"/>
      <c r="O1546" s="2" t="n"/>
    </row>
    <row r="1547">
      <c r="A1547" s="62">
        <f>IF('20'!$C$1="","",'20'!$C$1)</f>
        <v/>
      </c>
      <c r="B1547" s="63">
        <f>Ustawienia!$A$8&amp;""</f>
        <v/>
      </c>
      <c r="C1547" s="63">
        <f>Ustawienia!$A$15&amp;""</f>
        <v/>
      </c>
      <c r="D1547" s="63" t="n">
        <v>1</v>
      </c>
      <c r="E1547" s="63">
        <f>IF('20'!B13="","",TRIM('20'!B13&amp;""))</f>
        <v/>
      </c>
      <c r="F1547" s="63">
        <f>IF('20'!C13="","",'20'!C13)</f>
        <v/>
      </c>
      <c r="G1547" s="63">
        <f>'20'!D13&amp;""</f>
        <v/>
      </c>
      <c r="H1547" s="63">
        <f>IF(OR(A1547="",F1547=""),"",F1547&amp;"|"&amp;A1547)</f>
        <v/>
      </c>
      <c r="I1547" s="63">
        <f>IF(AND(H1547&lt;&gt;"",OR('Historia wózka'!$B$4="",F1547='Historia wózka'!$B$4),A1547&gt;='Historia wózka'!$B$5,A1547&lt;='Historia wózka'!$B$6),A1547+0.9+(5000-ROW())/10000000,0)</f>
        <v/>
      </c>
      <c r="J1547" s="63">
        <f>Ustawienia!$B$8&amp;""</f>
        <v/>
      </c>
      <c r="K1547" s="63">
        <f>IF(H1547="","",COUNTIFS('Zgłoszenia'!$B$5:$B$504,F1547,'Zgłoszenia'!$D$5:$D$504,"&gt;="&amp;A1547,'Zgłoszenia'!$D$5:$D$504,"&lt;="&amp;(A1547+1)))</f>
        <v/>
      </c>
      <c r="L1547" s="63">
        <f>IF(OR(H1547="",K1547=0),"—",IF(ISNUMBER(MATCH(H1547,'Zgłoszenia'!$S$5:$S$504,0)),RIGHT("0"&amp;DAY(A1547),2)&amp;"."&amp;RIGHT("0"&amp;MONTH(A1547),2)&amp;"."&amp;YEAR(A1547)&amp;": "&amp;INDEX('Zgłoszenia'!$H$5:$H$504,MATCH(H1547,'Zgłoszenia'!$S$5:$S$504,0)),RIGHT("0"&amp;DAY((A1547+1)),2)&amp;"."&amp;RIGHT("0"&amp;MONTH((A1547+1)),2)&amp;"."&amp;YEAR((A1547+1))&amp;": "&amp;INDEX('Zgłoszenia'!$H$5:$H$504,MATCH(F1547&amp;"|"&amp;(A1547+1),'Zgłoszenia'!$S$5:$S$504,0)))&amp;IF(K1547&gt;1," (+"&amp;(K1547-1)&amp;")",""))</f>
        <v/>
      </c>
      <c r="M1547" s="63" t="n">
        <v>20</v>
      </c>
      <c r="N1547" s="2" t="n"/>
      <c r="O1547" s="2" t="n"/>
    </row>
    <row r="1548">
      <c r="A1548" s="62">
        <f>IF('20'!$C$1="","",'20'!$C$1)</f>
        <v/>
      </c>
      <c r="B1548" s="63">
        <f>Ustawienia!$A$8&amp;""</f>
        <v/>
      </c>
      <c r="C1548" s="63">
        <f>Ustawienia!$A$15&amp;""</f>
        <v/>
      </c>
      <c r="D1548" s="63" t="n">
        <v>2</v>
      </c>
      <c r="E1548" s="63">
        <f>IF('20'!B14="","",TRIM('20'!B14&amp;""))</f>
        <v/>
      </c>
      <c r="F1548" s="63">
        <f>IF('20'!C14="","",'20'!C14)</f>
        <v/>
      </c>
      <c r="G1548" s="63">
        <f>'20'!D14&amp;""</f>
        <v/>
      </c>
      <c r="H1548" s="63">
        <f>IF(OR(A1548="",F1548=""),"",F1548&amp;"|"&amp;A1548)</f>
        <v/>
      </c>
      <c r="I1548" s="63">
        <f>IF(AND(H1548&lt;&gt;"",OR('Historia wózka'!$B$4="",F1548='Historia wózka'!$B$4),A1548&gt;='Historia wózka'!$B$5,A1548&lt;='Historia wózka'!$B$6),A1548+0.9+(5000-ROW())/10000000,0)</f>
        <v/>
      </c>
      <c r="J1548" s="63">
        <f>Ustawienia!$B$8&amp;""</f>
        <v/>
      </c>
      <c r="K1548" s="63">
        <f>IF(H1548="","",COUNTIFS('Zgłoszenia'!$B$5:$B$504,F1548,'Zgłoszenia'!$D$5:$D$504,"&gt;="&amp;A1548,'Zgłoszenia'!$D$5:$D$504,"&lt;="&amp;(A1548+1)))</f>
        <v/>
      </c>
      <c r="L1548" s="63">
        <f>IF(OR(H1548="",K1548=0),"—",IF(ISNUMBER(MATCH(H1548,'Zgłoszenia'!$S$5:$S$504,0)),RIGHT("0"&amp;DAY(A1548),2)&amp;"."&amp;RIGHT("0"&amp;MONTH(A1548),2)&amp;"."&amp;YEAR(A1548)&amp;": "&amp;INDEX('Zgłoszenia'!$H$5:$H$504,MATCH(H1548,'Zgłoszenia'!$S$5:$S$504,0)),RIGHT("0"&amp;DAY((A1548+1)),2)&amp;"."&amp;RIGHT("0"&amp;MONTH((A1548+1)),2)&amp;"."&amp;YEAR((A1548+1))&amp;": "&amp;INDEX('Zgłoszenia'!$H$5:$H$504,MATCH(F1548&amp;"|"&amp;(A1548+1),'Zgłoszenia'!$S$5:$S$504,0)))&amp;IF(K1548&gt;1," (+"&amp;(K1548-1)&amp;")",""))</f>
        <v/>
      </c>
      <c r="M1548" s="63" t="n">
        <v>20</v>
      </c>
      <c r="N1548" s="2" t="n"/>
      <c r="O1548" s="2" t="n"/>
    </row>
    <row r="1549">
      <c r="A1549" s="62">
        <f>IF('20'!$C$1="","",'20'!$C$1)</f>
        <v/>
      </c>
      <c r="B1549" s="63">
        <f>Ustawienia!$A$8&amp;""</f>
        <v/>
      </c>
      <c r="C1549" s="63">
        <f>Ustawienia!$A$15&amp;""</f>
        <v/>
      </c>
      <c r="D1549" s="63" t="n">
        <v>3</v>
      </c>
      <c r="E1549" s="63">
        <f>IF('20'!B15="","",TRIM('20'!B15&amp;""))</f>
        <v/>
      </c>
      <c r="F1549" s="63">
        <f>IF('20'!C15="","",'20'!C15)</f>
        <v/>
      </c>
      <c r="G1549" s="63">
        <f>'20'!D15&amp;""</f>
        <v/>
      </c>
      <c r="H1549" s="63">
        <f>IF(OR(A1549="",F1549=""),"",F1549&amp;"|"&amp;A1549)</f>
        <v/>
      </c>
      <c r="I1549" s="63">
        <f>IF(AND(H1549&lt;&gt;"",OR('Historia wózka'!$B$4="",F1549='Historia wózka'!$B$4),A1549&gt;='Historia wózka'!$B$5,A1549&lt;='Historia wózka'!$B$6),A1549+0.9+(5000-ROW())/10000000,0)</f>
        <v/>
      </c>
      <c r="J1549" s="63">
        <f>Ustawienia!$B$8&amp;""</f>
        <v/>
      </c>
      <c r="K1549" s="63">
        <f>IF(H1549="","",COUNTIFS('Zgłoszenia'!$B$5:$B$504,F1549,'Zgłoszenia'!$D$5:$D$504,"&gt;="&amp;A1549,'Zgłoszenia'!$D$5:$D$504,"&lt;="&amp;(A1549+1)))</f>
        <v/>
      </c>
      <c r="L1549" s="63">
        <f>IF(OR(H1549="",K1549=0),"—",IF(ISNUMBER(MATCH(H1549,'Zgłoszenia'!$S$5:$S$504,0)),RIGHT("0"&amp;DAY(A1549),2)&amp;"."&amp;RIGHT("0"&amp;MONTH(A1549),2)&amp;"."&amp;YEAR(A1549)&amp;": "&amp;INDEX('Zgłoszenia'!$H$5:$H$504,MATCH(H1549,'Zgłoszenia'!$S$5:$S$504,0)),RIGHT("0"&amp;DAY((A1549+1)),2)&amp;"."&amp;RIGHT("0"&amp;MONTH((A1549+1)),2)&amp;"."&amp;YEAR((A1549+1))&amp;": "&amp;INDEX('Zgłoszenia'!$H$5:$H$504,MATCH(F1549&amp;"|"&amp;(A1549+1),'Zgłoszenia'!$S$5:$S$504,0)))&amp;IF(K1549&gt;1," (+"&amp;(K1549-1)&amp;")",""))</f>
        <v/>
      </c>
      <c r="M1549" s="63" t="n">
        <v>20</v>
      </c>
      <c r="N1549" s="2" t="n"/>
      <c r="O1549" s="2" t="n"/>
    </row>
    <row r="1550">
      <c r="A1550" s="62">
        <f>IF('20'!$C$1="","",'20'!$C$1)</f>
        <v/>
      </c>
      <c r="B1550" s="63">
        <f>Ustawienia!$A$8&amp;""</f>
        <v/>
      </c>
      <c r="C1550" s="63">
        <f>Ustawienia!$A$15&amp;""</f>
        <v/>
      </c>
      <c r="D1550" s="63" t="n">
        <v>4</v>
      </c>
      <c r="E1550" s="63">
        <f>IF('20'!B16="","",TRIM('20'!B16&amp;""))</f>
        <v/>
      </c>
      <c r="F1550" s="63">
        <f>IF('20'!C16="","",'20'!C16)</f>
        <v/>
      </c>
      <c r="G1550" s="63">
        <f>'20'!D16&amp;""</f>
        <v/>
      </c>
      <c r="H1550" s="63">
        <f>IF(OR(A1550="",F1550=""),"",F1550&amp;"|"&amp;A1550)</f>
        <v/>
      </c>
      <c r="I1550" s="63">
        <f>IF(AND(H1550&lt;&gt;"",OR('Historia wózka'!$B$4="",F1550='Historia wózka'!$B$4),A1550&gt;='Historia wózka'!$B$5,A1550&lt;='Historia wózka'!$B$6),A1550+0.9+(5000-ROW())/10000000,0)</f>
        <v/>
      </c>
      <c r="J1550" s="63">
        <f>Ustawienia!$B$8&amp;""</f>
        <v/>
      </c>
      <c r="K1550" s="63">
        <f>IF(H1550="","",COUNTIFS('Zgłoszenia'!$B$5:$B$504,F1550,'Zgłoszenia'!$D$5:$D$504,"&gt;="&amp;A1550,'Zgłoszenia'!$D$5:$D$504,"&lt;="&amp;(A1550+1)))</f>
        <v/>
      </c>
      <c r="L1550" s="63">
        <f>IF(OR(H1550="",K1550=0),"—",IF(ISNUMBER(MATCH(H1550,'Zgłoszenia'!$S$5:$S$504,0)),RIGHT("0"&amp;DAY(A1550),2)&amp;"."&amp;RIGHT("0"&amp;MONTH(A1550),2)&amp;"."&amp;YEAR(A1550)&amp;": "&amp;INDEX('Zgłoszenia'!$H$5:$H$504,MATCH(H1550,'Zgłoszenia'!$S$5:$S$504,0)),RIGHT("0"&amp;DAY((A1550+1)),2)&amp;"."&amp;RIGHT("0"&amp;MONTH((A1550+1)),2)&amp;"."&amp;YEAR((A1550+1))&amp;": "&amp;INDEX('Zgłoszenia'!$H$5:$H$504,MATCH(F1550&amp;"|"&amp;(A1550+1),'Zgłoszenia'!$S$5:$S$504,0)))&amp;IF(K1550&gt;1," (+"&amp;(K1550-1)&amp;")",""))</f>
        <v/>
      </c>
      <c r="M1550" s="63" t="n">
        <v>20</v>
      </c>
      <c r="N1550" s="2" t="n"/>
      <c r="O1550" s="2" t="n"/>
    </row>
    <row r="1551">
      <c r="A1551" s="62">
        <f>IF('20'!$C$1="","",'20'!$C$1)</f>
        <v/>
      </c>
      <c r="B1551" s="63">
        <f>Ustawienia!$A$8&amp;""</f>
        <v/>
      </c>
      <c r="C1551" s="63">
        <f>Ustawienia!$A$15&amp;""</f>
        <v/>
      </c>
      <c r="D1551" s="63" t="n">
        <v>5</v>
      </c>
      <c r="E1551" s="63">
        <f>IF('20'!B17="","",TRIM('20'!B17&amp;""))</f>
        <v/>
      </c>
      <c r="F1551" s="63">
        <f>IF('20'!C17="","",'20'!C17)</f>
        <v/>
      </c>
      <c r="G1551" s="63">
        <f>'20'!D17&amp;""</f>
        <v/>
      </c>
      <c r="H1551" s="63">
        <f>IF(OR(A1551="",F1551=""),"",F1551&amp;"|"&amp;A1551)</f>
        <v/>
      </c>
      <c r="I1551" s="63">
        <f>IF(AND(H1551&lt;&gt;"",OR('Historia wózka'!$B$4="",F1551='Historia wózka'!$B$4),A1551&gt;='Historia wózka'!$B$5,A1551&lt;='Historia wózka'!$B$6),A1551+0.9+(5000-ROW())/10000000,0)</f>
        <v/>
      </c>
      <c r="J1551" s="63">
        <f>Ustawienia!$B$8&amp;""</f>
        <v/>
      </c>
      <c r="K1551" s="63">
        <f>IF(H1551="","",COUNTIFS('Zgłoszenia'!$B$5:$B$504,F1551,'Zgłoszenia'!$D$5:$D$504,"&gt;="&amp;A1551,'Zgłoszenia'!$D$5:$D$504,"&lt;="&amp;(A1551+1)))</f>
        <v/>
      </c>
      <c r="L1551" s="63">
        <f>IF(OR(H1551="",K1551=0),"—",IF(ISNUMBER(MATCH(H1551,'Zgłoszenia'!$S$5:$S$504,0)),RIGHT("0"&amp;DAY(A1551),2)&amp;"."&amp;RIGHT("0"&amp;MONTH(A1551),2)&amp;"."&amp;YEAR(A1551)&amp;": "&amp;INDEX('Zgłoszenia'!$H$5:$H$504,MATCH(H1551,'Zgłoszenia'!$S$5:$S$504,0)),RIGHT("0"&amp;DAY((A1551+1)),2)&amp;"."&amp;RIGHT("0"&amp;MONTH((A1551+1)),2)&amp;"."&amp;YEAR((A1551+1))&amp;": "&amp;INDEX('Zgłoszenia'!$H$5:$H$504,MATCH(F1551&amp;"|"&amp;(A1551+1),'Zgłoszenia'!$S$5:$S$504,0)))&amp;IF(K1551&gt;1," (+"&amp;(K1551-1)&amp;")",""))</f>
        <v/>
      </c>
      <c r="M1551" s="63" t="n">
        <v>20</v>
      </c>
      <c r="N1551" s="2" t="n"/>
      <c r="O1551" s="2" t="n"/>
    </row>
    <row r="1552">
      <c r="A1552" s="62">
        <f>IF('20'!$C$1="","",'20'!$C$1)</f>
        <v/>
      </c>
      <c r="B1552" s="63">
        <f>Ustawienia!$A$8&amp;""</f>
        <v/>
      </c>
      <c r="C1552" s="63">
        <f>Ustawienia!$A$15&amp;""</f>
        <v/>
      </c>
      <c r="D1552" s="63" t="n">
        <v>6</v>
      </c>
      <c r="E1552" s="63">
        <f>IF('20'!B18="","",TRIM('20'!B18&amp;""))</f>
        <v/>
      </c>
      <c r="F1552" s="63">
        <f>IF('20'!C18="","",'20'!C18)</f>
        <v/>
      </c>
      <c r="G1552" s="63">
        <f>'20'!D18&amp;""</f>
        <v/>
      </c>
      <c r="H1552" s="63">
        <f>IF(OR(A1552="",F1552=""),"",F1552&amp;"|"&amp;A1552)</f>
        <v/>
      </c>
      <c r="I1552" s="63">
        <f>IF(AND(H1552&lt;&gt;"",OR('Historia wózka'!$B$4="",F1552='Historia wózka'!$B$4),A1552&gt;='Historia wózka'!$B$5,A1552&lt;='Historia wózka'!$B$6),A1552+0.9+(5000-ROW())/10000000,0)</f>
        <v/>
      </c>
      <c r="J1552" s="63">
        <f>Ustawienia!$B$8&amp;""</f>
        <v/>
      </c>
      <c r="K1552" s="63">
        <f>IF(H1552="","",COUNTIFS('Zgłoszenia'!$B$5:$B$504,F1552,'Zgłoszenia'!$D$5:$D$504,"&gt;="&amp;A1552,'Zgłoszenia'!$D$5:$D$504,"&lt;="&amp;(A1552+1)))</f>
        <v/>
      </c>
      <c r="L1552" s="63">
        <f>IF(OR(H1552="",K1552=0),"—",IF(ISNUMBER(MATCH(H1552,'Zgłoszenia'!$S$5:$S$504,0)),RIGHT("0"&amp;DAY(A1552),2)&amp;"."&amp;RIGHT("0"&amp;MONTH(A1552),2)&amp;"."&amp;YEAR(A1552)&amp;": "&amp;INDEX('Zgłoszenia'!$H$5:$H$504,MATCH(H1552,'Zgłoszenia'!$S$5:$S$504,0)),RIGHT("0"&amp;DAY((A1552+1)),2)&amp;"."&amp;RIGHT("0"&amp;MONTH((A1552+1)),2)&amp;"."&amp;YEAR((A1552+1))&amp;": "&amp;INDEX('Zgłoszenia'!$H$5:$H$504,MATCH(F1552&amp;"|"&amp;(A1552+1),'Zgłoszenia'!$S$5:$S$504,0)))&amp;IF(K1552&gt;1," (+"&amp;(K1552-1)&amp;")",""))</f>
        <v/>
      </c>
      <c r="M1552" s="63" t="n">
        <v>20</v>
      </c>
      <c r="N1552" s="2" t="n"/>
      <c r="O1552" s="2" t="n"/>
    </row>
    <row r="1553">
      <c r="A1553" s="62">
        <f>IF('20'!$C$1="","",'20'!$C$1)</f>
        <v/>
      </c>
      <c r="B1553" s="63">
        <f>Ustawienia!$A$8&amp;""</f>
        <v/>
      </c>
      <c r="C1553" s="63">
        <f>Ustawienia!$A$15&amp;""</f>
        <v/>
      </c>
      <c r="D1553" s="63" t="n">
        <v>7</v>
      </c>
      <c r="E1553" s="63">
        <f>IF('20'!B19="","",TRIM('20'!B19&amp;""))</f>
        <v/>
      </c>
      <c r="F1553" s="63">
        <f>IF('20'!C19="","",'20'!C19)</f>
        <v/>
      </c>
      <c r="G1553" s="63">
        <f>'20'!D19&amp;""</f>
        <v/>
      </c>
      <c r="H1553" s="63">
        <f>IF(OR(A1553="",F1553=""),"",F1553&amp;"|"&amp;A1553)</f>
        <v/>
      </c>
      <c r="I1553" s="63">
        <f>IF(AND(H1553&lt;&gt;"",OR('Historia wózka'!$B$4="",F1553='Historia wózka'!$B$4),A1553&gt;='Historia wózka'!$B$5,A1553&lt;='Historia wózka'!$B$6),A1553+0.9+(5000-ROW())/10000000,0)</f>
        <v/>
      </c>
      <c r="J1553" s="63">
        <f>Ustawienia!$B$8&amp;""</f>
        <v/>
      </c>
      <c r="K1553" s="63">
        <f>IF(H1553="","",COUNTIFS('Zgłoszenia'!$B$5:$B$504,F1553,'Zgłoszenia'!$D$5:$D$504,"&gt;="&amp;A1553,'Zgłoszenia'!$D$5:$D$504,"&lt;="&amp;(A1553+1)))</f>
        <v/>
      </c>
      <c r="L1553" s="63">
        <f>IF(OR(H1553="",K1553=0),"—",IF(ISNUMBER(MATCH(H1553,'Zgłoszenia'!$S$5:$S$504,0)),RIGHT("0"&amp;DAY(A1553),2)&amp;"."&amp;RIGHT("0"&amp;MONTH(A1553),2)&amp;"."&amp;YEAR(A1553)&amp;": "&amp;INDEX('Zgłoszenia'!$H$5:$H$504,MATCH(H1553,'Zgłoszenia'!$S$5:$S$504,0)),RIGHT("0"&amp;DAY((A1553+1)),2)&amp;"."&amp;RIGHT("0"&amp;MONTH((A1553+1)),2)&amp;"."&amp;YEAR((A1553+1))&amp;": "&amp;INDEX('Zgłoszenia'!$H$5:$H$504,MATCH(F1553&amp;"|"&amp;(A1553+1),'Zgłoszenia'!$S$5:$S$504,0)))&amp;IF(K1553&gt;1," (+"&amp;(K1553-1)&amp;")",""))</f>
        <v/>
      </c>
      <c r="M1553" s="63" t="n">
        <v>20</v>
      </c>
      <c r="N1553" s="2" t="n"/>
      <c r="O1553" s="2" t="n"/>
    </row>
    <row r="1554">
      <c r="A1554" s="62">
        <f>IF('20'!$C$1="","",'20'!$C$1)</f>
        <v/>
      </c>
      <c r="B1554" s="63">
        <f>Ustawienia!$A$8&amp;""</f>
        <v/>
      </c>
      <c r="C1554" s="63">
        <f>Ustawienia!$A$15&amp;""</f>
        <v/>
      </c>
      <c r="D1554" s="63" t="n">
        <v>8</v>
      </c>
      <c r="E1554" s="63">
        <f>IF('20'!B20="","",TRIM('20'!B20&amp;""))</f>
        <v/>
      </c>
      <c r="F1554" s="63">
        <f>IF('20'!C20="","",'20'!C20)</f>
        <v/>
      </c>
      <c r="G1554" s="63">
        <f>'20'!D20&amp;""</f>
        <v/>
      </c>
      <c r="H1554" s="63">
        <f>IF(OR(A1554="",F1554=""),"",F1554&amp;"|"&amp;A1554)</f>
        <v/>
      </c>
      <c r="I1554" s="63">
        <f>IF(AND(H1554&lt;&gt;"",OR('Historia wózka'!$B$4="",F1554='Historia wózka'!$B$4),A1554&gt;='Historia wózka'!$B$5,A1554&lt;='Historia wózka'!$B$6),A1554+0.9+(5000-ROW())/10000000,0)</f>
        <v/>
      </c>
      <c r="J1554" s="63">
        <f>Ustawienia!$B$8&amp;""</f>
        <v/>
      </c>
      <c r="K1554" s="63">
        <f>IF(H1554="","",COUNTIFS('Zgłoszenia'!$B$5:$B$504,F1554,'Zgłoszenia'!$D$5:$D$504,"&gt;="&amp;A1554,'Zgłoszenia'!$D$5:$D$504,"&lt;="&amp;(A1554+1)))</f>
        <v/>
      </c>
      <c r="L1554" s="63">
        <f>IF(OR(H1554="",K1554=0),"—",IF(ISNUMBER(MATCH(H1554,'Zgłoszenia'!$S$5:$S$504,0)),RIGHT("0"&amp;DAY(A1554),2)&amp;"."&amp;RIGHT("0"&amp;MONTH(A1554),2)&amp;"."&amp;YEAR(A1554)&amp;": "&amp;INDEX('Zgłoszenia'!$H$5:$H$504,MATCH(H1554,'Zgłoszenia'!$S$5:$S$504,0)),RIGHT("0"&amp;DAY((A1554+1)),2)&amp;"."&amp;RIGHT("0"&amp;MONTH((A1554+1)),2)&amp;"."&amp;YEAR((A1554+1))&amp;": "&amp;INDEX('Zgłoszenia'!$H$5:$H$504,MATCH(F1554&amp;"|"&amp;(A1554+1),'Zgłoszenia'!$S$5:$S$504,0)))&amp;IF(K1554&gt;1," (+"&amp;(K1554-1)&amp;")",""))</f>
        <v/>
      </c>
      <c r="M1554" s="63" t="n">
        <v>20</v>
      </c>
      <c r="N1554" s="2" t="n"/>
      <c r="O1554" s="2" t="n"/>
    </row>
    <row r="1555">
      <c r="A1555" s="62">
        <f>IF('20'!$C$1="","",'20'!$C$1)</f>
        <v/>
      </c>
      <c r="B1555" s="63">
        <f>Ustawienia!$A$8&amp;""</f>
        <v/>
      </c>
      <c r="C1555" s="63">
        <f>Ustawienia!$A$16&amp;""</f>
        <v/>
      </c>
      <c r="D1555" s="63" t="n">
        <v>1</v>
      </c>
      <c r="E1555" s="63">
        <f>IF('20'!B22="","",TRIM('20'!B22&amp;""))</f>
        <v/>
      </c>
      <c r="F1555" s="63">
        <f>IF('20'!C22="","",'20'!C22)</f>
        <v/>
      </c>
      <c r="G1555" s="63">
        <f>'20'!D22&amp;""</f>
        <v/>
      </c>
      <c r="H1555" s="63">
        <f>IF(OR(A1555="",F1555=""),"",F1555&amp;"|"&amp;A1555)</f>
        <v/>
      </c>
      <c r="I1555" s="63">
        <f>IF(AND(H1555&lt;&gt;"",OR('Historia wózka'!$B$4="",F1555='Historia wózka'!$B$4),A1555&gt;='Historia wózka'!$B$5,A1555&lt;='Historia wózka'!$B$6),A1555+0.9+(5000-ROW())/10000000,0)</f>
        <v/>
      </c>
      <c r="J1555" s="63">
        <f>Ustawienia!$B$8&amp;""</f>
        <v/>
      </c>
      <c r="K1555" s="63">
        <f>IF(H1555="","",COUNTIFS('Zgłoszenia'!$B$5:$B$504,F1555,'Zgłoszenia'!$D$5:$D$504,"&gt;="&amp;A1555,'Zgłoszenia'!$D$5:$D$504,"&lt;="&amp;(A1555+1)))</f>
        <v/>
      </c>
      <c r="L1555" s="63">
        <f>IF(OR(H1555="",K1555=0),"—",IF(ISNUMBER(MATCH(H1555,'Zgłoszenia'!$S$5:$S$504,0)),RIGHT("0"&amp;DAY(A1555),2)&amp;"."&amp;RIGHT("0"&amp;MONTH(A1555),2)&amp;"."&amp;YEAR(A1555)&amp;": "&amp;INDEX('Zgłoszenia'!$H$5:$H$504,MATCH(H1555,'Zgłoszenia'!$S$5:$S$504,0)),RIGHT("0"&amp;DAY((A1555+1)),2)&amp;"."&amp;RIGHT("0"&amp;MONTH((A1555+1)),2)&amp;"."&amp;YEAR((A1555+1))&amp;": "&amp;INDEX('Zgłoszenia'!$H$5:$H$504,MATCH(F1555&amp;"|"&amp;(A1555+1),'Zgłoszenia'!$S$5:$S$504,0)))&amp;IF(K1555&gt;1," (+"&amp;(K1555-1)&amp;")",""))</f>
        <v/>
      </c>
      <c r="M1555" s="63" t="n">
        <v>20</v>
      </c>
      <c r="N1555" s="2" t="n"/>
      <c r="O1555" s="2" t="n"/>
    </row>
    <row r="1556">
      <c r="A1556" s="62">
        <f>IF('20'!$C$1="","",'20'!$C$1)</f>
        <v/>
      </c>
      <c r="B1556" s="63">
        <f>Ustawienia!$A$8&amp;""</f>
        <v/>
      </c>
      <c r="C1556" s="63">
        <f>Ustawienia!$A$16&amp;""</f>
        <v/>
      </c>
      <c r="D1556" s="63" t="n">
        <v>2</v>
      </c>
      <c r="E1556" s="63">
        <f>IF('20'!B23="","",TRIM('20'!B23&amp;""))</f>
        <v/>
      </c>
      <c r="F1556" s="63">
        <f>IF('20'!C23="","",'20'!C23)</f>
        <v/>
      </c>
      <c r="G1556" s="63">
        <f>'20'!D23&amp;""</f>
        <v/>
      </c>
      <c r="H1556" s="63">
        <f>IF(OR(A1556="",F1556=""),"",F1556&amp;"|"&amp;A1556)</f>
        <v/>
      </c>
      <c r="I1556" s="63">
        <f>IF(AND(H1556&lt;&gt;"",OR('Historia wózka'!$B$4="",F1556='Historia wózka'!$B$4),A1556&gt;='Historia wózka'!$B$5,A1556&lt;='Historia wózka'!$B$6),A1556+0.9+(5000-ROW())/10000000,0)</f>
        <v/>
      </c>
      <c r="J1556" s="63">
        <f>Ustawienia!$B$8&amp;""</f>
        <v/>
      </c>
      <c r="K1556" s="63">
        <f>IF(H1556="","",COUNTIFS('Zgłoszenia'!$B$5:$B$504,F1556,'Zgłoszenia'!$D$5:$D$504,"&gt;="&amp;A1556,'Zgłoszenia'!$D$5:$D$504,"&lt;="&amp;(A1556+1)))</f>
        <v/>
      </c>
      <c r="L1556" s="63">
        <f>IF(OR(H1556="",K1556=0),"—",IF(ISNUMBER(MATCH(H1556,'Zgłoszenia'!$S$5:$S$504,0)),RIGHT("0"&amp;DAY(A1556),2)&amp;"."&amp;RIGHT("0"&amp;MONTH(A1556),2)&amp;"."&amp;YEAR(A1556)&amp;": "&amp;INDEX('Zgłoszenia'!$H$5:$H$504,MATCH(H1556,'Zgłoszenia'!$S$5:$S$504,0)),RIGHT("0"&amp;DAY((A1556+1)),2)&amp;"."&amp;RIGHT("0"&amp;MONTH((A1556+1)),2)&amp;"."&amp;YEAR((A1556+1))&amp;": "&amp;INDEX('Zgłoszenia'!$H$5:$H$504,MATCH(F1556&amp;"|"&amp;(A1556+1),'Zgłoszenia'!$S$5:$S$504,0)))&amp;IF(K1556&gt;1," (+"&amp;(K1556-1)&amp;")",""))</f>
        <v/>
      </c>
      <c r="M1556" s="63" t="n">
        <v>20</v>
      </c>
      <c r="N1556" s="2" t="n"/>
      <c r="O1556" s="2" t="n"/>
    </row>
    <row r="1557">
      <c r="A1557" s="62">
        <f>IF('20'!$C$1="","",'20'!$C$1)</f>
        <v/>
      </c>
      <c r="B1557" s="63">
        <f>Ustawienia!$A$8&amp;""</f>
        <v/>
      </c>
      <c r="C1557" s="63">
        <f>Ustawienia!$A$16&amp;""</f>
        <v/>
      </c>
      <c r="D1557" s="63" t="n">
        <v>3</v>
      </c>
      <c r="E1557" s="63">
        <f>IF('20'!B24="","",TRIM('20'!B24&amp;""))</f>
        <v/>
      </c>
      <c r="F1557" s="63">
        <f>IF('20'!C24="","",'20'!C24)</f>
        <v/>
      </c>
      <c r="G1557" s="63">
        <f>'20'!D24&amp;""</f>
        <v/>
      </c>
      <c r="H1557" s="63">
        <f>IF(OR(A1557="",F1557=""),"",F1557&amp;"|"&amp;A1557)</f>
        <v/>
      </c>
      <c r="I1557" s="63">
        <f>IF(AND(H1557&lt;&gt;"",OR('Historia wózka'!$B$4="",F1557='Historia wózka'!$B$4),A1557&gt;='Historia wózka'!$B$5,A1557&lt;='Historia wózka'!$B$6),A1557+0.9+(5000-ROW())/10000000,0)</f>
        <v/>
      </c>
      <c r="J1557" s="63">
        <f>Ustawienia!$B$8&amp;""</f>
        <v/>
      </c>
      <c r="K1557" s="63">
        <f>IF(H1557="","",COUNTIFS('Zgłoszenia'!$B$5:$B$504,F1557,'Zgłoszenia'!$D$5:$D$504,"&gt;="&amp;A1557,'Zgłoszenia'!$D$5:$D$504,"&lt;="&amp;(A1557+1)))</f>
        <v/>
      </c>
      <c r="L1557" s="63">
        <f>IF(OR(H1557="",K1557=0),"—",IF(ISNUMBER(MATCH(H1557,'Zgłoszenia'!$S$5:$S$504,0)),RIGHT("0"&amp;DAY(A1557),2)&amp;"."&amp;RIGHT("0"&amp;MONTH(A1557),2)&amp;"."&amp;YEAR(A1557)&amp;": "&amp;INDEX('Zgłoszenia'!$H$5:$H$504,MATCH(H1557,'Zgłoszenia'!$S$5:$S$504,0)),RIGHT("0"&amp;DAY((A1557+1)),2)&amp;"."&amp;RIGHT("0"&amp;MONTH((A1557+1)),2)&amp;"."&amp;YEAR((A1557+1))&amp;": "&amp;INDEX('Zgłoszenia'!$H$5:$H$504,MATCH(F1557&amp;"|"&amp;(A1557+1),'Zgłoszenia'!$S$5:$S$504,0)))&amp;IF(K1557&gt;1," (+"&amp;(K1557-1)&amp;")",""))</f>
        <v/>
      </c>
      <c r="M1557" s="63" t="n">
        <v>20</v>
      </c>
      <c r="N1557" s="2" t="n"/>
      <c r="O1557" s="2" t="n"/>
    </row>
    <row r="1558">
      <c r="A1558" s="62">
        <f>IF('20'!$C$1="","",'20'!$C$1)</f>
        <v/>
      </c>
      <c r="B1558" s="63">
        <f>Ustawienia!$A$8&amp;""</f>
        <v/>
      </c>
      <c r="C1558" s="63">
        <f>Ustawienia!$A$16&amp;""</f>
        <v/>
      </c>
      <c r="D1558" s="63" t="n">
        <v>4</v>
      </c>
      <c r="E1558" s="63">
        <f>IF('20'!B25="","",TRIM('20'!B25&amp;""))</f>
        <v/>
      </c>
      <c r="F1558" s="63">
        <f>IF('20'!C25="","",'20'!C25)</f>
        <v/>
      </c>
      <c r="G1558" s="63">
        <f>'20'!D25&amp;""</f>
        <v/>
      </c>
      <c r="H1558" s="63">
        <f>IF(OR(A1558="",F1558=""),"",F1558&amp;"|"&amp;A1558)</f>
        <v/>
      </c>
      <c r="I1558" s="63">
        <f>IF(AND(H1558&lt;&gt;"",OR('Historia wózka'!$B$4="",F1558='Historia wózka'!$B$4),A1558&gt;='Historia wózka'!$B$5,A1558&lt;='Historia wózka'!$B$6),A1558+0.9+(5000-ROW())/10000000,0)</f>
        <v/>
      </c>
      <c r="J1558" s="63">
        <f>Ustawienia!$B$8&amp;""</f>
        <v/>
      </c>
      <c r="K1558" s="63">
        <f>IF(H1558="","",COUNTIFS('Zgłoszenia'!$B$5:$B$504,F1558,'Zgłoszenia'!$D$5:$D$504,"&gt;="&amp;A1558,'Zgłoszenia'!$D$5:$D$504,"&lt;="&amp;(A1558+1)))</f>
        <v/>
      </c>
      <c r="L1558" s="63">
        <f>IF(OR(H1558="",K1558=0),"—",IF(ISNUMBER(MATCH(H1558,'Zgłoszenia'!$S$5:$S$504,0)),RIGHT("0"&amp;DAY(A1558),2)&amp;"."&amp;RIGHT("0"&amp;MONTH(A1558),2)&amp;"."&amp;YEAR(A1558)&amp;": "&amp;INDEX('Zgłoszenia'!$H$5:$H$504,MATCH(H1558,'Zgłoszenia'!$S$5:$S$504,0)),RIGHT("0"&amp;DAY((A1558+1)),2)&amp;"."&amp;RIGHT("0"&amp;MONTH((A1558+1)),2)&amp;"."&amp;YEAR((A1558+1))&amp;": "&amp;INDEX('Zgłoszenia'!$H$5:$H$504,MATCH(F1558&amp;"|"&amp;(A1558+1),'Zgłoszenia'!$S$5:$S$504,0)))&amp;IF(K1558&gt;1," (+"&amp;(K1558-1)&amp;")",""))</f>
        <v/>
      </c>
      <c r="M1558" s="63" t="n">
        <v>20</v>
      </c>
      <c r="N1558" s="2" t="n"/>
      <c r="O1558" s="2" t="n"/>
    </row>
    <row r="1559">
      <c r="A1559" s="62">
        <f>IF('20'!$C$1="","",'20'!$C$1)</f>
        <v/>
      </c>
      <c r="B1559" s="63">
        <f>Ustawienia!$A$8&amp;""</f>
        <v/>
      </c>
      <c r="C1559" s="63">
        <f>Ustawienia!$A$17&amp;""</f>
        <v/>
      </c>
      <c r="D1559" s="63" t="n">
        <v>1</v>
      </c>
      <c r="E1559" s="63">
        <f>IF('20'!B27="","",TRIM('20'!B27&amp;""))</f>
        <v/>
      </c>
      <c r="F1559" s="63">
        <f>IF('20'!C27="","",'20'!C27)</f>
        <v/>
      </c>
      <c r="G1559" s="63">
        <f>'20'!D27&amp;""</f>
        <v/>
      </c>
      <c r="H1559" s="63">
        <f>IF(OR(A1559="",F1559=""),"",F1559&amp;"|"&amp;A1559)</f>
        <v/>
      </c>
      <c r="I1559" s="63">
        <f>IF(AND(H1559&lt;&gt;"",OR('Historia wózka'!$B$4="",F1559='Historia wózka'!$B$4),A1559&gt;='Historia wózka'!$B$5,A1559&lt;='Historia wózka'!$B$6),A1559+0.9+(5000-ROW())/10000000,0)</f>
        <v/>
      </c>
      <c r="J1559" s="63">
        <f>Ustawienia!$B$8&amp;""</f>
        <v/>
      </c>
      <c r="K1559" s="63">
        <f>IF(H1559="","",COUNTIFS('Zgłoszenia'!$B$5:$B$504,F1559,'Zgłoszenia'!$D$5:$D$504,"&gt;="&amp;A1559,'Zgłoszenia'!$D$5:$D$504,"&lt;="&amp;(A1559+1)))</f>
        <v/>
      </c>
      <c r="L1559" s="63">
        <f>IF(OR(H1559="",K1559=0),"—",IF(ISNUMBER(MATCH(H1559,'Zgłoszenia'!$S$5:$S$504,0)),RIGHT("0"&amp;DAY(A1559),2)&amp;"."&amp;RIGHT("0"&amp;MONTH(A1559),2)&amp;"."&amp;YEAR(A1559)&amp;": "&amp;INDEX('Zgłoszenia'!$H$5:$H$504,MATCH(H1559,'Zgłoszenia'!$S$5:$S$504,0)),RIGHT("0"&amp;DAY((A1559+1)),2)&amp;"."&amp;RIGHT("0"&amp;MONTH((A1559+1)),2)&amp;"."&amp;YEAR((A1559+1))&amp;": "&amp;INDEX('Zgłoszenia'!$H$5:$H$504,MATCH(F1559&amp;"|"&amp;(A1559+1),'Zgłoszenia'!$S$5:$S$504,0)))&amp;IF(K1559&gt;1," (+"&amp;(K1559-1)&amp;")",""))</f>
        <v/>
      </c>
      <c r="M1559" s="63" t="n">
        <v>20</v>
      </c>
      <c r="N1559" s="2" t="n"/>
      <c r="O1559" s="2" t="n"/>
    </row>
    <row r="1560">
      <c r="A1560" s="62">
        <f>IF('20'!$C$1="","",'20'!$C$1)</f>
        <v/>
      </c>
      <c r="B1560" s="63">
        <f>Ustawienia!$A$8&amp;""</f>
        <v/>
      </c>
      <c r="C1560" s="63">
        <f>Ustawienia!$A$17&amp;""</f>
        <v/>
      </c>
      <c r="D1560" s="63" t="n">
        <v>2</v>
      </c>
      <c r="E1560" s="63">
        <f>IF('20'!B28="","",TRIM('20'!B28&amp;""))</f>
        <v/>
      </c>
      <c r="F1560" s="63">
        <f>IF('20'!C28="","",'20'!C28)</f>
        <v/>
      </c>
      <c r="G1560" s="63">
        <f>'20'!D28&amp;""</f>
        <v/>
      </c>
      <c r="H1560" s="63">
        <f>IF(OR(A1560="",F1560=""),"",F1560&amp;"|"&amp;A1560)</f>
        <v/>
      </c>
      <c r="I1560" s="63">
        <f>IF(AND(H1560&lt;&gt;"",OR('Historia wózka'!$B$4="",F1560='Historia wózka'!$B$4),A1560&gt;='Historia wózka'!$B$5,A1560&lt;='Historia wózka'!$B$6),A1560+0.9+(5000-ROW())/10000000,0)</f>
        <v/>
      </c>
      <c r="J1560" s="63">
        <f>Ustawienia!$B$8&amp;""</f>
        <v/>
      </c>
      <c r="K1560" s="63">
        <f>IF(H1560="","",COUNTIFS('Zgłoszenia'!$B$5:$B$504,F1560,'Zgłoszenia'!$D$5:$D$504,"&gt;="&amp;A1560,'Zgłoszenia'!$D$5:$D$504,"&lt;="&amp;(A1560+1)))</f>
        <v/>
      </c>
      <c r="L1560" s="63">
        <f>IF(OR(H1560="",K1560=0),"—",IF(ISNUMBER(MATCH(H1560,'Zgłoszenia'!$S$5:$S$504,0)),RIGHT("0"&amp;DAY(A1560),2)&amp;"."&amp;RIGHT("0"&amp;MONTH(A1560),2)&amp;"."&amp;YEAR(A1560)&amp;": "&amp;INDEX('Zgłoszenia'!$H$5:$H$504,MATCH(H1560,'Zgłoszenia'!$S$5:$S$504,0)),RIGHT("0"&amp;DAY((A1560+1)),2)&amp;"."&amp;RIGHT("0"&amp;MONTH((A1560+1)),2)&amp;"."&amp;YEAR((A1560+1))&amp;": "&amp;INDEX('Zgłoszenia'!$H$5:$H$504,MATCH(F1560&amp;"|"&amp;(A1560+1),'Zgłoszenia'!$S$5:$S$504,0)))&amp;IF(K1560&gt;1," (+"&amp;(K1560-1)&amp;")",""))</f>
        <v/>
      </c>
      <c r="M1560" s="63" t="n">
        <v>20</v>
      </c>
      <c r="N1560" s="2" t="n"/>
      <c r="O1560" s="2" t="n"/>
    </row>
    <row r="1561">
      <c r="A1561" s="62">
        <f>IF('20'!$C$1="","",'20'!$C$1)</f>
        <v/>
      </c>
      <c r="B1561" s="63">
        <f>Ustawienia!$A$8&amp;""</f>
        <v/>
      </c>
      <c r="C1561" s="63">
        <f>Ustawienia!$A$17&amp;""</f>
        <v/>
      </c>
      <c r="D1561" s="63" t="n">
        <v>3</v>
      </c>
      <c r="E1561" s="63">
        <f>IF('20'!B29="","",TRIM('20'!B29&amp;""))</f>
        <v/>
      </c>
      <c r="F1561" s="63">
        <f>IF('20'!C29="","",'20'!C29)</f>
        <v/>
      </c>
      <c r="G1561" s="63">
        <f>'20'!D29&amp;""</f>
        <v/>
      </c>
      <c r="H1561" s="63">
        <f>IF(OR(A1561="",F1561=""),"",F1561&amp;"|"&amp;A1561)</f>
        <v/>
      </c>
      <c r="I1561" s="63">
        <f>IF(AND(H1561&lt;&gt;"",OR('Historia wózka'!$B$4="",F1561='Historia wózka'!$B$4),A1561&gt;='Historia wózka'!$B$5,A1561&lt;='Historia wózka'!$B$6),A1561+0.9+(5000-ROW())/10000000,0)</f>
        <v/>
      </c>
      <c r="J1561" s="63">
        <f>Ustawienia!$B$8&amp;""</f>
        <v/>
      </c>
      <c r="K1561" s="63">
        <f>IF(H1561="","",COUNTIFS('Zgłoszenia'!$B$5:$B$504,F1561,'Zgłoszenia'!$D$5:$D$504,"&gt;="&amp;A1561,'Zgłoszenia'!$D$5:$D$504,"&lt;="&amp;(A1561+1)))</f>
        <v/>
      </c>
      <c r="L1561" s="63">
        <f>IF(OR(H1561="",K1561=0),"—",IF(ISNUMBER(MATCH(H1561,'Zgłoszenia'!$S$5:$S$504,0)),RIGHT("0"&amp;DAY(A1561),2)&amp;"."&amp;RIGHT("0"&amp;MONTH(A1561),2)&amp;"."&amp;YEAR(A1561)&amp;": "&amp;INDEX('Zgłoszenia'!$H$5:$H$504,MATCH(H1561,'Zgłoszenia'!$S$5:$S$504,0)),RIGHT("0"&amp;DAY((A1561+1)),2)&amp;"."&amp;RIGHT("0"&amp;MONTH((A1561+1)),2)&amp;"."&amp;YEAR((A1561+1))&amp;": "&amp;INDEX('Zgłoszenia'!$H$5:$H$504,MATCH(F1561&amp;"|"&amp;(A1561+1),'Zgłoszenia'!$S$5:$S$504,0)))&amp;IF(K1561&gt;1," (+"&amp;(K1561-1)&amp;")",""))</f>
        <v/>
      </c>
      <c r="M1561" s="63" t="n">
        <v>20</v>
      </c>
      <c r="N1561" s="2" t="n"/>
      <c r="O1561" s="2" t="n"/>
    </row>
    <row r="1562">
      <c r="A1562" s="62">
        <f>IF('20'!$C$1="","",'20'!$C$1)</f>
        <v/>
      </c>
      <c r="B1562" s="63">
        <f>Ustawienia!$A$8&amp;""</f>
        <v/>
      </c>
      <c r="C1562" s="63">
        <f>Ustawienia!$A$17&amp;""</f>
        <v/>
      </c>
      <c r="D1562" s="63" t="n">
        <v>4</v>
      </c>
      <c r="E1562" s="63">
        <f>IF('20'!B30="","",TRIM('20'!B30&amp;""))</f>
        <v/>
      </c>
      <c r="F1562" s="63">
        <f>IF('20'!C30="","",'20'!C30)</f>
        <v/>
      </c>
      <c r="G1562" s="63">
        <f>'20'!D30&amp;""</f>
        <v/>
      </c>
      <c r="H1562" s="63">
        <f>IF(OR(A1562="",F1562=""),"",F1562&amp;"|"&amp;A1562)</f>
        <v/>
      </c>
      <c r="I1562" s="63">
        <f>IF(AND(H1562&lt;&gt;"",OR('Historia wózka'!$B$4="",F1562='Historia wózka'!$B$4),A1562&gt;='Historia wózka'!$B$5,A1562&lt;='Historia wózka'!$B$6),A1562+0.9+(5000-ROW())/10000000,0)</f>
        <v/>
      </c>
      <c r="J1562" s="63">
        <f>Ustawienia!$B$8&amp;""</f>
        <v/>
      </c>
      <c r="K1562" s="63">
        <f>IF(H1562="","",COUNTIFS('Zgłoszenia'!$B$5:$B$504,F1562,'Zgłoszenia'!$D$5:$D$504,"&gt;="&amp;A1562,'Zgłoszenia'!$D$5:$D$504,"&lt;="&amp;(A1562+1)))</f>
        <v/>
      </c>
      <c r="L1562" s="63">
        <f>IF(OR(H1562="",K1562=0),"—",IF(ISNUMBER(MATCH(H1562,'Zgłoszenia'!$S$5:$S$504,0)),RIGHT("0"&amp;DAY(A1562),2)&amp;"."&amp;RIGHT("0"&amp;MONTH(A1562),2)&amp;"."&amp;YEAR(A1562)&amp;": "&amp;INDEX('Zgłoszenia'!$H$5:$H$504,MATCH(H1562,'Zgłoszenia'!$S$5:$S$504,0)),RIGHT("0"&amp;DAY((A1562+1)),2)&amp;"."&amp;RIGHT("0"&amp;MONTH((A1562+1)),2)&amp;"."&amp;YEAR((A1562+1))&amp;": "&amp;INDEX('Zgłoszenia'!$H$5:$H$504,MATCH(F1562&amp;"|"&amp;(A1562+1),'Zgłoszenia'!$S$5:$S$504,0)))&amp;IF(K1562&gt;1," (+"&amp;(K1562-1)&amp;")",""))</f>
        <v/>
      </c>
      <c r="M1562" s="63" t="n">
        <v>20</v>
      </c>
      <c r="N1562" s="2" t="n"/>
      <c r="O1562" s="2" t="n"/>
    </row>
    <row r="1563">
      <c r="A1563" s="62">
        <f>IF('20'!$C$1="","",'20'!$C$1)</f>
        <v/>
      </c>
      <c r="B1563" s="63">
        <f>Ustawienia!$A$8&amp;""</f>
        <v/>
      </c>
      <c r="C1563" s="63">
        <f>Ustawienia!$A$18&amp;""</f>
        <v/>
      </c>
      <c r="D1563" s="63" t="n">
        <v>1</v>
      </c>
      <c r="E1563" s="63">
        <f>IF('20'!B32="","",TRIM('20'!B32&amp;""))</f>
        <v/>
      </c>
      <c r="F1563" s="63">
        <f>IF('20'!C32="","",'20'!C32)</f>
        <v/>
      </c>
      <c r="G1563" s="63">
        <f>'20'!D32&amp;""</f>
        <v/>
      </c>
      <c r="H1563" s="63">
        <f>IF(OR(A1563="",F1563=""),"",F1563&amp;"|"&amp;A1563)</f>
        <v/>
      </c>
      <c r="I1563" s="63">
        <f>IF(AND(H1563&lt;&gt;"",OR('Historia wózka'!$B$4="",F1563='Historia wózka'!$B$4),A1563&gt;='Historia wózka'!$B$5,A1563&lt;='Historia wózka'!$B$6),A1563+0.9+(5000-ROW())/10000000,0)</f>
        <v/>
      </c>
      <c r="J1563" s="63">
        <f>Ustawienia!$B$8&amp;""</f>
        <v/>
      </c>
      <c r="K1563" s="63">
        <f>IF(H1563="","",COUNTIFS('Zgłoszenia'!$B$5:$B$504,F1563,'Zgłoszenia'!$D$5:$D$504,"&gt;="&amp;A1563,'Zgłoszenia'!$D$5:$D$504,"&lt;="&amp;(A1563+1)))</f>
        <v/>
      </c>
      <c r="L1563" s="63">
        <f>IF(OR(H1563="",K1563=0),"—",IF(ISNUMBER(MATCH(H1563,'Zgłoszenia'!$S$5:$S$504,0)),RIGHT("0"&amp;DAY(A1563),2)&amp;"."&amp;RIGHT("0"&amp;MONTH(A1563),2)&amp;"."&amp;YEAR(A1563)&amp;": "&amp;INDEX('Zgłoszenia'!$H$5:$H$504,MATCH(H1563,'Zgłoszenia'!$S$5:$S$504,0)),RIGHT("0"&amp;DAY((A1563+1)),2)&amp;"."&amp;RIGHT("0"&amp;MONTH((A1563+1)),2)&amp;"."&amp;YEAR((A1563+1))&amp;": "&amp;INDEX('Zgłoszenia'!$H$5:$H$504,MATCH(F1563&amp;"|"&amp;(A1563+1),'Zgłoszenia'!$S$5:$S$504,0)))&amp;IF(K1563&gt;1," (+"&amp;(K1563-1)&amp;")",""))</f>
        <v/>
      </c>
      <c r="M1563" s="63" t="n">
        <v>20</v>
      </c>
      <c r="N1563" s="2" t="n"/>
      <c r="O1563" s="2" t="n"/>
    </row>
    <row r="1564">
      <c r="A1564" s="62">
        <f>IF('20'!$C$1="","",'20'!$C$1)</f>
        <v/>
      </c>
      <c r="B1564" s="63">
        <f>Ustawienia!$A$8&amp;""</f>
        <v/>
      </c>
      <c r="C1564" s="63">
        <f>Ustawienia!$A$18&amp;""</f>
        <v/>
      </c>
      <c r="D1564" s="63" t="n">
        <v>2</v>
      </c>
      <c r="E1564" s="63">
        <f>IF('20'!B33="","",TRIM('20'!B33&amp;""))</f>
        <v/>
      </c>
      <c r="F1564" s="63">
        <f>IF('20'!C33="","",'20'!C33)</f>
        <v/>
      </c>
      <c r="G1564" s="63">
        <f>'20'!D33&amp;""</f>
        <v/>
      </c>
      <c r="H1564" s="63">
        <f>IF(OR(A1564="",F1564=""),"",F1564&amp;"|"&amp;A1564)</f>
        <v/>
      </c>
      <c r="I1564" s="63">
        <f>IF(AND(H1564&lt;&gt;"",OR('Historia wózka'!$B$4="",F1564='Historia wózka'!$B$4),A1564&gt;='Historia wózka'!$B$5,A1564&lt;='Historia wózka'!$B$6),A1564+0.9+(5000-ROW())/10000000,0)</f>
        <v/>
      </c>
      <c r="J1564" s="63">
        <f>Ustawienia!$B$8&amp;""</f>
        <v/>
      </c>
      <c r="K1564" s="63">
        <f>IF(H1564="","",COUNTIFS('Zgłoszenia'!$B$5:$B$504,F1564,'Zgłoszenia'!$D$5:$D$504,"&gt;="&amp;A1564,'Zgłoszenia'!$D$5:$D$504,"&lt;="&amp;(A1564+1)))</f>
        <v/>
      </c>
      <c r="L1564" s="63">
        <f>IF(OR(H1564="",K1564=0),"—",IF(ISNUMBER(MATCH(H1564,'Zgłoszenia'!$S$5:$S$504,0)),RIGHT("0"&amp;DAY(A1564),2)&amp;"."&amp;RIGHT("0"&amp;MONTH(A1564),2)&amp;"."&amp;YEAR(A1564)&amp;": "&amp;INDEX('Zgłoszenia'!$H$5:$H$504,MATCH(H1564,'Zgłoszenia'!$S$5:$S$504,0)),RIGHT("0"&amp;DAY((A1564+1)),2)&amp;"."&amp;RIGHT("0"&amp;MONTH((A1564+1)),2)&amp;"."&amp;YEAR((A1564+1))&amp;": "&amp;INDEX('Zgłoszenia'!$H$5:$H$504,MATCH(F1564&amp;"|"&amp;(A1564+1),'Zgłoszenia'!$S$5:$S$504,0)))&amp;IF(K1564&gt;1," (+"&amp;(K1564-1)&amp;")",""))</f>
        <v/>
      </c>
      <c r="M1564" s="63" t="n">
        <v>20</v>
      </c>
      <c r="N1564" s="2" t="n"/>
      <c r="O1564" s="2" t="n"/>
    </row>
    <row r="1565">
      <c r="A1565" s="62">
        <f>IF('20'!$C$1="","",'20'!$C$1)</f>
        <v/>
      </c>
      <c r="B1565" s="63">
        <f>Ustawienia!$A$8&amp;""</f>
        <v/>
      </c>
      <c r="C1565" s="63">
        <f>Ustawienia!$A$18&amp;""</f>
        <v/>
      </c>
      <c r="D1565" s="63" t="n">
        <v>3</v>
      </c>
      <c r="E1565" s="63">
        <f>IF('20'!B34="","",TRIM('20'!B34&amp;""))</f>
        <v/>
      </c>
      <c r="F1565" s="63">
        <f>IF('20'!C34="","",'20'!C34)</f>
        <v/>
      </c>
      <c r="G1565" s="63">
        <f>'20'!D34&amp;""</f>
        <v/>
      </c>
      <c r="H1565" s="63">
        <f>IF(OR(A1565="",F1565=""),"",F1565&amp;"|"&amp;A1565)</f>
        <v/>
      </c>
      <c r="I1565" s="63">
        <f>IF(AND(H1565&lt;&gt;"",OR('Historia wózka'!$B$4="",F1565='Historia wózka'!$B$4),A1565&gt;='Historia wózka'!$B$5,A1565&lt;='Historia wózka'!$B$6),A1565+0.9+(5000-ROW())/10000000,0)</f>
        <v/>
      </c>
      <c r="J1565" s="63">
        <f>Ustawienia!$B$8&amp;""</f>
        <v/>
      </c>
      <c r="K1565" s="63">
        <f>IF(H1565="","",COUNTIFS('Zgłoszenia'!$B$5:$B$504,F1565,'Zgłoszenia'!$D$5:$D$504,"&gt;="&amp;A1565,'Zgłoszenia'!$D$5:$D$504,"&lt;="&amp;(A1565+1)))</f>
        <v/>
      </c>
      <c r="L1565" s="63">
        <f>IF(OR(H1565="",K1565=0),"—",IF(ISNUMBER(MATCH(H1565,'Zgłoszenia'!$S$5:$S$504,0)),RIGHT("0"&amp;DAY(A1565),2)&amp;"."&amp;RIGHT("0"&amp;MONTH(A1565),2)&amp;"."&amp;YEAR(A1565)&amp;": "&amp;INDEX('Zgłoszenia'!$H$5:$H$504,MATCH(H1565,'Zgłoszenia'!$S$5:$S$504,0)),RIGHT("0"&amp;DAY((A1565+1)),2)&amp;"."&amp;RIGHT("0"&amp;MONTH((A1565+1)),2)&amp;"."&amp;YEAR((A1565+1))&amp;": "&amp;INDEX('Zgłoszenia'!$H$5:$H$504,MATCH(F1565&amp;"|"&amp;(A1565+1),'Zgłoszenia'!$S$5:$S$504,0)))&amp;IF(K1565&gt;1," (+"&amp;(K1565-1)&amp;")",""))</f>
        <v/>
      </c>
      <c r="M1565" s="63" t="n">
        <v>20</v>
      </c>
      <c r="N1565" s="2" t="n"/>
      <c r="O1565" s="2" t="n"/>
    </row>
    <row r="1566">
      <c r="A1566" s="62">
        <f>IF('20'!$C$1="","",'20'!$C$1)</f>
        <v/>
      </c>
      <c r="B1566" s="63">
        <f>Ustawienia!$A$8&amp;""</f>
        <v/>
      </c>
      <c r="C1566" s="63">
        <f>Ustawienia!$A$18&amp;""</f>
        <v/>
      </c>
      <c r="D1566" s="63" t="n">
        <v>4</v>
      </c>
      <c r="E1566" s="63">
        <f>IF('20'!B35="","",TRIM('20'!B35&amp;""))</f>
        <v/>
      </c>
      <c r="F1566" s="63">
        <f>IF('20'!C35="","",'20'!C35)</f>
        <v/>
      </c>
      <c r="G1566" s="63">
        <f>'20'!D35&amp;""</f>
        <v/>
      </c>
      <c r="H1566" s="63">
        <f>IF(OR(A1566="",F1566=""),"",F1566&amp;"|"&amp;A1566)</f>
        <v/>
      </c>
      <c r="I1566" s="63">
        <f>IF(AND(H1566&lt;&gt;"",OR('Historia wózka'!$B$4="",F1566='Historia wózka'!$B$4),A1566&gt;='Historia wózka'!$B$5,A1566&lt;='Historia wózka'!$B$6),A1566+0.9+(5000-ROW())/10000000,0)</f>
        <v/>
      </c>
      <c r="J1566" s="63">
        <f>Ustawienia!$B$8&amp;""</f>
        <v/>
      </c>
      <c r="K1566" s="63">
        <f>IF(H1566="","",COUNTIFS('Zgłoszenia'!$B$5:$B$504,F1566,'Zgłoszenia'!$D$5:$D$504,"&gt;="&amp;A1566,'Zgłoszenia'!$D$5:$D$504,"&lt;="&amp;(A1566+1)))</f>
        <v/>
      </c>
      <c r="L1566" s="63">
        <f>IF(OR(H1566="",K1566=0),"—",IF(ISNUMBER(MATCH(H1566,'Zgłoszenia'!$S$5:$S$504,0)),RIGHT("0"&amp;DAY(A1566),2)&amp;"."&amp;RIGHT("0"&amp;MONTH(A1566),2)&amp;"."&amp;YEAR(A1566)&amp;": "&amp;INDEX('Zgłoszenia'!$H$5:$H$504,MATCH(H1566,'Zgłoszenia'!$S$5:$S$504,0)),RIGHT("0"&amp;DAY((A1566+1)),2)&amp;"."&amp;RIGHT("0"&amp;MONTH((A1566+1)),2)&amp;"."&amp;YEAR((A1566+1))&amp;": "&amp;INDEX('Zgłoszenia'!$H$5:$H$504,MATCH(F1566&amp;"|"&amp;(A1566+1),'Zgłoszenia'!$S$5:$S$504,0)))&amp;IF(K1566&gt;1," (+"&amp;(K1566-1)&amp;")",""))</f>
        <v/>
      </c>
      <c r="M1566" s="63" t="n">
        <v>20</v>
      </c>
      <c r="N1566" s="2" t="n"/>
      <c r="O1566" s="2" t="n"/>
    </row>
    <row r="1567">
      <c r="A1567" s="62">
        <f>IF('20'!$C$1="","",'20'!$C$1)</f>
        <v/>
      </c>
      <c r="B1567" s="63">
        <f>Ustawienia!$A$8&amp;""</f>
        <v/>
      </c>
      <c r="C1567" s="63">
        <f>Ustawienia!$A$18&amp;""</f>
        <v/>
      </c>
      <c r="D1567" s="63" t="n">
        <v>5</v>
      </c>
      <c r="E1567" s="63">
        <f>IF('20'!B36="","",TRIM('20'!B36&amp;""))</f>
        <v/>
      </c>
      <c r="F1567" s="63">
        <f>IF('20'!C36="","",'20'!C36)</f>
        <v/>
      </c>
      <c r="G1567" s="63">
        <f>'20'!D36&amp;""</f>
        <v/>
      </c>
      <c r="H1567" s="63">
        <f>IF(OR(A1567="",F1567=""),"",F1567&amp;"|"&amp;A1567)</f>
        <v/>
      </c>
      <c r="I1567" s="63">
        <f>IF(AND(H1567&lt;&gt;"",OR('Historia wózka'!$B$4="",F1567='Historia wózka'!$B$4),A1567&gt;='Historia wózka'!$B$5,A1567&lt;='Historia wózka'!$B$6),A1567+0.9+(5000-ROW())/10000000,0)</f>
        <v/>
      </c>
      <c r="J1567" s="63">
        <f>Ustawienia!$B$8&amp;""</f>
        <v/>
      </c>
      <c r="K1567" s="63">
        <f>IF(H1567="","",COUNTIFS('Zgłoszenia'!$B$5:$B$504,F1567,'Zgłoszenia'!$D$5:$D$504,"&gt;="&amp;A1567,'Zgłoszenia'!$D$5:$D$504,"&lt;="&amp;(A1567+1)))</f>
        <v/>
      </c>
      <c r="L1567" s="63">
        <f>IF(OR(H1567="",K1567=0),"—",IF(ISNUMBER(MATCH(H1567,'Zgłoszenia'!$S$5:$S$504,0)),RIGHT("0"&amp;DAY(A1567),2)&amp;"."&amp;RIGHT("0"&amp;MONTH(A1567),2)&amp;"."&amp;YEAR(A1567)&amp;": "&amp;INDEX('Zgłoszenia'!$H$5:$H$504,MATCH(H1567,'Zgłoszenia'!$S$5:$S$504,0)),RIGHT("0"&amp;DAY((A1567+1)),2)&amp;"."&amp;RIGHT("0"&amp;MONTH((A1567+1)),2)&amp;"."&amp;YEAR((A1567+1))&amp;": "&amp;INDEX('Zgłoszenia'!$H$5:$H$504,MATCH(F1567&amp;"|"&amp;(A1567+1),'Zgłoszenia'!$S$5:$S$504,0)))&amp;IF(K1567&gt;1," (+"&amp;(K1567-1)&amp;")",""))</f>
        <v/>
      </c>
      <c r="M1567" s="63" t="n">
        <v>20</v>
      </c>
      <c r="N1567" s="2" t="n"/>
      <c r="O1567" s="2" t="n"/>
    </row>
    <row r="1568">
      <c r="A1568" s="62">
        <f>IF('20'!$C$1="","",'20'!$C$1)</f>
        <v/>
      </c>
      <c r="B1568" s="63">
        <f>Ustawienia!$A$9&amp;""</f>
        <v/>
      </c>
      <c r="C1568" s="63">
        <f>Ustawienia!$A$14&amp;""</f>
        <v/>
      </c>
      <c r="D1568" s="63" t="n">
        <v>1</v>
      </c>
      <c r="E1568" s="63">
        <f>IF('20'!F6="","",TRIM('20'!F6&amp;""))</f>
        <v/>
      </c>
      <c r="F1568" s="63">
        <f>IF('20'!G6="","",'20'!G6)</f>
        <v/>
      </c>
      <c r="G1568" s="63">
        <f>'20'!H6&amp;""</f>
        <v/>
      </c>
      <c r="H1568" s="63">
        <f>IF(OR(A1568="",F1568=""),"",F1568&amp;"|"&amp;A1568)</f>
        <v/>
      </c>
      <c r="I1568" s="63">
        <f>IF(AND(H1568&lt;&gt;"",OR('Historia wózka'!$B$4="",F1568='Historia wózka'!$B$4),A1568&gt;='Historia wózka'!$B$5,A1568&lt;='Historia wózka'!$B$6),A1568+0.8+(5000-ROW())/10000000,0)</f>
        <v/>
      </c>
      <c r="J1568" s="63">
        <f>Ustawienia!$B$9&amp;""</f>
        <v/>
      </c>
      <c r="K1568" s="63">
        <f>IF(H1568="","",COUNTIFS('Zgłoszenia'!$B$5:$B$504,F1568,'Zgłoszenia'!$D$5:$D$504,"&gt;="&amp;A1568,'Zgłoszenia'!$D$5:$D$504,"&lt;="&amp;(A1568+1)))</f>
        <v/>
      </c>
      <c r="L1568" s="63">
        <f>IF(OR(H1568="",K1568=0),"—",IF(ISNUMBER(MATCH(H1568,'Zgłoszenia'!$S$5:$S$504,0)),RIGHT("0"&amp;DAY(A1568),2)&amp;"."&amp;RIGHT("0"&amp;MONTH(A1568),2)&amp;"."&amp;YEAR(A1568)&amp;": "&amp;INDEX('Zgłoszenia'!$H$5:$H$504,MATCH(H1568,'Zgłoszenia'!$S$5:$S$504,0)),RIGHT("0"&amp;DAY((A1568+1)),2)&amp;"."&amp;RIGHT("0"&amp;MONTH((A1568+1)),2)&amp;"."&amp;YEAR((A1568+1))&amp;": "&amp;INDEX('Zgłoszenia'!$H$5:$H$504,MATCH(F1568&amp;"|"&amp;(A1568+1),'Zgłoszenia'!$S$5:$S$504,0)))&amp;IF(K1568&gt;1," (+"&amp;(K1568-1)&amp;")",""))</f>
        <v/>
      </c>
      <c r="M1568" s="63" t="n">
        <v>20</v>
      </c>
      <c r="N1568" s="2" t="n"/>
      <c r="O1568" s="2" t="n"/>
    </row>
    <row r="1569">
      <c r="A1569" s="62">
        <f>IF('20'!$C$1="","",'20'!$C$1)</f>
        <v/>
      </c>
      <c r="B1569" s="63">
        <f>Ustawienia!$A$9&amp;""</f>
        <v/>
      </c>
      <c r="C1569" s="63">
        <f>Ustawienia!$A$14&amp;""</f>
        <v/>
      </c>
      <c r="D1569" s="63" t="n">
        <v>2</v>
      </c>
      <c r="E1569" s="63">
        <f>IF('20'!F7="","",TRIM('20'!F7&amp;""))</f>
        <v/>
      </c>
      <c r="F1569" s="63">
        <f>IF('20'!G7="","",'20'!G7)</f>
        <v/>
      </c>
      <c r="G1569" s="63">
        <f>'20'!H7&amp;""</f>
        <v/>
      </c>
      <c r="H1569" s="63">
        <f>IF(OR(A1569="",F1569=""),"",F1569&amp;"|"&amp;A1569)</f>
        <v/>
      </c>
      <c r="I1569" s="63">
        <f>IF(AND(H1569&lt;&gt;"",OR('Historia wózka'!$B$4="",F1569='Historia wózka'!$B$4),A1569&gt;='Historia wózka'!$B$5,A1569&lt;='Historia wózka'!$B$6),A1569+0.8+(5000-ROW())/10000000,0)</f>
        <v/>
      </c>
      <c r="J1569" s="63">
        <f>Ustawienia!$B$9&amp;""</f>
        <v/>
      </c>
      <c r="K1569" s="63">
        <f>IF(H1569="","",COUNTIFS('Zgłoszenia'!$B$5:$B$504,F1569,'Zgłoszenia'!$D$5:$D$504,"&gt;="&amp;A1569,'Zgłoszenia'!$D$5:$D$504,"&lt;="&amp;(A1569+1)))</f>
        <v/>
      </c>
      <c r="L1569" s="63">
        <f>IF(OR(H1569="",K1569=0),"—",IF(ISNUMBER(MATCH(H1569,'Zgłoszenia'!$S$5:$S$504,0)),RIGHT("0"&amp;DAY(A1569),2)&amp;"."&amp;RIGHT("0"&amp;MONTH(A1569),2)&amp;"."&amp;YEAR(A1569)&amp;": "&amp;INDEX('Zgłoszenia'!$H$5:$H$504,MATCH(H1569,'Zgłoszenia'!$S$5:$S$504,0)),RIGHT("0"&amp;DAY((A1569+1)),2)&amp;"."&amp;RIGHT("0"&amp;MONTH((A1569+1)),2)&amp;"."&amp;YEAR((A1569+1))&amp;": "&amp;INDEX('Zgłoszenia'!$H$5:$H$504,MATCH(F1569&amp;"|"&amp;(A1569+1),'Zgłoszenia'!$S$5:$S$504,0)))&amp;IF(K1569&gt;1," (+"&amp;(K1569-1)&amp;")",""))</f>
        <v/>
      </c>
      <c r="M1569" s="63" t="n">
        <v>20</v>
      </c>
      <c r="N1569" s="2" t="n"/>
      <c r="O1569" s="2" t="n"/>
    </row>
    <row r="1570">
      <c r="A1570" s="62">
        <f>IF('20'!$C$1="","",'20'!$C$1)</f>
        <v/>
      </c>
      <c r="B1570" s="63">
        <f>Ustawienia!$A$9&amp;""</f>
        <v/>
      </c>
      <c r="C1570" s="63">
        <f>Ustawienia!$A$14&amp;""</f>
        <v/>
      </c>
      <c r="D1570" s="63" t="n">
        <v>3</v>
      </c>
      <c r="E1570" s="63">
        <f>IF('20'!F8="","",TRIM('20'!F8&amp;""))</f>
        <v/>
      </c>
      <c r="F1570" s="63">
        <f>IF('20'!G8="","",'20'!G8)</f>
        <v/>
      </c>
      <c r="G1570" s="63">
        <f>'20'!H8&amp;""</f>
        <v/>
      </c>
      <c r="H1570" s="63">
        <f>IF(OR(A1570="",F1570=""),"",F1570&amp;"|"&amp;A1570)</f>
        <v/>
      </c>
      <c r="I1570" s="63">
        <f>IF(AND(H1570&lt;&gt;"",OR('Historia wózka'!$B$4="",F1570='Historia wózka'!$B$4),A1570&gt;='Historia wózka'!$B$5,A1570&lt;='Historia wózka'!$B$6),A1570+0.8+(5000-ROW())/10000000,0)</f>
        <v/>
      </c>
      <c r="J1570" s="63">
        <f>Ustawienia!$B$9&amp;""</f>
        <v/>
      </c>
      <c r="K1570" s="63">
        <f>IF(H1570="","",COUNTIFS('Zgłoszenia'!$B$5:$B$504,F1570,'Zgłoszenia'!$D$5:$D$504,"&gt;="&amp;A1570,'Zgłoszenia'!$D$5:$D$504,"&lt;="&amp;(A1570+1)))</f>
        <v/>
      </c>
      <c r="L1570" s="63">
        <f>IF(OR(H1570="",K1570=0),"—",IF(ISNUMBER(MATCH(H1570,'Zgłoszenia'!$S$5:$S$504,0)),RIGHT("0"&amp;DAY(A1570),2)&amp;"."&amp;RIGHT("0"&amp;MONTH(A1570),2)&amp;"."&amp;YEAR(A1570)&amp;": "&amp;INDEX('Zgłoszenia'!$H$5:$H$504,MATCH(H1570,'Zgłoszenia'!$S$5:$S$504,0)),RIGHT("0"&amp;DAY((A1570+1)),2)&amp;"."&amp;RIGHT("0"&amp;MONTH((A1570+1)),2)&amp;"."&amp;YEAR((A1570+1))&amp;": "&amp;INDEX('Zgłoszenia'!$H$5:$H$504,MATCH(F1570&amp;"|"&amp;(A1570+1),'Zgłoszenia'!$S$5:$S$504,0)))&amp;IF(K1570&gt;1," (+"&amp;(K1570-1)&amp;")",""))</f>
        <v/>
      </c>
      <c r="M1570" s="63" t="n">
        <v>20</v>
      </c>
      <c r="N1570" s="2" t="n"/>
      <c r="O1570" s="2" t="n"/>
    </row>
    <row r="1571">
      <c r="A1571" s="62">
        <f>IF('20'!$C$1="","",'20'!$C$1)</f>
        <v/>
      </c>
      <c r="B1571" s="63">
        <f>Ustawienia!$A$9&amp;""</f>
        <v/>
      </c>
      <c r="C1571" s="63">
        <f>Ustawienia!$A$14&amp;""</f>
        <v/>
      </c>
      <c r="D1571" s="63" t="n">
        <v>4</v>
      </c>
      <c r="E1571" s="63">
        <f>IF('20'!F9="","",TRIM('20'!F9&amp;""))</f>
        <v/>
      </c>
      <c r="F1571" s="63">
        <f>IF('20'!G9="","",'20'!G9)</f>
        <v/>
      </c>
      <c r="G1571" s="63">
        <f>'20'!H9&amp;""</f>
        <v/>
      </c>
      <c r="H1571" s="63">
        <f>IF(OR(A1571="",F1571=""),"",F1571&amp;"|"&amp;A1571)</f>
        <v/>
      </c>
      <c r="I1571" s="63">
        <f>IF(AND(H1571&lt;&gt;"",OR('Historia wózka'!$B$4="",F1571='Historia wózka'!$B$4),A1571&gt;='Historia wózka'!$B$5,A1571&lt;='Historia wózka'!$B$6),A1571+0.8+(5000-ROW())/10000000,0)</f>
        <v/>
      </c>
      <c r="J1571" s="63">
        <f>Ustawienia!$B$9&amp;""</f>
        <v/>
      </c>
      <c r="K1571" s="63">
        <f>IF(H1571="","",COUNTIFS('Zgłoszenia'!$B$5:$B$504,F1571,'Zgłoszenia'!$D$5:$D$504,"&gt;="&amp;A1571,'Zgłoszenia'!$D$5:$D$504,"&lt;="&amp;(A1571+1)))</f>
        <v/>
      </c>
      <c r="L1571" s="63">
        <f>IF(OR(H1571="",K1571=0),"—",IF(ISNUMBER(MATCH(H1571,'Zgłoszenia'!$S$5:$S$504,0)),RIGHT("0"&amp;DAY(A1571),2)&amp;"."&amp;RIGHT("0"&amp;MONTH(A1571),2)&amp;"."&amp;YEAR(A1571)&amp;": "&amp;INDEX('Zgłoszenia'!$H$5:$H$504,MATCH(H1571,'Zgłoszenia'!$S$5:$S$504,0)),RIGHT("0"&amp;DAY((A1571+1)),2)&amp;"."&amp;RIGHT("0"&amp;MONTH((A1571+1)),2)&amp;"."&amp;YEAR((A1571+1))&amp;": "&amp;INDEX('Zgłoszenia'!$H$5:$H$504,MATCH(F1571&amp;"|"&amp;(A1571+1),'Zgłoszenia'!$S$5:$S$504,0)))&amp;IF(K1571&gt;1," (+"&amp;(K1571-1)&amp;")",""))</f>
        <v/>
      </c>
      <c r="M1571" s="63" t="n">
        <v>20</v>
      </c>
      <c r="N1571" s="2" t="n"/>
      <c r="O1571" s="2" t="n"/>
    </row>
    <row r="1572">
      <c r="A1572" s="62">
        <f>IF('20'!$C$1="","",'20'!$C$1)</f>
        <v/>
      </c>
      <c r="B1572" s="63">
        <f>Ustawienia!$A$9&amp;""</f>
        <v/>
      </c>
      <c r="C1572" s="63">
        <f>Ustawienia!$A$14&amp;""</f>
        <v/>
      </c>
      <c r="D1572" s="63" t="n">
        <v>5</v>
      </c>
      <c r="E1572" s="63">
        <f>IF('20'!F10="","",TRIM('20'!F10&amp;""))</f>
        <v/>
      </c>
      <c r="F1572" s="63">
        <f>IF('20'!G10="","",'20'!G10)</f>
        <v/>
      </c>
      <c r="G1572" s="63">
        <f>'20'!H10&amp;""</f>
        <v/>
      </c>
      <c r="H1572" s="63">
        <f>IF(OR(A1572="",F1572=""),"",F1572&amp;"|"&amp;A1572)</f>
        <v/>
      </c>
      <c r="I1572" s="63">
        <f>IF(AND(H1572&lt;&gt;"",OR('Historia wózka'!$B$4="",F1572='Historia wózka'!$B$4),A1572&gt;='Historia wózka'!$B$5,A1572&lt;='Historia wózka'!$B$6),A1572+0.8+(5000-ROW())/10000000,0)</f>
        <v/>
      </c>
      <c r="J1572" s="63">
        <f>Ustawienia!$B$9&amp;""</f>
        <v/>
      </c>
      <c r="K1572" s="63">
        <f>IF(H1572="","",COUNTIFS('Zgłoszenia'!$B$5:$B$504,F1572,'Zgłoszenia'!$D$5:$D$504,"&gt;="&amp;A1572,'Zgłoszenia'!$D$5:$D$504,"&lt;="&amp;(A1572+1)))</f>
        <v/>
      </c>
      <c r="L1572" s="63">
        <f>IF(OR(H1572="",K1572=0),"—",IF(ISNUMBER(MATCH(H1572,'Zgłoszenia'!$S$5:$S$504,0)),RIGHT("0"&amp;DAY(A1572),2)&amp;"."&amp;RIGHT("0"&amp;MONTH(A1572),2)&amp;"."&amp;YEAR(A1572)&amp;": "&amp;INDEX('Zgłoszenia'!$H$5:$H$504,MATCH(H1572,'Zgłoszenia'!$S$5:$S$504,0)),RIGHT("0"&amp;DAY((A1572+1)),2)&amp;"."&amp;RIGHT("0"&amp;MONTH((A1572+1)),2)&amp;"."&amp;YEAR((A1572+1))&amp;": "&amp;INDEX('Zgłoszenia'!$H$5:$H$504,MATCH(F1572&amp;"|"&amp;(A1572+1),'Zgłoszenia'!$S$5:$S$504,0)))&amp;IF(K1572&gt;1," (+"&amp;(K1572-1)&amp;")",""))</f>
        <v/>
      </c>
      <c r="M1572" s="63" t="n">
        <v>20</v>
      </c>
      <c r="N1572" s="2" t="n"/>
      <c r="O1572" s="2" t="n"/>
    </row>
    <row r="1573">
      <c r="A1573" s="62">
        <f>IF('20'!$C$1="","",'20'!$C$1)</f>
        <v/>
      </c>
      <c r="B1573" s="63">
        <f>Ustawienia!$A$9&amp;""</f>
        <v/>
      </c>
      <c r="C1573" s="63">
        <f>Ustawienia!$A$14&amp;""</f>
        <v/>
      </c>
      <c r="D1573" s="63" t="n">
        <v>6</v>
      </c>
      <c r="E1573" s="63">
        <f>IF('20'!F11="","",TRIM('20'!F11&amp;""))</f>
        <v/>
      </c>
      <c r="F1573" s="63">
        <f>IF('20'!G11="","",'20'!G11)</f>
        <v/>
      </c>
      <c r="G1573" s="63">
        <f>'20'!H11&amp;""</f>
        <v/>
      </c>
      <c r="H1573" s="63">
        <f>IF(OR(A1573="",F1573=""),"",F1573&amp;"|"&amp;A1573)</f>
        <v/>
      </c>
      <c r="I1573" s="63">
        <f>IF(AND(H1573&lt;&gt;"",OR('Historia wózka'!$B$4="",F1573='Historia wózka'!$B$4),A1573&gt;='Historia wózka'!$B$5,A1573&lt;='Historia wózka'!$B$6),A1573+0.8+(5000-ROW())/10000000,0)</f>
        <v/>
      </c>
      <c r="J1573" s="63">
        <f>Ustawienia!$B$9&amp;""</f>
        <v/>
      </c>
      <c r="K1573" s="63">
        <f>IF(H1573="","",COUNTIFS('Zgłoszenia'!$B$5:$B$504,F1573,'Zgłoszenia'!$D$5:$D$504,"&gt;="&amp;A1573,'Zgłoszenia'!$D$5:$D$504,"&lt;="&amp;(A1573+1)))</f>
        <v/>
      </c>
      <c r="L1573" s="63">
        <f>IF(OR(H1573="",K1573=0),"—",IF(ISNUMBER(MATCH(H1573,'Zgłoszenia'!$S$5:$S$504,0)),RIGHT("0"&amp;DAY(A1573),2)&amp;"."&amp;RIGHT("0"&amp;MONTH(A1573),2)&amp;"."&amp;YEAR(A1573)&amp;": "&amp;INDEX('Zgłoszenia'!$H$5:$H$504,MATCH(H1573,'Zgłoszenia'!$S$5:$S$504,0)),RIGHT("0"&amp;DAY((A1573+1)),2)&amp;"."&amp;RIGHT("0"&amp;MONTH((A1573+1)),2)&amp;"."&amp;YEAR((A1573+1))&amp;": "&amp;INDEX('Zgłoszenia'!$H$5:$H$504,MATCH(F1573&amp;"|"&amp;(A1573+1),'Zgłoszenia'!$S$5:$S$504,0)))&amp;IF(K1573&gt;1," (+"&amp;(K1573-1)&amp;")",""))</f>
        <v/>
      </c>
      <c r="M1573" s="63" t="n">
        <v>20</v>
      </c>
      <c r="N1573" s="2" t="n"/>
      <c r="O1573" s="2" t="n"/>
    </row>
    <row r="1574">
      <c r="A1574" s="62">
        <f>IF('20'!$C$1="","",'20'!$C$1)</f>
        <v/>
      </c>
      <c r="B1574" s="63">
        <f>Ustawienia!$A$9&amp;""</f>
        <v/>
      </c>
      <c r="C1574" s="63">
        <f>Ustawienia!$A$15&amp;""</f>
        <v/>
      </c>
      <c r="D1574" s="63" t="n">
        <v>1</v>
      </c>
      <c r="E1574" s="63">
        <f>IF('20'!F13="","",TRIM('20'!F13&amp;""))</f>
        <v/>
      </c>
      <c r="F1574" s="63">
        <f>IF('20'!G13="","",'20'!G13)</f>
        <v/>
      </c>
      <c r="G1574" s="63">
        <f>'20'!H13&amp;""</f>
        <v/>
      </c>
      <c r="H1574" s="63">
        <f>IF(OR(A1574="",F1574=""),"",F1574&amp;"|"&amp;A1574)</f>
        <v/>
      </c>
      <c r="I1574" s="63">
        <f>IF(AND(H1574&lt;&gt;"",OR('Historia wózka'!$B$4="",F1574='Historia wózka'!$B$4),A1574&gt;='Historia wózka'!$B$5,A1574&lt;='Historia wózka'!$B$6),A1574+0.8+(5000-ROW())/10000000,0)</f>
        <v/>
      </c>
      <c r="J1574" s="63">
        <f>Ustawienia!$B$9&amp;""</f>
        <v/>
      </c>
      <c r="K1574" s="63">
        <f>IF(H1574="","",COUNTIFS('Zgłoszenia'!$B$5:$B$504,F1574,'Zgłoszenia'!$D$5:$D$504,"&gt;="&amp;A1574,'Zgłoszenia'!$D$5:$D$504,"&lt;="&amp;(A1574+1)))</f>
        <v/>
      </c>
      <c r="L1574" s="63">
        <f>IF(OR(H1574="",K1574=0),"—",IF(ISNUMBER(MATCH(H1574,'Zgłoszenia'!$S$5:$S$504,0)),RIGHT("0"&amp;DAY(A1574),2)&amp;"."&amp;RIGHT("0"&amp;MONTH(A1574),2)&amp;"."&amp;YEAR(A1574)&amp;": "&amp;INDEX('Zgłoszenia'!$H$5:$H$504,MATCH(H1574,'Zgłoszenia'!$S$5:$S$504,0)),RIGHT("0"&amp;DAY((A1574+1)),2)&amp;"."&amp;RIGHT("0"&amp;MONTH((A1574+1)),2)&amp;"."&amp;YEAR((A1574+1))&amp;": "&amp;INDEX('Zgłoszenia'!$H$5:$H$504,MATCH(F1574&amp;"|"&amp;(A1574+1),'Zgłoszenia'!$S$5:$S$504,0)))&amp;IF(K1574&gt;1," (+"&amp;(K1574-1)&amp;")",""))</f>
        <v/>
      </c>
      <c r="M1574" s="63" t="n">
        <v>20</v>
      </c>
      <c r="N1574" s="2" t="n"/>
      <c r="O1574" s="2" t="n"/>
    </row>
    <row r="1575">
      <c r="A1575" s="62">
        <f>IF('20'!$C$1="","",'20'!$C$1)</f>
        <v/>
      </c>
      <c r="B1575" s="63">
        <f>Ustawienia!$A$9&amp;""</f>
        <v/>
      </c>
      <c r="C1575" s="63">
        <f>Ustawienia!$A$15&amp;""</f>
        <v/>
      </c>
      <c r="D1575" s="63" t="n">
        <v>2</v>
      </c>
      <c r="E1575" s="63">
        <f>IF('20'!F14="","",TRIM('20'!F14&amp;""))</f>
        <v/>
      </c>
      <c r="F1575" s="63">
        <f>IF('20'!G14="","",'20'!G14)</f>
        <v/>
      </c>
      <c r="G1575" s="63">
        <f>'20'!H14&amp;""</f>
        <v/>
      </c>
      <c r="H1575" s="63">
        <f>IF(OR(A1575="",F1575=""),"",F1575&amp;"|"&amp;A1575)</f>
        <v/>
      </c>
      <c r="I1575" s="63">
        <f>IF(AND(H1575&lt;&gt;"",OR('Historia wózka'!$B$4="",F1575='Historia wózka'!$B$4),A1575&gt;='Historia wózka'!$B$5,A1575&lt;='Historia wózka'!$B$6),A1575+0.8+(5000-ROW())/10000000,0)</f>
        <v/>
      </c>
      <c r="J1575" s="63">
        <f>Ustawienia!$B$9&amp;""</f>
        <v/>
      </c>
      <c r="K1575" s="63">
        <f>IF(H1575="","",COUNTIFS('Zgłoszenia'!$B$5:$B$504,F1575,'Zgłoszenia'!$D$5:$D$504,"&gt;="&amp;A1575,'Zgłoszenia'!$D$5:$D$504,"&lt;="&amp;(A1575+1)))</f>
        <v/>
      </c>
      <c r="L1575" s="63">
        <f>IF(OR(H1575="",K1575=0),"—",IF(ISNUMBER(MATCH(H1575,'Zgłoszenia'!$S$5:$S$504,0)),RIGHT("0"&amp;DAY(A1575),2)&amp;"."&amp;RIGHT("0"&amp;MONTH(A1575),2)&amp;"."&amp;YEAR(A1575)&amp;": "&amp;INDEX('Zgłoszenia'!$H$5:$H$504,MATCH(H1575,'Zgłoszenia'!$S$5:$S$504,0)),RIGHT("0"&amp;DAY((A1575+1)),2)&amp;"."&amp;RIGHT("0"&amp;MONTH((A1575+1)),2)&amp;"."&amp;YEAR((A1575+1))&amp;": "&amp;INDEX('Zgłoszenia'!$H$5:$H$504,MATCH(F1575&amp;"|"&amp;(A1575+1),'Zgłoszenia'!$S$5:$S$504,0)))&amp;IF(K1575&gt;1," (+"&amp;(K1575-1)&amp;")",""))</f>
        <v/>
      </c>
      <c r="M1575" s="63" t="n">
        <v>20</v>
      </c>
      <c r="N1575" s="2" t="n"/>
      <c r="O1575" s="2" t="n"/>
    </row>
    <row r="1576">
      <c r="A1576" s="62">
        <f>IF('20'!$C$1="","",'20'!$C$1)</f>
        <v/>
      </c>
      <c r="B1576" s="63">
        <f>Ustawienia!$A$9&amp;""</f>
        <v/>
      </c>
      <c r="C1576" s="63">
        <f>Ustawienia!$A$15&amp;""</f>
        <v/>
      </c>
      <c r="D1576" s="63" t="n">
        <v>3</v>
      </c>
      <c r="E1576" s="63">
        <f>IF('20'!F15="","",TRIM('20'!F15&amp;""))</f>
        <v/>
      </c>
      <c r="F1576" s="63">
        <f>IF('20'!G15="","",'20'!G15)</f>
        <v/>
      </c>
      <c r="G1576" s="63">
        <f>'20'!H15&amp;""</f>
        <v/>
      </c>
      <c r="H1576" s="63">
        <f>IF(OR(A1576="",F1576=""),"",F1576&amp;"|"&amp;A1576)</f>
        <v/>
      </c>
      <c r="I1576" s="63">
        <f>IF(AND(H1576&lt;&gt;"",OR('Historia wózka'!$B$4="",F1576='Historia wózka'!$B$4),A1576&gt;='Historia wózka'!$B$5,A1576&lt;='Historia wózka'!$B$6),A1576+0.8+(5000-ROW())/10000000,0)</f>
        <v/>
      </c>
      <c r="J1576" s="63">
        <f>Ustawienia!$B$9&amp;""</f>
        <v/>
      </c>
      <c r="K1576" s="63">
        <f>IF(H1576="","",COUNTIFS('Zgłoszenia'!$B$5:$B$504,F1576,'Zgłoszenia'!$D$5:$D$504,"&gt;="&amp;A1576,'Zgłoszenia'!$D$5:$D$504,"&lt;="&amp;(A1576+1)))</f>
        <v/>
      </c>
      <c r="L1576" s="63">
        <f>IF(OR(H1576="",K1576=0),"—",IF(ISNUMBER(MATCH(H1576,'Zgłoszenia'!$S$5:$S$504,0)),RIGHT("0"&amp;DAY(A1576),2)&amp;"."&amp;RIGHT("0"&amp;MONTH(A1576),2)&amp;"."&amp;YEAR(A1576)&amp;": "&amp;INDEX('Zgłoszenia'!$H$5:$H$504,MATCH(H1576,'Zgłoszenia'!$S$5:$S$504,0)),RIGHT("0"&amp;DAY((A1576+1)),2)&amp;"."&amp;RIGHT("0"&amp;MONTH((A1576+1)),2)&amp;"."&amp;YEAR((A1576+1))&amp;": "&amp;INDEX('Zgłoszenia'!$H$5:$H$504,MATCH(F1576&amp;"|"&amp;(A1576+1),'Zgłoszenia'!$S$5:$S$504,0)))&amp;IF(K1576&gt;1," (+"&amp;(K1576-1)&amp;")",""))</f>
        <v/>
      </c>
      <c r="M1576" s="63" t="n">
        <v>20</v>
      </c>
      <c r="N1576" s="2" t="n"/>
      <c r="O1576" s="2" t="n"/>
    </row>
    <row r="1577">
      <c r="A1577" s="62">
        <f>IF('20'!$C$1="","",'20'!$C$1)</f>
        <v/>
      </c>
      <c r="B1577" s="63">
        <f>Ustawienia!$A$9&amp;""</f>
        <v/>
      </c>
      <c r="C1577" s="63">
        <f>Ustawienia!$A$15&amp;""</f>
        <v/>
      </c>
      <c r="D1577" s="63" t="n">
        <v>4</v>
      </c>
      <c r="E1577" s="63">
        <f>IF('20'!F16="","",TRIM('20'!F16&amp;""))</f>
        <v/>
      </c>
      <c r="F1577" s="63">
        <f>IF('20'!G16="","",'20'!G16)</f>
        <v/>
      </c>
      <c r="G1577" s="63">
        <f>'20'!H16&amp;""</f>
        <v/>
      </c>
      <c r="H1577" s="63">
        <f>IF(OR(A1577="",F1577=""),"",F1577&amp;"|"&amp;A1577)</f>
        <v/>
      </c>
      <c r="I1577" s="63">
        <f>IF(AND(H1577&lt;&gt;"",OR('Historia wózka'!$B$4="",F1577='Historia wózka'!$B$4),A1577&gt;='Historia wózka'!$B$5,A1577&lt;='Historia wózka'!$B$6),A1577+0.8+(5000-ROW())/10000000,0)</f>
        <v/>
      </c>
      <c r="J1577" s="63">
        <f>Ustawienia!$B$9&amp;""</f>
        <v/>
      </c>
      <c r="K1577" s="63">
        <f>IF(H1577="","",COUNTIFS('Zgłoszenia'!$B$5:$B$504,F1577,'Zgłoszenia'!$D$5:$D$504,"&gt;="&amp;A1577,'Zgłoszenia'!$D$5:$D$504,"&lt;="&amp;(A1577+1)))</f>
        <v/>
      </c>
      <c r="L1577" s="63">
        <f>IF(OR(H1577="",K1577=0),"—",IF(ISNUMBER(MATCH(H1577,'Zgłoszenia'!$S$5:$S$504,0)),RIGHT("0"&amp;DAY(A1577),2)&amp;"."&amp;RIGHT("0"&amp;MONTH(A1577),2)&amp;"."&amp;YEAR(A1577)&amp;": "&amp;INDEX('Zgłoszenia'!$H$5:$H$504,MATCH(H1577,'Zgłoszenia'!$S$5:$S$504,0)),RIGHT("0"&amp;DAY((A1577+1)),2)&amp;"."&amp;RIGHT("0"&amp;MONTH((A1577+1)),2)&amp;"."&amp;YEAR((A1577+1))&amp;": "&amp;INDEX('Zgłoszenia'!$H$5:$H$504,MATCH(F1577&amp;"|"&amp;(A1577+1),'Zgłoszenia'!$S$5:$S$504,0)))&amp;IF(K1577&gt;1," (+"&amp;(K1577-1)&amp;")",""))</f>
        <v/>
      </c>
      <c r="M1577" s="63" t="n">
        <v>20</v>
      </c>
      <c r="N1577" s="2" t="n"/>
      <c r="O1577" s="2" t="n"/>
    </row>
    <row r="1578">
      <c r="A1578" s="62">
        <f>IF('20'!$C$1="","",'20'!$C$1)</f>
        <v/>
      </c>
      <c r="B1578" s="63">
        <f>Ustawienia!$A$9&amp;""</f>
        <v/>
      </c>
      <c r="C1578" s="63">
        <f>Ustawienia!$A$15&amp;""</f>
        <v/>
      </c>
      <c r="D1578" s="63" t="n">
        <v>5</v>
      </c>
      <c r="E1578" s="63">
        <f>IF('20'!F17="","",TRIM('20'!F17&amp;""))</f>
        <v/>
      </c>
      <c r="F1578" s="63">
        <f>IF('20'!G17="","",'20'!G17)</f>
        <v/>
      </c>
      <c r="G1578" s="63">
        <f>'20'!H17&amp;""</f>
        <v/>
      </c>
      <c r="H1578" s="63">
        <f>IF(OR(A1578="",F1578=""),"",F1578&amp;"|"&amp;A1578)</f>
        <v/>
      </c>
      <c r="I1578" s="63">
        <f>IF(AND(H1578&lt;&gt;"",OR('Historia wózka'!$B$4="",F1578='Historia wózka'!$B$4),A1578&gt;='Historia wózka'!$B$5,A1578&lt;='Historia wózka'!$B$6),A1578+0.8+(5000-ROW())/10000000,0)</f>
        <v/>
      </c>
      <c r="J1578" s="63">
        <f>Ustawienia!$B$9&amp;""</f>
        <v/>
      </c>
      <c r="K1578" s="63">
        <f>IF(H1578="","",COUNTIFS('Zgłoszenia'!$B$5:$B$504,F1578,'Zgłoszenia'!$D$5:$D$504,"&gt;="&amp;A1578,'Zgłoszenia'!$D$5:$D$504,"&lt;="&amp;(A1578+1)))</f>
        <v/>
      </c>
      <c r="L1578" s="63">
        <f>IF(OR(H1578="",K1578=0),"—",IF(ISNUMBER(MATCH(H1578,'Zgłoszenia'!$S$5:$S$504,0)),RIGHT("0"&amp;DAY(A1578),2)&amp;"."&amp;RIGHT("0"&amp;MONTH(A1578),2)&amp;"."&amp;YEAR(A1578)&amp;": "&amp;INDEX('Zgłoszenia'!$H$5:$H$504,MATCH(H1578,'Zgłoszenia'!$S$5:$S$504,0)),RIGHT("0"&amp;DAY((A1578+1)),2)&amp;"."&amp;RIGHT("0"&amp;MONTH((A1578+1)),2)&amp;"."&amp;YEAR((A1578+1))&amp;": "&amp;INDEX('Zgłoszenia'!$H$5:$H$504,MATCH(F1578&amp;"|"&amp;(A1578+1),'Zgłoszenia'!$S$5:$S$504,0)))&amp;IF(K1578&gt;1," (+"&amp;(K1578-1)&amp;")",""))</f>
        <v/>
      </c>
      <c r="M1578" s="63" t="n">
        <v>20</v>
      </c>
      <c r="N1578" s="2" t="n"/>
      <c r="O1578" s="2" t="n"/>
    </row>
    <row r="1579">
      <c r="A1579" s="62">
        <f>IF('20'!$C$1="","",'20'!$C$1)</f>
        <v/>
      </c>
      <c r="B1579" s="63">
        <f>Ustawienia!$A$9&amp;""</f>
        <v/>
      </c>
      <c r="C1579" s="63">
        <f>Ustawienia!$A$15&amp;""</f>
        <v/>
      </c>
      <c r="D1579" s="63" t="n">
        <v>6</v>
      </c>
      <c r="E1579" s="63">
        <f>IF('20'!F18="","",TRIM('20'!F18&amp;""))</f>
        <v/>
      </c>
      <c r="F1579" s="63">
        <f>IF('20'!G18="","",'20'!G18)</f>
        <v/>
      </c>
      <c r="G1579" s="63">
        <f>'20'!H18&amp;""</f>
        <v/>
      </c>
      <c r="H1579" s="63">
        <f>IF(OR(A1579="",F1579=""),"",F1579&amp;"|"&amp;A1579)</f>
        <v/>
      </c>
      <c r="I1579" s="63">
        <f>IF(AND(H1579&lt;&gt;"",OR('Historia wózka'!$B$4="",F1579='Historia wózka'!$B$4),A1579&gt;='Historia wózka'!$B$5,A1579&lt;='Historia wózka'!$B$6),A1579+0.8+(5000-ROW())/10000000,0)</f>
        <v/>
      </c>
      <c r="J1579" s="63">
        <f>Ustawienia!$B$9&amp;""</f>
        <v/>
      </c>
      <c r="K1579" s="63">
        <f>IF(H1579="","",COUNTIFS('Zgłoszenia'!$B$5:$B$504,F1579,'Zgłoszenia'!$D$5:$D$504,"&gt;="&amp;A1579,'Zgłoszenia'!$D$5:$D$504,"&lt;="&amp;(A1579+1)))</f>
        <v/>
      </c>
      <c r="L1579" s="63">
        <f>IF(OR(H1579="",K1579=0),"—",IF(ISNUMBER(MATCH(H1579,'Zgłoszenia'!$S$5:$S$504,0)),RIGHT("0"&amp;DAY(A1579),2)&amp;"."&amp;RIGHT("0"&amp;MONTH(A1579),2)&amp;"."&amp;YEAR(A1579)&amp;": "&amp;INDEX('Zgłoszenia'!$H$5:$H$504,MATCH(H1579,'Zgłoszenia'!$S$5:$S$504,0)),RIGHT("0"&amp;DAY((A1579+1)),2)&amp;"."&amp;RIGHT("0"&amp;MONTH((A1579+1)),2)&amp;"."&amp;YEAR((A1579+1))&amp;": "&amp;INDEX('Zgłoszenia'!$H$5:$H$504,MATCH(F1579&amp;"|"&amp;(A1579+1),'Zgłoszenia'!$S$5:$S$504,0)))&amp;IF(K1579&gt;1," (+"&amp;(K1579-1)&amp;")",""))</f>
        <v/>
      </c>
      <c r="M1579" s="63" t="n">
        <v>20</v>
      </c>
      <c r="N1579" s="2" t="n"/>
      <c r="O1579" s="2" t="n"/>
    </row>
    <row r="1580">
      <c r="A1580" s="62">
        <f>IF('20'!$C$1="","",'20'!$C$1)</f>
        <v/>
      </c>
      <c r="B1580" s="63">
        <f>Ustawienia!$A$9&amp;""</f>
        <v/>
      </c>
      <c r="C1580" s="63">
        <f>Ustawienia!$A$15&amp;""</f>
        <v/>
      </c>
      <c r="D1580" s="63" t="n">
        <v>7</v>
      </c>
      <c r="E1580" s="63">
        <f>IF('20'!F19="","",TRIM('20'!F19&amp;""))</f>
        <v/>
      </c>
      <c r="F1580" s="63">
        <f>IF('20'!G19="","",'20'!G19)</f>
        <v/>
      </c>
      <c r="G1580" s="63">
        <f>'20'!H19&amp;""</f>
        <v/>
      </c>
      <c r="H1580" s="63">
        <f>IF(OR(A1580="",F1580=""),"",F1580&amp;"|"&amp;A1580)</f>
        <v/>
      </c>
      <c r="I1580" s="63">
        <f>IF(AND(H1580&lt;&gt;"",OR('Historia wózka'!$B$4="",F1580='Historia wózka'!$B$4),A1580&gt;='Historia wózka'!$B$5,A1580&lt;='Historia wózka'!$B$6),A1580+0.8+(5000-ROW())/10000000,0)</f>
        <v/>
      </c>
      <c r="J1580" s="63">
        <f>Ustawienia!$B$9&amp;""</f>
        <v/>
      </c>
      <c r="K1580" s="63">
        <f>IF(H1580="","",COUNTIFS('Zgłoszenia'!$B$5:$B$504,F1580,'Zgłoszenia'!$D$5:$D$504,"&gt;="&amp;A1580,'Zgłoszenia'!$D$5:$D$504,"&lt;="&amp;(A1580+1)))</f>
        <v/>
      </c>
      <c r="L1580" s="63">
        <f>IF(OR(H1580="",K1580=0),"—",IF(ISNUMBER(MATCH(H1580,'Zgłoszenia'!$S$5:$S$504,0)),RIGHT("0"&amp;DAY(A1580),2)&amp;"."&amp;RIGHT("0"&amp;MONTH(A1580),2)&amp;"."&amp;YEAR(A1580)&amp;": "&amp;INDEX('Zgłoszenia'!$H$5:$H$504,MATCH(H1580,'Zgłoszenia'!$S$5:$S$504,0)),RIGHT("0"&amp;DAY((A1580+1)),2)&amp;"."&amp;RIGHT("0"&amp;MONTH((A1580+1)),2)&amp;"."&amp;YEAR((A1580+1))&amp;": "&amp;INDEX('Zgłoszenia'!$H$5:$H$504,MATCH(F1580&amp;"|"&amp;(A1580+1),'Zgłoszenia'!$S$5:$S$504,0)))&amp;IF(K1580&gt;1," (+"&amp;(K1580-1)&amp;")",""))</f>
        <v/>
      </c>
      <c r="M1580" s="63" t="n">
        <v>20</v>
      </c>
      <c r="N1580" s="2" t="n"/>
      <c r="O1580" s="2" t="n"/>
    </row>
    <row r="1581">
      <c r="A1581" s="62">
        <f>IF('20'!$C$1="","",'20'!$C$1)</f>
        <v/>
      </c>
      <c r="B1581" s="63">
        <f>Ustawienia!$A$9&amp;""</f>
        <v/>
      </c>
      <c r="C1581" s="63">
        <f>Ustawienia!$A$15&amp;""</f>
        <v/>
      </c>
      <c r="D1581" s="63" t="n">
        <v>8</v>
      </c>
      <c r="E1581" s="63">
        <f>IF('20'!F20="","",TRIM('20'!F20&amp;""))</f>
        <v/>
      </c>
      <c r="F1581" s="63">
        <f>IF('20'!G20="","",'20'!G20)</f>
        <v/>
      </c>
      <c r="G1581" s="63">
        <f>'20'!H20&amp;""</f>
        <v/>
      </c>
      <c r="H1581" s="63">
        <f>IF(OR(A1581="",F1581=""),"",F1581&amp;"|"&amp;A1581)</f>
        <v/>
      </c>
      <c r="I1581" s="63">
        <f>IF(AND(H1581&lt;&gt;"",OR('Historia wózka'!$B$4="",F1581='Historia wózka'!$B$4),A1581&gt;='Historia wózka'!$B$5,A1581&lt;='Historia wózka'!$B$6),A1581+0.8+(5000-ROW())/10000000,0)</f>
        <v/>
      </c>
      <c r="J1581" s="63">
        <f>Ustawienia!$B$9&amp;""</f>
        <v/>
      </c>
      <c r="K1581" s="63">
        <f>IF(H1581="","",COUNTIFS('Zgłoszenia'!$B$5:$B$504,F1581,'Zgłoszenia'!$D$5:$D$504,"&gt;="&amp;A1581,'Zgłoszenia'!$D$5:$D$504,"&lt;="&amp;(A1581+1)))</f>
        <v/>
      </c>
      <c r="L1581" s="63">
        <f>IF(OR(H1581="",K1581=0),"—",IF(ISNUMBER(MATCH(H1581,'Zgłoszenia'!$S$5:$S$504,0)),RIGHT("0"&amp;DAY(A1581),2)&amp;"."&amp;RIGHT("0"&amp;MONTH(A1581),2)&amp;"."&amp;YEAR(A1581)&amp;": "&amp;INDEX('Zgłoszenia'!$H$5:$H$504,MATCH(H1581,'Zgłoszenia'!$S$5:$S$504,0)),RIGHT("0"&amp;DAY((A1581+1)),2)&amp;"."&amp;RIGHT("0"&amp;MONTH((A1581+1)),2)&amp;"."&amp;YEAR((A1581+1))&amp;": "&amp;INDEX('Zgłoszenia'!$H$5:$H$504,MATCH(F1581&amp;"|"&amp;(A1581+1),'Zgłoszenia'!$S$5:$S$504,0)))&amp;IF(K1581&gt;1," (+"&amp;(K1581-1)&amp;")",""))</f>
        <v/>
      </c>
      <c r="M1581" s="63" t="n">
        <v>20</v>
      </c>
      <c r="N1581" s="2" t="n"/>
      <c r="O1581" s="2" t="n"/>
    </row>
    <row r="1582">
      <c r="A1582" s="62">
        <f>IF('20'!$C$1="","",'20'!$C$1)</f>
        <v/>
      </c>
      <c r="B1582" s="63">
        <f>Ustawienia!$A$9&amp;""</f>
        <v/>
      </c>
      <c r="C1582" s="63">
        <f>Ustawienia!$A$16&amp;""</f>
        <v/>
      </c>
      <c r="D1582" s="63" t="n">
        <v>1</v>
      </c>
      <c r="E1582" s="63">
        <f>IF('20'!F22="","",TRIM('20'!F22&amp;""))</f>
        <v/>
      </c>
      <c r="F1582" s="63">
        <f>IF('20'!G22="","",'20'!G22)</f>
        <v/>
      </c>
      <c r="G1582" s="63">
        <f>'20'!H22&amp;""</f>
        <v/>
      </c>
      <c r="H1582" s="63">
        <f>IF(OR(A1582="",F1582=""),"",F1582&amp;"|"&amp;A1582)</f>
        <v/>
      </c>
      <c r="I1582" s="63">
        <f>IF(AND(H1582&lt;&gt;"",OR('Historia wózka'!$B$4="",F1582='Historia wózka'!$B$4),A1582&gt;='Historia wózka'!$B$5,A1582&lt;='Historia wózka'!$B$6),A1582+0.8+(5000-ROW())/10000000,0)</f>
        <v/>
      </c>
      <c r="J1582" s="63">
        <f>Ustawienia!$B$9&amp;""</f>
        <v/>
      </c>
      <c r="K1582" s="63">
        <f>IF(H1582="","",COUNTIFS('Zgłoszenia'!$B$5:$B$504,F1582,'Zgłoszenia'!$D$5:$D$504,"&gt;="&amp;A1582,'Zgłoszenia'!$D$5:$D$504,"&lt;="&amp;(A1582+1)))</f>
        <v/>
      </c>
      <c r="L1582" s="63">
        <f>IF(OR(H1582="",K1582=0),"—",IF(ISNUMBER(MATCH(H1582,'Zgłoszenia'!$S$5:$S$504,0)),RIGHT("0"&amp;DAY(A1582),2)&amp;"."&amp;RIGHT("0"&amp;MONTH(A1582),2)&amp;"."&amp;YEAR(A1582)&amp;": "&amp;INDEX('Zgłoszenia'!$H$5:$H$504,MATCH(H1582,'Zgłoszenia'!$S$5:$S$504,0)),RIGHT("0"&amp;DAY((A1582+1)),2)&amp;"."&amp;RIGHT("0"&amp;MONTH((A1582+1)),2)&amp;"."&amp;YEAR((A1582+1))&amp;": "&amp;INDEX('Zgłoszenia'!$H$5:$H$504,MATCH(F1582&amp;"|"&amp;(A1582+1),'Zgłoszenia'!$S$5:$S$504,0)))&amp;IF(K1582&gt;1," (+"&amp;(K1582-1)&amp;")",""))</f>
        <v/>
      </c>
      <c r="M1582" s="63" t="n">
        <v>20</v>
      </c>
      <c r="N1582" s="2" t="n"/>
      <c r="O1582" s="2" t="n"/>
    </row>
    <row r="1583">
      <c r="A1583" s="62">
        <f>IF('20'!$C$1="","",'20'!$C$1)</f>
        <v/>
      </c>
      <c r="B1583" s="63">
        <f>Ustawienia!$A$9&amp;""</f>
        <v/>
      </c>
      <c r="C1583" s="63">
        <f>Ustawienia!$A$16&amp;""</f>
        <v/>
      </c>
      <c r="D1583" s="63" t="n">
        <v>2</v>
      </c>
      <c r="E1583" s="63">
        <f>IF('20'!F23="","",TRIM('20'!F23&amp;""))</f>
        <v/>
      </c>
      <c r="F1583" s="63">
        <f>IF('20'!G23="","",'20'!G23)</f>
        <v/>
      </c>
      <c r="G1583" s="63">
        <f>'20'!H23&amp;""</f>
        <v/>
      </c>
      <c r="H1583" s="63">
        <f>IF(OR(A1583="",F1583=""),"",F1583&amp;"|"&amp;A1583)</f>
        <v/>
      </c>
      <c r="I1583" s="63">
        <f>IF(AND(H1583&lt;&gt;"",OR('Historia wózka'!$B$4="",F1583='Historia wózka'!$B$4),A1583&gt;='Historia wózka'!$B$5,A1583&lt;='Historia wózka'!$B$6),A1583+0.8+(5000-ROW())/10000000,0)</f>
        <v/>
      </c>
      <c r="J1583" s="63">
        <f>Ustawienia!$B$9&amp;""</f>
        <v/>
      </c>
      <c r="K1583" s="63">
        <f>IF(H1583="","",COUNTIFS('Zgłoszenia'!$B$5:$B$504,F1583,'Zgłoszenia'!$D$5:$D$504,"&gt;="&amp;A1583,'Zgłoszenia'!$D$5:$D$504,"&lt;="&amp;(A1583+1)))</f>
        <v/>
      </c>
      <c r="L1583" s="63">
        <f>IF(OR(H1583="",K1583=0),"—",IF(ISNUMBER(MATCH(H1583,'Zgłoszenia'!$S$5:$S$504,0)),RIGHT("0"&amp;DAY(A1583),2)&amp;"."&amp;RIGHT("0"&amp;MONTH(A1583),2)&amp;"."&amp;YEAR(A1583)&amp;": "&amp;INDEX('Zgłoszenia'!$H$5:$H$504,MATCH(H1583,'Zgłoszenia'!$S$5:$S$504,0)),RIGHT("0"&amp;DAY((A1583+1)),2)&amp;"."&amp;RIGHT("0"&amp;MONTH((A1583+1)),2)&amp;"."&amp;YEAR((A1583+1))&amp;": "&amp;INDEX('Zgłoszenia'!$H$5:$H$504,MATCH(F1583&amp;"|"&amp;(A1583+1),'Zgłoszenia'!$S$5:$S$504,0)))&amp;IF(K1583&gt;1," (+"&amp;(K1583-1)&amp;")",""))</f>
        <v/>
      </c>
      <c r="M1583" s="63" t="n">
        <v>20</v>
      </c>
      <c r="N1583" s="2" t="n"/>
      <c r="O1583" s="2" t="n"/>
    </row>
    <row r="1584">
      <c r="A1584" s="62">
        <f>IF('20'!$C$1="","",'20'!$C$1)</f>
        <v/>
      </c>
      <c r="B1584" s="63">
        <f>Ustawienia!$A$9&amp;""</f>
        <v/>
      </c>
      <c r="C1584" s="63">
        <f>Ustawienia!$A$16&amp;""</f>
        <v/>
      </c>
      <c r="D1584" s="63" t="n">
        <v>3</v>
      </c>
      <c r="E1584" s="63">
        <f>IF('20'!F24="","",TRIM('20'!F24&amp;""))</f>
        <v/>
      </c>
      <c r="F1584" s="63">
        <f>IF('20'!G24="","",'20'!G24)</f>
        <v/>
      </c>
      <c r="G1584" s="63">
        <f>'20'!H24&amp;""</f>
        <v/>
      </c>
      <c r="H1584" s="63">
        <f>IF(OR(A1584="",F1584=""),"",F1584&amp;"|"&amp;A1584)</f>
        <v/>
      </c>
      <c r="I1584" s="63">
        <f>IF(AND(H1584&lt;&gt;"",OR('Historia wózka'!$B$4="",F1584='Historia wózka'!$B$4),A1584&gt;='Historia wózka'!$B$5,A1584&lt;='Historia wózka'!$B$6),A1584+0.8+(5000-ROW())/10000000,0)</f>
        <v/>
      </c>
      <c r="J1584" s="63">
        <f>Ustawienia!$B$9&amp;""</f>
        <v/>
      </c>
      <c r="K1584" s="63">
        <f>IF(H1584="","",COUNTIFS('Zgłoszenia'!$B$5:$B$504,F1584,'Zgłoszenia'!$D$5:$D$504,"&gt;="&amp;A1584,'Zgłoszenia'!$D$5:$D$504,"&lt;="&amp;(A1584+1)))</f>
        <v/>
      </c>
      <c r="L1584" s="63">
        <f>IF(OR(H1584="",K1584=0),"—",IF(ISNUMBER(MATCH(H1584,'Zgłoszenia'!$S$5:$S$504,0)),RIGHT("0"&amp;DAY(A1584),2)&amp;"."&amp;RIGHT("0"&amp;MONTH(A1584),2)&amp;"."&amp;YEAR(A1584)&amp;": "&amp;INDEX('Zgłoszenia'!$H$5:$H$504,MATCH(H1584,'Zgłoszenia'!$S$5:$S$504,0)),RIGHT("0"&amp;DAY((A1584+1)),2)&amp;"."&amp;RIGHT("0"&amp;MONTH((A1584+1)),2)&amp;"."&amp;YEAR((A1584+1))&amp;": "&amp;INDEX('Zgłoszenia'!$H$5:$H$504,MATCH(F1584&amp;"|"&amp;(A1584+1),'Zgłoszenia'!$S$5:$S$504,0)))&amp;IF(K1584&gt;1," (+"&amp;(K1584-1)&amp;")",""))</f>
        <v/>
      </c>
      <c r="M1584" s="63" t="n">
        <v>20</v>
      </c>
      <c r="N1584" s="2" t="n"/>
      <c r="O1584" s="2" t="n"/>
    </row>
    <row r="1585">
      <c r="A1585" s="62">
        <f>IF('20'!$C$1="","",'20'!$C$1)</f>
        <v/>
      </c>
      <c r="B1585" s="63">
        <f>Ustawienia!$A$9&amp;""</f>
        <v/>
      </c>
      <c r="C1585" s="63">
        <f>Ustawienia!$A$16&amp;""</f>
        <v/>
      </c>
      <c r="D1585" s="63" t="n">
        <v>4</v>
      </c>
      <c r="E1585" s="63">
        <f>IF('20'!F25="","",TRIM('20'!F25&amp;""))</f>
        <v/>
      </c>
      <c r="F1585" s="63">
        <f>IF('20'!G25="","",'20'!G25)</f>
        <v/>
      </c>
      <c r="G1585" s="63">
        <f>'20'!H25&amp;""</f>
        <v/>
      </c>
      <c r="H1585" s="63">
        <f>IF(OR(A1585="",F1585=""),"",F1585&amp;"|"&amp;A1585)</f>
        <v/>
      </c>
      <c r="I1585" s="63">
        <f>IF(AND(H1585&lt;&gt;"",OR('Historia wózka'!$B$4="",F1585='Historia wózka'!$B$4),A1585&gt;='Historia wózka'!$B$5,A1585&lt;='Historia wózka'!$B$6),A1585+0.8+(5000-ROW())/10000000,0)</f>
        <v/>
      </c>
      <c r="J1585" s="63">
        <f>Ustawienia!$B$9&amp;""</f>
        <v/>
      </c>
      <c r="K1585" s="63">
        <f>IF(H1585="","",COUNTIFS('Zgłoszenia'!$B$5:$B$504,F1585,'Zgłoszenia'!$D$5:$D$504,"&gt;="&amp;A1585,'Zgłoszenia'!$D$5:$D$504,"&lt;="&amp;(A1585+1)))</f>
        <v/>
      </c>
      <c r="L1585" s="63">
        <f>IF(OR(H1585="",K1585=0),"—",IF(ISNUMBER(MATCH(H1585,'Zgłoszenia'!$S$5:$S$504,0)),RIGHT("0"&amp;DAY(A1585),2)&amp;"."&amp;RIGHT("0"&amp;MONTH(A1585),2)&amp;"."&amp;YEAR(A1585)&amp;": "&amp;INDEX('Zgłoszenia'!$H$5:$H$504,MATCH(H1585,'Zgłoszenia'!$S$5:$S$504,0)),RIGHT("0"&amp;DAY((A1585+1)),2)&amp;"."&amp;RIGHT("0"&amp;MONTH((A1585+1)),2)&amp;"."&amp;YEAR((A1585+1))&amp;": "&amp;INDEX('Zgłoszenia'!$H$5:$H$504,MATCH(F1585&amp;"|"&amp;(A1585+1),'Zgłoszenia'!$S$5:$S$504,0)))&amp;IF(K1585&gt;1," (+"&amp;(K1585-1)&amp;")",""))</f>
        <v/>
      </c>
      <c r="M1585" s="63" t="n">
        <v>20</v>
      </c>
      <c r="N1585" s="2" t="n"/>
      <c r="O1585" s="2" t="n"/>
    </row>
    <row r="1586">
      <c r="A1586" s="62">
        <f>IF('20'!$C$1="","",'20'!$C$1)</f>
        <v/>
      </c>
      <c r="B1586" s="63">
        <f>Ustawienia!$A$9&amp;""</f>
        <v/>
      </c>
      <c r="C1586" s="63">
        <f>Ustawienia!$A$17&amp;""</f>
        <v/>
      </c>
      <c r="D1586" s="63" t="n">
        <v>1</v>
      </c>
      <c r="E1586" s="63">
        <f>IF('20'!F27="","",TRIM('20'!F27&amp;""))</f>
        <v/>
      </c>
      <c r="F1586" s="63">
        <f>IF('20'!G27="","",'20'!G27)</f>
        <v/>
      </c>
      <c r="G1586" s="63">
        <f>'20'!H27&amp;""</f>
        <v/>
      </c>
      <c r="H1586" s="63">
        <f>IF(OR(A1586="",F1586=""),"",F1586&amp;"|"&amp;A1586)</f>
        <v/>
      </c>
      <c r="I1586" s="63">
        <f>IF(AND(H1586&lt;&gt;"",OR('Historia wózka'!$B$4="",F1586='Historia wózka'!$B$4),A1586&gt;='Historia wózka'!$B$5,A1586&lt;='Historia wózka'!$B$6),A1586+0.8+(5000-ROW())/10000000,0)</f>
        <v/>
      </c>
      <c r="J1586" s="63">
        <f>Ustawienia!$B$9&amp;""</f>
        <v/>
      </c>
      <c r="K1586" s="63">
        <f>IF(H1586="","",COUNTIFS('Zgłoszenia'!$B$5:$B$504,F1586,'Zgłoszenia'!$D$5:$D$504,"&gt;="&amp;A1586,'Zgłoszenia'!$D$5:$D$504,"&lt;="&amp;(A1586+1)))</f>
        <v/>
      </c>
      <c r="L1586" s="63">
        <f>IF(OR(H1586="",K1586=0),"—",IF(ISNUMBER(MATCH(H1586,'Zgłoszenia'!$S$5:$S$504,0)),RIGHT("0"&amp;DAY(A1586),2)&amp;"."&amp;RIGHT("0"&amp;MONTH(A1586),2)&amp;"."&amp;YEAR(A1586)&amp;": "&amp;INDEX('Zgłoszenia'!$H$5:$H$504,MATCH(H1586,'Zgłoszenia'!$S$5:$S$504,0)),RIGHT("0"&amp;DAY((A1586+1)),2)&amp;"."&amp;RIGHT("0"&amp;MONTH((A1586+1)),2)&amp;"."&amp;YEAR((A1586+1))&amp;": "&amp;INDEX('Zgłoszenia'!$H$5:$H$504,MATCH(F1586&amp;"|"&amp;(A1586+1),'Zgłoszenia'!$S$5:$S$504,0)))&amp;IF(K1586&gt;1," (+"&amp;(K1586-1)&amp;")",""))</f>
        <v/>
      </c>
      <c r="M1586" s="63" t="n">
        <v>20</v>
      </c>
      <c r="N1586" s="2" t="n"/>
      <c r="O1586" s="2" t="n"/>
    </row>
    <row r="1587">
      <c r="A1587" s="62">
        <f>IF('20'!$C$1="","",'20'!$C$1)</f>
        <v/>
      </c>
      <c r="B1587" s="63">
        <f>Ustawienia!$A$9&amp;""</f>
        <v/>
      </c>
      <c r="C1587" s="63">
        <f>Ustawienia!$A$17&amp;""</f>
        <v/>
      </c>
      <c r="D1587" s="63" t="n">
        <v>2</v>
      </c>
      <c r="E1587" s="63">
        <f>IF('20'!F28="","",TRIM('20'!F28&amp;""))</f>
        <v/>
      </c>
      <c r="F1587" s="63">
        <f>IF('20'!G28="","",'20'!G28)</f>
        <v/>
      </c>
      <c r="G1587" s="63">
        <f>'20'!H28&amp;""</f>
        <v/>
      </c>
      <c r="H1587" s="63">
        <f>IF(OR(A1587="",F1587=""),"",F1587&amp;"|"&amp;A1587)</f>
        <v/>
      </c>
      <c r="I1587" s="63">
        <f>IF(AND(H1587&lt;&gt;"",OR('Historia wózka'!$B$4="",F1587='Historia wózka'!$B$4),A1587&gt;='Historia wózka'!$B$5,A1587&lt;='Historia wózka'!$B$6),A1587+0.8+(5000-ROW())/10000000,0)</f>
        <v/>
      </c>
      <c r="J1587" s="63">
        <f>Ustawienia!$B$9&amp;""</f>
        <v/>
      </c>
      <c r="K1587" s="63">
        <f>IF(H1587="","",COUNTIFS('Zgłoszenia'!$B$5:$B$504,F1587,'Zgłoszenia'!$D$5:$D$504,"&gt;="&amp;A1587,'Zgłoszenia'!$D$5:$D$504,"&lt;="&amp;(A1587+1)))</f>
        <v/>
      </c>
      <c r="L1587" s="63">
        <f>IF(OR(H1587="",K1587=0),"—",IF(ISNUMBER(MATCH(H1587,'Zgłoszenia'!$S$5:$S$504,0)),RIGHT("0"&amp;DAY(A1587),2)&amp;"."&amp;RIGHT("0"&amp;MONTH(A1587),2)&amp;"."&amp;YEAR(A1587)&amp;": "&amp;INDEX('Zgłoszenia'!$H$5:$H$504,MATCH(H1587,'Zgłoszenia'!$S$5:$S$504,0)),RIGHT("0"&amp;DAY((A1587+1)),2)&amp;"."&amp;RIGHT("0"&amp;MONTH((A1587+1)),2)&amp;"."&amp;YEAR((A1587+1))&amp;": "&amp;INDEX('Zgłoszenia'!$H$5:$H$504,MATCH(F1587&amp;"|"&amp;(A1587+1),'Zgłoszenia'!$S$5:$S$504,0)))&amp;IF(K1587&gt;1," (+"&amp;(K1587-1)&amp;")",""))</f>
        <v/>
      </c>
      <c r="M1587" s="63" t="n">
        <v>20</v>
      </c>
      <c r="N1587" s="2" t="n"/>
      <c r="O1587" s="2" t="n"/>
    </row>
    <row r="1588">
      <c r="A1588" s="62">
        <f>IF('20'!$C$1="","",'20'!$C$1)</f>
        <v/>
      </c>
      <c r="B1588" s="63">
        <f>Ustawienia!$A$9&amp;""</f>
        <v/>
      </c>
      <c r="C1588" s="63">
        <f>Ustawienia!$A$17&amp;""</f>
        <v/>
      </c>
      <c r="D1588" s="63" t="n">
        <v>3</v>
      </c>
      <c r="E1588" s="63">
        <f>IF('20'!F29="","",TRIM('20'!F29&amp;""))</f>
        <v/>
      </c>
      <c r="F1588" s="63">
        <f>IF('20'!G29="","",'20'!G29)</f>
        <v/>
      </c>
      <c r="G1588" s="63">
        <f>'20'!H29&amp;""</f>
        <v/>
      </c>
      <c r="H1588" s="63">
        <f>IF(OR(A1588="",F1588=""),"",F1588&amp;"|"&amp;A1588)</f>
        <v/>
      </c>
      <c r="I1588" s="63">
        <f>IF(AND(H1588&lt;&gt;"",OR('Historia wózka'!$B$4="",F1588='Historia wózka'!$B$4),A1588&gt;='Historia wózka'!$B$5,A1588&lt;='Historia wózka'!$B$6),A1588+0.8+(5000-ROW())/10000000,0)</f>
        <v/>
      </c>
      <c r="J1588" s="63">
        <f>Ustawienia!$B$9&amp;""</f>
        <v/>
      </c>
      <c r="K1588" s="63">
        <f>IF(H1588="","",COUNTIFS('Zgłoszenia'!$B$5:$B$504,F1588,'Zgłoszenia'!$D$5:$D$504,"&gt;="&amp;A1588,'Zgłoszenia'!$D$5:$D$504,"&lt;="&amp;(A1588+1)))</f>
        <v/>
      </c>
      <c r="L1588" s="63">
        <f>IF(OR(H1588="",K1588=0),"—",IF(ISNUMBER(MATCH(H1588,'Zgłoszenia'!$S$5:$S$504,0)),RIGHT("0"&amp;DAY(A1588),2)&amp;"."&amp;RIGHT("0"&amp;MONTH(A1588),2)&amp;"."&amp;YEAR(A1588)&amp;": "&amp;INDEX('Zgłoszenia'!$H$5:$H$504,MATCH(H1588,'Zgłoszenia'!$S$5:$S$504,0)),RIGHT("0"&amp;DAY((A1588+1)),2)&amp;"."&amp;RIGHT("0"&amp;MONTH((A1588+1)),2)&amp;"."&amp;YEAR((A1588+1))&amp;": "&amp;INDEX('Zgłoszenia'!$H$5:$H$504,MATCH(F1588&amp;"|"&amp;(A1588+1),'Zgłoszenia'!$S$5:$S$504,0)))&amp;IF(K1588&gt;1," (+"&amp;(K1588-1)&amp;")",""))</f>
        <v/>
      </c>
      <c r="M1588" s="63" t="n">
        <v>20</v>
      </c>
      <c r="N1588" s="2" t="n"/>
      <c r="O1588" s="2" t="n"/>
    </row>
    <row r="1589">
      <c r="A1589" s="62">
        <f>IF('20'!$C$1="","",'20'!$C$1)</f>
        <v/>
      </c>
      <c r="B1589" s="63">
        <f>Ustawienia!$A$9&amp;""</f>
        <v/>
      </c>
      <c r="C1589" s="63">
        <f>Ustawienia!$A$17&amp;""</f>
        <v/>
      </c>
      <c r="D1589" s="63" t="n">
        <v>4</v>
      </c>
      <c r="E1589" s="63">
        <f>IF('20'!F30="","",TRIM('20'!F30&amp;""))</f>
        <v/>
      </c>
      <c r="F1589" s="63">
        <f>IF('20'!G30="","",'20'!G30)</f>
        <v/>
      </c>
      <c r="G1589" s="63">
        <f>'20'!H30&amp;""</f>
        <v/>
      </c>
      <c r="H1589" s="63">
        <f>IF(OR(A1589="",F1589=""),"",F1589&amp;"|"&amp;A1589)</f>
        <v/>
      </c>
      <c r="I1589" s="63">
        <f>IF(AND(H1589&lt;&gt;"",OR('Historia wózka'!$B$4="",F1589='Historia wózka'!$B$4),A1589&gt;='Historia wózka'!$B$5,A1589&lt;='Historia wózka'!$B$6),A1589+0.8+(5000-ROW())/10000000,0)</f>
        <v/>
      </c>
      <c r="J1589" s="63">
        <f>Ustawienia!$B$9&amp;""</f>
        <v/>
      </c>
      <c r="K1589" s="63">
        <f>IF(H1589="","",COUNTIFS('Zgłoszenia'!$B$5:$B$504,F1589,'Zgłoszenia'!$D$5:$D$504,"&gt;="&amp;A1589,'Zgłoszenia'!$D$5:$D$504,"&lt;="&amp;(A1589+1)))</f>
        <v/>
      </c>
      <c r="L1589" s="63">
        <f>IF(OR(H1589="",K1589=0),"—",IF(ISNUMBER(MATCH(H1589,'Zgłoszenia'!$S$5:$S$504,0)),RIGHT("0"&amp;DAY(A1589),2)&amp;"."&amp;RIGHT("0"&amp;MONTH(A1589),2)&amp;"."&amp;YEAR(A1589)&amp;": "&amp;INDEX('Zgłoszenia'!$H$5:$H$504,MATCH(H1589,'Zgłoszenia'!$S$5:$S$504,0)),RIGHT("0"&amp;DAY((A1589+1)),2)&amp;"."&amp;RIGHT("0"&amp;MONTH((A1589+1)),2)&amp;"."&amp;YEAR((A1589+1))&amp;": "&amp;INDEX('Zgłoszenia'!$H$5:$H$504,MATCH(F1589&amp;"|"&amp;(A1589+1),'Zgłoszenia'!$S$5:$S$504,0)))&amp;IF(K1589&gt;1," (+"&amp;(K1589-1)&amp;")",""))</f>
        <v/>
      </c>
      <c r="M1589" s="63" t="n">
        <v>20</v>
      </c>
      <c r="N1589" s="2" t="n"/>
      <c r="O1589" s="2" t="n"/>
    </row>
    <row r="1590">
      <c r="A1590" s="62">
        <f>IF('20'!$C$1="","",'20'!$C$1)</f>
        <v/>
      </c>
      <c r="B1590" s="63">
        <f>Ustawienia!$A$9&amp;""</f>
        <v/>
      </c>
      <c r="C1590" s="63">
        <f>Ustawienia!$A$18&amp;""</f>
        <v/>
      </c>
      <c r="D1590" s="63" t="n">
        <v>1</v>
      </c>
      <c r="E1590" s="63">
        <f>IF('20'!F32="","",TRIM('20'!F32&amp;""))</f>
        <v/>
      </c>
      <c r="F1590" s="63">
        <f>IF('20'!G32="","",'20'!G32)</f>
        <v/>
      </c>
      <c r="G1590" s="63">
        <f>'20'!H32&amp;""</f>
        <v/>
      </c>
      <c r="H1590" s="63">
        <f>IF(OR(A1590="",F1590=""),"",F1590&amp;"|"&amp;A1590)</f>
        <v/>
      </c>
      <c r="I1590" s="63">
        <f>IF(AND(H1590&lt;&gt;"",OR('Historia wózka'!$B$4="",F1590='Historia wózka'!$B$4),A1590&gt;='Historia wózka'!$B$5,A1590&lt;='Historia wózka'!$B$6),A1590+0.8+(5000-ROW())/10000000,0)</f>
        <v/>
      </c>
      <c r="J1590" s="63">
        <f>Ustawienia!$B$9&amp;""</f>
        <v/>
      </c>
      <c r="K1590" s="63">
        <f>IF(H1590="","",COUNTIFS('Zgłoszenia'!$B$5:$B$504,F1590,'Zgłoszenia'!$D$5:$D$504,"&gt;="&amp;A1590,'Zgłoszenia'!$D$5:$D$504,"&lt;="&amp;(A1590+1)))</f>
        <v/>
      </c>
      <c r="L1590" s="63">
        <f>IF(OR(H1590="",K1590=0),"—",IF(ISNUMBER(MATCH(H1590,'Zgłoszenia'!$S$5:$S$504,0)),RIGHT("0"&amp;DAY(A1590),2)&amp;"."&amp;RIGHT("0"&amp;MONTH(A1590),2)&amp;"."&amp;YEAR(A1590)&amp;": "&amp;INDEX('Zgłoszenia'!$H$5:$H$504,MATCH(H1590,'Zgłoszenia'!$S$5:$S$504,0)),RIGHT("0"&amp;DAY((A1590+1)),2)&amp;"."&amp;RIGHT("0"&amp;MONTH((A1590+1)),2)&amp;"."&amp;YEAR((A1590+1))&amp;": "&amp;INDEX('Zgłoszenia'!$H$5:$H$504,MATCH(F1590&amp;"|"&amp;(A1590+1),'Zgłoszenia'!$S$5:$S$504,0)))&amp;IF(K1590&gt;1," (+"&amp;(K1590-1)&amp;")",""))</f>
        <v/>
      </c>
      <c r="M1590" s="63" t="n">
        <v>20</v>
      </c>
      <c r="N1590" s="2" t="n"/>
      <c r="O1590" s="2" t="n"/>
    </row>
    <row r="1591">
      <c r="A1591" s="62">
        <f>IF('20'!$C$1="","",'20'!$C$1)</f>
        <v/>
      </c>
      <c r="B1591" s="63">
        <f>Ustawienia!$A$9&amp;""</f>
        <v/>
      </c>
      <c r="C1591" s="63">
        <f>Ustawienia!$A$18&amp;""</f>
        <v/>
      </c>
      <c r="D1591" s="63" t="n">
        <v>2</v>
      </c>
      <c r="E1591" s="63">
        <f>IF('20'!F33="","",TRIM('20'!F33&amp;""))</f>
        <v/>
      </c>
      <c r="F1591" s="63">
        <f>IF('20'!G33="","",'20'!G33)</f>
        <v/>
      </c>
      <c r="G1591" s="63">
        <f>'20'!H33&amp;""</f>
        <v/>
      </c>
      <c r="H1591" s="63">
        <f>IF(OR(A1591="",F1591=""),"",F1591&amp;"|"&amp;A1591)</f>
        <v/>
      </c>
      <c r="I1591" s="63">
        <f>IF(AND(H1591&lt;&gt;"",OR('Historia wózka'!$B$4="",F1591='Historia wózka'!$B$4),A1591&gt;='Historia wózka'!$B$5,A1591&lt;='Historia wózka'!$B$6),A1591+0.8+(5000-ROW())/10000000,0)</f>
        <v/>
      </c>
      <c r="J1591" s="63">
        <f>Ustawienia!$B$9&amp;""</f>
        <v/>
      </c>
      <c r="K1591" s="63">
        <f>IF(H1591="","",COUNTIFS('Zgłoszenia'!$B$5:$B$504,F1591,'Zgłoszenia'!$D$5:$D$504,"&gt;="&amp;A1591,'Zgłoszenia'!$D$5:$D$504,"&lt;="&amp;(A1591+1)))</f>
        <v/>
      </c>
      <c r="L1591" s="63">
        <f>IF(OR(H1591="",K1591=0),"—",IF(ISNUMBER(MATCH(H1591,'Zgłoszenia'!$S$5:$S$504,0)),RIGHT("0"&amp;DAY(A1591),2)&amp;"."&amp;RIGHT("0"&amp;MONTH(A1591),2)&amp;"."&amp;YEAR(A1591)&amp;": "&amp;INDEX('Zgłoszenia'!$H$5:$H$504,MATCH(H1591,'Zgłoszenia'!$S$5:$S$504,0)),RIGHT("0"&amp;DAY((A1591+1)),2)&amp;"."&amp;RIGHT("0"&amp;MONTH((A1591+1)),2)&amp;"."&amp;YEAR((A1591+1))&amp;": "&amp;INDEX('Zgłoszenia'!$H$5:$H$504,MATCH(F1591&amp;"|"&amp;(A1591+1),'Zgłoszenia'!$S$5:$S$504,0)))&amp;IF(K1591&gt;1," (+"&amp;(K1591-1)&amp;")",""))</f>
        <v/>
      </c>
      <c r="M1591" s="63" t="n">
        <v>20</v>
      </c>
      <c r="N1591" s="2" t="n"/>
      <c r="O1591" s="2" t="n"/>
    </row>
    <row r="1592">
      <c r="A1592" s="62">
        <f>IF('20'!$C$1="","",'20'!$C$1)</f>
        <v/>
      </c>
      <c r="B1592" s="63">
        <f>Ustawienia!$A$9&amp;""</f>
        <v/>
      </c>
      <c r="C1592" s="63">
        <f>Ustawienia!$A$18&amp;""</f>
        <v/>
      </c>
      <c r="D1592" s="63" t="n">
        <v>3</v>
      </c>
      <c r="E1592" s="63">
        <f>IF('20'!F34="","",TRIM('20'!F34&amp;""))</f>
        <v/>
      </c>
      <c r="F1592" s="63">
        <f>IF('20'!G34="","",'20'!G34)</f>
        <v/>
      </c>
      <c r="G1592" s="63">
        <f>'20'!H34&amp;""</f>
        <v/>
      </c>
      <c r="H1592" s="63">
        <f>IF(OR(A1592="",F1592=""),"",F1592&amp;"|"&amp;A1592)</f>
        <v/>
      </c>
      <c r="I1592" s="63">
        <f>IF(AND(H1592&lt;&gt;"",OR('Historia wózka'!$B$4="",F1592='Historia wózka'!$B$4),A1592&gt;='Historia wózka'!$B$5,A1592&lt;='Historia wózka'!$B$6),A1592+0.8+(5000-ROW())/10000000,0)</f>
        <v/>
      </c>
      <c r="J1592" s="63">
        <f>Ustawienia!$B$9&amp;""</f>
        <v/>
      </c>
      <c r="K1592" s="63">
        <f>IF(H1592="","",COUNTIFS('Zgłoszenia'!$B$5:$B$504,F1592,'Zgłoszenia'!$D$5:$D$504,"&gt;="&amp;A1592,'Zgłoszenia'!$D$5:$D$504,"&lt;="&amp;(A1592+1)))</f>
        <v/>
      </c>
      <c r="L1592" s="63">
        <f>IF(OR(H1592="",K1592=0),"—",IF(ISNUMBER(MATCH(H1592,'Zgłoszenia'!$S$5:$S$504,0)),RIGHT("0"&amp;DAY(A1592),2)&amp;"."&amp;RIGHT("0"&amp;MONTH(A1592),2)&amp;"."&amp;YEAR(A1592)&amp;": "&amp;INDEX('Zgłoszenia'!$H$5:$H$504,MATCH(H1592,'Zgłoszenia'!$S$5:$S$504,0)),RIGHT("0"&amp;DAY((A1592+1)),2)&amp;"."&amp;RIGHT("0"&amp;MONTH((A1592+1)),2)&amp;"."&amp;YEAR((A1592+1))&amp;": "&amp;INDEX('Zgłoszenia'!$H$5:$H$504,MATCH(F1592&amp;"|"&amp;(A1592+1),'Zgłoszenia'!$S$5:$S$504,0)))&amp;IF(K1592&gt;1," (+"&amp;(K1592-1)&amp;")",""))</f>
        <v/>
      </c>
      <c r="M1592" s="63" t="n">
        <v>20</v>
      </c>
      <c r="N1592" s="2" t="n"/>
      <c r="O1592" s="2" t="n"/>
    </row>
    <row r="1593">
      <c r="A1593" s="62">
        <f>IF('20'!$C$1="","",'20'!$C$1)</f>
        <v/>
      </c>
      <c r="B1593" s="63">
        <f>Ustawienia!$A$9&amp;""</f>
        <v/>
      </c>
      <c r="C1593" s="63">
        <f>Ustawienia!$A$18&amp;""</f>
        <v/>
      </c>
      <c r="D1593" s="63" t="n">
        <v>4</v>
      </c>
      <c r="E1593" s="63">
        <f>IF('20'!F35="","",TRIM('20'!F35&amp;""))</f>
        <v/>
      </c>
      <c r="F1593" s="63">
        <f>IF('20'!G35="","",'20'!G35)</f>
        <v/>
      </c>
      <c r="G1593" s="63">
        <f>'20'!H35&amp;""</f>
        <v/>
      </c>
      <c r="H1593" s="63">
        <f>IF(OR(A1593="",F1593=""),"",F1593&amp;"|"&amp;A1593)</f>
        <v/>
      </c>
      <c r="I1593" s="63">
        <f>IF(AND(H1593&lt;&gt;"",OR('Historia wózka'!$B$4="",F1593='Historia wózka'!$B$4),A1593&gt;='Historia wózka'!$B$5,A1593&lt;='Historia wózka'!$B$6),A1593+0.8+(5000-ROW())/10000000,0)</f>
        <v/>
      </c>
      <c r="J1593" s="63">
        <f>Ustawienia!$B$9&amp;""</f>
        <v/>
      </c>
      <c r="K1593" s="63">
        <f>IF(H1593="","",COUNTIFS('Zgłoszenia'!$B$5:$B$504,F1593,'Zgłoszenia'!$D$5:$D$504,"&gt;="&amp;A1593,'Zgłoszenia'!$D$5:$D$504,"&lt;="&amp;(A1593+1)))</f>
        <v/>
      </c>
      <c r="L1593" s="63">
        <f>IF(OR(H1593="",K1593=0),"—",IF(ISNUMBER(MATCH(H1593,'Zgłoszenia'!$S$5:$S$504,0)),RIGHT("0"&amp;DAY(A1593),2)&amp;"."&amp;RIGHT("0"&amp;MONTH(A1593),2)&amp;"."&amp;YEAR(A1593)&amp;": "&amp;INDEX('Zgłoszenia'!$H$5:$H$504,MATCH(H1593,'Zgłoszenia'!$S$5:$S$504,0)),RIGHT("0"&amp;DAY((A1593+1)),2)&amp;"."&amp;RIGHT("0"&amp;MONTH((A1593+1)),2)&amp;"."&amp;YEAR((A1593+1))&amp;": "&amp;INDEX('Zgłoszenia'!$H$5:$H$504,MATCH(F1593&amp;"|"&amp;(A1593+1),'Zgłoszenia'!$S$5:$S$504,0)))&amp;IF(K1593&gt;1," (+"&amp;(K1593-1)&amp;")",""))</f>
        <v/>
      </c>
      <c r="M1593" s="63" t="n">
        <v>20</v>
      </c>
      <c r="N1593" s="2" t="n"/>
      <c r="O1593" s="2" t="n"/>
    </row>
    <row r="1594">
      <c r="A1594" s="62">
        <f>IF('20'!$C$1="","",'20'!$C$1)</f>
        <v/>
      </c>
      <c r="B1594" s="63">
        <f>Ustawienia!$A$9&amp;""</f>
        <v/>
      </c>
      <c r="C1594" s="63">
        <f>Ustawienia!$A$18&amp;""</f>
        <v/>
      </c>
      <c r="D1594" s="63" t="n">
        <v>5</v>
      </c>
      <c r="E1594" s="63">
        <f>IF('20'!F36="","",TRIM('20'!F36&amp;""))</f>
        <v/>
      </c>
      <c r="F1594" s="63">
        <f>IF('20'!G36="","",'20'!G36)</f>
        <v/>
      </c>
      <c r="G1594" s="63">
        <f>'20'!H36&amp;""</f>
        <v/>
      </c>
      <c r="H1594" s="63">
        <f>IF(OR(A1594="",F1594=""),"",F1594&amp;"|"&amp;A1594)</f>
        <v/>
      </c>
      <c r="I1594" s="63">
        <f>IF(AND(H1594&lt;&gt;"",OR('Historia wózka'!$B$4="",F1594='Historia wózka'!$B$4),A1594&gt;='Historia wózka'!$B$5,A1594&lt;='Historia wózka'!$B$6),A1594+0.8+(5000-ROW())/10000000,0)</f>
        <v/>
      </c>
      <c r="J1594" s="63">
        <f>Ustawienia!$B$9&amp;""</f>
        <v/>
      </c>
      <c r="K1594" s="63">
        <f>IF(H1594="","",COUNTIFS('Zgłoszenia'!$B$5:$B$504,F1594,'Zgłoszenia'!$D$5:$D$504,"&gt;="&amp;A1594,'Zgłoszenia'!$D$5:$D$504,"&lt;="&amp;(A1594+1)))</f>
        <v/>
      </c>
      <c r="L1594" s="63">
        <f>IF(OR(H1594="",K1594=0),"—",IF(ISNUMBER(MATCH(H1594,'Zgłoszenia'!$S$5:$S$504,0)),RIGHT("0"&amp;DAY(A1594),2)&amp;"."&amp;RIGHT("0"&amp;MONTH(A1594),2)&amp;"."&amp;YEAR(A1594)&amp;": "&amp;INDEX('Zgłoszenia'!$H$5:$H$504,MATCH(H1594,'Zgłoszenia'!$S$5:$S$504,0)),RIGHT("0"&amp;DAY((A1594+1)),2)&amp;"."&amp;RIGHT("0"&amp;MONTH((A1594+1)),2)&amp;"."&amp;YEAR((A1594+1))&amp;": "&amp;INDEX('Zgłoszenia'!$H$5:$H$504,MATCH(F1594&amp;"|"&amp;(A1594+1),'Zgłoszenia'!$S$5:$S$504,0)))&amp;IF(K1594&gt;1," (+"&amp;(K1594-1)&amp;")",""))</f>
        <v/>
      </c>
      <c r="M1594" s="63" t="n">
        <v>20</v>
      </c>
      <c r="N1594" s="2" t="n"/>
      <c r="O1594" s="2" t="n"/>
    </row>
    <row r="1595">
      <c r="A1595" s="62">
        <f>IF('20'!$C$1="","",'20'!$C$1)</f>
        <v/>
      </c>
      <c r="B1595" s="63">
        <f>Ustawienia!$A$10&amp;""</f>
        <v/>
      </c>
      <c r="C1595" s="63">
        <f>Ustawienia!$A$14&amp;""</f>
        <v/>
      </c>
      <c r="D1595" s="63" t="n">
        <v>1</v>
      </c>
      <c r="E1595" s="63">
        <f>IF('20'!J6="","",TRIM('20'!J6&amp;""))</f>
        <v/>
      </c>
      <c r="F1595" s="63">
        <f>IF('20'!K6="","",'20'!K6)</f>
        <v/>
      </c>
      <c r="G1595" s="63">
        <f>'20'!L6&amp;""</f>
        <v/>
      </c>
      <c r="H1595" s="63">
        <f>IF(OR(A1595="",F1595=""),"",F1595&amp;"|"&amp;A1595)</f>
        <v/>
      </c>
      <c r="I1595" s="63">
        <f>IF(AND(H1595&lt;&gt;"",OR('Historia wózka'!$B$4="",F1595='Historia wózka'!$B$4),A1595&gt;='Historia wózka'!$B$5,A1595&lt;='Historia wózka'!$B$6),A1595+0.7+(5000-ROW())/10000000,0)</f>
        <v/>
      </c>
      <c r="J1595" s="63">
        <f>Ustawienia!$B$10&amp;""</f>
        <v/>
      </c>
      <c r="K1595" s="63">
        <f>IF(H1595="","",COUNTIFS('Zgłoszenia'!$B$5:$B$504,F1595,'Zgłoszenia'!$D$5:$D$504,"&gt;="&amp;A1595,'Zgłoszenia'!$D$5:$D$504,"&lt;="&amp;(A1595+1)))</f>
        <v/>
      </c>
      <c r="L1595" s="63">
        <f>IF(OR(H1595="",K1595=0),"—",IF(ISNUMBER(MATCH(H1595,'Zgłoszenia'!$S$5:$S$504,0)),RIGHT("0"&amp;DAY(A1595),2)&amp;"."&amp;RIGHT("0"&amp;MONTH(A1595),2)&amp;"."&amp;YEAR(A1595)&amp;": "&amp;INDEX('Zgłoszenia'!$H$5:$H$504,MATCH(H1595,'Zgłoszenia'!$S$5:$S$504,0)),RIGHT("0"&amp;DAY((A1595+1)),2)&amp;"."&amp;RIGHT("0"&amp;MONTH((A1595+1)),2)&amp;"."&amp;YEAR((A1595+1))&amp;": "&amp;INDEX('Zgłoszenia'!$H$5:$H$504,MATCH(F1595&amp;"|"&amp;(A1595+1),'Zgłoszenia'!$S$5:$S$504,0)))&amp;IF(K1595&gt;1," (+"&amp;(K1595-1)&amp;")",""))</f>
        <v/>
      </c>
      <c r="M1595" s="63" t="n">
        <v>20</v>
      </c>
      <c r="N1595" s="2" t="n"/>
      <c r="O1595" s="2" t="n"/>
    </row>
    <row r="1596">
      <c r="A1596" s="62">
        <f>IF('20'!$C$1="","",'20'!$C$1)</f>
        <v/>
      </c>
      <c r="B1596" s="63">
        <f>Ustawienia!$A$10&amp;""</f>
        <v/>
      </c>
      <c r="C1596" s="63">
        <f>Ustawienia!$A$14&amp;""</f>
        <v/>
      </c>
      <c r="D1596" s="63" t="n">
        <v>2</v>
      </c>
      <c r="E1596" s="63">
        <f>IF('20'!J7="","",TRIM('20'!J7&amp;""))</f>
        <v/>
      </c>
      <c r="F1596" s="63">
        <f>IF('20'!K7="","",'20'!K7)</f>
        <v/>
      </c>
      <c r="G1596" s="63">
        <f>'20'!L7&amp;""</f>
        <v/>
      </c>
      <c r="H1596" s="63">
        <f>IF(OR(A1596="",F1596=""),"",F1596&amp;"|"&amp;A1596)</f>
        <v/>
      </c>
      <c r="I1596" s="63">
        <f>IF(AND(H1596&lt;&gt;"",OR('Historia wózka'!$B$4="",F1596='Historia wózka'!$B$4),A1596&gt;='Historia wózka'!$B$5,A1596&lt;='Historia wózka'!$B$6),A1596+0.7+(5000-ROW())/10000000,0)</f>
        <v/>
      </c>
      <c r="J1596" s="63">
        <f>Ustawienia!$B$10&amp;""</f>
        <v/>
      </c>
      <c r="K1596" s="63">
        <f>IF(H1596="","",COUNTIFS('Zgłoszenia'!$B$5:$B$504,F1596,'Zgłoszenia'!$D$5:$D$504,"&gt;="&amp;A1596,'Zgłoszenia'!$D$5:$D$504,"&lt;="&amp;(A1596+1)))</f>
        <v/>
      </c>
      <c r="L1596" s="63">
        <f>IF(OR(H1596="",K1596=0),"—",IF(ISNUMBER(MATCH(H1596,'Zgłoszenia'!$S$5:$S$504,0)),RIGHT("0"&amp;DAY(A1596),2)&amp;"."&amp;RIGHT("0"&amp;MONTH(A1596),2)&amp;"."&amp;YEAR(A1596)&amp;": "&amp;INDEX('Zgłoszenia'!$H$5:$H$504,MATCH(H1596,'Zgłoszenia'!$S$5:$S$504,0)),RIGHT("0"&amp;DAY((A1596+1)),2)&amp;"."&amp;RIGHT("0"&amp;MONTH((A1596+1)),2)&amp;"."&amp;YEAR((A1596+1))&amp;": "&amp;INDEX('Zgłoszenia'!$H$5:$H$504,MATCH(F1596&amp;"|"&amp;(A1596+1),'Zgłoszenia'!$S$5:$S$504,0)))&amp;IF(K1596&gt;1," (+"&amp;(K1596-1)&amp;")",""))</f>
        <v/>
      </c>
      <c r="M1596" s="63" t="n">
        <v>20</v>
      </c>
      <c r="N1596" s="2" t="n"/>
      <c r="O1596" s="2" t="n"/>
    </row>
    <row r="1597">
      <c r="A1597" s="62">
        <f>IF('20'!$C$1="","",'20'!$C$1)</f>
        <v/>
      </c>
      <c r="B1597" s="63">
        <f>Ustawienia!$A$10&amp;""</f>
        <v/>
      </c>
      <c r="C1597" s="63">
        <f>Ustawienia!$A$14&amp;""</f>
        <v/>
      </c>
      <c r="D1597" s="63" t="n">
        <v>3</v>
      </c>
      <c r="E1597" s="63">
        <f>IF('20'!J8="","",TRIM('20'!J8&amp;""))</f>
        <v/>
      </c>
      <c r="F1597" s="63">
        <f>IF('20'!K8="","",'20'!K8)</f>
        <v/>
      </c>
      <c r="G1597" s="63">
        <f>'20'!L8&amp;""</f>
        <v/>
      </c>
      <c r="H1597" s="63">
        <f>IF(OR(A1597="",F1597=""),"",F1597&amp;"|"&amp;A1597)</f>
        <v/>
      </c>
      <c r="I1597" s="63">
        <f>IF(AND(H1597&lt;&gt;"",OR('Historia wózka'!$B$4="",F1597='Historia wózka'!$B$4),A1597&gt;='Historia wózka'!$B$5,A1597&lt;='Historia wózka'!$B$6),A1597+0.7+(5000-ROW())/10000000,0)</f>
        <v/>
      </c>
      <c r="J1597" s="63">
        <f>Ustawienia!$B$10&amp;""</f>
        <v/>
      </c>
      <c r="K1597" s="63">
        <f>IF(H1597="","",COUNTIFS('Zgłoszenia'!$B$5:$B$504,F1597,'Zgłoszenia'!$D$5:$D$504,"&gt;="&amp;A1597,'Zgłoszenia'!$D$5:$D$504,"&lt;="&amp;(A1597+1)))</f>
        <v/>
      </c>
      <c r="L1597" s="63">
        <f>IF(OR(H1597="",K1597=0),"—",IF(ISNUMBER(MATCH(H1597,'Zgłoszenia'!$S$5:$S$504,0)),RIGHT("0"&amp;DAY(A1597),2)&amp;"."&amp;RIGHT("0"&amp;MONTH(A1597),2)&amp;"."&amp;YEAR(A1597)&amp;": "&amp;INDEX('Zgłoszenia'!$H$5:$H$504,MATCH(H1597,'Zgłoszenia'!$S$5:$S$504,0)),RIGHT("0"&amp;DAY((A1597+1)),2)&amp;"."&amp;RIGHT("0"&amp;MONTH((A1597+1)),2)&amp;"."&amp;YEAR((A1597+1))&amp;": "&amp;INDEX('Zgłoszenia'!$H$5:$H$504,MATCH(F1597&amp;"|"&amp;(A1597+1),'Zgłoszenia'!$S$5:$S$504,0)))&amp;IF(K1597&gt;1," (+"&amp;(K1597-1)&amp;")",""))</f>
        <v/>
      </c>
      <c r="M1597" s="63" t="n">
        <v>20</v>
      </c>
      <c r="N1597" s="2" t="n"/>
      <c r="O1597" s="2" t="n"/>
    </row>
    <row r="1598">
      <c r="A1598" s="62">
        <f>IF('20'!$C$1="","",'20'!$C$1)</f>
        <v/>
      </c>
      <c r="B1598" s="63">
        <f>Ustawienia!$A$10&amp;""</f>
        <v/>
      </c>
      <c r="C1598" s="63">
        <f>Ustawienia!$A$14&amp;""</f>
        <v/>
      </c>
      <c r="D1598" s="63" t="n">
        <v>4</v>
      </c>
      <c r="E1598" s="63">
        <f>IF('20'!J9="","",TRIM('20'!J9&amp;""))</f>
        <v/>
      </c>
      <c r="F1598" s="63">
        <f>IF('20'!K9="","",'20'!K9)</f>
        <v/>
      </c>
      <c r="G1598" s="63">
        <f>'20'!L9&amp;""</f>
        <v/>
      </c>
      <c r="H1598" s="63">
        <f>IF(OR(A1598="",F1598=""),"",F1598&amp;"|"&amp;A1598)</f>
        <v/>
      </c>
      <c r="I1598" s="63">
        <f>IF(AND(H1598&lt;&gt;"",OR('Historia wózka'!$B$4="",F1598='Historia wózka'!$B$4),A1598&gt;='Historia wózka'!$B$5,A1598&lt;='Historia wózka'!$B$6),A1598+0.7+(5000-ROW())/10000000,0)</f>
        <v/>
      </c>
      <c r="J1598" s="63">
        <f>Ustawienia!$B$10&amp;""</f>
        <v/>
      </c>
      <c r="K1598" s="63">
        <f>IF(H1598="","",COUNTIFS('Zgłoszenia'!$B$5:$B$504,F1598,'Zgłoszenia'!$D$5:$D$504,"&gt;="&amp;A1598,'Zgłoszenia'!$D$5:$D$504,"&lt;="&amp;(A1598+1)))</f>
        <v/>
      </c>
      <c r="L1598" s="63">
        <f>IF(OR(H1598="",K1598=0),"—",IF(ISNUMBER(MATCH(H1598,'Zgłoszenia'!$S$5:$S$504,0)),RIGHT("0"&amp;DAY(A1598),2)&amp;"."&amp;RIGHT("0"&amp;MONTH(A1598),2)&amp;"."&amp;YEAR(A1598)&amp;": "&amp;INDEX('Zgłoszenia'!$H$5:$H$504,MATCH(H1598,'Zgłoszenia'!$S$5:$S$504,0)),RIGHT("0"&amp;DAY((A1598+1)),2)&amp;"."&amp;RIGHT("0"&amp;MONTH((A1598+1)),2)&amp;"."&amp;YEAR((A1598+1))&amp;": "&amp;INDEX('Zgłoszenia'!$H$5:$H$504,MATCH(F1598&amp;"|"&amp;(A1598+1),'Zgłoszenia'!$S$5:$S$504,0)))&amp;IF(K1598&gt;1," (+"&amp;(K1598-1)&amp;")",""))</f>
        <v/>
      </c>
      <c r="M1598" s="63" t="n">
        <v>20</v>
      </c>
      <c r="N1598" s="2" t="n"/>
      <c r="O1598" s="2" t="n"/>
    </row>
    <row r="1599">
      <c r="A1599" s="62">
        <f>IF('20'!$C$1="","",'20'!$C$1)</f>
        <v/>
      </c>
      <c r="B1599" s="63">
        <f>Ustawienia!$A$10&amp;""</f>
        <v/>
      </c>
      <c r="C1599" s="63">
        <f>Ustawienia!$A$14&amp;""</f>
        <v/>
      </c>
      <c r="D1599" s="63" t="n">
        <v>5</v>
      </c>
      <c r="E1599" s="63">
        <f>IF('20'!J10="","",TRIM('20'!J10&amp;""))</f>
        <v/>
      </c>
      <c r="F1599" s="63">
        <f>IF('20'!K10="","",'20'!K10)</f>
        <v/>
      </c>
      <c r="G1599" s="63">
        <f>'20'!L10&amp;""</f>
        <v/>
      </c>
      <c r="H1599" s="63">
        <f>IF(OR(A1599="",F1599=""),"",F1599&amp;"|"&amp;A1599)</f>
        <v/>
      </c>
      <c r="I1599" s="63">
        <f>IF(AND(H1599&lt;&gt;"",OR('Historia wózka'!$B$4="",F1599='Historia wózka'!$B$4),A1599&gt;='Historia wózka'!$B$5,A1599&lt;='Historia wózka'!$B$6),A1599+0.7+(5000-ROW())/10000000,0)</f>
        <v/>
      </c>
      <c r="J1599" s="63">
        <f>Ustawienia!$B$10&amp;""</f>
        <v/>
      </c>
      <c r="K1599" s="63">
        <f>IF(H1599="","",COUNTIFS('Zgłoszenia'!$B$5:$B$504,F1599,'Zgłoszenia'!$D$5:$D$504,"&gt;="&amp;A1599,'Zgłoszenia'!$D$5:$D$504,"&lt;="&amp;(A1599+1)))</f>
        <v/>
      </c>
      <c r="L1599" s="63">
        <f>IF(OR(H1599="",K1599=0),"—",IF(ISNUMBER(MATCH(H1599,'Zgłoszenia'!$S$5:$S$504,0)),RIGHT("0"&amp;DAY(A1599),2)&amp;"."&amp;RIGHT("0"&amp;MONTH(A1599),2)&amp;"."&amp;YEAR(A1599)&amp;": "&amp;INDEX('Zgłoszenia'!$H$5:$H$504,MATCH(H1599,'Zgłoszenia'!$S$5:$S$504,0)),RIGHT("0"&amp;DAY((A1599+1)),2)&amp;"."&amp;RIGHT("0"&amp;MONTH((A1599+1)),2)&amp;"."&amp;YEAR((A1599+1))&amp;": "&amp;INDEX('Zgłoszenia'!$H$5:$H$504,MATCH(F1599&amp;"|"&amp;(A1599+1),'Zgłoszenia'!$S$5:$S$504,0)))&amp;IF(K1599&gt;1," (+"&amp;(K1599-1)&amp;")",""))</f>
        <v/>
      </c>
      <c r="M1599" s="63" t="n">
        <v>20</v>
      </c>
      <c r="N1599" s="2" t="n"/>
      <c r="O1599" s="2" t="n"/>
    </row>
    <row r="1600">
      <c r="A1600" s="62">
        <f>IF('20'!$C$1="","",'20'!$C$1)</f>
        <v/>
      </c>
      <c r="B1600" s="63">
        <f>Ustawienia!$A$10&amp;""</f>
        <v/>
      </c>
      <c r="C1600" s="63">
        <f>Ustawienia!$A$14&amp;""</f>
        <v/>
      </c>
      <c r="D1600" s="63" t="n">
        <v>6</v>
      </c>
      <c r="E1600" s="63">
        <f>IF('20'!J11="","",TRIM('20'!J11&amp;""))</f>
        <v/>
      </c>
      <c r="F1600" s="63">
        <f>IF('20'!K11="","",'20'!K11)</f>
        <v/>
      </c>
      <c r="G1600" s="63">
        <f>'20'!L11&amp;""</f>
        <v/>
      </c>
      <c r="H1600" s="63">
        <f>IF(OR(A1600="",F1600=""),"",F1600&amp;"|"&amp;A1600)</f>
        <v/>
      </c>
      <c r="I1600" s="63">
        <f>IF(AND(H1600&lt;&gt;"",OR('Historia wózka'!$B$4="",F1600='Historia wózka'!$B$4),A1600&gt;='Historia wózka'!$B$5,A1600&lt;='Historia wózka'!$B$6),A1600+0.7+(5000-ROW())/10000000,0)</f>
        <v/>
      </c>
      <c r="J1600" s="63">
        <f>Ustawienia!$B$10&amp;""</f>
        <v/>
      </c>
      <c r="K1600" s="63">
        <f>IF(H1600="","",COUNTIFS('Zgłoszenia'!$B$5:$B$504,F1600,'Zgłoszenia'!$D$5:$D$504,"&gt;="&amp;A1600,'Zgłoszenia'!$D$5:$D$504,"&lt;="&amp;(A1600+1)))</f>
        <v/>
      </c>
      <c r="L1600" s="63">
        <f>IF(OR(H1600="",K1600=0),"—",IF(ISNUMBER(MATCH(H1600,'Zgłoszenia'!$S$5:$S$504,0)),RIGHT("0"&amp;DAY(A1600),2)&amp;"."&amp;RIGHT("0"&amp;MONTH(A1600),2)&amp;"."&amp;YEAR(A1600)&amp;": "&amp;INDEX('Zgłoszenia'!$H$5:$H$504,MATCH(H1600,'Zgłoszenia'!$S$5:$S$504,0)),RIGHT("0"&amp;DAY((A1600+1)),2)&amp;"."&amp;RIGHT("0"&amp;MONTH((A1600+1)),2)&amp;"."&amp;YEAR((A1600+1))&amp;": "&amp;INDEX('Zgłoszenia'!$H$5:$H$504,MATCH(F1600&amp;"|"&amp;(A1600+1),'Zgłoszenia'!$S$5:$S$504,0)))&amp;IF(K1600&gt;1," (+"&amp;(K1600-1)&amp;")",""))</f>
        <v/>
      </c>
      <c r="M1600" s="63" t="n">
        <v>20</v>
      </c>
      <c r="N1600" s="2" t="n"/>
      <c r="O1600" s="2" t="n"/>
    </row>
    <row r="1601">
      <c r="A1601" s="62">
        <f>IF('20'!$C$1="","",'20'!$C$1)</f>
        <v/>
      </c>
      <c r="B1601" s="63">
        <f>Ustawienia!$A$10&amp;""</f>
        <v/>
      </c>
      <c r="C1601" s="63">
        <f>Ustawienia!$A$15&amp;""</f>
        <v/>
      </c>
      <c r="D1601" s="63" t="n">
        <v>1</v>
      </c>
      <c r="E1601" s="63">
        <f>IF('20'!J13="","",TRIM('20'!J13&amp;""))</f>
        <v/>
      </c>
      <c r="F1601" s="63">
        <f>IF('20'!K13="","",'20'!K13)</f>
        <v/>
      </c>
      <c r="G1601" s="63">
        <f>'20'!L13&amp;""</f>
        <v/>
      </c>
      <c r="H1601" s="63">
        <f>IF(OR(A1601="",F1601=""),"",F1601&amp;"|"&amp;A1601)</f>
        <v/>
      </c>
      <c r="I1601" s="63">
        <f>IF(AND(H1601&lt;&gt;"",OR('Historia wózka'!$B$4="",F1601='Historia wózka'!$B$4),A1601&gt;='Historia wózka'!$B$5,A1601&lt;='Historia wózka'!$B$6),A1601+0.7+(5000-ROW())/10000000,0)</f>
        <v/>
      </c>
      <c r="J1601" s="63">
        <f>Ustawienia!$B$10&amp;""</f>
        <v/>
      </c>
      <c r="K1601" s="63">
        <f>IF(H1601="","",COUNTIFS('Zgłoszenia'!$B$5:$B$504,F1601,'Zgłoszenia'!$D$5:$D$504,"&gt;="&amp;A1601,'Zgłoszenia'!$D$5:$D$504,"&lt;="&amp;(A1601+1)))</f>
        <v/>
      </c>
      <c r="L1601" s="63">
        <f>IF(OR(H1601="",K1601=0),"—",IF(ISNUMBER(MATCH(H1601,'Zgłoszenia'!$S$5:$S$504,0)),RIGHT("0"&amp;DAY(A1601),2)&amp;"."&amp;RIGHT("0"&amp;MONTH(A1601),2)&amp;"."&amp;YEAR(A1601)&amp;": "&amp;INDEX('Zgłoszenia'!$H$5:$H$504,MATCH(H1601,'Zgłoszenia'!$S$5:$S$504,0)),RIGHT("0"&amp;DAY((A1601+1)),2)&amp;"."&amp;RIGHT("0"&amp;MONTH((A1601+1)),2)&amp;"."&amp;YEAR((A1601+1))&amp;": "&amp;INDEX('Zgłoszenia'!$H$5:$H$504,MATCH(F1601&amp;"|"&amp;(A1601+1),'Zgłoszenia'!$S$5:$S$504,0)))&amp;IF(K1601&gt;1," (+"&amp;(K1601-1)&amp;")",""))</f>
        <v/>
      </c>
      <c r="M1601" s="63" t="n">
        <v>20</v>
      </c>
      <c r="N1601" s="2" t="n"/>
      <c r="O1601" s="2" t="n"/>
    </row>
    <row r="1602">
      <c r="A1602" s="62">
        <f>IF('20'!$C$1="","",'20'!$C$1)</f>
        <v/>
      </c>
      <c r="B1602" s="63">
        <f>Ustawienia!$A$10&amp;""</f>
        <v/>
      </c>
      <c r="C1602" s="63">
        <f>Ustawienia!$A$15&amp;""</f>
        <v/>
      </c>
      <c r="D1602" s="63" t="n">
        <v>2</v>
      </c>
      <c r="E1602" s="63">
        <f>IF('20'!J14="","",TRIM('20'!J14&amp;""))</f>
        <v/>
      </c>
      <c r="F1602" s="63">
        <f>IF('20'!K14="","",'20'!K14)</f>
        <v/>
      </c>
      <c r="G1602" s="63">
        <f>'20'!L14&amp;""</f>
        <v/>
      </c>
      <c r="H1602" s="63">
        <f>IF(OR(A1602="",F1602=""),"",F1602&amp;"|"&amp;A1602)</f>
        <v/>
      </c>
      <c r="I1602" s="63">
        <f>IF(AND(H1602&lt;&gt;"",OR('Historia wózka'!$B$4="",F1602='Historia wózka'!$B$4),A1602&gt;='Historia wózka'!$B$5,A1602&lt;='Historia wózka'!$B$6),A1602+0.7+(5000-ROW())/10000000,0)</f>
        <v/>
      </c>
      <c r="J1602" s="63">
        <f>Ustawienia!$B$10&amp;""</f>
        <v/>
      </c>
      <c r="K1602" s="63">
        <f>IF(H1602="","",COUNTIFS('Zgłoszenia'!$B$5:$B$504,F1602,'Zgłoszenia'!$D$5:$D$504,"&gt;="&amp;A1602,'Zgłoszenia'!$D$5:$D$504,"&lt;="&amp;(A1602+1)))</f>
        <v/>
      </c>
      <c r="L1602" s="63">
        <f>IF(OR(H1602="",K1602=0),"—",IF(ISNUMBER(MATCH(H1602,'Zgłoszenia'!$S$5:$S$504,0)),RIGHT("0"&amp;DAY(A1602),2)&amp;"."&amp;RIGHT("0"&amp;MONTH(A1602),2)&amp;"."&amp;YEAR(A1602)&amp;": "&amp;INDEX('Zgłoszenia'!$H$5:$H$504,MATCH(H1602,'Zgłoszenia'!$S$5:$S$504,0)),RIGHT("0"&amp;DAY((A1602+1)),2)&amp;"."&amp;RIGHT("0"&amp;MONTH((A1602+1)),2)&amp;"."&amp;YEAR((A1602+1))&amp;": "&amp;INDEX('Zgłoszenia'!$H$5:$H$504,MATCH(F1602&amp;"|"&amp;(A1602+1),'Zgłoszenia'!$S$5:$S$504,0)))&amp;IF(K1602&gt;1," (+"&amp;(K1602-1)&amp;")",""))</f>
        <v/>
      </c>
      <c r="M1602" s="63" t="n">
        <v>20</v>
      </c>
      <c r="N1602" s="2" t="n"/>
      <c r="O1602" s="2" t="n"/>
    </row>
    <row r="1603">
      <c r="A1603" s="62">
        <f>IF('20'!$C$1="","",'20'!$C$1)</f>
        <v/>
      </c>
      <c r="B1603" s="63">
        <f>Ustawienia!$A$10&amp;""</f>
        <v/>
      </c>
      <c r="C1603" s="63">
        <f>Ustawienia!$A$15&amp;""</f>
        <v/>
      </c>
      <c r="D1603" s="63" t="n">
        <v>3</v>
      </c>
      <c r="E1603" s="63">
        <f>IF('20'!J15="","",TRIM('20'!J15&amp;""))</f>
        <v/>
      </c>
      <c r="F1603" s="63">
        <f>IF('20'!K15="","",'20'!K15)</f>
        <v/>
      </c>
      <c r="G1603" s="63">
        <f>'20'!L15&amp;""</f>
        <v/>
      </c>
      <c r="H1603" s="63">
        <f>IF(OR(A1603="",F1603=""),"",F1603&amp;"|"&amp;A1603)</f>
        <v/>
      </c>
      <c r="I1603" s="63">
        <f>IF(AND(H1603&lt;&gt;"",OR('Historia wózka'!$B$4="",F1603='Historia wózka'!$B$4),A1603&gt;='Historia wózka'!$B$5,A1603&lt;='Historia wózka'!$B$6),A1603+0.7+(5000-ROW())/10000000,0)</f>
        <v/>
      </c>
      <c r="J1603" s="63">
        <f>Ustawienia!$B$10&amp;""</f>
        <v/>
      </c>
      <c r="K1603" s="63">
        <f>IF(H1603="","",COUNTIFS('Zgłoszenia'!$B$5:$B$504,F1603,'Zgłoszenia'!$D$5:$D$504,"&gt;="&amp;A1603,'Zgłoszenia'!$D$5:$D$504,"&lt;="&amp;(A1603+1)))</f>
        <v/>
      </c>
      <c r="L1603" s="63">
        <f>IF(OR(H1603="",K1603=0),"—",IF(ISNUMBER(MATCH(H1603,'Zgłoszenia'!$S$5:$S$504,0)),RIGHT("0"&amp;DAY(A1603),2)&amp;"."&amp;RIGHT("0"&amp;MONTH(A1603),2)&amp;"."&amp;YEAR(A1603)&amp;": "&amp;INDEX('Zgłoszenia'!$H$5:$H$504,MATCH(H1603,'Zgłoszenia'!$S$5:$S$504,0)),RIGHT("0"&amp;DAY((A1603+1)),2)&amp;"."&amp;RIGHT("0"&amp;MONTH((A1603+1)),2)&amp;"."&amp;YEAR((A1603+1))&amp;": "&amp;INDEX('Zgłoszenia'!$H$5:$H$504,MATCH(F1603&amp;"|"&amp;(A1603+1),'Zgłoszenia'!$S$5:$S$504,0)))&amp;IF(K1603&gt;1," (+"&amp;(K1603-1)&amp;")",""))</f>
        <v/>
      </c>
      <c r="M1603" s="63" t="n">
        <v>20</v>
      </c>
      <c r="N1603" s="2" t="n"/>
      <c r="O1603" s="2" t="n"/>
    </row>
    <row r="1604">
      <c r="A1604" s="62">
        <f>IF('20'!$C$1="","",'20'!$C$1)</f>
        <v/>
      </c>
      <c r="B1604" s="63">
        <f>Ustawienia!$A$10&amp;""</f>
        <v/>
      </c>
      <c r="C1604" s="63">
        <f>Ustawienia!$A$15&amp;""</f>
        <v/>
      </c>
      <c r="D1604" s="63" t="n">
        <v>4</v>
      </c>
      <c r="E1604" s="63">
        <f>IF('20'!J16="","",TRIM('20'!J16&amp;""))</f>
        <v/>
      </c>
      <c r="F1604" s="63">
        <f>IF('20'!K16="","",'20'!K16)</f>
        <v/>
      </c>
      <c r="G1604" s="63">
        <f>'20'!L16&amp;""</f>
        <v/>
      </c>
      <c r="H1604" s="63">
        <f>IF(OR(A1604="",F1604=""),"",F1604&amp;"|"&amp;A1604)</f>
        <v/>
      </c>
      <c r="I1604" s="63">
        <f>IF(AND(H1604&lt;&gt;"",OR('Historia wózka'!$B$4="",F1604='Historia wózka'!$B$4),A1604&gt;='Historia wózka'!$B$5,A1604&lt;='Historia wózka'!$B$6),A1604+0.7+(5000-ROW())/10000000,0)</f>
        <v/>
      </c>
      <c r="J1604" s="63">
        <f>Ustawienia!$B$10&amp;""</f>
        <v/>
      </c>
      <c r="K1604" s="63">
        <f>IF(H1604="","",COUNTIFS('Zgłoszenia'!$B$5:$B$504,F1604,'Zgłoszenia'!$D$5:$D$504,"&gt;="&amp;A1604,'Zgłoszenia'!$D$5:$D$504,"&lt;="&amp;(A1604+1)))</f>
        <v/>
      </c>
      <c r="L1604" s="63">
        <f>IF(OR(H1604="",K1604=0),"—",IF(ISNUMBER(MATCH(H1604,'Zgłoszenia'!$S$5:$S$504,0)),RIGHT("0"&amp;DAY(A1604),2)&amp;"."&amp;RIGHT("0"&amp;MONTH(A1604),2)&amp;"."&amp;YEAR(A1604)&amp;": "&amp;INDEX('Zgłoszenia'!$H$5:$H$504,MATCH(H1604,'Zgłoszenia'!$S$5:$S$504,0)),RIGHT("0"&amp;DAY((A1604+1)),2)&amp;"."&amp;RIGHT("0"&amp;MONTH((A1604+1)),2)&amp;"."&amp;YEAR((A1604+1))&amp;": "&amp;INDEX('Zgłoszenia'!$H$5:$H$504,MATCH(F1604&amp;"|"&amp;(A1604+1),'Zgłoszenia'!$S$5:$S$504,0)))&amp;IF(K1604&gt;1," (+"&amp;(K1604-1)&amp;")",""))</f>
        <v/>
      </c>
      <c r="M1604" s="63" t="n">
        <v>20</v>
      </c>
      <c r="N1604" s="2" t="n"/>
      <c r="O1604" s="2" t="n"/>
    </row>
    <row r="1605">
      <c r="A1605" s="62">
        <f>IF('20'!$C$1="","",'20'!$C$1)</f>
        <v/>
      </c>
      <c r="B1605" s="63">
        <f>Ustawienia!$A$10&amp;""</f>
        <v/>
      </c>
      <c r="C1605" s="63">
        <f>Ustawienia!$A$15&amp;""</f>
        <v/>
      </c>
      <c r="D1605" s="63" t="n">
        <v>5</v>
      </c>
      <c r="E1605" s="63">
        <f>IF('20'!J17="","",TRIM('20'!J17&amp;""))</f>
        <v/>
      </c>
      <c r="F1605" s="63">
        <f>IF('20'!K17="","",'20'!K17)</f>
        <v/>
      </c>
      <c r="G1605" s="63">
        <f>'20'!L17&amp;""</f>
        <v/>
      </c>
      <c r="H1605" s="63">
        <f>IF(OR(A1605="",F1605=""),"",F1605&amp;"|"&amp;A1605)</f>
        <v/>
      </c>
      <c r="I1605" s="63">
        <f>IF(AND(H1605&lt;&gt;"",OR('Historia wózka'!$B$4="",F1605='Historia wózka'!$B$4),A1605&gt;='Historia wózka'!$B$5,A1605&lt;='Historia wózka'!$B$6),A1605+0.7+(5000-ROW())/10000000,0)</f>
        <v/>
      </c>
      <c r="J1605" s="63">
        <f>Ustawienia!$B$10&amp;""</f>
        <v/>
      </c>
      <c r="K1605" s="63">
        <f>IF(H1605="","",COUNTIFS('Zgłoszenia'!$B$5:$B$504,F1605,'Zgłoszenia'!$D$5:$D$504,"&gt;="&amp;A1605,'Zgłoszenia'!$D$5:$D$504,"&lt;="&amp;(A1605+1)))</f>
        <v/>
      </c>
      <c r="L1605" s="63">
        <f>IF(OR(H1605="",K1605=0),"—",IF(ISNUMBER(MATCH(H1605,'Zgłoszenia'!$S$5:$S$504,0)),RIGHT("0"&amp;DAY(A1605),2)&amp;"."&amp;RIGHT("0"&amp;MONTH(A1605),2)&amp;"."&amp;YEAR(A1605)&amp;": "&amp;INDEX('Zgłoszenia'!$H$5:$H$504,MATCH(H1605,'Zgłoszenia'!$S$5:$S$504,0)),RIGHT("0"&amp;DAY((A1605+1)),2)&amp;"."&amp;RIGHT("0"&amp;MONTH((A1605+1)),2)&amp;"."&amp;YEAR((A1605+1))&amp;": "&amp;INDEX('Zgłoszenia'!$H$5:$H$504,MATCH(F1605&amp;"|"&amp;(A1605+1),'Zgłoszenia'!$S$5:$S$504,0)))&amp;IF(K1605&gt;1," (+"&amp;(K1605-1)&amp;")",""))</f>
        <v/>
      </c>
      <c r="M1605" s="63" t="n">
        <v>20</v>
      </c>
      <c r="N1605" s="2" t="n"/>
      <c r="O1605" s="2" t="n"/>
    </row>
    <row r="1606">
      <c r="A1606" s="62">
        <f>IF('20'!$C$1="","",'20'!$C$1)</f>
        <v/>
      </c>
      <c r="B1606" s="63">
        <f>Ustawienia!$A$10&amp;""</f>
        <v/>
      </c>
      <c r="C1606" s="63">
        <f>Ustawienia!$A$15&amp;""</f>
        <v/>
      </c>
      <c r="D1606" s="63" t="n">
        <v>6</v>
      </c>
      <c r="E1606" s="63">
        <f>IF('20'!J18="","",TRIM('20'!J18&amp;""))</f>
        <v/>
      </c>
      <c r="F1606" s="63">
        <f>IF('20'!K18="","",'20'!K18)</f>
        <v/>
      </c>
      <c r="G1606" s="63">
        <f>'20'!L18&amp;""</f>
        <v/>
      </c>
      <c r="H1606" s="63">
        <f>IF(OR(A1606="",F1606=""),"",F1606&amp;"|"&amp;A1606)</f>
        <v/>
      </c>
      <c r="I1606" s="63">
        <f>IF(AND(H1606&lt;&gt;"",OR('Historia wózka'!$B$4="",F1606='Historia wózka'!$B$4),A1606&gt;='Historia wózka'!$B$5,A1606&lt;='Historia wózka'!$B$6),A1606+0.7+(5000-ROW())/10000000,0)</f>
        <v/>
      </c>
      <c r="J1606" s="63">
        <f>Ustawienia!$B$10&amp;""</f>
        <v/>
      </c>
      <c r="K1606" s="63">
        <f>IF(H1606="","",COUNTIFS('Zgłoszenia'!$B$5:$B$504,F1606,'Zgłoszenia'!$D$5:$D$504,"&gt;="&amp;A1606,'Zgłoszenia'!$D$5:$D$504,"&lt;="&amp;(A1606+1)))</f>
        <v/>
      </c>
      <c r="L1606" s="63">
        <f>IF(OR(H1606="",K1606=0),"—",IF(ISNUMBER(MATCH(H1606,'Zgłoszenia'!$S$5:$S$504,0)),RIGHT("0"&amp;DAY(A1606),2)&amp;"."&amp;RIGHT("0"&amp;MONTH(A1606),2)&amp;"."&amp;YEAR(A1606)&amp;": "&amp;INDEX('Zgłoszenia'!$H$5:$H$504,MATCH(H1606,'Zgłoszenia'!$S$5:$S$504,0)),RIGHT("0"&amp;DAY((A1606+1)),2)&amp;"."&amp;RIGHT("0"&amp;MONTH((A1606+1)),2)&amp;"."&amp;YEAR((A1606+1))&amp;": "&amp;INDEX('Zgłoszenia'!$H$5:$H$504,MATCH(F1606&amp;"|"&amp;(A1606+1),'Zgłoszenia'!$S$5:$S$504,0)))&amp;IF(K1606&gt;1," (+"&amp;(K1606-1)&amp;")",""))</f>
        <v/>
      </c>
      <c r="M1606" s="63" t="n">
        <v>20</v>
      </c>
      <c r="N1606" s="2" t="n"/>
      <c r="O1606" s="2" t="n"/>
    </row>
    <row r="1607">
      <c r="A1607" s="62">
        <f>IF('20'!$C$1="","",'20'!$C$1)</f>
        <v/>
      </c>
      <c r="B1607" s="63">
        <f>Ustawienia!$A$10&amp;""</f>
        <v/>
      </c>
      <c r="C1607" s="63">
        <f>Ustawienia!$A$15&amp;""</f>
        <v/>
      </c>
      <c r="D1607" s="63" t="n">
        <v>7</v>
      </c>
      <c r="E1607" s="63">
        <f>IF('20'!J19="","",TRIM('20'!J19&amp;""))</f>
        <v/>
      </c>
      <c r="F1607" s="63">
        <f>IF('20'!K19="","",'20'!K19)</f>
        <v/>
      </c>
      <c r="G1607" s="63">
        <f>'20'!L19&amp;""</f>
        <v/>
      </c>
      <c r="H1607" s="63">
        <f>IF(OR(A1607="",F1607=""),"",F1607&amp;"|"&amp;A1607)</f>
        <v/>
      </c>
      <c r="I1607" s="63">
        <f>IF(AND(H1607&lt;&gt;"",OR('Historia wózka'!$B$4="",F1607='Historia wózka'!$B$4),A1607&gt;='Historia wózka'!$B$5,A1607&lt;='Historia wózka'!$B$6),A1607+0.7+(5000-ROW())/10000000,0)</f>
        <v/>
      </c>
      <c r="J1607" s="63">
        <f>Ustawienia!$B$10&amp;""</f>
        <v/>
      </c>
      <c r="K1607" s="63">
        <f>IF(H1607="","",COUNTIFS('Zgłoszenia'!$B$5:$B$504,F1607,'Zgłoszenia'!$D$5:$D$504,"&gt;="&amp;A1607,'Zgłoszenia'!$D$5:$D$504,"&lt;="&amp;(A1607+1)))</f>
        <v/>
      </c>
      <c r="L1607" s="63">
        <f>IF(OR(H1607="",K1607=0),"—",IF(ISNUMBER(MATCH(H1607,'Zgłoszenia'!$S$5:$S$504,0)),RIGHT("0"&amp;DAY(A1607),2)&amp;"."&amp;RIGHT("0"&amp;MONTH(A1607),2)&amp;"."&amp;YEAR(A1607)&amp;": "&amp;INDEX('Zgłoszenia'!$H$5:$H$504,MATCH(H1607,'Zgłoszenia'!$S$5:$S$504,0)),RIGHT("0"&amp;DAY((A1607+1)),2)&amp;"."&amp;RIGHT("0"&amp;MONTH((A1607+1)),2)&amp;"."&amp;YEAR((A1607+1))&amp;": "&amp;INDEX('Zgłoszenia'!$H$5:$H$504,MATCH(F1607&amp;"|"&amp;(A1607+1),'Zgłoszenia'!$S$5:$S$504,0)))&amp;IF(K1607&gt;1," (+"&amp;(K1607-1)&amp;")",""))</f>
        <v/>
      </c>
      <c r="M1607" s="63" t="n">
        <v>20</v>
      </c>
      <c r="N1607" s="2" t="n"/>
      <c r="O1607" s="2" t="n"/>
    </row>
    <row r="1608">
      <c r="A1608" s="62">
        <f>IF('20'!$C$1="","",'20'!$C$1)</f>
        <v/>
      </c>
      <c r="B1608" s="63">
        <f>Ustawienia!$A$10&amp;""</f>
        <v/>
      </c>
      <c r="C1608" s="63">
        <f>Ustawienia!$A$15&amp;""</f>
        <v/>
      </c>
      <c r="D1608" s="63" t="n">
        <v>8</v>
      </c>
      <c r="E1608" s="63">
        <f>IF('20'!J20="","",TRIM('20'!J20&amp;""))</f>
        <v/>
      </c>
      <c r="F1608" s="63">
        <f>IF('20'!K20="","",'20'!K20)</f>
        <v/>
      </c>
      <c r="G1608" s="63">
        <f>'20'!L20&amp;""</f>
        <v/>
      </c>
      <c r="H1608" s="63">
        <f>IF(OR(A1608="",F1608=""),"",F1608&amp;"|"&amp;A1608)</f>
        <v/>
      </c>
      <c r="I1608" s="63">
        <f>IF(AND(H1608&lt;&gt;"",OR('Historia wózka'!$B$4="",F1608='Historia wózka'!$B$4),A1608&gt;='Historia wózka'!$B$5,A1608&lt;='Historia wózka'!$B$6),A1608+0.7+(5000-ROW())/10000000,0)</f>
        <v/>
      </c>
      <c r="J1608" s="63">
        <f>Ustawienia!$B$10&amp;""</f>
        <v/>
      </c>
      <c r="K1608" s="63">
        <f>IF(H1608="","",COUNTIFS('Zgłoszenia'!$B$5:$B$504,F1608,'Zgłoszenia'!$D$5:$D$504,"&gt;="&amp;A1608,'Zgłoszenia'!$D$5:$D$504,"&lt;="&amp;(A1608+1)))</f>
        <v/>
      </c>
      <c r="L1608" s="63">
        <f>IF(OR(H1608="",K1608=0),"—",IF(ISNUMBER(MATCH(H1608,'Zgłoszenia'!$S$5:$S$504,0)),RIGHT("0"&amp;DAY(A1608),2)&amp;"."&amp;RIGHT("0"&amp;MONTH(A1608),2)&amp;"."&amp;YEAR(A1608)&amp;": "&amp;INDEX('Zgłoszenia'!$H$5:$H$504,MATCH(H1608,'Zgłoszenia'!$S$5:$S$504,0)),RIGHT("0"&amp;DAY((A1608+1)),2)&amp;"."&amp;RIGHT("0"&amp;MONTH((A1608+1)),2)&amp;"."&amp;YEAR((A1608+1))&amp;": "&amp;INDEX('Zgłoszenia'!$H$5:$H$504,MATCH(F1608&amp;"|"&amp;(A1608+1),'Zgłoszenia'!$S$5:$S$504,0)))&amp;IF(K1608&gt;1," (+"&amp;(K1608-1)&amp;")",""))</f>
        <v/>
      </c>
      <c r="M1608" s="63" t="n">
        <v>20</v>
      </c>
      <c r="N1608" s="2" t="n"/>
      <c r="O1608" s="2" t="n"/>
    </row>
    <row r="1609">
      <c r="A1609" s="62">
        <f>IF('20'!$C$1="","",'20'!$C$1)</f>
        <v/>
      </c>
      <c r="B1609" s="63">
        <f>Ustawienia!$A$10&amp;""</f>
        <v/>
      </c>
      <c r="C1609" s="63">
        <f>Ustawienia!$A$16&amp;""</f>
        <v/>
      </c>
      <c r="D1609" s="63" t="n">
        <v>1</v>
      </c>
      <c r="E1609" s="63">
        <f>IF('20'!J22="","",TRIM('20'!J22&amp;""))</f>
        <v/>
      </c>
      <c r="F1609" s="63">
        <f>IF('20'!K22="","",'20'!K22)</f>
        <v/>
      </c>
      <c r="G1609" s="63">
        <f>'20'!L22&amp;""</f>
        <v/>
      </c>
      <c r="H1609" s="63">
        <f>IF(OR(A1609="",F1609=""),"",F1609&amp;"|"&amp;A1609)</f>
        <v/>
      </c>
      <c r="I1609" s="63">
        <f>IF(AND(H1609&lt;&gt;"",OR('Historia wózka'!$B$4="",F1609='Historia wózka'!$B$4),A1609&gt;='Historia wózka'!$B$5,A1609&lt;='Historia wózka'!$B$6),A1609+0.7+(5000-ROW())/10000000,0)</f>
        <v/>
      </c>
      <c r="J1609" s="63">
        <f>Ustawienia!$B$10&amp;""</f>
        <v/>
      </c>
      <c r="K1609" s="63">
        <f>IF(H1609="","",COUNTIFS('Zgłoszenia'!$B$5:$B$504,F1609,'Zgłoszenia'!$D$5:$D$504,"&gt;="&amp;A1609,'Zgłoszenia'!$D$5:$D$504,"&lt;="&amp;(A1609+1)))</f>
        <v/>
      </c>
      <c r="L1609" s="63">
        <f>IF(OR(H1609="",K1609=0),"—",IF(ISNUMBER(MATCH(H1609,'Zgłoszenia'!$S$5:$S$504,0)),RIGHT("0"&amp;DAY(A1609),2)&amp;"."&amp;RIGHT("0"&amp;MONTH(A1609),2)&amp;"."&amp;YEAR(A1609)&amp;": "&amp;INDEX('Zgłoszenia'!$H$5:$H$504,MATCH(H1609,'Zgłoszenia'!$S$5:$S$504,0)),RIGHT("0"&amp;DAY((A1609+1)),2)&amp;"."&amp;RIGHT("0"&amp;MONTH((A1609+1)),2)&amp;"."&amp;YEAR((A1609+1))&amp;": "&amp;INDEX('Zgłoszenia'!$H$5:$H$504,MATCH(F1609&amp;"|"&amp;(A1609+1),'Zgłoszenia'!$S$5:$S$504,0)))&amp;IF(K1609&gt;1," (+"&amp;(K1609-1)&amp;")",""))</f>
        <v/>
      </c>
      <c r="M1609" s="63" t="n">
        <v>20</v>
      </c>
      <c r="N1609" s="2" t="n"/>
      <c r="O1609" s="2" t="n"/>
    </row>
    <row r="1610">
      <c r="A1610" s="62">
        <f>IF('20'!$C$1="","",'20'!$C$1)</f>
        <v/>
      </c>
      <c r="B1610" s="63">
        <f>Ustawienia!$A$10&amp;""</f>
        <v/>
      </c>
      <c r="C1610" s="63">
        <f>Ustawienia!$A$16&amp;""</f>
        <v/>
      </c>
      <c r="D1610" s="63" t="n">
        <v>2</v>
      </c>
      <c r="E1610" s="63">
        <f>IF('20'!J23="","",TRIM('20'!J23&amp;""))</f>
        <v/>
      </c>
      <c r="F1610" s="63">
        <f>IF('20'!K23="","",'20'!K23)</f>
        <v/>
      </c>
      <c r="G1610" s="63">
        <f>'20'!L23&amp;""</f>
        <v/>
      </c>
      <c r="H1610" s="63">
        <f>IF(OR(A1610="",F1610=""),"",F1610&amp;"|"&amp;A1610)</f>
        <v/>
      </c>
      <c r="I1610" s="63">
        <f>IF(AND(H1610&lt;&gt;"",OR('Historia wózka'!$B$4="",F1610='Historia wózka'!$B$4),A1610&gt;='Historia wózka'!$B$5,A1610&lt;='Historia wózka'!$B$6),A1610+0.7+(5000-ROW())/10000000,0)</f>
        <v/>
      </c>
      <c r="J1610" s="63">
        <f>Ustawienia!$B$10&amp;""</f>
        <v/>
      </c>
      <c r="K1610" s="63">
        <f>IF(H1610="","",COUNTIFS('Zgłoszenia'!$B$5:$B$504,F1610,'Zgłoszenia'!$D$5:$D$504,"&gt;="&amp;A1610,'Zgłoszenia'!$D$5:$D$504,"&lt;="&amp;(A1610+1)))</f>
        <v/>
      </c>
      <c r="L1610" s="63">
        <f>IF(OR(H1610="",K1610=0),"—",IF(ISNUMBER(MATCH(H1610,'Zgłoszenia'!$S$5:$S$504,0)),RIGHT("0"&amp;DAY(A1610),2)&amp;"."&amp;RIGHT("0"&amp;MONTH(A1610),2)&amp;"."&amp;YEAR(A1610)&amp;": "&amp;INDEX('Zgłoszenia'!$H$5:$H$504,MATCH(H1610,'Zgłoszenia'!$S$5:$S$504,0)),RIGHT("0"&amp;DAY((A1610+1)),2)&amp;"."&amp;RIGHT("0"&amp;MONTH((A1610+1)),2)&amp;"."&amp;YEAR((A1610+1))&amp;": "&amp;INDEX('Zgłoszenia'!$H$5:$H$504,MATCH(F1610&amp;"|"&amp;(A1610+1),'Zgłoszenia'!$S$5:$S$504,0)))&amp;IF(K1610&gt;1," (+"&amp;(K1610-1)&amp;")",""))</f>
        <v/>
      </c>
      <c r="M1610" s="63" t="n">
        <v>20</v>
      </c>
      <c r="N1610" s="2" t="n"/>
      <c r="O1610" s="2" t="n"/>
    </row>
    <row r="1611">
      <c r="A1611" s="62">
        <f>IF('20'!$C$1="","",'20'!$C$1)</f>
        <v/>
      </c>
      <c r="B1611" s="63">
        <f>Ustawienia!$A$10&amp;""</f>
        <v/>
      </c>
      <c r="C1611" s="63">
        <f>Ustawienia!$A$16&amp;""</f>
        <v/>
      </c>
      <c r="D1611" s="63" t="n">
        <v>3</v>
      </c>
      <c r="E1611" s="63">
        <f>IF('20'!J24="","",TRIM('20'!J24&amp;""))</f>
        <v/>
      </c>
      <c r="F1611" s="63">
        <f>IF('20'!K24="","",'20'!K24)</f>
        <v/>
      </c>
      <c r="G1611" s="63">
        <f>'20'!L24&amp;""</f>
        <v/>
      </c>
      <c r="H1611" s="63">
        <f>IF(OR(A1611="",F1611=""),"",F1611&amp;"|"&amp;A1611)</f>
        <v/>
      </c>
      <c r="I1611" s="63">
        <f>IF(AND(H1611&lt;&gt;"",OR('Historia wózka'!$B$4="",F1611='Historia wózka'!$B$4),A1611&gt;='Historia wózka'!$B$5,A1611&lt;='Historia wózka'!$B$6),A1611+0.7+(5000-ROW())/10000000,0)</f>
        <v/>
      </c>
      <c r="J1611" s="63">
        <f>Ustawienia!$B$10&amp;""</f>
        <v/>
      </c>
      <c r="K1611" s="63">
        <f>IF(H1611="","",COUNTIFS('Zgłoszenia'!$B$5:$B$504,F1611,'Zgłoszenia'!$D$5:$D$504,"&gt;="&amp;A1611,'Zgłoszenia'!$D$5:$D$504,"&lt;="&amp;(A1611+1)))</f>
        <v/>
      </c>
      <c r="L1611" s="63">
        <f>IF(OR(H1611="",K1611=0),"—",IF(ISNUMBER(MATCH(H1611,'Zgłoszenia'!$S$5:$S$504,0)),RIGHT("0"&amp;DAY(A1611),2)&amp;"."&amp;RIGHT("0"&amp;MONTH(A1611),2)&amp;"."&amp;YEAR(A1611)&amp;": "&amp;INDEX('Zgłoszenia'!$H$5:$H$504,MATCH(H1611,'Zgłoszenia'!$S$5:$S$504,0)),RIGHT("0"&amp;DAY((A1611+1)),2)&amp;"."&amp;RIGHT("0"&amp;MONTH((A1611+1)),2)&amp;"."&amp;YEAR((A1611+1))&amp;": "&amp;INDEX('Zgłoszenia'!$H$5:$H$504,MATCH(F1611&amp;"|"&amp;(A1611+1),'Zgłoszenia'!$S$5:$S$504,0)))&amp;IF(K1611&gt;1," (+"&amp;(K1611-1)&amp;")",""))</f>
        <v/>
      </c>
      <c r="M1611" s="63" t="n">
        <v>20</v>
      </c>
      <c r="N1611" s="2" t="n"/>
      <c r="O1611" s="2" t="n"/>
    </row>
    <row r="1612">
      <c r="A1612" s="62">
        <f>IF('20'!$C$1="","",'20'!$C$1)</f>
        <v/>
      </c>
      <c r="B1612" s="63">
        <f>Ustawienia!$A$10&amp;""</f>
        <v/>
      </c>
      <c r="C1612" s="63">
        <f>Ustawienia!$A$16&amp;""</f>
        <v/>
      </c>
      <c r="D1612" s="63" t="n">
        <v>4</v>
      </c>
      <c r="E1612" s="63">
        <f>IF('20'!J25="","",TRIM('20'!J25&amp;""))</f>
        <v/>
      </c>
      <c r="F1612" s="63">
        <f>IF('20'!K25="","",'20'!K25)</f>
        <v/>
      </c>
      <c r="G1612" s="63">
        <f>'20'!L25&amp;""</f>
        <v/>
      </c>
      <c r="H1612" s="63">
        <f>IF(OR(A1612="",F1612=""),"",F1612&amp;"|"&amp;A1612)</f>
        <v/>
      </c>
      <c r="I1612" s="63">
        <f>IF(AND(H1612&lt;&gt;"",OR('Historia wózka'!$B$4="",F1612='Historia wózka'!$B$4),A1612&gt;='Historia wózka'!$B$5,A1612&lt;='Historia wózka'!$B$6),A1612+0.7+(5000-ROW())/10000000,0)</f>
        <v/>
      </c>
      <c r="J1612" s="63">
        <f>Ustawienia!$B$10&amp;""</f>
        <v/>
      </c>
      <c r="K1612" s="63">
        <f>IF(H1612="","",COUNTIFS('Zgłoszenia'!$B$5:$B$504,F1612,'Zgłoszenia'!$D$5:$D$504,"&gt;="&amp;A1612,'Zgłoszenia'!$D$5:$D$504,"&lt;="&amp;(A1612+1)))</f>
        <v/>
      </c>
      <c r="L1612" s="63">
        <f>IF(OR(H1612="",K1612=0),"—",IF(ISNUMBER(MATCH(H1612,'Zgłoszenia'!$S$5:$S$504,0)),RIGHT("0"&amp;DAY(A1612),2)&amp;"."&amp;RIGHT("0"&amp;MONTH(A1612),2)&amp;"."&amp;YEAR(A1612)&amp;": "&amp;INDEX('Zgłoszenia'!$H$5:$H$504,MATCH(H1612,'Zgłoszenia'!$S$5:$S$504,0)),RIGHT("0"&amp;DAY((A1612+1)),2)&amp;"."&amp;RIGHT("0"&amp;MONTH((A1612+1)),2)&amp;"."&amp;YEAR((A1612+1))&amp;": "&amp;INDEX('Zgłoszenia'!$H$5:$H$504,MATCH(F1612&amp;"|"&amp;(A1612+1),'Zgłoszenia'!$S$5:$S$504,0)))&amp;IF(K1612&gt;1," (+"&amp;(K1612-1)&amp;")",""))</f>
        <v/>
      </c>
      <c r="M1612" s="63" t="n">
        <v>20</v>
      </c>
      <c r="N1612" s="2" t="n"/>
      <c r="O1612" s="2" t="n"/>
    </row>
    <row r="1613">
      <c r="A1613" s="62">
        <f>IF('20'!$C$1="","",'20'!$C$1)</f>
        <v/>
      </c>
      <c r="B1613" s="63">
        <f>Ustawienia!$A$10&amp;""</f>
        <v/>
      </c>
      <c r="C1613" s="63">
        <f>Ustawienia!$A$17&amp;""</f>
        <v/>
      </c>
      <c r="D1613" s="63" t="n">
        <v>1</v>
      </c>
      <c r="E1613" s="63">
        <f>IF('20'!J27="","",TRIM('20'!J27&amp;""))</f>
        <v/>
      </c>
      <c r="F1613" s="63">
        <f>IF('20'!K27="","",'20'!K27)</f>
        <v/>
      </c>
      <c r="G1613" s="63">
        <f>'20'!L27&amp;""</f>
        <v/>
      </c>
      <c r="H1613" s="63">
        <f>IF(OR(A1613="",F1613=""),"",F1613&amp;"|"&amp;A1613)</f>
        <v/>
      </c>
      <c r="I1613" s="63">
        <f>IF(AND(H1613&lt;&gt;"",OR('Historia wózka'!$B$4="",F1613='Historia wózka'!$B$4),A1613&gt;='Historia wózka'!$B$5,A1613&lt;='Historia wózka'!$B$6),A1613+0.7+(5000-ROW())/10000000,0)</f>
        <v/>
      </c>
      <c r="J1613" s="63">
        <f>Ustawienia!$B$10&amp;""</f>
        <v/>
      </c>
      <c r="K1613" s="63">
        <f>IF(H1613="","",COUNTIFS('Zgłoszenia'!$B$5:$B$504,F1613,'Zgłoszenia'!$D$5:$D$504,"&gt;="&amp;A1613,'Zgłoszenia'!$D$5:$D$504,"&lt;="&amp;(A1613+1)))</f>
        <v/>
      </c>
      <c r="L1613" s="63">
        <f>IF(OR(H1613="",K1613=0),"—",IF(ISNUMBER(MATCH(H1613,'Zgłoszenia'!$S$5:$S$504,0)),RIGHT("0"&amp;DAY(A1613),2)&amp;"."&amp;RIGHT("0"&amp;MONTH(A1613),2)&amp;"."&amp;YEAR(A1613)&amp;": "&amp;INDEX('Zgłoszenia'!$H$5:$H$504,MATCH(H1613,'Zgłoszenia'!$S$5:$S$504,0)),RIGHT("0"&amp;DAY((A1613+1)),2)&amp;"."&amp;RIGHT("0"&amp;MONTH((A1613+1)),2)&amp;"."&amp;YEAR((A1613+1))&amp;": "&amp;INDEX('Zgłoszenia'!$H$5:$H$504,MATCH(F1613&amp;"|"&amp;(A1613+1),'Zgłoszenia'!$S$5:$S$504,0)))&amp;IF(K1613&gt;1," (+"&amp;(K1613-1)&amp;")",""))</f>
        <v/>
      </c>
      <c r="M1613" s="63" t="n">
        <v>20</v>
      </c>
      <c r="N1613" s="2" t="n"/>
      <c r="O1613" s="2" t="n"/>
    </row>
    <row r="1614">
      <c r="A1614" s="62">
        <f>IF('20'!$C$1="","",'20'!$C$1)</f>
        <v/>
      </c>
      <c r="B1614" s="63">
        <f>Ustawienia!$A$10&amp;""</f>
        <v/>
      </c>
      <c r="C1614" s="63">
        <f>Ustawienia!$A$17&amp;""</f>
        <v/>
      </c>
      <c r="D1614" s="63" t="n">
        <v>2</v>
      </c>
      <c r="E1614" s="63">
        <f>IF('20'!J28="","",TRIM('20'!J28&amp;""))</f>
        <v/>
      </c>
      <c r="F1614" s="63">
        <f>IF('20'!K28="","",'20'!K28)</f>
        <v/>
      </c>
      <c r="G1614" s="63">
        <f>'20'!L28&amp;""</f>
        <v/>
      </c>
      <c r="H1614" s="63">
        <f>IF(OR(A1614="",F1614=""),"",F1614&amp;"|"&amp;A1614)</f>
        <v/>
      </c>
      <c r="I1614" s="63">
        <f>IF(AND(H1614&lt;&gt;"",OR('Historia wózka'!$B$4="",F1614='Historia wózka'!$B$4),A1614&gt;='Historia wózka'!$B$5,A1614&lt;='Historia wózka'!$B$6),A1614+0.7+(5000-ROW())/10000000,0)</f>
        <v/>
      </c>
      <c r="J1614" s="63">
        <f>Ustawienia!$B$10&amp;""</f>
        <v/>
      </c>
      <c r="K1614" s="63">
        <f>IF(H1614="","",COUNTIFS('Zgłoszenia'!$B$5:$B$504,F1614,'Zgłoszenia'!$D$5:$D$504,"&gt;="&amp;A1614,'Zgłoszenia'!$D$5:$D$504,"&lt;="&amp;(A1614+1)))</f>
        <v/>
      </c>
      <c r="L1614" s="63">
        <f>IF(OR(H1614="",K1614=0),"—",IF(ISNUMBER(MATCH(H1614,'Zgłoszenia'!$S$5:$S$504,0)),RIGHT("0"&amp;DAY(A1614),2)&amp;"."&amp;RIGHT("0"&amp;MONTH(A1614),2)&amp;"."&amp;YEAR(A1614)&amp;": "&amp;INDEX('Zgłoszenia'!$H$5:$H$504,MATCH(H1614,'Zgłoszenia'!$S$5:$S$504,0)),RIGHT("0"&amp;DAY((A1614+1)),2)&amp;"."&amp;RIGHT("0"&amp;MONTH((A1614+1)),2)&amp;"."&amp;YEAR((A1614+1))&amp;": "&amp;INDEX('Zgłoszenia'!$H$5:$H$504,MATCH(F1614&amp;"|"&amp;(A1614+1),'Zgłoszenia'!$S$5:$S$504,0)))&amp;IF(K1614&gt;1," (+"&amp;(K1614-1)&amp;")",""))</f>
        <v/>
      </c>
      <c r="M1614" s="63" t="n">
        <v>20</v>
      </c>
      <c r="N1614" s="2" t="n"/>
      <c r="O1614" s="2" t="n"/>
    </row>
    <row r="1615">
      <c r="A1615" s="62">
        <f>IF('20'!$C$1="","",'20'!$C$1)</f>
        <v/>
      </c>
      <c r="B1615" s="63">
        <f>Ustawienia!$A$10&amp;""</f>
        <v/>
      </c>
      <c r="C1615" s="63">
        <f>Ustawienia!$A$17&amp;""</f>
        <v/>
      </c>
      <c r="D1615" s="63" t="n">
        <v>3</v>
      </c>
      <c r="E1615" s="63">
        <f>IF('20'!J29="","",TRIM('20'!J29&amp;""))</f>
        <v/>
      </c>
      <c r="F1615" s="63">
        <f>IF('20'!K29="","",'20'!K29)</f>
        <v/>
      </c>
      <c r="G1615" s="63">
        <f>'20'!L29&amp;""</f>
        <v/>
      </c>
      <c r="H1615" s="63">
        <f>IF(OR(A1615="",F1615=""),"",F1615&amp;"|"&amp;A1615)</f>
        <v/>
      </c>
      <c r="I1615" s="63">
        <f>IF(AND(H1615&lt;&gt;"",OR('Historia wózka'!$B$4="",F1615='Historia wózka'!$B$4),A1615&gt;='Historia wózka'!$B$5,A1615&lt;='Historia wózka'!$B$6),A1615+0.7+(5000-ROW())/10000000,0)</f>
        <v/>
      </c>
      <c r="J1615" s="63">
        <f>Ustawienia!$B$10&amp;""</f>
        <v/>
      </c>
      <c r="K1615" s="63">
        <f>IF(H1615="","",COUNTIFS('Zgłoszenia'!$B$5:$B$504,F1615,'Zgłoszenia'!$D$5:$D$504,"&gt;="&amp;A1615,'Zgłoszenia'!$D$5:$D$504,"&lt;="&amp;(A1615+1)))</f>
        <v/>
      </c>
      <c r="L1615" s="63">
        <f>IF(OR(H1615="",K1615=0),"—",IF(ISNUMBER(MATCH(H1615,'Zgłoszenia'!$S$5:$S$504,0)),RIGHT("0"&amp;DAY(A1615),2)&amp;"."&amp;RIGHT("0"&amp;MONTH(A1615),2)&amp;"."&amp;YEAR(A1615)&amp;": "&amp;INDEX('Zgłoszenia'!$H$5:$H$504,MATCH(H1615,'Zgłoszenia'!$S$5:$S$504,0)),RIGHT("0"&amp;DAY((A1615+1)),2)&amp;"."&amp;RIGHT("0"&amp;MONTH((A1615+1)),2)&amp;"."&amp;YEAR((A1615+1))&amp;": "&amp;INDEX('Zgłoszenia'!$H$5:$H$504,MATCH(F1615&amp;"|"&amp;(A1615+1),'Zgłoszenia'!$S$5:$S$504,0)))&amp;IF(K1615&gt;1," (+"&amp;(K1615-1)&amp;")",""))</f>
        <v/>
      </c>
      <c r="M1615" s="63" t="n">
        <v>20</v>
      </c>
      <c r="N1615" s="2" t="n"/>
      <c r="O1615" s="2" t="n"/>
    </row>
    <row r="1616">
      <c r="A1616" s="62">
        <f>IF('20'!$C$1="","",'20'!$C$1)</f>
        <v/>
      </c>
      <c r="B1616" s="63">
        <f>Ustawienia!$A$10&amp;""</f>
        <v/>
      </c>
      <c r="C1616" s="63">
        <f>Ustawienia!$A$17&amp;""</f>
        <v/>
      </c>
      <c r="D1616" s="63" t="n">
        <v>4</v>
      </c>
      <c r="E1616" s="63">
        <f>IF('20'!J30="","",TRIM('20'!J30&amp;""))</f>
        <v/>
      </c>
      <c r="F1616" s="63">
        <f>IF('20'!K30="","",'20'!K30)</f>
        <v/>
      </c>
      <c r="G1616" s="63">
        <f>'20'!L30&amp;""</f>
        <v/>
      </c>
      <c r="H1616" s="63">
        <f>IF(OR(A1616="",F1616=""),"",F1616&amp;"|"&amp;A1616)</f>
        <v/>
      </c>
      <c r="I1616" s="63">
        <f>IF(AND(H1616&lt;&gt;"",OR('Historia wózka'!$B$4="",F1616='Historia wózka'!$B$4),A1616&gt;='Historia wózka'!$B$5,A1616&lt;='Historia wózka'!$B$6),A1616+0.7+(5000-ROW())/10000000,0)</f>
        <v/>
      </c>
      <c r="J1616" s="63">
        <f>Ustawienia!$B$10&amp;""</f>
        <v/>
      </c>
      <c r="K1616" s="63">
        <f>IF(H1616="","",COUNTIFS('Zgłoszenia'!$B$5:$B$504,F1616,'Zgłoszenia'!$D$5:$D$504,"&gt;="&amp;A1616,'Zgłoszenia'!$D$5:$D$504,"&lt;="&amp;(A1616+1)))</f>
        <v/>
      </c>
      <c r="L1616" s="63">
        <f>IF(OR(H1616="",K1616=0),"—",IF(ISNUMBER(MATCH(H1616,'Zgłoszenia'!$S$5:$S$504,0)),RIGHT("0"&amp;DAY(A1616),2)&amp;"."&amp;RIGHT("0"&amp;MONTH(A1616),2)&amp;"."&amp;YEAR(A1616)&amp;": "&amp;INDEX('Zgłoszenia'!$H$5:$H$504,MATCH(H1616,'Zgłoszenia'!$S$5:$S$504,0)),RIGHT("0"&amp;DAY((A1616+1)),2)&amp;"."&amp;RIGHT("0"&amp;MONTH((A1616+1)),2)&amp;"."&amp;YEAR((A1616+1))&amp;": "&amp;INDEX('Zgłoszenia'!$H$5:$H$504,MATCH(F1616&amp;"|"&amp;(A1616+1),'Zgłoszenia'!$S$5:$S$504,0)))&amp;IF(K1616&gt;1," (+"&amp;(K1616-1)&amp;")",""))</f>
        <v/>
      </c>
      <c r="M1616" s="63" t="n">
        <v>20</v>
      </c>
      <c r="N1616" s="2" t="n"/>
      <c r="O1616" s="2" t="n"/>
    </row>
    <row r="1617">
      <c r="A1617" s="62">
        <f>IF('20'!$C$1="","",'20'!$C$1)</f>
        <v/>
      </c>
      <c r="B1617" s="63">
        <f>Ustawienia!$A$10&amp;""</f>
        <v/>
      </c>
      <c r="C1617" s="63">
        <f>Ustawienia!$A$18&amp;""</f>
        <v/>
      </c>
      <c r="D1617" s="63" t="n">
        <v>1</v>
      </c>
      <c r="E1617" s="63">
        <f>IF('20'!J32="","",TRIM('20'!J32&amp;""))</f>
        <v/>
      </c>
      <c r="F1617" s="63">
        <f>IF('20'!K32="","",'20'!K32)</f>
        <v/>
      </c>
      <c r="G1617" s="63">
        <f>'20'!L32&amp;""</f>
        <v/>
      </c>
      <c r="H1617" s="63">
        <f>IF(OR(A1617="",F1617=""),"",F1617&amp;"|"&amp;A1617)</f>
        <v/>
      </c>
      <c r="I1617" s="63">
        <f>IF(AND(H1617&lt;&gt;"",OR('Historia wózka'!$B$4="",F1617='Historia wózka'!$B$4),A1617&gt;='Historia wózka'!$B$5,A1617&lt;='Historia wózka'!$B$6),A1617+0.7+(5000-ROW())/10000000,0)</f>
        <v/>
      </c>
      <c r="J1617" s="63">
        <f>Ustawienia!$B$10&amp;""</f>
        <v/>
      </c>
      <c r="K1617" s="63">
        <f>IF(H1617="","",COUNTIFS('Zgłoszenia'!$B$5:$B$504,F1617,'Zgłoszenia'!$D$5:$D$504,"&gt;="&amp;A1617,'Zgłoszenia'!$D$5:$D$504,"&lt;="&amp;(A1617+1)))</f>
        <v/>
      </c>
      <c r="L1617" s="63">
        <f>IF(OR(H1617="",K1617=0),"—",IF(ISNUMBER(MATCH(H1617,'Zgłoszenia'!$S$5:$S$504,0)),RIGHT("0"&amp;DAY(A1617),2)&amp;"."&amp;RIGHT("0"&amp;MONTH(A1617),2)&amp;"."&amp;YEAR(A1617)&amp;": "&amp;INDEX('Zgłoszenia'!$H$5:$H$504,MATCH(H1617,'Zgłoszenia'!$S$5:$S$504,0)),RIGHT("0"&amp;DAY((A1617+1)),2)&amp;"."&amp;RIGHT("0"&amp;MONTH((A1617+1)),2)&amp;"."&amp;YEAR((A1617+1))&amp;": "&amp;INDEX('Zgłoszenia'!$H$5:$H$504,MATCH(F1617&amp;"|"&amp;(A1617+1),'Zgłoszenia'!$S$5:$S$504,0)))&amp;IF(K1617&gt;1," (+"&amp;(K1617-1)&amp;")",""))</f>
        <v/>
      </c>
      <c r="M1617" s="63" t="n">
        <v>20</v>
      </c>
      <c r="N1617" s="2" t="n"/>
      <c r="O1617" s="2" t="n"/>
    </row>
    <row r="1618">
      <c r="A1618" s="62">
        <f>IF('20'!$C$1="","",'20'!$C$1)</f>
        <v/>
      </c>
      <c r="B1618" s="63">
        <f>Ustawienia!$A$10&amp;""</f>
        <v/>
      </c>
      <c r="C1618" s="63">
        <f>Ustawienia!$A$18&amp;""</f>
        <v/>
      </c>
      <c r="D1618" s="63" t="n">
        <v>2</v>
      </c>
      <c r="E1618" s="63">
        <f>IF('20'!J33="","",TRIM('20'!J33&amp;""))</f>
        <v/>
      </c>
      <c r="F1618" s="63">
        <f>IF('20'!K33="","",'20'!K33)</f>
        <v/>
      </c>
      <c r="G1618" s="63">
        <f>'20'!L33&amp;""</f>
        <v/>
      </c>
      <c r="H1618" s="63">
        <f>IF(OR(A1618="",F1618=""),"",F1618&amp;"|"&amp;A1618)</f>
        <v/>
      </c>
      <c r="I1618" s="63">
        <f>IF(AND(H1618&lt;&gt;"",OR('Historia wózka'!$B$4="",F1618='Historia wózka'!$B$4),A1618&gt;='Historia wózka'!$B$5,A1618&lt;='Historia wózka'!$B$6),A1618+0.7+(5000-ROW())/10000000,0)</f>
        <v/>
      </c>
      <c r="J1618" s="63">
        <f>Ustawienia!$B$10&amp;""</f>
        <v/>
      </c>
      <c r="K1618" s="63">
        <f>IF(H1618="","",COUNTIFS('Zgłoszenia'!$B$5:$B$504,F1618,'Zgłoszenia'!$D$5:$D$504,"&gt;="&amp;A1618,'Zgłoszenia'!$D$5:$D$504,"&lt;="&amp;(A1618+1)))</f>
        <v/>
      </c>
      <c r="L1618" s="63">
        <f>IF(OR(H1618="",K1618=0),"—",IF(ISNUMBER(MATCH(H1618,'Zgłoszenia'!$S$5:$S$504,0)),RIGHT("0"&amp;DAY(A1618),2)&amp;"."&amp;RIGHT("0"&amp;MONTH(A1618),2)&amp;"."&amp;YEAR(A1618)&amp;": "&amp;INDEX('Zgłoszenia'!$H$5:$H$504,MATCH(H1618,'Zgłoszenia'!$S$5:$S$504,0)),RIGHT("0"&amp;DAY((A1618+1)),2)&amp;"."&amp;RIGHT("0"&amp;MONTH((A1618+1)),2)&amp;"."&amp;YEAR((A1618+1))&amp;": "&amp;INDEX('Zgłoszenia'!$H$5:$H$504,MATCH(F1618&amp;"|"&amp;(A1618+1),'Zgłoszenia'!$S$5:$S$504,0)))&amp;IF(K1618&gt;1," (+"&amp;(K1618-1)&amp;")",""))</f>
        <v/>
      </c>
      <c r="M1618" s="63" t="n">
        <v>20</v>
      </c>
      <c r="N1618" s="2" t="n"/>
      <c r="O1618" s="2" t="n"/>
    </row>
    <row r="1619">
      <c r="A1619" s="62">
        <f>IF('20'!$C$1="","",'20'!$C$1)</f>
        <v/>
      </c>
      <c r="B1619" s="63">
        <f>Ustawienia!$A$10&amp;""</f>
        <v/>
      </c>
      <c r="C1619" s="63">
        <f>Ustawienia!$A$18&amp;""</f>
        <v/>
      </c>
      <c r="D1619" s="63" t="n">
        <v>3</v>
      </c>
      <c r="E1619" s="63">
        <f>IF('20'!J34="","",TRIM('20'!J34&amp;""))</f>
        <v/>
      </c>
      <c r="F1619" s="63">
        <f>IF('20'!K34="","",'20'!K34)</f>
        <v/>
      </c>
      <c r="G1619" s="63">
        <f>'20'!L34&amp;""</f>
        <v/>
      </c>
      <c r="H1619" s="63">
        <f>IF(OR(A1619="",F1619=""),"",F1619&amp;"|"&amp;A1619)</f>
        <v/>
      </c>
      <c r="I1619" s="63">
        <f>IF(AND(H1619&lt;&gt;"",OR('Historia wózka'!$B$4="",F1619='Historia wózka'!$B$4),A1619&gt;='Historia wózka'!$B$5,A1619&lt;='Historia wózka'!$B$6),A1619+0.7+(5000-ROW())/10000000,0)</f>
        <v/>
      </c>
      <c r="J1619" s="63">
        <f>Ustawienia!$B$10&amp;""</f>
        <v/>
      </c>
      <c r="K1619" s="63">
        <f>IF(H1619="","",COUNTIFS('Zgłoszenia'!$B$5:$B$504,F1619,'Zgłoszenia'!$D$5:$D$504,"&gt;="&amp;A1619,'Zgłoszenia'!$D$5:$D$504,"&lt;="&amp;(A1619+1)))</f>
        <v/>
      </c>
      <c r="L1619" s="63">
        <f>IF(OR(H1619="",K1619=0),"—",IF(ISNUMBER(MATCH(H1619,'Zgłoszenia'!$S$5:$S$504,0)),RIGHT("0"&amp;DAY(A1619),2)&amp;"."&amp;RIGHT("0"&amp;MONTH(A1619),2)&amp;"."&amp;YEAR(A1619)&amp;": "&amp;INDEX('Zgłoszenia'!$H$5:$H$504,MATCH(H1619,'Zgłoszenia'!$S$5:$S$504,0)),RIGHT("0"&amp;DAY((A1619+1)),2)&amp;"."&amp;RIGHT("0"&amp;MONTH((A1619+1)),2)&amp;"."&amp;YEAR((A1619+1))&amp;": "&amp;INDEX('Zgłoszenia'!$H$5:$H$504,MATCH(F1619&amp;"|"&amp;(A1619+1),'Zgłoszenia'!$S$5:$S$504,0)))&amp;IF(K1619&gt;1," (+"&amp;(K1619-1)&amp;")",""))</f>
        <v/>
      </c>
      <c r="M1619" s="63" t="n">
        <v>20</v>
      </c>
      <c r="N1619" s="2" t="n"/>
      <c r="O1619" s="2" t="n"/>
    </row>
    <row r="1620">
      <c r="A1620" s="62">
        <f>IF('20'!$C$1="","",'20'!$C$1)</f>
        <v/>
      </c>
      <c r="B1620" s="63">
        <f>Ustawienia!$A$10&amp;""</f>
        <v/>
      </c>
      <c r="C1620" s="63">
        <f>Ustawienia!$A$18&amp;""</f>
        <v/>
      </c>
      <c r="D1620" s="63" t="n">
        <v>4</v>
      </c>
      <c r="E1620" s="63">
        <f>IF('20'!J35="","",TRIM('20'!J35&amp;""))</f>
        <v/>
      </c>
      <c r="F1620" s="63">
        <f>IF('20'!K35="","",'20'!K35)</f>
        <v/>
      </c>
      <c r="G1620" s="63">
        <f>'20'!L35&amp;""</f>
        <v/>
      </c>
      <c r="H1620" s="63">
        <f>IF(OR(A1620="",F1620=""),"",F1620&amp;"|"&amp;A1620)</f>
        <v/>
      </c>
      <c r="I1620" s="63">
        <f>IF(AND(H1620&lt;&gt;"",OR('Historia wózka'!$B$4="",F1620='Historia wózka'!$B$4),A1620&gt;='Historia wózka'!$B$5,A1620&lt;='Historia wózka'!$B$6),A1620+0.7+(5000-ROW())/10000000,0)</f>
        <v/>
      </c>
      <c r="J1620" s="63">
        <f>Ustawienia!$B$10&amp;""</f>
        <v/>
      </c>
      <c r="K1620" s="63">
        <f>IF(H1620="","",COUNTIFS('Zgłoszenia'!$B$5:$B$504,F1620,'Zgłoszenia'!$D$5:$D$504,"&gt;="&amp;A1620,'Zgłoszenia'!$D$5:$D$504,"&lt;="&amp;(A1620+1)))</f>
        <v/>
      </c>
      <c r="L1620" s="63">
        <f>IF(OR(H1620="",K1620=0),"—",IF(ISNUMBER(MATCH(H1620,'Zgłoszenia'!$S$5:$S$504,0)),RIGHT("0"&amp;DAY(A1620),2)&amp;"."&amp;RIGHT("0"&amp;MONTH(A1620),2)&amp;"."&amp;YEAR(A1620)&amp;": "&amp;INDEX('Zgłoszenia'!$H$5:$H$504,MATCH(H1620,'Zgłoszenia'!$S$5:$S$504,0)),RIGHT("0"&amp;DAY((A1620+1)),2)&amp;"."&amp;RIGHT("0"&amp;MONTH((A1620+1)),2)&amp;"."&amp;YEAR((A1620+1))&amp;": "&amp;INDEX('Zgłoszenia'!$H$5:$H$504,MATCH(F1620&amp;"|"&amp;(A1620+1),'Zgłoszenia'!$S$5:$S$504,0)))&amp;IF(K1620&gt;1," (+"&amp;(K1620-1)&amp;")",""))</f>
        <v/>
      </c>
      <c r="M1620" s="63" t="n">
        <v>20</v>
      </c>
      <c r="N1620" s="2" t="n"/>
      <c r="O1620" s="2" t="n"/>
    </row>
    <row r="1621">
      <c r="A1621" s="62">
        <f>IF('20'!$C$1="","",'20'!$C$1)</f>
        <v/>
      </c>
      <c r="B1621" s="63">
        <f>Ustawienia!$A$10&amp;""</f>
        <v/>
      </c>
      <c r="C1621" s="63">
        <f>Ustawienia!$A$18&amp;""</f>
        <v/>
      </c>
      <c r="D1621" s="63" t="n">
        <v>5</v>
      </c>
      <c r="E1621" s="63">
        <f>IF('20'!J36="","",TRIM('20'!J36&amp;""))</f>
        <v/>
      </c>
      <c r="F1621" s="63">
        <f>IF('20'!K36="","",'20'!K36)</f>
        <v/>
      </c>
      <c r="G1621" s="63">
        <f>'20'!L36&amp;""</f>
        <v/>
      </c>
      <c r="H1621" s="63">
        <f>IF(OR(A1621="",F1621=""),"",F1621&amp;"|"&amp;A1621)</f>
        <v/>
      </c>
      <c r="I1621" s="63">
        <f>IF(AND(H1621&lt;&gt;"",OR('Historia wózka'!$B$4="",F1621='Historia wózka'!$B$4),A1621&gt;='Historia wózka'!$B$5,A1621&lt;='Historia wózka'!$B$6),A1621+0.7+(5000-ROW())/10000000,0)</f>
        <v/>
      </c>
      <c r="J1621" s="63">
        <f>Ustawienia!$B$10&amp;""</f>
        <v/>
      </c>
      <c r="K1621" s="63">
        <f>IF(H1621="","",COUNTIFS('Zgłoszenia'!$B$5:$B$504,F1621,'Zgłoszenia'!$D$5:$D$504,"&gt;="&amp;A1621,'Zgłoszenia'!$D$5:$D$504,"&lt;="&amp;(A1621+1)))</f>
        <v/>
      </c>
      <c r="L1621" s="63">
        <f>IF(OR(H1621="",K1621=0),"—",IF(ISNUMBER(MATCH(H1621,'Zgłoszenia'!$S$5:$S$504,0)),RIGHT("0"&amp;DAY(A1621),2)&amp;"."&amp;RIGHT("0"&amp;MONTH(A1621),2)&amp;"."&amp;YEAR(A1621)&amp;": "&amp;INDEX('Zgłoszenia'!$H$5:$H$504,MATCH(H1621,'Zgłoszenia'!$S$5:$S$504,0)),RIGHT("0"&amp;DAY((A1621+1)),2)&amp;"."&amp;RIGHT("0"&amp;MONTH((A1621+1)),2)&amp;"."&amp;YEAR((A1621+1))&amp;": "&amp;INDEX('Zgłoszenia'!$H$5:$H$504,MATCH(F1621&amp;"|"&amp;(A1621+1),'Zgłoszenia'!$S$5:$S$504,0)))&amp;IF(K1621&gt;1," (+"&amp;(K1621-1)&amp;")",""))</f>
        <v/>
      </c>
      <c r="M1621" s="63" t="n">
        <v>20</v>
      </c>
      <c r="N1621" s="2" t="n"/>
      <c r="O1621" s="2" t="n"/>
    </row>
    <row r="1622">
      <c r="A1622" s="62">
        <f>IF('21'!$C$1="","",'21'!$C$1)</f>
        <v/>
      </c>
      <c r="B1622" s="63">
        <f>Ustawienia!$A$8&amp;""</f>
        <v/>
      </c>
      <c r="C1622" s="63">
        <f>Ustawienia!$A$14&amp;""</f>
        <v/>
      </c>
      <c r="D1622" s="63" t="n">
        <v>1</v>
      </c>
      <c r="E1622" s="63">
        <f>IF('21'!B6="","",TRIM('21'!B6&amp;""))</f>
        <v/>
      </c>
      <c r="F1622" s="63">
        <f>IF('21'!C6="","",'21'!C6)</f>
        <v/>
      </c>
      <c r="G1622" s="63">
        <f>'21'!D6&amp;""</f>
        <v/>
      </c>
      <c r="H1622" s="63">
        <f>IF(OR(A1622="",F1622=""),"",F1622&amp;"|"&amp;A1622)</f>
        <v/>
      </c>
      <c r="I1622" s="63">
        <f>IF(AND(H1622&lt;&gt;"",OR('Historia wózka'!$B$4="",F1622='Historia wózka'!$B$4),A1622&gt;='Historia wózka'!$B$5,A1622&lt;='Historia wózka'!$B$6),A1622+0.9+(5000-ROW())/10000000,0)</f>
        <v/>
      </c>
      <c r="J1622" s="63">
        <f>Ustawienia!$B$8&amp;""</f>
        <v/>
      </c>
      <c r="K1622" s="63">
        <f>IF(H1622="","",COUNTIFS('Zgłoszenia'!$B$5:$B$504,F1622,'Zgłoszenia'!$D$5:$D$504,"&gt;="&amp;A1622,'Zgłoszenia'!$D$5:$D$504,"&lt;="&amp;(A1622+1)))</f>
        <v/>
      </c>
      <c r="L1622" s="63">
        <f>IF(OR(H1622="",K1622=0),"—",IF(ISNUMBER(MATCH(H1622,'Zgłoszenia'!$S$5:$S$504,0)),RIGHT("0"&amp;DAY(A1622),2)&amp;"."&amp;RIGHT("0"&amp;MONTH(A1622),2)&amp;"."&amp;YEAR(A1622)&amp;": "&amp;INDEX('Zgłoszenia'!$H$5:$H$504,MATCH(H1622,'Zgłoszenia'!$S$5:$S$504,0)),RIGHT("0"&amp;DAY((A1622+1)),2)&amp;"."&amp;RIGHT("0"&amp;MONTH((A1622+1)),2)&amp;"."&amp;YEAR((A1622+1))&amp;": "&amp;INDEX('Zgłoszenia'!$H$5:$H$504,MATCH(F1622&amp;"|"&amp;(A1622+1),'Zgłoszenia'!$S$5:$S$504,0)))&amp;IF(K1622&gt;1," (+"&amp;(K1622-1)&amp;")",""))</f>
        <v/>
      </c>
      <c r="M1622" s="63" t="n">
        <v>21</v>
      </c>
      <c r="N1622" s="2" t="n"/>
      <c r="O1622" s="2" t="n"/>
    </row>
    <row r="1623">
      <c r="A1623" s="62">
        <f>IF('21'!$C$1="","",'21'!$C$1)</f>
        <v/>
      </c>
      <c r="B1623" s="63">
        <f>Ustawienia!$A$8&amp;""</f>
        <v/>
      </c>
      <c r="C1623" s="63">
        <f>Ustawienia!$A$14&amp;""</f>
        <v/>
      </c>
      <c r="D1623" s="63" t="n">
        <v>2</v>
      </c>
      <c r="E1623" s="63">
        <f>IF('21'!B7="","",TRIM('21'!B7&amp;""))</f>
        <v/>
      </c>
      <c r="F1623" s="63">
        <f>IF('21'!C7="","",'21'!C7)</f>
        <v/>
      </c>
      <c r="G1623" s="63">
        <f>'21'!D7&amp;""</f>
        <v/>
      </c>
      <c r="H1623" s="63">
        <f>IF(OR(A1623="",F1623=""),"",F1623&amp;"|"&amp;A1623)</f>
        <v/>
      </c>
      <c r="I1623" s="63">
        <f>IF(AND(H1623&lt;&gt;"",OR('Historia wózka'!$B$4="",F1623='Historia wózka'!$B$4),A1623&gt;='Historia wózka'!$B$5,A1623&lt;='Historia wózka'!$B$6),A1623+0.9+(5000-ROW())/10000000,0)</f>
        <v/>
      </c>
      <c r="J1623" s="63">
        <f>Ustawienia!$B$8&amp;""</f>
        <v/>
      </c>
      <c r="K1623" s="63">
        <f>IF(H1623="","",COUNTIFS('Zgłoszenia'!$B$5:$B$504,F1623,'Zgłoszenia'!$D$5:$D$504,"&gt;="&amp;A1623,'Zgłoszenia'!$D$5:$D$504,"&lt;="&amp;(A1623+1)))</f>
        <v/>
      </c>
      <c r="L1623" s="63">
        <f>IF(OR(H1623="",K1623=0),"—",IF(ISNUMBER(MATCH(H1623,'Zgłoszenia'!$S$5:$S$504,0)),RIGHT("0"&amp;DAY(A1623),2)&amp;"."&amp;RIGHT("0"&amp;MONTH(A1623),2)&amp;"."&amp;YEAR(A1623)&amp;": "&amp;INDEX('Zgłoszenia'!$H$5:$H$504,MATCH(H1623,'Zgłoszenia'!$S$5:$S$504,0)),RIGHT("0"&amp;DAY((A1623+1)),2)&amp;"."&amp;RIGHT("0"&amp;MONTH((A1623+1)),2)&amp;"."&amp;YEAR((A1623+1))&amp;": "&amp;INDEX('Zgłoszenia'!$H$5:$H$504,MATCH(F1623&amp;"|"&amp;(A1623+1),'Zgłoszenia'!$S$5:$S$504,0)))&amp;IF(K1623&gt;1," (+"&amp;(K1623-1)&amp;")",""))</f>
        <v/>
      </c>
      <c r="M1623" s="63" t="n">
        <v>21</v>
      </c>
      <c r="N1623" s="2" t="n"/>
      <c r="O1623" s="2" t="n"/>
    </row>
    <row r="1624">
      <c r="A1624" s="62">
        <f>IF('21'!$C$1="","",'21'!$C$1)</f>
        <v/>
      </c>
      <c r="B1624" s="63">
        <f>Ustawienia!$A$8&amp;""</f>
        <v/>
      </c>
      <c r="C1624" s="63">
        <f>Ustawienia!$A$14&amp;""</f>
        <v/>
      </c>
      <c r="D1624" s="63" t="n">
        <v>3</v>
      </c>
      <c r="E1624" s="63">
        <f>IF('21'!B8="","",TRIM('21'!B8&amp;""))</f>
        <v/>
      </c>
      <c r="F1624" s="63">
        <f>IF('21'!C8="","",'21'!C8)</f>
        <v/>
      </c>
      <c r="G1624" s="63">
        <f>'21'!D8&amp;""</f>
        <v/>
      </c>
      <c r="H1624" s="63">
        <f>IF(OR(A1624="",F1624=""),"",F1624&amp;"|"&amp;A1624)</f>
        <v/>
      </c>
      <c r="I1624" s="63">
        <f>IF(AND(H1624&lt;&gt;"",OR('Historia wózka'!$B$4="",F1624='Historia wózka'!$B$4),A1624&gt;='Historia wózka'!$B$5,A1624&lt;='Historia wózka'!$B$6),A1624+0.9+(5000-ROW())/10000000,0)</f>
        <v/>
      </c>
      <c r="J1624" s="63">
        <f>Ustawienia!$B$8&amp;""</f>
        <v/>
      </c>
      <c r="K1624" s="63">
        <f>IF(H1624="","",COUNTIFS('Zgłoszenia'!$B$5:$B$504,F1624,'Zgłoszenia'!$D$5:$D$504,"&gt;="&amp;A1624,'Zgłoszenia'!$D$5:$D$504,"&lt;="&amp;(A1624+1)))</f>
        <v/>
      </c>
      <c r="L1624" s="63">
        <f>IF(OR(H1624="",K1624=0),"—",IF(ISNUMBER(MATCH(H1624,'Zgłoszenia'!$S$5:$S$504,0)),RIGHT("0"&amp;DAY(A1624),2)&amp;"."&amp;RIGHT("0"&amp;MONTH(A1624),2)&amp;"."&amp;YEAR(A1624)&amp;": "&amp;INDEX('Zgłoszenia'!$H$5:$H$504,MATCH(H1624,'Zgłoszenia'!$S$5:$S$504,0)),RIGHT("0"&amp;DAY((A1624+1)),2)&amp;"."&amp;RIGHT("0"&amp;MONTH((A1624+1)),2)&amp;"."&amp;YEAR((A1624+1))&amp;": "&amp;INDEX('Zgłoszenia'!$H$5:$H$504,MATCH(F1624&amp;"|"&amp;(A1624+1),'Zgłoszenia'!$S$5:$S$504,0)))&amp;IF(K1624&gt;1," (+"&amp;(K1624-1)&amp;")",""))</f>
        <v/>
      </c>
      <c r="M1624" s="63" t="n">
        <v>21</v>
      </c>
      <c r="N1624" s="2" t="n"/>
      <c r="O1624" s="2" t="n"/>
    </row>
    <row r="1625">
      <c r="A1625" s="62">
        <f>IF('21'!$C$1="","",'21'!$C$1)</f>
        <v/>
      </c>
      <c r="B1625" s="63">
        <f>Ustawienia!$A$8&amp;""</f>
        <v/>
      </c>
      <c r="C1625" s="63">
        <f>Ustawienia!$A$14&amp;""</f>
        <v/>
      </c>
      <c r="D1625" s="63" t="n">
        <v>4</v>
      </c>
      <c r="E1625" s="63">
        <f>IF('21'!B9="","",TRIM('21'!B9&amp;""))</f>
        <v/>
      </c>
      <c r="F1625" s="63">
        <f>IF('21'!C9="","",'21'!C9)</f>
        <v/>
      </c>
      <c r="G1625" s="63">
        <f>'21'!D9&amp;""</f>
        <v/>
      </c>
      <c r="H1625" s="63">
        <f>IF(OR(A1625="",F1625=""),"",F1625&amp;"|"&amp;A1625)</f>
        <v/>
      </c>
      <c r="I1625" s="63">
        <f>IF(AND(H1625&lt;&gt;"",OR('Historia wózka'!$B$4="",F1625='Historia wózka'!$B$4),A1625&gt;='Historia wózka'!$B$5,A1625&lt;='Historia wózka'!$B$6),A1625+0.9+(5000-ROW())/10000000,0)</f>
        <v/>
      </c>
      <c r="J1625" s="63">
        <f>Ustawienia!$B$8&amp;""</f>
        <v/>
      </c>
      <c r="K1625" s="63">
        <f>IF(H1625="","",COUNTIFS('Zgłoszenia'!$B$5:$B$504,F1625,'Zgłoszenia'!$D$5:$D$504,"&gt;="&amp;A1625,'Zgłoszenia'!$D$5:$D$504,"&lt;="&amp;(A1625+1)))</f>
        <v/>
      </c>
      <c r="L1625" s="63">
        <f>IF(OR(H1625="",K1625=0),"—",IF(ISNUMBER(MATCH(H1625,'Zgłoszenia'!$S$5:$S$504,0)),RIGHT("0"&amp;DAY(A1625),2)&amp;"."&amp;RIGHT("0"&amp;MONTH(A1625),2)&amp;"."&amp;YEAR(A1625)&amp;": "&amp;INDEX('Zgłoszenia'!$H$5:$H$504,MATCH(H1625,'Zgłoszenia'!$S$5:$S$504,0)),RIGHT("0"&amp;DAY((A1625+1)),2)&amp;"."&amp;RIGHT("0"&amp;MONTH((A1625+1)),2)&amp;"."&amp;YEAR((A1625+1))&amp;": "&amp;INDEX('Zgłoszenia'!$H$5:$H$504,MATCH(F1625&amp;"|"&amp;(A1625+1),'Zgłoszenia'!$S$5:$S$504,0)))&amp;IF(K1625&gt;1," (+"&amp;(K1625-1)&amp;")",""))</f>
        <v/>
      </c>
      <c r="M1625" s="63" t="n">
        <v>21</v>
      </c>
      <c r="N1625" s="2" t="n"/>
      <c r="O1625" s="2" t="n"/>
    </row>
    <row r="1626">
      <c r="A1626" s="62">
        <f>IF('21'!$C$1="","",'21'!$C$1)</f>
        <v/>
      </c>
      <c r="B1626" s="63">
        <f>Ustawienia!$A$8&amp;""</f>
        <v/>
      </c>
      <c r="C1626" s="63">
        <f>Ustawienia!$A$14&amp;""</f>
        <v/>
      </c>
      <c r="D1626" s="63" t="n">
        <v>5</v>
      </c>
      <c r="E1626" s="63">
        <f>IF('21'!B10="","",TRIM('21'!B10&amp;""))</f>
        <v/>
      </c>
      <c r="F1626" s="63">
        <f>IF('21'!C10="","",'21'!C10)</f>
        <v/>
      </c>
      <c r="G1626" s="63">
        <f>'21'!D10&amp;""</f>
        <v/>
      </c>
      <c r="H1626" s="63">
        <f>IF(OR(A1626="",F1626=""),"",F1626&amp;"|"&amp;A1626)</f>
        <v/>
      </c>
      <c r="I1626" s="63">
        <f>IF(AND(H1626&lt;&gt;"",OR('Historia wózka'!$B$4="",F1626='Historia wózka'!$B$4),A1626&gt;='Historia wózka'!$B$5,A1626&lt;='Historia wózka'!$B$6),A1626+0.9+(5000-ROW())/10000000,0)</f>
        <v/>
      </c>
      <c r="J1626" s="63">
        <f>Ustawienia!$B$8&amp;""</f>
        <v/>
      </c>
      <c r="K1626" s="63">
        <f>IF(H1626="","",COUNTIFS('Zgłoszenia'!$B$5:$B$504,F1626,'Zgłoszenia'!$D$5:$D$504,"&gt;="&amp;A1626,'Zgłoszenia'!$D$5:$D$504,"&lt;="&amp;(A1626+1)))</f>
        <v/>
      </c>
      <c r="L1626" s="63">
        <f>IF(OR(H1626="",K1626=0),"—",IF(ISNUMBER(MATCH(H1626,'Zgłoszenia'!$S$5:$S$504,0)),RIGHT("0"&amp;DAY(A1626),2)&amp;"."&amp;RIGHT("0"&amp;MONTH(A1626),2)&amp;"."&amp;YEAR(A1626)&amp;": "&amp;INDEX('Zgłoszenia'!$H$5:$H$504,MATCH(H1626,'Zgłoszenia'!$S$5:$S$504,0)),RIGHT("0"&amp;DAY((A1626+1)),2)&amp;"."&amp;RIGHT("0"&amp;MONTH((A1626+1)),2)&amp;"."&amp;YEAR((A1626+1))&amp;": "&amp;INDEX('Zgłoszenia'!$H$5:$H$504,MATCH(F1626&amp;"|"&amp;(A1626+1),'Zgłoszenia'!$S$5:$S$504,0)))&amp;IF(K1626&gt;1," (+"&amp;(K1626-1)&amp;")",""))</f>
        <v/>
      </c>
      <c r="M1626" s="63" t="n">
        <v>21</v>
      </c>
      <c r="N1626" s="2" t="n"/>
      <c r="O1626" s="2" t="n"/>
    </row>
    <row r="1627">
      <c r="A1627" s="62">
        <f>IF('21'!$C$1="","",'21'!$C$1)</f>
        <v/>
      </c>
      <c r="B1627" s="63">
        <f>Ustawienia!$A$8&amp;""</f>
        <v/>
      </c>
      <c r="C1627" s="63">
        <f>Ustawienia!$A$14&amp;""</f>
        <v/>
      </c>
      <c r="D1627" s="63" t="n">
        <v>6</v>
      </c>
      <c r="E1627" s="63">
        <f>IF('21'!B11="","",TRIM('21'!B11&amp;""))</f>
        <v/>
      </c>
      <c r="F1627" s="63">
        <f>IF('21'!C11="","",'21'!C11)</f>
        <v/>
      </c>
      <c r="G1627" s="63">
        <f>'21'!D11&amp;""</f>
        <v/>
      </c>
      <c r="H1627" s="63">
        <f>IF(OR(A1627="",F1627=""),"",F1627&amp;"|"&amp;A1627)</f>
        <v/>
      </c>
      <c r="I1627" s="63">
        <f>IF(AND(H1627&lt;&gt;"",OR('Historia wózka'!$B$4="",F1627='Historia wózka'!$B$4),A1627&gt;='Historia wózka'!$B$5,A1627&lt;='Historia wózka'!$B$6),A1627+0.9+(5000-ROW())/10000000,0)</f>
        <v/>
      </c>
      <c r="J1627" s="63">
        <f>Ustawienia!$B$8&amp;""</f>
        <v/>
      </c>
      <c r="K1627" s="63">
        <f>IF(H1627="","",COUNTIFS('Zgłoszenia'!$B$5:$B$504,F1627,'Zgłoszenia'!$D$5:$D$504,"&gt;="&amp;A1627,'Zgłoszenia'!$D$5:$D$504,"&lt;="&amp;(A1627+1)))</f>
        <v/>
      </c>
      <c r="L1627" s="63">
        <f>IF(OR(H1627="",K1627=0),"—",IF(ISNUMBER(MATCH(H1627,'Zgłoszenia'!$S$5:$S$504,0)),RIGHT("0"&amp;DAY(A1627),2)&amp;"."&amp;RIGHT("0"&amp;MONTH(A1627),2)&amp;"."&amp;YEAR(A1627)&amp;": "&amp;INDEX('Zgłoszenia'!$H$5:$H$504,MATCH(H1627,'Zgłoszenia'!$S$5:$S$504,0)),RIGHT("0"&amp;DAY((A1627+1)),2)&amp;"."&amp;RIGHT("0"&amp;MONTH((A1627+1)),2)&amp;"."&amp;YEAR((A1627+1))&amp;": "&amp;INDEX('Zgłoszenia'!$H$5:$H$504,MATCH(F1627&amp;"|"&amp;(A1627+1),'Zgłoszenia'!$S$5:$S$504,0)))&amp;IF(K1627&gt;1," (+"&amp;(K1627-1)&amp;")",""))</f>
        <v/>
      </c>
      <c r="M1627" s="63" t="n">
        <v>21</v>
      </c>
      <c r="N1627" s="2" t="n"/>
      <c r="O1627" s="2" t="n"/>
    </row>
    <row r="1628">
      <c r="A1628" s="62">
        <f>IF('21'!$C$1="","",'21'!$C$1)</f>
        <v/>
      </c>
      <c r="B1628" s="63">
        <f>Ustawienia!$A$8&amp;""</f>
        <v/>
      </c>
      <c r="C1628" s="63">
        <f>Ustawienia!$A$15&amp;""</f>
        <v/>
      </c>
      <c r="D1628" s="63" t="n">
        <v>1</v>
      </c>
      <c r="E1628" s="63">
        <f>IF('21'!B13="","",TRIM('21'!B13&amp;""))</f>
        <v/>
      </c>
      <c r="F1628" s="63">
        <f>IF('21'!C13="","",'21'!C13)</f>
        <v/>
      </c>
      <c r="G1628" s="63">
        <f>'21'!D13&amp;""</f>
        <v/>
      </c>
      <c r="H1628" s="63">
        <f>IF(OR(A1628="",F1628=""),"",F1628&amp;"|"&amp;A1628)</f>
        <v/>
      </c>
      <c r="I1628" s="63">
        <f>IF(AND(H1628&lt;&gt;"",OR('Historia wózka'!$B$4="",F1628='Historia wózka'!$B$4),A1628&gt;='Historia wózka'!$B$5,A1628&lt;='Historia wózka'!$B$6),A1628+0.9+(5000-ROW())/10000000,0)</f>
        <v/>
      </c>
      <c r="J1628" s="63">
        <f>Ustawienia!$B$8&amp;""</f>
        <v/>
      </c>
      <c r="K1628" s="63">
        <f>IF(H1628="","",COUNTIFS('Zgłoszenia'!$B$5:$B$504,F1628,'Zgłoszenia'!$D$5:$D$504,"&gt;="&amp;A1628,'Zgłoszenia'!$D$5:$D$504,"&lt;="&amp;(A1628+1)))</f>
        <v/>
      </c>
      <c r="L1628" s="63">
        <f>IF(OR(H1628="",K1628=0),"—",IF(ISNUMBER(MATCH(H1628,'Zgłoszenia'!$S$5:$S$504,0)),RIGHT("0"&amp;DAY(A1628),2)&amp;"."&amp;RIGHT("0"&amp;MONTH(A1628),2)&amp;"."&amp;YEAR(A1628)&amp;": "&amp;INDEX('Zgłoszenia'!$H$5:$H$504,MATCH(H1628,'Zgłoszenia'!$S$5:$S$504,0)),RIGHT("0"&amp;DAY((A1628+1)),2)&amp;"."&amp;RIGHT("0"&amp;MONTH((A1628+1)),2)&amp;"."&amp;YEAR((A1628+1))&amp;": "&amp;INDEX('Zgłoszenia'!$H$5:$H$504,MATCH(F1628&amp;"|"&amp;(A1628+1),'Zgłoszenia'!$S$5:$S$504,0)))&amp;IF(K1628&gt;1," (+"&amp;(K1628-1)&amp;")",""))</f>
        <v/>
      </c>
      <c r="M1628" s="63" t="n">
        <v>21</v>
      </c>
      <c r="N1628" s="2" t="n"/>
      <c r="O1628" s="2" t="n"/>
    </row>
    <row r="1629">
      <c r="A1629" s="62">
        <f>IF('21'!$C$1="","",'21'!$C$1)</f>
        <v/>
      </c>
      <c r="B1629" s="63">
        <f>Ustawienia!$A$8&amp;""</f>
        <v/>
      </c>
      <c r="C1629" s="63">
        <f>Ustawienia!$A$15&amp;""</f>
        <v/>
      </c>
      <c r="D1629" s="63" t="n">
        <v>2</v>
      </c>
      <c r="E1629" s="63">
        <f>IF('21'!B14="","",TRIM('21'!B14&amp;""))</f>
        <v/>
      </c>
      <c r="F1629" s="63">
        <f>IF('21'!C14="","",'21'!C14)</f>
        <v/>
      </c>
      <c r="G1629" s="63">
        <f>'21'!D14&amp;""</f>
        <v/>
      </c>
      <c r="H1629" s="63">
        <f>IF(OR(A1629="",F1629=""),"",F1629&amp;"|"&amp;A1629)</f>
        <v/>
      </c>
      <c r="I1629" s="63">
        <f>IF(AND(H1629&lt;&gt;"",OR('Historia wózka'!$B$4="",F1629='Historia wózka'!$B$4),A1629&gt;='Historia wózka'!$B$5,A1629&lt;='Historia wózka'!$B$6),A1629+0.9+(5000-ROW())/10000000,0)</f>
        <v/>
      </c>
      <c r="J1629" s="63">
        <f>Ustawienia!$B$8&amp;""</f>
        <v/>
      </c>
      <c r="K1629" s="63">
        <f>IF(H1629="","",COUNTIFS('Zgłoszenia'!$B$5:$B$504,F1629,'Zgłoszenia'!$D$5:$D$504,"&gt;="&amp;A1629,'Zgłoszenia'!$D$5:$D$504,"&lt;="&amp;(A1629+1)))</f>
        <v/>
      </c>
      <c r="L1629" s="63">
        <f>IF(OR(H1629="",K1629=0),"—",IF(ISNUMBER(MATCH(H1629,'Zgłoszenia'!$S$5:$S$504,0)),RIGHT("0"&amp;DAY(A1629),2)&amp;"."&amp;RIGHT("0"&amp;MONTH(A1629),2)&amp;"."&amp;YEAR(A1629)&amp;": "&amp;INDEX('Zgłoszenia'!$H$5:$H$504,MATCH(H1629,'Zgłoszenia'!$S$5:$S$504,0)),RIGHT("0"&amp;DAY((A1629+1)),2)&amp;"."&amp;RIGHT("0"&amp;MONTH((A1629+1)),2)&amp;"."&amp;YEAR((A1629+1))&amp;": "&amp;INDEX('Zgłoszenia'!$H$5:$H$504,MATCH(F1629&amp;"|"&amp;(A1629+1),'Zgłoszenia'!$S$5:$S$504,0)))&amp;IF(K1629&gt;1," (+"&amp;(K1629-1)&amp;")",""))</f>
        <v/>
      </c>
      <c r="M1629" s="63" t="n">
        <v>21</v>
      </c>
      <c r="N1629" s="2" t="n"/>
      <c r="O1629" s="2" t="n"/>
    </row>
    <row r="1630">
      <c r="A1630" s="62">
        <f>IF('21'!$C$1="","",'21'!$C$1)</f>
        <v/>
      </c>
      <c r="B1630" s="63">
        <f>Ustawienia!$A$8&amp;""</f>
        <v/>
      </c>
      <c r="C1630" s="63">
        <f>Ustawienia!$A$15&amp;""</f>
        <v/>
      </c>
      <c r="D1630" s="63" t="n">
        <v>3</v>
      </c>
      <c r="E1630" s="63">
        <f>IF('21'!B15="","",TRIM('21'!B15&amp;""))</f>
        <v/>
      </c>
      <c r="F1630" s="63">
        <f>IF('21'!C15="","",'21'!C15)</f>
        <v/>
      </c>
      <c r="G1630" s="63">
        <f>'21'!D15&amp;""</f>
        <v/>
      </c>
      <c r="H1630" s="63">
        <f>IF(OR(A1630="",F1630=""),"",F1630&amp;"|"&amp;A1630)</f>
        <v/>
      </c>
      <c r="I1630" s="63">
        <f>IF(AND(H1630&lt;&gt;"",OR('Historia wózka'!$B$4="",F1630='Historia wózka'!$B$4),A1630&gt;='Historia wózka'!$B$5,A1630&lt;='Historia wózka'!$B$6),A1630+0.9+(5000-ROW())/10000000,0)</f>
        <v/>
      </c>
      <c r="J1630" s="63">
        <f>Ustawienia!$B$8&amp;""</f>
        <v/>
      </c>
      <c r="K1630" s="63">
        <f>IF(H1630="","",COUNTIFS('Zgłoszenia'!$B$5:$B$504,F1630,'Zgłoszenia'!$D$5:$D$504,"&gt;="&amp;A1630,'Zgłoszenia'!$D$5:$D$504,"&lt;="&amp;(A1630+1)))</f>
        <v/>
      </c>
      <c r="L1630" s="63">
        <f>IF(OR(H1630="",K1630=0),"—",IF(ISNUMBER(MATCH(H1630,'Zgłoszenia'!$S$5:$S$504,0)),RIGHT("0"&amp;DAY(A1630),2)&amp;"."&amp;RIGHT("0"&amp;MONTH(A1630),2)&amp;"."&amp;YEAR(A1630)&amp;": "&amp;INDEX('Zgłoszenia'!$H$5:$H$504,MATCH(H1630,'Zgłoszenia'!$S$5:$S$504,0)),RIGHT("0"&amp;DAY((A1630+1)),2)&amp;"."&amp;RIGHT("0"&amp;MONTH((A1630+1)),2)&amp;"."&amp;YEAR((A1630+1))&amp;": "&amp;INDEX('Zgłoszenia'!$H$5:$H$504,MATCH(F1630&amp;"|"&amp;(A1630+1),'Zgłoszenia'!$S$5:$S$504,0)))&amp;IF(K1630&gt;1," (+"&amp;(K1630-1)&amp;")",""))</f>
        <v/>
      </c>
      <c r="M1630" s="63" t="n">
        <v>21</v>
      </c>
      <c r="N1630" s="2" t="n"/>
      <c r="O1630" s="2" t="n"/>
    </row>
    <row r="1631">
      <c r="A1631" s="62">
        <f>IF('21'!$C$1="","",'21'!$C$1)</f>
        <v/>
      </c>
      <c r="B1631" s="63">
        <f>Ustawienia!$A$8&amp;""</f>
        <v/>
      </c>
      <c r="C1631" s="63">
        <f>Ustawienia!$A$15&amp;""</f>
        <v/>
      </c>
      <c r="D1631" s="63" t="n">
        <v>4</v>
      </c>
      <c r="E1631" s="63">
        <f>IF('21'!B16="","",TRIM('21'!B16&amp;""))</f>
        <v/>
      </c>
      <c r="F1631" s="63">
        <f>IF('21'!C16="","",'21'!C16)</f>
        <v/>
      </c>
      <c r="G1631" s="63">
        <f>'21'!D16&amp;""</f>
        <v/>
      </c>
      <c r="H1631" s="63">
        <f>IF(OR(A1631="",F1631=""),"",F1631&amp;"|"&amp;A1631)</f>
        <v/>
      </c>
      <c r="I1631" s="63">
        <f>IF(AND(H1631&lt;&gt;"",OR('Historia wózka'!$B$4="",F1631='Historia wózka'!$B$4),A1631&gt;='Historia wózka'!$B$5,A1631&lt;='Historia wózka'!$B$6),A1631+0.9+(5000-ROW())/10000000,0)</f>
        <v/>
      </c>
      <c r="J1631" s="63">
        <f>Ustawienia!$B$8&amp;""</f>
        <v/>
      </c>
      <c r="K1631" s="63">
        <f>IF(H1631="","",COUNTIFS('Zgłoszenia'!$B$5:$B$504,F1631,'Zgłoszenia'!$D$5:$D$504,"&gt;="&amp;A1631,'Zgłoszenia'!$D$5:$D$504,"&lt;="&amp;(A1631+1)))</f>
        <v/>
      </c>
      <c r="L1631" s="63">
        <f>IF(OR(H1631="",K1631=0),"—",IF(ISNUMBER(MATCH(H1631,'Zgłoszenia'!$S$5:$S$504,0)),RIGHT("0"&amp;DAY(A1631),2)&amp;"."&amp;RIGHT("0"&amp;MONTH(A1631),2)&amp;"."&amp;YEAR(A1631)&amp;": "&amp;INDEX('Zgłoszenia'!$H$5:$H$504,MATCH(H1631,'Zgłoszenia'!$S$5:$S$504,0)),RIGHT("0"&amp;DAY((A1631+1)),2)&amp;"."&amp;RIGHT("0"&amp;MONTH((A1631+1)),2)&amp;"."&amp;YEAR((A1631+1))&amp;": "&amp;INDEX('Zgłoszenia'!$H$5:$H$504,MATCH(F1631&amp;"|"&amp;(A1631+1),'Zgłoszenia'!$S$5:$S$504,0)))&amp;IF(K1631&gt;1," (+"&amp;(K1631-1)&amp;")",""))</f>
        <v/>
      </c>
      <c r="M1631" s="63" t="n">
        <v>21</v>
      </c>
      <c r="N1631" s="2" t="n"/>
      <c r="O1631" s="2" t="n"/>
    </row>
    <row r="1632">
      <c r="A1632" s="62">
        <f>IF('21'!$C$1="","",'21'!$C$1)</f>
        <v/>
      </c>
      <c r="B1632" s="63">
        <f>Ustawienia!$A$8&amp;""</f>
        <v/>
      </c>
      <c r="C1632" s="63">
        <f>Ustawienia!$A$15&amp;""</f>
        <v/>
      </c>
      <c r="D1632" s="63" t="n">
        <v>5</v>
      </c>
      <c r="E1632" s="63">
        <f>IF('21'!B17="","",TRIM('21'!B17&amp;""))</f>
        <v/>
      </c>
      <c r="F1632" s="63">
        <f>IF('21'!C17="","",'21'!C17)</f>
        <v/>
      </c>
      <c r="G1632" s="63">
        <f>'21'!D17&amp;""</f>
        <v/>
      </c>
      <c r="H1632" s="63">
        <f>IF(OR(A1632="",F1632=""),"",F1632&amp;"|"&amp;A1632)</f>
        <v/>
      </c>
      <c r="I1632" s="63">
        <f>IF(AND(H1632&lt;&gt;"",OR('Historia wózka'!$B$4="",F1632='Historia wózka'!$B$4),A1632&gt;='Historia wózka'!$B$5,A1632&lt;='Historia wózka'!$B$6),A1632+0.9+(5000-ROW())/10000000,0)</f>
        <v/>
      </c>
      <c r="J1632" s="63">
        <f>Ustawienia!$B$8&amp;""</f>
        <v/>
      </c>
      <c r="K1632" s="63">
        <f>IF(H1632="","",COUNTIFS('Zgłoszenia'!$B$5:$B$504,F1632,'Zgłoszenia'!$D$5:$D$504,"&gt;="&amp;A1632,'Zgłoszenia'!$D$5:$D$504,"&lt;="&amp;(A1632+1)))</f>
        <v/>
      </c>
      <c r="L1632" s="63">
        <f>IF(OR(H1632="",K1632=0),"—",IF(ISNUMBER(MATCH(H1632,'Zgłoszenia'!$S$5:$S$504,0)),RIGHT("0"&amp;DAY(A1632),2)&amp;"."&amp;RIGHT("0"&amp;MONTH(A1632),2)&amp;"."&amp;YEAR(A1632)&amp;": "&amp;INDEX('Zgłoszenia'!$H$5:$H$504,MATCH(H1632,'Zgłoszenia'!$S$5:$S$504,0)),RIGHT("0"&amp;DAY((A1632+1)),2)&amp;"."&amp;RIGHT("0"&amp;MONTH((A1632+1)),2)&amp;"."&amp;YEAR((A1632+1))&amp;": "&amp;INDEX('Zgłoszenia'!$H$5:$H$504,MATCH(F1632&amp;"|"&amp;(A1632+1),'Zgłoszenia'!$S$5:$S$504,0)))&amp;IF(K1632&gt;1," (+"&amp;(K1632-1)&amp;")",""))</f>
        <v/>
      </c>
      <c r="M1632" s="63" t="n">
        <v>21</v>
      </c>
      <c r="N1632" s="2" t="n"/>
      <c r="O1632" s="2" t="n"/>
    </row>
    <row r="1633">
      <c r="A1633" s="62">
        <f>IF('21'!$C$1="","",'21'!$C$1)</f>
        <v/>
      </c>
      <c r="B1633" s="63">
        <f>Ustawienia!$A$8&amp;""</f>
        <v/>
      </c>
      <c r="C1633" s="63">
        <f>Ustawienia!$A$15&amp;""</f>
        <v/>
      </c>
      <c r="D1633" s="63" t="n">
        <v>6</v>
      </c>
      <c r="E1633" s="63">
        <f>IF('21'!B18="","",TRIM('21'!B18&amp;""))</f>
        <v/>
      </c>
      <c r="F1633" s="63">
        <f>IF('21'!C18="","",'21'!C18)</f>
        <v/>
      </c>
      <c r="G1633" s="63">
        <f>'21'!D18&amp;""</f>
        <v/>
      </c>
      <c r="H1633" s="63">
        <f>IF(OR(A1633="",F1633=""),"",F1633&amp;"|"&amp;A1633)</f>
        <v/>
      </c>
      <c r="I1633" s="63">
        <f>IF(AND(H1633&lt;&gt;"",OR('Historia wózka'!$B$4="",F1633='Historia wózka'!$B$4),A1633&gt;='Historia wózka'!$B$5,A1633&lt;='Historia wózka'!$B$6),A1633+0.9+(5000-ROW())/10000000,0)</f>
        <v/>
      </c>
      <c r="J1633" s="63">
        <f>Ustawienia!$B$8&amp;""</f>
        <v/>
      </c>
      <c r="K1633" s="63">
        <f>IF(H1633="","",COUNTIFS('Zgłoszenia'!$B$5:$B$504,F1633,'Zgłoszenia'!$D$5:$D$504,"&gt;="&amp;A1633,'Zgłoszenia'!$D$5:$D$504,"&lt;="&amp;(A1633+1)))</f>
        <v/>
      </c>
      <c r="L1633" s="63">
        <f>IF(OR(H1633="",K1633=0),"—",IF(ISNUMBER(MATCH(H1633,'Zgłoszenia'!$S$5:$S$504,0)),RIGHT("0"&amp;DAY(A1633),2)&amp;"."&amp;RIGHT("0"&amp;MONTH(A1633),2)&amp;"."&amp;YEAR(A1633)&amp;": "&amp;INDEX('Zgłoszenia'!$H$5:$H$504,MATCH(H1633,'Zgłoszenia'!$S$5:$S$504,0)),RIGHT("0"&amp;DAY((A1633+1)),2)&amp;"."&amp;RIGHT("0"&amp;MONTH((A1633+1)),2)&amp;"."&amp;YEAR((A1633+1))&amp;": "&amp;INDEX('Zgłoszenia'!$H$5:$H$504,MATCH(F1633&amp;"|"&amp;(A1633+1),'Zgłoszenia'!$S$5:$S$504,0)))&amp;IF(K1633&gt;1," (+"&amp;(K1633-1)&amp;")",""))</f>
        <v/>
      </c>
      <c r="M1633" s="63" t="n">
        <v>21</v>
      </c>
      <c r="N1633" s="2" t="n"/>
      <c r="O1633" s="2" t="n"/>
    </row>
    <row r="1634">
      <c r="A1634" s="62">
        <f>IF('21'!$C$1="","",'21'!$C$1)</f>
        <v/>
      </c>
      <c r="B1634" s="63">
        <f>Ustawienia!$A$8&amp;""</f>
        <v/>
      </c>
      <c r="C1634" s="63">
        <f>Ustawienia!$A$15&amp;""</f>
        <v/>
      </c>
      <c r="D1634" s="63" t="n">
        <v>7</v>
      </c>
      <c r="E1634" s="63">
        <f>IF('21'!B19="","",TRIM('21'!B19&amp;""))</f>
        <v/>
      </c>
      <c r="F1634" s="63">
        <f>IF('21'!C19="","",'21'!C19)</f>
        <v/>
      </c>
      <c r="G1634" s="63">
        <f>'21'!D19&amp;""</f>
        <v/>
      </c>
      <c r="H1634" s="63">
        <f>IF(OR(A1634="",F1634=""),"",F1634&amp;"|"&amp;A1634)</f>
        <v/>
      </c>
      <c r="I1634" s="63">
        <f>IF(AND(H1634&lt;&gt;"",OR('Historia wózka'!$B$4="",F1634='Historia wózka'!$B$4),A1634&gt;='Historia wózka'!$B$5,A1634&lt;='Historia wózka'!$B$6),A1634+0.9+(5000-ROW())/10000000,0)</f>
        <v/>
      </c>
      <c r="J1634" s="63">
        <f>Ustawienia!$B$8&amp;""</f>
        <v/>
      </c>
      <c r="K1634" s="63">
        <f>IF(H1634="","",COUNTIFS('Zgłoszenia'!$B$5:$B$504,F1634,'Zgłoszenia'!$D$5:$D$504,"&gt;="&amp;A1634,'Zgłoszenia'!$D$5:$D$504,"&lt;="&amp;(A1634+1)))</f>
        <v/>
      </c>
      <c r="L1634" s="63">
        <f>IF(OR(H1634="",K1634=0),"—",IF(ISNUMBER(MATCH(H1634,'Zgłoszenia'!$S$5:$S$504,0)),RIGHT("0"&amp;DAY(A1634),2)&amp;"."&amp;RIGHT("0"&amp;MONTH(A1634),2)&amp;"."&amp;YEAR(A1634)&amp;": "&amp;INDEX('Zgłoszenia'!$H$5:$H$504,MATCH(H1634,'Zgłoszenia'!$S$5:$S$504,0)),RIGHT("0"&amp;DAY((A1634+1)),2)&amp;"."&amp;RIGHT("0"&amp;MONTH((A1634+1)),2)&amp;"."&amp;YEAR((A1634+1))&amp;": "&amp;INDEX('Zgłoszenia'!$H$5:$H$504,MATCH(F1634&amp;"|"&amp;(A1634+1),'Zgłoszenia'!$S$5:$S$504,0)))&amp;IF(K1634&gt;1," (+"&amp;(K1634-1)&amp;")",""))</f>
        <v/>
      </c>
      <c r="M1634" s="63" t="n">
        <v>21</v>
      </c>
      <c r="N1634" s="2" t="n"/>
      <c r="O1634" s="2" t="n"/>
    </row>
    <row r="1635">
      <c r="A1635" s="62">
        <f>IF('21'!$C$1="","",'21'!$C$1)</f>
        <v/>
      </c>
      <c r="B1635" s="63">
        <f>Ustawienia!$A$8&amp;""</f>
        <v/>
      </c>
      <c r="C1635" s="63">
        <f>Ustawienia!$A$15&amp;""</f>
        <v/>
      </c>
      <c r="D1635" s="63" t="n">
        <v>8</v>
      </c>
      <c r="E1635" s="63">
        <f>IF('21'!B20="","",TRIM('21'!B20&amp;""))</f>
        <v/>
      </c>
      <c r="F1635" s="63">
        <f>IF('21'!C20="","",'21'!C20)</f>
        <v/>
      </c>
      <c r="G1635" s="63">
        <f>'21'!D20&amp;""</f>
        <v/>
      </c>
      <c r="H1635" s="63">
        <f>IF(OR(A1635="",F1635=""),"",F1635&amp;"|"&amp;A1635)</f>
        <v/>
      </c>
      <c r="I1635" s="63">
        <f>IF(AND(H1635&lt;&gt;"",OR('Historia wózka'!$B$4="",F1635='Historia wózka'!$B$4),A1635&gt;='Historia wózka'!$B$5,A1635&lt;='Historia wózka'!$B$6),A1635+0.9+(5000-ROW())/10000000,0)</f>
        <v/>
      </c>
      <c r="J1635" s="63">
        <f>Ustawienia!$B$8&amp;""</f>
        <v/>
      </c>
      <c r="K1635" s="63">
        <f>IF(H1635="","",COUNTIFS('Zgłoszenia'!$B$5:$B$504,F1635,'Zgłoszenia'!$D$5:$D$504,"&gt;="&amp;A1635,'Zgłoszenia'!$D$5:$D$504,"&lt;="&amp;(A1635+1)))</f>
        <v/>
      </c>
      <c r="L1635" s="63">
        <f>IF(OR(H1635="",K1635=0),"—",IF(ISNUMBER(MATCH(H1635,'Zgłoszenia'!$S$5:$S$504,0)),RIGHT("0"&amp;DAY(A1635),2)&amp;"."&amp;RIGHT("0"&amp;MONTH(A1635),2)&amp;"."&amp;YEAR(A1635)&amp;": "&amp;INDEX('Zgłoszenia'!$H$5:$H$504,MATCH(H1635,'Zgłoszenia'!$S$5:$S$504,0)),RIGHT("0"&amp;DAY((A1635+1)),2)&amp;"."&amp;RIGHT("0"&amp;MONTH((A1635+1)),2)&amp;"."&amp;YEAR((A1635+1))&amp;": "&amp;INDEX('Zgłoszenia'!$H$5:$H$504,MATCH(F1635&amp;"|"&amp;(A1635+1),'Zgłoszenia'!$S$5:$S$504,0)))&amp;IF(K1635&gt;1," (+"&amp;(K1635-1)&amp;")",""))</f>
        <v/>
      </c>
      <c r="M1635" s="63" t="n">
        <v>21</v>
      </c>
      <c r="N1635" s="2" t="n"/>
      <c r="O1635" s="2" t="n"/>
    </row>
    <row r="1636">
      <c r="A1636" s="62">
        <f>IF('21'!$C$1="","",'21'!$C$1)</f>
        <v/>
      </c>
      <c r="B1636" s="63">
        <f>Ustawienia!$A$8&amp;""</f>
        <v/>
      </c>
      <c r="C1636" s="63">
        <f>Ustawienia!$A$16&amp;""</f>
        <v/>
      </c>
      <c r="D1636" s="63" t="n">
        <v>1</v>
      </c>
      <c r="E1636" s="63">
        <f>IF('21'!B22="","",TRIM('21'!B22&amp;""))</f>
        <v/>
      </c>
      <c r="F1636" s="63">
        <f>IF('21'!C22="","",'21'!C22)</f>
        <v/>
      </c>
      <c r="G1636" s="63">
        <f>'21'!D22&amp;""</f>
        <v/>
      </c>
      <c r="H1636" s="63">
        <f>IF(OR(A1636="",F1636=""),"",F1636&amp;"|"&amp;A1636)</f>
        <v/>
      </c>
      <c r="I1636" s="63">
        <f>IF(AND(H1636&lt;&gt;"",OR('Historia wózka'!$B$4="",F1636='Historia wózka'!$B$4),A1636&gt;='Historia wózka'!$B$5,A1636&lt;='Historia wózka'!$B$6),A1636+0.9+(5000-ROW())/10000000,0)</f>
        <v/>
      </c>
      <c r="J1636" s="63">
        <f>Ustawienia!$B$8&amp;""</f>
        <v/>
      </c>
      <c r="K1636" s="63">
        <f>IF(H1636="","",COUNTIFS('Zgłoszenia'!$B$5:$B$504,F1636,'Zgłoszenia'!$D$5:$D$504,"&gt;="&amp;A1636,'Zgłoszenia'!$D$5:$D$504,"&lt;="&amp;(A1636+1)))</f>
        <v/>
      </c>
      <c r="L1636" s="63">
        <f>IF(OR(H1636="",K1636=0),"—",IF(ISNUMBER(MATCH(H1636,'Zgłoszenia'!$S$5:$S$504,0)),RIGHT("0"&amp;DAY(A1636),2)&amp;"."&amp;RIGHT("0"&amp;MONTH(A1636),2)&amp;"."&amp;YEAR(A1636)&amp;": "&amp;INDEX('Zgłoszenia'!$H$5:$H$504,MATCH(H1636,'Zgłoszenia'!$S$5:$S$504,0)),RIGHT("0"&amp;DAY((A1636+1)),2)&amp;"."&amp;RIGHT("0"&amp;MONTH((A1636+1)),2)&amp;"."&amp;YEAR((A1636+1))&amp;": "&amp;INDEX('Zgłoszenia'!$H$5:$H$504,MATCH(F1636&amp;"|"&amp;(A1636+1),'Zgłoszenia'!$S$5:$S$504,0)))&amp;IF(K1636&gt;1," (+"&amp;(K1636-1)&amp;")",""))</f>
        <v/>
      </c>
      <c r="M1636" s="63" t="n">
        <v>21</v>
      </c>
      <c r="N1636" s="2" t="n"/>
      <c r="O1636" s="2" t="n"/>
    </row>
    <row r="1637">
      <c r="A1637" s="62">
        <f>IF('21'!$C$1="","",'21'!$C$1)</f>
        <v/>
      </c>
      <c r="B1637" s="63">
        <f>Ustawienia!$A$8&amp;""</f>
        <v/>
      </c>
      <c r="C1637" s="63">
        <f>Ustawienia!$A$16&amp;""</f>
        <v/>
      </c>
      <c r="D1637" s="63" t="n">
        <v>2</v>
      </c>
      <c r="E1637" s="63">
        <f>IF('21'!B23="","",TRIM('21'!B23&amp;""))</f>
        <v/>
      </c>
      <c r="F1637" s="63">
        <f>IF('21'!C23="","",'21'!C23)</f>
        <v/>
      </c>
      <c r="G1637" s="63">
        <f>'21'!D23&amp;""</f>
        <v/>
      </c>
      <c r="H1637" s="63">
        <f>IF(OR(A1637="",F1637=""),"",F1637&amp;"|"&amp;A1637)</f>
        <v/>
      </c>
      <c r="I1637" s="63">
        <f>IF(AND(H1637&lt;&gt;"",OR('Historia wózka'!$B$4="",F1637='Historia wózka'!$B$4),A1637&gt;='Historia wózka'!$B$5,A1637&lt;='Historia wózka'!$B$6),A1637+0.9+(5000-ROW())/10000000,0)</f>
        <v/>
      </c>
      <c r="J1637" s="63">
        <f>Ustawienia!$B$8&amp;""</f>
        <v/>
      </c>
      <c r="K1637" s="63">
        <f>IF(H1637="","",COUNTIFS('Zgłoszenia'!$B$5:$B$504,F1637,'Zgłoszenia'!$D$5:$D$504,"&gt;="&amp;A1637,'Zgłoszenia'!$D$5:$D$504,"&lt;="&amp;(A1637+1)))</f>
        <v/>
      </c>
      <c r="L1637" s="63">
        <f>IF(OR(H1637="",K1637=0),"—",IF(ISNUMBER(MATCH(H1637,'Zgłoszenia'!$S$5:$S$504,0)),RIGHT("0"&amp;DAY(A1637),2)&amp;"."&amp;RIGHT("0"&amp;MONTH(A1637),2)&amp;"."&amp;YEAR(A1637)&amp;": "&amp;INDEX('Zgłoszenia'!$H$5:$H$504,MATCH(H1637,'Zgłoszenia'!$S$5:$S$504,0)),RIGHT("0"&amp;DAY((A1637+1)),2)&amp;"."&amp;RIGHT("0"&amp;MONTH((A1637+1)),2)&amp;"."&amp;YEAR((A1637+1))&amp;": "&amp;INDEX('Zgłoszenia'!$H$5:$H$504,MATCH(F1637&amp;"|"&amp;(A1637+1),'Zgłoszenia'!$S$5:$S$504,0)))&amp;IF(K1637&gt;1," (+"&amp;(K1637-1)&amp;")",""))</f>
        <v/>
      </c>
      <c r="M1637" s="63" t="n">
        <v>21</v>
      </c>
      <c r="N1637" s="2" t="n"/>
      <c r="O1637" s="2" t="n"/>
    </row>
    <row r="1638">
      <c r="A1638" s="62">
        <f>IF('21'!$C$1="","",'21'!$C$1)</f>
        <v/>
      </c>
      <c r="B1638" s="63">
        <f>Ustawienia!$A$8&amp;""</f>
        <v/>
      </c>
      <c r="C1638" s="63">
        <f>Ustawienia!$A$16&amp;""</f>
        <v/>
      </c>
      <c r="D1638" s="63" t="n">
        <v>3</v>
      </c>
      <c r="E1638" s="63">
        <f>IF('21'!B24="","",TRIM('21'!B24&amp;""))</f>
        <v/>
      </c>
      <c r="F1638" s="63">
        <f>IF('21'!C24="","",'21'!C24)</f>
        <v/>
      </c>
      <c r="G1638" s="63">
        <f>'21'!D24&amp;""</f>
        <v/>
      </c>
      <c r="H1638" s="63">
        <f>IF(OR(A1638="",F1638=""),"",F1638&amp;"|"&amp;A1638)</f>
        <v/>
      </c>
      <c r="I1638" s="63">
        <f>IF(AND(H1638&lt;&gt;"",OR('Historia wózka'!$B$4="",F1638='Historia wózka'!$B$4),A1638&gt;='Historia wózka'!$B$5,A1638&lt;='Historia wózka'!$B$6),A1638+0.9+(5000-ROW())/10000000,0)</f>
        <v/>
      </c>
      <c r="J1638" s="63">
        <f>Ustawienia!$B$8&amp;""</f>
        <v/>
      </c>
      <c r="K1638" s="63">
        <f>IF(H1638="","",COUNTIFS('Zgłoszenia'!$B$5:$B$504,F1638,'Zgłoszenia'!$D$5:$D$504,"&gt;="&amp;A1638,'Zgłoszenia'!$D$5:$D$504,"&lt;="&amp;(A1638+1)))</f>
        <v/>
      </c>
      <c r="L1638" s="63">
        <f>IF(OR(H1638="",K1638=0),"—",IF(ISNUMBER(MATCH(H1638,'Zgłoszenia'!$S$5:$S$504,0)),RIGHT("0"&amp;DAY(A1638),2)&amp;"."&amp;RIGHT("0"&amp;MONTH(A1638),2)&amp;"."&amp;YEAR(A1638)&amp;": "&amp;INDEX('Zgłoszenia'!$H$5:$H$504,MATCH(H1638,'Zgłoszenia'!$S$5:$S$504,0)),RIGHT("0"&amp;DAY((A1638+1)),2)&amp;"."&amp;RIGHT("0"&amp;MONTH((A1638+1)),2)&amp;"."&amp;YEAR((A1638+1))&amp;": "&amp;INDEX('Zgłoszenia'!$H$5:$H$504,MATCH(F1638&amp;"|"&amp;(A1638+1),'Zgłoszenia'!$S$5:$S$504,0)))&amp;IF(K1638&gt;1," (+"&amp;(K1638-1)&amp;")",""))</f>
        <v/>
      </c>
      <c r="M1638" s="63" t="n">
        <v>21</v>
      </c>
      <c r="N1638" s="2" t="n"/>
      <c r="O1638" s="2" t="n"/>
    </row>
    <row r="1639">
      <c r="A1639" s="62">
        <f>IF('21'!$C$1="","",'21'!$C$1)</f>
        <v/>
      </c>
      <c r="B1639" s="63">
        <f>Ustawienia!$A$8&amp;""</f>
        <v/>
      </c>
      <c r="C1639" s="63">
        <f>Ustawienia!$A$16&amp;""</f>
        <v/>
      </c>
      <c r="D1639" s="63" t="n">
        <v>4</v>
      </c>
      <c r="E1639" s="63">
        <f>IF('21'!B25="","",TRIM('21'!B25&amp;""))</f>
        <v/>
      </c>
      <c r="F1639" s="63">
        <f>IF('21'!C25="","",'21'!C25)</f>
        <v/>
      </c>
      <c r="G1639" s="63">
        <f>'21'!D25&amp;""</f>
        <v/>
      </c>
      <c r="H1639" s="63">
        <f>IF(OR(A1639="",F1639=""),"",F1639&amp;"|"&amp;A1639)</f>
        <v/>
      </c>
      <c r="I1639" s="63">
        <f>IF(AND(H1639&lt;&gt;"",OR('Historia wózka'!$B$4="",F1639='Historia wózka'!$B$4),A1639&gt;='Historia wózka'!$B$5,A1639&lt;='Historia wózka'!$B$6),A1639+0.9+(5000-ROW())/10000000,0)</f>
        <v/>
      </c>
      <c r="J1639" s="63">
        <f>Ustawienia!$B$8&amp;""</f>
        <v/>
      </c>
      <c r="K1639" s="63">
        <f>IF(H1639="","",COUNTIFS('Zgłoszenia'!$B$5:$B$504,F1639,'Zgłoszenia'!$D$5:$D$504,"&gt;="&amp;A1639,'Zgłoszenia'!$D$5:$D$504,"&lt;="&amp;(A1639+1)))</f>
        <v/>
      </c>
      <c r="L1639" s="63">
        <f>IF(OR(H1639="",K1639=0),"—",IF(ISNUMBER(MATCH(H1639,'Zgłoszenia'!$S$5:$S$504,0)),RIGHT("0"&amp;DAY(A1639),2)&amp;"."&amp;RIGHT("0"&amp;MONTH(A1639),2)&amp;"."&amp;YEAR(A1639)&amp;": "&amp;INDEX('Zgłoszenia'!$H$5:$H$504,MATCH(H1639,'Zgłoszenia'!$S$5:$S$504,0)),RIGHT("0"&amp;DAY((A1639+1)),2)&amp;"."&amp;RIGHT("0"&amp;MONTH((A1639+1)),2)&amp;"."&amp;YEAR((A1639+1))&amp;": "&amp;INDEX('Zgłoszenia'!$H$5:$H$504,MATCH(F1639&amp;"|"&amp;(A1639+1),'Zgłoszenia'!$S$5:$S$504,0)))&amp;IF(K1639&gt;1," (+"&amp;(K1639-1)&amp;")",""))</f>
        <v/>
      </c>
      <c r="M1639" s="63" t="n">
        <v>21</v>
      </c>
      <c r="N1639" s="2" t="n"/>
      <c r="O1639" s="2" t="n"/>
    </row>
    <row r="1640">
      <c r="A1640" s="62">
        <f>IF('21'!$C$1="","",'21'!$C$1)</f>
        <v/>
      </c>
      <c r="B1640" s="63">
        <f>Ustawienia!$A$8&amp;""</f>
        <v/>
      </c>
      <c r="C1640" s="63">
        <f>Ustawienia!$A$17&amp;""</f>
        <v/>
      </c>
      <c r="D1640" s="63" t="n">
        <v>1</v>
      </c>
      <c r="E1640" s="63">
        <f>IF('21'!B27="","",TRIM('21'!B27&amp;""))</f>
        <v/>
      </c>
      <c r="F1640" s="63">
        <f>IF('21'!C27="","",'21'!C27)</f>
        <v/>
      </c>
      <c r="G1640" s="63">
        <f>'21'!D27&amp;""</f>
        <v/>
      </c>
      <c r="H1640" s="63">
        <f>IF(OR(A1640="",F1640=""),"",F1640&amp;"|"&amp;A1640)</f>
        <v/>
      </c>
      <c r="I1640" s="63">
        <f>IF(AND(H1640&lt;&gt;"",OR('Historia wózka'!$B$4="",F1640='Historia wózka'!$B$4),A1640&gt;='Historia wózka'!$B$5,A1640&lt;='Historia wózka'!$B$6),A1640+0.9+(5000-ROW())/10000000,0)</f>
        <v/>
      </c>
      <c r="J1640" s="63">
        <f>Ustawienia!$B$8&amp;""</f>
        <v/>
      </c>
      <c r="K1640" s="63">
        <f>IF(H1640="","",COUNTIFS('Zgłoszenia'!$B$5:$B$504,F1640,'Zgłoszenia'!$D$5:$D$504,"&gt;="&amp;A1640,'Zgłoszenia'!$D$5:$D$504,"&lt;="&amp;(A1640+1)))</f>
        <v/>
      </c>
      <c r="L1640" s="63">
        <f>IF(OR(H1640="",K1640=0),"—",IF(ISNUMBER(MATCH(H1640,'Zgłoszenia'!$S$5:$S$504,0)),RIGHT("0"&amp;DAY(A1640),2)&amp;"."&amp;RIGHT("0"&amp;MONTH(A1640),2)&amp;"."&amp;YEAR(A1640)&amp;": "&amp;INDEX('Zgłoszenia'!$H$5:$H$504,MATCH(H1640,'Zgłoszenia'!$S$5:$S$504,0)),RIGHT("0"&amp;DAY((A1640+1)),2)&amp;"."&amp;RIGHT("0"&amp;MONTH((A1640+1)),2)&amp;"."&amp;YEAR((A1640+1))&amp;": "&amp;INDEX('Zgłoszenia'!$H$5:$H$504,MATCH(F1640&amp;"|"&amp;(A1640+1),'Zgłoszenia'!$S$5:$S$504,0)))&amp;IF(K1640&gt;1," (+"&amp;(K1640-1)&amp;")",""))</f>
        <v/>
      </c>
      <c r="M1640" s="63" t="n">
        <v>21</v>
      </c>
      <c r="N1640" s="2" t="n"/>
      <c r="O1640" s="2" t="n"/>
    </row>
    <row r="1641">
      <c r="A1641" s="62">
        <f>IF('21'!$C$1="","",'21'!$C$1)</f>
        <v/>
      </c>
      <c r="B1641" s="63">
        <f>Ustawienia!$A$8&amp;""</f>
        <v/>
      </c>
      <c r="C1641" s="63">
        <f>Ustawienia!$A$17&amp;""</f>
        <v/>
      </c>
      <c r="D1641" s="63" t="n">
        <v>2</v>
      </c>
      <c r="E1641" s="63">
        <f>IF('21'!B28="","",TRIM('21'!B28&amp;""))</f>
        <v/>
      </c>
      <c r="F1641" s="63">
        <f>IF('21'!C28="","",'21'!C28)</f>
        <v/>
      </c>
      <c r="G1641" s="63">
        <f>'21'!D28&amp;""</f>
        <v/>
      </c>
      <c r="H1641" s="63">
        <f>IF(OR(A1641="",F1641=""),"",F1641&amp;"|"&amp;A1641)</f>
        <v/>
      </c>
      <c r="I1641" s="63">
        <f>IF(AND(H1641&lt;&gt;"",OR('Historia wózka'!$B$4="",F1641='Historia wózka'!$B$4),A1641&gt;='Historia wózka'!$B$5,A1641&lt;='Historia wózka'!$B$6),A1641+0.9+(5000-ROW())/10000000,0)</f>
        <v/>
      </c>
      <c r="J1641" s="63">
        <f>Ustawienia!$B$8&amp;""</f>
        <v/>
      </c>
      <c r="K1641" s="63">
        <f>IF(H1641="","",COUNTIFS('Zgłoszenia'!$B$5:$B$504,F1641,'Zgłoszenia'!$D$5:$D$504,"&gt;="&amp;A1641,'Zgłoszenia'!$D$5:$D$504,"&lt;="&amp;(A1641+1)))</f>
        <v/>
      </c>
      <c r="L1641" s="63">
        <f>IF(OR(H1641="",K1641=0),"—",IF(ISNUMBER(MATCH(H1641,'Zgłoszenia'!$S$5:$S$504,0)),RIGHT("0"&amp;DAY(A1641),2)&amp;"."&amp;RIGHT("0"&amp;MONTH(A1641),2)&amp;"."&amp;YEAR(A1641)&amp;": "&amp;INDEX('Zgłoszenia'!$H$5:$H$504,MATCH(H1641,'Zgłoszenia'!$S$5:$S$504,0)),RIGHT("0"&amp;DAY((A1641+1)),2)&amp;"."&amp;RIGHT("0"&amp;MONTH((A1641+1)),2)&amp;"."&amp;YEAR((A1641+1))&amp;": "&amp;INDEX('Zgłoszenia'!$H$5:$H$504,MATCH(F1641&amp;"|"&amp;(A1641+1),'Zgłoszenia'!$S$5:$S$504,0)))&amp;IF(K1641&gt;1," (+"&amp;(K1641-1)&amp;")",""))</f>
        <v/>
      </c>
      <c r="M1641" s="63" t="n">
        <v>21</v>
      </c>
      <c r="N1641" s="2" t="n"/>
      <c r="O1641" s="2" t="n"/>
    </row>
    <row r="1642">
      <c r="A1642" s="62">
        <f>IF('21'!$C$1="","",'21'!$C$1)</f>
        <v/>
      </c>
      <c r="B1642" s="63">
        <f>Ustawienia!$A$8&amp;""</f>
        <v/>
      </c>
      <c r="C1642" s="63">
        <f>Ustawienia!$A$17&amp;""</f>
        <v/>
      </c>
      <c r="D1642" s="63" t="n">
        <v>3</v>
      </c>
      <c r="E1642" s="63">
        <f>IF('21'!B29="","",TRIM('21'!B29&amp;""))</f>
        <v/>
      </c>
      <c r="F1642" s="63">
        <f>IF('21'!C29="","",'21'!C29)</f>
        <v/>
      </c>
      <c r="G1642" s="63">
        <f>'21'!D29&amp;""</f>
        <v/>
      </c>
      <c r="H1642" s="63">
        <f>IF(OR(A1642="",F1642=""),"",F1642&amp;"|"&amp;A1642)</f>
        <v/>
      </c>
      <c r="I1642" s="63">
        <f>IF(AND(H1642&lt;&gt;"",OR('Historia wózka'!$B$4="",F1642='Historia wózka'!$B$4),A1642&gt;='Historia wózka'!$B$5,A1642&lt;='Historia wózka'!$B$6),A1642+0.9+(5000-ROW())/10000000,0)</f>
        <v/>
      </c>
      <c r="J1642" s="63">
        <f>Ustawienia!$B$8&amp;""</f>
        <v/>
      </c>
      <c r="K1642" s="63">
        <f>IF(H1642="","",COUNTIFS('Zgłoszenia'!$B$5:$B$504,F1642,'Zgłoszenia'!$D$5:$D$504,"&gt;="&amp;A1642,'Zgłoszenia'!$D$5:$D$504,"&lt;="&amp;(A1642+1)))</f>
        <v/>
      </c>
      <c r="L1642" s="63">
        <f>IF(OR(H1642="",K1642=0),"—",IF(ISNUMBER(MATCH(H1642,'Zgłoszenia'!$S$5:$S$504,0)),RIGHT("0"&amp;DAY(A1642),2)&amp;"."&amp;RIGHT("0"&amp;MONTH(A1642),2)&amp;"."&amp;YEAR(A1642)&amp;": "&amp;INDEX('Zgłoszenia'!$H$5:$H$504,MATCH(H1642,'Zgłoszenia'!$S$5:$S$504,0)),RIGHT("0"&amp;DAY((A1642+1)),2)&amp;"."&amp;RIGHT("0"&amp;MONTH((A1642+1)),2)&amp;"."&amp;YEAR((A1642+1))&amp;": "&amp;INDEX('Zgłoszenia'!$H$5:$H$504,MATCH(F1642&amp;"|"&amp;(A1642+1),'Zgłoszenia'!$S$5:$S$504,0)))&amp;IF(K1642&gt;1," (+"&amp;(K1642-1)&amp;")",""))</f>
        <v/>
      </c>
      <c r="M1642" s="63" t="n">
        <v>21</v>
      </c>
      <c r="N1642" s="2" t="n"/>
      <c r="O1642" s="2" t="n"/>
    </row>
    <row r="1643">
      <c r="A1643" s="62">
        <f>IF('21'!$C$1="","",'21'!$C$1)</f>
        <v/>
      </c>
      <c r="B1643" s="63">
        <f>Ustawienia!$A$8&amp;""</f>
        <v/>
      </c>
      <c r="C1643" s="63">
        <f>Ustawienia!$A$17&amp;""</f>
        <v/>
      </c>
      <c r="D1643" s="63" t="n">
        <v>4</v>
      </c>
      <c r="E1643" s="63">
        <f>IF('21'!B30="","",TRIM('21'!B30&amp;""))</f>
        <v/>
      </c>
      <c r="F1643" s="63">
        <f>IF('21'!C30="","",'21'!C30)</f>
        <v/>
      </c>
      <c r="G1643" s="63">
        <f>'21'!D30&amp;""</f>
        <v/>
      </c>
      <c r="H1643" s="63">
        <f>IF(OR(A1643="",F1643=""),"",F1643&amp;"|"&amp;A1643)</f>
        <v/>
      </c>
      <c r="I1643" s="63">
        <f>IF(AND(H1643&lt;&gt;"",OR('Historia wózka'!$B$4="",F1643='Historia wózka'!$B$4),A1643&gt;='Historia wózka'!$B$5,A1643&lt;='Historia wózka'!$B$6),A1643+0.9+(5000-ROW())/10000000,0)</f>
        <v/>
      </c>
      <c r="J1643" s="63">
        <f>Ustawienia!$B$8&amp;""</f>
        <v/>
      </c>
      <c r="K1643" s="63">
        <f>IF(H1643="","",COUNTIFS('Zgłoszenia'!$B$5:$B$504,F1643,'Zgłoszenia'!$D$5:$D$504,"&gt;="&amp;A1643,'Zgłoszenia'!$D$5:$D$504,"&lt;="&amp;(A1643+1)))</f>
        <v/>
      </c>
      <c r="L1643" s="63">
        <f>IF(OR(H1643="",K1643=0),"—",IF(ISNUMBER(MATCH(H1643,'Zgłoszenia'!$S$5:$S$504,0)),RIGHT("0"&amp;DAY(A1643),2)&amp;"."&amp;RIGHT("0"&amp;MONTH(A1643),2)&amp;"."&amp;YEAR(A1643)&amp;": "&amp;INDEX('Zgłoszenia'!$H$5:$H$504,MATCH(H1643,'Zgłoszenia'!$S$5:$S$504,0)),RIGHT("0"&amp;DAY((A1643+1)),2)&amp;"."&amp;RIGHT("0"&amp;MONTH((A1643+1)),2)&amp;"."&amp;YEAR((A1643+1))&amp;": "&amp;INDEX('Zgłoszenia'!$H$5:$H$504,MATCH(F1643&amp;"|"&amp;(A1643+1),'Zgłoszenia'!$S$5:$S$504,0)))&amp;IF(K1643&gt;1," (+"&amp;(K1643-1)&amp;")",""))</f>
        <v/>
      </c>
      <c r="M1643" s="63" t="n">
        <v>21</v>
      </c>
      <c r="N1643" s="2" t="n"/>
      <c r="O1643" s="2" t="n"/>
    </row>
    <row r="1644">
      <c r="A1644" s="62">
        <f>IF('21'!$C$1="","",'21'!$C$1)</f>
        <v/>
      </c>
      <c r="B1644" s="63">
        <f>Ustawienia!$A$8&amp;""</f>
        <v/>
      </c>
      <c r="C1644" s="63">
        <f>Ustawienia!$A$18&amp;""</f>
        <v/>
      </c>
      <c r="D1644" s="63" t="n">
        <v>1</v>
      </c>
      <c r="E1644" s="63">
        <f>IF('21'!B32="","",TRIM('21'!B32&amp;""))</f>
        <v/>
      </c>
      <c r="F1644" s="63">
        <f>IF('21'!C32="","",'21'!C32)</f>
        <v/>
      </c>
      <c r="G1644" s="63">
        <f>'21'!D32&amp;""</f>
        <v/>
      </c>
      <c r="H1644" s="63">
        <f>IF(OR(A1644="",F1644=""),"",F1644&amp;"|"&amp;A1644)</f>
        <v/>
      </c>
      <c r="I1644" s="63">
        <f>IF(AND(H1644&lt;&gt;"",OR('Historia wózka'!$B$4="",F1644='Historia wózka'!$B$4),A1644&gt;='Historia wózka'!$B$5,A1644&lt;='Historia wózka'!$B$6),A1644+0.9+(5000-ROW())/10000000,0)</f>
        <v/>
      </c>
      <c r="J1644" s="63">
        <f>Ustawienia!$B$8&amp;""</f>
        <v/>
      </c>
      <c r="K1644" s="63">
        <f>IF(H1644="","",COUNTIFS('Zgłoszenia'!$B$5:$B$504,F1644,'Zgłoszenia'!$D$5:$D$504,"&gt;="&amp;A1644,'Zgłoszenia'!$D$5:$D$504,"&lt;="&amp;(A1644+1)))</f>
        <v/>
      </c>
      <c r="L1644" s="63">
        <f>IF(OR(H1644="",K1644=0),"—",IF(ISNUMBER(MATCH(H1644,'Zgłoszenia'!$S$5:$S$504,0)),RIGHT("0"&amp;DAY(A1644),2)&amp;"."&amp;RIGHT("0"&amp;MONTH(A1644),2)&amp;"."&amp;YEAR(A1644)&amp;": "&amp;INDEX('Zgłoszenia'!$H$5:$H$504,MATCH(H1644,'Zgłoszenia'!$S$5:$S$504,0)),RIGHT("0"&amp;DAY((A1644+1)),2)&amp;"."&amp;RIGHT("0"&amp;MONTH((A1644+1)),2)&amp;"."&amp;YEAR((A1644+1))&amp;": "&amp;INDEX('Zgłoszenia'!$H$5:$H$504,MATCH(F1644&amp;"|"&amp;(A1644+1),'Zgłoszenia'!$S$5:$S$504,0)))&amp;IF(K1644&gt;1," (+"&amp;(K1644-1)&amp;")",""))</f>
        <v/>
      </c>
      <c r="M1644" s="63" t="n">
        <v>21</v>
      </c>
      <c r="N1644" s="2" t="n"/>
      <c r="O1644" s="2" t="n"/>
    </row>
    <row r="1645">
      <c r="A1645" s="62">
        <f>IF('21'!$C$1="","",'21'!$C$1)</f>
        <v/>
      </c>
      <c r="B1645" s="63">
        <f>Ustawienia!$A$8&amp;""</f>
        <v/>
      </c>
      <c r="C1645" s="63">
        <f>Ustawienia!$A$18&amp;""</f>
        <v/>
      </c>
      <c r="D1645" s="63" t="n">
        <v>2</v>
      </c>
      <c r="E1645" s="63">
        <f>IF('21'!B33="","",TRIM('21'!B33&amp;""))</f>
        <v/>
      </c>
      <c r="F1645" s="63">
        <f>IF('21'!C33="","",'21'!C33)</f>
        <v/>
      </c>
      <c r="G1645" s="63">
        <f>'21'!D33&amp;""</f>
        <v/>
      </c>
      <c r="H1645" s="63">
        <f>IF(OR(A1645="",F1645=""),"",F1645&amp;"|"&amp;A1645)</f>
        <v/>
      </c>
      <c r="I1645" s="63">
        <f>IF(AND(H1645&lt;&gt;"",OR('Historia wózka'!$B$4="",F1645='Historia wózka'!$B$4),A1645&gt;='Historia wózka'!$B$5,A1645&lt;='Historia wózka'!$B$6),A1645+0.9+(5000-ROW())/10000000,0)</f>
        <v/>
      </c>
      <c r="J1645" s="63">
        <f>Ustawienia!$B$8&amp;""</f>
        <v/>
      </c>
      <c r="K1645" s="63">
        <f>IF(H1645="","",COUNTIFS('Zgłoszenia'!$B$5:$B$504,F1645,'Zgłoszenia'!$D$5:$D$504,"&gt;="&amp;A1645,'Zgłoszenia'!$D$5:$D$504,"&lt;="&amp;(A1645+1)))</f>
        <v/>
      </c>
      <c r="L1645" s="63">
        <f>IF(OR(H1645="",K1645=0),"—",IF(ISNUMBER(MATCH(H1645,'Zgłoszenia'!$S$5:$S$504,0)),RIGHT("0"&amp;DAY(A1645),2)&amp;"."&amp;RIGHT("0"&amp;MONTH(A1645),2)&amp;"."&amp;YEAR(A1645)&amp;": "&amp;INDEX('Zgłoszenia'!$H$5:$H$504,MATCH(H1645,'Zgłoszenia'!$S$5:$S$504,0)),RIGHT("0"&amp;DAY((A1645+1)),2)&amp;"."&amp;RIGHT("0"&amp;MONTH((A1645+1)),2)&amp;"."&amp;YEAR((A1645+1))&amp;": "&amp;INDEX('Zgłoszenia'!$H$5:$H$504,MATCH(F1645&amp;"|"&amp;(A1645+1),'Zgłoszenia'!$S$5:$S$504,0)))&amp;IF(K1645&gt;1," (+"&amp;(K1645-1)&amp;")",""))</f>
        <v/>
      </c>
      <c r="M1645" s="63" t="n">
        <v>21</v>
      </c>
      <c r="N1645" s="2" t="n"/>
      <c r="O1645" s="2" t="n"/>
    </row>
    <row r="1646">
      <c r="A1646" s="62">
        <f>IF('21'!$C$1="","",'21'!$C$1)</f>
        <v/>
      </c>
      <c r="B1646" s="63">
        <f>Ustawienia!$A$8&amp;""</f>
        <v/>
      </c>
      <c r="C1646" s="63">
        <f>Ustawienia!$A$18&amp;""</f>
        <v/>
      </c>
      <c r="D1646" s="63" t="n">
        <v>3</v>
      </c>
      <c r="E1646" s="63">
        <f>IF('21'!B34="","",TRIM('21'!B34&amp;""))</f>
        <v/>
      </c>
      <c r="F1646" s="63">
        <f>IF('21'!C34="","",'21'!C34)</f>
        <v/>
      </c>
      <c r="G1646" s="63">
        <f>'21'!D34&amp;""</f>
        <v/>
      </c>
      <c r="H1646" s="63">
        <f>IF(OR(A1646="",F1646=""),"",F1646&amp;"|"&amp;A1646)</f>
        <v/>
      </c>
      <c r="I1646" s="63">
        <f>IF(AND(H1646&lt;&gt;"",OR('Historia wózka'!$B$4="",F1646='Historia wózka'!$B$4),A1646&gt;='Historia wózka'!$B$5,A1646&lt;='Historia wózka'!$B$6),A1646+0.9+(5000-ROW())/10000000,0)</f>
        <v/>
      </c>
      <c r="J1646" s="63">
        <f>Ustawienia!$B$8&amp;""</f>
        <v/>
      </c>
      <c r="K1646" s="63">
        <f>IF(H1646="","",COUNTIFS('Zgłoszenia'!$B$5:$B$504,F1646,'Zgłoszenia'!$D$5:$D$504,"&gt;="&amp;A1646,'Zgłoszenia'!$D$5:$D$504,"&lt;="&amp;(A1646+1)))</f>
        <v/>
      </c>
      <c r="L1646" s="63">
        <f>IF(OR(H1646="",K1646=0),"—",IF(ISNUMBER(MATCH(H1646,'Zgłoszenia'!$S$5:$S$504,0)),RIGHT("0"&amp;DAY(A1646),2)&amp;"."&amp;RIGHT("0"&amp;MONTH(A1646),2)&amp;"."&amp;YEAR(A1646)&amp;": "&amp;INDEX('Zgłoszenia'!$H$5:$H$504,MATCH(H1646,'Zgłoszenia'!$S$5:$S$504,0)),RIGHT("0"&amp;DAY((A1646+1)),2)&amp;"."&amp;RIGHT("0"&amp;MONTH((A1646+1)),2)&amp;"."&amp;YEAR((A1646+1))&amp;": "&amp;INDEX('Zgłoszenia'!$H$5:$H$504,MATCH(F1646&amp;"|"&amp;(A1646+1),'Zgłoszenia'!$S$5:$S$504,0)))&amp;IF(K1646&gt;1," (+"&amp;(K1646-1)&amp;")",""))</f>
        <v/>
      </c>
      <c r="M1646" s="63" t="n">
        <v>21</v>
      </c>
      <c r="N1646" s="2" t="n"/>
      <c r="O1646" s="2" t="n"/>
    </row>
    <row r="1647">
      <c r="A1647" s="62">
        <f>IF('21'!$C$1="","",'21'!$C$1)</f>
        <v/>
      </c>
      <c r="B1647" s="63">
        <f>Ustawienia!$A$8&amp;""</f>
        <v/>
      </c>
      <c r="C1647" s="63">
        <f>Ustawienia!$A$18&amp;""</f>
        <v/>
      </c>
      <c r="D1647" s="63" t="n">
        <v>4</v>
      </c>
      <c r="E1647" s="63">
        <f>IF('21'!B35="","",TRIM('21'!B35&amp;""))</f>
        <v/>
      </c>
      <c r="F1647" s="63">
        <f>IF('21'!C35="","",'21'!C35)</f>
        <v/>
      </c>
      <c r="G1647" s="63">
        <f>'21'!D35&amp;""</f>
        <v/>
      </c>
      <c r="H1647" s="63">
        <f>IF(OR(A1647="",F1647=""),"",F1647&amp;"|"&amp;A1647)</f>
        <v/>
      </c>
      <c r="I1647" s="63">
        <f>IF(AND(H1647&lt;&gt;"",OR('Historia wózka'!$B$4="",F1647='Historia wózka'!$B$4),A1647&gt;='Historia wózka'!$B$5,A1647&lt;='Historia wózka'!$B$6),A1647+0.9+(5000-ROW())/10000000,0)</f>
        <v/>
      </c>
      <c r="J1647" s="63">
        <f>Ustawienia!$B$8&amp;""</f>
        <v/>
      </c>
      <c r="K1647" s="63">
        <f>IF(H1647="","",COUNTIFS('Zgłoszenia'!$B$5:$B$504,F1647,'Zgłoszenia'!$D$5:$D$504,"&gt;="&amp;A1647,'Zgłoszenia'!$D$5:$D$504,"&lt;="&amp;(A1647+1)))</f>
        <v/>
      </c>
      <c r="L1647" s="63">
        <f>IF(OR(H1647="",K1647=0),"—",IF(ISNUMBER(MATCH(H1647,'Zgłoszenia'!$S$5:$S$504,0)),RIGHT("0"&amp;DAY(A1647),2)&amp;"."&amp;RIGHT("0"&amp;MONTH(A1647),2)&amp;"."&amp;YEAR(A1647)&amp;": "&amp;INDEX('Zgłoszenia'!$H$5:$H$504,MATCH(H1647,'Zgłoszenia'!$S$5:$S$504,0)),RIGHT("0"&amp;DAY((A1647+1)),2)&amp;"."&amp;RIGHT("0"&amp;MONTH((A1647+1)),2)&amp;"."&amp;YEAR((A1647+1))&amp;": "&amp;INDEX('Zgłoszenia'!$H$5:$H$504,MATCH(F1647&amp;"|"&amp;(A1647+1),'Zgłoszenia'!$S$5:$S$504,0)))&amp;IF(K1647&gt;1," (+"&amp;(K1647-1)&amp;")",""))</f>
        <v/>
      </c>
      <c r="M1647" s="63" t="n">
        <v>21</v>
      </c>
      <c r="N1647" s="2" t="n"/>
      <c r="O1647" s="2" t="n"/>
    </row>
    <row r="1648">
      <c r="A1648" s="62">
        <f>IF('21'!$C$1="","",'21'!$C$1)</f>
        <v/>
      </c>
      <c r="B1648" s="63">
        <f>Ustawienia!$A$8&amp;""</f>
        <v/>
      </c>
      <c r="C1648" s="63">
        <f>Ustawienia!$A$18&amp;""</f>
        <v/>
      </c>
      <c r="D1648" s="63" t="n">
        <v>5</v>
      </c>
      <c r="E1648" s="63">
        <f>IF('21'!B36="","",TRIM('21'!B36&amp;""))</f>
        <v/>
      </c>
      <c r="F1648" s="63">
        <f>IF('21'!C36="","",'21'!C36)</f>
        <v/>
      </c>
      <c r="G1648" s="63">
        <f>'21'!D36&amp;""</f>
        <v/>
      </c>
      <c r="H1648" s="63">
        <f>IF(OR(A1648="",F1648=""),"",F1648&amp;"|"&amp;A1648)</f>
        <v/>
      </c>
      <c r="I1648" s="63">
        <f>IF(AND(H1648&lt;&gt;"",OR('Historia wózka'!$B$4="",F1648='Historia wózka'!$B$4),A1648&gt;='Historia wózka'!$B$5,A1648&lt;='Historia wózka'!$B$6),A1648+0.9+(5000-ROW())/10000000,0)</f>
        <v/>
      </c>
      <c r="J1648" s="63">
        <f>Ustawienia!$B$8&amp;""</f>
        <v/>
      </c>
      <c r="K1648" s="63">
        <f>IF(H1648="","",COUNTIFS('Zgłoszenia'!$B$5:$B$504,F1648,'Zgłoszenia'!$D$5:$D$504,"&gt;="&amp;A1648,'Zgłoszenia'!$D$5:$D$504,"&lt;="&amp;(A1648+1)))</f>
        <v/>
      </c>
      <c r="L1648" s="63">
        <f>IF(OR(H1648="",K1648=0),"—",IF(ISNUMBER(MATCH(H1648,'Zgłoszenia'!$S$5:$S$504,0)),RIGHT("0"&amp;DAY(A1648),2)&amp;"."&amp;RIGHT("0"&amp;MONTH(A1648),2)&amp;"."&amp;YEAR(A1648)&amp;": "&amp;INDEX('Zgłoszenia'!$H$5:$H$504,MATCH(H1648,'Zgłoszenia'!$S$5:$S$504,0)),RIGHT("0"&amp;DAY((A1648+1)),2)&amp;"."&amp;RIGHT("0"&amp;MONTH((A1648+1)),2)&amp;"."&amp;YEAR((A1648+1))&amp;": "&amp;INDEX('Zgłoszenia'!$H$5:$H$504,MATCH(F1648&amp;"|"&amp;(A1648+1),'Zgłoszenia'!$S$5:$S$504,0)))&amp;IF(K1648&gt;1," (+"&amp;(K1648-1)&amp;")",""))</f>
        <v/>
      </c>
      <c r="M1648" s="63" t="n">
        <v>21</v>
      </c>
      <c r="N1648" s="2" t="n"/>
      <c r="O1648" s="2" t="n"/>
    </row>
    <row r="1649">
      <c r="A1649" s="62">
        <f>IF('21'!$C$1="","",'21'!$C$1)</f>
        <v/>
      </c>
      <c r="B1649" s="63">
        <f>Ustawienia!$A$9&amp;""</f>
        <v/>
      </c>
      <c r="C1649" s="63">
        <f>Ustawienia!$A$14&amp;""</f>
        <v/>
      </c>
      <c r="D1649" s="63" t="n">
        <v>1</v>
      </c>
      <c r="E1649" s="63">
        <f>IF('21'!F6="","",TRIM('21'!F6&amp;""))</f>
        <v/>
      </c>
      <c r="F1649" s="63">
        <f>IF('21'!G6="","",'21'!G6)</f>
        <v/>
      </c>
      <c r="G1649" s="63">
        <f>'21'!H6&amp;""</f>
        <v/>
      </c>
      <c r="H1649" s="63">
        <f>IF(OR(A1649="",F1649=""),"",F1649&amp;"|"&amp;A1649)</f>
        <v/>
      </c>
      <c r="I1649" s="63">
        <f>IF(AND(H1649&lt;&gt;"",OR('Historia wózka'!$B$4="",F1649='Historia wózka'!$B$4),A1649&gt;='Historia wózka'!$B$5,A1649&lt;='Historia wózka'!$B$6),A1649+0.8+(5000-ROW())/10000000,0)</f>
        <v/>
      </c>
      <c r="J1649" s="63">
        <f>Ustawienia!$B$9&amp;""</f>
        <v/>
      </c>
      <c r="K1649" s="63">
        <f>IF(H1649="","",COUNTIFS('Zgłoszenia'!$B$5:$B$504,F1649,'Zgłoszenia'!$D$5:$D$504,"&gt;="&amp;A1649,'Zgłoszenia'!$D$5:$D$504,"&lt;="&amp;(A1649+1)))</f>
        <v/>
      </c>
      <c r="L1649" s="63">
        <f>IF(OR(H1649="",K1649=0),"—",IF(ISNUMBER(MATCH(H1649,'Zgłoszenia'!$S$5:$S$504,0)),RIGHT("0"&amp;DAY(A1649),2)&amp;"."&amp;RIGHT("0"&amp;MONTH(A1649),2)&amp;"."&amp;YEAR(A1649)&amp;": "&amp;INDEX('Zgłoszenia'!$H$5:$H$504,MATCH(H1649,'Zgłoszenia'!$S$5:$S$504,0)),RIGHT("0"&amp;DAY((A1649+1)),2)&amp;"."&amp;RIGHT("0"&amp;MONTH((A1649+1)),2)&amp;"."&amp;YEAR((A1649+1))&amp;": "&amp;INDEX('Zgłoszenia'!$H$5:$H$504,MATCH(F1649&amp;"|"&amp;(A1649+1),'Zgłoszenia'!$S$5:$S$504,0)))&amp;IF(K1649&gt;1," (+"&amp;(K1649-1)&amp;")",""))</f>
        <v/>
      </c>
      <c r="M1649" s="63" t="n">
        <v>21</v>
      </c>
      <c r="N1649" s="2" t="n"/>
      <c r="O1649" s="2" t="n"/>
    </row>
    <row r="1650">
      <c r="A1650" s="62">
        <f>IF('21'!$C$1="","",'21'!$C$1)</f>
        <v/>
      </c>
      <c r="B1650" s="63">
        <f>Ustawienia!$A$9&amp;""</f>
        <v/>
      </c>
      <c r="C1650" s="63">
        <f>Ustawienia!$A$14&amp;""</f>
        <v/>
      </c>
      <c r="D1650" s="63" t="n">
        <v>2</v>
      </c>
      <c r="E1650" s="63">
        <f>IF('21'!F7="","",TRIM('21'!F7&amp;""))</f>
        <v/>
      </c>
      <c r="F1650" s="63">
        <f>IF('21'!G7="","",'21'!G7)</f>
        <v/>
      </c>
      <c r="G1650" s="63">
        <f>'21'!H7&amp;""</f>
        <v/>
      </c>
      <c r="H1650" s="63">
        <f>IF(OR(A1650="",F1650=""),"",F1650&amp;"|"&amp;A1650)</f>
        <v/>
      </c>
      <c r="I1650" s="63">
        <f>IF(AND(H1650&lt;&gt;"",OR('Historia wózka'!$B$4="",F1650='Historia wózka'!$B$4),A1650&gt;='Historia wózka'!$B$5,A1650&lt;='Historia wózka'!$B$6),A1650+0.8+(5000-ROW())/10000000,0)</f>
        <v/>
      </c>
      <c r="J1650" s="63">
        <f>Ustawienia!$B$9&amp;""</f>
        <v/>
      </c>
      <c r="K1650" s="63">
        <f>IF(H1650="","",COUNTIFS('Zgłoszenia'!$B$5:$B$504,F1650,'Zgłoszenia'!$D$5:$D$504,"&gt;="&amp;A1650,'Zgłoszenia'!$D$5:$D$504,"&lt;="&amp;(A1650+1)))</f>
        <v/>
      </c>
      <c r="L1650" s="63">
        <f>IF(OR(H1650="",K1650=0),"—",IF(ISNUMBER(MATCH(H1650,'Zgłoszenia'!$S$5:$S$504,0)),RIGHT("0"&amp;DAY(A1650),2)&amp;"."&amp;RIGHT("0"&amp;MONTH(A1650),2)&amp;"."&amp;YEAR(A1650)&amp;": "&amp;INDEX('Zgłoszenia'!$H$5:$H$504,MATCH(H1650,'Zgłoszenia'!$S$5:$S$504,0)),RIGHT("0"&amp;DAY((A1650+1)),2)&amp;"."&amp;RIGHT("0"&amp;MONTH((A1650+1)),2)&amp;"."&amp;YEAR((A1650+1))&amp;": "&amp;INDEX('Zgłoszenia'!$H$5:$H$504,MATCH(F1650&amp;"|"&amp;(A1650+1),'Zgłoszenia'!$S$5:$S$504,0)))&amp;IF(K1650&gt;1," (+"&amp;(K1650-1)&amp;")",""))</f>
        <v/>
      </c>
      <c r="M1650" s="63" t="n">
        <v>21</v>
      </c>
      <c r="N1650" s="2" t="n"/>
      <c r="O1650" s="2" t="n"/>
    </row>
    <row r="1651">
      <c r="A1651" s="62">
        <f>IF('21'!$C$1="","",'21'!$C$1)</f>
        <v/>
      </c>
      <c r="B1651" s="63">
        <f>Ustawienia!$A$9&amp;""</f>
        <v/>
      </c>
      <c r="C1651" s="63">
        <f>Ustawienia!$A$14&amp;""</f>
        <v/>
      </c>
      <c r="D1651" s="63" t="n">
        <v>3</v>
      </c>
      <c r="E1651" s="63">
        <f>IF('21'!F8="","",TRIM('21'!F8&amp;""))</f>
        <v/>
      </c>
      <c r="F1651" s="63">
        <f>IF('21'!G8="","",'21'!G8)</f>
        <v/>
      </c>
      <c r="G1651" s="63">
        <f>'21'!H8&amp;""</f>
        <v/>
      </c>
      <c r="H1651" s="63">
        <f>IF(OR(A1651="",F1651=""),"",F1651&amp;"|"&amp;A1651)</f>
        <v/>
      </c>
      <c r="I1651" s="63">
        <f>IF(AND(H1651&lt;&gt;"",OR('Historia wózka'!$B$4="",F1651='Historia wózka'!$B$4),A1651&gt;='Historia wózka'!$B$5,A1651&lt;='Historia wózka'!$B$6),A1651+0.8+(5000-ROW())/10000000,0)</f>
        <v/>
      </c>
      <c r="J1651" s="63">
        <f>Ustawienia!$B$9&amp;""</f>
        <v/>
      </c>
      <c r="K1651" s="63">
        <f>IF(H1651="","",COUNTIFS('Zgłoszenia'!$B$5:$B$504,F1651,'Zgłoszenia'!$D$5:$D$504,"&gt;="&amp;A1651,'Zgłoszenia'!$D$5:$D$504,"&lt;="&amp;(A1651+1)))</f>
        <v/>
      </c>
      <c r="L1651" s="63">
        <f>IF(OR(H1651="",K1651=0),"—",IF(ISNUMBER(MATCH(H1651,'Zgłoszenia'!$S$5:$S$504,0)),RIGHT("0"&amp;DAY(A1651),2)&amp;"."&amp;RIGHT("0"&amp;MONTH(A1651),2)&amp;"."&amp;YEAR(A1651)&amp;": "&amp;INDEX('Zgłoszenia'!$H$5:$H$504,MATCH(H1651,'Zgłoszenia'!$S$5:$S$504,0)),RIGHT("0"&amp;DAY((A1651+1)),2)&amp;"."&amp;RIGHT("0"&amp;MONTH((A1651+1)),2)&amp;"."&amp;YEAR((A1651+1))&amp;": "&amp;INDEX('Zgłoszenia'!$H$5:$H$504,MATCH(F1651&amp;"|"&amp;(A1651+1),'Zgłoszenia'!$S$5:$S$504,0)))&amp;IF(K1651&gt;1," (+"&amp;(K1651-1)&amp;")",""))</f>
        <v/>
      </c>
      <c r="M1651" s="63" t="n">
        <v>21</v>
      </c>
      <c r="N1651" s="2" t="n"/>
      <c r="O1651" s="2" t="n"/>
    </row>
    <row r="1652">
      <c r="A1652" s="62">
        <f>IF('21'!$C$1="","",'21'!$C$1)</f>
        <v/>
      </c>
      <c r="B1652" s="63">
        <f>Ustawienia!$A$9&amp;""</f>
        <v/>
      </c>
      <c r="C1652" s="63">
        <f>Ustawienia!$A$14&amp;""</f>
        <v/>
      </c>
      <c r="D1652" s="63" t="n">
        <v>4</v>
      </c>
      <c r="E1652" s="63">
        <f>IF('21'!F9="","",TRIM('21'!F9&amp;""))</f>
        <v/>
      </c>
      <c r="F1652" s="63">
        <f>IF('21'!G9="","",'21'!G9)</f>
        <v/>
      </c>
      <c r="G1652" s="63">
        <f>'21'!H9&amp;""</f>
        <v/>
      </c>
      <c r="H1652" s="63">
        <f>IF(OR(A1652="",F1652=""),"",F1652&amp;"|"&amp;A1652)</f>
        <v/>
      </c>
      <c r="I1652" s="63">
        <f>IF(AND(H1652&lt;&gt;"",OR('Historia wózka'!$B$4="",F1652='Historia wózka'!$B$4),A1652&gt;='Historia wózka'!$B$5,A1652&lt;='Historia wózka'!$B$6),A1652+0.8+(5000-ROW())/10000000,0)</f>
        <v/>
      </c>
      <c r="J1652" s="63">
        <f>Ustawienia!$B$9&amp;""</f>
        <v/>
      </c>
      <c r="K1652" s="63">
        <f>IF(H1652="","",COUNTIFS('Zgłoszenia'!$B$5:$B$504,F1652,'Zgłoszenia'!$D$5:$D$504,"&gt;="&amp;A1652,'Zgłoszenia'!$D$5:$D$504,"&lt;="&amp;(A1652+1)))</f>
        <v/>
      </c>
      <c r="L1652" s="63">
        <f>IF(OR(H1652="",K1652=0),"—",IF(ISNUMBER(MATCH(H1652,'Zgłoszenia'!$S$5:$S$504,0)),RIGHT("0"&amp;DAY(A1652),2)&amp;"."&amp;RIGHT("0"&amp;MONTH(A1652),2)&amp;"."&amp;YEAR(A1652)&amp;": "&amp;INDEX('Zgłoszenia'!$H$5:$H$504,MATCH(H1652,'Zgłoszenia'!$S$5:$S$504,0)),RIGHT("0"&amp;DAY((A1652+1)),2)&amp;"."&amp;RIGHT("0"&amp;MONTH((A1652+1)),2)&amp;"."&amp;YEAR((A1652+1))&amp;": "&amp;INDEX('Zgłoszenia'!$H$5:$H$504,MATCH(F1652&amp;"|"&amp;(A1652+1),'Zgłoszenia'!$S$5:$S$504,0)))&amp;IF(K1652&gt;1," (+"&amp;(K1652-1)&amp;")",""))</f>
        <v/>
      </c>
      <c r="M1652" s="63" t="n">
        <v>21</v>
      </c>
      <c r="N1652" s="2" t="n"/>
      <c r="O1652" s="2" t="n"/>
    </row>
    <row r="1653">
      <c r="A1653" s="62">
        <f>IF('21'!$C$1="","",'21'!$C$1)</f>
        <v/>
      </c>
      <c r="B1653" s="63">
        <f>Ustawienia!$A$9&amp;""</f>
        <v/>
      </c>
      <c r="C1653" s="63">
        <f>Ustawienia!$A$14&amp;""</f>
        <v/>
      </c>
      <c r="D1653" s="63" t="n">
        <v>5</v>
      </c>
      <c r="E1653" s="63">
        <f>IF('21'!F10="","",TRIM('21'!F10&amp;""))</f>
        <v/>
      </c>
      <c r="F1653" s="63">
        <f>IF('21'!G10="","",'21'!G10)</f>
        <v/>
      </c>
      <c r="G1653" s="63">
        <f>'21'!H10&amp;""</f>
        <v/>
      </c>
      <c r="H1653" s="63">
        <f>IF(OR(A1653="",F1653=""),"",F1653&amp;"|"&amp;A1653)</f>
        <v/>
      </c>
      <c r="I1653" s="63">
        <f>IF(AND(H1653&lt;&gt;"",OR('Historia wózka'!$B$4="",F1653='Historia wózka'!$B$4),A1653&gt;='Historia wózka'!$B$5,A1653&lt;='Historia wózka'!$B$6),A1653+0.8+(5000-ROW())/10000000,0)</f>
        <v/>
      </c>
      <c r="J1653" s="63">
        <f>Ustawienia!$B$9&amp;""</f>
        <v/>
      </c>
      <c r="K1653" s="63">
        <f>IF(H1653="","",COUNTIFS('Zgłoszenia'!$B$5:$B$504,F1653,'Zgłoszenia'!$D$5:$D$504,"&gt;="&amp;A1653,'Zgłoszenia'!$D$5:$D$504,"&lt;="&amp;(A1653+1)))</f>
        <v/>
      </c>
      <c r="L1653" s="63">
        <f>IF(OR(H1653="",K1653=0),"—",IF(ISNUMBER(MATCH(H1653,'Zgłoszenia'!$S$5:$S$504,0)),RIGHT("0"&amp;DAY(A1653),2)&amp;"."&amp;RIGHT("0"&amp;MONTH(A1653),2)&amp;"."&amp;YEAR(A1653)&amp;": "&amp;INDEX('Zgłoszenia'!$H$5:$H$504,MATCH(H1653,'Zgłoszenia'!$S$5:$S$504,0)),RIGHT("0"&amp;DAY((A1653+1)),2)&amp;"."&amp;RIGHT("0"&amp;MONTH((A1653+1)),2)&amp;"."&amp;YEAR((A1653+1))&amp;": "&amp;INDEX('Zgłoszenia'!$H$5:$H$504,MATCH(F1653&amp;"|"&amp;(A1653+1),'Zgłoszenia'!$S$5:$S$504,0)))&amp;IF(K1653&gt;1," (+"&amp;(K1653-1)&amp;")",""))</f>
        <v/>
      </c>
      <c r="M1653" s="63" t="n">
        <v>21</v>
      </c>
      <c r="N1653" s="2" t="n"/>
      <c r="O1653" s="2" t="n"/>
    </row>
    <row r="1654">
      <c r="A1654" s="62">
        <f>IF('21'!$C$1="","",'21'!$C$1)</f>
        <v/>
      </c>
      <c r="B1654" s="63">
        <f>Ustawienia!$A$9&amp;""</f>
        <v/>
      </c>
      <c r="C1654" s="63">
        <f>Ustawienia!$A$14&amp;""</f>
        <v/>
      </c>
      <c r="D1654" s="63" t="n">
        <v>6</v>
      </c>
      <c r="E1654" s="63">
        <f>IF('21'!F11="","",TRIM('21'!F11&amp;""))</f>
        <v/>
      </c>
      <c r="F1654" s="63">
        <f>IF('21'!G11="","",'21'!G11)</f>
        <v/>
      </c>
      <c r="G1654" s="63">
        <f>'21'!H11&amp;""</f>
        <v/>
      </c>
      <c r="H1654" s="63">
        <f>IF(OR(A1654="",F1654=""),"",F1654&amp;"|"&amp;A1654)</f>
        <v/>
      </c>
      <c r="I1654" s="63">
        <f>IF(AND(H1654&lt;&gt;"",OR('Historia wózka'!$B$4="",F1654='Historia wózka'!$B$4),A1654&gt;='Historia wózka'!$B$5,A1654&lt;='Historia wózka'!$B$6),A1654+0.8+(5000-ROW())/10000000,0)</f>
        <v/>
      </c>
      <c r="J1654" s="63">
        <f>Ustawienia!$B$9&amp;""</f>
        <v/>
      </c>
      <c r="K1654" s="63">
        <f>IF(H1654="","",COUNTIFS('Zgłoszenia'!$B$5:$B$504,F1654,'Zgłoszenia'!$D$5:$D$504,"&gt;="&amp;A1654,'Zgłoszenia'!$D$5:$D$504,"&lt;="&amp;(A1654+1)))</f>
        <v/>
      </c>
      <c r="L1654" s="63">
        <f>IF(OR(H1654="",K1654=0),"—",IF(ISNUMBER(MATCH(H1654,'Zgłoszenia'!$S$5:$S$504,0)),RIGHT("0"&amp;DAY(A1654),2)&amp;"."&amp;RIGHT("0"&amp;MONTH(A1654),2)&amp;"."&amp;YEAR(A1654)&amp;": "&amp;INDEX('Zgłoszenia'!$H$5:$H$504,MATCH(H1654,'Zgłoszenia'!$S$5:$S$504,0)),RIGHT("0"&amp;DAY((A1654+1)),2)&amp;"."&amp;RIGHT("0"&amp;MONTH((A1654+1)),2)&amp;"."&amp;YEAR((A1654+1))&amp;": "&amp;INDEX('Zgłoszenia'!$H$5:$H$504,MATCH(F1654&amp;"|"&amp;(A1654+1),'Zgłoszenia'!$S$5:$S$504,0)))&amp;IF(K1654&gt;1," (+"&amp;(K1654-1)&amp;")",""))</f>
        <v/>
      </c>
      <c r="M1654" s="63" t="n">
        <v>21</v>
      </c>
      <c r="N1654" s="2" t="n"/>
      <c r="O1654" s="2" t="n"/>
    </row>
    <row r="1655">
      <c r="A1655" s="62">
        <f>IF('21'!$C$1="","",'21'!$C$1)</f>
        <v/>
      </c>
      <c r="B1655" s="63">
        <f>Ustawienia!$A$9&amp;""</f>
        <v/>
      </c>
      <c r="C1655" s="63">
        <f>Ustawienia!$A$15&amp;""</f>
        <v/>
      </c>
      <c r="D1655" s="63" t="n">
        <v>1</v>
      </c>
      <c r="E1655" s="63">
        <f>IF('21'!F13="","",TRIM('21'!F13&amp;""))</f>
        <v/>
      </c>
      <c r="F1655" s="63">
        <f>IF('21'!G13="","",'21'!G13)</f>
        <v/>
      </c>
      <c r="G1655" s="63">
        <f>'21'!H13&amp;""</f>
        <v/>
      </c>
      <c r="H1655" s="63">
        <f>IF(OR(A1655="",F1655=""),"",F1655&amp;"|"&amp;A1655)</f>
        <v/>
      </c>
      <c r="I1655" s="63">
        <f>IF(AND(H1655&lt;&gt;"",OR('Historia wózka'!$B$4="",F1655='Historia wózka'!$B$4),A1655&gt;='Historia wózka'!$B$5,A1655&lt;='Historia wózka'!$B$6),A1655+0.8+(5000-ROW())/10000000,0)</f>
        <v/>
      </c>
      <c r="J1655" s="63">
        <f>Ustawienia!$B$9&amp;""</f>
        <v/>
      </c>
      <c r="K1655" s="63">
        <f>IF(H1655="","",COUNTIFS('Zgłoszenia'!$B$5:$B$504,F1655,'Zgłoszenia'!$D$5:$D$504,"&gt;="&amp;A1655,'Zgłoszenia'!$D$5:$D$504,"&lt;="&amp;(A1655+1)))</f>
        <v/>
      </c>
      <c r="L1655" s="63">
        <f>IF(OR(H1655="",K1655=0),"—",IF(ISNUMBER(MATCH(H1655,'Zgłoszenia'!$S$5:$S$504,0)),RIGHT("0"&amp;DAY(A1655),2)&amp;"."&amp;RIGHT("0"&amp;MONTH(A1655),2)&amp;"."&amp;YEAR(A1655)&amp;": "&amp;INDEX('Zgłoszenia'!$H$5:$H$504,MATCH(H1655,'Zgłoszenia'!$S$5:$S$504,0)),RIGHT("0"&amp;DAY((A1655+1)),2)&amp;"."&amp;RIGHT("0"&amp;MONTH((A1655+1)),2)&amp;"."&amp;YEAR((A1655+1))&amp;": "&amp;INDEX('Zgłoszenia'!$H$5:$H$504,MATCH(F1655&amp;"|"&amp;(A1655+1),'Zgłoszenia'!$S$5:$S$504,0)))&amp;IF(K1655&gt;1," (+"&amp;(K1655-1)&amp;")",""))</f>
        <v/>
      </c>
      <c r="M1655" s="63" t="n">
        <v>21</v>
      </c>
      <c r="N1655" s="2" t="n"/>
      <c r="O1655" s="2" t="n"/>
    </row>
    <row r="1656">
      <c r="A1656" s="62">
        <f>IF('21'!$C$1="","",'21'!$C$1)</f>
        <v/>
      </c>
      <c r="B1656" s="63">
        <f>Ustawienia!$A$9&amp;""</f>
        <v/>
      </c>
      <c r="C1656" s="63">
        <f>Ustawienia!$A$15&amp;""</f>
        <v/>
      </c>
      <c r="D1656" s="63" t="n">
        <v>2</v>
      </c>
      <c r="E1656" s="63">
        <f>IF('21'!F14="","",TRIM('21'!F14&amp;""))</f>
        <v/>
      </c>
      <c r="F1656" s="63">
        <f>IF('21'!G14="","",'21'!G14)</f>
        <v/>
      </c>
      <c r="G1656" s="63">
        <f>'21'!H14&amp;""</f>
        <v/>
      </c>
      <c r="H1656" s="63">
        <f>IF(OR(A1656="",F1656=""),"",F1656&amp;"|"&amp;A1656)</f>
        <v/>
      </c>
      <c r="I1656" s="63">
        <f>IF(AND(H1656&lt;&gt;"",OR('Historia wózka'!$B$4="",F1656='Historia wózka'!$B$4),A1656&gt;='Historia wózka'!$B$5,A1656&lt;='Historia wózka'!$B$6),A1656+0.8+(5000-ROW())/10000000,0)</f>
        <v/>
      </c>
      <c r="J1656" s="63">
        <f>Ustawienia!$B$9&amp;""</f>
        <v/>
      </c>
      <c r="K1656" s="63">
        <f>IF(H1656="","",COUNTIFS('Zgłoszenia'!$B$5:$B$504,F1656,'Zgłoszenia'!$D$5:$D$504,"&gt;="&amp;A1656,'Zgłoszenia'!$D$5:$D$504,"&lt;="&amp;(A1656+1)))</f>
        <v/>
      </c>
      <c r="L1656" s="63">
        <f>IF(OR(H1656="",K1656=0),"—",IF(ISNUMBER(MATCH(H1656,'Zgłoszenia'!$S$5:$S$504,0)),RIGHT("0"&amp;DAY(A1656),2)&amp;"."&amp;RIGHT("0"&amp;MONTH(A1656),2)&amp;"."&amp;YEAR(A1656)&amp;": "&amp;INDEX('Zgłoszenia'!$H$5:$H$504,MATCH(H1656,'Zgłoszenia'!$S$5:$S$504,0)),RIGHT("0"&amp;DAY((A1656+1)),2)&amp;"."&amp;RIGHT("0"&amp;MONTH((A1656+1)),2)&amp;"."&amp;YEAR((A1656+1))&amp;": "&amp;INDEX('Zgłoszenia'!$H$5:$H$504,MATCH(F1656&amp;"|"&amp;(A1656+1),'Zgłoszenia'!$S$5:$S$504,0)))&amp;IF(K1656&gt;1," (+"&amp;(K1656-1)&amp;")",""))</f>
        <v/>
      </c>
      <c r="M1656" s="63" t="n">
        <v>21</v>
      </c>
      <c r="N1656" s="2" t="n"/>
      <c r="O1656" s="2" t="n"/>
    </row>
    <row r="1657">
      <c r="A1657" s="62">
        <f>IF('21'!$C$1="","",'21'!$C$1)</f>
        <v/>
      </c>
      <c r="B1657" s="63">
        <f>Ustawienia!$A$9&amp;""</f>
        <v/>
      </c>
      <c r="C1657" s="63">
        <f>Ustawienia!$A$15&amp;""</f>
        <v/>
      </c>
      <c r="D1657" s="63" t="n">
        <v>3</v>
      </c>
      <c r="E1657" s="63">
        <f>IF('21'!F15="","",TRIM('21'!F15&amp;""))</f>
        <v/>
      </c>
      <c r="F1657" s="63">
        <f>IF('21'!G15="","",'21'!G15)</f>
        <v/>
      </c>
      <c r="G1657" s="63">
        <f>'21'!H15&amp;""</f>
        <v/>
      </c>
      <c r="H1657" s="63">
        <f>IF(OR(A1657="",F1657=""),"",F1657&amp;"|"&amp;A1657)</f>
        <v/>
      </c>
      <c r="I1657" s="63">
        <f>IF(AND(H1657&lt;&gt;"",OR('Historia wózka'!$B$4="",F1657='Historia wózka'!$B$4),A1657&gt;='Historia wózka'!$B$5,A1657&lt;='Historia wózka'!$B$6),A1657+0.8+(5000-ROW())/10000000,0)</f>
        <v/>
      </c>
      <c r="J1657" s="63">
        <f>Ustawienia!$B$9&amp;""</f>
        <v/>
      </c>
      <c r="K1657" s="63">
        <f>IF(H1657="","",COUNTIFS('Zgłoszenia'!$B$5:$B$504,F1657,'Zgłoszenia'!$D$5:$D$504,"&gt;="&amp;A1657,'Zgłoszenia'!$D$5:$D$504,"&lt;="&amp;(A1657+1)))</f>
        <v/>
      </c>
      <c r="L1657" s="63">
        <f>IF(OR(H1657="",K1657=0),"—",IF(ISNUMBER(MATCH(H1657,'Zgłoszenia'!$S$5:$S$504,0)),RIGHT("0"&amp;DAY(A1657),2)&amp;"."&amp;RIGHT("0"&amp;MONTH(A1657),2)&amp;"."&amp;YEAR(A1657)&amp;": "&amp;INDEX('Zgłoszenia'!$H$5:$H$504,MATCH(H1657,'Zgłoszenia'!$S$5:$S$504,0)),RIGHT("0"&amp;DAY((A1657+1)),2)&amp;"."&amp;RIGHT("0"&amp;MONTH((A1657+1)),2)&amp;"."&amp;YEAR((A1657+1))&amp;": "&amp;INDEX('Zgłoszenia'!$H$5:$H$504,MATCH(F1657&amp;"|"&amp;(A1657+1),'Zgłoszenia'!$S$5:$S$504,0)))&amp;IF(K1657&gt;1," (+"&amp;(K1657-1)&amp;")",""))</f>
        <v/>
      </c>
      <c r="M1657" s="63" t="n">
        <v>21</v>
      </c>
      <c r="N1657" s="2" t="n"/>
      <c r="O1657" s="2" t="n"/>
    </row>
    <row r="1658">
      <c r="A1658" s="62">
        <f>IF('21'!$C$1="","",'21'!$C$1)</f>
        <v/>
      </c>
      <c r="B1658" s="63">
        <f>Ustawienia!$A$9&amp;""</f>
        <v/>
      </c>
      <c r="C1658" s="63">
        <f>Ustawienia!$A$15&amp;""</f>
        <v/>
      </c>
      <c r="D1658" s="63" t="n">
        <v>4</v>
      </c>
      <c r="E1658" s="63">
        <f>IF('21'!F16="","",TRIM('21'!F16&amp;""))</f>
        <v/>
      </c>
      <c r="F1658" s="63">
        <f>IF('21'!G16="","",'21'!G16)</f>
        <v/>
      </c>
      <c r="G1658" s="63">
        <f>'21'!H16&amp;""</f>
        <v/>
      </c>
      <c r="H1658" s="63">
        <f>IF(OR(A1658="",F1658=""),"",F1658&amp;"|"&amp;A1658)</f>
        <v/>
      </c>
      <c r="I1658" s="63">
        <f>IF(AND(H1658&lt;&gt;"",OR('Historia wózka'!$B$4="",F1658='Historia wózka'!$B$4),A1658&gt;='Historia wózka'!$B$5,A1658&lt;='Historia wózka'!$B$6),A1658+0.8+(5000-ROW())/10000000,0)</f>
        <v/>
      </c>
      <c r="J1658" s="63">
        <f>Ustawienia!$B$9&amp;""</f>
        <v/>
      </c>
      <c r="K1658" s="63">
        <f>IF(H1658="","",COUNTIFS('Zgłoszenia'!$B$5:$B$504,F1658,'Zgłoszenia'!$D$5:$D$504,"&gt;="&amp;A1658,'Zgłoszenia'!$D$5:$D$504,"&lt;="&amp;(A1658+1)))</f>
        <v/>
      </c>
      <c r="L1658" s="63">
        <f>IF(OR(H1658="",K1658=0),"—",IF(ISNUMBER(MATCH(H1658,'Zgłoszenia'!$S$5:$S$504,0)),RIGHT("0"&amp;DAY(A1658),2)&amp;"."&amp;RIGHT("0"&amp;MONTH(A1658),2)&amp;"."&amp;YEAR(A1658)&amp;": "&amp;INDEX('Zgłoszenia'!$H$5:$H$504,MATCH(H1658,'Zgłoszenia'!$S$5:$S$504,0)),RIGHT("0"&amp;DAY((A1658+1)),2)&amp;"."&amp;RIGHT("0"&amp;MONTH((A1658+1)),2)&amp;"."&amp;YEAR((A1658+1))&amp;": "&amp;INDEX('Zgłoszenia'!$H$5:$H$504,MATCH(F1658&amp;"|"&amp;(A1658+1),'Zgłoszenia'!$S$5:$S$504,0)))&amp;IF(K1658&gt;1," (+"&amp;(K1658-1)&amp;")",""))</f>
        <v/>
      </c>
      <c r="M1658" s="63" t="n">
        <v>21</v>
      </c>
      <c r="N1658" s="2" t="n"/>
      <c r="O1658" s="2" t="n"/>
    </row>
    <row r="1659">
      <c r="A1659" s="62">
        <f>IF('21'!$C$1="","",'21'!$C$1)</f>
        <v/>
      </c>
      <c r="B1659" s="63">
        <f>Ustawienia!$A$9&amp;""</f>
        <v/>
      </c>
      <c r="C1659" s="63">
        <f>Ustawienia!$A$15&amp;""</f>
        <v/>
      </c>
      <c r="D1659" s="63" t="n">
        <v>5</v>
      </c>
      <c r="E1659" s="63">
        <f>IF('21'!F17="","",TRIM('21'!F17&amp;""))</f>
        <v/>
      </c>
      <c r="F1659" s="63">
        <f>IF('21'!G17="","",'21'!G17)</f>
        <v/>
      </c>
      <c r="G1659" s="63">
        <f>'21'!H17&amp;""</f>
        <v/>
      </c>
      <c r="H1659" s="63">
        <f>IF(OR(A1659="",F1659=""),"",F1659&amp;"|"&amp;A1659)</f>
        <v/>
      </c>
      <c r="I1659" s="63">
        <f>IF(AND(H1659&lt;&gt;"",OR('Historia wózka'!$B$4="",F1659='Historia wózka'!$B$4),A1659&gt;='Historia wózka'!$B$5,A1659&lt;='Historia wózka'!$B$6),A1659+0.8+(5000-ROW())/10000000,0)</f>
        <v/>
      </c>
      <c r="J1659" s="63">
        <f>Ustawienia!$B$9&amp;""</f>
        <v/>
      </c>
      <c r="K1659" s="63">
        <f>IF(H1659="","",COUNTIFS('Zgłoszenia'!$B$5:$B$504,F1659,'Zgłoszenia'!$D$5:$D$504,"&gt;="&amp;A1659,'Zgłoszenia'!$D$5:$D$504,"&lt;="&amp;(A1659+1)))</f>
        <v/>
      </c>
      <c r="L1659" s="63">
        <f>IF(OR(H1659="",K1659=0),"—",IF(ISNUMBER(MATCH(H1659,'Zgłoszenia'!$S$5:$S$504,0)),RIGHT("0"&amp;DAY(A1659),2)&amp;"."&amp;RIGHT("0"&amp;MONTH(A1659),2)&amp;"."&amp;YEAR(A1659)&amp;": "&amp;INDEX('Zgłoszenia'!$H$5:$H$504,MATCH(H1659,'Zgłoszenia'!$S$5:$S$504,0)),RIGHT("0"&amp;DAY((A1659+1)),2)&amp;"."&amp;RIGHT("0"&amp;MONTH((A1659+1)),2)&amp;"."&amp;YEAR((A1659+1))&amp;": "&amp;INDEX('Zgłoszenia'!$H$5:$H$504,MATCH(F1659&amp;"|"&amp;(A1659+1),'Zgłoszenia'!$S$5:$S$504,0)))&amp;IF(K1659&gt;1," (+"&amp;(K1659-1)&amp;")",""))</f>
        <v/>
      </c>
      <c r="M1659" s="63" t="n">
        <v>21</v>
      </c>
      <c r="N1659" s="2" t="n"/>
      <c r="O1659" s="2" t="n"/>
    </row>
    <row r="1660">
      <c r="A1660" s="62">
        <f>IF('21'!$C$1="","",'21'!$C$1)</f>
        <v/>
      </c>
      <c r="B1660" s="63">
        <f>Ustawienia!$A$9&amp;""</f>
        <v/>
      </c>
      <c r="C1660" s="63">
        <f>Ustawienia!$A$15&amp;""</f>
        <v/>
      </c>
      <c r="D1660" s="63" t="n">
        <v>6</v>
      </c>
      <c r="E1660" s="63">
        <f>IF('21'!F18="","",TRIM('21'!F18&amp;""))</f>
        <v/>
      </c>
      <c r="F1660" s="63">
        <f>IF('21'!G18="","",'21'!G18)</f>
        <v/>
      </c>
      <c r="G1660" s="63">
        <f>'21'!H18&amp;""</f>
        <v/>
      </c>
      <c r="H1660" s="63">
        <f>IF(OR(A1660="",F1660=""),"",F1660&amp;"|"&amp;A1660)</f>
        <v/>
      </c>
      <c r="I1660" s="63">
        <f>IF(AND(H1660&lt;&gt;"",OR('Historia wózka'!$B$4="",F1660='Historia wózka'!$B$4),A1660&gt;='Historia wózka'!$B$5,A1660&lt;='Historia wózka'!$B$6),A1660+0.8+(5000-ROW())/10000000,0)</f>
        <v/>
      </c>
      <c r="J1660" s="63">
        <f>Ustawienia!$B$9&amp;""</f>
        <v/>
      </c>
      <c r="K1660" s="63">
        <f>IF(H1660="","",COUNTIFS('Zgłoszenia'!$B$5:$B$504,F1660,'Zgłoszenia'!$D$5:$D$504,"&gt;="&amp;A1660,'Zgłoszenia'!$D$5:$D$504,"&lt;="&amp;(A1660+1)))</f>
        <v/>
      </c>
      <c r="L1660" s="63">
        <f>IF(OR(H1660="",K1660=0),"—",IF(ISNUMBER(MATCH(H1660,'Zgłoszenia'!$S$5:$S$504,0)),RIGHT("0"&amp;DAY(A1660),2)&amp;"."&amp;RIGHT("0"&amp;MONTH(A1660),2)&amp;"."&amp;YEAR(A1660)&amp;": "&amp;INDEX('Zgłoszenia'!$H$5:$H$504,MATCH(H1660,'Zgłoszenia'!$S$5:$S$504,0)),RIGHT("0"&amp;DAY((A1660+1)),2)&amp;"."&amp;RIGHT("0"&amp;MONTH((A1660+1)),2)&amp;"."&amp;YEAR((A1660+1))&amp;": "&amp;INDEX('Zgłoszenia'!$H$5:$H$504,MATCH(F1660&amp;"|"&amp;(A1660+1),'Zgłoszenia'!$S$5:$S$504,0)))&amp;IF(K1660&gt;1," (+"&amp;(K1660-1)&amp;")",""))</f>
        <v/>
      </c>
      <c r="M1660" s="63" t="n">
        <v>21</v>
      </c>
      <c r="N1660" s="2" t="n"/>
      <c r="O1660" s="2" t="n"/>
    </row>
    <row r="1661">
      <c r="A1661" s="62">
        <f>IF('21'!$C$1="","",'21'!$C$1)</f>
        <v/>
      </c>
      <c r="B1661" s="63">
        <f>Ustawienia!$A$9&amp;""</f>
        <v/>
      </c>
      <c r="C1661" s="63">
        <f>Ustawienia!$A$15&amp;""</f>
        <v/>
      </c>
      <c r="D1661" s="63" t="n">
        <v>7</v>
      </c>
      <c r="E1661" s="63">
        <f>IF('21'!F19="","",TRIM('21'!F19&amp;""))</f>
        <v/>
      </c>
      <c r="F1661" s="63">
        <f>IF('21'!G19="","",'21'!G19)</f>
        <v/>
      </c>
      <c r="G1661" s="63">
        <f>'21'!H19&amp;""</f>
        <v/>
      </c>
      <c r="H1661" s="63">
        <f>IF(OR(A1661="",F1661=""),"",F1661&amp;"|"&amp;A1661)</f>
        <v/>
      </c>
      <c r="I1661" s="63">
        <f>IF(AND(H1661&lt;&gt;"",OR('Historia wózka'!$B$4="",F1661='Historia wózka'!$B$4),A1661&gt;='Historia wózka'!$B$5,A1661&lt;='Historia wózka'!$B$6),A1661+0.8+(5000-ROW())/10000000,0)</f>
        <v/>
      </c>
      <c r="J1661" s="63">
        <f>Ustawienia!$B$9&amp;""</f>
        <v/>
      </c>
      <c r="K1661" s="63">
        <f>IF(H1661="","",COUNTIFS('Zgłoszenia'!$B$5:$B$504,F1661,'Zgłoszenia'!$D$5:$D$504,"&gt;="&amp;A1661,'Zgłoszenia'!$D$5:$D$504,"&lt;="&amp;(A1661+1)))</f>
        <v/>
      </c>
      <c r="L1661" s="63">
        <f>IF(OR(H1661="",K1661=0),"—",IF(ISNUMBER(MATCH(H1661,'Zgłoszenia'!$S$5:$S$504,0)),RIGHT("0"&amp;DAY(A1661),2)&amp;"."&amp;RIGHT("0"&amp;MONTH(A1661),2)&amp;"."&amp;YEAR(A1661)&amp;": "&amp;INDEX('Zgłoszenia'!$H$5:$H$504,MATCH(H1661,'Zgłoszenia'!$S$5:$S$504,0)),RIGHT("0"&amp;DAY((A1661+1)),2)&amp;"."&amp;RIGHT("0"&amp;MONTH((A1661+1)),2)&amp;"."&amp;YEAR((A1661+1))&amp;": "&amp;INDEX('Zgłoszenia'!$H$5:$H$504,MATCH(F1661&amp;"|"&amp;(A1661+1),'Zgłoszenia'!$S$5:$S$504,0)))&amp;IF(K1661&gt;1," (+"&amp;(K1661-1)&amp;")",""))</f>
        <v/>
      </c>
      <c r="M1661" s="63" t="n">
        <v>21</v>
      </c>
      <c r="N1661" s="2" t="n"/>
      <c r="O1661" s="2" t="n"/>
    </row>
    <row r="1662">
      <c r="A1662" s="62">
        <f>IF('21'!$C$1="","",'21'!$C$1)</f>
        <v/>
      </c>
      <c r="B1662" s="63">
        <f>Ustawienia!$A$9&amp;""</f>
        <v/>
      </c>
      <c r="C1662" s="63">
        <f>Ustawienia!$A$15&amp;""</f>
        <v/>
      </c>
      <c r="D1662" s="63" t="n">
        <v>8</v>
      </c>
      <c r="E1662" s="63">
        <f>IF('21'!F20="","",TRIM('21'!F20&amp;""))</f>
        <v/>
      </c>
      <c r="F1662" s="63">
        <f>IF('21'!G20="","",'21'!G20)</f>
        <v/>
      </c>
      <c r="G1662" s="63">
        <f>'21'!H20&amp;""</f>
        <v/>
      </c>
      <c r="H1662" s="63">
        <f>IF(OR(A1662="",F1662=""),"",F1662&amp;"|"&amp;A1662)</f>
        <v/>
      </c>
      <c r="I1662" s="63">
        <f>IF(AND(H1662&lt;&gt;"",OR('Historia wózka'!$B$4="",F1662='Historia wózka'!$B$4),A1662&gt;='Historia wózka'!$B$5,A1662&lt;='Historia wózka'!$B$6),A1662+0.8+(5000-ROW())/10000000,0)</f>
        <v/>
      </c>
      <c r="J1662" s="63">
        <f>Ustawienia!$B$9&amp;""</f>
        <v/>
      </c>
      <c r="K1662" s="63">
        <f>IF(H1662="","",COUNTIFS('Zgłoszenia'!$B$5:$B$504,F1662,'Zgłoszenia'!$D$5:$D$504,"&gt;="&amp;A1662,'Zgłoszenia'!$D$5:$D$504,"&lt;="&amp;(A1662+1)))</f>
        <v/>
      </c>
      <c r="L1662" s="63">
        <f>IF(OR(H1662="",K1662=0),"—",IF(ISNUMBER(MATCH(H1662,'Zgłoszenia'!$S$5:$S$504,0)),RIGHT("0"&amp;DAY(A1662),2)&amp;"."&amp;RIGHT("0"&amp;MONTH(A1662),2)&amp;"."&amp;YEAR(A1662)&amp;": "&amp;INDEX('Zgłoszenia'!$H$5:$H$504,MATCH(H1662,'Zgłoszenia'!$S$5:$S$504,0)),RIGHT("0"&amp;DAY((A1662+1)),2)&amp;"."&amp;RIGHT("0"&amp;MONTH((A1662+1)),2)&amp;"."&amp;YEAR((A1662+1))&amp;": "&amp;INDEX('Zgłoszenia'!$H$5:$H$504,MATCH(F1662&amp;"|"&amp;(A1662+1),'Zgłoszenia'!$S$5:$S$504,0)))&amp;IF(K1662&gt;1," (+"&amp;(K1662-1)&amp;")",""))</f>
        <v/>
      </c>
      <c r="M1662" s="63" t="n">
        <v>21</v>
      </c>
      <c r="N1662" s="2" t="n"/>
      <c r="O1662" s="2" t="n"/>
    </row>
    <row r="1663">
      <c r="A1663" s="62">
        <f>IF('21'!$C$1="","",'21'!$C$1)</f>
        <v/>
      </c>
      <c r="B1663" s="63">
        <f>Ustawienia!$A$9&amp;""</f>
        <v/>
      </c>
      <c r="C1663" s="63">
        <f>Ustawienia!$A$16&amp;""</f>
        <v/>
      </c>
      <c r="D1663" s="63" t="n">
        <v>1</v>
      </c>
      <c r="E1663" s="63">
        <f>IF('21'!F22="","",TRIM('21'!F22&amp;""))</f>
        <v/>
      </c>
      <c r="F1663" s="63">
        <f>IF('21'!G22="","",'21'!G22)</f>
        <v/>
      </c>
      <c r="G1663" s="63">
        <f>'21'!H22&amp;""</f>
        <v/>
      </c>
      <c r="H1663" s="63">
        <f>IF(OR(A1663="",F1663=""),"",F1663&amp;"|"&amp;A1663)</f>
        <v/>
      </c>
      <c r="I1663" s="63">
        <f>IF(AND(H1663&lt;&gt;"",OR('Historia wózka'!$B$4="",F1663='Historia wózka'!$B$4),A1663&gt;='Historia wózka'!$B$5,A1663&lt;='Historia wózka'!$B$6),A1663+0.8+(5000-ROW())/10000000,0)</f>
        <v/>
      </c>
      <c r="J1663" s="63">
        <f>Ustawienia!$B$9&amp;""</f>
        <v/>
      </c>
      <c r="K1663" s="63">
        <f>IF(H1663="","",COUNTIFS('Zgłoszenia'!$B$5:$B$504,F1663,'Zgłoszenia'!$D$5:$D$504,"&gt;="&amp;A1663,'Zgłoszenia'!$D$5:$D$504,"&lt;="&amp;(A1663+1)))</f>
        <v/>
      </c>
      <c r="L1663" s="63">
        <f>IF(OR(H1663="",K1663=0),"—",IF(ISNUMBER(MATCH(H1663,'Zgłoszenia'!$S$5:$S$504,0)),RIGHT("0"&amp;DAY(A1663),2)&amp;"."&amp;RIGHT("0"&amp;MONTH(A1663),2)&amp;"."&amp;YEAR(A1663)&amp;": "&amp;INDEX('Zgłoszenia'!$H$5:$H$504,MATCH(H1663,'Zgłoszenia'!$S$5:$S$504,0)),RIGHT("0"&amp;DAY((A1663+1)),2)&amp;"."&amp;RIGHT("0"&amp;MONTH((A1663+1)),2)&amp;"."&amp;YEAR((A1663+1))&amp;": "&amp;INDEX('Zgłoszenia'!$H$5:$H$504,MATCH(F1663&amp;"|"&amp;(A1663+1),'Zgłoszenia'!$S$5:$S$504,0)))&amp;IF(K1663&gt;1," (+"&amp;(K1663-1)&amp;")",""))</f>
        <v/>
      </c>
      <c r="M1663" s="63" t="n">
        <v>21</v>
      </c>
      <c r="N1663" s="2" t="n"/>
      <c r="O1663" s="2" t="n"/>
    </row>
    <row r="1664">
      <c r="A1664" s="62">
        <f>IF('21'!$C$1="","",'21'!$C$1)</f>
        <v/>
      </c>
      <c r="B1664" s="63">
        <f>Ustawienia!$A$9&amp;""</f>
        <v/>
      </c>
      <c r="C1664" s="63">
        <f>Ustawienia!$A$16&amp;""</f>
        <v/>
      </c>
      <c r="D1664" s="63" t="n">
        <v>2</v>
      </c>
      <c r="E1664" s="63">
        <f>IF('21'!F23="","",TRIM('21'!F23&amp;""))</f>
        <v/>
      </c>
      <c r="F1664" s="63">
        <f>IF('21'!G23="","",'21'!G23)</f>
        <v/>
      </c>
      <c r="G1664" s="63">
        <f>'21'!H23&amp;""</f>
        <v/>
      </c>
      <c r="H1664" s="63">
        <f>IF(OR(A1664="",F1664=""),"",F1664&amp;"|"&amp;A1664)</f>
        <v/>
      </c>
      <c r="I1664" s="63">
        <f>IF(AND(H1664&lt;&gt;"",OR('Historia wózka'!$B$4="",F1664='Historia wózka'!$B$4),A1664&gt;='Historia wózka'!$B$5,A1664&lt;='Historia wózka'!$B$6),A1664+0.8+(5000-ROW())/10000000,0)</f>
        <v/>
      </c>
      <c r="J1664" s="63">
        <f>Ustawienia!$B$9&amp;""</f>
        <v/>
      </c>
      <c r="K1664" s="63">
        <f>IF(H1664="","",COUNTIFS('Zgłoszenia'!$B$5:$B$504,F1664,'Zgłoszenia'!$D$5:$D$504,"&gt;="&amp;A1664,'Zgłoszenia'!$D$5:$D$504,"&lt;="&amp;(A1664+1)))</f>
        <v/>
      </c>
      <c r="L1664" s="63">
        <f>IF(OR(H1664="",K1664=0),"—",IF(ISNUMBER(MATCH(H1664,'Zgłoszenia'!$S$5:$S$504,0)),RIGHT("0"&amp;DAY(A1664),2)&amp;"."&amp;RIGHT("0"&amp;MONTH(A1664),2)&amp;"."&amp;YEAR(A1664)&amp;": "&amp;INDEX('Zgłoszenia'!$H$5:$H$504,MATCH(H1664,'Zgłoszenia'!$S$5:$S$504,0)),RIGHT("0"&amp;DAY((A1664+1)),2)&amp;"."&amp;RIGHT("0"&amp;MONTH((A1664+1)),2)&amp;"."&amp;YEAR((A1664+1))&amp;": "&amp;INDEX('Zgłoszenia'!$H$5:$H$504,MATCH(F1664&amp;"|"&amp;(A1664+1),'Zgłoszenia'!$S$5:$S$504,0)))&amp;IF(K1664&gt;1," (+"&amp;(K1664-1)&amp;")",""))</f>
        <v/>
      </c>
      <c r="M1664" s="63" t="n">
        <v>21</v>
      </c>
      <c r="N1664" s="2" t="n"/>
      <c r="O1664" s="2" t="n"/>
    </row>
    <row r="1665">
      <c r="A1665" s="62">
        <f>IF('21'!$C$1="","",'21'!$C$1)</f>
        <v/>
      </c>
      <c r="B1665" s="63">
        <f>Ustawienia!$A$9&amp;""</f>
        <v/>
      </c>
      <c r="C1665" s="63">
        <f>Ustawienia!$A$16&amp;""</f>
        <v/>
      </c>
      <c r="D1665" s="63" t="n">
        <v>3</v>
      </c>
      <c r="E1665" s="63">
        <f>IF('21'!F24="","",TRIM('21'!F24&amp;""))</f>
        <v/>
      </c>
      <c r="F1665" s="63">
        <f>IF('21'!G24="","",'21'!G24)</f>
        <v/>
      </c>
      <c r="G1665" s="63">
        <f>'21'!H24&amp;""</f>
        <v/>
      </c>
      <c r="H1665" s="63">
        <f>IF(OR(A1665="",F1665=""),"",F1665&amp;"|"&amp;A1665)</f>
        <v/>
      </c>
      <c r="I1665" s="63">
        <f>IF(AND(H1665&lt;&gt;"",OR('Historia wózka'!$B$4="",F1665='Historia wózka'!$B$4),A1665&gt;='Historia wózka'!$B$5,A1665&lt;='Historia wózka'!$B$6),A1665+0.8+(5000-ROW())/10000000,0)</f>
        <v/>
      </c>
      <c r="J1665" s="63">
        <f>Ustawienia!$B$9&amp;""</f>
        <v/>
      </c>
      <c r="K1665" s="63">
        <f>IF(H1665="","",COUNTIFS('Zgłoszenia'!$B$5:$B$504,F1665,'Zgłoszenia'!$D$5:$D$504,"&gt;="&amp;A1665,'Zgłoszenia'!$D$5:$D$504,"&lt;="&amp;(A1665+1)))</f>
        <v/>
      </c>
      <c r="L1665" s="63">
        <f>IF(OR(H1665="",K1665=0),"—",IF(ISNUMBER(MATCH(H1665,'Zgłoszenia'!$S$5:$S$504,0)),RIGHT("0"&amp;DAY(A1665),2)&amp;"."&amp;RIGHT("0"&amp;MONTH(A1665),2)&amp;"."&amp;YEAR(A1665)&amp;": "&amp;INDEX('Zgłoszenia'!$H$5:$H$504,MATCH(H1665,'Zgłoszenia'!$S$5:$S$504,0)),RIGHT("0"&amp;DAY((A1665+1)),2)&amp;"."&amp;RIGHT("0"&amp;MONTH((A1665+1)),2)&amp;"."&amp;YEAR((A1665+1))&amp;": "&amp;INDEX('Zgłoszenia'!$H$5:$H$504,MATCH(F1665&amp;"|"&amp;(A1665+1),'Zgłoszenia'!$S$5:$S$504,0)))&amp;IF(K1665&gt;1," (+"&amp;(K1665-1)&amp;")",""))</f>
        <v/>
      </c>
      <c r="M1665" s="63" t="n">
        <v>21</v>
      </c>
      <c r="N1665" s="2" t="n"/>
      <c r="O1665" s="2" t="n"/>
    </row>
    <row r="1666">
      <c r="A1666" s="62">
        <f>IF('21'!$C$1="","",'21'!$C$1)</f>
        <v/>
      </c>
      <c r="B1666" s="63">
        <f>Ustawienia!$A$9&amp;""</f>
        <v/>
      </c>
      <c r="C1666" s="63">
        <f>Ustawienia!$A$16&amp;""</f>
        <v/>
      </c>
      <c r="D1666" s="63" t="n">
        <v>4</v>
      </c>
      <c r="E1666" s="63">
        <f>IF('21'!F25="","",TRIM('21'!F25&amp;""))</f>
        <v/>
      </c>
      <c r="F1666" s="63">
        <f>IF('21'!G25="","",'21'!G25)</f>
        <v/>
      </c>
      <c r="G1666" s="63">
        <f>'21'!H25&amp;""</f>
        <v/>
      </c>
      <c r="H1666" s="63">
        <f>IF(OR(A1666="",F1666=""),"",F1666&amp;"|"&amp;A1666)</f>
        <v/>
      </c>
      <c r="I1666" s="63">
        <f>IF(AND(H1666&lt;&gt;"",OR('Historia wózka'!$B$4="",F1666='Historia wózka'!$B$4),A1666&gt;='Historia wózka'!$B$5,A1666&lt;='Historia wózka'!$B$6),A1666+0.8+(5000-ROW())/10000000,0)</f>
        <v/>
      </c>
      <c r="J1666" s="63">
        <f>Ustawienia!$B$9&amp;""</f>
        <v/>
      </c>
      <c r="K1666" s="63">
        <f>IF(H1666="","",COUNTIFS('Zgłoszenia'!$B$5:$B$504,F1666,'Zgłoszenia'!$D$5:$D$504,"&gt;="&amp;A1666,'Zgłoszenia'!$D$5:$D$504,"&lt;="&amp;(A1666+1)))</f>
        <v/>
      </c>
      <c r="L1666" s="63">
        <f>IF(OR(H1666="",K1666=0),"—",IF(ISNUMBER(MATCH(H1666,'Zgłoszenia'!$S$5:$S$504,0)),RIGHT("0"&amp;DAY(A1666),2)&amp;"."&amp;RIGHT("0"&amp;MONTH(A1666),2)&amp;"."&amp;YEAR(A1666)&amp;": "&amp;INDEX('Zgłoszenia'!$H$5:$H$504,MATCH(H1666,'Zgłoszenia'!$S$5:$S$504,0)),RIGHT("0"&amp;DAY((A1666+1)),2)&amp;"."&amp;RIGHT("0"&amp;MONTH((A1666+1)),2)&amp;"."&amp;YEAR((A1666+1))&amp;": "&amp;INDEX('Zgłoszenia'!$H$5:$H$504,MATCH(F1666&amp;"|"&amp;(A1666+1),'Zgłoszenia'!$S$5:$S$504,0)))&amp;IF(K1666&gt;1," (+"&amp;(K1666-1)&amp;")",""))</f>
        <v/>
      </c>
      <c r="M1666" s="63" t="n">
        <v>21</v>
      </c>
      <c r="N1666" s="2" t="n"/>
      <c r="O1666" s="2" t="n"/>
    </row>
    <row r="1667">
      <c r="A1667" s="62">
        <f>IF('21'!$C$1="","",'21'!$C$1)</f>
        <v/>
      </c>
      <c r="B1667" s="63">
        <f>Ustawienia!$A$9&amp;""</f>
        <v/>
      </c>
      <c r="C1667" s="63">
        <f>Ustawienia!$A$17&amp;""</f>
        <v/>
      </c>
      <c r="D1667" s="63" t="n">
        <v>1</v>
      </c>
      <c r="E1667" s="63">
        <f>IF('21'!F27="","",TRIM('21'!F27&amp;""))</f>
        <v/>
      </c>
      <c r="F1667" s="63">
        <f>IF('21'!G27="","",'21'!G27)</f>
        <v/>
      </c>
      <c r="G1667" s="63">
        <f>'21'!H27&amp;""</f>
        <v/>
      </c>
      <c r="H1667" s="63">
        <f>IF(OR(A1667="",F1667=""),"",F1667&amp;"|"&amp;A1667)</f>
        <v/>
      </c>
      <c r="I1667" s="63">
        <f>IF(AND(H1667&lt;&gt;"",OR('Historia wózka'!$B$4="",F1667='Historia wózka'!$B$4),A1667&gt;='Historia wózka'!$B$5,A1667&lt;='Historia wózka'!$B$6),A1667+0.8+(5000-ROW())/10000000,0)</f>
        <v/>
      </c>
      <c r="J1667" s="63">
        <f>Ustawienia!$B$9&amp;""</f>
        <v/>
      </c>
      <c r="K1667" s="63">
        <f>IF(H1667="","",COUNTIFS('Zgłoszenia'!$B$5:$B$504,F1667,'Zgłoszenia'!$D$5:$D$504,"&gt;="&amp;A1667,'Zgłoszenia'!$D$5:$D$504,"&lt;="&amp;(A1667+1)))</f>
        <v/>
      </c>
      <c r="L1667" s="63">
        <f>IF(OR(H1667="",K1667=0),"—",IF(ISNUMBER(MATCH(H1667,'Zgłoszenia'!$S$5:$S$504,0)),RIGHT("0"&amp;DAY(A1667),2)&amp;"."&amp;RIGHT("0"&amp;MONTH(A1667),2)&amp;"."&amp;YEAR(A1667)&amp;": "&amp;INDEX('Zgłoszenia'!$H$5:$H$504,MATCH(H1667,'Zgłoszenia'!$S$5:$S$504,0)),RIGHT("0"&amp;DAY((A1667+1)),2)&amp;"."&amp;RIGHT("0"&amp;MONTH((A1667+1)),2)&amp;"."&amp;YEAR((A1667+1))&amp;": "&amp;INDEX('Zgłoszenia'!$H$5:$H$504,MATCH(F1667&amp;"|"&amp;(A1667+1),'Zgłoszenia'!$S$5:$S$504,0)))&amp;IF(K1667&gt;1," (+"&amp;(K1667-1)&amp;")",""))</f>
        <v/>
      </c>
      <c r="M1667" s="63" t="n">
        <v>21</v>
      </c>
      <c r="N1667" s="2" t="n"/>
      <c r="O1667" s="2" t="n"/>
    </row>
    <row r="1668">
      <c r="A1668" s="62">
        <f>IF('21'!$C$1="","",'21'!$C$1)</f>
        <v/>
      </c>
      <c r="B1668" s="63">
        <f>Ustawienia!$A$9&amp;""</f>
        <v/>
      </c>
      <c r="C1668" s="63">
        <f>Ustawienia!$A$17&amp;""</f>
        <v/>
      </c>
      <c r="D1668" s="63" t="n">
        <v>2</v>
      </c>
      <c r="E1668" s="63">
        <f>IF('21'!F28="","",TRIM('21'!F28&amp;""))</f>
        <v/>
      </c>
      <c r="F1668" s="63">
        <f>IF('21'!G28="","",'21'!G28)</f>
        <v/>
      </c>
      <c r="G1668" s="63">
        <f>'21'!H28&amp;""</f>
        <v/>
      </c>
      <c r="H1668" s="63">
        <f>IF(OR(A1668="",F1668=""),"",F1668&amp;"|"&amp;A1668)</f>
        <v/>
      </c>
      <c r="I1668" s="63">
        <f>IF(AND(H1668&lt;&gt;"",OR('Historia wózka'!$B$4="",F1668='Historia wózka'!$B$4),A1668&gt;='Historia wózka'!$B$5,A1668&lt;='Historia wózka'!$B$6),A1668+0.8+(5000-ROW())/10000000,0)</f>
        <v/>
      </c>
      <c r="J1668" s="63">
        <f>Ustawienia!$B$9&amp;""</f>
        <v/>
      </c>
      <c r="K1668" s="63">
        <f>IF(H1668="","",COUNTIFS('Zgłoszenia'!$B$5:$B$504,F1668,'Zgłoszenia'!$D$5:$D$504,"&gt;="&amp;A1668,'Zgłoszenia'!$D$5:$D$504,"&lt;="&amp;(A1668+1)))</f>
        <v/>
      </c>
      <c r="L1668" s="63">
        <f>IF(OR(H1668="",K1668=0),"—",IF(ISNUMBER(MATCH(H1668,'Zgłoszenia'!$S$5:$S$504,0)),RIGHT("0"&amp;DAY(A1668),2)&amp;"."&amp;RIGHT("0"&amp;MONTH(A1668),2)&amp;"."&amp;YEAR(A1668)&amp;": "&amp;INDEX('Zgłoszenia'!$H$5:$H$504,MATCH(H1668,'Zgłoszenia'!$S$5:$S$504,0)),RIGHT("0"&amp;DAY((A1668+1)),2)&amp;"."&amp;RIGHT("0"&amp;MONTH((A1668+1)),2)&amp;"."&amp;YEAR((A1668+1))&amp;": "&amp;INDEX('Zgłoszenia'!$H$5:$H$504,MATCH(F1668&amp;"|"&amp;(A1668+1),'Zgłoszenia'!$S$5:$S$504,0)))&amp;IF(K1668&gt;1," (+"&amp;(K1668-1)&amp;")",""))</f>
        <v/>
      </c>
      <c r="M1668" s="63" t="n">
        <v>21</v>
      </c>
      <c r="N1668" s="2" t="n"/>
      <c r="O1668" s="2" t="n"/>
    </row>
    <row r="1669">
      <c r="A1669" s="62">
        <f>IF('21'!$C$1="","",'21'!$C$1)</f>
        <v/>
      </c>
      <c r="B1669" s="63">
        <f>Ustawienia!$A$9&amp;""</f>
        <v/>
      </c>
      <c r="C1669" s="63">
        <f>Ustawienia!$A$17&amp;""</f>
        <v/>
      </c>
      <c r="D1669" s="63" t="n">
        <v>3</v>
      </c>
      <c r="E1669" s="63">
        <f>IF('21'!F29="","",TRIM('21'!F29&amp;""))</f>
        <v/>
      </c>
      <c r="F1669" s="63">
        <f>IF('21'!G29="","",'21'!G29)</f>
        <v/>
      </c>
      <c r="G1669" s="63">
        <f>'21'!H29&amp;""</f>
        <v/>
      </c>
      <c r="H1669" s="63">
        <f>IF(OR(A1669="",F1669=""),"",F1669&amp;"|"&amp;A1669)</f>
        <v/>
      </c>
      <c r="I1669" s="63">
        <f>IF(AND(H1669&lt;&gt;"",OR('Historia wózka'!$B$4="",F1669='Historia wózka'!$B$4),A1669&gt;='Historia wózka'!$B$5,A1669&lt;='Historia wózka'!$B$6),A1669+0.8+(5000-ROW())/10000000,0)</f>
        <v/>
      </c>
      <c r="J1669" s="63">
        <f>Ustawienia!$B$9&amp;""</f>
        <v/>
      </c>
      <c r="K1669" s="63">
        <f>IF(H1669="","",COUNTIFS('Zgłoszenia'!$B$5:$B$504,F1669,'Zgłoszenia'!$D$5:$D$504,"&gt;="&amp;A1669,'Zgłoszenia'!$D$5:$D$504,"&lt;="&amp;(A1669+1)))</f>
        <v/>
      </c>
      <c r="L1669" s="63">
        <f>IF(OR(H1669="",K1669=0),"—",IF(ISNUMBER(MATCH(H1669,'Zgłoszenia'!$S$5:$S$504,0)),RIGHT("0"&amp;DAY(A1669),2)&amp;"."&amp;RIGHT("0"&amp;MONTH(A1669),2)&amp;"."&amp;YEAR(A1669)&amp;": "&amp;INDEX('Zgłoszenia'!$H$5:$H$504,MATCH(H1669,'Zgłoszenia'!$S$5:$S$504,0)),RIGHT("0"&amp;DAY((A1669+1)),2)&amp;"."&amp;RIGHT("0"&amp;MONTH((A1669+1)),2)&amp;"."&amp;YEAR((A1669+1))&amp;": "&amp;INDEX('Zgłoszenia'!$H$5:$H$504,MATCH(F1669&amp;"|"&amp;(A1669+1),'Zgłoszenia'!$S$5:$S$504,0)))&amp;IF(K1669&gt;1," (+"&amp;(K1669-1)&amp;")",""))</f>
        <v/>
      </c>
      <c r="M1669" s="63" t="n">
        <v>21</v>
      </c>
      <c r="N1669" s="2" t="n"/>
      <c r="O1669" s="2" t="n"/>
    </row>
    <row r="1670">
      <c r="A1670" s="62">
        <f>IF('21'!$C$1="","",'21'!$C$1)</f>
        <v/>
      </c>
      <c r="B1670" s="63">
        <f>Ustawienia!$A$9&amp;""</f>
        <v/>
      </c>
      <c r="C1670" s="63">
        <f>Ustawienia!$A$17&amp;""</f>
        <v/>
      </c>
      <c r="D1670" s="63" t="n">
        <v>4</v>
      </c>
      <c r="E1670" s="63">
        <f>IF('21'!F30="","",TRIM('21'!F30&amp;""))</f>
        <v/>
      </c>
      <c r="F1670" s="63">
        <f>IF('21'!G30="","",'21'!G30)</f>
        <v/>
      </c>
      <c r="G1670" s="63">
        <f>'21'!H30&amp;""</f>
        <v/>
      </c>
      <c r="H1670" s="63">
        <f>IF(OR(A1670="",F1670=""),"",F1670&amp;"|"&amp;A1670)</f>
        <v/>
      </c>
      <c r="I1670" s="63">
        <f>IF(AND(H1670&lt;&gt;"",OR('Historia wózka'!$B$4="",F1670='Historia wózka'!$B$4),A1670&gt;='Historia wózka'!$B$5,A1670&lt;='Historia wózka'!$B$6),A1670+0.8+(5000-ROW())/10000000,0)</f>
        <v/>
      </c>
      <c r="J1670" s="63">
        <f>Ustawienia!$B$9&amp;""</f>
        <v/>
      </c>
      <c r="K1670" s="63">
        <f>IF(H1670="","",COUNTIFS('Zgłoszenia'!$B$5:$B$504,F1670,'Zgłoszenia'!$D$5:$D$504,"&gt;="&amp;A1670,'Zgłoszenia'!$D$5:$D$504,"&lt;="&amp;(A1670+1)))</f>
        <v/>
      </c>
      <c r="L1670" s="63">
        <f>IF(OR(H1670="",K1670=0),"—",IF(ISNUMBER(MATCH(H1670,'Zgłoszenia'!$S$5:$S$504,0)),RIGHT("0"&amp;DAY(A1670),2)&amp;"."&amp;RIGHT("0"&amp;MONTH(A1670),2)&amp;"."&amp;YEAR(A1670)&amp;": "&amp;INDEX('Zgłoszenia'!$H$5:$H$504,MATCH(H1670,'Zgłoszenia'!$S$5:$S$504,0)),RIGHT("0"&amp;DAY((A1670+1)),2)&amp;"."&amp;RIGHT("0"&amp;MONTH((A1670+1)),2)&amp;"."&amp;YEAR((A1670+1))&amp;": "&amp;INDEX('Zgłoszenia'!$H$5:$H$504,MATCH(F1670&amp;"|"&amp;(A1670+1),'Zgłoszenia'!$S$5:$S$504,0)))&amp;IF(K1670&gt;1," (+"&amp;(K1670-1)&amp;")",""))</f>
        <v/>
      </c>
      <c r="M1670" s="63" t="n">
        <v>21</v>
      </c>
      <c r="N1670" s="2" t="n"/>
      <c r="O1670" s="2" t="n"/>
    </row>
    <row r="1671">
      <c r="A1671" s="62">
        <f>IF('21'!$C$1="","",'21'!$C$1)</f>
        <v/>
      </c>
      <c r="B1671" s="63">
        <f>Ustawienia!$A$9&amp;""</f>
        <v/>
      </c>
      <c r="C1671" s="63">
        <f>Ustawienia!$A$18&amp;""</f>
        <v/>
      </c>
      <c r="D1671" s="63" t="n">
        <v>1</v>
      </c>
      <c r="E1671" s="63">
        <f>IF('21'!F32="","",TRIM('21'!F32&amp;""))</f>
        <v/>
      </c>
      <c r="F1671" s="63">
        <f>IF('21'!G32="","",'21'!G32)</f>
        <v/>
      </c>
      <c r="G1671" s="63">
        <f>'21'!H32&amp;""</f>
        <v/>
      </c>
      <c r="H1671" s="63">
        <f>IF(OR(A1671="",F1671=""),"",F1671&amp;"|"&amp;A1671)</f>
        <v/>
      </c>
      <c r="I1671" s="63">
        <f>IF(AND(H1671&lt;&gt;"",OR('Historia wózka'!$B$4="",F1671='Historia wózka'!$B$4),A1671&gt;='Historia wózka'!$B$5,A1671&lt;='Historia wózka'!$B$6),A1671+0.8+(5000-ROW())/10000000,0)</f>
        <v/>
      </c>
      <c r="J1671" s="63">
        <f>Ustawienia!$B$9&amp;""</f>
        <v/>
      </c>
      <c r="K1671" s="63">
        <f>IF(H1671="","",COUNTIFS('Zgłoszenia'!$B$5:$B$504,F1671,'Zgłoszenia'!$D$5:$D$504,"&gt;="&amp;A1671,'Zgłoszenia'!$D$5:$D$504,"&lt;="&amp;(A1671+1)))</f>
        <v/>
      </c>
      <c r="L1671" s="63">
        <f>IF(OR(H1671="",K1671=0),"—",IF(ISNUMBER(MATCH(H1671,'Zgłoszenia'!$S$5:$S$504,0)),RIGHT("0"&amp;DAY(A1671),2)&amp;"."&amp;RIGHT("0"&amp;MONTH(A1671),2)&amp;"."&amp;YEAR(A1671)&amp;": "&amp;INDEX('Zgłoszenia'!$H$5:$H$504,MATCH(H1671,'Zgłoszenia'!$S$5:$S$504,0)),RIGHT("0"&amp;DAY((A1671+1)),2)&amp;"."&amp;RIGHT("0"&amp;MONTH((A1671+1)),2)&amp;"."&amp;YEAR((A1671+1))&amp;": "&amp;INDEX('Zgłoszenia'!$H$5:$H$504,MATCH(F1671&amp;"|"&amp;(A1671+1),'Zgłoszenia'!$S$5:$S$504,0)))&amp;IF(K1671&gt;1," (+"&amp;(K1671-1)&amp;")",""))</f>
        <v/>
      </c>
      <c r="M1671" s="63" t="n">
        <v>21</v>
      </c>
      <c r="N1671" s="2" t="n"/>
      <c r="O1671" s="2" t="n"/>
    </row>
    <row r="1672">
      <c r="A1672" s="62">
        <f>IF('21'!$C$1="","",'21'!$C$1)</f>
        <v/>
      </c>
      <c r="B1672" s="63">
        <f>Ustawienia!$A$9&amp;""</f>
        <v/>
      </c>
      <c r="C1672" s="63">
        <f>Ustawienia!$A$18&amp;""</f>
        <v/>
      </c>
      <c r="D1672" s="63" t="n">
        <v>2</v>
      </c>
      <c r="E1672" s="63">
        <f>IF('21'!F33="","",TRIM('21'!F33&amp;""))</f>
        <v/>
      </c>
      <c r="F1672" s="63">
        <f>IF('21'!G33="","",'21'!G33)</f>
        <v/>
      </c>
      <c r="G1672" s="63">
        <f>'21'!H33&amp;""</f>
        <v/>
      </c>
      <c r="H1672" s="63">
        <f>IF(OR(A1672="",F1672=""),"",F1672&amp;"|"&amp;A1672)</f>
        <v/>
      </c>
      <c r="I1672" s="63">
        <f>IF(AND(H1672&lt;&gt;"",OR('Historia wózka'!$B$4="",F1672='Historia wózka'!$B$4),A1672&gt;='Historia wózka'!$B$5,A1672&lt;='Historia wózka'!$B$6),A1672+0.8+(5000-ROW())/10000000,0)</f>
        <v/>
      </c>
      <c r="J1672" s="63">
        <f>Ustawienia!$B$9&amp;""</f>
        <v/>
      </c>
      <c r="K1672" s="63">
        <f>IF(H1672="","",COUNTIFS('Zgłoszenia'!$B$5:$B$504,F1672,'Zgłoszenia'!$D$5:$D$504,"&gt;="&amp;A1672,'Zgłoszenia'!$D$5:$D$504,"&lt;="&amp;(A1672+1)))</f>
        <v/>
      </c>
      <c r="L1672" s="63">
        <f>IF(OR(H1672="",K1672=0),"—",IF(ISNUMBER(MATCH(H1672,'Zgłoszenia'!$S$5:$S$504,0)),RIGHT("0"&amp;DAY(A1672),2)&amp;"."&amp;RIGHT("0"&amp;MONTH(A1672),2)&amp;"."&amp;YEAR(A1672)&amp;": "&amp;INDEX('Zgłoszenia'!$H$5:$H$504,MATCH(H1672,'Zgłoszenia'!$S$5:$S$504,0)),RIGHT("0"&amp;DAY((A1672+1)),2)&amp;"."&amp;RIGHT("0"&amp;MONTH((A1672+1)),2)&amp;"."&amp;YEAR((A1672+1))&amp;": "&amp;INDEX('Zgłoszenia'!$H$5:$H$504,MATCH(F1672&amp;"|"&amp;(A1672+1),'Zgłoszenia'!$S$5:$S$504,0)))&amp;IF(K1672&gt;1," (+"&amp;(K1672-1)&amp;")",""))</f>
        <v/>
      </c>
      <c r="M1672" s="63" t="n">
        <v>21</v>
      </c>
      <c r="N1672" s="2" t="n"/>
      <c r="O1672" s="2" t="n"/>
    </row>
    <row r="1673">
      <c r="A1673" s="62">
        <f>IF('21'!$C$1="","",'21'!$C$1)</f>
        <v/>
      </c>
      <c r="B1673" s="63">
        <f>Ustawienia!$A$9&amp;""</f>
        <v/>
      </c>
      <c r="C1673" s="63">
        <f>Ustawienia!$A$18&amp;""</f>
        <v/>
      </c>
      <c r="D1673" s="63" t="n">
        <v>3</v>
      </c>
      <c r="E1673" s="63">
        <f>IF('21'!F34="","",TRIM('21'!F34&amp;""))</f>
        <v/>
      </c>
      <c r="F1673" s="63">
        <f>IF('21'!G34="","",'21'!G34)</f>
        <v/>
      </c>
      <c r="G1673" s="63">
        <f>'21'!H34&amp;""</f>
        <v/>
      </c>
      <c r="H1673" s="63">
        <f>IF(OR(A1673="",F1673=""),"",F1673&amp;"|"&amp;A1673)</f>
        <v/>
      </c>
      <c r="I1673" s="63">
        <f>IF(AND(H1673&lt;&gt;"",OR('Historia wózka'!$B$4="",F1673='Historia wózka'!$B$4),A1673&gt;='Historia wózka'!$B$5,A1673&lt;='Historia wózka'!$B$6),A1673+0.8+(5000-ROW())/10000000,0)</f>
        <v/>
      </c>
      <c r="J1673" s="63">
        <f>Ustawienia!$B$9&amp;""</f>
        <v/>
      </c>
      <c r="K1673" s="63">
        <f>IF(H1673="","",COUNTIFS('Zgłoszenia'!$B$5:$B$504,F1673,'Zgłoszenia'!$D$5:$D$504,"&gt;="&amp;A1673,'Zgłoszenia'!$D$5:$D$504,"&lt;="&amp;(A1673+1)))</f>
        <v/>
      </c>
      <c r="L1673" s="63">
        <f>IF(OR(H1673="",K1673=0),"—",IF(ISNUMBER(MATCH(H1673,'Zgłoszenia'!$S$5:$S$504,0)),RIGHT("0"&amp;DAY(A1673),2)&amp;"."&amp;RIGHT("0"&amp;MONTH(A1673),2)&amp;"."&amp;YEAR(A1673)&amp;": "&amp;INDEX('Zgłoszenia'!$H$5:$H$504,MATCH(H1673,'Zgłoszenia'!$S$5:$S$504,0)),RIGHT("0"&amp;DAY((A1673+1)),2)&amp;"."&amp;RIGHT("0"&amp;MONTH((A1673+1)),2)&amp;"."&amp;YEAR((A1673+1))&amp;": "&amp;INDEX('Zgłoszenia'!$H$5:$H$504,MATCH(F1673&amp;"|"&amp;(A1673+1),'Zgłoszenia'!$S$5:$S$504,0)))&amp;IF(K1673&gt;1," (+"&amp;(K1673-1)&amp;")",""))</f>
        <v/>
      </c>
      <c r="M1673" s="63" t="n">
        <v>21</v>
      </c>
      <c r="N1673" s="2" t="n"/>
      <c r="O1673" s="2" t="n"/>
    </row>
    <row r="1674">
      <c r="A1674" s="62">
        <f>IF('21'!$C$1="","",'21'!$C$1)</f>
        <v/>
      </c>
      <c r="B1674" s="63">
        <f>Ustawienia!$A$9&amp;""</f>
        <v/>
      </c>
      <c r="C1674" s="63">
        <f>Ustawienia!$A$18&amp;""</f>
        <v/>
      </c>
      <c r="D1674" s="63" t="n">
        <v>4</v>
      </c>
      <c r="E1674" s="63">
        <f>IF('21'!F35="","",TRIM('21'!F35&amp;""))</f>
        <v/>
      </c>
      <c r="F1674" s="63">
        <f>IF('21'!G35="","",'21'!G35)</f>
        <v/>
      </c>
      <c r="G1674" s="63">
        <f>'21'!H35&amp;""</f>
        <v/>
      </c>
      <c r="H1674" s="63">
        <f>IF(OR(A1674="",F1674=""),"",F1674&amp;"|"&amp;A1674)</f>
        <v/>
      </c>
      <c r="I1674" s="63">
        <f>IF(AND(H1674&lt;&gt;"",OR('Historia wózka'!$B$4="",F1674='Historia wózka'!$B$4),A1674&gt;='Historia wózka'!$B$5,A1674&lt;='Historia wózka'!$B$6),A1674+0.8+(5000-ROW())/10000000,0)</f>
        <v/>
      </c>
      <c r="J1674" s="63">
        <f>Ustawienia!$B$9&amp;""</f>
        <v/>
      </c>
      <c r="K1674" s="63">
        <f>IF(H1674="","",COUNTIFS('Zgłoszenia'!$B$5:$B$504,F1674,'Zgłoszenia'!$D$5:$D$504,"&gt;="&amp;A1674,'Zgłoszenia'!$D$5:$D$504,"&lt;="&amp;(A1674+1)))</f>
        <v/>
      </c>
      <c r="L1674" s="63">
        <f>IF(OR(H1674="",K1674=0),"—",IF(ISNUMBER(MATCH(H1674,'Zgłoszenia'!$S$5:$S$504,0)),RIGHT("0"&amp;DAY(A1674),2)&amp;"."&amp;RIGHT("0"&amp;MONTH(A1674),2)&amp;"."&amp;YEAR(A1674)&amp;": "&amp;INDEX('Zgłoszenia'!$H$5:$H$504,MATCH(H1674,'Zgłoszenia'!$S$5:$S$504,0)),RIGHT("0"&amp;DAY((A1674+1)),2)&amp;"."&amp;RIGHT("0"&amp;MONTH((A1674+1)),2)&amp;"."&amp;YEAR((A1674+1))&amp;": "&amp;INDEX('Zgłoszenia'!$H$5:$H$504,MATCH(F1674&amp;"|"&amp;(A1674+1),'Zgłoszenia'!$S$5:$S$504,0)))&amp;IF(K1674&gt;1," (+"&amp;(K1674-1)&amp;")",""))</f>
        <v/>
      </c>
      <c r="M1674" s="63" t="n">
        <v>21</v>
      </c>
      <c r="N1674" s="2" t="n"/>
      <c r="O1674" s="2" t="n"/>
    </row>
    <row r="1675">
      <c r="A1675" s="62">
        <f>IF('21'!$C$1="","",'21'!$C$1)</f>
        <v/>
      </c>
      <c r="B1675" s="63">
        <f>Ustawienia!$A$9&amp;""</f>
        <v/>
      </c>
      <c r="C1675" s="63">
        <f>Ustawienia!$A$18&amp;""</f>
        <v/>
      </c>
      <c r="D1675" s="63" t="n">
        <v>5</v>
      </c>
      <c r="E1675" s="63">
        <f>IF('21'!F36="","",TRIM('21'!F36&amp;""))</f>
        <v/>
      </c>
      <c r="F1675" s="63">
        <f>IF('21'!G36="","",'21'!G36)</f>
        <v/>
      </c>
      <c r="G1675" s="63">
        <f>'21'!H36&amp;""</f>
        <v/>
      </c>
      <c r="H1675" s="63">
        <f>IF(OR(A1675="",F1675=""),"",F1675&amp;"|"&amp;A1675)</f>
        <v/>
      </c>
      <c r="I1675" s="63">
        <f>IF(AND(H1675&lt;&gt;"",OR('Historia wózka'!$B$4="",F1675='Historia wózka'!$B$4),A1675&gt;='Historia wózka'!$B$5,A1675&lt;='Historia wózka'!$B$6),A1675+0.8+(5000-ROW())/10000000,0)</f>
        <v/>
      </c>
      <c r="J1675" s="63">
        <f>Ustawienia!$B$9&amp;""</f>
        <v/>
      </c>
      <c r="K1675" s="63">
        <f>IF(H1675="","",COUNTIFS('Zgłoszenia'!$B$5:$B$504,F1675,'Zgłoszenia'!$D$5:$D$504,"&gt;="&amp;A1675,'Zgłoszenia'!$D$5:$D$504,"&lt;="&amp;(A1675+1)))</f>
        <v/>
      </c>
      <c r="L1675" s="63">
        <f>IF(OR(H1675="",K1675=0),"—",IF(ISNUMBER(MATCH(H1675,'Zgłoszenia'!$S$5:$S$504,0)),RIGHT("0"&amp;DAY(A1675),2)&amp;"."&amp;RIGHT("0"&amp;MONTH(A1675),2)&amp;"."&amp;YEAR(A1675)&amp;": "&amp;INDEX('Zgłoszenia'!$H$5:$H$504,MATCH(H1675,'Zgłoszenia'!$S$5:$S$504,0)),RIGHT("0"&amp;DAY((A1675+1)),2)&amp;"."&amp;RIGHT("0"&amp;MONTH((A1675+1)),2)&amp;"."&amp;YEAR((A1675+1))&amp;": "&amp;INDEX('Zgłoszenia'!$H$5:$H$504,MATCH(F1675&amp;"|"&amp;(A1675+1),'Zgłoszenia'!$S$5:$S$504,0)))&amp;IF(K1675&gt;1," (+"&amp;(K1675-1)&amp;")",""))</f>
        <v/>
      </c>
      <c r="M1675" s="63" t="n">
        <v>21</v>
      </c>
      <c r="N1675" s="2" t="n"/>
      <c r="O1675" s="2" t="n"/>
    </row>
    <row r="1676">
      <c r="A1676" s="62">
        <f>IF('21'!$C$1="","",'21'!$C$1)</f>
        <v/>
      </c>
      <c r="B1676" s="63">
        <f>Ustawienia!$A$10&amp;""</f>
        <v/>
      </c>
      <c r="C1676" s="63">
        <f>Ustawienia!$A$14&amp;""</f>
        <v/>
      </c>
      <c r="D1676" s="63" t="n">
        <v>1</v>
      </c>
      <c r="E1676" s="63">
        <f>IF('21'!J6="","",TRIM('21'!J6&amp;""))</f>
        <v/>
      </c>
      <c r="F1676" s="63">
        <f>IF('21'!K6="","",'21'!K6)</f>
        <v/>
      </c>
      <c r="G1676" s="63">
        <f>'21'!L6&amp;""</f>
        <v/>
      </c>
      <c r="H1676" s="63">
        <f>IF(OR(A1676="",F1676=""),"",F1676&amp;"|"&amp;A1676)</f>
        <v/>
      </c>
      <c r="I1676" s="63">
        <f>IF(AND(H1676&lt;&gt;"",OR('Historia wózka'!$B$4="",F1676='Historia wózka'!$B$4),A1676&gt;='Historia wózka'!$B$5,A1676&lt;='Historia wózka'!$B$6),A1676+0.7+(5000-ROW())/10000000,0)</f>
        <v/>
      </c>
      <c r="J1676" s="63">
        <f>Ustawienia!$B$10&amp;""</f>
        <v/>
      </c>
      <c r="K1676" s="63">
        <f>IF(H1676="","",COUNTIFS('Zgłoszenia'!$B$5:$B$504,F1676,'Zgłoszenia'!$D$5:$D$504,"&gt;="&amp;A1676,'Zgłoszenia'!$D$5:$D$504,"&lt;="&amp;(A1676+1)))</f>
        <v/>
      </c>
      <c r="L1676" s="63">
        <f>IF(OR(H1676="",K1676=0),"—",IF(ISNUMBER(MATCH(H1676,'Zgłoszenia'!$S$5:$S$504,0)),RIGHT("0"&amp;DAY(A1676),2)&amp;"."&amp;RIGHT("0"&amp;MONTH(A1676),2)&amp;"."&amp;YEAR(A1676)&amp;": "&amp;INDEX('Zgłoszenia'!$H$5:$H$504,MATCH(H1676,'Zgłoszenia'!$S$5:$S$504,0)),RIGHT("0"&amp;DAY((A1676+1)),2)&amp;"."&amp;RIGHT("0"&amp;MONTH((A1676+1)),2)&amp;"."&amp;YEAR((A1676+1))&amp;": "&amp;INDEX('Zgłoszenia'!$H$5:$H$504,MATCH(F1676&amp;"|"&amp;(A1676+1),'Zgłoszenia'!$S$5:$S$504,0)))&amp;IF(K1676&gt;1," (+"&amp;(K1676-1)&amp;")",""))</f>
        <v/>
      </c>
      <c r="M1676" s="63" t="n">
        <v>21</v>
      </c>
      <c r="N1676" s="2" t="n"/>
      <c r="O1676" s="2" t="n"/>
    </row>
    <row r="1677">
      <c r="A1677" s="62">
        <f>IF('21'!$C$1="","",'21'!$C$1)</f>
        <v/>
      </c>
      <c r="B1677" s="63">
        <f>Ustawienia!$A$10&amp;""</f>
        <v/>
      </c>
      <c r="C1677" s="63">
        <f>Ustawienia!$A$14&amp;""</f>
        <v/>
      </c>
      <c r="D1677" s="63" t="n">
        <v>2</v>
      </c>
      <c r="E1677" s="63">
        <f>IF('21'!J7="","",TRIM('21'!J7&amp;""))</f>
        <v/>
      </c>
      <c r="F1677" s="63">
        <f>IF('21'!K7="","",'21'!K7)</f>
        <v/>
      </c>
      <c r="G1677" s="63">
        <f>'21'!L7&amp;""</f>
        <v/>
      </c>
      <c r="H1677" s="63">
        <f>IF(OR(A1677="",F1677=""),"",F1677&amp;"|"&amp;A1677)</f>
        <v/>
      </c>
      <c r="I1677" s="63">
        <f>IF(AND(H1677&lt;&gt;"",OR('Historia wózka'!$B$4="",F1677='Historia wózka'!$B$4),A1677&gt;='Historia wózka'!$B$5,A1677&lt;='Historia wózka'!$B$6),A1677+0.7+(5000-ROW())/10000000,0)</f>
        <v/>
      </c>
      <c r="J1677" s="63">
        <f>Ustawienia!$B$10&amp;""</f>
        <v/>
      </c>
      <c r="K1677" s="63">
        <f>IF(H1677="","",COUNTIFS('Zgłoszenia'!$B$5:$B$504,F1677,'Zgłoszenia'!$D$5:$D$504,"&gt;="&amp;A1677,'Zgłoszenia'!$D$5:$D$504,"&lt;="&amp;(A1677+1)))</f>
        <v/>
      </c>
      <c r="L1677" s="63">
        <f>IF(OR(H1677="",K1677=0),"—",IF(ISNUMBER(MATCH(H1677,'Zgłoszenia'!$S$5:$S$504,0)),RIGHT("0"&amp;DAY(A1677),2)&amp;"."&amp;RIGHT("0"&amp;MONTH(A1677),2)&amp;"."&amp;YEAR(A1677)&amp;": "&amp;INDEX('Zgłoszenia'!$H$5:$H$504,MATCH(H1677,'Zgłoszenia'!$S$5:$S$504,0)),RIGHT("0"&amp;DAY((A1677+1)),2)&amp;"."&amp;RIGHT("0"&amp;MONTH((A1677+1)),2)&amp;"."&amp;YEAR((A1677+1))&amp;": "&amp;INDEX('Zgłoszenia'!$H$5:$H$504,MATCH(F1677&amp;"|"&amp;(A1677+1),'Zgłoszenia'!$S$5:$S$504,0)))&amp;IF(K1677&gt;1," (+"&amp;(K1677-1)&amp;")",""))</f>
        <v/>
      </c>
      <c r="M1677" s="63" t="n">
        <v>21</v>
      </c>
      <c r="N1677" s="2" t="n"/>
      <c r="O1677" s="2" t="n"/>
    </row>
    <row r="1678">
      <c r="A1678" s="62">
        <f>IF('21'!$C$1="","",'21'!$C$1)</f>
        <v/>
      </c>
      <c r="B1678" s="63">
        <f>Ustawienia!$A$10&amp;""</f>
        <v/>
      </c>
      <c r="C1678" s="63">
        <f>Ustawienia!$A$14&amp;""</f>
        <v/>
      </c>
      <c r="D1678" s="63" t="n">
        <v>3</v>
      </c>
      <c r="E1678" s="63">
        <f>IF('21'!J8="","",TRIM('21'!J8&amp;""))</f>
        <v/>
      </c>
      <c r="F1678" s="63">
        <f>IF('21'!K8="","",'21'!K8)</f>
        <v/>
      </c>
      <c r="G1678" s="63">
        <f>'21'!L8&amp;""</f>
        <v/>
      </c>
      <c r="H1678" s="63">
        <f>IF(OR(A1678="",F1678=""),"",F1678&amp;"|"&amp;A1678)</f>
        <v/>
      </c>
      <c r="I1678" s="63">
        <f>IF(AND(H1678&lt;&gt;"",OR('Historia wózka'!$B$4="",F1678='Historia wózka'!$B$4),A1678&gt;='Historia wózka'!$B$5,A1678&lt;='Historia wózka'!$B$6),A1678+0.7+(5000-ROW())/10000000,0)</f>
        <v/>
      </c>
      <c r="J1678" s="63">
        <f>Ustawienia!$B$10&amp;""</f>
        <v/>
      </c>
      <c r="K1678" s="63">
        <f>IF(H1678="","",COUNTIFS('Zgłoszenia'!$B$5:$B$504,F1678,'Zgłoszenia'!$D$5:$D$504,"&gt;="&amp;A1678,'Zgłoszenia'!$D$5:$D$504,"&lt;="&amp;(A1678+1)))</f>
        <v/>
      </c>
      <c r="L1678" s="63">
        <f>IF(OR(H1678="",K1678=0),"—",IF(ISNUMBER(MATCH(H1678,'Zgłoszenia'!$S$5:$S$504,0)),RIGHT("0"&amp;DAY(A1678),2)&amp;"."&amp;RIGHT("0"&amp;MONTH(A1678),2)&amp;"."&amp;YEAR(A1678)&amp;": "&amp;INDEX('Zgłoszenia'!$H$5:$H$504,MATCH(H1678,'Zgłoszenia'!$S$5:$S$504,0)),RIGHT("0"&amp;DAY((A1678+1)),2)&amp;"."&amp;RIGHT("0"&amp;MONTH((A1678+1)),2)&amp;"."&amp;YEAR((A1678+1))&amp;": "&amp;INDEX('Zgłoszenia'!$H$5:$H$504,MATCH(F1678&amp;"|"&amp;(A1678+1),'Zgłoszenia'!$S$5:$S$504,0)))&amp;IF(K1678&gt;1," (+"&amp;(K1678-1)&amp;")",""))</f>
        <v/>
      </c>
      <c r="M1678" s="63" t="n">
        <v>21</v>
      </c>
      <c r="N1678" s="2" t="n"/>
      <c r="O1678" s="2" t="n"/>
    </row>
    <row r="1679">
      <c r="A1679" s="62">
        <f>IF('21'!$C$1="","",'21'!$C$1)</f>
        <v/>
      </c>
      <c r="B1679" s="63">
        <f>Ustawienia!$A$10&amp;""</f>
        <v/>
      </c>
      <c r="C1679" s="63">
        <f>Ustawienia!$A$14&amp;""</f>
        <v/>
      </c>
      <c r="D1679" s="63" t="n">
        <v>4</v>
      </c>
      <c r="E1679" s="63">
        <f>IF('21'!J9="","",TRIM('21'!J9&amp;""))</f>
        <v/>
      </c>
      <c r="F1679" s="63">
        <f>IF('21'!K9="","",'21'!K9)</f>
        <v/>
      </c>
      <c r="G1679" s="63">
        <f>'21'!L9&amp;""</f>
        <v/>
      </c>
      <c r="H1679" s="63">
        <f>IF(OR(A1679="",F1679=""),"",F1679&amp;"|"&amp;A1679)</f>
        <v/>
      </c>
      <c r="I1679" s="63">
        <f>IF(AND(H1679&lt;&gt;"",OR('Historia wózka'!$B$4="",F1679='Historia wózka'!$B$4),A1679&gt;='Historia wózka'!$B$5,A1679&lt;='Historia wózka'!$B$6),A1679+0.7+(5000-ROW())/10000000,0)</f>
        <v/>
      </c>
      <c r="J1679" s="63">
        <f>Ustawienia!$B$10&amp;""</f>
        <v/>
      </c>
      <c r="K1679" s="63">
        <f>IF(H1679="","",COUNTIFS('Zgłoszenia'!$B$5:$B$504,F1679,'Zgłoszenia'!$D$5:$D$504,"&gt;="&amp;A1679,'Zgłoszenia'!$D$5:$D$504,"&lt;="&amp;(A1679+1)))</f>
        <v/>
      </c>
      <c r="L1679" s="63">
        <f>IF(OR(H1679="",K1679=0),"—",IF(ISNUMBER(MATCH(H1679,'Zgłoszenia'!$S$5:$S$504,0)),RIGHT("0"&amp;DAY(A1679),2)&amp;"."&amp;RIGHT("0"&amp;MONTH(A1679),2)&amp;"."&amp;YEAR(A1679)&amp;": "&amp;INDEX('Zgłoszenia'!$H$5:$H$504,MATCH(H1679,'Zgłoszenia'!$S$5:$S$504,0)),RIGHT("0"&amp;DAY((A1679+1)),2)&amp;"."&amp;RIGHT("0"&amp;MONTH((A1679+1)),2)&amp;"."&amp;YEAR((A1679+1))&amp;": "&amp;INDEX('Zgłoszenia'!$H$5:$H$504,MATCH(F1679&amp;"|"&amp;(A1679+1),'Zgłoszenia'!$S$5:$S$504,0)))&amp;IF(K1679&gt;1," (+"&amp;(K1679-1)&amp;")",""))</f>
        <v/>
      </c>
      <c r="M1679" s="63" t="n">
        <v>21</v>
      </c>
      <c r="N1679" s="2" t="n"/>
      <c r="O1679" s="2" t="n"/>
    </row>
    <row r="1680">
      <c r="A1680" s="62">
        <f>IF('21'!$C$1="","",'21'!$C$1)</f>
        <v/>
      </c>
      <c r="B1680" s="63">
        <f>Ustawienia!$A$10&amp;""</f>
        <v/>
      </c>
      <c r="C1680" s="63">
        <f>Ustawienia!$A$14&amp;""</f>
        <v/>
      </c>
      <c r="D1680" s="63" t="n">
        <v>5</v>
      </c>
      <c r="E1680" s="63">
        <f>IF('21'!J10="","",TRIM('21'!J10&amp;""))</f>
        <v/>
      </c>
      <c r="F1680" s="63">
        <f>IF('21'!K10="","",'21'!K10)</f>
        <v/>
      </c>
      <c r="G1680" s="63">
        <f>'21'!L10&amp;""</f>
        <v/>
      </c>
      <c r="H1680" s="63">
        <f>IF(OR(A1680="",F1680=""),"",F1680&amp;"|"&amp;A1680)</f>
        <v/>
      </c>
      <c r="I1680" s="63">
        <f>IF(AND(H1680&lt;&gt;"",OR('Historia wózka'!$B$4="",F1680='Historia wózka'!$B$4),A1680&gt;='Historia wózka'!$B$5,A1680&lt;='Historia wózka'!$B$6),A1680+0.7+(5000-ROW())/10000000,0)</f>
        <v/>
      </c>
      <c r="J1680" s="63">
        <f>Ustawienia!$B$10&amp;""</f>
        <v/>
      </c>
      <c r="K1680" s="63">
        <f>IF(H1680="","",COUNTIFS('Zgłoszenia'!$B$5:$B$504,F1680,'Zgłoszenia'!$D$5:$D$504,"&gt;="&amp;A1680,'Zgłoszenia'!$D$5:$D$504,"&lt;="&amp;(A1680+1)))</f>
        <v/>
      </c>
      <c r="L1680" s="63">
        <f>IF(OR(H1680="",K1680=0),"—",IF(ISNUMBER(MATCH(H1680,'Zgłoszenia'!$S$5:$S$504,0)),RIGHT("0"&amp;DAY(A1680),2)&amp;"."&amp;RIGHT("0"&amp;MONTH(A1680),2)&amp;"."&amp;YEAR(A1680)&amp;": "&amp;INDEX('Zgłoszenia'!$H$5:$H$504,MATCH(H1680,'Zgłoszenia'!$S$5:$S$504,0)),RIGHT("0"&amp;DAY((A1680+1)),2)&amp;"."&amp;RIGHT("0"&amp;MONTH((A1680+1)),2)&amp;"."&amp;YEAR((A1680+1))&amp;": "&amp;INDEX('Zgłoszenia'!$H$5:$H$504,MATCH(F1680&amp;"|"&amp;(A1680+1),'Zgłoszenia'!$S$5:$S$504,0)))&amp;IF(K1680&gt;1," (+"&amp;(K1680-1)&amp;")",""))</f>
        <v/>
      </c>
      <c r="M1680" s="63" t="n">
        <v>21</v>
      </c>
      <c r="N1680" s="2" t="n"/>
      <c r="O1680" s="2" t="n"/>
    </row>
    <row r="1681">
      <c r="A1681" s="62">
        <f>IF('21'!$C$1="","",'21'!$C$1)</f>
        <v/>
      </c>
      <c r="B1681" s="63">
        <f>Ustawienia!$A$10&amp;""</f>
        <v/>
      </c>
      <c r="C1681" s="63">
        <f>Ustawienia!$A$14&amp;""</f>
        <v/>
      </c>
      <c r="D1681" s="63" t="n">
        <v>6</v>
      </c>
      <c r="E1681" s="63">
        <f>IF('21'!J11="","",TRIM('21'!J11&amp;""))</f>
        <v/>
      </c>
      <c r="F1681" s="63">
        <f>IF('21'!K11="","",'21'!K11)</f>
        <v/>
      </c>
      <c r="G1681" s="63">
        <f>'21'!L11&amp;""</f>
        <v/>
      </c>
      <c r="H1681" s="63">
        <f>IF(OR(A1681="",F1681=""),"",F1681&amp;"|"&amp;A1681)</f>
        <v/>
      </c>
      <c r="I1681" s="63">
        <f>IF(AND(H1681&lt;&gt;"",OR('Historia wózka'!$B$4="",F1681='Historia wózka'!$B$4),A1681&gt;='Historia wózka'!$B$5,A1681&lt;='Historia wózka'!$B$6),A1681+0.7+(5000-ROW())/10000000,0)</f>
        <v/>
      </c>
      <c r="J1681" s="63">
        <f>Ustawienia!$B$10&amp;""</f>
        <v/>
      </c>
      <c r="K1681" s="63">
        <f>IF(H1681="","",COUNTIFS('Zgłoszenia'!$B$5:$B$504,F1681,'Zgłoszenia'!$D$5:$D$504,"&gt;="&amp;A1681,'Zgłoszenia'!$D$5:$D$504,"&lt;="&amp;(A1681+1)))</f>
        <v/>
      </c>
      <c r="L1681" s="63">
        <f>IF(OR(H1681="",K1681=0),"—",IF(ISNUMBER(MATCH(H1681,'Zgłoszenia'!$S$5:$S$504,0)),RIGHT("0"&amp;DAY(A1681),2)&amp;"."&amp;RIGHT("0"&amp;MONTH(A1681),2)&amp;"."&amp;YEAR(A1681)&amp;": "&amp;INDEX('Zgłoszenia'!$H$5:$H$504,MATCH(H1681,'Zgłoszenia'!$S$5:$S$504,0)),RIGHT("0"&amp;DAY((A1681+1)),2)&amp;"."&amp;RIGHT("0"&amp;MONTH((A1681+1)),2)&amp;"."&amp;YEAR((A1681+1))&amp;": "&amp;INDEX('Zgłoszenia'!$H$5:$H$504,MATCH(F1681&amp;"|"&amp;(A1681+1),'Zgłoszenia'!$S$5:$S$504,0)))&amp;IF(K1681&gt;1," (+"&amp;(K1681-1)&amp;")",""))</f>
        <v/>
      </c>
      <c r="M1681" s="63" t="n">
        <v>21</v>
      </c>
      <c r="N1681" s="2" t="n"/>
      <c r="O1681" s="2" t="n"/>
    </row>
    <row r="1682">
      <c r="A1682" s="62">
        <f>IF('21'!$C$1="","",'21'!$C$1)</f>
        <v/>
      </c>
      <c r="B1682" s="63">
        <f>Ustawienia!$A$10&amp;""</f>
        <v/>
      </c>
      <c r="C1682" s="63">
        <f>Ustawienia!$A$15&amp;""</f>
        <v/>
      </c>
      <c r="D1682" s="63" t="n">
        <v>1</v>
      </c>
      <c r="E1682" s="63">
        <f>IF('21'!J13="","",TRIM('21'!J13&amp;""))</f>
        <v/>
      </c>
      <c r="F1682" s="63">
        <f>IF('21'!K13="","",'21'!K13)</f>
        <v/>
      </c>
      <c r="G1682" s="63">
        <f>'21'!L13&amp;""</f>
        <v/>
      </c>
      <c r="H1682" s="63">
        <f>IF(OR(A1682="",F1682=""),"",F1682&amp;"|"&amp;A1682)</f>
        <v/>
      </c>
      <c r="I1682" s="63">
        <f>IF(AND(H1682&lt;&gt;"",OR('Historia wózka'!$B$4="",F1682='Historia wózka'!$B$4),A1682&gt;='Historia wózka'!$B$5,A1682&lt;='Historia wózka'!$B$6),A1682+0.7+(5000-ROW())/10000000,0)</f>
        <v/>
      </c>
      <c r="J1682" s="63">
        <f>Ustawienia!$B$10&amp;""</f>
        <v/>
      </c>
      <c r="K1682" s="63">
        <f>IF(H1682="","",COUNTIFS('Zgłoszenia'!$B$5:$B$504,F1682,'Zgłoszenia'!$D$5:$D$504,"&gt;="&amp;A1682,'Zgłoszenia'!$D$5:$D$504,"&lt;="&amp;(A1682+1)))</f>
        <v/>
      </c>
      <c r="L1682" s="63">
        <f>IF(OR(H1682="",K1682=0),"—",IF(ISNUMBER(MATCH(H1682,'Zgłoszenia'!$S$5:$S$504,0)),RIGHT("0"&amp;DAY(A1682),2)&amp;"."&amp;RIGHT("0"&amp;MONTH(A1682),2)&amp;"."&amp;YEAR(A1682)&amp;": "&amp;INDEX('Zgłoszenia'!$H$5:$H$504,MATCH(H1682,'Zgłoszenia'!$S$5:$S$504,0)),RIGHT("0"&amp;DAY((A1682+1)),2)&amp;"."&amp;RIGHT("0"&amp;MONTH((A1682+1)),2)&amp;"."&amp;YEAR((A1682+1))&amp;": "&amp;INDEX('Zgłoszenia'!$H$5:$H$504,MATCH(F1682&amp;"|"&amp;(A1682+1),'Zgłoszenia'!$S$5:$S$504,0)))&amp;IF(K1682&gt;1," (+"&amp;(K1682-1)&amp;")",""))</f>
        <v/>
      </c>
      <c r="M1682" s="63" t="n">
        <v>21</v>
      </c>
      <c r="N1682" s="2" t="n"/>
      <c r="O1682" s="2" t="n"/>
    </row>
    <row r="1683">
      <c r="A1683" s="62">
        <f>IF('21'!$C$1="","",'21'!$C$1)</f>
        <v/>
      </c>
      <c r="B1683" s="63">
        <f>Ustawienia!$A$10&amp;""</f>
        <v/>
      </c>
      <c r="C1683" s="63">
        <f>Ustawienia!$A$15&amp;""</f>
        <v/>
      </c>
      <c r="D1683" s="63" t="n">
        <v>2</v>
      </c>
      <c r="E1683" s="63">
        <f>IF('21'!J14="","",TRIM('21'!J14&amp;""))</f>
        <v/>
      </c>
      <c r="F1683" s="63">
        <f>IF('21'!K14="","",'21'!K14)</f>
        <v/>
      </c>
      <c r="G1683" s="63">
        <f>'21'!L14&amp;""</f>
        <v/>
      </c>
      <c r="H1683" s="63">
        <f>IF(OR(A1683="",F1683=""),"",F1683&amp;"|"&amp;A1683)</f>
        <v/>
      </c>
      <c r="I1683" s="63">
        <f>IF(AND(H1683&lt;&gt;"",OR('Historia wózka'!$B$4="",F1683='Historia wózka'!$B$4),A1683&gt;='Historia wózka'!$B$5,A1683&lt;='Historia wózka'!$B$6),A1683+0.7+(5000-ROW())/10000000,0)</f>
        <v/>
      </c>
      <c r="J1683" s="63">
        <f>Ustawienia!$B$10&amp;""</f>
        <v/>
      </c>
      <c r="K1683" s="63">
        <f>IF(H1683="","",COUNTIFS('Zgłoszenia'!$B$5:$B$504,F1683,'Zgłoszenia'!$D$5:$D$504,"&gt;="&amp;A1683,'Zgłoszenia'!$D$5:$D$504,"&lt;="&amp;(A1683+1)))</f>
        <v/>
      </c>
      <c r="L1683" s="63">
        <f>IF(OR(H1683="",K1683=0),"—",IF(ISNUMBER(MATCH(H1683,'Zgłoszenia'!$S$5:$S$504,0)),RIGHT("0"&amp;DAY(A1683),2)&amp;"."&amp;RIGHT("0"&amp;MONTH(A1683),2)&amp;"."&amp;YEAR(A1683)&amp;": "&amp;INDEX('Zgłoszenia'!$H$5:$H$504,MATCH(H1683,'Zgłoszenia'!$S$5:$S$504,0)),RIGHT("0"&amp;DAY((A1683+1)),2)&amp;"."&amp;RIGHT("0"&amp;MONTH((A1683+1)),2)&amp;"."&amp;YEAR((A1683+1))&amp;": "&amp;INDEX('Zgłoszenia'!$H$5:$H$504,MATCH(F1683&amp;"|"&amp;(A1683+1),'Zgłoszenia'!$S$5:$S$504,0)))&amp;IF(K1683&gt;1," (+"&amp;(K1683-1)&amp;")",""))</f>
        <v/>
      </c>
      <c r="M1683" s="63" t="n">
        <v>21</v>
      </c>
      <c r="N1683" s="2" t="n"/>
      <c r="O1683" s="2" t="n"/>
    </row>
    <row r="1684">
      <c r="A1684" s="62">
        <f>IF('21'!$C$1="","",'21'!$C$1)</f>
        <v/>
      </c>
      <c r="B1684" s="63">
        <f>Ustawienia!$A$10&amp;""</f>
        <v/>
      </c>
      <c r="C1684" s="63">
        <f>Ustawienia!$A$15&amp;""</f>
        <v/>
      </c>
      <c r="D1684" s="63" t="n">
        <v>3</v>
      </c>
      <c r="E1684" s="63">
        <f>IF('21'!J15="","",TRIM('21'!J15&amp;""))</f>
        <v/>
      </c>
      <c r="F1684" s="63">
        <f>IF('21'!K15="","",'21'!K15)</f>
        <v/>
      </c>
      <c r="G1684" s="63">
        <f>'21'!L15&amp;""</f>
        <v/>
      </c>
      <c r="H1684" s="63">
        <f>IF(OR(A1684="",F1684=""),"",F1684&amp;"|"&amp;A1684)</f>
        <v/>
      </c>
      <c r="I1684" s="63">
        <f>IF(AND(H1684&lt;&gt;"",OR('Historia wózka'!$B$4="",F1684='Historia wózka'!$B$4),A1684&gt;='Historia wózka'!$B$5,A1684&lt;='Historia wózka'!$B$6),A1684+0.7+(5000-ROW())/10000000,0)</f>
        <v/>
      </c>
      <c r="J1684" s="63">
        <f>Ustawienia!$B$10&amp;""</f>
        <v/>
      </c>
      <c r="K1684" s="63">
        <f>IF(H1684="","",COUNTIFS('Zgłoszenia'!$B$5:$B$504,F1684,'Zgłoszenia'!$D$5:$D$504,"&gt;="&amp;A1684,'Zgłoszenia'!$D$5:$D$504,"&lt;="&amp;(A1684+1)))</f>
        <v/>
      </c>
      <c r="L1684" s="63">
        <f>IF(OR(H1684="",K1684=0),"—",IF(ISNUMBER(MATCH(H1684,'Zgłoszenia'!$S$5:$S$504,0)),RIGHT("0"&amp;DAY(A1684),2)&amp;"."&amp;RIGHT("0"&amp;MONTH(A1684),2)&amp;"."&amp;YEAR(A1684)&amp;": "&amp;INDEX('Zgłoszenia'!$H$5:$H$504,MATCH(H1684,'Zgłoszenia'!$S$5:$S$504,0)),RIGHT("0"&amp;DAY((A1684+1)),2)&amp;"."&amp;RIGHT("0"&amp;MONTH((A1684+1)),2)&amp;"."&amp;YEAR((A1684+1))&amp;": "&amp;INDEX('Zgłoszenia'!$H$5:$H$504,MATCH(F1684&amp;"|"&amp;(A1684+1),'Zgłoszenia'!$S$5:$S$504,0)))&amp;IF(K1684&gt;1," (+"&amp;(K1684-1)&amp;")",""))</f>
        <v/>
      </c>
      <c r="M1684" s="63" t="n">
        <v>21</v>
      </c>
      <c r="N1684" s="2" t="n"/>
      <c r="O1684" s="2" t="n"/>
    </row>
    <row r="1685">
      <c r="A1685" s="62">
        <f>IF('21'!$C$1="","",'21'!$C$1)</f>
        <v/>
      </c>
      <c r="B1685" s="63">
        <f>Ustawienia!$A$10&amp;""</f>
        <v/>
      </c>
      <c r="C1685" s="63">
        <f>Ustawienia!$A$15&amp;""</f>
        <v/>
      </c>
      <c r="D1685" s="63" t="n">
        <v>4</v>
      </c>
      <c r="E1685" s="63">
        <f>IF('21'!J16="","",TRIM('21'!J16&amp;""))</f>
        <v/>
      </c>
      <c r="F1685" s="63">
        <f>IF('21'!K16="","",'21'!K16)</f>
        <v/>
      </c>
      <c r="G1685" s="63">
        <f>'21'!L16&amp;""</f>
        <v/>
      </c>
      <c r="H1685" s="63">
        <f>IF(OR(A1685="",F1685=""),"",F1685&amp;"|"&amp;A1685)</f>
        <v/>
      </c>
      <c r="I1685" s="63">
        <f>IF(AND(H1685&lt;&gt;"",OR('Historia wózka'!$B$4="",F1685='Historia wózka'!$B$4),A1685&gt;='Historia wózka'!$B$5,A1685&lt;='Historia wózka'!$B$6),A1685+0.7+(5000-ROW())/10000000,0)</f>
        <v/>
      </c>
      <c r="J1685" s="63">
        <f>Ustawienia!$B$10&amp;""</f>
        <v/>
      </c>
      <c r="K1685" s="63">
        <f>IF(H1685="","",COUNTIFS('Zgłoszenia'!$B$5:$B$504,F1685,'Zgłoszenia'!$D$5:$D$504,"&gt;="&amp;A1685,'Zgłoszenia'!$D$5:$D$504,"&lt;="&amp;(A1685+1)))</f>
        <v/>
      </c>
      <c r="L1685" s="63">
        <f>IF(OR(H1685="",K1685=0),"—",IF(ISNUMBER(MATCH(H1685,'Zgłoszenia'!$S$5:$S$504,0)),RIGHT("0"&amp;DAY(A1685),2)&amp;"."&amp;RIGHT("0"&amp;MONTH(A1685),2)&amp;"."&amp;YEAR(A1685)&amp;": "&amp;INDEX('Zgłoszenia'!$H$5:$H$504,MATCH(H1685,'Zgłoszenia'!$S$5:$S$504,0)),RIGHT("0"&amp;DAY((A1685+1)),2)&amp;"."&amp;RIGHT("0"&amp;MONTH((A1685+1)),2)&amp;"."&amp;YEAR((A1685+1))&amp;": "&amp;INDEX('Zgłoszenia'!$H$5:$H$504,MATCH(F1685&amp;"|"&amp;(A1685+1),'Zgłoszenia'!$S$5:$S$504,0)))&amp;IF(K1685&gt;1," (+"&amp;(K1685-1)&amp;")",""))</f>
        <v/>
      </c>
      <c r="M1685" s="63" t="n">
        <v>21</v>
      </c>
      <c r="N1685" s="2" t="n"/>
      <c r="O1685" s="2" t="n"/>
    </row>
    <row r="1686">
      <c r="A1686" s="62">
        <f>IF('21'!$C$1="","",'21'!$C$1)</f>
        <v/>
      </c>
      <c r="B1686" s="63">
        <f>Ustawienia!$A$10&amp;""</f>
        <v/>
      </c>
      <c r="C1686" s="63">
        <f>Ustawienia!$A$15&amp;""</f>
        <v/>
      </c>
      <c r="D1686" s="63" t="n">
        <v>5</v>
      </c>
      <c r="E1686" s="63">
        <f>IF('21'!J17="","",TRIM('21'!J17&amp;""))</f>
        <v/>
      </c>
      <c r="F1686" s="63">
        <f>IF('21'!K17="","",'21'!K17)</f>
        <v/>
      </c>
      <c r="G1686" s="63">
        <f>'21'!L17&amp;""</f>
        <v/>
      </c>
      <c r="H1686" s="63">
        <f>IF(OR(A1686="",F1686=""),"",F1686&amp;"|"&amp;A1686)</f>
        <v/>
      </c>
      <c r="I1686" s="63">
        <f>IF(AND(H1686&lt;&gt;"",OR('Historia wózka'!$B$4="",F1686='Historia wózka'!$B$4),A1686&gt;='Historia wózka'!$B$5,A1686&lt;='Historia wózka'!$B$6),A1686+0.7+(5000-ROW())/10000000,0)</f>
        <v/>
      </c>
      <c r="J1686" s="63">
        <f>Ustawienia!$B$10&amp;""</f>
        <v/>
      </c>
      <c r="K1686" s="63">
        <f>IF(H1686="","",COUNTIFS('Zgłoszenia'!$B$5:$B$504,F1686,'Zgłoszenia'!$D$5:$D$504,"&gt;="&amp;A1686,'Zgłoszenia'!$D$5:$D$504,"&lt;="&amp;(A1686+1)))</f>
        <v/>
      </c>
      <c r="L1686" s="63">
        <f>IF(OR(H1686="",K1686=0),"—",IF(ISNUMBER(MATCH(H1686,'Zgłoszenia'!$S$5:$S$504,0)),RIGHT("0"&amp;DAY(A1686),2)&amp;"."&amp;RIGHT("0"&amp;MONTH(A1686),2)&amp;"."&amp;YEAR(A1686)&amp;": "&amp;INDEX('Zgłoszenia'!$H$5:$H$504,MATCH(H1686,'Zgłoszenia'!$S$5:$S$504,0)),RIGHT("0"&amp;DAY((A1686+1)),2)&amp;"."&amp;RIGHT("0"&amp;MONTH((A1686+1)),2)&amp;"."&amp;YEAR((A1686+1))&amp;": "&amp;INDEX('Zgłoszenia'!$H$5:$H$504,MATCH(F1686&amp;"|"&amp;(A1686+1),'Zgłoszenia'!$S$5:$S$504,0)))&amp;IF(K1686&gt;1," (+"&amp;(K1686-1)&amp;")",""))</f>
        <v/>
      </c>
      <c r="M1686" s="63" t="n">
        <v>21</v>
      </c>
      <c r="N1686" s="2" t="n"/>
      <c r="O1686" s="2" t="n"/>
    </row>
    <row r="1687">
      <c r="A1687" s="62">
        <f>IF('21'!$C$1="","",'21'!$C$1)</f>
        <v/>
      </c>
      <c r="B1687" s="63">
        <f>Ustawienia!$A$10&amp;""</f>
        <v/>
      </c>
      <c r="C1687" s="63">
        <f>Ustawienia!$A$15&amp;""</f>
        <v/>
      </c>
      <c r="D1687" s="63" t="n">
        <v>6</v>
      </c>
      <c r="E1687" s="63">
        <f>IF('21'!J18="","",TRIM('21'!J18&amp;""))</f>
        <v/>
      </c>
      <c r="F1687" s="63">
        <f>IF('21'!K18="","",'21'!K18)</f>
        <v/>
      </c>
      <c r="G1687" s="63">
        <f>'21'!L18&amp;""</f>
        <v/>
      </c>
      <c r="H1687" s="63">
        <f>IF(OR(A1687="",F1687=""),"",F1687&amp;"|"&amp;A1687)</f>
        <v/>
      </c>
      <c r="I1687" s="63">
        <f>IF(AND(H1687&lt;&gt;"",OR('Historia wózka'!$B$4="",F1687='Historia wózka'!$B$4),A1687&gt;='Historia wózka'!$B$5,A1687&lt;='Historia wózka'!$B$6),A1687+0.7+(5000-ROW())/10000000,0)</f>
        <v/>
      </c>
      <c r="J1687" s="63">
        <f>Ustawienia!$B$10&amp;""</f>
        <v/>
      </c>
      <c r="K1687" s="63">
        <f>IF(H1687="","",COUNTIFS('Zgłoszenia'!$B$5:$B$504,F1687,'Zgłoszenia'!$D$5:$D$504,"&gt;="&amp;A1687,'Zgłoszenia'!$D$5:$D$504,"&lt;="&amp;(A1687+1)))</f>
        <v/>
      </c>
      <c r="L1687" s="63">
        <f>IF(OR(H1687="",K1687=0),"—",IF(ISNUMBER(MATCH(H1687,'Zgłoszenia'!$S$5:$S$504,0)),RIGHT("0"&amp;DAY(A1687),2)&amp;"."&amp;RIGHT("0"&amp;MONTH(A1687),2)&amp;"."&amp;YEAR(A1687)&amp;": "&amp;INDEX('Zgłoszenia'!$H$5:$H$504,MATCH(H1687,'Zgłoszenia'!$S$5:$S$504,0)),RIGHT("0"&amp;DAY((A1687+1)),2)&amp;"."&amp;RIGHT("0"&amp;MONTH((A1687+1)),2)&amp;"."&amp;YEAR((A1687+1))&amp;": "&amp;INDEX('Zgłoszenia'!$H$5:$H$504,MATCH(F1687&amp;"|"&amp;(A1687+1),'Zgłoszenia'!$S$5:$S$504,0)))&amp;IF(K1687&gt;1," (+"&amp;(K1687-1)&amp;")",""))</f>
        <v/>
      </c>
      <c r="M1687" s="63" t="n">
        <v>21</v>
      </c>
      <c r="N1687" s="2" t="n"/>
      <c r="O1687" s="2" t="n"/>
    </row>
    <row r="1688">
      <c r="A1688" s="62">
        <f>IF('21'!$C$1="","",'21'!$C$1)</f>
        <v/>
      </c>
      <c r="B1688" s="63">
        <f>Ustawienia!$A$10&amp;""</f>
        <v/>
      </c>
      <c r="C1688" s="63">
        <f>Ustawienia!$A$15&amp;""</f>
        <v/>
      </c>
      <c r="D1688" s="63" t="n">
        <v>7</v>
      </c>
      <c r="E1688" s="63">
        <f>IF('21'!J19="","",TRIM('21'!J19&amp;""))</f>
        <v/>
      </c>
      <c r="F1688" s="63">
        <f>IF('21'!K19="","",'21'!K19)</f>
        <v/>
      </c>
      <c r="G1688" s="63">
        <f>'21'!L19&amp;""</f>
        <v/>
      </c>
      <c r="H1688" s="63">
        <f>IF(OR(A1688="",F1688=""),"",F1688&amp;"|"&amp;A1688)</f>
        <v/>
      </c>
      <c r="I1688" s="63">
        <f>IF(AND(H1688&lt;&gt;"",OR('Historia wózka'!$B$4="",F1688='Historia wózka'!$B$4),A1688&gt;='Historia wózka'!$B$5,A1688&lt;='Historia wózka'!$B$6),A1688+0.7+(5000-ROW())/10000000,0)</f>
        <v/>
      </c>
      <c r="J1688" s="63">
        <f>Ustawienia!$B$10&amp;""</f>
        <v/>
      </c>
      <c r="K1688" s="63">
        <f>IF(H1688="","",COUNTIFS('Zgłoszenia'!$B$5:$B$504,F1688,'Zgłoszenia'!$D$5:$D$504,"&gt;="&amp;A1688,'Zgłoszenia'!$D$5:$D$504,"&lt;="&amp;(A1688+1)))</f>
        <v/>
      </c>
      <c r="L1688" s="63">
        <f>IF(OR(H1688="",K1688=0),"—",IF(ISNUMBER(MATCH(H1688,'Zgłoszenia'!$S$5:$S$504,0)),RIGHT("0"&amp;DAY(A1688),2)&amp;"."&amp;RIGHT("0"&amp;MONTH(A1688),2)&amp;"."&amp;YEAR(A1688)&amp;": "&amp;INDEX('Zgłoszenia'!$H$5:$H$504,MATCH(H1688,'Zgłoszenia'!$S$5:$S$504,0)),RIGHT("0"&amp;DAY((A1688+1)),2)&amp;"."&amp;RIGHT("0"&amp;MONTH((A1688+1)),2)&amp;"."&amp;YEAR((A1688+1))&amp;": "&amp;INDEX('Zgłoszenia'!$H$5:$H$504,MATCH(F1688&amp;"|"&amp;(A1688+1),'Zgłoszenia'!$S$5:$S$504,0)))&amp;IF(K1688&gt;1," (+"&amp;(K1688-1)&amp;")",""))</f>
        <v/>
      </c>
      <c r="M1688" s="63" t="n">
        <v>21</v>
      </c>
      <c r="N1688" s="2" t="n"/>
      <c r="O1688" s="2" t="n"/>
    </row>
    <row r="1689">
      <c r="A1689" s="62">
        <f>IF('21'!$C$1="","",'21'!$C$1)</f>
        <v/>
      </c>
      <c r="B1689" s="63">
        <f>Ustawienia!$A$10&amp;""</f>
        <v/>
      </c>
      <c r="C1689" s="63">
        <f>Ustawienia!$A$15&amp;""</f>
        <v/>
      </c>
      <c r="D1689" s="63" t="n">
        <v>8</v>
      </c>
      <c r="E1689" s="63">
        <f>IF('21'!J20="","",TRIM('21'!J20&amp;""))</f>
        <v/>
      </c>
      <c r="F1689" s="63">
        <f>IF('21'!K20="","",'21'!K20)</f>
        <v/>
      </c>
      <c r="G1689" s="63">
        <f>'21'!L20&amp;""</f>
        <v/>
      </c>
      <c r="H1689" s="63">
        <f>IF(OR(A1689="",F1689=""),"",F1689&amp;"|"&amp;A1689)</f>
        <v/>
      </c>
      <c r="I1689" s="63">
        <f>IF(AND(H1689&lt;&gt;"",OR('Historia wózka'!$B$4="",F1689='Historia wózka'!$B$4),A1689&gt;='Historia wózka'!$B$5,A1689&lt;='Historia wózka'!$B$6),A1689+0.7+(5000-ROW())/10000000,0)</f>
        <v/>
      </c>
      <c r="J1689" s="63">
        <f>Ustawienia!$B$10&amp;""</f>
        <v/>
      </c>
      <c r="K1689" s="63">
        <f>IF(H1689="","",COUNTIFS('Zgłoszenia'!$B$5:$B$504,F1689,'Zgłoszenia'!$D$5:$D$504,"&gt;="&amp;A1689,'Zgłoszenia'!$D$5:$D$504,"&lt;="&amp;(A1689+1)))</f>
        <v/>
      </c>
      <c r="L1689" s="63">
        <f>IF(OR(H1689="",K1689=0),"—",IF(ISNUMBER(MATCH(H1689,'Zgłoszenia'!$S$5:$S$504,0)),RIGHT("0"&amp;DAY(A1689),2)&amp;"."&amp;RIGHT("0"&amp;MONTH(A1689),2)&amp;"."&amp;YEAR(A1689)&amp;": "&amp;INDEX('Zgłoszenia'!$H$5:$H$504,MATCH(H1689,'Zgłoszenia'!$S$5:$S$504,0)),RIGHT("0"&amp;DAY((A1689+1)),2)&amp;"."&amp;RIGHT("0"&amp;MONTH((A1689+1)),2)&amp;"."&amp;YEAR((A1689+1))&amp;": "&amp;INDEX('Zgłoszenia'!$H$5:$H$504,MATCH(F1689&amp;"|"&amp;(A1689+1),'Zgłoszenia'!$S$5:$S$504,0)))&amp;IF(K1689&gt;1," (+"&amp;(K1689-1)&amp;")",""))</f>
        <v/>
      </c>
      <c r="M1689" s="63" t="n">
        <v>21</v>
      </c>
      <c r="N1689" s="2" t="n"/>
      <c r="O1689" s="2" t="n"/>
    </row>
    <row r="1690">
      <c r="A1690" s="62">
        <f>IF('21'!$C$1="","",'21'!$C$1)</f>
        <v/>
      </c>
      <c r="B1690" s="63">
        <f>Ustawienia!$A$10&amp;""</f>
        <v/>
      </c>
      <c r="C1690" s="63">
        <f>Ustawienia!$A$16&amp;""</f>
        <v/>
      </c>
      <c r="D1690" s="63" t="n">
        <v>1</v>
      </c>
      <c r="E1690" s="63">
        <f>IF('21'!J22="","",TRIM('21'!J22&amp;""))</f>
        <v/>
      </c>
      <c r="F1690" s="63">
        <f>IF('21'!K22="","",'21'!K22)</f>
        <v/>
      </c>
      <c r="G1690" s="63">
        <f>'21'!L22&amp;""</f>
        <v/>
      </c>
      <c r="H1690" s="63">
        <f>IF(OR(A1690="",F1690=""),"",F1690&amp;"|"&amp;A1690)</f>
        <v/>
      </c>
      <c r="I1690" s="63">
        <f>IF(AND(H1690&lt;&gt;"",OR('Historia wózka'!$B$4="",F1690='Historia wózka'!$B$4),A1690&gt;='Historia wózka'!$B$5,A1690&lt;='Historia wózka'!$B$6),A1690+0.7+(5000-ROW())/10000000,0)</f>
        <v/>
      </c>
      <c r="J1690" s="63">
        <f>Ustawienia!$B$10&amp;""</f>
        <v/>
      </c>
      <c r="K1690" s="63">
        <f>IF(H1690="","",COUNTIFS('Zgłoszenia'!$B$5:$B$504,F1690,'Zgłoszenia'!$D$5:$D$504,"&gt;="&amp;A1690,'Zgłoszenia'!$D$5:$D$504,"&lt;="&amp;(A1690+1)))</f>
        <v/>
      </c>
      <c r="L1690" s="63">
        <f>IF(OR(H1690="",K1690=0),"—",IF(ISNUMBER(MATCH(H1690,'Zgłoszenia'!$S$5:$S$504,0)),RIGHT("0"&amp;DAY(A1690),2)&amp;"."&amp;RIGHT("0"&amp;MONTH(A1690),2)&amp;"."&amp;YEAR(A1690)&amp;": "&amp;INDEX('Zgłoszenia'!$H$5:$H$504,MATCH(H1690,'Zgłoszenia'!$S$5:$S$504,0)),RIGHT("0"&amp;DAY((A1690+1)),2)&amp;"."&amp;RIGHT("0"&amp;MONTH((A1690+1)),2)&amp;"."&amp;YEAR((A1690+1))&amp;": "&amp;INDEX('Zgłoszenia'!$H$5:$H$504,MATCH(F1690&amp;"|"&amp;(A1690+1),'Zgłoszenia'!$S$5:$S$504,0)))&amp;IF(K1690&gt;1," (+"&amp;(K1690-1)&amp;")",""))</f>
        <v/>
      </c>
      <c r="M1690" s="63" t="n">
        <v>21</v>
      </c>
      <c r="N1690" s="2" t="n"/>
      <c r="O1690" s="2" t="n"/>
    </row>
    <row r="1691">
      <c r="A1691" s="62">
        <f>IF('21'!$C$1="","",'21'!$C$1)</f>
        <v/>
      </c>
      <c r="B1691" s="63">
        <f>Ustawienia!$A$10&amp;""</f>
        <v/>
      </c>
      <c r="C1691" s="63">
        <f>Ustawienia!$A$16&amp;""</f>
        <v/>
      </c>
      <c r="D1691" s="63" t="n">
        <v>2</v>
      </c>
      <c r="E1691" s="63">
        <f>IF('21'!J23="","",TRIM('21'!J23&amp;""))</f>
        <v/>
      </c>
      <c r="F1691" s="63">
        <f>IF('21'!K23="","",'21'!K23)</f>
        <v/>
      </c>
      <c r="G1691" s="63">
        <f>'21'!L23&amp;""</f>
        <v/>
      </c>
      <c r="H1691" s="63">
        <f>IF(OR(A1691="",F1691=""),"",F1691&amp;"|"&amp;A1691)</f>
        <v/>
      </c>
      <c r="I1691" s="63">
        <f>IF(AND(H1691&lt;&gt;"",OR('Historia wózka'!$B$4="",F1691='Historia wózka'!$B$4),A1691&gt;='Historia wózka'!$B$5,A1691&lt;='Historia wózka'!$B$6),A1691+0.7+(5000-ROW())/10000000,0)</f>
        <v/>
      </c>
      <c r="J1691" s="63">
        <f>Ustawienia!$B$10&amp;""</f>
        <v/>
      </c>
      <c r="K1691" s="63">
        <f>IF(H1691="","",COUNTIFS('Zgłoszenia'!$B$5:$B$504,F1691,'Zgłoszenia'!$D$5:$D$504,"&gt;="&amp;A1691,'Zgłoszenia'!$D$5:$D$504,"&lt;="&amp;(A1691+1)))</f>
        <v/>
      </c>
      <c r="L1691" s="63">
        <f>IF(OR(H1691="",K1691=0),"—",IF(ISNUMBER(MATCH(H1691,'Zgłoszenia'!$S$5:$S$504,0)),RIGHT("0"&amp;DAY(A1691),2)&amp;"."&amp;RIGHT("0"&amp;MONTH(A1691),2)&amp;"."&amp;YEAR(A1691)&amp;": "&amp;INDEX('Zgłoszenia'!$H$5:$H$504,MATCH(H1691,'Zgłoszenia'!$S$5:$S$504,0)),RIGHT("0"&amp;DAY((A1691+1)),2)&amp;"."&amp;RIGHT("0"&amp;MONTH((A1691+1)),2)&amp;"."&amp;YEAR((A1691+1))&amp;": "&amp;INDEX('Zgłoszenia'!$H$5:$H$504,MATCH(F1691&amp;"|"&amp;(A1691+1),'Zgłoszenia'!$S$5:$S$504,0)))&amp;IF(K1691&gt;1," (+"&amp;(K1691-1)&amp;")",""))</f>
        <v/>
      </c>
      <c r="M1691" s="63" t="n">
        <v>21</v>
      </c>
      <c r="N1691" s="2" t="n"/>
      <c r="O1691" s="2" t="n"/>
    </row>
    <row r="1692">
      <c r="A1692" s="62">
        <f>IF('21'!$C$1="","",'21'!$C$1)</f>
        <v/>
      </c>
      <c r="B1692" s="63">
        <f>Ustawienia!$A$10&amp;""</f>
        <v/>
      </c>
      <c r="C1692" s="63">
        <f>Ustawienia!$A$16&amp;""</f>
        <v/>
      </c>
      <c r="D1692" s="63" t="n">
        <v>3</v>
      </c>
      <c r="E1692" s="63">
        <f>IF('21'!J24="","",TRIM('21'!J24&amp;""))</f>
        <v/>
      </c>
      <c r="F1692" s="63">
        <f>IF('21'!K24="","",'21'!K24)</f>
        <v/>
      </c>
      <c r="G1692" s="63">
        <f>'21'!L24&amp;""</f>
        <v/>
      </c>
      <c r="H1692" s="63">
        <f>IF(OR(A1692="",F1692=""),"",F1692&amp;"|"&amp;A1692)</f>
        <v/>
      </c>
      <c r="I1692" s="63">
        <f>IF(AND(H1692&lt;&gt;"",OR('Historia wózka'!$B$4="",F1692='Historia wózka'!$B$4),A1692&gt;='Historia wózka'!$B$5,A1692&lt;='Historia wózka'!$B$6),A1692+0.7+(5000-ROW())/10000000,0)</f>
        <v/>
      </c>
      <c r="J1692" s="63">
        <f>Ustawienia!$B$10&amp;""</f>
        <v/>
      </c>
      <c r="K1692" s="63">
        <f>IF(H1692="","",COUNTIFS('Zgłoszenia'!$B$5:$B$504,F1692,'Zgłoszenia'!$D$5:$D$504,"&gt;="&amp;A1692,'Zgłoszenia'!$D$5:$D$504,"&lt;="&amp;(A1692+1)))</f>
        <v/>
      </c>
      <c r="L1692" s="63">
        <f>IF(OR(H1692="",K1692=0),"—",IF(ISNUMBER(MATCH(H1692,'Zgłoszenia'!$S$5:$S$504,0)),RIGHT("0"&amp;DAY(A1692),2)&amp;"."&amp;RIGHT("0"&amp;MONTH(A1692),2)&amp;"."&amp;YEAR(A1692)&amp;": "&amp;INDEX('Zgłoszenia'!$H$5:$H$504,MATCH(H1692,'Zgłoszenia'!$S$5:$S$504,0)),RIGHT("0"&amp;DAY((A1692+1)),2)&amp;"."&amp;RIGHT("0"&amp;MONTH((A1692+1)),2)&amp;"."&amp;YEAR((A1692+1))&amp;": "&amp;INDEX('Zgłoszenia'!$H$5:$H$504,MATCH(F1692&amp;"|"&amp;(A1692+1),'Zgłoszenia'!$S$5:$S$504,0)))&amp;IF(K1692&gt;1," (+"&amp;(K1692-1)&amp;")",""))</f>
        <v/>
      </c>
      <c r="M1692" s="63" t="n">
        <v>21</v>
      </c>
      <c r="N1692" s="2" t="n"/>
      <c r="O1692" s="2" t="n"/>
    </row>
    <row r="1693">
      <c r="A1693" s="62">
        <f>IF('21'!$C$1="","",'21'!$C$1)</f>
        <v/>
      </c>
      <c r="B1693" s="63">
        <f>Ustawienia!$A$10&amp;""</f>
        <v/>
      </c>
      <c r="C1693" s="63">
        <f>Ustawienia!$A$16&amp;""</f>
        <v/>
      </c>
      <c r="D1693" s="63" t="n">
        <v>4</v>
      </c>
      <c r="E1693" s="63">
        <f>IF('21'!J25="","",TRIM('21'!J25&amp;""))</f>
        <v/>
      </c>
      <c r="F1693" s="63">
        <f>IF('21'!K25="","",'21'!K25)</f>
        <v/>
      </c>
      <c r="G1693" s="63">
        <f>'21'!L25&amp;""</f>
        <v/>
      </c>
      <c r="H1693" s="63">
        <f>IF(OR(A1693="",F1693=""),"",F1693&amp;"|"&amp;A1693)</f>
        <v/>
      </c>
      <c r="I1693" s="63">
        <f>IF(AND(H1693&lt;&gt;"",OR('Historia wózka'!$B$4="",F1693='Historia wózka'!$B$4),A1693&gt;='Historia wózka'!$B$5,A1693&lt;='Historia wózka'!$B$6),A1693+0.7+(5000-ROW())/10000000,0)</f>
        <v/>
      </c>
      <c r="J1693" s="63">
        <f>Ustawienia!$B$10&amp;""</f>
        <v/>
      </c>
      <c r="K1693" s="63">
        <f>IF(H1693="","",COUNTIFS('Zgłoszenia'!$B$5:$B$504,F1693,'Zgłoszenia'!$D$5:$D$504,"&gt;="&amp;A1693,'Zgłoszenia'!$D$5:$D$504,"&lt;="&amp;(A1693+1)))</f>
        <v/>
      </c>
      <c r="L1693" s="63">
        <f>IF(OR(H1693="",K1693=0),"—",IF(ISNUMBER(MATCH(H1693,'Zgłoszenia'!$S$5:$S$504,0)),RIGHT("0"&amp;DAY(A1693),2)&amp;"."&amp;RIGHT("0"&amp;MONTH(A1693),2)&amp;"."&amp;YEAR(A1693)&amp;": "&amp;INDEX('Zgłoszenia'!$H$5:$H$504,MATCH(H1693,'Zgłoszenia'!$S$5:$S$504,0)),RIGHT("0"&amp;DAY((A1693+1)),2)&amp;"."&amp;RIGHT("0"&amp;MONTH((A1693+1)),2)&amp;"."&amp;YEAR((A1693+1))&amp;": "&amp;INDEX('Zgłoszenia'!$H$5:$H$504,MATCH(F1693&amp;"|"&amp;(A1693+1),'Zgłoszenia'!$S$5:$S$504,0)))&amp;IF(K1693&gt;1," (+"&amp;(K1693-1)&amp;")",""))</f>
        <v/>
      </c>
      <c r="M1693" s="63" t="n">
        <v>21</v>
      </c>
      <c r="N1693" s="2" t="n"/>
      <c r="O1693" s="2" t="n"/>
    </row>
    <row r="1694">
      <c r="A1694" s="62">
        <f>IF('21'!$C$1="","",'21'!$C$1)</f>
        <v/>
      </c>
      <c r="B1694" s="63">
        <f>Ustawienia!$A$10&amp;""</f>
        <v/>
      </c>
      <c r="C1694" s="63">
        <f>Ustawienia!$A$17&amp;""</f>
        <v/>
      </c>
      <c r="D1694" s="63" t="n">
        <v>1</v>
      </c>
      <c r="E1694" s="63">
        <f>IF('21'!J27="","",TRIM('21'!J27&amp;""))</f>
        <v/>
      </c>
      <c r="F1694" s="63">
        <f>IF('21'!K27="","",'21'!K27)</f>
        <v/>
      </c>
      <c r="G1694" s="63">
        <f>'21'!L27&amp;""</f>
        <v/>
      </c>
      <c r="H1694" s="63">
        <f>IF(OR(A1694="",F1694=""),"",F1694&amp;"|"&amp;A1694)</f>
        <v/>
      </c>
      <c r="I1694" s="63">
        <f>IF(AND(H1694&lt;&gt;"",OR('Historia wózka'!$B$4="",F1694='Historia wózka'!$B$4),A1694&gt;='Historia wózka'!$B$5,A1694&lt;='Historia wózka'!$B$6),A1694+0.7+(5000-ROW())/10000000,0)</f>
        <v/>
      </c>
      <c r="J1694" s="63">
        <f>Ustawienia!$B$10&amp;""</f>
        <v/>
      </c>
      <c r="K1694" s="63">
        <f>IF(H1694="","",COUNTIFS('Zgłoszenia'!$B$5:$B$504,F1694,'Zgłoszenia'!$D$5:$D$504,"&gt;="&amp;A1694,'Zgłoszenia'!$D$5:$D$504,"&lt;="&amp;(A1694+1)))</f>
        <v/>
      </c>
      <c r="L1694" s="63">
        <f>IF(OR(H1694="",K1694=0),"—",IF(ISNUMBER(MATCH(H1694,'Zgłoszenia'!$S$5:$S$504,0)),RIGHT("0"&amp;DAY(A1694),2)&amp;"."&amp;RIGHT("0"&amp;MONTH(A1694),2)&amp;"."&amp;YEAR(A1694)&amp;": "&amp;INDEX('Zgłoszenia'!$H$5:$H$504,MATCH(H1694,'Zgłoszenia'!$S$5:$S$504,0)),RIGHT("0"&amp;DAY((A1694+1)),2)&amp;"."&amp;RIGHT("0"&amp;MONTH((A1694+1)),2)&amp;"."&amp;YEAR((A1694+1))&amp;": "&amp;INDEX('Zgłoszenia'!$H$5:$H$504,MATCH(F1694&amp;"|"&amp;(A1694+1),'Zgłoszenia'!$S$5:$S$504,0)))&amp;IF(K1694&gt;1," (+"&amp;(K1694-1)&amp;")",""))</f>
        <v/>
      </c>
      <c r="M1694" s="63" t="n">
        <v>21</v>
      </c>
      <c r="N1694" s="2" t="n"/>
      <c r="O1694" s="2" t="n"/>
    </row>
    <row r="1695">
      <c r="A1695" s="62">
        <f>IF('21'!$C$1="","",'21'!$C$1)</f>
        <v/>
      </c>
      <c r="B1695" s="63">
        <f>Ustawienia!$A$10&amp;""</f>
        <v/>
      </c>
      <c r="C1695" s="63">
        <f>Ustawienia!$A$17&amp;""</f>
        <v/>
      </c>
      <c r="D1695" s="63" t="n">
        <v>2</v>
      </c>
      <c r="E1695" s="63">
        <f>IF('21'!J28="","",TRIM('21'!J28&amp;""))</f>
        <v/>
      </c>
      <c r="F1695" s="63">
        <f>IF('21'!K28="","",'21'!K28)</f>
        <v/>
      </c>
      <c r="G1695" s="63">
        <f>'21'!L28&amp;""</f>
        <v/>
      </c>
      <c r="H1695" s="63">
        <f>IF(OR(A1695="",F1695=""),"",F1695&amp;"|"&amp;A1695)</f>
        <v/>
      </c>
      <c r="I1695" s="63">
        <f>IF(AND(H1695&lt;&gt;"",OR('Historia wózka'!$B$4="",F1695='Historia wózka'!$B$4),A1695&gt;='Historia wózka'!$B$5,A1695&lt;='Historia wózka'!$B$6),A1695+0.7+(5000-ROW())/10000000,0)</f>
        <v/>
      </c>
      <c r="J1695" s="63">
        <f>Ustawienia!$B$10&amp;""</f>
        <v/>
      </c>
      <c r="K1695" s="63">
        <f>IF(H1695="","",COUNTIFS('Zgłoszenia'!$B$5:$B$504,F1695,'Zgłoszenia'!$D$5:$D$504,"&gt;="&amp;A1695,'Zgłoszenia'!$D$5:$D$504,"&lt;="&amp;(A1695+1)))</f>
        <v/>
      </c>
      <c r="L1695" s="63">
        <f>IF(OR(H1695="",K1695=0),"—",IF(ISNUMBER(MATCH(H1695,'Zgłoszenia'!$S$5:$S$504,0)),RIGHT("0"&amp;DAY(A1695),2)&amp;"."&amp;RIGHT("0"&amp;MONTH(A1695),2)&amp;"."&amp;YEAR(A1695)&amp;": "&amp;INDEX('Zgłoszenia'!$H$5:$H$504,MATCH(H1695,'Zgłoszenia'!$S$5:$S$504,0)),RIGHT("0"&amp;DAY((A1695+1)),2)&amp;"."&amp;RIGHT("0"&amp;MONTH((A1695+1)),2)&amp;"."&amp;YEAR((A1695+1))&amp;": "&amp;INDEX('Zgłoszenia'!$H$5:$H$504,MATCH(F1695&amp;"|"&amp;(A1695+1),'Zgłoszenia'!$S$5:$S$504,0)))&amp;IF(K1695&gt;1," (+"&amp;(K1695-1)&amp;")",""))</f>
        <v/>
      </c>
      <c r="M1695" s="63" t="n">
        <v>21</v>
      </c>
      <c r="N1695" s="2" t="n"/>
      <c r="O1695" s="2" t="n"/>
    </row>
    <row r="1696">
      <c r="A1696" s="62">
        <f>IF('21'!$C$1="","",'21'!$C$1)</f>
        <v/>
      </c>
      <c r="B1696" s="63">
        <f>Ustawienia!$A$10&amp;""</f>
        <v/>
      </c>
      <c r="C1696" s="63">
        <f>Ustawienia!$A$17&amp;""</f>
        <v/>
      </c>
      <c r="D1696" s="63" t="n">
        <v>3</v>
      </c>
      <c r="E1696" s="63">
        <f>IF('21'!J29="","",TRIM('21'!J29&amp;""))</f>
        <v/>
      </c>
      <c r="F1696" s="63">
        <f>IF('21'!K29="","",'21'!K29)</f>
        <v/>
      </c>
      <c r="G1696" s="63">
        <f>'21'!L29&amp;""</f>
        <v/>
      </c>
      <c r="H1696" s="63">
        <f>IF(OR(A1696="",F1696=""),"",F1696&amp;"|"&amp;A1696)</f>
        <v/>
      </c>
      <c r="I1696" s="63">
        <f>IF(AND(H1696&lt;&gt;"",OR('Historia wózka'!$B$4="",F1696='Historia wózka'!$B$4),A1696&gt;='Historia wózka'!$B$5,A1696&lt;='Historia wózka'!$B$6),A1696+0.7+(5000-ROW())/10000000,0)</f>
        <v/>
      </c>
      <c r="J1696" s="63">
        <f>Ustawienia!$B$10&amp;""</f>
        <v/>
      </c>
      <c r="K1696" s="63">
        <f>IF(H1696="","",COUNTIFS('Zgłoszenia'!$B$5:$B$504,F1696,'Zgłoszenia'!$D$5:$D$504,"&gt;="&amp;A1696,'Zgłoszenia'!$D$5:$D$504,"&lt;="&amp;(A1696+1)))</f>
        <v/>
      </c>
      <c r="L1696" s="63">
        <f>IF(OR(H1696="",K1696=0),"—",IF(ISNUMBER(MATCH(H1696,'Zgłoszenia'!$S$5:$S$504,0)),RIGHT("0"&amp;DAY(A1696),2)&amp;"."&amp;RIGHT("0"&amp;MONTH(A1696),2)&amp;"."&amp;YEAR(A1696)&amp;": "&amp;INDEX('Zgłoszenia'!$H$5:$H$504,MATCH(H1696,'Zgłoszenia'!$S$5:$S$504,0)),RIGHT("0"&amp;DAY((A1696+1)),2)&amp;"."&amp;RIGHT("0"&amp;MONTH((A1696+1)),2)&amp;"."&amp;YEAR((A1696+1))&amp;": "&amp;INDEX('Zgłoszenia'!$H$5:$H$504,MATCH(F1696&amp;"|"&amp;(A1696+1),'Zgłoszenia'!$S$5:$S$504,0)))&amp;IF(K1696&gt;1," (+"&amp;(K1696-1)&amp;")",""))</f>
        <v/>
      </c>
      <c r="M1696" s="63" t="n">
        <v>21</v>
      </c>
      <c r="N1696" s="2" t="n"/>
      <c r="O1696" s="2" t="n"/>
    </row>
    <row r="1697">
      <c r="A1697" s="62">
        <f>IF('21'!$C$1="","",'21'!$C$1)</f>
        <v/>
      </c>
      <c r="B1697" s="63">
        <f>Ustawienia!$A$10&amp;""</f>
        <v/>
      </c>
      <c r="C1697" s="63">
        <f>Ustawienia!$A$17&amp;""</f>
        <v/>
      </c>
      <c r="D1697" s="63" t="n">
        <v>4</v>
      </c>
      <c r="E1697" s="63">
        <f>IF('21'!J30="","",TRIM('21'!J30&amp;""))</f>
        <v/>
      </c>
      <c r="F1697" s="63">
        <f>IF('21'!K30="","",'21'!K30)</f>
        <v/>
      </c>
      <c r="G1697" s="63">
        <f>'21'!L30&amp;""</f>
        <v/>
      </c>
      <c r="H1697" s="63">
        <f>IF(OR(A1697="",F1697=""),"",F1697&amp;"|"&amp;A1697)</f>
        <v/>
      </c>
      <c r="I1697" s="63">
        <f>IF(AND(H1697&lt;&gt;"",OR('Historia wózka'!$B$4="",F1697='Historia wózka'!$B$4),A1697&gt;='Historia wózka'!$B$5,A1697&lt;='Historia wózka'!$B$6),A1697+0.7+(5000-ROW())/10000000,0)</f>
        <v/>
      </c>
      <c r="J1697" s="63">
        <f>Ustawienia!$B$10&amp;""</f>
        <v/>
      </c>
      <c r="K1697" s="63">
        <f>IF(H1697="","",COUNTIFS('Zgłoszenia'!$B$5:$B$504,F1697,'Zgłoszenia'!$D$5:$D$504,"&gt;="&amp;A1697,'Zgłoszenia'!$D$5:$D$504,"&lt;="&amp;(A1697+1)))</f>
        <v/>
      </c>
      <c r="L1697" s="63">
        <f>IF(OR(H1697="",K1697=0),"—",IF(ISNUMBER(MATCH(H1697,'Zgłoszenia'!$S$5:$S$504,0)),RIGHT("0"&amp;DAY(A1697),2)&amp;"."&amp;RIGHT("0"&amp;MONTH(A1697),2)&amp;"."&amp;YEAR(A1697)&amp;": "&amp;INDEX('Zgłoszenia'!$H$5:$H$504,MATCH(H1697,'Zgłoszenia'!$S$5:$S$504,0)),RIGHT("0"&amp;DAY((A1697+1)),2)&amp;"."&amp;RIGHT("0"&amp;MONTH((A1697+1)),2)&amp;"."&amp;YEAR((A1697+1))&amp;": "&amp;INDEX('Zgłoszenia'!$H$5:$H$504,MATCH(F1697&amp;"|"&amp;(A1697+1),'Zgłoszenia'!$S$5:$S$504,0)))&amp;IF(K1697&gt;1," (+"&amp;(K1697-1)&amp;")",""))</f>
        <v/>
      </c>
      <c r="M1697" s="63" t="n">
        <v>21</v>
      </c>
      <c r="N1697" s="2" t="n"/>
      <c r="O1697" s="2" t="n"/>
    </row>
    <row r="1698">
      <c r="A1698" s="62">
        <f>IF('21'!$C$1="","",'21'!$C$1)</f>
        <v/>
      </c>
      <c r="B1698" s="63">
        <f>Ustawienia!$A$10&amp;""</f>
        <v/>
      </c>
      <c r="C1698" s="63">
        <f>Ustawienia!$A$18&amp;""</f>
        <v/>
      </c>
      <c r="D1698" s="63" t="n">
        <v>1</v>
      </c>
      <c r="E1698" s="63">
        <f>IF('21'!J32="","",TRIM('21'!J32&amp;""))</f>
        <v/>
      </c>
      <c r="F1698" s="63">
        <f>IF('21'!K32="","",'21'!K32)</f>
        <v/>
      </c>
      <c r="G1698" s="63">
        <f>'21'!L32&amp;""</f>
        <v/>
      </c>
      <c r="H1698" s="63">
        <f>IF(OR(A1698="",F1698=""),"",F1698&amp;"|"&amp;A1698)</f>
        <v/>
      </c>
      <c r="I1698" s="63">
        <f>IF(AND(H1698&lt;&gt;"",OR('Historia wózka'!$B$4="",F1698='Historia wózka'!$B$4),A1698&gt;='Historia wózka'!$B$5,A1698&lt;='Historia wózka'!$B$6),A1698+0.7+(5000-ROW())/10000000,0)</f>
        <v/>
      </c>
      <c r="J1698" s="63">
        <f>Ustawienia!$B$10&amp;""</f>
        <v/>
      </c>
      <c r="K1698" s="63">
        <f>IF(H1698="","",COUNTIFS('Zgłoszenia'!$B$5:$B$504,F1698,'Zgłoszenia'!$D$5:$D$504,"&gt;="&amp;A1698,'Zgłoszenia'!$D$5:$D$504,"&lt;="&amp;(A1698+1)))</f>
        <v/>
      </c>
      <c r="L1698" s="63">
        <f>IF(OR(H1698="",K1698=0),"—",IF(ISNUMBER(MATCH(H1698,'Zgłoszenia'!$S$5:$S$504,0)),RIGHT("0"&amp;DAY(A1698),2)&amp;"."&amp;RIGHT("0"&amp;MONTH(A1698),2)&amp;"."&amp;YEAR(A1698)&amp;": "&amp;INDEX('Zgłoszenia'!$H$5:$H$504,MATCH(H1698,'Zgłoszenia'!$S$5:$S$504,0)),RIGHT("0"&amp;DAY((A1698+1)),2)&amp;"."&amp;RIGHT("0"&amp;MONTH((A1698+1)),2)&amp;"."&amp;YEAR((A1698+1))&amp;": "&amp;INDEX('Zgłoszenia'!$H$5:$H$504,MATCH(F1698&amp;"|"&amp;(A1698+1),'Zgłoszenia'!$S$5:$S$504,0)))&amp;IF(K1698&gt;1," (+"&amp;(K1698-1)&amp;")",""))</f>
        <v/>
      </c>
      <c r="M1698" s="63" t="n">
        <v>21</v>
      </c>
      <c r="N1698" s="2" t="n"/>
      <c r="O1698" s="2" t="n"/>
    </row>
    <row r="1699">
      <c r="A1699" s="62">
        <f>IF('21'!$C$1="","",'21'!$C$1)</f>
        <v/>
      </c>
      <c r="B1699" s="63">
        <f>Ustawienia!$A$10&amp;""</f>
        <v/>
      </c>
      <c r="C1699" s="63">
        <f>Ustawienia!$A$18&amp;""</f>
        <v/>
      </c>
      <c r="D1699" s="63" t="n">
        <v>2</v>
      </c>
      <c r="E1699" s="63">
        <f>IF('21'!J33="","",TRIM('21'!J33&amp;""))</f>
        <v/>
      </c>
      <c r="F1699" s="63">
        <f>IF('21'!K33="","",'21'!K33)</f>
        <v/>
      </c>
      <c r="G1699" s="63">
        <f>'21'!L33&amp;""</f>
        <v/>
      </c>
      <c r="H1699" s="63">
        <f>IF(OR(A1699="",F1699=""),"",F1699&amp;"|"&amp;A1699)</f>
        <v/>
      </c>
      <c r="I1699" s="63">
        <f>IF(AND(H1699&lt;&gt;"",OR('Historia wózka'!$B$4="",F1699='Historia wózka'!$B$4),A1699&gt;='Historia wózka'!$B$5,A1699&lt;='Historia wózka'!$B$6),A1699+0.7+(5000-ROW())/10000000,0)</f>
        <v/>
      </c>
      <c r="J1699" s="63">
        <f>Ustawienia!$B$10&amp;""</f>
        <v/>
      </c>
      <c r="K1699" s="63">
        <f>IF(H1699="","",COUNTIFS('Zgłoszenia'!$B$5:$B$504,F1699,'Zgłoszenia'!$D$5:$D$504,"&gt;="&amp;A1699,'Zgłoszenia'!$D$5:$D$504,"&lt;="&amp;(A1699+1)))</f>
        <v/>
      </c>
      <c r="L1699" s="63">
        <f>IF(OR(H1699="",K1699=0),"—",IF(ISNUMBER(MATCH(H1699,'Zgłoszenia'!$S$5:$S$504,0)),RIGHT("0"&amp;DAY(A1699),2)&amp;"."&amp;RIGHT("0"&amp;MONTH(A1699),2)&amp;"."&amp;YEAR(A1699)&amp;": "&amp;INDEX('Zgłoszenia'!$H$5:$H$504,MATCH(H1699,'Zgłoszenia'!$S$5:$S$504,0)),RIGHT("0"&amp;DAY((A1699+1)),2)&amp;"."&amp;RIGHT("0"&amp;MONTH((A1699+1)),2)&amp;"."&amp;YEAR((A1699+1))&amp;": "&amp;INDEX('Zgłoszenia'!$H$5:$H$504,MATCH(F1699&amp;"|"&amp;(A1699+1),'Zgłoszenia'!$S$5:$S$504,0)))&amp;IF(K1699&gt;1," (+"&amp;(K1699-1)&amp;")",""))</f>
        <v/>
      </c>
      <c r="M1699" s="63" t="n">
        <v>21</v>
      </c>
      <c r="N1699" s="2" t="n"/>
      <c r="O1699" s="2" t="n"/>
    </row>
    <row r="1700">
      <c r="A1700" s="62">
        <f>IF('21'!$C$1="","",'21'!$C$1)</f>
        <v/>
      </c>
      <c r="B1700" s="63">
        <f>Ustawienia!$A$10&amp;""</f>
        <v/>
      </c>
      <c r="C1700" s="63">
        <f>Ustawienia!$A$18&amp;""</f>
        <v/>
      </c>
      <c r="D1700" s="63" t="n">
        <v>3</v>
      </c>
      <c r="E1700" s="63">
        <f>IF('21'!J34="","",TRIM('21'!J34&amp;""))</f>
        <v/>
      </c>
      <c r="F1700" s="63">
        <f>IF('21'!K34="","",'21'!K34)</f>
        <v/>
      </c>
      <c r="G1700" s="63">
        <f>'21'!L34&amp;""</f>
        <v/>
      </c>
      <c r="H1700" s="63">
        <f>IF(OR(A1700="",F1700=""),"",F1700&amp;"|"&amp;A1700)</f>
        <v/>
      </c>
      <c r="I1700" s="63">
        <f>IF(AND(H1700&lt;&gt;"",OR('Historia wózka'!$B$4="",F1700='Historia wózka'!$B$4),A1700&gt;='Historia wózka'!$B$5,A1700&lt;='Historia wózka'!$B$6),A1700+0.7+(5000-ROW())/10000000,0)</f>
        <v/>
      </c>
      <c r="J1700" s="63">
        <f>Ustawienia!$B$10&amp;""</f>
        <v/>
      </c>
      <c r="K1700" s="63">
        <f>IF(H1700="","",COUNTIFS('Zgłoszenia'!$B$5:$B$504,F1700,'Zgłoszenia'!$D$5:$D$504,"&gt;="&amp;A1700,'Zgłoszenia'!$D$5:$D$504,"&lt;="&amp;(A1700+1)))</f>
        <v/>
      </c>
      <c r="L1700" s="63">
        <f>IF(OR(H1700="",K1700=0),"—",IF(ISNUMBER(MATCH(H1700,'Zgłoszenia'!$S$5:$S$504,0)),RIGHT("0"&amp;DAY(A1700),2)&amp;"."&amp;RIGHT("0"&amp;MONTH(A1700),2)&amp;"."&amp;YEAR(A1700)&amp;": "&amp;INDEX('Zgłoszenia'!$H$5:$H$504,MATCH(H1700,'Zgłoszenia'!$S$5:$S$504,0)),RIGHT("0"&amp;DAY((A1700+1)),2)&amp;"."&amp;RIGHT("0"&amp;MONTH((A1700+1)),2)&amp;"."&amp;YEAR((A1700+1))&amp;": "&amp;INDEX('Zgłoszenia'!$H$5:$H$504,MATCH(F1700&amp;"|"&amp;(A1700+1),'Zgłoszenia'!$S$5:$S$504,0)))&amp;IF(K1700&gt;1," (+"&amp;(K1700-1)&amp;")",""))</f>
        <v/>
      </c>
      <c r="M1700" s="63" t="n">
        <v>21</v>
      </c>
      <c r="N1700" s="2" t="n"/>
      <c r="O1700" s="2" t="n"/>
    </row>
    <row r="1701">
      <c r="A1701" s="62">
        <f>IF('21'!$C$1="","",'21'!$C$1)</f>
        <v/>
      </c>
      <c r="B1701" s="63">
        <f>Ustawienia!$A$10&amp;""</f>
        <v/>
      </c>
      <c r="C1701" s="63">
        <f>Ustawienia!$A$18&amp;""</f>
        <v/>
      </c>
      <c r="D1701" s="63" t="n">
        <v>4</v>
      </c>
      <c r="E1701" s="63">
        <f>IF('21'!J35="","",TRIM('21'!J35&amp;""))</f>
        <v/>
      </c>
      <c r="F1701" s="63">
        <f>IF('21'!K35="","",'21'!K35)</f>
        <v/>
      </c>
      <c r="G1701" s="63">
        <f>'21'!L35&amp;""</f>
        <v/>
      </c>
      <c r="H1701" s="63">
        <f>IF(OR(A1701="",F1701=""),"",F1701&amp;"|"&amp;A1701)</f>
        <v/>
      </c>
      <c r="I1701" s="63">
        <f>IF(AND(H1701&lt;&gt;"",OR('Historia wózka'!$B$4="",F1701='Historia wózka'!$B$4),A1701&gt;='Historia wózka'!$B$5,A1701&lt;='Historia wózka'!$B$6),A1701+0.7+(5000-ROW())/10000000,0)</f>
        <v/>
      </c>
      <c r="J1701" s="63">
        <f>Ustawienia!$B$10&amp;""</f>
        <v/>
      </c>
      <c r="K1701" s="63">
        <f>IF(H1701="","",COUNTIFS('Zgłoszenia'!$B$5:$B$504,F1701,'Zgłoszenia'!$D$5:$D$504,"&gt;="&amp;A1701,'Zgłoszenia'!$D$5:$D$504,"&lt;="&amp;(A1701+1)))</f>
        <v/>
      </c>
      <c r="L1701" s="63">
        <f>IF(OR(H1701="",K1701=0),"—",IF(ISNUMBER(MATCH(H1701,'Zgłoszenia'!$S$5:$S$504,0)),RIGHT("0"&amp;DAY(A1701),2)&amp;"."&amp;RIGHT("0"&amp;MONTH(A1701),2)&amp;"."&amp;YEAR(A1701)&amp;": "&amp;INDEX('Zgłoszenia'!$H$5:$H$504,MATCH(H1701,'Zgłoszenia'!$S$5:$S$504,0)),RIGHT("0"&amp;DAY((A1701+1)),2)&amp;"."&amp;RIGHT("0"&amp;MONTH((A1701+1)),2)&amp;"."&amp;YEAR((A1701+1))&amp;": "&amp;INDEX('Zgłoszenia'!$H$5:$H$504,MATCH(F1701&amp;"|"&amp;(A1701+1),'Zgłoszenia'!$S$5:$S$504,0)))&amp;IF(K1701&gt;1," (+"&amp;(K1701-1)&amp;")",""))</f>
        <v/>
      </c>
      <c r="M1701" s="63" t="n">
        <v>21</v>
      </c>
      <c r="N1701" s="2" t="n"/>
      <c r="O1701" s="2" t="n"/>
    </row>
    <row r="1702">
      <c r="A1702" s="62">
        <f>IF('21'!$C$1="","",'21'!$C$1)</f>
        <v/>
      </c>
      <c r="B1702" s="63">
        <f>Ustawienia!$A$10&amp;""</f>
        <v/>
      </c>
      <c r="C1702" s="63">
        <f>Ustawienia!$A$18&amp;""</f>
        <v/>
      </c>
      <c r="D1702" s="63" t="n">
        <v>5</v>
      </c>
      <c r="E1702" s="63">
        <f>IF('21'!J36="","",TRIM('21'!J36&amp;""))</f>
        <v/>
      </c>
      <c r="F1702" s="63">
        <f>IF('21'!K36="","",'21'!K36)</f>
        <v/>
      </c>
      <c r="G1702" s="63">
        <f>'21'!L36&amp;""</f>
        <v/>
      </c>
      <c r="H1702" s="63">
        <f>IF(OR(A1702="",F1702=""),"",F1702&amp;"|"&amp;A1702)</f>
        <v/>
      </c>
      <c r="I1702" s="63">
        <f>IF(AND(H1702&lt;&gt;"",OR('Historia wózka'!$B$4="",F1702='Historia wózka'!$B$4),A1702&gt;='Historia wózka'!$B$5,A1702&lt;='Historia wózka'!$B$6),A1702+0.7+(5000-ROW())/10000000,0)</f>
        <v/>
      </c>
      <c r="J1702" s="63">
        <f>Ustawienia!$B$10&amp;""</f>
        <v/>
      </c>
      <c r="K1702" s="63">
        <f>IF(H1702="","",COUNTIFS('Zgłoszenia'!$B$5:$B$504,F1702,'Zgłoszenia'!$D$5:$D$504,"&gt;="&amp;A1702,'Zgłoszenia'!$D$5:$D$504,"&lt;="&amp;(A1702+1)))</f>
        <v/>
      </c>
      <c r="L1702" s="63">
        <f>IF(OR(H1702="",K1702=0),"—",IF(ISNUMBER(MATCH(H1702,'Zgłoszenia'!$S$5:$S$504,0)),RIGHT("0"&amp;DAY(A1702),2)&amp;"."&amp;RIGHT("0"&amp;MONTH(A1702),2)&amp;"."&amp;YEAR(A1702)&amp;": "&amp;INDEX('Zgłoszenia'!$H$5:$H$504,MATCH(H1702,'Zgłoszenia'!$S$5:$S$504,0)),RIGHT("0"&amp;DAY((A1702+1)),2)&amp;"."&amp;RIGHT("0"&amp;MONTH((A1702+1)),2)&amp;"."&amp;YEAR((A1702+1))&amp;": "&amp;INDEX('Zgłoszenia'!$H$5:$H$504,MATCH(F1702&amp;"|"&amp;(A1702+1),'Zgłoszenia'!$S$5:$S$504,0)))&amp;IF(K1702&gt;1," (+"&amp;(K1702-1)&amp;")",""))</f>
        <v/>
      </c>
      <c r="M1702" s="63" t="n">
        <v>21</v>
      </c>
      <c r="N1702" s="2" t="n"/>
      <c r="O1702" s="2" t="n"/>
    </row>
    <row r="1703">
      <c r="A1703" s="62">
        <f>IF('22'!$C$1="","",'22'!$C$1)</f>
        <v/>
      </c>
      <c r="B1703" s="63">
        <f>Ustawienia!$A$8&amp;""</f>
        <v/>
      </c>
      <c r="C1703" s="63">
        <f>Ustawienia!$A$14&amp;""</f>
        <v/>
      </c>
      <c r="D1703" s="63" t="n">
        <v>1</v>
      </c>
      <c r="E1703" s="63">
        <f>IF('22'!B6="","",TRIM('22'!B6&amp;""))</f>
        <v/>
      </c>
      <c r="F1703" s="63">
        <f>IF('22'!C6="","",'22'!C6)</f>
        <v/>
      </c>
      <c r="G1703" s="63">
        <f>'22'!D6&amp;""</f>
        <v/>
      </c>
      <c r="H1703" s="63">
        <f>IF(OR(A1703="",F1703=""),"",F1703&amp;"|"&amp;A1703)</f>
        <v/>
      </c>
      <c r="I1703" s="63">
        <f>IF(AND(H1703&lt;&gt;"",OR('Historia wózka'!$B$4="",F1703='Historia wózka'!$B$4),A1703&gt;='Historia wózka'!$B$5,A1703&lt;='Historia wózka'!$B$6),A1703+0.9+(5000-ROW())/10000000,0)</f>
        <v/>
      </c>
      <c r="J1703" s="63">
        <f>Ustawienia!$B$8&amp;""</f>
        <v/>
      </c>
      <c r="K1703" s="63">
        <f>IF(H1703="","",COUNTIFS('Zgłoszenia'!$B$5:$B$504,F1703,'Zgłoszenia'!$D$5:$D$504,"&gt;="&amp;A1703,'Zgłoszenia'!$D$5:$D$504,"&lt;="&amp;(A1703+1)))</f>
        <v/>
      </c>
      <c r="L1703" s="63">
        <f>IF(OR(H1703="",K1703=0),"—",IF(ISNUMBER(MATCH(H1703,'Zgłoszenia'!$S$5:$S$504,0)),RIGHT("0"&amp;DAY(A1703),2)&amp;"."&amp;RIGHT("0"&amp;MONTH(A1703),2)&amp;"."&amp;YEAR(A1703)&amp;": "&amp;INDEX('Zgłoszenia'!$H$5:$H$504,MATCH(H1703,'Zgłoszenia'!$S$5:$S$504,0)),RIGHT("0"&amp;DAY((A1703+1)),2)&amp;"."&amp;RIGHT("0"&amp;MONTH((A1703+1)),2)&amp;"."&amp;YEAR((A1703+1))&amp;": "&amp;INDEX('Zgłoszenia'!$H$5:$H$504,MATCH(F1703&amp;"|"&amp;(A1703+1),'Zgłoszenia'!$S$5:$S$504,0)))&amp;IF(K1703&gt;1," (+"&amp;(K1703-1)&amp;")",""))</f>
        <v/>
      </c>
      <c r="M1703" s="63" t="n">
        <v>22</v>
      </c>
      <c r="N1703" s="2" t="n"/>
      <c r="O1703" s="2" t="n"/>
    </row>
    <row r="1704">
      <c r="A1704" s="62">
        <f>IF('22'!$C$1="","",'22'!$C$1)</f>
        <v/>
      </c>
      <c r="B1704" s="63">
        <f>Ustawienia!$A$8&amp;""</f>
        <v/>
      </c>
      <c r="C1704" s="63">
        <f>Ustawienia!$A$14&amp;""</f>
        <v/>
      </c>
      <c r="D1704" s="63" t="n">
        <v>2</v>
      </c>
      <c r="E1704" s="63">
        <f>IF('22'!B7="","",TRIM('22'!B7&amp;""))</f>
        <v/>
      </c>
      <c r="F1704" s="63">
        <f>IF('22'!C7="","",'22'!C7)</f>
        <v/>
      </c>
      <c r="G1704" s="63">
        <f>'22'!D7&amp;""</f>
        <v/>
      </c>
      <c r="H1704" s="63">
        <f>IF(OR(A1704="",F1704=""),"",F1704&amp;"|"&amp;A1704)</f>
        <v/>
      </c>
      <c r="I1704" s="63">
        <f>IF(AND(H1704&lt;&gt;"",OR('Historia wózka'!$B$4="",F1704='Historia wózka'!$B$4),A1704&gt;='Historia wózka'!$B$5,A1704&lt;='Historia wózka'!$B$6),A1704+0.9+(5000-ROW())/10000000,0)</f>
        <v/>
      </c>
      <c r="J1704" s="63">
        <f>Ustawienia!$B$8&amp;""</f>
        <v/>
      </c>
      <c r="K1704" s="63">
        <f>IF(H1704="","",COUNTIFS('Zgłoszenia'!$B$5:$B$504,F1704,'Zgłoszenia'!$D$5:$D$504,"&gt;="&amp;A1704,'Zgłoszenia'!$D$5:$D$504,"&lt;="&amp;(A1704+1)))</f>
        <v/>
      </c>
      <c r="L1704" s="63">
        <f>IF(OR(H1704="",K1704=0),"—",IF(ISNUMBER(MATCH(H1704,'Zgłoszenia'!$S$5:$S$504,0)),RIGHT("0"&amp;DAY(A1704),2)&amp;"."&amp;RIGHT("0"&amp;MONTH(A1704),2)&amp;"."&amp;YEAR(A1704)&amp;": "&amp;INDEX('Zgłoszenia'!$H$5:$H$504,MATCH(H1704,'Zgłoszenia'!$S$5:$S$504,0)),RIGHT("0"&amp;DAY((A1704+1)),2)&amp;"."&amp;RIGHT("0"&amp;MONTH((A1704+1)),2)&amp;"."&amp;YEAR((A1704+1))&amp;": "&amp;INDEX('Zgłoszenia'!$H$5:$H$504,MATCH(F1704&amp;"|"&amp;(A1704+1),'Zgłoszenia'!$S$5:$S$504,0)))&amp;IF(K1704&gt;1," (+"&amp;(K1704-1)&amp;")",""))</f>
        <v/>
      </c>
      <c r="M1704" s="63" t="n">
        <v>22</v>
      </c>
      <c r="N1704" s="2" t="n"/>
      <c r="O1704" s="2" t="n"/>
    </row>
    <row r="1705">
      <c r="A1705" s="62">
        <f>IF('22'!$C$1="","",'22'!$C$1)</f>
        <v/>
      </c>
      <c r="B1705" s="63">
        <f>Ustawienia!$A$8&amp;""</f>
        <v/>
      </c>
      <c r="C1705" s="63">
        <f>Ustawienia!$A$14&amp;""</f>
        <v/>
      </c>
      <c r="D1705" s="63" t="n">
        <v>3</v>
      </c>
      <c r="E1705" s="63">
        <f>IF('22'!B8="","",TRIM('22'!B8&amp;""))</f>
        <v/>
      </c>
      <c r="F1705" s="63">
        <f>IF('22'!C8="","",'22'!C8)</f>
        <v/>
      </c>
      <c r="G1705" s="63">
        <f>'22'!D8&amp;""</f>
        <v/>
      </c>
      <c r="H1705" s="63">
        <f>IF(OR(A1705="",F1705=""),"",F1705&amp;"|"&amp;A1705)</f>
        <v/>
      </c>
      <c r="I1705" s="63">
        <f>IF(AND(H1705&lt;&gt;"",OR('Historia wózka'!$B$4="",F1705='Historia wózka'!$B$4),A1705&gt;='Historia wózka'!$B$5,A1705&lt;='Historia wózka'!$B$6),A1705+0.9+(5000-ROW())/10000000,0)</f>
        <v/>
      </c>
      <c r="J1705" s="63">
        <f>Ustawienia!$B$8&amp;""</f>
        <v/>
      </c>
      <c r="K1705" s="63">
        <f>IF(H1705="","",COUNTIFS('Zgłoszenia'!$B$5:$B$504,F1705,'Zgłoszenia'!$D$5:$D$504,"&gt;="&amp;A1705,'Zgłoszenia'!$D$5:$D$504,"&lt;="&amp;(A1705+1)))</f>
        <v/>
      </c>
      <c r="L1705" s="63">
        <f>IF(OR(H1705="",K1705=0),"—",IF(ISNUMBER(MATCH(H1705,'Zgłoszenia'!$S$5:$S$504,0)),RIGHT("0"&amp;DAY(A1705),2)&amp;"."&amp;RIGHT("0"&amp;MONTH(A1705),2)&amp;"."&amp;YEAR(A1705)&amp;": "&amp;INDEX('Zgłoszenia'!$H$5:$H$504,MATCH(H1705,'Zgłoszenia'!$S$5:$S$504,0)),RIGHT("0"&amp;DAY((A1705+1)),2)&amp;"."&amp;RIGHT("0"&amp;MONTH((A1705+1)),2)&amp;"."&amp;YEAR((A1705+1))&amp;": "&amp;INDEX('Zgłoszenia'!$H$5:$H$504,MATCH(F1705&amp;"|"&amp;(A1705+1),'Zgłoszenia'!$S$5:$S$504,0)))&amp;IF(K1705&gt;1," (+"&amp;(K1705-1)&amp;")",""))</f>
        <v/>
      </c>
      <c r="M1705" s="63" t="n">
        <v>22</v>
      </c>
      <c r="N1705" s="2" t="n"/>
      <c r="O1705" s="2" t="n"/>
    </row>
    <row r="1706">
      <c r="A1706" s="62">
        <f>IF('22'!$C$1="","",'22'!$C$1)</f>
        <v/>
      </c>
      <c r="B1706" s="63">
        <f>Ustawienia!$A$8&amp;""</f>
        <v/>
      </c>
      <c r="C1706" s="63">
        <f>Ustawienia!$A$14&amp;""</f>
        <v/>
      </c>
      <c r="D1706" s="63" t="n">
        <v>4</v>
      </c>
      <c r="E1706" s="63">
        <f>IF('22'!B9="","",TRIM('22'!B9&amp;""))</f>
        <v/>
      </c>
      <c r="F1706" s="63">
        <f>IF('22'!C9="","",'22'!C9)</f>
        <v/>
      </c>
      <c r="G1706" s="63">
        <f>'22'!D9&amp;""</f>
        <v/>
      </c>
      <c r="H1706" s="63">
        <f>IF(OR(A1706="",F1706=""),"",F1706&amp;"|"&amp;A1706)</f>
        <v/>
      </c>
      <c r="I1706" s="63">
        <f>IF(AND(H1706&lt;&gt;"",OR('Historia wózka'!$B$4="",F1706='Historia wózka'!$B$4),A1706&gt;='Historia wózka'!$B$5,A1706&lt;='Historia wózka'!$B$6),A1706+0.9+(5000-ROW())/10000000,0)</f>
        <v/>
      </c>
      <c r="J1706" s="63">
        <f>Ustawienia!$B$8&amp;""</f>
        <v/>
      </c>
      <c r="K1706" s="63">
        <f>IF(H1706="","",COUNTIFS('Zgłoszenia'!$B$5:$B$504,F1706,'Zgłoszenia'!$D$5:$D$504,"&gt;="&amp;A1706,'Zgłoszenia'!$D$5:$D$504,"&lt;="&amp;(A1706+1)))</f>
        <v/>
      </c>
      <c r="L1706" s="63">
        <f>IF(OR(H1706="",K1706=0),"—",IF(ISNUMBER(MATCH(H1706,'Zgłoszenia'!$S$5:$S$504,0)),RIGHT("0"&amp;DAY(A1706),2)&amp;"."&amp;RIGHT("0"&amp;MONTH(A1706),2)&amp;"."&amp;YEAR(A1706)&amp;": "&amp;INDEX('Zgłoszenia'!$H$5:$H$504,MATCH(H1706,'Zgłoszenia'!$S$5:$S$504,0)),RIGHT("0"&amp;DAY((A1706+1)),2)&amp;"."&amp;RIGHT("0"&amp;MONTH((A1706+1)),2)&amp;"."&amp;YEAR((A1706+1))&amp;": "&amp;INDEX('Zgłoszenia'!$H$5:$H$504,MATCH(F1706&amp;"|"&amp;(A1706+1),'Zgłoszenia'!$S$5:$S$504,0)))&amp;IF(K1706&gt;1," (+"&amp;(K1706-1)&amp;")",""))</f>
        <v/>
      </c>
      <c r="M1706" s="63" t="n">
        <v>22</v>
      </c>
      <c r="N1706" s="2" t="n"/>
      <c r="O1706" s="2" t="n"/>
    </row>
    <row r="1707">
      <c r="A1707" s="62">
        <f>IF('22'!$C$1="","",'22'!$C$1)</f>
        <v/>
      </c>
      <c r="B1707" s="63">
        <f>Ustawienia!$A$8&amp;""</f>
        <v/>
      </c>
      <c r="C1707" s="63">
        <f>Ustawienia!$A$14&amp;""</f>
        <v/>
      </c>
      <c r="D1707" s="63" t="n">
        <v>5</v>
      </c>
      <c r="E1707" s="63">
        <f>IF('22'!B10="","",TRIM('22'!B10&amp;""))</f>
        <v/>
      </c>
      <c r="F1707" s="63">
        <f>IF('22'!C10="","",'22'!C10)</f>
        <v/>
      </c>
      <c r="G1707" s="63">
        <f>'22'!D10&amp;""</f>
        <v/>
      </c>
      <c r="H1707" s="63">
        <f>IF(OR(A1707="",F1707=""),"",F1707&amp;"|"&amp;A1707)</f>
        <v/>
      </c>
      <c r="I1707" s="63">
        <f>IF(AND(H1707&lt;&gt;"",OR('Historia wózka'!$B$4="",F1707='Historia wózka'!$B$4),A1707&gt;='Historia wózka'!$B$5,A1707&lt;='Historia wózka'!$B$6),A1707+0.9+(5000-ROW())/10000000,0)</f>
        <v/>
      </c>
      <c r="J1707" s="63">
        <f>Ustawienia!$B$8&amp;""</f>
        <v/>
      </c>
      <c r="K1707" s="63">
        <f>IF(H1707="","",COUNTIFS('Zgłoszenia'!$B$5:$B$504,F1707,'Zgłoszenia'!$D$5:$D$504,"&gt;="&amp;A1707,'Zgłoszenia'!$D$5:$D$504,"&lt;="&amp;(A1707+1)))</f>
        <v/>
      </c>
      <c r="L1707" s="63">
        <f>IF(OR(H1707="",K1707=0),"—",IF(ISNUMBER(MATCH(H1707,'Zgłoszenia'!$S$5:$S$504,0)),RIGHT("0"&amp;DAY(A1707),2)&amp;"."&amp;RIGHT("0"&amp;MONTH(A1707),2)&amp;"."&amp;YEAR(A1707)&amp;": "&amp;INDEX('Zgłoszenia'!$H$5:$H$504,MATCH(H1707,'Zgłoszenia'!$S$5:$S$504,0)),RIGHT("0"&amp;DAY((A1707+1)),2)&amp;"."&amp;RIGHT("0"&amp;MONTH((A1707+1)),2)&amp;"."&amp;YEAR((A1707+1))&amp;": "&amp;INDEX('Zgłoszenia'!$H$5:$H$504,MATCH(F1707&amp;"|"&amp;(A1707+1),'Zgłoszenia'!$S$5:$S$504,0)))&amp;IF(K1707&gt;1," (+"&amp;(K1707-1)&amp;")",""))</f>
        <v/>
      </c>
      <c r="M1707" s="63" t="n">
        <v>22</v>
      </c>
      <c r="N1707" s="2" t="n"/>
      <c r="O1707" s="2" t="n"/>
    </row>
    <row r="1708">
      <c r="A1708" s="62">
        <f>IF('22'!$C$1="","",'22'!$C$1)</f>
        <v/>
      </c>
      <c r="B1708" s="63">
        <f>Ustawienia!$A$8&amp;""</f>
        <v/>
      </c>
      <c r="C1708" s="63">
        <f>Ustawienia!$A$14&amp;""</f>
        <v/>
      </c>
      <c r="D1708" s="63" t="n">
        <v>6</v>
      </c>
      <c r="E1708" s="63">
        <f>IF('22'!B11="","",TRIM('22'!B11&amp;""))</f>
        <v/>
      </c>
      <c r="F1708" s="63">
        <f>IF('22'!C11="","",'22'!C11)</f>
        <v/>
      </c>
      <c r="G1708" s="63">
        <f>'22'!D11&amp;""</f>
        <v/>
      </c>
      <c r="H1708" s="63">
        <f>IF(OR(A1708="",F1708=""),"",F1708&amp;"|"&amp;A1708)</f>
        <v/>
      </c>
      <c r="I1708" s="63">
        <f>IF(AND(H1708&lt;&gt;"",OR('Historia wózka'!$B$4="",F1708='Historia wózka'!$B$4),A1708&gt;='Historia wózka'!$B$5,A1708&lt;='Historia wózka'!$B$6),A1708+0.9+(5000-ROW())/10000000,0)</f>
        <v/>
      </c>
      <c r="J1708" s="63">
        <f>Ustawienia!$B$8&amp;""</f>
        <v/>
      </c>
      <c r="K1708" s="63">
        <f>IF(H1708="","",COUNTIFS('Zgłoszenia'!$B$5:$B$504,F1708,'Zgłoszenia'!$D$5:$D$504,"&gt;="&amp;A1708,'Zgłoszenia'!$D$5:$D$504,"&lt;="&amp;(A1708+1)))</f>
        <v/>
      </c>
      <c r="L1708" s="63">
        <f>IF(OR(H1708="",K1708=0),"—",IF(ISNUMBER(MATCH(H1708,'Zgłoszenia'!$S$5:$S$504,0)),RIGHT("0"&amp;DAY(A1708),2)&amp;"."&amp;RIGHT("0"&amp;MONTH(A1708),2)&amp;"."&amp;YEAR(A1708)&amp;": "&amp;INDEX('Zgłoszenia'!$H$5:$H$504,MATCH(H1708,'Zgłoszenia'!$S$5:$S$504,0)),RIGHT("0"&amp;DAY((A1708+1)),2)&amp;"."&amp;RIGHT("0"&amp;MONTH((A1708+1)),2)&amp;"."&amp;YEAR((A1708+1))&amp;": "&amp;INDEX('Zgłoszenia'!$H$5:$H$504,MATCH(F1708&amp;"|"&amp;(A1708+1),'Zgłoszenia'!$S$5:$S$504,0)))&amp;IF(K1708&gt;1," (+"&amp;(K1708-1)&amp;")",""))</f>
        <v/>
      </c>
      <c r="M1708" s="63" t="n">
        <v>22</v>
      </c>
      <c r="N1708" s="2" t="n"/>
      <c r="O1708" s="2" t="n"/>
    </row>
    <row r="1709">
      <c r="A1709" s="62">
        <f>IF('22'!$C$1="","",'22'!$C$1)</f>
        <v/>
      </c>
      <c r="B1709" s="63">
        <f>Ustawienia!$A$8&amp;""</f>
        <v/>
      </c>
      <c r="C1709" s="63">
        <f>Ustawienia!$A$15&amp;""</f>
        <v/>
      </c>
      <c r="D1709" s="63" t="n">
        <v>1</v>
      </c>
      <c r="E1709" s="63">
        <f>IF('22'!B13="","",TRIM('22'!B13&amp;""))</f>
        <v/>
      </c>
      <c r="F1709" s="63">
        <f>IF('22'!C13="","",'22'!C13)</f>
        <v/>
      </c>
      <c r="G1709" s="63">
        <f>'22'!D13&amp;""</f>
        <v/>
      </c>
      <c r="H1709" s="63">
        <f>IF(OR(A1709="",F1709=""),"",F1709&amp;"|"&amp;A1709)</f>
        <v/>
      </c>
      <c r="I1709" s="63">
        <f>IF(AND(H1709&lt;&gt;"",OR('Historia wózka'!$B$4="",F1709='Historia wózka'!$B$4),A1709&gt;='Historia wózka'!$B$5,A1709&lt;='Historia wózka'!$B$6),A1709+0.9+(5000-ROW())/10000000,0)</f>
        <v/>
      </c>
      <c r="J1709" s="63">
        <f>Ustawienia!$B$8&amp;""</f>
        <v/>
      </c>
      <c r="K1709" s="63">
        <f>IF(H1709="","",COUNTIFS('Zgłoszenia'!$B$5:$B$504,F1709,'Zgłoszenia'!$D$5:$D$504,"&gt;="&amp;A1709,'Zgłoszenia'!$D$5:$D$504,"&lt;="&amp;(A1709+1)))</f>
        <v/>
      </c>
      <c r="L1709" s="63">
        <f>IF(OR(H1709="",K1709=0),"—",IF(ISNUMBER(MATCH(H1709,'Zgłoszenia'!$S$5:$S$504,0)),RIGHT("0"&amp;DAY(A1709),2)&amp;"."&amp;RIGHT("0"&amp;MONTH(A1709),2)&amp;"."&amp;YEAR(A1709)&amp;": "&amp;INDEX('Zgłoszenia'!$H$5:$H$504,MATCH(H1709,'Zgłoszenia'!$S$5:$S$504,0)),RIGHT("0"&amp;DAY((A1709+1)),2)&amp;"."&amp;RIGHT("0"&amp;MONTH((A1709+1)),2)&amp;"."&amp;YEAR((A1709+1))&amp;": "&amp;INDEX('Zgłoszenia'!$H$5:$H$504,MATCH(F1709&amp;"|"&amp;(A1709+1),'Zgłoszenia'!$S$5:$S$504,0)))&amp;IF(K1709&gt;1," (+"&amp;(K1709-1)&amp;")",""))</f>
        <v/>
      </c>
      <c r="M1709" s="63" t="n">
        <v>22</v>
      </c>
      <c r="N1709" s="2" t="n"/>
      <c r="O1709" s="2" t="n"/>
    </row>
    <row r="1710">
      <c r="A1710" s="62">
        <f>IF('22'!$C$1="","",'22'!$C$1)</f>
        <v/>
      </c>
      <c r="B1710" s="63">
        <f>Ustawienia!$A$8&amp;""</f>
        <v/>
      </c>
      <c r="C1710" s="63">
        <f>Ustawienia!$A$15&amp;""</f>
        <v/>
      </c>
      <c r="D1710" s="63" t="n">
        <v>2</v>
      </c>
      <c r="E1710" s="63">
        <f>IF('22'!B14="","",TRIM('22'!B14&amp;""))</f>
        <v/>
      </c>
      <c r="F1710" s="63">
        <f>IF('22'!C14="","",'22'!C14)</f>
        <v/>
      </c>
      <c r="G1710" s="63">
        <f>'22'!D14&amp;""</f>
        <v/>
      </c>
      <c r="H1710" s="63">
        <f>IF(OR(A1710="",F1710=""),"",F1710&amp;"|"&amp;A1710)</f>
        <v/>
      </c>
      <c r="I1710" s="63">
        <f>IF(AND(H1710&lt;&gt;"",OR('Historia wózka'!$B$4="",F1710='Historia wózka'!$B$4),A1710&gt;='Historia wózka'!$B$5,A1710&lt;='Historia wózka'!$B$6),A1710+0.9+(5000-ROW())/10000000,0)</f>
        <v/>
      </c>
      <c r="J1710" s="63">
        <f>Ustawienia!$B$8&amp;""</f>
        <v/>
      </c>
      <c r="K1710" s="63">
        <f>IF(H1710="","",COUNTIFS('Zgłoszenia'!$B$5:$B$504,F1710,'Zgłoszenia'!$D$5:$D$504,"&gt;="&amp;A1710,'Zgłoszenia'!$D$5:$D$504,"&lt;="&amp;(A1710+1)))</f>
        <v/>
      </c>
      <c r="L1710" s="63">
        <f>IF(OR(H1710="",K1710=0),"—",IF(ISNUMBER(MATCH(H1710,'Zgłoszenia'!$S$5:$S$504,0)),RIGHT("0"&amp;DAY(A1710),2)&amp;"."&amp;RIGHT("0"&amp;MONTH(A1710),2)&amp;"."&amp;YEAR(A1710)&amp;": "&amp;INDEX('Zgłoszenia'!$H$5:$H$504,MATCH(H1710,'Zgłoszenia'!$S$5:$S$504,0)),RIGHT("0"&amp;DAY((A1710+1)),2)&amp;"."&amp;RIGHT("0"&amp;MONTH((A1710+1)),2)&amp;"."&amp;YEAR((A1710+1))&amp;": "&amp;INDEX('Zgłoszenia'!$H$5:$H$504,MATCH(F1710&amp;"|"&amp;(A1710+1),'Zgłoszenia'!$S$5:$S$504,0)))&amp;IF(K1710&gt;1," (+"&amp;(K1710-1)&amp;")",""))</f>
        <v/>
      </c>
      <c r="M1710" s="63" t="n">
        <v>22</v>
      </c>
      <c r="N1710" s="2" t="n"/>
      <c r="O1710" s="2" t="n"/>
    </row>
    <row r="1711">
      <c r="A1711" s="62">
        <f>IF('22'!$C$1="","",'22'!$C$1)</f>
        <v/>
      </c>
      <c r="B1711" s="63">
        <f>Ustawienia!$A$8&amp;""</f>
        <v/>
      </c>
      <c r="C1711" s="63">
        <f>Ustawienia!$A$15&amp;""</f>
        <v/>
      </c>
      <c r="D1711" s="63" t="n">
        <v>3</v>
      </c>
      <c r="E1711" s="63">
        <f>IF('22'!B15="","",TRIM('22'!B15&amp;""))</f>
        <v/>
      </c>
      <c r="F1711" s="63">
        <f>IF('22'!C15="","",'22'!C15)</f>
        <v/>
      </c>
      <c r="G1711" s="63">
        <f>'22'!D15&amp;""</f>
        <v/>
      </c>
      <c r="H1711" s="63">
        <f>IF(OR(A1711="",F1711=""),"",F1711&amp;"|"&amp;A1711)</f>
        <v/>
      </c>
      <c r="I1711" s="63">
        <f>IF(AND(H1711&lt;&gt;"",OR('Historia wózka'!$B$4="",F1711='Historia wózka'!$B$4),A1711&gt;='Historia wózka'!$B$5,A1711&lt;='Historia wózka'!$B$6),A1711+0.9+(5000-ROW())/10000000,0)</f>
        <v/>
      </c>
      <c r="J1711" s="63">
        <f>Ustawienia!$B$8&amp;""</f>
        <v/>
      </c>
      <c r="K1711" s="63">
        <f>IF(H1711="","",COUNTIFS('Zgłoszenia'!$B$5:$B$504,F1711,'Zgłoszenia'!$D$5:$D$504,"&gt;="&amp;A1711,'Zgłoszenia'!$D$5:$D$504,"&lt;="&amp;(A1711+1)))</f>
        <v/>
      </c>
      <c r="L1711" s="63">
        <f>IF(OR(H1711="",K1711=0),"—",IF(ISNUMBER(MATCH(H1711,'Zgłoszenia'!$S$5:$S$504,0)),RIGHT("0"&amp;DAY(A1711),2)&amp;"."&amp;RIGHT("0"&amp;MONTH(A1711),2)&amp;"."&amp;YEAR(A1711)&amp;": "&amp;INDEX('Zgłoszenia'!$H$5:$H$504,MATCH(H1711,'Zgłoszenia'!$S$5:$S$504,0)),RIGHT("0"&amp;DAY((A1711+1)),2)&amp;"."&amp;RIGHT("0"&amp;MONTH((A1711+1)),2)&amp;"."&amp;YEAR((A1711+1))&amp;": "&amp;INDEX('Zgłoszenia'!$H$5:$H$504,MATCH(F1711&amp;"|"&amp;(A1711+1),'Zgłoszenia'!$S$5:$S$504,0)))&amp;IF(K1711&gt;1," (+"&amp;(K1711-1)&amp;")",""))</f>
        <v/>
      </c>
      <c r="M1711" s="63" t="n">
        <v>22</v>
      </c>
      <c r="N1711" s="2" t="n"/>
      <c r="O1711" s="2" t="n"/>
    </row>
    <row r="1712">
      <c r="A1712" s="62">
        <f>IF('22'!$C$1="","",'22'!$C$1)</f>
        <v/>
      </c>
      <c r="B1712" s="63">
        <f>Ustawienia!$A$8&amp;""</f>
        <v/>
      </c>
      <c r="C1712" s="63">
        <f>Ustawienia!$A$15&amp;""</f>
        <v/>
      </c>
      <c r="D1712" s="63" t="n">
        <v>4</v>
      </c>
      <c r="E1712" s="63">
        <f>IF('22'!B16="","",TRIM('22'!B16&amp;""))</f>
        <v/>
      </c>
      <c r="F1712" s="63">
        <f>IF('22'!C16="","",'22'!C16)</f>
        <v/>
      </c>
      <c r="G1712" s="63">
        <f>'22'!D16&amp;""</f>
        <v/>
      </c>
      <c r="H1712" s="63">
        <f>IF(OR(A1712="",F1712=""),"",F1712&amp;"|"&amp;A1712)</f>
        <v/>
      </c>
      <c r="I1712" s="63">
        <f>IF(AND(H1712&lt;&gt;"",OR('Historia wózka'!$B$4="",F1712='Historia wózka'!$B$4),A1712&gt;='Historia wózka'!$B$5,A1712&lt;='Historia wózka'!$B$6),A1712+0.9+(5000-ROW())/10000000,0)</f>
        <v/>
      </c>
      <c r="J1712" s="63">
        <f>Ustawienia!$B$8&amp;""</f>
        <v/>
      </c>
      <c r="K1712" s="63">
        <f>IF(H1712="","",COUNTIFS('Zgłoszenia'!$B$5:$B$504,F1712,'Zgłoszenia'!$D$5:$D$504,"&gt;="&amp;A1712,'Zgłoszenia'!$D$5:$D$504,"&lt;="&amp;(A1712+1)))</f>
        <v/>
      </c>
      <c r="L1712" s="63">
        <f>IF(OR(H1712="",K1712=0),"—",IF(ISNUMBER(MATCH(H1712,'Zgłoszenia'!$S$5:$S$504,0)),RIGHT("0"&amp;DAY(A1712),2)&amp;"."&amp;RIGHT("0"&amp;MONTH(A1712),2)&amp;"."&amp;YEAR(A1712)&amp;": "&amp;INDEX('Zgłoszenia'!$H$5:$H$504,MATCH(H1712,'Zgłoszenia'!$S$5:$S$504,0)),RIGHT("0"&amp;DAY((A1712+1)),2)&amp;"."&amp;RIGHT("0"&amp;MONTH((A1712+1)),2)&amp;"."&amp;YEAR((A1712+1))&amp;": "&amp;INDEX('Zgłoszenia'!$H$5:$H$504,MATCH(F1712&amp;"|"&amp;(A1712+1),'Zgłoszenia'!$S$5:$S$504,0)))&amp;IF(K1712&gt;1," (+"&amp;(K1712-1)&amp;")",""))</f>
        <v/>
      </c>
      <c r="M1712" s="63" t="n">
        <v>22</v>
      </c>
      <c r="N1712" s="2" t="n"/>
      <c r="O1712" s="2" t="n"/>
    </row>
    <row r="1713">
      <c r="A1713" s="62">
        <f>IF('22'!$C$1="","",'22'!$C$1)</f>
        <v/>
      </c>
      <c r="B1713" s="63">
        <f>Ustawienia!$A$8&amp;""</f>
        <v/>
      </c>
      <c r="C1713" s="63">
        <f>Ustawienia!$A$15&amp;""</f>
        <v/>
      </c>
      <c r="D1713" s="63" t="n">
        <v>5</v>
      </c>
      <c r="E1713" s="63">
        <f>IF('22'!B17="","",TRIM('22'!B17&amp;""))</f>
        <v/>
      </c>
      <c r="F1713" s="63">
        <f>IF('22'!C17="","",'22'!C17)</f>
        <v/>
      </c>
      <c r="G1713" s="63">
        <f>'22'!D17&amp;""</f>
        <v/>
      </c>
      <c r="H1713" s="63">
        <f>IF(OR(A1713="",F1713=""),"",F1713&amp;"|"&amp;A1713)</f>
        <v/>
      </c>
      <c r="I1713" s="63">
        <f>IF(AND(H1713&lt;&gt;"",OR('Historia wózka'!$B$4="",F1713='Historia wózka'!$B$4),A1713&gt;='Historia wózka'!$B$5,A1713&lt;='Historia wózka'!$B$6),A1713+0.9+(5000-ROW())/10000000,0)</f>
        <v/>
      </c>
      <c r="J1713" s="63">
        <f>Ustawienia!$B$8&amp;""</f>
        <v/>
      </c>
      <c r="K1713" s="63">
        <f>IF(H1713="","",COUNTIFS('Zgłoszenia'!$B$5:$B$504,F1713,'Zgłoszenia'!$D$5:$D$504,"&gt;="&amp;A1713,'Zgłoszenia'!$D$5:$D$504,"&lt;="&amp;(A1713+1)))</f>
        <v/>
      </c>
      <c r="L1713" s="63">
        <f>IF(OR(H1713="",K1713=0),"—",IF(ISNUMBER(MATCH(H1713,'Zgłoszenia'!$S$5:$S$504,0)),RIGHT("0"&amp;DAY(A1713),2)&amp;"."&amp;RIGHT("0"&amp;MONTH(A1713),2)&amp;"."&amp;YEAR(A1713)&amp;": "&amp;INDEX('Zgłoszenia'!$H$5:$H$504,MATCH(H1713,'Zgłoszenia'!$S$5:$S$504,0)),RIGHT("0"&amp;DAY((A1713+1)),2)&amp;"."&amp;RIGHT("0"&amp;MONTH((A1713+1)),2)&amp;"."&amp;YEAR((A1713+1))&amp;": "&amp;INDEX('Zgłoszenia'!$H$5:$H$504,MATCH(F1713&amp;"|"&amp;(A1713+1),'Zgłoszenia'!$S$5:$S$504,0)))&amp;IF(K1713&gt;1," (+"&amp;(K1713-1)&amp;")",""))</f>
        <v/>
      </c>
      <c r="M1713" s="63" t="n">
        <v>22</v>
      </c>
      <c r="N1713" s="2" t="n"/>
      <c r="O1713" s="2" t="n"/>
    </row>
    <row r="1714">
      <c r="A1714" s="62">
        <f>IF('22'!$C$1="","",'22'!$C$1)</f>
        <v/>
      </c>
      <c r="B1714" s="63">
        <f>Ustawienia!$A$8&amp;""</f>
        <v/>
      </c>
      <c r="C1714" s="63">
        <f>Ustawienia!$A$15&amp;""</f>
        <v/>
      </c>
      <c r="D1714" s="63" t="n">
        <v>6</v>
      </c>
      <c r="E1714" s="63">
        <f>IF('22'!B18="","",TRIM('22'!B18&amp;""))</f>
        <v/>
      </c>
      <c r="F1714" s="63">
        <f>IF('22'!C18="","",'22'!C18)</f>
        <v/>
      </c>
      <c r="G1714" s="63">
        <f>'22'!D18&amp;""</f>
        <v/>
      </c>
      <c r="H1714" s="63">
        <f>IF(OR(A1714="",F1714=""),"",F1714&amp;"|"&amp;A1714)</f>
        <v/>
      </c>
      <c r="I1714" s="63">
        <f>IF(AND(H1714&lt;&gt;"",OR('Historia wózka'!$B$4="",F1714='Historia wózka'!$B$4),A1714&gt;='Historia wózka'!$B$5,A1714&lt;='Historia wózka'!$B$6),A1714+0.9+(5000-ROW())/10000000,0)</f>
        <v/>
      </c>
      <c r="J1714" s="63">
        <f>Ustawienia!$B$8&amp;""</f>
        <v/>
      </c>
      <c r="K1714" s="63">
        <f>IF(H1714="","",COUNTIFS('Zgłoszenia'!$B$5:$B$504,F1714,'Zgłoszenia'!$D$5:$D$504,"&gt;="&amp;A1714,'Zgłoszenia'!$D$5:$D$504,"&lt;="&amp;(A1714+1)))</f>
        <v/>
      </c>
      <c r="L1714" s="63">
        <f>IF(OR(H1714="",K1714=0),"—",IF(ISNUMBER(MATCH(H1714,'Zgłoszenia'!$S$5:$S$504,0)),RIGHT("0"&amp;DAY(A1714),2)&amp;"."&amp;RIGHT("0"&amp;MONTH(A1714),2)&amp;"."&amp;YEAR(A1714)&amp;": "&amp;INDEX('Zgłoszenia'!$H$5:$H$504,MATCH(H1714,'Zgłoszenia'!$S$5:$S$504,0)),RIGHT("0"&amp;DAY((A1714+1)),2)&amp;"."&amp;RIGHT("0"&amp;MONTH((A1714+1)),2)&amp;"."&amp;YEAR((A1714+1))&amp;": "&amp;INDEX('Zgłoszenia'!$H$5:$H$504,MATCH(F1714&amp;"|"&amp;(A1714+1),'Zgłoszenia'!$S$5:$S$504,0)))&amp;IF(K1714&gt;1," (+"&amp;(K1714-1)&amp;")",""))</f>
        <v/>
      </c>
      <c r="M1714" s="63" t="n">
        <v>22</v>
      </c>
      <c r="N1714" s="2" t="n"/>
      <c r="O1714" s="2" t="n"/>
    </row>
    <row r="1715">
      <c r="A1715" s="62">
        <f>IF('22'!$C$1="","",'22'!$C$1)</f>
        <v/>
      </c>
      <c r="B1715" s="63">
        <f>Ustawienia!$A$8&amp;""</f>
        <v/>
      </c>
      <c r="C1715" s="63">
        <f>Ustawienia!$A$15&amp;""</f>
        <v/>
      </c>
      <c r="D1715" s="63" t="n">
        <v>7</v>
      </c>
      <c r="E1715" s="63">
        <f>IF('22'!B19="","",TRIM('22'!B19&amp;""))</f>
        <v/>
      </c>
      <c r="F1715" s="63">
        <f>IF('22'!C19="","",'22'!C19)</f>
        <v/>
      </c>
      <c r="G1715" s="63">
        <f>'22'!D19&amp;""</f>
        <v/>
      </c>
      <c r="H1715" s="63">
        <f>IF(OR(A1715="",F1715=""),"",F1715&amp;"|"&amp;A1715)</f>
        <v/>
      </c>
      <c r="I1715" s="63">
        <f>IF(AND(H1715&lt;&gt;"",OR('Historia wózka'!$B$4="",F1715='Historia wózka'!$B$4),A1715&gt;='Historia wózka'!$B$5,A1715&lt;='Historia wózka'!$B$6),A1715+0.9+(5000-ROW())/10000000,0)</f>
        <v/>
      </c>
      <c r="J1715" s="63">
        <f>Ustawienia!$B$8&amp;""</f>
        <v/>
      </c>
      <c r="K1715" s="63">
        <f>IF(H1715="","",COUNTIFS('Zgłoszenia'!$B$5:$B$504,F1715,'Zgłoszenia'!$D$5:$D$504,"&gt;="&amp;A1715,'Zgłoszenia'!$D$5:$D$504,"&lt;="&amp;(A1715+1)))</f>
        <v/>
      </c>
      <c r="L1715" s="63">
        <f>IF(OR(H1715="",K1715=0),"—",IF(ISNUMBER(MATCH(H1715,'Zgłoszenia'!$S$5:$S$504,0)),RIGHT("0"&amp;DAY(A1715),2)&amp;"."&amp;RIGHT("0"&amp;MONTH(A1715),2)&amp;"."&amp;YEAR(A1715)&amp;": "&amp;INDEX('Zgłoszenia'!$H$5:$H$504,MATCH(H1715,'Zgłoszenia'!$S$5:$S$504,0)),RIGHT("0"&amp;DAY((A1715+1)),2)&amp;"."&amp;RIGHT("0"&amp;MONTH((A1715+1)),2)&amp;"."&amp;YEAR((A1715+1))&amp;": "&amp;INDEX('Zgłoszenia'!$H$5:$H$504,MATCH(F1715&amp;"|"&amp;(A1715+1),'Zgłoszenia'!$S$5:$S$504,0)))&amp;IF(K1715&gt;1," (+"&amp;(K1715-1)&amp;")",""))</f>
        <v/>
      </c>
      <c r="M1715" s="63" t="n">
        <v>22</v>
      </c>
      <c r="N1715" s="2" t="n"/>
      <c r="O1715" s="2" t="n"/>
    </row>
    <row r="1716">
      <c r="A1716" s="62">
        <f>IF('22'!$C$1="","",'22'!$C$1)</f>
        <v/>
      </c>
      <c r="B1716" s="63">
        <f>Ustawienia!$A$8&amp;""</f>
        <v/>
      </c>
      <c r="C1716" s="63">
        <f>Ustawienia!$A$15&amp;""</f>
        <v/>
      </c>
      <c r="D1716" s="63" t="n">
        <v>8</v>
      </c>
      <c r="E1716" s="63">
        <f>IF('22'!B20="","",TRIM('22'!B20&amp;""))</f>
        <v/>
      </c>
      <c r="F1716" s="63">
        <f>IF('22'!C20="","",'22'!C20)</f>
        <v/>
      </c>
      <c r="G1716" s="63">
        <f>'22'!D20&amp;""</f>
        <v/>
      </c>
      <c r="H1716" s="63">
        <f>IF(OR(A1716="",F1716=""),"",F1716&amp;"|"&amp;A1716)</f>
        <v/>
      </c>
      <c r="I1716" s="63">
        <f>IF(AND(H1716&lt;&gt;"",OR('Historia wózka'!$B$4="",F1716='Historia wózka'!$B$4),A1716&gt;='Historia wózka'!$B$5,A1716&lt;='Historia wózka'!$B$6),A1716+0.9+(5000-ROW())/10000000,0)</f>
        <v/>
      </c>
      <c r="J1716" s="63">
        <f>Ustawienia!$B$8&amp;""</f>
        <v/>
      </c>
      <c r="K1716" s="63">
        <f>IF(H1716="","",COUNTIFS('Zgłoszenia'!$B$5:$B$504,F1716,'Zgłoszenia'!$D$5:$D$504,"&gt;="&amp;A1716,'Zgłoszenia'!$D$5:$D$504,"&lt;="&amp;(A1716+1)))</f>
        <v/>
      </c>
      <c r="L1716" s="63">
        <f>IF(OR(H1716="",K1716=0),"—",IF(ISNUMBER(MATCH(H1716,'Zgłoszenia'!$S$5:$S$504,0)),RIGHT("0"&amp;DAY(A1716),2)&amp;"."&amp;RIGHT("0"&amp;MONTH(A1716),2)&amp;"."&amp;YEAR(A1716)&amp;": "&amp;INDEX('Zgłoszenia'!$H$5:$H$504,MATCH(H1716,'Zgłoszenia'!$S$5:$S$504,0)),RIGHT("0"&amp;DAY((A1716+1)),2)&amp;"."&amp;RIGHT("0"&amp;MONTH((A1716+1)),2)&amp;"."&amp;YEAR((A1716+1))&amp;": "&amp;INDEX('Zgłoszenia'!$H$5:$H$504,MATCH(F1716&amp;"|"&amp;(A1716+1),'Zgłoszenia'!$S$5:$S$504,0)))&amp;IF(K1716&gt;1," (+"&amp;(K1716-1)&amp;")",""))</f>
        <v/>
      </c>
      <c r="M1716" s="63" t="n">
        <v>22</v>
      </c>
      <c r="N1716" s="2" t="n"/>
      <c r="O1716" s="2" t="n"/>
    </row>
    <row r="1717">
      <c r="A1717" s="62">
        <f>IF('22'!$C$1="","",'22'!$C$1)</f>
        <v/>
      </c>
      <c r="B1717" s="63">
        <f>Ustawienia!$A$8&amp;""</f>
        <v/>
      </c>
      <c r="C1717" s="63">
        <f>Ustawienia!$A$16&amp;""</f>
        <v/>
      </c>
      <c r="D1717" s="63" t="n">
        <v>1</v>
      </c>
      <c r="E1717" s="63">
        <f>IF('22'!B22="","",TRIM('22'!B22&amp;""))</f>
        <v/>
      </c>
      <c r="F1717" s="63">
        <f>IF('22'!C22="","",'22'!C22)</f>
        <v/>
      </c>
      <c r="G1717" s="63">
        <f>'22'!D22&amp;""</f>
        <v/>
      </c>
      <c r="H1717" s="63">
        <f>IF(OR(A1717="",F1717=""),"",F1717&amp;"|"&amp;A1717)</f>
        <v/>
      </c>
      <c r="I1717" s="63">
        <f>IF(AND(H1717&lt;&gt;"",OR('Historia wózka'!$B$4="",F1717='Historia wózka'!$B$4),A1717&gt;='Historia wózka'!$B$5,A1717&lt;='Historia wózka'!$B$6),A1717+0.9+(5000-ROW())/10000000,0)</f>
        <v/>
      </c>
      <c r="J1717" s="63">
        <f>Ustawienia!$B$8&amp;""</f>
        <v/>
      </c>
      <c r="K1717" s="63">
        <f>IF(H1717="","",COUNTIFS('Zgłoszenia'!$B$5:$B$504,F1717,'Zgłoszenia'!$D$5:$D$504,"&gt;="&amp;A1717,'Zgłoszenia'!$D$5:$D$504,"&lt;="&amp;(A1717+1)))</f>
        <v/>
      </c>
      <c r="L1717" s="63">
        <f>IF(OR(H1717="",K1717=0),"—",IF(ISNUMBER(MATCH(H1717,'Zgłoszenia'!$S$5:$S$504,0)),RIGHT("0"&amp;DAY(A1717),2)&amp;"."&amp;RIGHT("0"&amp;MONTH(A1717),2)&amp;"."&amp;YEAR(A1717)&amp;": "&amp;INDEX('Zgłoszenia'!$H$5:$H$504,MATCH(H1717,'Zgłoszenia'!$S$5:$S$504,0)),RIGHT("0"&amp;DAY((A1717+1)),2)&amp;"."&amp;RIGHT("0"&amp;MONTH((A1717+1)),2)&amp;"."&amp;YEAR((A1717+1))&amp;": "&amp;INDEX('Zgłoszenia'!$H$5:$H$504,MATCH(F1717&amp;"|"&amp;(A1717+1),'Zgłoszenia'!$S$5:$S$504,0)))&amp;IF(K1717&gt;1," (+"&amp;(K1717-1)&amp;")",""))</f>
        <v/>
      </c>
      <c r="M1717" s="63" t="n">
        <v>22</v>
      </c>
      <c r="N1717" s="2" t="n"/>
      <c r="O1717" s="2" t="n"/>
    </row>
    <row r="1718">
      <c r="A1718" s="62">
        <f>IF('22'!$C$1="","",'22'!$C$1)</f>
        <v/>
      </c>
      <c r="B1718" s="63">
        <f>Ustawienia!$A$8&amp;""</f>
        <v/>
      </c>
      <c r="C1718" s="63">
        <f>Ustawienia!$A$16&amp;""</f>
        <v/>
      </c>
      <c r="D1718" s="63" t="n">
        <v>2</v>
      </c>
      <c r="E1718" s="63">
        <f>IF('22'!B23="","",TRIM('22'!B23&amp;""))</f>
        <v/>
      </c>
      <c r="F1718" s="63">
        <f>IF('22'!C23="","",'22'!C23)</f>
        <v/>
      </c>
      <c r="G1718" s="63">
        <f>'22'!D23&amp;""</f>
        <v/>
      </c>
      <c r="H1718" s="63">
        <f>IF(OR(A1718="",F1718=""),"",F1718&amp;"|"&amp;A1718)</f>
        <v/>
      </c>
      <c r="I1718" s="63">
        <f>IF(AND(H1718&lt;&gt;"",OR('Historia wózka'!$B$4="",F1718='Historia wózka'!$B$4),A1718&gt;='Historia wózka'!$B$5,A1718&lt;='Historia wózka'!$B$6),A1718+0.9+(5000-ROW())/10000000,0)</f>
        <v/>
      </c>
      <c r="J1718" s="63">
        <f>Ustawienia!$B$8&amp;""</f>
        <v/>
      </c>
      <c r="K1718" s="63">
        <f>IF(H1718="","",COUNTIFS('Zgłoszenia'!$B$5:$B$504,F1718,'Zgłoszenia'!$D$5:$D$504,"&gt;="&amp;A1718,'Zgłoszenia'!$D$5:$D$504,"&lt;="&amp;(A1718+1)))</f>
        <v/>
      </c>
      <c r="L1718" s="63">
        <f>IF(OR(H1718="",K1718=0),"—",IF(ISNUMBER(MATCH(H1718,'Zgłoszenia'!$S$5:$S$504,0)),RIGHT("0"&amp;DAY(A1718),2)&amp;"."&amp;RIGHT("0"&amp;MONTH(A1718),2)&amp;"."&amp;YEAR(A1718)&amp;": "&amp;INDEX('Zgłoszenia'!$H$5:$H$504,MATCH(H1718,'Zgłoszenia'!$S$5:$S$504,0)),RIGHT("0"&amp;DAY((A1718+1)),2)&amp;"."&amp;RIGHT("0"&amp;MONTH((A1718+1)),2)&amp;"."&amp;YEAR((A1718+1))&amp;": "&amp;INDEX('Zgłoszenia'!$H$5:$H$504,MATCH(F1718&amp;"|"&amp;(A1718+1),'Zgłoszenia'!$S$5:$S$504,0)))&amp;IF(K1718&gt;1," (+"&amp;(K1718-1)&amp;")",""))</f>
        <v/>
      </c>
      <c r="M1718" s="63" t="n">
        <v>22</v>
      </c>
      <c r="N1718" s="2" t="n"/>
      <c r="O1718" s="2" t="n"/>
    </row>
    <row r="1719">
      <c r="A1719" s="62">
        <f>IF('22'!$C$1="","",'22'!$C$1)</f>
        <v/>
      </c>
      <c r="B1719" s="63">
        <f>Ustawienia!$A$8&amp;""</f>
        <v/>
      </c>
      <c r="C1719" s="63">
        <f>Ustawienia!$A$16&amp;""</f>
        <v/>
      </c>
      <c r="D1719" s="63" t="n">
        <v>3</v>
      </c>
      <c r="E1719" s="63">
        <f>IF('22'!B24="","",TRIM('22'!B24&amp;""))</f>
        <v/>
      </c>
      <c r="F1719" s="63">
        <f>IF('22'!C24="","",'22'!C24)</f>
        <v/>
      </c>
      <c r="G1719" s="63">
        <f>'22'!D24&amp;""</f>
        <v/>
      </c>
      <c r="H1719" s="63">
        <f>IF(OR(A1719="",F1719=""),"",F1719&amp;"|"&amp;A1719)</f>
        <v/>
      </c>
      <c r="I1719" s="63">
        <f>IF(AND(H1719&lt;&gt;"",OR('Historia wózka'!$B$4="",F1719='Historia wózka'!$B$4),A1719&gt;='Historia wózka'!$B$5,A1719&lt;='Historia wózka'!$B$6),A1719+0.9+(5000-ROW())/10000000,0)</f>
        <v/>
      </c>
      <c r="J1719" s="63">
        <f>Ustawienia!$B$8&amp;""</f>
        <v/>
      </c>
      <c r="K1719" s="63">
        <f>IF(H1719="","",COUNTIFS('Zgłoszenia'!$B$5:$B$504,F1719,'Zgłoszenia'!$D$5:$D$504,"&gt;="&amp;A1719,'Zgłoszenia'!$D$5:$D$504,"&lt;="&amp;(A1719+1)))</f>
        <v/>
      </c>
      <c r="L1719" s="63">
        <f>IF(OR(H1719="",K1719=0),"—",IF(ISNUMBER(MATCH(H1719,'Zgłoszenia'!$S$5:$S$504,0)),RIGHT("0"&amp;DAY(A1719),2)&amp;"."&amp;RIGHT("0"&amp;MONTH(A1719),2)&amp;"."&amp;YEAR(A1719)&amp;": "&amp;INDEX('Zgłoszenia'!$H$5:$H$504,MATCH(H1719,'Zgłoszenia'!$S$5:$S$504,0)),RIGHT("0"&amp;DAY((A1719+1)),2)&amp;"."&amp;RIGHT("0"&amp;MONTH((A1719+1)),2)&amp;"."&amp;YEAR((A1719+1))&amp;": "&amp;INDEX('Zgłoszenia'!$H$5:$H$504,MATCH(F1719&amp;"|"&amp;(A1719+1),'Zgłoszenia'!$S$5:$S$504,0)))&amp;IF(K1719&gt;1," (+"&amp;(K1719-1)&amp;")",""))</f>
        <v/>
      </c>
      <c r="M1719" s="63" t="n">
        <v>22</v>
      </c>
      <c r="N1719" s="2" t="n"/>
      <c r="O1719" s="2" t="n"/>
    </row>
    <row r="1720">
      <c r="A1720" s="62">
        <f>IF('22'!$C$1="","",'22'!$C$1)</f>
        <v/>
      </c>
      <c r="B1720" s="63">
        <f>Ustawienia!$A$8&amp;""</f>
        <v/>
      </c>
      <c r="C1720" s="63">
        <f>Ustawienia!$A$16&amp;""</f>
        <v/>
      </c>
      <c r="D1720" s="63" t="n">
        <v>4</v>
      </c>
      <c r="E1720" s="63">
        <f>IF('22'!B25="","",TRIM('22'!B25&amp;""))</f>
        <v/>
      </c>
      <c r="F1720" s="63">
        <f>IF('22'!C25="","",'22'!C25)</f>
        <v/>
      </c>
      <c r="G1720" s="63">
        <f>'22'!D25&amp;""</f>
        <v/>
      </c>
      <c r="H1720" s="63">
        <f>IF(OR(A1720="",F1720=""),"",F1720&amp;"|"&amp;A1720)</f>
        <v/>
      </c>
      <c r="I1720" s="63">
        <f>IF(AND(H1720&lt;&gt;"",OR('Historia wózka'!$B$4="",F1720='Historia wózka'!$B$4),A1720&gt;='Historia wózka'!$B$5,A1720&lt;='Historia wózka'!$B$6),A1720+0.9+(5000-ROW())/10000000,0)</f>
        <v/>
      </c>
      <c r="J1720" s="63">
        <f>Ustawienia!$B$8&amp;""</f>
        <v/>
      </c>
      <c r="K1720" s="63">
        <f>IF(H1720="","",COUNTIFS('Zgłoszenia'!$B$5:$B$504,F1720,'Zgłoszenia'!$D$5:$D$504,"&gt;="&amp;A1720,'Zgłoszenia'!$D$5:$D$504,"&lt;="&amp;(A1720+1)))</f>
        <v/>
      </c>
      <c r="L1720" s="63">
        <f>IF(OR(H1720="",K1720=0),"—",IF(ISNUMBER(MATCH(H1720,'Zgłoszenia'!$S$5:$S$504,0)),RIGHT("0"&amp;DAY(A1720),2)&amp;"."&amp;RIGHT("0"&amp;MONTH(A1720),2)&amp;"."&amp;YEAR(A1720)&amp;": "&amp;INDEX('Zgłoszenia'!$H$5:$H$504,MATCH(H1720,'Zgłoszenia'!$S$5:$S$504,0)),RIGHT("0"&amp;DAY((A1720+1)),2)&amp;"."&amp;RIGHT("0"&amp;MONTH((A1720+1)),2)&amp;"."&amp;YEAR((A1720+1))&amp;": "&amp;INDEX('Zgłoszenia'!$H$5:$H$504,MATCH(F1720&amp;"|"&amp;(A1720+1),'Zgłoszenia'!$S$5:$S$504,0)))&amp;IF(K1720&gt;1," (+"&amp;(K1720-1)&amp;")",""))</f>
        <v/>
      </c>
      <c r="M1720" s="63" t="n">
        <v>22</v>
      </c>
      <c r="N1720" s="2" t="n"/>
      <c r="O1720" s="2" t="n"/>
    </row>
    <row r="1721">
      <c r="A1721" s="62">
        <f>IF('22'!$C$1="","",'22'!$C$1)</f>
        <v/>
      </c>
      <c r="B1721" s="63">
        <f>Ustawienia!$A$8&amp;""</f>
        <v/>
      </c>
      <c r="C1721" s="63">
        <f>Ustawienia!$A$17&amp;""</f>
        <v/>
      </c>
      <c r="D1721" s="63" t="n">
        <v>1</v>
      </c>
      <c r="E1721" s="63">
        <f>IF('22'!B27="","",TRIM('22'!B27&amp;""))</f>
        <v/>
      </c>
      <c r="F1721" s="63">
        <f>IF('22'!C27="","",'22'!C27)</f>
        <v/>
      </c>
      <c r="G1721" s="63">
        <f>'22'!D27&amp;""</f>
        <v/>
      </c>
      <c r="H1721" s="63">
        <f>IF(OR(A1721="",F1721=""),"",F1721&amp;"|"&amp;A1721)</f>
        <v/>
      </c>
      <c r="I1721" s="63">
        <f>IF(AND(H1721&lt;&gt;"",OR('Historia wózka'!$B$4="",F1721='Historia wózka'!$B$4),A1721&gt;='Historia wózka'!$B$5,A1721&lt;='Historia wózka'!$B$6),A1721+0.9+(5000-ROW())/10000000,0)</f>
        <v/>
      </c>
      <c r="J1721" s="63">
        <f>Ustawienia!$B$8&amp;""</f>
        <v/>
      </c>
      <c r="K1721" s="63">
        <f>IF(H1721="","",COUNTIFS('Zgłoszenia'!$B$5:$B$504,F1721,'Zgłoszenia'!$D$5:$D$504,"&gt;="&amp;A1721,'Zgłoszenia'!$D$5:$D$504,"&lt;="&amp;(A1721+1)))</f>
        <v/>
      </c>
      <c r="L1721" s="63">
        <f>IF(OR(H1721="",K1721=0),"—",IF(ISNUMBER(MATCH(H1721,'Zgłoszenia'!$S$5:$S$504,0)),RIGHT("0"&amp;DAY(A1721),2)&amp;"."&amp;RIGHT("0"&amp;MONTH(A1721),2)&amp;"."&amp;YEAR(A1721)&amp;": "&amp;INDEX('Zgłoszenia'!$H$5:$H$504,MATCH(H1721,'Zgłoszenia'!$S$5:$S$504,0)),RIGHT("0"&amp;DAY((A1721+1)),2)&amp;"."&amp;RIGHT("0"&amp;MONTH((A1721+1)),2)&amp;"."&amp;YEAR((A1721+1))&amp;": "&amp;INDEX('Zgłoszenia'!$H$5:$H$504,MATCH(F1721&amp;"|"&amp;(A1721+1),'Zgłoszenia'!$S$5:$S$504,0)))&amp;IF(K1721&gt;1," (+"&amp;(K1721-1)&amp;")",""))</f>
        <v/>
      </c>
      <c r="M1721" s="63" t="n">
        <v>22</v>
      </c>
      <c r="N1721" s="2" t="n"/>
      <c r="O1721" s="2" t="n"/>
    </row>
    <row r="1722">
      <c r="A1722" s="62">
        <f>IF('22'!$C$1="","",'22'!$C$1)</f>
        <v/>
      </c>
      <c r="B1722" s="63">
        <f>Ustawienia!$A$8&amp;""</f>
        <v/>
      </c>
      <c r="C1722" s="63">
        <f>Ustawienia!$A$17&amp;""</f>
        <v/>
      </c>
      <c r="D1722" s="63" t="n">
        <v>2</v>
      </c>
      <c r="E1722" s="63">
        <f>IF('22'!B28="","",TRIM('22'!B28&amp;""))</f>
        <v/>
      </c>
      <c r="F1722" s="63">
        <f>IF('22'!C28="","",'22'!C28)</f>
        <v/>
      </c>
      <c r="G1722" s="63">
        <f>'22'!D28&amp;""</f>
        <v/>
      </c>
      <c r="H1722" s="63">
        <f>IF(OR(A1722="",F1722=""),"",F1722&amp;"|"&amp;A1722)</f>
        <v/>
      </c>
      <c r="I1722" s="63">
        <f>IF(AND(H1722&lt;&gt;"",OR('Historia wózka'!$B$4="",F1722='Historia wózka'!$B$4),A1722&gt;='Historia wózka'!$B$5,A1722&lt;='Historia wózka'!$B$6),A1722+0.9+(5000-ROW())/10000000,0)</f>
        <v/>
      </c>
      <c r="J1722" s="63">
        <f>Ustawienia!$B$8&amp;""</f>
        <v/>
      </c>
      <c r="K1722" s="63">
        <f>IF(H1722="","",COUNTIFS('Zgłoszenia'!$B$5:$B$504,F1722,'Zgłoszenia'!$D$5:$D$504,"&gt;="&amp;A1722,'Zgłoszenia'!$D$5:$D$504,"&lt;="&amp;(A1722+1)))</f>
        <v/>
      </c>
      <c r="L1722" s="63">
        <f>IF(OR(H1722="",K1722=0),"—",IF(ISNUMBER(MATCH(H1722,'Zgłoszenia'!$S$5:$S$504,0)),RIGHT("0"&amp;DAY(A1722),2)&amp;"."&amp;RIGHT("0"&amp;MONTH(A1722),2)&amp;"."&amp;YEAR(A1722)&amp;": "&amp;INDEX('Zgłoszenia'!$H$5:$H$504,MATCH(H1722,'Zgłoszenia'!$S$5:$S$504,0)),RIGHT("0"&amp;DAY((A1722+1)),2)&amp;"."&amp;RIGHT("0"&amp;MONTH((A1722+1)),2)&amp;"."&amp;YEAR((A1722+1))&amp;": "&amp;INDEX('Zgłoszenia'!$H$5:$H$504,MATCH(F1722&amp;"|"&amp;(A1722+1),'Zgłoszenia'!$S$5:$S$504,0)))&amp;IF(K1722&gt;1," (+"&amp;(K1722-1)&amp;")",""))</f>
        <v/>
      </c>
      <c r="M1722" s="63" t="n">
        <v>22</v>
      </c>
      <c r="N1722" s="2" t="n"/>
      <c r="O1722" s="2" t="n"/>
    </row>
    <row r="1723">
      <c r="A1723" s="62">
        <f>IF('22'!$C$1="","",'22'!$C$1)</f>
        <v/>
      </c>
      <c r="B1723" s="63">
        <f>Ustawienia!$A$8&amp;""</f>
        <v/>
      </c>
      <c r="C1723" s="63">
        <f>Ustawienia!$A$17&amp;""</f>
        <v/>
      </c>
      <c r="D1723" s="63" t="n">
        <v>3</v>
      </c>
      <c r="E1723" s="63">
        <f>IF('22'!B29="","",TRIM('22'!B29&amp;""))</f>
        <v/>
      </c>
      <c r="F1723" s="63">
        <f>IF('22'!C29="","",'22'!C29)</f>
        <v/>
      </c>
      <c r="G1723" s="63">
        <f>'22'!D29&amp;""</f>
        <v/>
      </c>
      <c r="H1723" s="63">
        <f>IF(OR(A1723="",F1723=""),"",F1723&amp;"|"&amp;A1723)</f>
        <v/>
      </c>
      <c r="I1723" s="63">
        <f>IF(AND(H1723&lt;&gt;"",OR('Historia wózka'!$B$4="",F1723='Historia wózka'!$B$4),A1723&gt;='Historia wózka'!$B$5,A1723&lt;='Historia wózka'!$B$6),A1723+0.9+(5000-ROW())/10000000,0)</f>
        <v/>
      </c>
      <c r="J1723" s="63">
        <f>Ustawienia!$B$8&amp;""</f>
        <v/>
      </c>
      <c r="K1723" s="63">
        <f>IF(H1723="","",COUNTIFS('Zgłoszenia'!$B$5:$B$504,F1723,'Zgłoszenia'!$D$5:$D$504,"&gt;="&amp;A1723,'Zgłoszenia'!$D$5:$D$504,"&lt;="&amp;(A1723+1)))</f>
        <v/>
      </c>
      <c r="L1723" s="63">
        <f>IF(OR(H1723="",K1723=0),"—",IF(ISNUMBER(MATCH(H1723,'Zgłoszenia'!$S$5:$S$504,0)),RIGHT("0"&amp;DAY(A1723),2)&amp;"."&amp;RIGHT("0"&amp;MONTH(A1723),2)&amp;"."&amp;YEAR(A1723)&amp;": "&amp;INDEX('Zgłoszenia'!$H$5:$H$504,MATCH(H1723,'Zgłoszenia'!$S$5:$S$504,0)),RIGHT("0"&amp;DAY((A1723+1)),2)&amp;"."&amp;RIGHT("0"&amp;MONTH((A1723+1)),2)&amp;"."&amp;YEAR((A1723+1))&amp;": "&amp;INDEX('Zgłoszenia'!$H$5:$H$504,MATCH(F1723&amp;"|"&amp;(A1723+1),'Zgłoszenia'!$S$5:$S$504,0)))&amp;IF(K1723&gt;1," (+"&amp;(K1723-1)&amp;")",""))</f>
        <v/>
      </c>
      <c r="M1723" s="63" t="n">
        <v>22</v>
      </c>
      <c r="N1723" s="2" t="n"/>
      <c r="O1723" s="2" t="n"/>
    </row>
    <row r="1724">
      <c r="A1724" s="62">
        <f>IF('22'!$C$1="","",'22'!$C$1)</f>
        <v/>
      </c>
      <c r="B1724" s="63">
        <f>Ustawienia!$A$8&amp;""</f>
        <v/>
      </c>
      <c r="C1724" s="63">
        <f>Ustawienia!$A$17&amp;""</f>
        <v/>
      </c>
      <c r="D1724" s="63" t="n">
        <v>4</v>
      </c>
      <c r="E1724" s="63">
        <f>IF('22'!B30="","",TRIM('22'!B30&amp;""))</f>
        <v/>
      </c>
      <c r="F1724" s="63">
        <f>IF('22'!C30="","",'22'!C30)</f>
        <v/>
      </c>
      <c r="G1724" s="63">
        <f>'22'!D30&amp;""</f>
        <v/>
      </c>
      <c r="H1724" s="63">
        <f>IF(OR(A1724="",F1724=""),"",F1724&amp;"|"&amp;A1724)</f>
        <v/>
      </c>
      <c r="I1724" s="63">
        <f>IF(AND(H1724&lt;&gt;"",OR('Historia wózka'!$B$4="",F1724='Historia wózka'!$B$4),A1724&gt;='Historia wózka'!$B$5,A1724&lt;='Historia wózka'!$B$6),A1724+0.9+(5000-ROW())/10000000,0)</f>
        <v/>
      </c>
      <c r="J1724" s="63">
        <f>Ustawienia!$B$8&amp;""</f>
        <v/>
      </c>
      <c r="K1724" s="63">
        <f>IF(H1724="","",COUNTIFS('Zgłoszenia'!$B$5:$B$504,F1724,'Zgłoszenia'!$D$5:$D$504,"&gt;="&amp;A1724,'Zgłoszenia'!$D$5:$D$504,"&lt;="&amp;(A1724+1)))</f>
        <v/>
      </c>
      <c r="L1724" s="63">
        <f>IF(OR(H1724="",K1724=0),"—",IF(ISNUMBER(MATCH(H1724,'Zgłoszenia'!$S$5:$S$504,0)),RIGHT("0"&amp;DAY(A1724),2)&amp;"."&amp;RIGHT("0"&amp;MONTH(A1724),2)&amp;"."&amp;YEAR(A1724)&amp;": "&amp;INDEX('Zgłoszenia'!$H$5:$H$504,MATCH(H1724,'Zgłoszenia'!$S$5:$S$504,0)),RIGHT("0"&amp;DAY((A1724+1)),2)&amp;"."&amp;RIGHT("0"&amp;MONTH((A1724+1)),2)&amp;"."&amp;YEAR((A1724+1))&amp;": "&amp;INDEX('Zgłoszenia'!$H$5:$H$504,MATCH(F1724&amp;"|"&amp;(A1724+1),'Zgłoszenia'!$S$5:$S$504,0)))&amp;IF(K1724&gt;1," (+"&amp;(K1724-1)&amp;")",""))</f>
        <v/>
      </c>
      <c r="M1724" s="63" t="n">
        <v>22</v>
      </c>
      <c r="N1724" s="2" t="n"/>
      <c r="O1724" s="2" t="n"/>
    </row>
    <row r="1725">
      <c r="A1725" s="62">
        <f>IF('22'!$C$1="","",'22'!$C$1)</f>
        <v/>
      </c>
      <c r="B1725" s="63">
        <f>Ustawienia!$A$8&amp;""</f>
        <v/>
      </c>
      <c r="C1725" s="63">
        <f>Ustawienia!$A$18&amp;""</f>
        <v/>
      </c>
      <c r="D1725" s="63" t="n">
        <v>1</v>
      </c>
      <c r="E1725" s="63">
        <f>IF('22'!B32="","",TRIM('22'!B32&amp;""))</f>
        <v/>
      </c>
      <c r="F1725" s="63">
        <f>IF('22'!C32="","",'22'!C32)</f>
        <v/>
      </c>
      <c r="G1725" s="63">
        <f>'22'!D32&amp;""</f>
        <v/>
      </c>
      <c r="H1725" s="63">
        <f>IF(OR(A1725="",F1725=""),"",F1725&amp;"|"&amp;A1725)</f>
        <v/>
      </c>
      <c r="I1725" s="63">
        <f>IF(AND(H1725&lt;&gt;"",OR('Historia wózka'!$B$4="",F1725='Historia wózka'!$B$4),A1725&gt;='Historia wózka'!$B$5,A1725&lt;='Historia wózka'!$B$6),A1725+0.9+(5000-ROW())/10000000,0)</f>
        <v/>
      </c>
      <c r="J1725" s="63">
        <f>Ustawienia!$B$8&amp;""</f>
        <v/>
      </c>
      <c r="K1725" s="63">
        <f>IF(H1725="","",COUNTIFS('Zgłoszenia'!$B$5:$B$504,F1725,'Zgłoszenia'!$D$5:$D$504,"&gt;="&amp;A1725,'Zgłoszenia'!$D$5:$D$504,"&lt;="&amp;(A1725+1)))</f>
        <v/>
      </c>
      <c r="L1725" s="63">
        <f>IF(OR(H1725="",K1725=0),"—",IF(ISNUMBER(MATCH(H1725,'Zgłoszenia'!$S$5:$S$504,0)),RIGHT("0"&amp;DAY(A1725),2)&amp;"."&amp;RIGHT("0"&amp;MONTH(A1725),2)&amp;"."&amp;YEAR(A1725)&amp;": "&amp;INDEX('Zgłoszenia'!$H$5:$H$504,MATCH(H1725,'Zgłoszenia'!$S$5:$S$504,0)),RIGHT("0"&amp;DAY((A1725+1)),2)&amp;"."&amp;RIGHT("0"&amp;MONTH((A1725+1)),2)&amp;"."&amp;YEAR((A1725+1))&amp;": "&amp;INDEX('Zgłoszenia'!$H$5:$H$504,MATCH(F1725&amp;"|"&amp;(A1725+1),'Zgłoszenia'!$S$5:$S$504,0)))&amp;IF(K1725&gt;1," (+"&amp;(K1725-1)&amp;")",""))</f>
        <v/>
      </c>
      <c r="M1725" s="63" t="n">
        <v>22</v>
      </c>
      <c r="N1725" s="2" t="n"/>
      <c r="O1725" s="2" t="n"/>
    </row>
    <row r="1726">
      <c r="A1726" s="62">
        <f>IF('22'!$C$1="","",'22'!$C$1)</f>
        <v/>
      </c>
      <c r="B1726" s="63">
        <f>Ustawienia!$A$8&amp;""</f>
        <v/>
      </c>
      <c r="C1726" s="63">
        <f>Ustawienia!$A$18&amp;""</f>
        <v/>
      </c>
      <c r="D1726" s="63" t="n">
        <v>2</v>
      </c>
      <c r="E1726" s="63">
        <f>IF('22'!B33="","",TRIM('22'!B33&amp;""))</f>
        <v/>
      </c>
      <c r="F1726" s="63">
        <f>IF('22'!C33="","",'22'!C33)</f>
        <v/>
      </c>
      <c r="G1726" s="63">
        <f>'22'!D33&amp;""</f>
        <v/>
      </c>
      <c r="H1726" s="63">
        <f>IF(OR(A1726="",F1726=""),"",F1726&amp;"|"&amp;A1726)</f>
        <v/>
      </c>
      <c r="I1726" s="63">
        <f>IF(AND(H1726&lt;&gt;"",OR('Historia wózka'!$B$4="",F1726='Historia wózka'!$B$4),A1726&gt;='Historia wózka'!$B$5,A1726&lt;='Historia wózka'!$B$6),A1726+0.9+(5000-ROW())/10000000,0)</f>
        <v/>
      </c>
      <c r="J1726" s="63">
        <f>Ustawienia!$B$8&amp;""</f>
        <v/>
      </c>
      <c r="K1726" s="63">
        <f>IF(H1726="","",COUNTIFS('Zgłoszenia'!$B$5:$B$504,F1726,'Zgłoszenia'!$D$5:$D$504,"&gt;="&amp;A1726,'Zgłoszenia'!$D$5:$D$504,"&lt;="&amp;(A1726+1)))</f>
        <v/>
      </c>
      <c r="L1726" s="63">
        <f>IF(OR(H1726="",K1726=0),"—",IF(ISNUMBER(MATCH(H1726,'Zgłoszenia'!$S$5:$S$504,0)),RIGHT("0"&amp;DAY(A1726),2)&amp;"."&amp;RIGHT("0"&amp;MONTH(A1726),2)&amp;"."&amp;YEAR(A1726)&amp;": "&amp;INDEX('Zgłoszenia'!$H$5:$H$504,MATCH(H1726,'Zgłoszenia'!$S$5:$S$504,0)),RIGHT("0"&amp;DAY((A1726+1)),2)&amp;"."&amp;RIGHT("0"&amp;MONTH((A1726+1)),2)&amp;"."&amp;YEAR((A1726+1))&amp;": "&amp;INDEX('Zgłoszenia'!$H$5:$H$504,MATCH(F1726&amp;"|"&amp;(A1726+1),'Zgłoszenia'!$S$5:$S$504,0)))&amp;IF(K1726&gt;1," (+"&amp;(K1726-1)&amp;")",""))</f>
        <v/>
      </c>
      <c r="M1726" s="63" t="n">
        <v>22</v>
      </c>
      <c r="N1726" s="2" t="n"/>
      <c r="O1726" s="2" t="n"/>
    </row>
    <row r="1727">
      <c r="A1727" s="62">
        <f>IF('22'!$C$1="","",'22'!$C$1)</f>
        <v/>
      </c>
      <c r="B1727" s="63">
        <f>Ustawienia!$A$8&amp;""</f>
        <v/>
      </c>
      <c r="C1727" s="63">
        <f>Ustawienia!$A$18&amp;""</f>
        <v/>
      </c>
      <c r="D1727" s="63" t="n">
        <v>3</v>
      </c>
      <c r="E1727" s="63">
        <f>IF('22'!B34="","",TRIM('22'!B34&amp;""))</f>
        <v/>
      </c>
      <c r="F1727" s="63">
        <f>IF('22'!C34="","",'22'!C34)</f>
        <v/>
      </c>
      <c r="G1727" s="63">
        <f>'22'!D34&amp;""</f>
        <v/>
      </c>
      <c r="H1727" s="63">
        <f>IF(OR(A1727="",F1727=""),"",F1727&amp;"|"&amp;A1727)</f>
        <v/>
      </c>
      <c r="I1727" s="63">
        <f>IF(AND(H1727&lt;&gt;"",OR('Historia wózka'!$B$4="",F1727='Historia wózka'!$B$4),A1727&gt;='Historia wózka'!$B$5,A1727&lt;='Historia wózka'!$B$6),A1727+0.9+(5000-ROW())/10000000,0)</f>
        <v/>
      </c>
      <c r="J1727" s="63">
        <f>Ustawienia!$B$8&amp;""</f>
        <v/>
      </c>
      <c r="K1727" s="63">
        <f>IF(H1727="","",COUNTIFS('Zgłoszenia'!$B$5:$B$504,F1727,'Zgłoszenia'!$D$5:$D$504,"&gt;="&amp;A1727,'Zgłoszenia'!$D$5:$D$504,"&lt;="&amp;(A1727+1)))</f>
        <v/>
      </c>
      <c r="L1727" s="63">
        <f>IF(OR(H1727="",K1727=0),"—",IF(ISNUMBER(MATCH(H1727,'Zgłoszenia'!$S$5:$S$504,0)),RIGHT("0"&amp;DAY(A1727),2)&amp;"."&amp;RIGHT("0"&amp;MONTH(A1727),2)&amp;"."&amp;YEAR(A1727)&amp;": "&amp;INDEX('Zgłoszenia'!$H$5:$H$504,MATCH(H1727,'Zgłoszenia'!$S$5:$S$504,0)),RIGHT("0"&amp;DAY((A1727+1)),2)&amp;"."&amp;RIGHT("0"&amp;MONTH((A1727+1)),2)&amp;"."&amp;YEAR((A1727+1))&amp;": "&amp;INDEX('Zgłoszenia'!$H$5:$H$504,MATCH(F1727&amp;"|"&amp;(A1727+1),'Zgłoszenia'!$S$5:$S$504,0)))&amp;IF(K1727&gt;1," (+"&amp;(K1727-1)&amp;")",""))</f>
        <v/>
      </c>
      <c r="M1727" s="63" t="n">
        <v>22</v>
      </c>
      <c r="N1727" s="2" t="n"/>
      <c r="O1727" s="2" t="n"/>
    </row>
    <row r="1728">
      <c r="A1728" s="62">
        <f>IF('22'!$C$1="","",'22'!$C$1)</f>
        <v/>
      </c>
      <c r="B1728" s="63">
        <f>Ustawienia!$A$8&amp;""</f>
        <v/>
      </c>
      <c r="C1728" s="63">
        <f>Ustawienia!$A$18&amp;""</f>
        <v/>
      </c>
      <c r="D1728" s="63" t="n">
        <v>4</v>
      </c>
      <c r="E1728" s="63">
        <f>IF('22'!B35="","",TRIM('22'!B35&amp;""))</f>
        <v/>
      </c>
      <c r="F1728" s="63">
        <f>IF('22'!C35="","",'22'!C35)</f>
        <v/>
      </c>
      <c r="G1728" s="63">
        <f>'22'!D35&amp;""</f>
        <v/>
      </c>
      <c r="H1728" s="63">
        <f>IF(OR(A1728="",F1728=""),"",F1728&amp;"|"&amp;A1728)</f>
        <v/>
      </c>
      <c r="I1728" s="63">
        <f>IF(AND(H1728&lt;&gt;"",OR('Historia wózka'!$B$4="",F1728='Historia wózka'!$B$4),A1728&gt;='Historia wózka'!$B$5,A1728&lt;='Historia wózka'!$B$6),A1728+0.9+(5000-ROW())/10000000,0)</f>
        <v/>
      </c>
      <c r="J1728" s="63">
        <f>Ustawienia!$B$8&amp;""</f>
        <v/>
      </c>
      <c r="K1728" s="63">
        <f>IF(H1728="","",COUNTIFS('Zgłoszenia'!$B$5:$B$504,F1728,'Zgłoszenia'!$D$5:$D$504,"&gt;="&amp;A1728,'Zgłoszenia'!$D$5:$D$504,"&lt;="&amp;(A1728+1)))</f>
        <v/>
      </c>
      <c r="L1728" s="63">
        <f>IF(OR(H1728="",K1728=0),"—",IF(ISNUMBER(MATCH(H1728,'Zgłoszenia'!$S$5:$S$504,0)),RIGHT("0"&amp;DAY(A1728),2)&amp;"."&amp;RIGHT("0"&amp;MONTH(A1728),2)&amp;"."&amp;YEAR(A1728)&amp;": "&amp;INDEX('Zgłoszenia'!$H$5:$H$504,MATCH(H1728,'Zgłoszenia'!$S$5:$S$504,0)),RIGHT("0"&amp;DAY((A1728+1)),2)&amp;"."&amp;RIGHT("0"&amp;MONTH((A1728+1)),2)&amp;"."&amp;YEAR((A1728+1))&amp;": "&amp;INDEX('Zgłoszenia'!$H$5:$H$504,MATCH(F1728&amp;"|"&amp;(A1728+1),'Zgłoszenia'!$S$5:$S$504,0)))&amp;IF(K1728&gt;1," (+"&amp;(K1728-1)&amp;")",""))</f>
        <v/>
      </c>
      <c r="M1728" s="63" t="n">
        <v>22</v>
      </c>
      <c r="N1728" s="2" t="n"/>
      <c r="O1728" s="2" t="n"/>
    </row>
    <row r="1729">
      <c r="A1729" s="62">
        <f>IF('22'!$C$1="","",'22'!$C$1)</f>
        <v/>
      </c>
      <c r="B1729" s="63">
        <f>Ustawienia!$A$8&amp;""</f>
        <v/>
      </c>
      <c r="C1729" s="63">
        <f>Ustawienia!$A$18&amp;""</f>
        <v/>
      </c>
      <c r="D1729" s="63" t="n">
        <v>5</v>
      </c>
      <c r="E1729" s="63">
        <f>IF('22'!B36="","",TRIM('22'!B36&amp;""))</f>
        <v/>
      </c>
      <c r="F1729" s="63">
        <f>IF('22'!C36="","",'22'!C36)</f>
        <v/>
      </c>
      <c r="G1729" s="63">
        <f>'22'!D36&amp;""</f>
        <v/>
      </c>
      <c r="H1729" s="63">
        <f>IF(OR(A1729="",F1729=""),"",F1729&amp;"|"&amp;A1729)</f>
        <v/>
      </c>
      <c r="I1729" s="63">
        <f>IF(AND(H1729&lt;&gt;"",OR('Historia wózka'!$B$4="",F1729='Historia wózka'!$B$4),A1729&gt;='Historia wózka'!$B$5,A1729&lt;='Historia wózka'!$B$6),A1729+0.9+(5000-ROW())/10000000,0)</f>
        <v/>
      </c>
      <c r="J1729" s="63">
        <f>Ustawienia!$B$8&amp;""</f>
        <v/>
      </c>
      <c r="K1729" s="63">
        <f>IF(H1729="","",COUNTIFS('Zgłoszenia'!$B$5:$B$504,F1729,'Zgłoszenia'!$D$5:$D$504,"&gt;="&amp;A1729,'Zgłoszenia'!$D$5:$D$504,"&lt;="&amp;(A1729+1)))</f>
        <v/>
      </c>
      <c r="L1729" s="63">
        <f>IF(OR(H1729="",K1729=0),"—",IF(ISNUMBER(MATCH(H1729,'Zgłoszenia'!$S$5:$S$504,0)),RIGHT("0"&amp;DAY(A1729),2)&amp;"."&amp;RIGHT("0"&amp;MONTH(A1729),2)&amp;"."&amp;YEAR(A1729)&amp;": "&amp;INDEX('Zgłoszenia'!$H$5:$H$504,MATCH(H1729,'Zgłoszenia'!$S$5:$S$504,0)),RIGHT("0"&amp;DAY((A1729+1)),2)&amp;"."&amp;RIGHT("0"&amp;MONTH((A1729+1)),2)&amp;"."&amp;YEAR((A1729+1))&amp;": "&amp;INDEX('Zgłoszenia'!$H$5:$H$504,MATCH(F1729&amp;"|"&amp;(A1729+1),'Zgłoszenia'!$S$5:$S$504,0)))&amp;IF(K1729&gt;1," (+"&amp;(K1729-1)&amp;")",""))</f>
        <v/>
      </c>
      <c r="M1729" s="63" t="n">
        <v>22</v>
      </c>
      <c r="N1729" s="2" t="n"/>
      <c r="O1729" s="2" t="n"/>
    </row>
    <row r="1730">
      <c r="A1730" s="62">
        <f>IF('22'!$C$1="","",'22'!$C$1)</f>
        <v/>
      </c>
      <c r="B1730" s="63">
        <f>Ustawienia!$A$9&amp;""</f>
        <v/>
      </c>
      <c r="C1730" s="63">
        <f>Ustawienia!$A$14&amp;""</f>
        <v/>
      </c>
      <c r="D1730" s="63" t="n">
        <v>1</v>
      </c>
      <c r="E1730" s="63">
        <f>IF('22'!F6="","",TRIM('22'!F6&amp;""))</f>
        <v/>
      </c>
      <c r="F1730" s="63">
        <f>IF('22'!G6="","",'22'!G6)</f>
        <v/>
      </c>
      <c r="G1730" s="63">
        <f>'22'!H6&amp;""</f>
        <v/>
      </c>
      <c r="H1730" s="63">
        <f>IF(OR(A1730="",F1730=""),"",F1730&amp;"|"&amp;A1730)</f>
        <v/>
      </c>
      <c r="I1730" s="63">
        <f>IF(AND(H1730&lt;&gt;"",OR('Historia wózka'!$B$4="",F1730='Historia wózka'!$B$4),A1730&gt;='Historia wózka'!$B$5,A1730&lt;='Historia wózka'!$B$6),A1730+0.8+(5000-ROW())/10000000,0)</f>
        <v/>
      </c>
      <c r="J1730" s="63">
        <f>Ustawienia!$B$9&amp;""</f>
        <v/>
      </c>
      <c r="K1730" s="63">
        <f>IF(H1730="","",COUNTIFS('Zgłoszenia'!$B$5:$B$504,F1730,'Zgłoszenia'!$D$5:$D$504,"&gt;="&amp;A1730,'Zgłoszenia'!$D$5:$D$504,"&lt;="&amp;(A1730+1)))</f>
        <v/>
      </c>
      <c r="L1730" s="63">
        <f>IF(OR(H1730="",K1730=0),"—",IF(ISNUMBER(MATCH(H1730,'Zgłoszenia'!$S$5:$S$504,0)),RIGHT("0"&amp;DAY(A1730),2)&amp;"."&amp;RIGHT("0"&amp;MONTH(A1730),2)&amp;"."&amp;YEAR(A1730)&amp;": "&amp;INDEX('Zgłoszenia'!$H$5:$H$504,MATCH(H1730,'Zgłoszenia'!$S$5:$S$504,0)),RIGHT("0"&amp;DAY((A1730+1)),2)&amp;"."&amp;RIGHT("0"&amp;MONTH((A1730+1)),2)&amp;"."&amp;YEAR((A1730+1))&amp;": "&amp;INDEX('Zgłoszenia'!$H$5:$H$504,MATCH(F1730&amp;"|"&amp;(A1730+1),'Zgłoszenia'!$S$5:$S$504,0)))&amp;IF(K1730&gt;1," (+"&amp;(K1730-1)&amp;")",""))</f>
        <v/>
      </c>
      <c r="M1730" s="63" t="n">
        <v>22</v>
      </c>
      <c r="N1730" s="2" t="n"/>
      <c r="O1730" s="2" t="n"/>
    </row>
    <row r="1731">
      <c r="A1731" s="62">
        <f>IF('22'!$C$1="","",'22'!$C$1)</f>
        <v/>
      </c>
      <c r="B1731" s="63">
        <f>Ustawienia!$A$9&amp;""</f>
        <v/>
      </c>
      <c r="C1731" s="63">
        <f>Ustawienia!$A$14&amp;""</f>
        <v/>
      </c>
      <c r="D1731" s="63" t="n">
        <v>2</v>
      </c>
      <c r="E1731" s="63">
        <f>IF('22'!F7="","",TRIM('22'!F7&amp;""))</f>
        <v/>
      </c>
      <c r="F1731" s="63">
        <f>IF('22'!G7="","",'22'!G7)</f>
        <v/>
      </c>
      <c r="G1731" s="63">
        <f>'22'!H7&amp;""</f>
        <v/>
      </c>
      <c r="H1731" s="63">
        <f>IF(OR(A1731="",F1731=""),"",F1731&amp;"|"&amp;A1731)</f>
        <v/>
      </c>
      <c r="I1731" s="63">
        <f>IF(AND(H1731&lt;&gt;"",OR('Historia wózka'!$B$4="",F1731='Historia wózka'!$B$4),A1731&gt;='Historia wózka'!$B$5,A1731&lt;='Historia wózka'!$B$6),A1731+0.8+(5000-ROW())/10000000,0)</f>
        <v/>
      </c>
      <c r="J1731" s="63">
        <f>Ustawienia!$B$9&amp;""</f>
        <v/>
      </c>
      <c r="K1731" s="63">
        <f>IF(H1731="","",COUNTIFS('Zgłoszenia'!$B$5:$B$504,F1731,'Zgłoszenia'!$D$5:$D$504,"&gt;="&amp;A1731,'Zgłoszenia'!$D$5:$D$504,"&lt;="&amp;(A1731+1)))</f>
        <v/>
      </c>
      <c r="L1731" s="63">
        <f>IF(OR(H1731="",K1731=0),"—",IF(ISNUMBER(MATCH(H1731,'Zgłoszenia'!$S$5:$S$504,0)),RIGHT("0"&amp;DAY(A1731),2)&amp;"."&amp;RIGHT("0"&amp;MONTH(A1731),2)&amp;"."&amp;YEAR(A1731)&amp;": "&amp;INDEX('Zgłoszenia'!$H$5:$H$504,MATCH(H1731,'Zgłoszenia'!$S$5:$S$504,0)),RIGHT("0"&amp;DAY((A1731+1)),2)&amp;"."&amp;RIGHT("0"&amp;MONTH((A1731+1)),2)&amp;"."&amp;YEAR((A1731+1))&amp;": "&amp;INDEX('Zgłoszenia'!$H$5:$H$504,MATCH(F1731&amp;"|"&amp;(A1731+1),'Zgłoszenia'!$S$5:$S$504,0)))&amp;IF(K1731&gt;1," (+"&amp;(K1731-1)&amp;")",""))</f>
        <v/>
      </c>
      <c r="M1731" s="63" t="n">
        <v>22</v>
      </c>
      <c r="N1731" s="2" t="n"/>
      <c r="O1731" s="2" t="n"/>
    </row>
    <row r="1732">
      <c r="A1732" s="62">
        <f>IF('22'!$C$1="","",'22'!$C$1)</f>
        <v/>
      </c>
      <c r="B1732" s="63">
        <f>Ustawienia!$A$9&amp;""</f>
        <v/>
      </c>
      <c r="C1732" s="63">
        <f>Ustawienia!$A$14&amp;""</f>
        <v/>
      </c>
      <c r="D1732" s="63" t="n">
        <v>3</v>
      </c>
      <c r="E1732" s="63">
        <f>IF('22'!F8="","",TRIM('22'!F8&amp;""))</f>
        <v/>
      </c>
      <c r="F1732" s="63">
        <f>IF('22'!G8="","",'22'!G8)</f>
        <v/>
      </c>
      <c r="G1732" s="63">
        <f>'22'!H8&amp;""</f>
        <v/>
      </c>
      <c r="H1732" s="63">
        <f>IF(OR(A1732="",F1732=""),"",F1732&amp;"|"&amp;A1732)</f>
        <v/>
      </c>
      <c r="I1732" s="63">
        <f>IF(AND(H1732&lt;&gt;"",OR('Historia wózka'!$B$4="",F1732='Historia wózka'!$B$4),A1732&gt;='Historia wózka'!$B$5,A1732&lt;='Historia wózka'!$B$6),A1732+0.8+(5000-ROW())/10000000,0)</f>
        <v/>
      </c>
      <c r="J1732" s="63">
        <f>Ustawienia!$B$9&amp;""</f>
        <v/>
      </c>
      <c r="K1732" s="63">
        <f>IF(H1732="","",COUNTIFS('Zgłoszenia'!$B$5:$B$504,F1732,'Zgłoszenia'!$D$5:$D$504,"&gt;="&amp;A1732,'Zgłoszenia'!$D$5:$D$504,"&lt;="&amp;(A1732+1)))</f>
        <v/>
      </c>
      <c r="L1732" s="63">
        <f>IF(OR(H1732="",K1732=0),"—",IF(ISNUMBER(MATCH(H1732,'Zgłoszenia'!$S$5:$S$504,0)),RIGHT("0"&amp;DAY(A1732),2)&amp;"."&amp;RIGHT("0"&amp;MONTH(A1732),2)&amp;"."&amp;YEAR(A1732)&amp;": "&amp;INDEX('Zgłoszenia'!$H$5:$H$504,MATCH(H1732,'Zgłoszenia'!$S$5:$S$504,0)),RIGHT("0"&amp;DAY((A1732+1)),2)&amp;"."&amp;RIGHT("0"&amp;MONTH((A1732+1)),2)&amp;"."&amp;YEAR((A1732+1))&amp;": "&amp;INDEX('Zgłoszenia'!$H$5:$H$504,MATCH(F1732&amp;"|"&amp;(A1732+1),'Zgłoszenia'!$S$5:$S$504,0)))&amp;IF(K1732&gt;1," (+"&amp;(K1732-1)&amp;")",""))</f>
        <v/>
      </c>
      <c r="M1732" s="63" t="n">
        <v>22</v>
      </c>
      <c r="N1732" s="2" t="n"/>
      <c r="O1732" s="2" t="n"/>
    </row>
    <row r="1733">
      <c r="A1733" s="62">
        <f>IF('22'!$C$1="","",'22'!$C$1)</f>
        <v/>
      </c>
      <c r="B1733" s="63">
        <f>Ustawienia!$A$9&amp;""</f>
        <v/>
      </c>
      <c r="C1733" s="63">
        <f>Ustawienia!$A$14&amp;""</f>
        <v/>
      </c>
      <c r="D1733" s="63" t="n">
        <v>4</v>
      </c>
      <c r="E1733" s="63">
        <f>IF('22'!F9="","",TRIM('22'!F9&amp;""))</f>
        <v/>
      </c>
      <c r="F1733" s="63">
        <f>IF('22'!G9="","",'22'!G9)</f>
        <v/>
      </c>
      <c r="G1733" s="63">
        <f>'22'!H9&amp;""</f>
        <v/>
      </c>
      <c r="H1733" s="63">
        <f>IF(OR(A1733="",F1733=""),"",F1733&amp;"|"&amp;A1733)</f>
        <v/>
      </c>
      <c r="I1733" s="63">
        <f>IF(AND(H1733&lt;&gt;"",OR('Historia wózka'!$B$4="",F1733='Historia wózka'!$B$4),A1733&gt;='Historia wózka'!$B$5,A1733&lt;='Historia wózka'!$B$6),A1733+0.8+(5000-ROW())/10000000,0)</f>
        <v/>
      </c>
      <c r="J1733" s="63">
        <f>Ustawienia!$B$9&amp;""</f>
        <v/>
      </c>
      <c r="K1733" s="63">
        <f>IF(H1733="","",COUNTIFS('Zgłoszenia'!$B$5:$B$504,F1733,'Zgłoszenia'!$D$5:$D$504,"&gt;="&amp;A1733,'Zgłoszenia'!$D$5:$D$504,"&lt;="&amp;(A1733+1)))</f>
        <v/>
      </c>
      <c r="L1733" s="63">
        <f>IF(OR(H1733="",K1733=0),"—",IF(ISNUMBER(MATCH(H1733,'Zgłoszenia'!$S$5:$S$504,0)),RIGHT("0"&amp;DAY(A1733),2)&amp;"."&amp;RIGHT("0"&amp;MONTH(A1733),2)&amp;"."&amp;YEAR(A1733)&amp;": "&amp;INDEX('Zgłoszenia'!$H$5:$H$504,MATCH(H1733,'Zgłoszenia'!$S$5:$S$504,0)),RIGHT("0"&amp;DAY((A1733+1)),2)&amp;"."&amp;RIGHT("0"&amp;MONTH((A1733+1)),2)&amp;"."&amp;YEAR((A1733+1))&amp;": "&amp;INDEX('Zgłoszenia'!$H$5:$H$504,MATCH(F1733&amp;"|"&amp;(A1733+1),'Zgłoszenia'!$S$5:$S$504,0)))&amp;IF(K1733&gt;1," (+"&amp;(K1733-1)&amp;")",""))</f>
        <v/>
      </c>
      <c r="M1733" s="63" t="n">
        <v>22</v>
      </c>
      <c r="N1733" s="2" t="n"/>
      <c r="O1733" s="2" t="n"/>
    </row>
    <row r="1734">
      <c r="A1734" s="62">
        <f>IF('22'!$C$1="","",'22'!$C$1)</f>
        <v/>
      </c>
      <c r="B1734" s="63">
        <f>Ustawienia!$A$9&amp;""</f>
        <v/>
      </c>
      <c r="C1734" s="63">
        <f>Ustawienia!$A$14&amp;""</f>
        <v/>
      </c>
      <c r="D1734" s="63" t="n">
        <v>5</v>
      </c>
      <c r="E1734" s="63">
        <f>IF('22'!F10="","",TRIM('22'!F10&amp;""))</f>
        <v/>
      </c>
      <c r="F1734" s="63">
        <f>IF('22'!G10="","",'22'!G10)</f>
        <v/>
      </c>
      <c r="G1734" s="63">
        <f>'22'!H10&amp;""</f>
        <v/>
      </c>
      <c r="H1734" s="63">
        <f>IF(OR(A1734="",F1734=""),"",F1734&amp;"|"&amp;A1734)</f>
        <v/>
      </c>
      <c r="I1734" s="63">
        <f>IF(AND(H1734&lt;&gt;"",OR('Historia wózka'!$B$4="",F1734='Historia wózka'!$B$4),A1734&gt;='Historia wózka'!$B$5,A1734&lt;='Historia wózka'!$B$6),A1734+0.8+(5000-ROW())/10000000,0)</f>
        <v/>
      </c>
      <c r="J1734" s="63">
        <f>Ustawienia!$B$9&amp;""</f>
        <v/>
      </c>
      <c r="K1734" s="63">
        <f>IF(H1734="","",COUNTIFS('Zgłoszenia'!$B$5:$B$504,F1734,'Zgłoszenia'!$D$5:$D$504,"&gt;="&amp;A1734,'Zgłoszenia'!$D$5:$D$504,"&lt;="&amp;(A1734+1)))</f>
        <v/>
      </c>
      <c r="L1734" s="63">
        <f>IF(OR(H1734="",K1734=0),"—",IF(ISNUMBER(MATCH(H1734,'Zgłoszenia'!$S$5:$S$504,0)),RIGHT("0"&amp;DAY(A1734),2)&amp;"."&amp;RIGHT("0"&amp;MONTH(A1734),2)&amp;"."&amp;YEAR(A1734)&amp;": "&amp;INDEX('Zgłoszenia'!$H$5:$H$504,MATCH(H1734,'Zgłoszenia'!$S$5:$S$504,0)),RIGHT("0"&amp;DAY((A1734+1)),2)&amp;"."&amp;RIGHT("0"&amp;MONTH((A1734+1)),2)&amp;"."&amp;YEAR((A1734+1))&amp;": "&amp;INDEX('Zgłoszenia'!$H$5:$H$504,MATCH(F1734&amp;"|"&amp;(A1734+1),'Zgłoszenia'!$S$5:$S$504,0)))&amp;IF(K1734&gt;1," (+"&amp;(K1734-1)&amp;")",""))</f>
        <v/>
      </c>
      <c r="M1734" s="63" t="n">
        <v>22</v>
      </c>
      <c r="N1734" s="2" t="n"/>
      <c r="O1734" s="2" t="n"/>
    </row>
    <row r="1735">
      <c r="A1735" s="62">
        <f>IF('22'!$C$1="","",'22'!$C$1)</f>
        <v/>
      </c>
      <c r="B1735" s="63">
        <f>Ustawienia!$A$9&amp;""</f>
        <v/>
      </c>
      <c r="C1735" s="63">
        <f>Ustawienia!$A$14&amp;""</f>
        <v/>
      </c>
      <c r="D1735" s="63" t="n">
        <v>6</v>
      </c>
      <c r="E1735" s="63">
        <f>IF('22'!F11="","",TRIM('22'!F11&amp;""))</f>
        <v/>
      </c>
      <c r="F1735" s="63">
        <f>IF('22'!G11="","",'22'!G11)</f>
        <v/>
      </c>
      <c r="G1735" s="63">
        <f>'22'!H11&amp;""</f>
        <v/>
      </c>
      <c r="H1735" s="63">
        <f>IF(OR(A1735="",F1735=""),"",F1735&amp;"|"&amp;A1735)</f>
        <v/>
      </c>
      <c r="I1735" s="63">
        <f>IF(AND(H1735&lt;&gt;"",OR('Historia wózka'!$B$4="",F1735='Historia wózka'!$B$4),A1735&gt;='Historia wózka'!$B$5,A1735&lt;='Historia wózka'!$B$6),A1735+0.8+(5000-ROW())/10000000,0)</f>
        <v/>
      </c>
      <c r="J1735" s="63">
        <f>Ustawienia!$B$9&amp;""</f>
        <v/>
      </c>
      <c r="K1735" s="63">
        <f>IF(H1735="","",COUNTIFS('Zgłoszenia'!$B$5:$B$504,F1735,'Zgłoszenia'!$D$5:$D$504,"&gt;="&amp;A1735,'Zgłoszenia'!$D$5:$D$504,"&lt;="&amp;(A1735+1)))</f>
        <v/>
      </c>
      <c r="L1735" s="63">
        <f>IF(OR(H1735="",K1735=0),"—",IF(ISNUMBER(MATCH(H1735,'Zgłoszenia'!$S$5:$S$504,0)),RIGHT("0"&amp;DAY(A1735),2)&amp;"."&amp;RIGHT("0"&amp;MONTH(A1735),2)&amp;"."&amp;YEAR(A1735)&amp;": "&amp;INDEX('Zgłoszenia'!$H$5:$H$504,MATCH(H1735,'Zgłoszenia'!$S$5:$S$504,0)),RIGHT("0"&amp;DAY((A1735+1)),2)&amp;"."&amp;RIGHT("0"&amp;MONTH((A1735+1)),2)&amp;"."&amp;YEAR((A1735+1))&amp;": "&amp;INDEX('Zgłoszenia'!$H$5:$H$504,MATCH(F1735&amp;"|"&amp;(A1735+1),'Zgłoszenia'!$S$5:$S$504,0)))&amp;IF(K1735&gt;1," (+"&amp;(K1735-1)&amp;")",""))</f>
        <v/>
      </c>
      <c r="M1735" s="63" t="n">
        <v>22</v>
      </c>
      <c r="N1735" s="2" t="n"/>
      <c r="O1735" s="2" t="n"/>
    </row>
    <row r="1736">
      <c r="A1736" s="62">
        <f>IF('22'!$C$1="","",'22'!$C$1)</f>
        <v/>
      </c>
      <c r="B1736" s="63">
        <f>Ustawienia!$A$9&amp;""</f>
        <v/>
      </c>
      <c r="C1736" s="63">
        <f>Ustawienia!$A$15&amp;""</f>
        <v/>
      </c>
      <c r="D1736" s="63" t="n">
        <v>1</v>
      </c>
      <c r="E1736" s="63">
        <f>IF('22'!F13="","",TRIM('22'!F13&amp;""))</f>
        <v/>
      </c>
      <c r="F1736" s="63">
        <f>IF('22'!G13="","",'22'!G13)</f>
        <v/>
      </c>
      <c r="G1736" s="63">
        <f>'22'!H13&amp;""</f>
        <v/>
      </c>
      <c r="H1736" s="63">
        <f>IF(OR(A1736="",F1736=""),"",F1736&amp;"|"&amp;A1736)</f>
        <v/>
      </c>
      <c r="I1736" s="63">
        <f>IF(AND(H1736&lt;&gt;"",OR('Historia wózka'!$B$4="",F1736='Historia wózka'!$B$4),A1736&gt;='Historia wózka'!$B$5,A1736&lt;='Historia wózka'!$B$6),A1736+0.8+(5000-ROW())/10000000,0)</f>
        <v/>
      </c>
      <c r="J1736" s="63">
        <f>Ustawienia!$B$9&amp;""</f>
        <v/>
      </c>
      <c r="K1736" s="63">
        <f>IF(H1736="","",COUNTIFS('Zgłoszenia'!$B$5:$B$504,F1736,'Zgłoszenia'!$D$5:$D$504,"&gt;="&amp;A1736,'Zgłoszenia'!$D$5:$D$504,"&lt;="&amp;(A1736+1)))</f>
        <v/>
      </c>
      <c r="L1736" s="63">
        <f>IF(OR(H1736="",K1736=0),"—",IF(ISNUMBER(MATCH(H1736,'Zgłoszenia'!$S$5:$S$504,0)),RIGHT("0"&amp;DAY(A1736),2)&amp;"."&amp;RIGHT("0"&amp;MONTH(A1736),2)&amp;"."&amp;YEAR(A1736)&amp;": "&amp;INDEX('Zgłoszenia'!$H$5:$H$504,MATCH(H1736,'Zgłoszenia'!$S$5:$S$504,0)),RIGHT("0"&amp;DAY((A1736+1)),2)&amp;"."&amp;RIGHT("0"&amp;MONTH((A1736+1)),2)&amp;"."&amp;YEAR((A1736+1))&amp;": "&amp;INDEX('Zgłoszenia'!$H$5:$H$504,MATCH(F1736&amp;"|"&amp;(A1736+1),'Zgłoszenia'!$S$5:$S$504,0)))&amp;IF(K1736&gt;1," (+"&amp;(K1736-1)&amp;")",""))</f>
        <v/>
      </c>
      <c r="M1736" s="63" t="n">
        <v>22</v>
      </c>
      <c r="N1736" s="2" t="n"/>
      <c r="O1736" s="2" t="n"/>
    </row>
    <row r="1737">
      <c r="A1737" s="62">
        <f>IF('22'!$C$1="","",'22'!$C$1)</f>
        <v/>
      </c>
      <c r="B1737" s="63">
        <f>Ustawienia!$A$9&amp;""</f>
        <v/>
      </c>
      <c r="C1737" s="63">
        <f>Ustawienia!$A$15&amp;""</f>
        <v/>
      </c>
      <c r="D1737" s="63" t="n">
        <v>2</v>
      </c>
      <c r="E1737" s="63">
        <f>IF('22'!F14="","",TRIM('22'!F14&amp;""))</f>
        <v/>
      </c>
      <c r="F1737" s="63">
        <f>IF('22'!G14="","",'22'!G14)</f>
        <v/>
      </c>
      <c r="G1737" s="63">
        <f>'22'!H14&amp;""</f>
        <v/>
      </c>
      <c r="H1737" s="63">
        <f>IF(OR(A1737="",F1737=""),"",F1737&amp;"|"&amp;A1737)</f>
        <v/>
      </c>
      <c r="I1737" s="63">
        <f>IF(AND(H1737&lt;&gt;"",OR('Historia wózka'!$B$4="",F1737='Historia wózka'!$B$4),A1737&gt;='Historia wózka'!$B$5,A1737&lt;='Historia wózka'!$B$6),A1737+0.8+(5000-ROW())/10000000,0)</f>
        <v/>
      </c>
      <c r="J1737" s="63">
        <f>Ustawienia!$B$9&amp;""</f>
        <v/>
      </c>
      <c r="K1737" s="63">
        <f>IF(H1737="","",COUNTIFS('Zgłoszenia'!$B$5:$B$504,F1737,'Zgłoszenia'!$D$5:$D$504,"&gt;="&amp;A1737,'Zgłoszenia'!$D$5:$D$504,"&lt;="&amp;(A1737+1)))</f>
        <v/>
      </c>
      <c r="L1737" s="63">
        <f>IF(OR(H1737="",K1737=0),"—",IF(ISNUMBER(MATCH(H1737,'Zgłoszenia'!$S$5:$S$504,0)),RIGHT("0"&amp;DAY(A1737),2)&amp;"."&amp;RIGHT("0"&amp;MONTH(A1737),2)&amp;"."&amp;YEAR(A1737)&amp;": "&amp;INDEX('Zgłoszenia'!$H$5:$H$504,MATCH(H1737,'Zgłoszenia'!$S$5:$S$504,0)),RIGHT("0"&amp;DAY((A1737+1)),2)&amp;"."&amp;RIGHT("0"&amp;MONTH((A1737+1)),2)&amp;"."&amp;YEAR((A1737+1))&amp;": "&amp;INDEX('Zgłoszenia'!$H$5:$H$504,MATCH(F1737&amp;"|"&amp;(A1737+1),'Zgłoszenia'!$S$5:$S$504,0)))&amp;IF(K1737&gt;1," (+"&amp;(K1737-1)&amp;")",""))</f>
        <v/>
      </c>
      <c r="M1737" s="63" t="n">
        <v>22</v>
      </c>
      <c r="N1737" s="2" t="n"/>
      <c r="O1737" s="2" t="n"/>
    </row>
    <row r="1738">
      <c r="A1738" s="62">
        <f>IF('22'!$C$1="","",'22'!$C$1)</f>
        <v/>
      </c>
      <c r="B1738" s="63">
        <f>Ustawienia!$A$9&amp;""</f>
        <v/>
      </c>
      <c r="C1738" s="63">
        <f>Ustawienia!$A$15&amp;""</f>
        <v/>
      </c>
      <c r="D1738" s="63" t="n">
        <v>3</v>
      </c>
      <c r="E1738" s="63">
        <f>IF('22'!F15="","",TRIM('22'!F15&amp;""))</f>
        <v/>
      </c>
      <c r="F1738" s="63">
        <f>IF('22'!G15="","",'22'!G15)</f>
        <v/>
      </c>
      <c r="G1738" s="63">
        <f>'22'!H15&amp;""</f>
        <v/>
      </c>
      <c r="H1738" s="63">
        <f>IF(OR(A1738="",F1738=""),"",F1738&amp;"|"&amp;A1738)</f>
        <v/>
      </c>
      <c r="I1738" s="63">
        <f>IF(AND(H1738&lt;&gt;"",OR('Historia wózka'!$B$4="",F1738='Historia wózka'!$B$4),A1738&gt;='Historia wózka'!$B$5,A1738&lt;='Historia wózka'!$B$6),A1738+0.8+(5000-ROW())/10000000,0)</f>
        <v/>
      </c>
      <c r="J1738" s="63">
        <f>Ustawienia!$B$9&amp;""</f>
        <v/>
      </c>
      <c r="K1738" s="63">
        <f>IF(H1738="","",COUNTIFS('Zgłoszenia'!$B$5:$B$504,F1738,'Zgłoszenia'!$D$5:$D$504,"&gt;="&amp;A1738,'Zgłoszenia'!$D$5:$D$504,"&lt;="&amp;(A1738+1)))</f>
        <v/>
      </c>
      <c r="L1738" s="63">
        <f>IF(OR(H1738="",K1738=0),"—",IF(ISNUMBER(MATCH(H1738,'Zgłoszenia'!$S$5:$S$504,0)),RIGHT("0"&amp;DAY(A1738),2)&amp;"."&amp;RIGHT("0"&amp;MONTH(A1738),2)&amp;"."&amp;YEAR(A1738)&amp;": "&amp;INDEX('Zgłoszenia'!$H$5:$H$504,MATCH(H1738,'Zgłoszenia'!$S$5:$S$504,0)),RIGHT("0"&amp;DAY((A1738+1)),2)&amp;"."&amp;RIGHT("0"&amp;MONTH((A1738+1)),2)&amp;"."&amp;YEAR((A1738+1))&amp;": "&amp;INDEX('Zgłoszenia'!$H$5:$H$504,MATCH(F1738&amp;"|"&amp;(A1738+1),'Zgłoszenia'!$S$5:$S$504,0)))&amp;IF(K1738&gt;1," (+"&amp;(K1738-1)&amp;")",""))</f>
        <v/>
      </c>
      <c r="M1738" s="63" t="n">
        <v>22</v>
      </c>
      <c r="N1738" s="2" t="n"/>
      <c r="O1738" s="2" t="n"/>
    </row>
    <row r="1739">
      <c r="A1739" s="62">
        <f>IF('22'!$C$1="","",'22'!$C$1)</f>
        <v/>
      </c>
      <c r="B1739" s="63">
        <f>Ustawienia!$A$9&amp;""</f>
        <v/>
      </c>
      <c r="C1739" s="63">
        <f>Ustawienia!$A$15&amp;""</f>
        <v/>
      </c>
      <c r="D1739" s="63" t="n">
        <v>4</v>
      </c>
      <c r="E1739" s="63">
        <f>IF('22'!F16="","",TRIM('22'!F16&amp;""))</f>
        <v/>
      </c>
      <c r="F1739" s="63">
        <f>IF('22'!G16="","",'22'!G16)</f>
        <v/>
      </c>
      <c r="G1739" s="63">
        <f>'22'!H16&amp;""</f>
        <v/>
      </c>
      <c r="H1739" s="63">
        <f>IF(OR(A1739="",F1739=""),"",F1739&amp;"|"&amp;A1739)</f>
        <v/>
      </c>
      <c r="I1739" s="63">
        <f>IF(AND(H1739&lt;&gt;"",OR('Historia wózka'!$B$4="",F1739='Historia wózka'!$B$4),A1739&gt;='Historia wózka'!$B$5,A1739&lt;='Historia wózka'!$B$6),A1739+0.8+(5000-ROW())/10000000,0)</f>
        <v/>
      </c>
      <c r="J1739" s="63">
        <f>Ustawienia!$B$9&amp;""</f>
        <v/>
      </c>
      <c r="K1739" s="63">
        <f>IF(H1739="","",COUNTIFS('Zgłoszenia'!$B$5:$B$504,F1739,'Zgłoszenia'!$D$5:$D$504,"&gt;="&amp;A1739,'Zgłoszenia'!$D$5:$D$504,"&lt;="&amp;(A1739+1)))</f>
        <v/>
      </c>
      <c r="L1739" s="63">
        <f>IF(OR(H1739="",K1739=0),"—",IF(ISNUMBER(MATCH(H1739,'Zgłoszenia'!$S$5:$S$504,0)),RIGHT("0"&amp;DAY(A1739),2)&amp;"."&amp;RIGHT("0"&amp;MONTH(A1739),2)&amp;"."&amp;YEAR(A1739)&amp;": "&amp;INDEX('Zgłoszenia'!$H$5:$H$504,MATCH(H1739,'Zgłoszenia'!$S$5:$S$504,0)),RIGHT("0"&amp;DAY((A1739+1)),2)&amp;"."&amp;RIGHT("0"&amp;MONTH((A1739+1)),2)&amp;"."&amp;YEAR((A1739+1))&amp;": "&amp;INDEX('Zgłoszenia'!$H$5:$H$504,MATCH(F1739&amp;"|"&amp;(A1739+1),'Zgłoszenia'!$S$5:$S$504,0)))&amp;IF(K1739&gt;1," (+"&amp;(K1739-1)&amp;")",""))</f>
        <v/>
      </c>
      <c r="M1739" s="63" t="n">
        <v>22</v>
      </c>
      <c r="N1739" s="2" t="n"/>
      <c r="O1739" s="2" t="n"/>
    </row>
    <row r="1740">
      <c r="A1740" s="62">
        <f>IF('22'!$C$1="","",'22'!$C$1)</f>
        <v/>
      </c>
      <c r="B1740" s="63">
        <f>Ustawienia!$A$9&amp;""</f>
        <v/>
      </c>
      <c r="C1740" s="63">
        <f>Ustawienia!$A$15&amp;""</f>
        <v/>
      </c>
      <c r="D1740" s="63" t="n">
        <v>5</v>
      </c>
      <c r="E1740" s="63">
        <f>IF('22'!F17="","",TRIM('22'!F17&amp;""))</f>
        <v/>
      </c>
      <c r="F1740" s="63">
        <f>IF('22'!G17="","",'22'!G17)</f>
        <v/>
      </c>
      <c r="G1740" s="63">
        <f>'22'!H17&amp;""</f>
        <v/>
      </c>
      <c r="H1740" s="63">
        <f>IF(OR(A1740="",F1740=""),"",F1740&amp;"|"&amp;A1740)</f>
        <v/>
      </c>
      <c r="I1740" s="63">
        <f>IF(AND(H1740&lt;&gt;"",OR('Historia wózka'!$B$4="",F1740='Historia wózka'!$B$4),A1740&gt;='Historia wózka'!$B$5,A1740&lt;='Historia wózka'!$B$6),A1740+0.8+(5000-ROW())/10000000,0)</f>
        <v/>
      </c>
      <c r="J1740" s="63">
        <f>Ustawienia!$B$9&amp;""</f>
        <v/>
      </c>
      <c r="K1740" s="63">
        <f>IF(H1740="","",COUNTIFS('Zgłoszenia'!$B$5:$B$504,F1740,'Zgłoszenia'!$D$5:$D$504,"&gt;="&amp;A1740,'Zgłoszenia'!$D$5:$D$504,"&lt;="&amp;(A1740+1)))</f>
        <v/>
      </c>
      <c r="L1740" s="63">
        <f>IF(OR(H1740="",K1740=0),"—",IF(ISNUMBER(MATCH(H1740,'Zgłoszenia'!$S$5:$S$504,0)),RIGHT("0"&amp;DAY(A1740),2)&amp;"."&amp;RIGHT("0"&amp;MONTH(A1740),2)&amp;"."&amp;YEAR(A1740)&amp;": "&amp;INDEX('Zgłoszenia'!$H$5:$H$504,MATCH(H1740,'Zgłoszenia'!$S$5:$S$504,0)),RIGHT("0"&amp;DAY((A1740+1)),2)&amp;"."&amp;RIGHT("0"&amp;MONTH((A1740+1)),2)&amp;"."&amp;YEAR((A1740+1))&amp;": "&amp;INDEX('Zgłoszenia'!$H$5:$H$504,MATCH(F1740&amp;"|"&amp;(A1740+1),'Zgłoszenia'!$S$5:$S$504,0)))&amp;IF(K1740&gt;1," (+"&amp;(K1740-1)&amp;")",""))</f>
        <v/>
      </c>
      <c r="M1740" s="63" t="n">
        <v>22</v>
      </c>
      <c r="N1740" s="2" t="n"/>
      <c r="O1740" s="2" t="n"/>
    </row>
    <row r="1741">
      <c r="A1741" s="62">
        <f>IF('22'!$C$1="","",'22'!$C$1)</f>
        <v/>
      </c>
      <c r="B1741" s="63">
        <f>Ustawienia!$A$9&amp;""</f>
        <v/>
      </c>
      <c r="C1741" s="63">
        <f>Ustawienia!$A$15&amp;""</f>
        <v/>
      </c>
      <c r="D1741" s="63" t="n">
        <v>6</v>
      </c>
      <c r="E1741" s="63">
        <f>IF('22'!F18="","",TRIM('22'!F18&amp;""))</f>
        <v/>
      </c>
      <c r="F1741" s="63">
        <f>IF('22'!G18="","",'22'!G18)</f>
        <v/>
      </c>
      <c r="G1741" s="63">
        <f>'22'!H18&amp;""</f>
        <v/>
      </c>
      <c r="H1741" s="63">
        <f>IF(OR(A1741="",F1741=""),"",F1741&amp;"|"&amp;A1741)</f>
        <v/>
      </c>
      <c r="I1741" s="63">
        <f>IF(AND(H1741&lt;&gt;"",OR('Historia wózka'!$B$4="",F1741='Historia wózka'!$B$4),A1741&gt;='Historia wózka'!$B$5,A1741&lt;='Historia wózka'!$B$6),A1741+0.8+(5000-ROW())/10000000,0)</f>
        <v/>
      </c>
      <c r="J1741" s="63">
        <f>Ustawienia!$B$9&amp;""</f>
        <v/>
      </c>
      <c r="K1741" s="63">
        <f>IF(H1741="","",COUNTIFS('Zgłoszenia'!$B$5:$B$504,F1741,'Zgłoszenia'!$D$5:$D$504,"&gt;="&amp;A1741,'Zgłoszenia'!$D$5:$D$504,"&lt;="&amp;(A1741+1)))</f>
        <v/>
      </c>
      <c r="L1741" s="63">
        <f>IF(OR(H1741="",K1741=0),"—",IF(ISNUMBER(MATCH(H1741,'Zgłoszenia'!$S$5:$S$504,0)),RIGHT("0"&amp;DAY(A1741),2)&amp;"."&amp;RIGHT("0"&amp;MONTH(A1741),2)&amp;"."&amp;YEAR(A1741)&amp;": "&amp;INDEX('Zgłoszenia'!$H$5:$H$504,MATCH(H1741,'Zgłoszenia'!$S$5:$S$504,0)),RIGHT("0"&amp;DAY((A1741+1)),2)&amp;"."&amp;RIGHT("0"&amp;MONTH((A1741+1)),2)&amp;"."&amp;YEAR((A1741+1))&amp;": "&amp;INDEX('Zgłoszenia'!$H$5:$H$504,MATCH(F1741&amp;"|"&amp;(A1741+1),'Zgłoszenia'!$S$5:$S$504,0)))&amp;IF(K1741&gt;1," (+"&amp;(K1741-1)&amp;")",""))</f>
        <v/>
      </c>
      <c r="M1741" s="63" t="n">
        <v>22</v>
      </c>
      <c r="N1741" s="2" t="n"/>
      <c r="O1741" s="2" t="n"/>
    </row>
    <row r="1742">
      <c r="A1742" s="62">
        <f>IF('22'!$C$1="","",'22'!$C$1)</f>
        <v/>
      </c>
      <c r="B1742" s="63">
        <f>Ustawienia!$A$9&amp;""</f>
        <v/>
      </c>
      <c r="C1742" s="63">
        <f>Ustawienia!$A$15&amp;""</f>
        <v/>
      </c>
      <c r="D1742" s="63" t="n">
        <v>7</v>
      </c>
      <c r="E1742" s="63">
        <f>IF('22'!F19="","",TRIM('22'!F19&amp;""))</f>
        <v/>
      </c>
      <c r="F1742" s="63">
        <f>IF('22'!G19="","",'22'!G19)</f>
        <v/>
      </c>
      <c r="G1742" s="63">
        <f>'22'!H19&amp;""</f>
        <v/>
      </c>
      <c r="H1742" s="63">
        <f>IF(OR(A1742="",F1742=""),"",F1742&amp;"|"&amp;A1742)</f>
        <v/>
      </c>
      <c r="I1742" s="63">
        <f>IF(AND(H1742&lt;&gt;"",OR('Historia wózka'!$B$4="",F1742='Historia wózka'!$B$4),A1742&gt;='Historia wózka'!$B$5,A1742&lt;='Historia wózka'!$B$6),A1742+0.8+(5000-ROW())/10000000,0)</f>
        <v/>
      </c>
      <c r="J1742" s="63">
        <f>Ustawienia!$B$9&amp;""</f>
        <v/>
      </c>
      <c r="K1742" s="63">
        <f>IF(H1742="","",COUNTIFS('Zgłoszenia'!$B$5:$B$504,F1742,'Zgłoszenia'!$D$5:$D$504,"&gt;="&amp;A1742,'Zgłoszenia'!$D$5:$D$504,"&lt;="&amp;(A1742+1)))</f>
        <v/>
      </c>
      <c r="L1742" s="63">
        <f>IF(OR(H1742="",K1742=0),"—",IF(ISNUMBER(MATCH(H1742,'Zgłoszenia'!$S$5:$S$504,0)),RIGHT("0"&amp;DAY(A1742),2)&amp;"."&amp;RIGHT("0"&amp;MONTH(A1742),2)&amp;"."&amp;YEAR(A1742)&amp;": "&amp;INDEX('Zgłoszenia'!$H$5:$H$504,MATCH(H1742,'Zgłoszenia'!$S$5:$S$504,0)),RIGHT("0"&amp;DAY((A1742+1)),2)&amp;"."&amp;RIGHT("0"&amp;MONTH((A1742+1)),2)&amp;"."&amp;YEAR((A1742+1))&amp;": "&amp;INDEX('Zgłoszenia'!$H$5:$H$504,MATCH(F1742&amp;"|"&amp;(A1742+1),'Zgłoszenia'!$S$5:$S$504,0)))&amp;IF(K1742&gt;1," (+"&amp;(K1742-1)&amp;")",""))</f>
        <v/>
      </c>
      <c r="M1742" s="63" t="n">
        <v>22</v>
      </c>
      <c r="N1742" s="2" t="n"/>
      <c r="O1742" s="2" t="n"/>
    </row>
    <row r="1743">
      <c r="A1743" s="62">
        <f>IF('22'!$C$1="","",'22'!$C$1)</f>
        <v/>
      </c>
      <c r="B1743" s="63">
        <f>Ustawienia!$A$9&amp;""</f>
        <v/>
      </c>
      <c r="C1743" s="63">
        <f>Ustawienia!$A$15&amp;""</f>
        <v/>
      </c>
      <c r="D1743" s="63" t="n">
        <v>8</v>
      </c>
      <c r="E1743" s="63">
        <f>IF('22'!F20="","",TRIM('22'!F20&amp;""))</f>
        <v/>
      </c>
      <c r="F1743" s="63">
        <f>IF('22'!G20="","",'22'!G20)</f>
        <v/>
      </c>
      <c r="G1743" s="63">
        <f>'22'!H20&amp;""</f>
        <v/>
      </c>
      <c r="H1743" s="63">
        <f>IF(OR(A1743="",F1743=""),"",F1743&amp;"|"&amp;A1743)</f>
        <v/>
      </c>
      <c r="I1743" s="63">
        <f>IF(AND(H1743&lt;&gt;"",OR('Historia wózka'!$B$4="",F1743='Historia wózka'!$B$4),A1743&gt;='Historia wózka'!$B$5,A1743&lt;='Historia wózka'!$B$6),A1743+0.8+(5000-ROW())/10000000,0)</f>
        <v/>
      </c>
      <c r="J1743" s="63">
        <f>Ustawienia!$B$9&amp;""</f>
        <v/>
      </c>
      <c r="K1743" s="63">
        <f>IF(H1743="","",COUNTIFS('Zgłoszenia'!$B$5:$B$504,F1743,'Zgłoszenia'!$D$5:$D$504,"&gt;="&amp;A1743,'Zgłoszenia'!$D$5:$D$504,"&lt;="&amp;(A1743+1)))</f>
        <v/>
      </c>
      <c r="L1743" s="63">
        <f>IF(OR(H1743="",K1743=0),"—",IF(ISNUMBER(MATCH(H1743,'Zgłoszenia'!$S$5:$S$504,0)),RIGHT("0"&amp;DAY(A1743),2)&amp;"."&amp;RIGHT("0"&amp;MONTH(A1743),2)&amp;"."&amp;YEAR(A1743)&amp;": "&amp;INDEX('Zgłoszenia'!$H$5:$H$504,MATCH(H1743,'Zgłoszenia'!$S$5:$S$504,0)),RIGHT("0"&amp;DAY((A1743+1)),2)&amp;"."&amp;RIGHT("0"&amp;MONTH((A1743+1)),2)&amp;"."&amp;YEAR((A1743+1))&amp;": "&amp;INDEX('Zgłoszenia'!$H$5:$H$504,MATCH(F1743&amp;"|"&amp;(A1743+1),'Zgłoszenia'!$S$5:$S$504,0)))&amp;IF(K1743&gt;1," (+"&amp;(K1743-1)&amp;")",""))</f>
        <v/>
      </c>
      <c r="M1743" s="63" t="n">
        <v>22</v>
      </c>
      <c r="N1743" s="2" t="n"/>
      <c r="O1743" s="2" t="n"/>
    </row>
    <row r="1744">
      <c r="A1744" s="62">
        <f>IF('22'!$C$1="","",'22'!$C$1)</f>
        <v/>
      </c>
      <c r="B1744" s="63">
        <f>Ustawienia!$A$9&amp;""</f>
        <v/>
      </c>
      <c r="C1744" s="63">
        <f>Ustawienia!$A$16&amp;""</f>
        <v/>
      </c>
      <c r="D1744" s="63" t="n">
        <v>1</v>
      </c>
      <c r="E1744" s="63">
        <f>IF('22'!F22="","",TRIM('22'!F22&amp;""))</f>
        <v/>
      </c>
      <c r="F1744" s="63">
        <f>IF('22'!G22="","",'22'!G22)</f>
        <v/>
      </c>
      <c r="G1744" s="63">
        <f>'22'!H22&amp;""</f>
        <v/>
      </c>
      <c r="H1744" s="63">
        <f>IF(OR(A1744="",F1744=""),"",F1744&amp;"|"&amp;A1744)</f>
        <v/>
      </c>
      <c r="I1744" s="63">
        <f>IF(AND(H1744&lt;&gt;"",OR('Historia wózka'!$B$4="",F1744='Historia wózka'!$B$4),A1744&gt;='Historia wózka'!$B$5,A1744&lt;='Historia wózka'!$B$6),A1744+0.8+(5000-ROW())/10000000,0)</f>
        <v/>
      </c>
      <c r="J1744" s="63">
        <f>Ustawienia!$B$9&amp;""</f>
        <v/>
      </c>
      <c r="K1744" s="63">
        <f>IF(H1744="","",COUNTIFS('Zgłoszenia'!$B$5:$B$504,F1744,'Zgłoszenia'!$D$5:$D$504,"&gt;="&amp;A1744,'Zgłoszenia'!$D$5:$D$504,"&lt;="&amp;(A1744+1)))</f>
        <v/>
      </c>
      <c r="L1744" s="63">
        <f>IF(OR(H1744="",K1744=0),"—",IF(ISNUMBER(MATCH(H1744,'Zgłoszenia'!$S$5:$S$504,0)),RIGHT("0"&amp;DAY(A1744),2)&amp;"."&amp;RIGHT("0"&amp;MONTH(A1744),2)&amp;"."&amp;YEAR(A1744)&amp;": "&amp;INDEX('Zgłoszenia'!$H$5:$H$504,MATCH(H1744,'Zgłoszenia'!$S$5:$S$504,0)),RIGHT("0"&amp;DAY((A1744+1)),2)&amp;"."&amp;RIGHT("0"&amp;MONTH((A1744+1)),2)&amp;"."&amp;YEAR((A1744+1))&amp;": "&amp;INDEX('Zgłoszenia'!$H$5:$H$504,MATCH(F1744&amp;"|"&amp;(A1744+1),'Zgłoszenia'!$S$5:$S$504,0)))&amp;IF(K1744&gt;1," (+"&amp;(K1744-1)&amp;")",""))</f>
        <v/>
      </c>
      <c r="M1744" s="63" t="n">
        <v>22</v>
      </c>
      <c r="N1744" s="2" t="n"/>
      <c r="O1744" s="2" t="n"/>
    </row>
    <row r="1745">
      <c r="A1745" s="62">
        <f>IF('22'!$C$1="","",'22'!$C$1)</f>
        <v/>
      </c>
      <c r="B1745" s="63">
        <f>Ustawienia!$A$9&amp;""</f>
        <v/>
      </c>
      <c r="C1745" s="63">
        <f>Ustawienia!$A$16&amp;""</f>
        <v/>
      </c>
      <c r="D1745" s="63" t="n">
        <v>2</v>
      </c>
      <c r="E1745" s="63">
        <f>IF('22'!F23="","",TRIM('22'!F23&amp;""))</f>
        <v/>
      </c>
      <c r="F1745" s="63">
        <f>IF('22'!G23="","",'22'!G23)</f>
        <v/>
      </c>
      <c r="G1745" s="63">
        <f>'22'!H23&amp;""</f>
        <v/>
      </c>
      <c r="H1745" s="63">
        <f>IF(OR(A1745="",F1745=""),"",F1745&amp;"|"&amp;A1745)</f>
        <v/>
      </c>
      <c r="I1745" s="63">
        <f>IF(AND(H1745&lt;&gt;"",OR('Historia wózka'!$B$4="",F1745='Historia wózka'!$B$4),A1745&gt;='Historia wózka'!$B$5,A1745&lt;='Historia wózka'!$B$6),A1745+0.8+(5000-ROW())/10000000,0)</f>
        <v/>
      </c>
      <c r="J1745" s="63">
        <f>Ustawienia!$B$9&amp;""</f>
        <v/>
      </c>
      <c r="K1745" s="63">
        <f>IF(H1745="","",COUNTIFS('Zgłoszenia'!$B$5:$B$504,F1745,'Zgłoszenia'!$D$5:$D$504,"&gt;="&amp;A1745,'Zgłoszenia'!$D$5:$D$504,"&lt;="&amp;(A1745+1)))</f>
        <v/>
      </c>
      <c r="L1745" s="63">
        <f>IF(OR(H1745="",K1745=0),"—",IF(ISNUMBER(MATCH(H1745,'Zgłoszenia'!$S$5:$S$504,0)),RIGHT("0"&amp;DAY(A1745),2)&amp;"."&amp;RIGHT("0"&amp;MONTH(A1745),2)&amp;"."&amp;YEAR(A1745)&amp;": "&amp;INDEX('Zgłoszenia'!$H$5:$H$504,MATCH(H1745,'Zgłoszenia'!$S$5:$S$504,0)),RIGHT("0"&amp;DAY((A1745+1)),2)&amp;"."&amp;RIGHT("0"&amp;MONTH((A1745+1)),2)&amp;"."&amp;YEAR((A1745+1))&amp;": "&amp;INDEX('Zgłoszenia'!$H$5:$H$504,MATCH(F1745&amp;"|"&amp;(A1745+1),'Zgłoszenia'!$S$5:$S$504,0)))&amp;IF(K1745&gt;1," (+"&amp;(K1745-1)&amp;")",""))</f>
        <v/>
      </c>
      <c r="M1745" s="63" t="n">
        <v>22</v>
      </c>
      <c r="N1745" s="2" t="n"/>
      <c r="O1745" s="2" t="n"/>
    </row>
    <row r="1746">
      <c r="A1746" s="62">
        <f>IF('22'!$C$1="","",'22'!$C$1)</f>
        <v/>
      </c>
      <c r="B1746" s="63">
        <f>Ustawienia!$A$9&amp;""</f>
        <v/>
      </c>
      <c r="C1746" s="63">
        <f>Ustawienia!$A$16&amp;""</f>
        <v/>
      </c>
      <c r="D1746" s="63" t="n">
        <v>3</v>
      </c>
      <c r="E1746" s="63">
        <f>IF('22'!F24="","",TRIM('22'!F24&amp;""))</f>
        <v/>
      </c>
      <c r="F1746" s="63">
        <f>IF('22'!G24="","",'22'!G24)</f>
        <v/>
      </c>
      <c r="G1746" s="63">
        <f>'22'!H24&amp;""</f>
        <v/>
      </c>
      <c r="H1746" s="63">
        <f>IF(OR(A1746="",F1746=""),"",F1746&amp;"|"&amp;A1746)</f>
        <v/>
      </c>
      <c r="I1746" s="63">
        <f>IF(AND(H1746&lt;&gt;"",OR('Historia wózka'!$B$4="",F1746='Historia wózka'!$B$4),A1746&gt;='Historia wózka'!$B$5,A1746&lt;='Historia wózka'!$B$6),A1746+0.8+(5000-ROW())/10000000,0)</f>
        <v/>
      </c>
      <c r="J1746" s="63">
        <f>Ustawienia!$B$9&amp;""</f>
        <v/>
      </c>
      <c r="K1746" s="63">
        <f>IF(H1746="","",COUNTIFS('Zgłoszenia'!$B$5:$B$504,F1746,'Zgłoszenia'!$D$5:$D$504,"&gt;="&amp;A1746,'Zgłoszenia'!$D$5:$D$504,"&lt;="&amp;(A1746+1)))</f>
        <v/>
      </c>
      <c r="L1746" s="63">
        <f>IF(OR(H1746="",K1746=0),"—",IF(ISNUMBER(MATCH(H1746,'Zgłoszenia'!$S$5:$S$504,0)),RIGHT("0"&amp;DAY(A1746),2)&amp;"."&amp;RIGHT("0"&amp;MONTH(A1746),2)&amp;"."&amp;YEAR(A1746)&amp;": "&amp;INDEX('Zgłoszenia'!$H$5:$H$504,MATCH(H1746,'Zgłoszenia'!$S$5:$S$504,0)),RIGHT("0"&amp;DAY((A1746+1)),2)&amp;"."&amp;RIGHT("0"&amp;MONTH((A1746+1)),2)&amp;"."&amp;YEAR((A1746+1))&amp;": "&amp;INDEX('Zgłoszenia'!$H$5:$H$504,MATCH(F1746&amp;"|"&amp;(A1746+1),'Zgłoszenia'!$S$5:$S$504,0)))&amp;IF(K1746&gt;1," (+"&amp;(K1746-1)&amp;")",""))</f>
        <v/>
      </c>
      <c r="M1746" s="63" t="n">
        <v>22</v>
      </c>
      <c r="N1746" s="2" t="n"/>
      <c r="O1746" s="2" t="n"/>
    </row>
    <row r="1747">
      <c r="A1747" s="62">
        <f>IF('22'!$C$1="","",'22'!$C$1)</f>
        <v/>
      </c>
      <c r="B1747" s="63">
        <f>Ustawienia!$A$9&amp;""</f>
        <v/>
      </c>
      <c r="C1747" s="63">
        <f>Ustawienia!$A$16&amp;""</f>
        <v/>
      </c>
      <c r="D1747" s="63" t="n">
        <v>4</v>
      </c>
      <c r="E1747" s="63">
        <f>IF('22'!F25="","",TRIM('22'!F25&amp;""))</f>
        <v/>
      </c>
      <c r="F1747" s="63">
        <f>IF('22'!G25="","",'22'!G25)</f>
        <v/>
      </c>
      <c r="G1747" s="63">
        <f>'22'!H25&amp;""</f>
        <v/>
      </c>
      <c r="H1747" s="63">
        <f>IF(OR(A1747="",F1747=""),"",F1747&amp;"|"&amp;A1747)</f>
        <v/>
      </c>
      <c r="I1747" s="63">
        <f>IF(AND(H1747&lt;&gt;"",OR('Historia wózka'!$B$4="",F1747='Historia wózka'!$B$4),A1747&gt;='Historia wózka'!$B$5,A1747&lt;='Historia wózka'!$B$6),A1747+0.8+(5000-ROW())/10000000,0)</f>
        <v/>
      </c>
      <c r="J1747" s="63">
        <f>Ustawienia!$B$9&amp;""</f>
        <v/>
      </c>
      <c r="K1747" s="63">
        <f>IF(H1747="","",COUNTIFS('Zgłoszenia'!$B$5:$B$504,F1747,'Zgłoszenia'!$D$5:$D$504,"&gt;="&amp;A1747,'Zgłoszenia'!$D$5:$D$504,"&lt;="&amp;(A1747+1)))</f>
        <v/>
      </c>
      <c r="L1747" s="63">
        <f>IF(OR(H1747="",K1747=0),"—",IF(ISNUMBER(MATCH(H1747,'Zgłoszenia'!$S$5:$S$504,0)),RIGHT("0"&amp;DAY(A1747),2)&amp;"."&amp;RIGHT("0"&amp;MONTH(A1747),2)&amp;"."&amp;YEAR(A1747)&amp;": "&amp;INDEX('Zgłoszenia'!$H$5:$H$504,MATCH(H1747,'Zgłoszenia'!$S$5:$S$504,0)),RIGHT("0"&amp;DAY((A1747+1)),2)&amp;"."&amp;RIGHT("0"&amp;MONTH((A1747+1)),2)&amp;"."&amp;YEAR((A1747+1))&amp;": "&amp;INDEX('Zgłoszenia'!$H$5:$H$504,MATCH(F1747&amp;"|"&amp;(A1747+1),'Zgłoszenia'!$S$5:$S$504,0)))&amp;IF(K1747&gt;1," (+"&amp;(K1747-1)&amp;")",""))</f>
        <v/>
      </c>
      <c r="M1747" s="63" t="n">
        <v>22</v>
      </c>
      <c r="N1747" s="2" t="n"/>
      <c r="O1747" s="2" t="n"/>
    </row>
    <row r="1748">
      <c r="A1748" s="62">
        <f>IF('22'!$C$1="","",'22'!$C$1)</f>
        <v/>
      </c>
      <c r="B1748" s="63">
        <f>Ustawienia!$A$9&amp;""</f>
        <v/>
      </c>
      <c r="C1748" s="63">
        <f>Ustawienia!$A$17&amp;""</f>
        <v/>
      </c>
      <c r="D1748" s="63" t="n">
        <v>1</v>
      </c>
      <c r="E1748" s="63">
        <f>IF('22'!F27="","",TRIM('22'!F27&amp;""))</f>
        <v/>
      </c>
      <c r="F1748" s="63">
        <f>IF('22'!G27="","",'22'!G27)</f>
        <v/>
      </c>
      <c r="G1748" s="63">
        <f>'22'!H27&amp;""</f>
        <v/>
      </c>
      <c r="H1748" s="63">
        <f>IF(OR(A1748="",F1748=""),"",F1748&amp;"|"&amp;A1748)</f>
        <v/>
      </c>
      <c r="I1748" s="63">
        <f>IF(AND(H1748&lt;&gt;"",OR('Historia wózka'!$B$4="",F1748='Historia wózka'!$B$4),A1748&gt;='Historia wózka'!$B$5,A1748&lt;='Historia wózka'!$B$6),A1748+0.8+(5000-ROW())/10000000,0)</f>
        <v/>
      </c>
      <c r="J1748" s="63">
        <f>Ustawienia!$B$9&amp;""</f>
        <v/>
      </c>
      <c r="K1748" s="63">
        <f>IF(H1748="","",COUNTIFS('Zgłoszenia'!$B$5:$B$504,F1748,'Zgłoszenia'!$D$5:$D$504,"&gt;="&amp;A1748,'Zgłoszenia'!$D$5:$D$504,"&lt;="&amp;(A1748+1)))</f>
        <v/>
      </c>
      <c r="L1748" s="63">
        <f>IF(OR(H1748="",K1748=0),"—",IF(ISNUMBER(MATCH(H1748,'Zgłoszenia'!$S$5:$S$504,0)),RIGHT("0"&amp;DAY(A1748),2)&amp;"."&amp;RIGHT("0"&amp;MONTH(A1748),2)&amp;"."&amp;YEAR(A1748)&amp;": "&amp;INDEX('Zgłoszenia'!$H$5:$H$504,MATCH(H1748,'Zgłoszenia'!$S$5:$S$504,0)),RIGHT("0"&amp;DAY((A1748+1)),2)&amp;"."&amp;RIGHT("0"&amp;MONTH((A1748+1)),2)&amp;"."&amp;YEAR((A1748+1))&amp;": "&amp;INDEX('Zgłoszenia'!$H$5:$H$504,MATCH(F1748&amp;"|"&amp;(A1748+1),'Zgłoszenia'!$S$5:$S$504,0)))&amp;IF(K1748&gt;1," (+"&amp;(K1748-1)&amp;")",""))</f>
        <v/>
      </c>
      <c r="M1748" s="63" t="n">
        <v>22</v>
      </c>
      <c r="N1748" s="2" t="n"/>
      <c r="O1748" s="2" t="n"/>
    </row>
    <row r="1749">
      <c r="A1749" s="62">
        <f>IF('22'!$C$1="","",'22'!$C$1)</f>
        <v/>
      </c>
      <c r="B1749" s="63">
        <f>Ustawienia!$A$9&amp;""</f>
        <v/>
      </c>
      <c r="C1749" s="63">
        <f>Ustawienia!$A$17&amp;""</f>
        <v/>
      </c>
      <c r="D1749" s="63" t="n">
        <v>2</v>
      </c>
      <c r="E1749" s="63">
        <f>IF('22'!F28="","",TRIM('22'!F28&amp;""))</f>
        <v/>
      </c>
      <c r="F1749" s="63">
        <f>IF('22'!G28="","",'22'!G28)</f>
        <v/>
      </c>
      <c r="G1749" s="63">
        <f>'22'!H28&amp;""</f>
        <v/>
      </c>
      <c r="H1749" s="63">
        <f>IF(OR(A1749="",F1749=""),"",F1749&amp;"|"&amp;A1749)</f>
        <v/>
      </c>
      <c r="I1749" s="63">
        <f>IF(AND(H1749&lt;&gt;"",OR('Historia wózka'!$B$4="",F1749='Historia wózka'!$B$4),A1749&gt;='Historia wózka'!$B$5,A1749&lt;='Historia wózka'!$B$6),A1749+0.8+(5000-ROW())/10000000,0)</f>
        <v/>
      </c>
      <c r="J1749" s="63">
        <f>Ustawienia!$B$9&amp;""</f>
        <v/>
      </c>
      <c r="K1749" s="63">
        <f>IF(H1749="","",COUNTIFS('Zgłoszenia'!$B$5:$B$504,F1749,'Zgłoszenia'!$D$5:$D$504,"&gt;="&amp;A1749,'Zgłoszenia'!$D$5:$D$504,"&lt;="&amp;(A1749+1)))</f>
        <v/>
      </c>
      <c r="L1749" s="63">
        <f>IF(OR(H1749="",K1749=0),"—",IF(ISNUMBER(MATCH(H1749,'Zgłoszenia'!$S$5:$S$504,0)),RIGHT("0"&amp;DAY(A1749),2)&amp;"."&amp;RIGHT("0"&amp;MONTH(A1749),2)&amp;"."&amp;YEAR(A1749)&amp;": "&amp;INDEX('Zgłoszenia'!$H$5:$H$504,MATCH(H1749,'Zgłoszenia'!$S$5:$S$504,0)),RIGHT("0"&amp;DAY((A1749+1)),2)&amp;"."&amp;RIGHT("0"&amp;MONTH((A1749+1)),2)&amp;"."&amp;YEAR((A1749+1))&amp;": "&amp;INDEX('Zgłoszenia'!$H$5:$H$504,MATCH(F1749&amp;"|"&amp;(A1749+1),'Zgłoszenia'!$S$5:$S$504,0)))&amp;IF(K1749&gt;1," (+"&amp;(K1749-1)&amp;")",""))</f>
        <v/>
      </c>
      <c r="M1749" s="63" t="n">
        <v>22</v>
      </c>
      <c r="N1749" s="2" t="n"/>
      <c r="O1749" s="2" t="n"/>
    </row>
    <row r="1750">
      <c r="A1750" s="62">
        <f>IF('22'!$C$1="","",'22'!$C$1)</f>
        <v/>
      </c>
      <c r="B1750" s="63">
        <f>Ustawienia!$A$9&amp;""</f>
        <v/>
      </c>
      <c r="C1750" s="63">
        <f>Ustawienia!$A$17&amp;""</f>
        <v/>
      </c>
      <c r="D1750" s="63" t="n">
        <v>3</v>
      </c>
      <c r="E1750" s="63">
        <f>IF('22'!F29="","",TRIM('22'!F29&amp;""))</f>
        <v/>
      </c>
      <c r="F1750" s="63">
        <f>IF('22'!G29="","",'22'!G29)</f>
        <v/>
      </c>
      <c r="G1750" s="63">
        <f>'22'!H29&amp;""</f>
        <v/>
      </c>
      <c r="H1750" s="63">
        <f>IF(OR(A1750="",F1750=""),"",F1750&amp;"|"&amp;A1750)</f>
        <v/>
      </c>
      <c r="I1750" s="63">
        <f>IF(AND(H1750&lt;&gt;"",OR('Historia wózka'!$B$4="",F1750='Historia wózka'!$B$4),A1750&gt;='Historia wózka'!$B$5,A1750&lt;='Historia wózka'!$B$6),A1750+0.8+(5000-ROW())/10000000,0)</f>
        <v/>
      </c>
      <c r="J1750" s="63">
        <f>Ustawienia!$B$9&amp;""</f>
        <v/>
      </c>
      <c r="K1750" s="63">
        <f>IF(H1750="","",COUNTIFS('Zgłoszenia'!$B$5:$B$504,F1750,'Zgłoszenia'!$D$5:$D$504,"&gt;="&amp;A1750,'Zgłoszenia'!$D$5:$D$504,"&lt;="&amp;(A1750+1)))</f>
        <v/>
      </c>
      <c r="L1750" s="63">
        <f>IF(OR(H1750="",K1750=0),"—",IF(ISNUMBER(MATCH(H1750,'Zgłoszenia'!$S$5:$S$504,0)),RIGHT("0"&amp;DAY(A1750),2)&amp;"."&amp;RIGHT("0"&amp;MONTH(A1750),2)&amp;"."&amp;YEAR(A1750)&amp;": "&amp;INDEX('Zgłoszenia'!$H$5:$H$504,MATCH(H1750,'Zgłoszenia'!$S$5:$S$504,0)),RIGHT("0"&amp;DAY((A1750+1)),2)&amp;"."&amp;RIGHT("0"&amp;MONTH((A1750+1)),2)&amp;"."&amp;YEAR((A1750+1))&amp;": "&amp;INDEX('Zgłoszenia'!$H$5:$H$504,MATCH(F1750&amp;"|"&amp;(A1750+1),'Zgłoszenia'!$S$5:$S$504,0)))&amp;IF(K1750&gt;1," (+"&amp;(K1750-1)&amp;")",""))</f>
        <v/>
      </c>
      <c r="M1750" s="63" t="n">
        <v>22</v>
      </c>
      <c r="N1750" s="2" t="n"/>
      <c r="O1750" s="2" t="n"/>
    </row>
    <row r="1751">
      <c r="A1751" s="62">
        <f>IF('22'!$C$1="","",'22'!$C$1)</f>
        <v/>
      </c>
      <c r="B1751" s="63">
        <f>Ustawienia!$A$9&amp;""</f>
        <v/>
      </c>
      <c r="C1751" s="63">
        <f>Ustawienia!$A$17&amp;""</f>
        <v/>
      </c>
      <c r="D1751" s="63" t="n">
        <v>4</v>
      </c>
      <c r="E1751" s="63">
        <f>IF('22'!F30="","",TRIM('22'!F30&amp;""))</f>
        <v/>
      </c>
      <c r="F1751" s="63">
        <f>IF('22'!G30="","",'22'!G30)</f>
        <v/>
      </c>
      <c r="G1751" s="63">
        <f>'22'!H30&amp;""</f>
        <v/>
      </c>
      <c r="H1751" s="63">
        <f>IF(OR(A1751="",F1751=""),"",F1751&amp;"|"&amp;A1751)</f>
        <v/>
      </c>
      <c r="I1751" s="63">
        <f>IF(AND(H1751&lt;&gt;"",OR('Historia wózka'!$B$4="",F1751='Historia wózka'!$B$4),A1751&gt;='Historia wózka'!$B$5,A1751&lt;='Historia wózka'!$B$6),A1751+0.8+(5000-ROW())/10000000,0)</f>
        <v/>
      </c>
      <c r="J1751" s="63">
        <f>Ustawienia!$B$9&amp;""</f>
        <v/>
      </c>
      <c r="K1751" s="63">
        <f>IF(H1751="","",COUNTIFS('Zgłoszenia'!$B$5:$B$504,F1751,'Zgłoszenia'!$D$5:$D$504,"&gt;="&amp;A1751,'Zgłoszenia'!$D$5:$D$504,"&lt;="&amp;(A1751+1)))</f>
        <v/>
      </c>
      <c r="L1751" s="63">
        <f>IF(OR(H1751="",K1751=0),"—",IF(ISNUMBER(MATCH(H1751,'Zgłoszenia'!$S$5:$S$504,0)),RIGHT("0"&amp;DAY(A1751),2)&amp;"."&amp;RIGHT("0"&amp;MONTH(A1751),2)&amp;"."&amp;YEAR(A1751)&amp;": "&amp;INDEX('Zgłoszenia'!$H$5:$H$504,MATCH(H1751,'Zgłoszenia'!$S$5:$S$504,0)),RIGHT("0"&amp;DAY((A1751+1)),2)&amp;"."&amp;RIGHT("0"&amp;MONTH((A1751+1)),2)&amp;"."&amp;YEAR((A1751+1))&amp;": "&amp;INDEX('Zgłoszenia'!$H$5:$H$504,MATCH(F1751&amp;"|"&amp;(A1751+1),'Zgłoszenia'!$S$5:$S$504,0)))&amp;IF(K1751&gt;1," (+"&amp;(K1751-1)&amp;")",""))</f>
        <v/>
      </c>
      <c r="M1751" s="63" t="n">
        <v>22</v>
      </c>
      <c r="N1751" s="2" t="n"/>
      <c r="O1751" s="2" t="n"/>
    </row>
    <row r="1752">
      <c r="A1752" s="62">
        <f>IF('22'!$C$1="","",'22'!$C$1)</f>
        <v/>
      </c>
      <c r="B1752" s="63">
        <f>Ustawienia!$A$9&amp;""</f>
        <v/>
      </c>
      <c r="C1752" s="63">
        <f>Ustawienia!$A$18&amp;""</f>
        <v/>
      </c>
      <c r="D1752" s="63" t="n">
        <v>1</v>
      </c>
      <c r="E1752" s="63">
        <f>IF('22'!F32="","",TRIM('22'!F32&amp;""))</f>
        <v/>
      </c>
      <c r="F1752" s="63">
        <f>IF('22'!G32="","",'22'!G32)</f>
        <v/>
      </c>
      <c r="G1752" s="63">
        <f>'22'!H32&amp;""</f>
        <v/>
      </c>
      <c r="H1752" s="63">
        <f>IF(OR(A1752="",F1752=""),"",F1752&amp;"|"&amp;A1752)</f>
        <v/>
      </c>
      <c r="I1752" s="63">
        <f>IF(AND(H1752&lt;&gt;"",OR('Historia wózka'!$B$4="",F1752='Historia wózka'!$B$4),A1752&gt;='Historia wózka'!$B$5,A1752&lt;='Historia wózka'!$B$6),A1752+0.8+(5000-ROW())/10000000,0)</f>
        <v/>
      </c>
      <c r="J1752" s="63">
        <f>Ustawienia!$B$9&amp;""</f>
        <v/>
      </c>
      <c r="K1752" s="63">
        <f>IF(H1752="","",COUNTIFS('Zgłoszenia'!$B$5:$B$504,F1752,'Zgłoszenia'!$D$5:$D$504,"&gt;="&amp;A1752,'Zgłoszenia'!$D$5:$D$504,"&lt;="&amp;(A1752+1)))</f>
        <v/>
      </c>
      <c r="L1752" s="63">
        <f>IF(OR(H1752="",K1752=0),"—",IF(ISNUMBER(MATCH(H1752,'Zgłoszenia'!$S$5:$S$504,0)),RIGHT("0"&amp;DAY(A1752),2)&amp;"."&amp;RIGHT("0"&amp;MONTH(A1752),2)&amp;"."&amp;YEAR(A1752)&amp;": "&amp;INDEX('Zgłoszenia'!$H$5:$H$504,MATCH(H1752,'Zgłoszenia'!$S$5:$S$504,0)),RIGHT("0"&amp;DAY((A1752+1)),2)&amp;"."&amp;RIGHT("0"&amp;MONTH((A1752+1)),2)&amp;"."&amp;YEAR((A1752+1))&amp;": "&amp;INDEX('Zgłoszenia'!$H$5:$H$504,MATCH(F1752&amp;"|"&amp;(A1752+1),'Zgłoszenia'!$S$5:$S$504,0)))&amp;IF(K1752&gt;1," (+"&amp;(K1752-1)&amp;")",""))</f>
        <v/>
      </c>
      <c r="M1752" s="63" t="n">
        <v>22</v>
      </c>
      <c r="N1752" s="2" t="n"/>
      <c r="O1752" s="2" t="n"/>
    </row>
    <row r="1753">
      <c r="A1753" s="62">
        <f>IF('22'!$C$1="","",'22'!$C$1)</f>
        <v/>
      </c>
      <c r="B1753" s="63">
        <f>Ustawienia!$A$9&amp;""</f>
        <v/>
      </c>
      <c r="C1753" s="63">
        <f>Ustawienia!$A$18&amp;""</f>
        <v/>
      </c>
      <c r="D1753" s="63" t="n">
        <v>2</v>
      </c>
      <c r="E1753" s="63">
        <f>IF('22'!F33="","",TRIM('22'!F33&amp;""))</f>
        <v/>
      </c>
      <c r="F1753" s="63">
        <f>IF('22'!G33="","",'22'!G33)</f>
        <v/>
      </c>
      <c r="G1753" s="63">
        <f>'22'!H33&amp;""</f>
        <v/>
      </c>
      <c r="H1753" s="63">
        <f>IF(OR(A1753="",F1753=""),"",F1753&amp;"|"&amp;A1753)</f>
        <v/>
      </c>
      <c r="I1753" s="63">
        <f>IF(AND(H1753&lt;&gt;"",OR('Historia wózka'!$B$4="",F1753='Historia wózka'!$B$4),A1753&gt;='Historia wózka'!$B$5,A1753&lt;='Historia wózka'!$B$6),A1753+0.8+(5000-ROW())/10000000,0)</f>
        <v/>
      </c>
      <c r="J1753" s="63">
        <f>Ustawienia!$B$9&amp;""</f>
        <v/>
      </c>
      <c r="K1753" s="63">
        <f>IF(H1753="","",COUNTIFS('Zgłoszenia'!$B$5:$B$504,F1753,'Zgłoszenia'!$D$5:$D$504,"&gt;="&amp;A1753,'Zgłoszenia'!$D$5:$D$504,"&lt;="&amp;(A1753+1)))</f>
        <v/>
      </c>
      <c r="L1753" s="63">
        <f>IF(OR(H1753="",K1753=0),"—",IF(ISNUMBER(MATCH(H1753,'Zgłoszenia'!$S$5:$S$504,0)),RIGHT("0"&amp;DAY(A1753),2)&amp;"."&amp;RIGHT("0"&amp;MONTH(A1753),2)&amp;"."&amp;YEAR(A1753)&amp;": "&amp;INDEX('Zgłoszenia'!$H$5:$H$504,MATCH(H1753,'Zgłoszenia'!$S$5:$S$504,0)),RIGHT("0"&amp;DAY((A1753+1)),2)&amp;"."&amp;RIGHT("0"&amp;MONTH((A1753+1)),2)&amp;"."&amp;YEAR((A1753+1))&amp;": "&amp;INDEX('Zgłoszenia'!$H$5:$H$504,MATCH(F1753&amp;"|"&amp;(A1753+1),'Zgłoszenia'!$S$5:$S$504,0)))&amp;IF(K1753&gt;1," (+"&amp;(K1753-1)&amp;")",""))</f>
        <v/>
      </c>
      <c r="M1753" s="63" t="n">
        <v>22</v>
      </c>
      <c r="N1753" s="2" t="n"/>
      <c r="O1753" s="2" t="n"/>
    </row>
    <row r="1754">
      <c r="A1754" s="62">
        <f>IF('22'!$C$1="","",'22'!$C$1)</f>
        <v/>
      </c>
      <c r="B1754" s="63">
        <f>Ustawienia!$A$9&amp;""</f>
        <v/>
      </c>
      <c r="C1754" s="63">
        <f>Ustawienia!$A$18&amp;""</f>
        <v/>
      </c>
      <c r="D1754" s="63" t="n">
        <v>3</v>
      </c>
      <c r="E1754" s="63">
        <f>IF('22'!F34="","",TRIM('22'!F34&amp;""))</f>
        <v/>
      </c>
      <c r="F1754" s="63">
        <f>IF('22'!G34="","",'22'!G34)</f>
        <v/>
      </c>
      <c r="G1754" s="63">
        <f>'22'!H34&amp;""</f>
        <v/>
      </c>
      <c r="H1754" s="63">
        <f>IF(OR(A1754="",F1754=""),"",F1754&amp;"|"&amp;A1754)</f>
        <v/>
      </c>
      <c r="I1754" s="63">
        <f>IF(AND(H1754&lt;&gt;"",OR('Historia wózka'!$B$4="",F1754='Historia wózka'!$B$4),A1754&gt;='Historia wózka'!$B$5,A1754&lt;='Historia wózka'!$B$6),A1754+0.8+(5000-ROW())/10000000,0)</f>
        <v/>
      </c>
      <c r="J1754" s="63">
        <f>Ustawienia!$B$9&amp;""</f>
        <v/>
      </c>
      <c r="K1754" s="63">
        <f>IF(H1754="","",COUNTIFS('Zgłoszenia'!$B$5:$B$504,F1754,'Zgłoszenia'!$D$5:$D$504,"&gt;="&amp;A1754,'Zgłoszenia'!$D$5:$D$504,"&lt;="&amp;(A1754+1)))</f>
        <v/>
      </c>
      <c r="L1754" s="63">
        <f>IF(OR(H1754="",K1754=0),"—",IF(ISNUMBER(MATCH(H1754,'Zgłoszenia'!$S$5:$S$504,0)),RIGHT("0"&amp;DAY(A1754),2)&amp;"."&amp;RIGHT("0"&amp;MONTH(A1754),2)&amp;"."&amp;YEAR(A1754)&amp;": "&amp;INDEX('Zgłoszenia'!$H$5:$H$504,MATCH(H1754,'Zgłoszenia'!$S$5:$S$504,0)),RIGHT("0"&amp;DAY((A1754+1)),2)&amp;"."&amp;RIGHT("0"&amp;MONTH((A1754+1)),2)&amp;"."&amp;YEAR((A1754+1))&amp;": "&amp;INDEX('Zgłoszenia'!$H$5:$H$504,MATCH(F1754&amp;"|"&amp;(A1754+1),'Zgłoszenia'!$S$5:$S$504,0)))&amp;IF(K1754&gt;1," (+"&amp;(K1754-1)&amp;")",""))</f>
        <v/>
      </c>
      <c r="M1754" s="63" t="n">
        <v>22</v>
      </c>
      <c r="N1754" s="2" t="n"/>
      <c r="O1754" s="2" t="n"/>
    </row>
    <row r="1755">
      <c r="A1755" s="62">
        <f>IF('22'!$C$1="","",'22'!$C$1)</f>
        <v/>
      </c>
      <c r="B1755" s="63">
        <f>Ustawienia!$A$9&amp;""</f>
        <v/>
      </c>
      <c r="C1755" s="63">
        <f>Ustawienia!$A$18&amp;""</f>
        <v/>
      </c>
      <c r="D1755" s="63" t="n">
        <v>4</v>
      </c>
      <c r="E1755" s="63">
        <f>IF('22'!F35="","",TRIM('22'!F35&amp;""))</f>
        <v/>
      </c>
      <c r="F1755" s="63">
        <f>IF('22'!G35="","",'22'!G35)</f>
        <v/>
      </c>
      <c r="G1755" s="63">
        <f>'22'!H35&amp;""</f>
        <v/>
      </c>
      <c r="H1755" s="63">
        <f>IF(OR(A1755="",F1755=""),"",F1755&amp;"|"&amp;A1755)</f>
        <v/>
      </c>
      <c r="I1755" s="63">
        <f>IF(AND(H1755&lt;&gt;"",OR('Historia wózka'!$B$4="",F1755='Historia wózka'!$B$4),A1755&gt;='Historia wózka'!$B$5,A1755&lt;='Historia wózka'!$B$6),A1755+0.8+(5000-ROW())/10000000,0)</f>
        <v/>
      </c>
      <c r="J1755" s="63">
        <f>Ustawienia!$B$9&amp;""</f>
        <v/>
      </c>
      <c r="K1755" s="63">
        <f>IF(H1755="","",COUNTIFS('Zgłoszenia'!$B$5:$B$504,F1755,'Zgłoszenia'!$D$5:$D$504,"&gt;="&amp;A1755,'Zgłoszenia'!$D$5:$D$504,"&lt;="&amp;(A1755+1)))</f>
        <v/>
      </c>
      <c r="L1755" s="63">
        <f>IF(OR(H1755="",K1755=0),"—",IF(ISNUMBER(MATCH(H1755,'Zgłoszenia'!$S$5:$S$504,0)),RIGHT("0"&amp;DAY(A1755),2)&amp;"."&amp;RIGHT("0"&amp;MONTH(A1755),2)&amp;"."&amp;YEAR(A1755)&amp;": "&amp;INDEX('Zgłoszenia'!$H$5:$H$504,MATCH(H1755,'Zgłoszenia'!$S$5:$S$504,0)),RIGHT("0"&amp;DAY((A1755+1)),2)&amp;"."&amp;RIGHT("0"&amp;MONTH((A1755+1)),2)&amp;"."&amp;YEAR((A1755+1))&amp;": "&amp;INDEX('Zgłoszenia'!$H$5:$H$504,MATCH(F1755&amp;"|"&amp;(A1755+1),'Zgłoszenia'!$S$5:$S$504,0)))&amp;IF(K1755&gt;1," (+"&amp;(K1755-1)&amp;")",""))</f>
        <v/>
      </c>
      <c r="M1755" s="63" t="n">
        <v>22</v>
      </c>
      <c r="N1755" s="2" t="n"/>
      <c r="O1755" s="2" t="n"/>
    </row>
    <row r="1756">
      <c r="A1756" s="62">
        <f>IF('22'!$C$1="","",'22'!$C$1)</f>
        <v/>
      </c>
      <c r="B1756" s="63">
        <f>Ustawienia!$A$9&amp;""</f>
        <v/>
      </c>
      <c r="C1756" s="63">
        <f>Ustawienia!$A$18&amp;""</f>
        <v/>
      </c>
      <c r="D1756" s="63" t="n">
        <v>5</v>
      </c>
      <c r="E1756" s="63">
        <f>IF('22'!F36="","",TRIM('22'!F36&amp;""))</f>
        <v/>
      </c>
      <c r="F1756" s="63">
        <f>IF('22'!G36="","",'22'!G36)</f>
        <v/>
      </c>
      <c r="G1756" s="63">
        <f>'22'!H36&amp;""</f>
        <v/>
      </c>
      <c r="H1756" s="63">
        <f>IF(OR(A1756="",F1756=""),"",F1756&amp;"|"&amp;A1756)</f>
        <v/>
      </c>
      <c r="I1756" s="63">
        <f>IF(AND(H1756&lt;&gt;"",OR('Historia wózka'!$B$4="",F1756='Historia wózka'!$B$4),A1756&gt;='Historia wózka'!$B$5,A1756&lt;='Historia wózka'!$B$6),A1756+0.8+(5000-ROW())/10000000,0)</f>
        <v/>
      </c>
      <c r="J1756" s="63">
        <f>Ustawienia!$B$9&amp;""</f>
        <v/>
      </c>
      <c r="K1756" s="63">
        <f>IF(H1756="","",COUNTIFS('Zgłoszenia'!$B$5:$B$504,F1756,'Zgłoszenia'!$D$5:$D$504,"&gt;="&amp;A1756,'Zgłoszenia'!$D$5:$D$504,"&lt;="&amp;(A1756+1)))</f>
        <v/>
      </c>
      <c r="L1756" s="63">
        <f>IF(OR(H1756="",K1756=0),"—",IF(ISNUMBER(MATCH(H1756,'Zgłoszenia'!$S$5:$S$504,0)),RIGHT("0"&amp;DAY(A1756),2)&amp;"."&amp;RIGHT("0"&amp;MONTH(A1756),2)&amp;"."&amp;YEAR(A1756)&amp;": "&amp;INDEX('Zgłoszenia'!$H$5:$H$504,MATCH(H1756,'Zgłoszenia'!$S$5:$S$504,0)),RIGHT("0"&amp;DAY((A1756+1)),2)&amp;"."&amp;RIGHT("0"&amp;MONTH((A1756+1)),2)&amp;"."&amp;YEAR((A1756+1))&amp;": "&amp;INDEX('Zgłoszenia'!$H$5:$H$504,MATCH(F1756&amp;"|"&amp;(A1756+1),'Zgłoszenia'!$S$5:$S$504,0)))&amp;IF(K1756&gt;1," (+"&amp;(K1756-1)&amp;")",""))</f>
        <v/>
      </c>
      <c r="M1756" s="63" t="n">
        <v>22</v>
      </c>
      <c r="N1756" s="2" t="n"/>
      <c r="O1756" s="2" t="n"/>
    </row>
    <row r="1757">
      <c r="A1757" s="62">
        <f>IF('22'!$C$1="","",'22'!$C$1)</f>
        <v/>
      </c>
      <c r="B1757" s="63">
        <f>Ustawienia!$A$10&amp;""</f>
        <v/>
      </c>
      <c r="C1757" s="63">
        <f>Ustawienia!$A$14&amp;""</f>
        <v/>
      </c>
      <c r="D1757" s="63" t="n">
        <v>1</v>
      </c>
      <c r="E1757" s="63">
        <f>IF('22'!J6="","",TRIM('22'!J6&amp;""))</f>
        <v/>
      </c>
      <c r="F1757" s="63">
        <f>IF('22'!K6="","",'22'!K6)</f>
        <v/>
      </c>
      <c r="G1757" s="63">
        <f>'22'!L6&amp;""</f>
        <v/>
      </c>
      <c r="H1757" s="63">
        <f>IF(OR(A1757="",F1757=""),"",F1757&amp;"|"&amp;A1757)</f>
        <v/>
      </c>
      <c r="I1757" s="63">
        <f>IF(AND(H1757&lt;&gt;"",OR('Historia wózka'!$B$4="",F1757='Historia wózka'!$B$4),A1757&gt;='Historia wózka'!$B$5,A1757&lt;='Historia wózka'!$B$6),A1757+0.7+(5000-ROW())/10000000,0)</f>
        <v/>
      </c>
      <c r="J1757" s="63">
        <f>Ustawienia!$B$10&amp;""</f>
        <v/>
      </c>
      <c r="K1757" s="63">
        <f>IF(H1757="","",COUNTIFS('Zgłoszenia'!$B$5:$B$504,F1757,'Zgłoszenia'!$D$5:$D$504,"&gt;="&amp;A1757,'Zgłoszenia'!$D$5:$D$504,"&lt;="&amp;(A1757+1)))</f>
        <v/>
      </c>
      <c r="L1757" s="63">
        <f>IF(OR(H1757="",K1757=0),"—",IF(ISNUMBER(MATCH(H1757,'Zgłoszenia'!$S$5:$S$504,0)),RIGHT("0"&amp;DAY(A1757),2)&amp;"."&amp;RIGHT("0"&amp;MONTH(A1757),2)&amp;"."&amp;YEAR(A1757)&amp;": "&amp;INDEX('Zgłoszenia'!$H$5:$H$504,MATCH(H1757,'Zgłoszenia'!$S$5:$S$504,0)),RIGHT("0"&amp;DAY((A1757+1)),2)&amp;"."&amp;RIGHT("0"&amp;MONTH((A1757+1)),2)&amp;"."&amp;YEAR((A1757+1))&amp;": "&amp;INDEX('Zgłoszenia'!$H$5:$H$504,MATCH(F1757&amp;"|"&amp;(A1757+1),'Zgłoszenia'!$S$5:$S$504,0)))&amp;IF(K1757&gt;1," (+"&amp;(K1757-1)&amp;")",""))</f>
        <v/>
      </c>
      <c r="M1757" s="63" t="n">
        <v>22</v>
      </c>
      <c r="N1757" s="2" t="n"/>
      <c r="O1757" s="2" t="n"/>
    </row>
    <row r="1758">
      <c r="A1758" s="62">
        <f>IF('22'!$C$1="","",'22'!$C$1)</f>
        <v/>
      </c>
      <c r="B1758" s="63">
        <f>Ustawienia!$A$10&amp;""</f>
        <v/>
      </c>
      <c r="C1758" s="63">
        <f>Ustawienia!$A$14&amp;""</f>
        <v/>
      </c>
      <c r="D1758" s="63" t="n">
        <v>2</v>
      </c>
      <c r="E1758" s="63">
        <f>IF('22'!J7="","",TRIM('22'!J7&amp;""))</f>
        <v/>
      </c>
      <c r="F1758" s="63">
        <f>IF('22'!K7="","",'22'!K7)</f>
        <v/>
      </c>
      <c r="G1758" s="63">
        <f>'22'!L7&amp;""</f>
        <v/>
      </c>
      <c r="H1758" s="63">
        <f>IF(OR(A1758="",F1758=""),"",F1758&amp;"|"&amp;A1758)</f>
        <v/>
      </c>
      <c r="I1758" s="63">
        <f>IF(AND(H1758&lt;&gt;"",OR('Historia wózka'!$B$4="",F1758='Historia wózka'!$B$4),A1758&gt;='Historia wózka'!$B$5,A1758&lt;='Historia wózka'!$B$6),A1758+0.7+(5000-ROW())/10000000,0)</f>
        <v/>
      </c>
      <c r="J1758" s="63">
        <f>Ustawienia!$B$10&amp;""</f>
        <v/>
      </c>
      <c r="K1758" s="63">
        <f>IF(H1758="","",COUNTIFS('Zgłoszenia'!$B$5:$B$504,F1758,'Zgłoszenia'!$D$5:$D$504,"&gt;="&amp;A1758,'Zgłoszenia'!$D$5:$D$504,"&lt;="&amp;(A1758+1)))</f>
        <v/>
      </c>
      <c r="L1758" s="63">
        <f>IF(OR(H1758="",K1758=0),"—",IF(ISNUMBER(MATCH(H1758,'Zgłoszenia'!$S$5:$S$504,0)),RIGHT("0"&amp;DAY(A1758),2)&amp;"."&amp;RIGHT("0"&amp;MONTH(A1758),2)&amp;"."&amp;YEAR(A1758)&amp;": "&amp;INDEX('Zgłoszenia'!$H$5:$H$504,MATCH(H1758,'Zgłoszenia'!$S$5:$S$504,0)),RIGHT("0"&amp;DAY((A1758+1)),2)&amp;"."&amp;RIGHT("0"&amp;MONTH((A1758+1)),2)&amp;"."&amp;YEAR((A1758+1))&amp;": "&amp;INDEX('Zgłoszenia'!$H$5:$H$504,MATCH(F1758&amp;"|"&amp;(A1758+1),'Zgłoszenia'!$S$5:$S$504,0)))&amp;IF(K1758&gt;1," (+"&amp;(K1758-1)&amp;")",""))</f>
        <v/>
      </c>
      <c r="M1758" s="63" t="n">
        <v>22</v>
      </c>
      <c r="N1758" s="2" t="n"/>
      <c r="O1758" s="2" t="n"/>
    </row>
    <row r="1759">
      <c r="A1759" s="62">
        <f>IF('22'!$C$1="","",'22'!$C$1)</f>
        <v/>
      </c>
      <c r="B1759" s="63">
        <f>Ustawienia!$A$10&amp;""</f>
        <v/>
      </c>
      <c r="C1759" s="63">
        <f>Ustawienia!$A$14&amp;""</f>
        <v/>
      </c>
      <c r="D1759" s="63" t="n">
        <v>3</v>
      </c>
      <c r="E1759" s="63">
        <f>IF('22'!J8="","",TRIM('22'!J8&amp;""))</f>
        <v/>
      </c>
      <c r="F1759" s="63">
        <f>IF('22'!K8="","",'22'!K8)</f>
        <v/>
      </c>
      <c r="G1759" s="63">
        <f>'22'!L8&amp;""</f>
        <v/>
      </c>
      <c r="H1759" s="63">
        <f>IF(OR(A1759="",F1759=""),"",F1759&amp;"|"&amp;A1759)</f>
        <v/>
      </c>
      <c r="I1759" s="63">
        <f>IF(AND(H1759&lt;&gt;"",OR('Historia wózka'!$B$4="",F1759='Historia wózka'!$B$4),A1759&gt;='Historia wózka'!$B$5,A1759&lt;='Historia wózka'!$B$6),A1759+0.7+(5000-ROW())/10000000,0)</f>
        <v/>
      </c>
      <c r="J1759" s="63">
        <f>Ustawienia!$B$10&amp;""</f>
        <v/>
      </c>
      <c r="K1759" s="63">
        <f>IF(H1759="","",COUNTIFS('Zgłoszenia'!$B$5:$B$504,F1759,'Zgłoszenia'!$D$5:$D$504,"&gt;="&amp;A1759,'Zgłoszenia'!$D$5:$D$504,"&lt;="&amp;(A1759+1)))</f>
        <v/>
      </c>
      <c r="L1759" s="63">
        <f>IF(OR(H1759="",K1759=0),"—",IF(ISNUMBER(MATCH(H1759,'Zgłoszenia'!$S$5:$S$504,0)),RIGHT("0"&amp;DAY(A1759),2)&amp;"."&amp;RIGHT("0"&amp;MONTH(A1759),2)&amp;"."&amp;YEAR(A1759)&amp;": "&amp;INDEX('Zgłoszenia'!$H$5:$H$504,MATCH(H1759,'Zgłoszenia'!$S$5:$S$504,0)),RIGHT("0"&amp;DAY((A1759+1)),2)&amp;"."&amp;RIGHT("0"&amp;MONTH((A1759+1)),2)&amp;"."&amp;YEAR((A1759+1))&amp;": "&amp;INDEX('Zgłoszenia'!$H$5:$H$504,MATCH(F1759&amp;"|"&amp;(A1759+1),'Zgłoszenia'!$S$5:$S$504,0)))&amp;IF(K1759&gt;1," (+"&amp;(K1759-1)&amp;")",""))</f>
        <v/>
      </c>
      <c r="M1759" s="63" t="n">
        <v>22</v>
      </c>
      <c r="N1759" s="2" t="n"/>
      <c r="O1759" s="2" t="n"/>
    </row>
    <row r="1760">
      <c r="A1760" s="62">
        <f>IF('22'!$C$1="","",'22'!$C$1)</f>
        <v/>
      </c>
      <c r="B1760" s="63">
        <f>Ustawienia!$A$10&amp;""</f>
        <v/>
      </c>
      <c r="C1760" s="63">
        <f>Ustawienia!$A$14&amp;""</f>
        <v/>
      </c>
      <c r="D1760" s="63" t="n">
        <v>4</v>
      </c>
      <c r="E1760" s="63">
        <f>IF('22'!J9="","",TRIM('22'!J9&amp;""))</f>
        <v/>
      </c>
      <c r="F1760" s="63">
        <f>IF('22'!K9="","",'22'!K9)</f>
        <v/>
      </c>
      <c r="G1760" s="63">
        <f>'22'!L9&amp;""</f>
        <v/>
      </c>
      <c r="H1760" s="63">
        <f>IF(OR(A1760="",F1760=""),"",F1760&amp;"|"&amp;A1760)</f>
        <v/>
      </c>
      <c r="I1760" s="63">
        <f>IF(AND(H1760&lt;&gt;"",OR('Historia wózka'!$B$4="",F1760='Historia wózka'!$B$4),A1760&gt;='Historia wózka'!$B$5,A1760&lt;='Historia wózka'!$B$6),A1760+0.7+(5000-ROW())/10000000,0)</f>
        <v/>
      </c>
      <c r="J1760" s="63">
        <f>Ustawienia!$B$10&amp;""</f>
        <v/>
      </c>
      <c r="K1760" s="63">
        <f>IF(H1760="","",COUNTIFS('Zgłoszenia'!$B$5:$B$504,F1760,'Zgłoszenia'!$D$5:$D$504,"&gt;="&amp;A1760,'Zgłoszenia'!$D$5:$D$504,"&lt;="&amp;(A1760+1)))</f>
        <v/>
      </c>
      <c r="L1760" s="63">
        <f>IF(OR(H1760="",K1760=0),"—",IF(ISNUMBER(MATCH(H1760,'Zgłoszenia'!$S$5:$S$504,0)),RIGHT("0"&amp;DAY(A1760),2)&amp;"."&amp;RIGHT("0"&amp;MONTH(A1760),2)&amp;"."&amp;YEAR(A1760)&amp;": "&amp;INDEX('Zgłoszenia'!$H$5:$H$504,MATCH(H1760,'Zgłoszenia'!$S$5:$S$504,0)),RIGHT("0"&amp;DAY((A1760+1)),2)&amp;"."&amp;RIGHT("0"&amp;MONTH((A1760+1)),2)&amp;"."&amp;YEAR((A1760+1))&amp;": "&amp;INDEX('Zgłoszenia'!$H$5:$H$504,MATCH(F1760&amp;"|"&amp;(A1760+1),'Zgłoszenia'!$S$5:$S$504,0)))&amp;IF(K1760&gt;1," (+"&amp;(K1760-1)&amp;")",""))</f>
        <v/>
      </c>
      <c r="M1760" s="63" t="n">
        <v>22</v>
      </c>
      <c r="N1760" s="2" t="n"/>
      <c r="O1760" s="2" t="n"/>
    </row>
    <row r="1761">
      <c r="A1761" s="62">
        <f>IF('22'!$C$1="","",'22'!$C$1)</f>
        <v/>
      </c>
      <c r="B1761" s="63">
        <f>Ustawienia!$A$10&amp;""</f>
        <v/>
      </c>
      <c r="C1761" s="63">
        <f>Ustawienia!$A$14&amp;""</f>
        <v/>
      </c>
      <c r="D1761" s="63" t="n">
        <v>5</v>
      </c>
      <c r="E1761" s="63">
        <f>IF('22'!J10="","",TRIM('22'!J10&amp;""))</f>
        <v/>
      </c>
      <c r="F1761" s="63">
        <f>IF('22'!K10="","",'22'!K10)</f>
        <v/>
      </c>
      <c r="G1761" s="63">
        <f>'22'!L10&amp;""</f>
        <v/>
      </c>
      <c r="H1761" s="63">
        <f>IF(OR(A1761="",F1761=""),"",F1761&amp;"|"&amp;A1761)</f>
        <v/>
      </c>
      <c r="I1761" s="63">
        <f>IF(AND(H1761&lt;&gt;"",OR('Historia wózka'!$B$4="",F1761='Historia wózka'!$B$4),A1761&gt;='Historia wózka'!$B$5,A1761&lt;='Historia wózka'!$B$6),A1761+0.7+(5000-ROW())/10000000,0)</f>
        <v/>
      </c>
      <c r="J1761" s="63">
        <f>Ustawienia!$B$10&amp;""</f>
        <v/>
      </c>
      <c r="K1761" s="63">
        <f>IF(H1761="","",COUNTIFS('Zgłoszenia'!$B$5:$B$504,F1761,'Zgłoszenia'!$D$5:$D$504,"&gt;="&amp;A1761,'Zgłoszenia'!$D$5:$D$504,"&lt;="&amp;(A1761+1)))</f>
        <v/>
      </c>
      <c r="L1761" s="63">
        <f>IF(OR(H1761="",K1761=0),"—",IF(ISNUMBER(MATCH(H1761,'Zgłoszenia'!$S$5:$S$504,0)),RIGHT("0"&amp;DAY(A1761),2)&amp;"."&amp;RIGHT("0"&amp;MONTH(A1761),2)&amp;"."&amp;YEAR(A1761)&amp;": "&amp;INDEX('Zgłoszenia'!$H$5:$H$504,MATCH(H1761,'Zgłoszenia'!$S$5:$S$504,0)),RIGHT("0"&amp;DAY((A1761+1)),2)&amp;"."&amp;RIGHT("0"&amp;MONTH((A1761+1)),2)&amp;"."&amp;YEAR((A1761+1))&amp;": "&amp;INDEX('Zgłoszenia'!$H$5:$H$504,MATCH(F1761&amp;"|"&amp;(A1761+1),'Zgłoszenia'!$S$5:$S$504,0)))&amp;IF(K1761&gt;1," (+"&amp;(K1761-1)&amp;")",""))</f>
        <v/>
      </c>
      <c r="M1761" s="63" t="n">
        <v>22</v>
      </c>
      <c r="N1761" s="2" t="n"/>
      <c r="O1761" s="2" t="n"/>
    </row>
    <row r="1762">
      <c r="A1762" s="62">
        <f>IF('22'!$C$1="","",'22'!$C$1)</f>
        <v/>
      </c>
      <c r="B1762" s="63">
        <f>Ustawienia!$A$10&amp;""</f>
        <v/>
      </c>
      <c r="C1762" s="63">
        <f>Ustawienia!$A$14&amp;""</f>
        <v/>
      </c>
      <c r="D1762" s="63" t="n">
        <v>6</v>
      </c>
      <c r="E1762" s="63">
        <f>IF('22'!J11="","",TRIM('22'!J11&amp;""))</f>
        <v/>
      </c>
      <c r="F1762" s="63">
        <f>IF('22'!K11="","",'22'!K11)</f>
        <v/>
      </c>
      <c r="G1762" s="63">
        <f>'22'!L11&amp;""</f>
        <v/>
      </c>
      <c r="H1762" s="63">
        <f>IF(OR(A1762="",F1762=""),"",F1762&amp;"|"&amp;A1762)</f>
        <v/>
      </c>
      <c r="I1762" s="63">
        <f>IF(AND(H1762&lt;&gt;"",OR('Historia wózka'!$B$4="",F1762='Historia wózka'!$B$4),A1762&gt;='Historia wózka'!$B$5,A1762&lt;='Historia wózka'!$B$6),A1762+0.7+(5000-ROW())/10000000,0)</f>
        <v/>
      </c>
      <c r="J1762" s="63">
        <f>Ustawienia!$B$10&amp;""</f>
        <v/>
      </c>
      <c r="K1762" s="63">
        <f>IF(H1762="","",COUNTIFS('Zgłoszenia'!$B$5:$B$504,F1762,'Zgłoszenia'!$D$5:$D$504,"&gt;="&amp;A1762,'Zgłoszenia'!$D$5:$D$504,"&lt;="&amp;(A1762+1)))</f>
        <v/>
      </c>
      <c r="L1762" s="63">
        <f>IF(OR(H1762="",K1762=0),"—",IF(ISNUMBER(MATCH(H1762,'Zgłoszenia'!$S$5:$S$504,0)),RIGHT("0"&amp;DAY(A1762),2)&amp;"."&amp;RIGHT("0"&amp;MONTH(A1762),2)&amp;"."&amp;YEAR(A1762)&amp;": "&amp;INDEX('Zgłoszenia'!$H$5:$H$504,MATCH(H1762,'Zgłoszenia'!$S$5:$S$504,0)),RIGHT("0"&amp;DAY((A1762+1)),2)&amp;"."&amp;RIGHT("0"&amp;MONTH((A1762+1)),2)&amp;"."&amp;YEAR((A1762+1))&amp;": "&amp;INDEX('Zgłoszenia'!$H$5:$H$504,MATCH(F1762&amp;"|"&amp;(A1762+1),'Zgłoszenia'!$S$5:$S$504,0)))&amp;IF(K1762&gt;1," (+"&amp;(K1762-1)&amp;")",""))</f>
        <v/>
      </c>
      <c r="M1762" s="63" t="n">
        <v>22</v>
      </c>
      <c r="N1762" s="2" t="n"/>
      <c r="O1762" s="2" t="n"/>
    </row>
    <row r="1763">
      <c r="A1763" s="62">
        <f>IF('22'!$C$1="","",'22'!$C$1)</f>
        <v/>
      </c>
      <c r="B1763" s="63">
        <f>Ustawienia!$A$10&amp;""</f>
        <v/>
      </c>
      <c r="C1763" s="63">
        <f>Ustawienia!$A$15&amp;""</f>
        <v/>
      </c>
      <c r="D1763" s="63" t="n">
        <v>1</v>
      </c>
      <c r="E1763" s="63">
        <f>IF('22'!J13="","",TRIM('22'!J13&amp;""))</f>
        <v/>
      </c>
      <c r="F1763" s="63">
        <f>IF('22'!K13="","",'22'!K13)</f>
        <v/>
      </c>
      <c r="G1763" s="63">
        <f>'22'!L13&amp;""</f>
        <v/>
      </c>
      <c r="H1763" s="63">
        <f>IF(OR(A1763="",F1763=""),"",F1763&amp;"|"&amp;A1763)</f>
        <v/>
      </c>
      <c r="I1763" s="63">
        <f>IF(AND(H1763&lt;&gt;"",OR('Historia wózka'!$B$4="",F1763='Historia wózka'!$B$4),A1763&gt;='Historia wózka'!$B$5,A1763&lt;='Historia wózka'!$B$6),A1763+0.7+(5000-ROW())/10000000,0)</f>
        <v/>
      </c>
      <c r="J1763" s="63">
        <f>Ustawienia!$B$10&amp;""</f>
        <v/>
      </c>
      <c r="K1763" s="63">
        <f>IF(H1763="","",COUNTIFS('Zgłoszenia'!$B$5:$B$504,F1763,'Zgłoszenia'!$D$5:$D$504,"&gt;="&amp;A1763,'Zgłoszenia'!$D$5:$D$504,"&lt;="&amp;(A1763+1)))</f>
        <v/>
      </c>
      <c r="L1763" s="63">
        <f>IF(OR(H1763="",K1763=0),"—",IF(ISNUMBER(MATCH(H1763,'Zgłoszenia'!$S$5:$S$504,0)),RIGHT("0"&amp;DAY(A1763),2)&amp;"."&amp;RIGHT("0"&amp;MONTH(A1763),2)&amp;"."&amp;YEAR(A1763)&amp;": "&amp;INDEX('Zgłoszenia'!$H$5:$H$504,MATCH(H1763,'Zgłoszenia'!$S$5:$S$504,0)),RIGHT("0"&amp;DAY((A1763+1)),2)&amp;"."&amp;RIGHT("0"&amp;MONTH((A1763+1)),2)&amp;"."&amp;YEAR((A1763+1))&amp;": "&amp;INDEX('Zgłoszenia'!$H$5:$H$504,MATCH(F1763&amp;"|"&amp;(A1763+1),'Zgłoszenia'!$S$5:$S$504,0)))&amp;IF(K1763&gt;1," (+"&amp;(K1763-1)&amp;")",""))</f>
        <v/>
      </c>
      <c r="M1763" s="63" t="n">
        <v>22</v>
      </c>
      <c r="N1763" s="2" t="n"/>
      <c r="O1763" s="2" t="n"/>
    </row>
    <row r="1764">
      <c r="A1764" s="62">
        <f>IF('22'!$C$1="","",'22'!$C$1)</f>
        <v/>
      </c>
      <c r="B1764" s="63">
        <f>Ustawienia!$A$10&amp;""</f>
        <v/>
      </c>
      <c r="C1764" s="63">
        <f>Ustawienia!$A$15&amp;""</f>
        <v/>
      </c>
      <c r="D1764" s="63" t="n">
        <v>2</v>
      </c>
      <c r="E1764" s="63">
        <f>IF('22'!J14="","",TRIM('22'!J14&amp;""))</f>
        <v/>
      </c>
      <c r="F1764" s="63">
        <f>IF('22'!K14="","",'22'!K14)</f>
        <v/>
      </c>
      <c r="G1764" s="63">
        <f>'22'!L14&amp;""</f>
        <v/>
      </c>
      <c r="H1764" s="63">
        <f>IF(OR(A1764="",F1764=""),"",F1764&amp;"|"&amp;A1764)</f>
        <v/>
      </c>
      <c r="I1764" s="63">
        <f>IF(AND(H1764&lt;&gt;"",OR('Historia wózka'!$B$4="",F1764='Historia wózka'!$B$4),A1764&gt;='Historia wózka'!$B$5,A1764&lt;='Historia wózka'!$B$6),A1764+0.7+(5000-ROW())/10000000,0)</f>
        <v/>
      </c>
      <c r="J1764" s="63">
        <f>Ustawienia!$B$10&amp;""</f>
        <v/>
      </c>
      <c r="K1764" s="63">
        <f>IF(H1764="","",COUNTIFS('Zgłoszenia'!$B$5:$B$504,F1764,'Zgłoszenia'!$D$5:$D$504,"&gt;="&amp;A1764,'Zgłoszenia'!$D$5:$D$504,"&lt;="&amp;(A1764+1)))</f>
        <v/>
      </c>
      <c r="L1764" s="63">
        <f>IF(OR(H1764="",K1764=0),"—",IF(ISNUMBER(MATCH(H1764,'Zgłoszenia'!$S$5:$S$504,0)),RIGHT("0"&amp;DAY(A1764),2)&amp;"."&amp;RIGHT("0"&amp;MONTH(A1764),2)&amp;"."&amp;YEAR(A1764)&amp;": "&amp;INDEX('Zgłoszenia'!$H$5:$H$504,MATCH(H1764,'Zgłoszenia'!$S$5:$S$504,0)),RIGHT("0"&amp;DAY((A1764+1)),2)&amp;"."&amp;RIGHT("0"&amp;MONTH((A1764+1)),2)&amp;"."&amp;YEAR((A1764+1))&amp;": "&amp;INDEX('Zgłoszenia'!$H$5:$H$504,MATCH(F1764&amp;"|"&amp;(A1764+1),'Zgłoszenia'!$S$5:$S$504,0)))&amp;IF(K1764&gt;1," (+"&amp;(K1764-1)&amp;")",""))</f>
        <v/>
      </c>
      <c r="M1764" s="63" t="n">
        <v>22</v>
      </c>
      <c r="N1764" s="2" t="n"/>
      <c r="O1764" s="2" t="n"/>
    </row>
    <row r="1765">
      <c r="A1765" s="62">
        <f>IF('22'!$C$1="","",'22'!$C$1)</f>
        <v/>
      </c>
      <c r="B1765" s="63">
        <f>Ustawienia!$A$10&amp;""</f>
        <v/>
      </c>
      <c r="C1765" s="63">
        <f>Ustawienia!$A$15&amp;""</f>
        <v/>
      </c>
      <c r="D1765" s="63" t="n">
        <v>3</v>
      </c>
      <c r="E1765" s="63">
        <f>IF('22'!J15="","",TRIM('22'!J15&amp;""))</f>
        <v/>
      </c>
      <c r="F1765" s="63">
        <f>IF('22'!K15="","",'22'!K15)</f>
        <v/>
      </c>
      <c r="G1765" s="63">
        <f>'22'!L15&amp;""</f>
        <v/>
      </c>
      <c r="H1765" s="63">
        <f>IF(OR(A1765="",F1765=""),"",F1765&amp;"|"&amp;A1765)</f>
        <v/>
      </c>
      <c r="I1765" s="63">
        <f>IF(AND(H1765&lt;&gt;"",OR('Historia wózka'!$B$4="",F1765='Historia wózka'!$B$4),A1765&gt;='Historia wózka'!$B$5,A1765&lt;='Historia wózka'!$B$6),A1765+0.7+(5000-ROW())/10000000,0)</f>
        <v/>
      </c>
      <c r="J1765" s="63">
        <f>Ustawienia!$B$10&amp;""</f>
        <v/>
      </c>
      <c r="K1765" s="63">
        <f>IF(H1765="","",COUNTIFS('Zgłoszenia'!$B$5:$B$504,F1765,'Zgłoszenia'!$D$5:$D$504,"&gt;="&amp;A1765,'Zgłoszenia'!$D$5:$D$504,"&lt;="&amp;(A1765+1)))</f>
        <v/>
      </c>
      <c r="L1765" s="63">
        <f>IF(OR(H1765="",K1765=0),"—",IF(ISNUMBER(MATCH(H1765,'Zgłoszenia'!$S$5:$S$504,0)),RIGHT("0"&amp;DAY(A1765),2)&amp;"."&amp;RIGHT("0"&amp;MONTH(A1765),2)&amp;"."&amp;YEAR(A1765)&amp;": "&amp;INDEX('Zgłoszenia'!$H$5:$H$504,MATCH(H1765,'Zgłoszenia'!$S$5:$S$504,0)),RIGHT("0"&amp;DAY((A1765+1)),2)&amp;"."&amp;RIGHT("0"&amp;MONTH((A1765+1)),2)&amp;"."&amp;YEAR((A1765+1))&amp;": "&amp;INDEX('Zgłoszenia'!$H$5:$H$504,MATCH(F1765&amp;"|"&amp;(A1765+1),'Zgłoszenia'!$S$5:$S$504,0)))&amp;IF(K1765&gt;1," (+"&amp;(K1765-1)&amp;")",""))</f>
        <v/>
      </c>
      <c r="M1765" s="63" t="n">
        <v>22</v>
      </c>
      <c r="N1765" s="2" t="n"/>
      <c r="O1765" s="2" t="n"/>
    </row>
    <row r="1766">
      <c r="A1766" s="62">
        <f>IF('22'!$C$1="","",'22'!$C$1)</f>
        <v/>
      </c>
      <c r="B1766" s="63">
        <f>Ustawienia!$A$10&amp;""</f>
        <v/>
      </c>
      <c r="C1766" s="63">
        <f>Ustawienia!$A$15&amp;""</f>
        <v/>
      </c>
      <c r="D1766" s="63" t="n">
        <v>4</v>
      </c>
      <c r="E1766" s="63">
        <f>IF('22'!J16="","",TRIM('22'!J16&amp;""))</f>
        <v/>
      </c>
      <c r="F1766" s="63">
        <f>IF('22'!K16="","",'22'!K16)</f>
        <v/>
      </c>
      <c r="G1766" s="63">
        <f>'22'!L16&amp;""</f>
        <v/>
      </c>
      <c r="H1766" s="63">
        <f>IF(OR(A1766="",F1766=""),"",F1766&amp;"|"&amp;A1766)</f>
        <v/>
      </c>
      <c r="I1766" s="63">
        <f>IF(AND(H1766&lt;&gt;"",OR('Historia wózka'!$B$4="",F1766='Historia wózka'!$B$4),A1766&gt;='Historia wózka'!$B$5,A1766&lt;='Historia wózka'!$B$6),A1766+0.7+(5000-ROW())/10000000,0)</f>
        <v/>
      </c>
      <c r="J1766" s="63">
        <f>Ustawienia!$B$10&amp;""</f>
        <v/>
      </c>
      <c r="K1766" s="63">
        <f>IF(H1766="","",COUNTIFS('Zgłoszenia'!$B$5:$B$504,F1766,'Zgłoszenia'!$D$5:$D$504,"&gt;="&amp;A1766,'Zgłoszenia'!$D$5:$D$504,"&lt;="&amp;(A1766+1)))</f>
        <v/>
      </c>
      <c r="L1766" s="63">
        <f>IF(OR(H1766="",K1766=0),"—",IF(ISNUMBER(MATCH(H1766,'Zgłoszenia'!$S$5:$S$504,0)),RIGHT("0"&amp;DAY(A1766),2)&amp;"."&amp;RIGHT("0"&amp;MONTH(A1766),2)&amp;"."&amp;YEAR(A1766)&amp;": "&amp;INDEX('Zgłoszenia'!$H$5:$H$504,MATCH(H1766,'Zgłoszenia'!$S$5:$S$504,0)),RIGHT("0"&amp;DAY((A1766+1)),2)&amp;"."&amp;RIGHT("0"&amp;MONTH((A1766+1)),2)&amp;"."&amp;YEAR((A1766+1))&amp;": "&amp;INDEX('Zgłoszenia'!$H$5:$H$504,MATCH(F1766&amp;"|"&amp;(A1766+1),'Zgłoszenia'!$S$5:$S$504,0)))&amp;IF(K1766&gt;1," (+"&amp;(K1766-1)&amp;")",""))</f>
        <v/>
      </c>
      <c r="M1766" s="63" t="n">
        <v>22</v>
      </c>
      <c r="N1766" s="2" t="n"/>
      <c r="O1766" s="2" t="n"/>
    </row>
    <row r="1767">
      <c r="A1767" s="62">
        <f>IF('22'!$C$1="","",'22'!$C$1)</f>
        <v/>
      </c>
      <c r="B1767" s="63">
        <f>Ustawienia!$A$10&amp;""</f>
        <v/>
      </c>
      <c r="C1767" s="63">
        <f>Ustawienia!$A$15&amp;""</f>
        <v/>
      </c>
      <c r="D1767" s="63" t="n">
        <v>5</v>
      </c>
      <c r="E1767" s="63">
        <f>IF('22'!J17="","",TRIM('22'!J17&amp;""))</f>
        <v/>
      </c>
      <c r="F1767" s="63">
        <f>IF('22'!K17="","",'22'!K17)</f>
        <v/>
      </c>
      <c r="G1767" s="63">
        <f>'22'!L17&amp;""</f>
        <v/>
      </c>
      <c r="H1767" s="63">
        <f>IF(OR(A1767="",F1767=""),"",F1767&amp;"|"&amp;A1767)</f>
        <v/>
      </c>
      <c r="I1767" s="63">
        <f>IF(AND(H1767&lt;&gt;"",OR('Historia wózka'!$B$4="",F1767='Historia wózka'!$B$4),A1767&gt;='Historia wózka'!$B$5,A1767&lt;='Historia wózka'!$B$6),A1767+0.7+(5000-ROW())/10000000,0)</f>
        <v/>
      </c>
      <c r="J1767" s="63">
        <f>Ustawienia!$B$10&amp;""</f>
        <v/>
      </c>
      <c r="K1767" s="63">
        <f>IF(H1767="","",COUNTIFS('Zgłoszenia'!$B$5:$B$504,F1767,'Zgłoszenia'!$D$5:$D$504,"&gt;="&amp;A1767,'Zgłoszenia'!$D$5:$D$504,"&lt;="&amp;(A1767+1)))</f>
        <v/>
      </c>
      <c r="L1767" s="63">
        <f>IF(OR(H1767="",K1767=0),"—",IF(ISNUMBER(MATCH(H1767,'Zgłoszenia'!$S$5:$S$504,0)),RIGHT("0"&amp;DAY(A1767),2)&amp;"."&amp;RIGHT("0"&amp;MONTH(A1767),2)&amp;"."&amp;YEAR(A1767)&amp;": "&amp;INDEX('Zgłoszenia'!$H$5:$H$504,MATCH(H1767,'Zgłoszenia'!$S$5:$S$504,0)),RIGHT("0"&amp;DAY((A1767+1)),2)&amp;"."&amp;RIGHT("0"&amp;MONTH((A1767+1)),2)&amp;"."&amp;YEAR((A1767+1))&amp;": "&amp;INDEX('Zgłoszenia'!$H$5:$H$504,MATCH(F1767&amp;"|"&amp;(A1767+1),'Zgłoszenia'!$S$5:$S$504,0)))&amp;IF(K1767&gt;1," (+"&amp;(K1767-1)&amp;")",""))</f>
        <v/>
      </c>
      <c r="M1767" s="63" t="n">
        <v>22</v>
      </c>
      <c r="N1767" s="2" t="n"/>
      <c r="O1767" s="2" t="n"/>
    </row>
    <row r="1768">
      <c r="A1768" s="62">
        <f>IF('22'!$C$1="","",'22'!$C$1)</f>
        <v/>
      </c>
      <c r="B1768" s="63">
        <f>Ustawienia!$A$10&amp;""</f>
        <v/>
      </c>
      <c r="C1768" s="63">
        <f>Ustawienia!$A$15&amp;""</f>
        <v/>
      </c>
      <c r="D1768" s="63" t="n">
        <v>6</v>
      </c>
      <c r="E1768" s="63">
        <f>IF('22'!J18="","",TRIM('22'!J18&amp;""))</f>
        <v/>
      </c>
      <c r="F1768" s="63">
        <f>IF('22'!K18="","",'22'!K18)</f>
        <v/>
      </c>
      <c r="G1768" s="63">
        <f>'22'!L18&amp;""</f>
        <v/>
      </c>
      <c r="H1768" s="63">
        <f>IF(OR(A1768="",F1768=""),"",F1768&amp;"|"&amp;A1768)</f>
        <v/>
      </c>
      <c r="I1768" s="63">
        <f>IF(AND(H1768&lt;&gt;"",OR('Historia wózka'!$B$4="",F1768='Historia wózka'!$B$4),A1768&gt;='Historia wózka'!$B$5,A1768&lt;='Historia wózka'!$B$6),A1768+0.7+(5000-ROW())/10000000,0)</f>
        <v/>
      </c>
      <c r="J1768" s="63">
        <f>Ustawienia!$B$10&amp;""</f>
        <v/>
      </c>
      <c r="K1768" s="63">
        <f>IF(H1768="","",COUNTIFS('Zgłoszenia'!$B$5:$B$504,F1768,'Zgłoszenia'!$D$5:$D$504,"&gt;="&amp;A1768,'Zgłoszenia'!$D$5:$D$504,"&lt;="&amp;(A1768+1)))</f>
        <v/>
      </c>
      <c r="L1768" s="63">
        <f>IF(OR(H1768="",K1768=0),"—",IF(ISNUMBER(MATCH(H1768,'Zgłoszenia'!$S$5:$S$504,0)),RIGHT("0"&amp;DAY(A1768),2)&amp;"."&amp;RIGHT("0"&amp;MONTH(A1768),2)&amp;"."&amp;YEAR(A1768)&amp;": "&amp;INDEX('Zgłoszenia'!$H$5:$H$504,MATCH(H1768,'Zgłoszenia'!$S$5:$S$504,0)),RIGHT("0"&amp;DAY((A1768+1)),2)&amp;"."&amp;RIGHT("0"&amp;MONTH((A1768+1)),2)&amp;"."&amp;YEAR((A1768+1))&amp;": "&amp;INDEX('Zgłoszenia'!$H$5:$H$504,MATCH(F1768&amp;"|"&amp;(A1768+1),'Zgłoszenia'!$S$5:$S$504,0)))&amp;IF(K1768&gt;1," (+"&amp;(K1768-1)&amp;")",""))</f>
        <v/>
      </c>
      <c r="M1768" s="63" t="n">
        <v>22</v>
      </c>
      <c r="N1768" s="2" t="n"/>
      <c r="O1768" s="2" t="n"/>
    </row>
    <row r="1769">
      <c r="A1769" s="62">
        <f>IF('22'!$C$1="","",'22'!$C$1)</f>
        <v/>
      </c>
      <c r="B1769" s="63">
        <f>Ustawienia!$A$10&amp;""</f>
        <v/>
      </c>
      <c r="C1769" s="63">
        <f>Ustawienia!$A$15&amp;""</f>
        <v/>
      </c>
      <c r="D1769" s="63" t="n">
        <v>7</v>
      </c>
      <c r="E1769" s="63">
        <f>IF('22'!J19="","",TRIM('22'!J19&amp;""))</f>
        <v/>
      </c>
      <c r="F1769" s="63">
        <f>IF('22'!K19="","",'22'!K19)</f>
        <v/>
      </c>
      <c r="G1769" s="63">
        <f>'22'!L19&amp;""</f>
        <v/>
      </c>
      <c r="H1769" s="63">
        <f>IF(OR(A1769="",F1769=""),"",F1769&amp;"|"&amp;A1769)</f>
        <v/>
      </c>
      <c r="I1769" s="63">
        <f>IF(AND(H1769&lt;&gt;"",OR('Historia wózka'!$B$4="",F1769='Historia wózka'!$B$4),A1769&gt;='Historia wózka'!$B$5,A1769&lt;='Historia wózka'!$B$6),A1769+0.7+(5000-ROW())/10000000,0)</f>
        <v/>
      </c>
      <c r="J1769" s="63">
        <f>Ustawienia!$B$10&amp;""</f>
        <v/>
      </c>
      <c r="K1769" s="63">
        <f>IF(H1769="","",COUNTIFS('Zgłoszenia'!$B$5:$B$504,F1769,'Zgłoszenia'!$D$5:$D$504,"&gt;="&amp;A1769,'Zgłoszenia'!$D$5:$D$504,"&lt;="&amp;(A1769+1)))</f>
        <v/>
      </c>
      <c r="L1769" s="63">
        <f>IF(OR(H1769="",K1769=0),"—",IF(ISNUMBER(MATCH(H1769,'Zgłoszenia'!$S$5:$S$504,0)),RIGHT("0"&amp;DAY(A1769),2)&amp;"."&amp;RIGHT("0"&amp;MONTH(A1769),2)&amp;"."&amp;YEAR(A1769)&amp;": "&amp;INDEX('Zgłoszenia'!$H$5:$H$504,MATCH(H1769,'Zgłoszenia'!$S$5:$S$504,0)),RIGHT("0"&amp;DAY((A1769+1)),2)&amp;"."&amp;RIGHT("0"&amp;MONTH((A1769+1)),2)&amp;"."&amp;YEAR((A1769+1))&amp;": "&amp;INDEX('Zgłoszenia'!$H$5:$H$504,MATCH(F1769&amp;"|"&amp;(A1769+1),'Zgłoszenia'!$S$5:$S$504,0)))&amp;IF(K1769&gt;1," (+"&amp;(K1769-1)&amp;")",""))</f>
        <v/>
      </c>
      <c r="M1769" s="63" t="n">
        <v>22</v>
      </c>
      <c r="N1769" s="2" t="n"/>
      <c r="O1769" s="2" t="n"/>
    </row>
    <row r="1770">
      <c r="A1770" s="62">
        <f>IF('22'!$C$1="","",'22'!$C$1)</f>
        <v/>
      </c>
      <c r="B1770" s="63">
        <f>Ustawienia!$A$10&amp;""</f>
        <v/>
      </c>
      <c r="C1770" s="63">
        <f>Ustawienia!$A$15&amp;""</f>
        <v/>
      </c>
      <c r="D1770" s="63" t="n">
        <v>8</v>
      </c>
      <c r="E1770" s="63">
        <f>IF('22'!J20="","",TRIM('22'!J20&amp;""))</f>
        <v/>
      </c>
      <c r="F1770" s="63">
        <f>IF('22'!K20="","",'22'!K20)</f>
        <v/>
      </c>
      <c r="G1770" s="63">
        <f>'22'!L20&amp;""</f>
        <v/>
      </c>
      <c r="H1770" s="63">
        <f>IF(OR(A1770="",F1770=""),"",F1770&amp;"|"&amp;A1770)</f>
        <v/>
      </c>
      <c r="I1770" s="63">
        <f>IF(AND(H1770&lt;&gt;"",OR('Historia wózka'!$B$4="",F1770='Historia wózka'!$B$4),A1770&gt;='Historia wózka'!$B$5,A1770&lt;='Historia wózka'!$B$6),A1770+0.7+(5000-ROW())/10000000,0)</f>
        <v/>
      </c>
      <c r="J1770" s="63">
        <f>Ustawienia!$B$10&amp;""</f>
        <v/>
      </c>
      <c r="K1770" s="63">
        <f>IF(H1770="","",COUNTIFS('Zgłoszenia'!$B$5:$B$504,F1770,'Zgłoszenia'!$D$5:$D$504,"&gt;="&amp;A1770,'Zgłoszenia'!$D$5:$D$504,"&lt;="&amp;(A1770+1)))</f>
        <v/>
      </c>
      <c r="L1770" s="63">
        <f>IF(OR(H1770="",K1770=0),"—",IF(ISNUMBER(MATCH(H1770,'Zgłoszenia'!$S$5:$S$504,0)),RIGHT("0"&amp;DAY(A1770),2)&amp;"."&amp;RIGHT("0"&amp;MONTH(A1770),2)&amp;"."&amp;YEAR(A1770)&amp;": "&amp;INDEX('Zgłoszenia'!$H$5:$H$504,MATCH(H1770,'Zgłoszenia'!$S$5:$S$504,0)),RIGHT("0"&amp;DAY((A1770+1)),2)&amp;"."&amp;RIGHT("0"&amp;MONTH((A1770+1)),2)&amp;"."&amp;YEAR((A1770+1))&amp;": "&amp;INDEX('Zgłoszenia'!$H$5:$H$504,MATCH(F1770&amp;"|"&amp;(A1770+1),'Zgłoszenia'!$S$5:$S$504,0)))&amp;IF(K1770&gt;1," (+"&amp;(K1770-1)&amp;")",""))</f>
        <v/>
      </c>
      <c r="M1770" s="63" t="n">
        <v>22</v>
      </c>
      <c r="N1770" s="2" t="n"/>
      <c r="O1770" s="2" t="n"/>
    </row>
    <row r="1771">
      <c r="A1771" s="62">
        <f>IF('22'!$C$1="","",'22'!$C$1)</f>
        <v/>
      </c>
      <c r="B1771" s="63">
        <f>Ustawienia!$A$10&amp;""</f>
        <v/>
      </c>
      <c r="C1771" s="63">
        <f>Ustawienia!$A$16&amp;""</f>
        <v/>
      </c>
      <c r="D1771" s="63" t="n">
        <v>1</v>
      </c>
      <c r="E1771" s="63">
        <f>IF('22'!J22="","",TRIM('22'!J22&amp;""))</f>
        <v/>
      </c>
      <c r="F1771" s="63">
        <f>IF('22'!K22="","",'22'!K22)</f>
        <v/>
      </c>
      <c r="G1771" s="63">
        <f>'22'!L22&amp;""</f>
        <v/>
      </c>
      <c r="H1771" s="63">
        <f>IF(OR(A1771="",F1771=""),"",F1771&amp;"|"&amp;A1771)</f>
        <v/>
      </c>
      <c r="I1771" s="63">
        <f>IF(AND(H1771&lt;&gt;"",OR('Historia wózka'!$B$4="",F1771='Historia wózka'!$B$4),A1771&gt;='Historia wózka'!$B$5,A1771&lt;='Historia wózka'!$B$6),A1771+0.7+(5000-ROW())/10000000,0)</f>
        <v/>
      </c>
      <c r="J1771" s="63">
        <f>Ustawienia!$B$10&amp;""</f>
        <v/>
      </c>
      <c r="K1771" s="63">
        <f>IF(H1771="","",COUNTIFS('Zgłoszenia'!$B$5:$B$504,F1771,'Zgłoszenia'!$D$5:$D$504,"&gt;="&amp;A1771,'Zgłoszenia'!$D$5:$D$504,"&lt;="&amp;(A1771+1)))</f>
        <v/>
      </c>
      <c r="L1771" s="63">
        <f>IF(OR(H1771="",K1771=0),"—",IF(ISNUMBER(MATCH(H1771,'Zgłoszenia'!$S$5:$S$504,0)),RIGHT("0"&amp;DAY(A1771),2)&amp;"."&amp;RIGHT("0"&amp;MONTH(A1771),2)&amp;"."&amp;YEAR(A1771)&amp;": "&amp;INDEX('Zgłoszenia'!$H$5:$H$504,MATCH(H1771,'Zgłoszenia'!$S$5:$S$504,0)),RIGHT("0"&amp;DAY((A1771+1)),2)&amp;"."&amp;RIGHT("0"&amp;MONTH((A1771+1)),2)&amp;"."&amp;YEAR((A1771+1))&amp;": "&amp;INDEX('Zgłoszenia'!$H$5:$H$504,MATCH(F1771&amp;"|"&amp;(A1771+1),'Zgłoszenia'!$S$5:$S$504,0)))&amp;IF(K1771&gt;1," (+"&amp;(K1771-1)&amp;")",""))</f>
        <v/>
      </c>
      <c r="M1771" s="63" t="n">
        <v>22</v>
      </c>
      <c r="N1771" s="2" t="n"/>
      <c r="O1771" s="2" t="n"/>
    </row>
    <row r="1772">
      <c r="A1772" s="62">
        <f>IF('22'!$C$1="","",'22'!$C$1)</f>
        <v/>
      </c>
      <c r="B1772" s="63">
        <f>Ustawienia!$A$10&amp;""</f>
        <v/>
      </c>
      <c r="C1772" s="63">
        <f>Ustawienia!$A$16&amp;""</f>
        <v/>
      </c>
      <c r="D1772" s="63" t="n">
        <v>2</v>
      </c>
      <c r="E1772" s="63">
        <f>IF('22'!J23="","",TRIM('22'!J23&amp;""))</f>
        <v/>
      </c>
      <c r="F1772" s="63">
        <f>IF('22'!K23="","",'22'!K23)</f>
        <v/>
      </c>
      <c r="G1772" s="63">
        <f>'22'!L23&amp;""</f>
        <v/>
      </c>
      <c r="H1772" s="63">
        <f>IF(OR(A1772="",F1772=""),"",F1772&amp;"|"&amp;A1772)</f>
        <v/>
      </c>
      <c r="I1772" s="63">
        <f>IF(AND(H1772&lt;&gt;"",OR('Historia wózka'!$B$4="",F1772='Historia wózka'!$B$4),A1772&gt;='Historia wózka'!$B$5,A1772&lt;='Historia wózka'!$B$6),A1772+0.7+(5000-ROW())/10000000,0)</f>
        <v/>
      </c>
      <c r="J1772" s="63">
        <f>Ustawienia!$B$10&amp;""</f>
        <v/>
      </c>
      <c r="K1772" s="63">
        <f>IF(H1772="","",COUNTIFS('Zgłoszenia'!$B$5:$B$504,F1772,'Zgłoszenia'!$D$5:$D$504,"&gt;="&amp;A1772,'Zgłoszenia'!$D$5:$D$504,"&lt;="&amp;(A1772+1)))</f>
        <v/>
      </c>
      <c r="L1772" s="63">
        <f>IF(OR(H1772="",K1772=0),"—",IF(ISNUMBER(MATCH(H1772,'Zgłoszenia'!$S$5:$S$504,0)),RIGHT("0"&amp;DAY(A1772),2)&amp;"."&amp;RIGHT("0"&amp;MONTH(A1772),2)&amp;"."&amp;YEAR(A1772)&amp;": "&amp;INDEX('Zgłoszenia'!$H$5:$H$504,MATCH(H1772,'Zgłoszenia'!$S$5:$S$504,0)),RIGHT("0"&amp;DAY((A1772+1)),2)&amp;"."&amp;RIGHT("0"&amp;MONTH((A1772+1)),2)&amp;"."&amp;YEAR((A1772+1))&amp;": "&amp;INDEX('Zgłoszenia'!$H$5:$H$504,MATCH(F1772&amp;"|"&amp;(A1772+1),'Zgłoszenia'!$S$5:$S$504,0)))&amp;IF(K1772&gt;1," (+"&amp;(K1772-1)&amp;")",""))</f>
        <v/>
      </c>
      <c r="M1772" s="63" t="n">
        <v>22</v>
      </c>
      <c r="N1772" s="2" t="n"/>
      <c r="O1772" s="2" t="n"/>
    </row>
    <row r="1773">
      <c r="A1773" s="62">
        <f>IF('22'!$C$1="","",'22'!$C$1)</f>
        <v/>
      </c>
      <c r="B1773" s="63">
        <f>Ustawienia!$A$10&amp;""</f>
        <v/>
      </c>
      <c r="C1773" s="63">
        <f>Ustawienia!$A$16&amp;""</f>
        <v/>
      </c>
      <c r="D1773" s="63" t="n">
        <v>3</v>
      </c>
      <c r="E1773" s="63">
        <f>IF('22'!J24="","",TRIM('22'!J24&amp;""))</f>
        <v/>
      </c>
      <c r="F1773" s="63">
        <f>IF('22'!K24="","",'22'!K24)</f>
        <v/>
      </c>
      <c r="G1773" s="63">
        <f>'22'!L24&amp;""</f>
        <v/>
      </c>
      <c r="H1773" s="63">
        <f>IF(OR(A1773="",F1773=""),"",F1773&amp;"|"&amp;A1773)</f>
        <v/>
      </c>
      <c r="I1773" s="63">
        <f>IF(AND(H1773&lt;&gt;"",OR('Historia wózka'!$B$4="",F1773='Historia wózka'!$B$4),A1773&gt;='Historia wózka'!$B$5,A1773&lt;='Historia wózka'!$B$6),A1773+0.7+(5000-ROW())/10000000,0)</f>
        <v/>
      </c>
      <c r="J1773" s="63">
        <f>Ustawienia!$B$10&amp;""</f>
        <v/>
      </c>
      <c r="K1773" s="63">
        <f>IF(H1773="","",COUNTIFS('Zgłoszenia'!$B$5:$B$504,F1773,'Zgłoszenia'!$D$5:$D$504,"&gt;="&amp;A1773,'Zgłoszenia'!$D$5:$D$504,"&lt;="&amp;(A1773+1)))</f>
        <v/>
      </c>
      <c r="L1773" s="63">
        <f>IF(OR(H1773="",K1773=0),"—",IF(ISNUMBER(MATCH(H1773,'Zgłoszenia'!$S$5:$S$504,0)),RIGHT("0"&amp;DAY(A1773),2)&amp;"."&amp;RIGHT("0"&amp;MONTH(A1773),2)&amp;"."&amp;YEAR(A1773)&amp;": "&amp;INDEX('Zgłoszenia'!$H$5:$H$504,MATCH(H1773,'Zgłoszenia'!$S$5:$S$504,0)),RIGHT("0"&amp;DAY((A1773+1)),2)&amp;"."&amp;RIGHT("0"&amp;MONTH((A1773+1)),2)&amp;"."&amp;YEAR((A1773+1))&amp;": "&amp;INDEX('Zgłoszenia'!$H$5:$H$504,MATCH(F1773&amp;"|"&amp;(A1773+1),'Zgłoszenia'!$S$5:$S$504,0)))&amp;IF(K1773&gt;1," (+"&amp;(K1773-1)&amp;")",""))</f>
        <v/>
      </c>
      <c r="M1773" s="63" t="n">
        <v>22</v>
      </c>
      <c r="N1773" s="2" t="n"/>
      <c r="O1773" s="2" t="n"/>
    </row>
    <row r="1774">
      <c r="A1774" s="62">
        <f>IF('22'!$C$1="","",'22'!$C$1)</f>
        <v/>
      </c>
      <c r="B1774" s="63">
        <f>Ustawienia!$A$10&amp;""</f>
        <v/>
      </c>
      <c r="C1774" s="63">
        <f>Ustawienia!$A$16&amp;""</f>
        <v/>
      </c>
      <c r="D1774" s="63" t="n">
        <v>4</v>
      </c>
      <c r="E1774" s="63">
        <f>IF('22'!J25="","",TRIM('22'!J25&amp;""))</f>
        <v/>
      </c>
      <c r="F1774" s="63">
        <f>IF('22'!K25="","",'22'!K25)</f>
        <v/>
      </c>
      <c r="G1774" s="63">
        <f>'22'!L25&amp;""</f>
        <v/>
      </c>
      <c r="H1774" s="63">
        <f>IF(OR(A1774="",F1774=""),"",F1774&amp;"|"&amp;A1774)</f>
        <v/>
      </c>
      <c r="I1774" s="63">
        <f>IF(AND(H1774&lt;&gt;"",OR('Historia wózka'!$B$4="",F1774='Historia wózka'!$B$4),A1774&gt;='Historia wózka'!$B$5,A1774&lt;='Historia wózka'!$B$6),A1774+0.7+(5000-ROW())/10000000,0)</f>
        <v/>
      </c>
      <c r="J1774" s="63">
        <f>Ustawienia!$B$10&amp;""</f>
        <v/>
      </c>
      <c r="K1774" s="63">
        <f>IF(H1774="","",COUNTIFS('Zgłoszenia'!$B$5:$B$504,F1774,'Zgłoszenia'!$D$5:$D$504,"&gt;="&amp;A1774,'Zgłoszenia'!$D$5:$D$504,"&lt;="&amp;(A1774+1)))</f>
        <v/>
      </c>
      <c r="L1774" s="63">
        <f>IF(OR(H1774="",K1774=0),"—",IF(ISNUMBER(MATCH(H1774,'Zgłoszenia'!$S$5:$S$504,0)),RIGHT("0"&amp;DAY(A1774),2)&amp;"."&amp;RIGHT("0"&amp;MONTH(A1774),2)&amp;"."&amp;YEAR(A1774)&amp;": "&amp;INDEX('Zgłoszenia'!$H$5:$H$504,MATCH(H1774,'Zgłoszenia'!$S$5:$S$504,0)),RIGHT("0"&amp;DAY((A1774+1)),2)&amp;"."&amp;RIGHT("0"&amp;MONTH((A1774+1)),2)&amp;"."&amp;YEAR((A1774+1))&amp;": "&amp;INDEX('Zgłoszenia'!$H$5:$H$504,MATCH(F1774&amp;"|"&amp;(A1774+1),'Zgłoszenia'!$S$5:$S$504,0)))&amp;IF(K1774&gt;1," (+"&amp;(K1774-1)&amp;")",""))</f>
        <v/>
      </c>
      <c r="M1774" s="63" t="n">
        <v>22</v>
      </c>
      <c r="N1774" s="2" t="n"/>
      <c r="O1774" s="2" t="n"/>
    </row>
    <row r="1775">
      <c r="A1775" s="62">
        <f>IF('22'!$C$1="","",'22'!$C$1)</f>
        <v/>
      </c>
      <c r="B1775" s="63">
        <f>Ustawienia!$A$10&amp;""</f>
        <v/>
      </c>
      <c r="C1775" s="63">
        <f>Ustawienia!$A$17&amp;""</f>
        <v/>
      </c>
      <c r="D1775" s="63" t="n">
        <v>1</v>
      </c>
      <c r="E1775" s="63">
        <f>IF('22'!J27="","",TRIM('22'!J27&amp;""))</f>
        <v/>
      </c>
      <c r="F1775" s="63">
        <f>IF('22'!K27="","",'22'!K27)</f>
        <v/>
      </c>
      <c r="G1775" s="63">
        <f>'22'!L27&amp;""</f>
        <v/>
      </c>
      <c r="H1775" s="63">
        <f>IF(OR(A1775="",F1775=""),"",F1775&amp;"|"&amp;A1775)</f>
        <v/>
      </c>
      <c r="I1775" s="63">
        <f>IF(AND(H1775&lt;&gt;"",OR('Historia wózka'!$B$4="",F1775='Historia wózka'!$B$4),A1775&gt;='Historia wózka'!$B$5,A1775&lt;='Historia wózka'!$B$6),A1775+0.7+(5000-ROW())/10000000,0)</f>
        <v/>
      </c>
      <c r="J1775" s="63">
        <f>Ustawienia!$B$10&amp;""</f>
        <v/>
      </c>
      <c r="K1775" s="63">
        <f>IF(H1775="","",COUNTIFS('Zgłoszenia'!$B$5:$B$504,F1775,'Zgłoszenia'!$D$5:$D$504,"&gt;="&amp;A1775,'Zgłoszenia'!$D$5:$D$504,"&lt;="&amp;(A1775+1)))</f>
        <v/>
      </c>
      <c r="L1775" s="63">
        <f>IF(OR(H1775="",K1775=0),"—",IF(ISNUMBER(MATCH(H1775,'Zgłoszenia'!$S$5:$S$504,0)),RIGHT("0"&amp;DAY(A1775),2)&amp;"."&amp;RIGHT("0"&amp;MONTH(A1775),2)&amp;"."&amp;YEAR(A1775)&amp;": "&amp;INDEX('Zgłoszenia'!$H$5:$H$504,MATCH(H1775,'Zgłoszenia'!$S$5:$S$504,0)),RIGHT("0"&amp;DAY((A1775+1)),2)&amp;"."&amp;RIGHT("0"&amp;MONTH((A1775+1)),2)&amp;"."&amp;YEAR((A1775+1))&amp;": "&amp;INDEX('Zgłoszenia'!$H$5:$H$504,MATCH(F1775&amp;"|"&amp;(A1775+1),'Zgłoszenia'!$S$5:$S$504,0)))&amp;IF(K1775&gt;1," (+"&amp;(K1775-1)&amp;")",""))</f>
        <v/>
      </c>
      <c r="M1775" s="63" t="n">
        <v>22</v>
      </c>
      <c r="N1775" s="2" t="n"/>
      <c r="O1775" s="2" t="n"/>
    </row>
    <row r="1776">
      <c r="A1776" s="62">
        <f>IF('22'!$C$1="","",'22'!$C$1)</f>
        <v/>
      </c>
      <c r="B1776" s="63">
        <f>Ustawienia!$A$10&amp;""</f>
        <v/>
      </c>
      <c r="C1776" s="63">
        <f>Ustawienia!$A$17&amp;""</f>
        <v/>
      </c>
      <c r="D1776" s="63" t="n">
        <v>2</v>
      </c>
      <c r="E1776" s="63">
        <f>IF('22'!J28="","",TRIM('22'!J28&amp;""))</f>
        <v/>
      </c>
      <c r="F1776" s="63">
        <f>IF('22'!K28="","",'22'!K28)</f>
        <v/>
      </c>
      <c r="G1776" s="63">
        <f>'22'!L28&amp;""</f>
        <v/>
      </c>
      <c r="H1776" s="63">
        <f>IF(OR(A1776="",F1776=""),"",F1776&amp;"|"&amp;A1776)</f>
        <v/>
      </c>
      <c r="I1776" s="63">
        <f>IF(AND(H1776&lt;&gt;"",OR('Historia wózka'!$B$4="",F1776='Historia wózka'!$B$4),A1776&gt;='Historia wózka'!$B$5,A1776&lt;='Historia wózka'!$B$6),A1776+0.7+(5000-ROW())/10000000,0)</f>
        <v/>
      </c>
      <c r="J1776" s="63">
        <f>Ustawienia!$B$10&amp;""</f>
        <v/>
      </c>
      <c r="K1776" s="63">
        <f>IF(H1776="","",COUNTIFS('Zgłoszenia'!$B$5:$B$504,F1776,'Zgłoszenia'!$D$5:$D$504,"&gt;="&amp;A1776,'Zgłoszenia'!$D$5:$D$504,"&lt;="&amp;(A1776+1)))</f>
        <v/>
      </c>
      <c r="L1776" s="63">
        <f>IF(OR(H1776="",K1776=0),"—",IF(ISNUMBER(MATCH(H1776,'Zgłoszenia'!$S$5:$S$504,0)),RIGHT("0"&amp;DAY(A1776),2)&amp;"."&amp;RIGHT("0"&amp;MONTH(A1776),2)&amp;"."&amp;YEAR(A1776)&amp;": "&amp;INDEX('Zgłoszenia'!$H$5:$H$504,MATCH(H1776,'Zgłoszenia'!$S$5:$S$504,0)),RIGHT("0"&amp;DAY((A1776+1)),2)&amp;"."&amp;RIGHT("0"&amp;MONTH((A1776+1)),2)&amp;"."&amp;YEAR((A1776+1))&amp;": "&amp;INDEX('Zgłoszenia'!$H$5:$H$504,MATCH(F1776&amp;"|"&amp;(A1776+1),'Zgłoszenia'!$S$5:$S$504,0)))&amp;IF(K1776&gt;1," (+"&amp;(K1776-1)&amp;")",""))</f>
        <v/>
      </c>
      <c r="M1776" s="63" t="n">
        <v>22</v>
      </c>
      <c r="N1776" s="2" t="n"/>
      <c r="O1776" s="2" t="n"/>
    </row>
    <row r="1777">
      <c r="A1777" s="62">
        <f>IF('22'!$C$1="","",'22'!$C$1)</f>
        <v/>
      </c>
      <c r="B1777" s="63">
        <f>Ustawienia!$A$10&amp;""</f>
        <v/>
      </c>
      <c r="C1777" s="63">
        <f>Ustawienia!$A$17&amp;""</f>
        <v/>
      </c>
      <c r="D1777" s="63" t="n">
        <v>3</v>
      </c>
      <c r="E1777" s="63">
        <f>IF('22'!J29="","",TRIM('22'!J29&amp;""))</f>
        <v/>
      </c>
      <c r="F1777" s="63">
        <f>IF('22'!K29="","",'22'!K29)</f>
        <v/>
      </c>
      <c r="G1777" s="63">
        <f>'22'!L29&amp;""</f>
        <v/>
      </c>
      <c r="H1777" s="63">
        <f>IF(OR(A1777="",F1777=""),"",F1777&amp;"|"&amp;A1777)</f>
        <v/>
      </c>
      <c r="I1777" s="63">
        <f>IF(AND(H1777&lt;&gt;"",OR('Historia wózka'!$B$4="",F1777='Historia wózka'!$B$4),A1777&gt;='Historia wózka'!$B$5,A1777&lt;='Historia wózka'!$B$6),A1777+0.7+(5000-ROW())/10000000,0)</f>
        <v/>
      </c>
      <c r="J1777" s="63">
        <f>Ustawienia!$B$10&amp;""</f>
        <v/>
      </c>
      <c r="K1777" s="63">
        <f>IF(H1777="","",COUNTIFS('Zgłoszenia'!$B$5:$B$504,F1777,'Zgłoszenia'!$D$5:$D$504,"&gt;="&amp;A1777,'Zgłoszenia'!$D$5:$D$504,"&lt;="&amp;(A1777+1)))</f>
        <v/>
      </c>
      <c r="L1777" s="63">
        <f>IF(OR(H1777="",K1777=0),"—",IF(ISNUMBER(MATCH(H1777,'Zgłoszenia'!$S$5:$S$504,0)),RIGHT("0"&amp;DAY(A1777),2)&amp;"."&amp;RIGHT("0"&amp;MONTH(A1777),2)&amp;"."&amp;YEAR(A1777)&amp;": "&amp;INDEX('Zgłoszenia'!$H$5:$H$504,MATCH(H1777,'Zgłoszenia'!$S$5:$S$504,0)),RIGHT("0"&amp;DAY((A1777+1)),2)&amp;"."&amp;RIGHT("0"&amp;MONTH((A1777+1)),2)&amp;"."&amp;YEAR((A1777+1))&amp;": "&amp;INDEX('Zgłoszenia'!$H$5:$H$504,MATCH(F1777&amp;"|"&amp;(A1777+1),'Zgłoszenia'!$S$5:$S$504,0)))&amp;IF(K1777&gt;1," (+"&amp;(K1777-1)&amp;")",""))</f>
        <v/>
      </c>
      <c r="M1777" s="63" t="n">
        <v>22</v>
      </c>
      <c r="N1777" s="2" t="n"/>
      <c r="O1777" s="2" t="n"/>
    </row>
    <row r="1778">
      <c r="A1778" s="62">
        <f>IF('22'!$C$1="","",'22'!$C$1)</f>
        <v/>
      </c>
      <c r="B1778" s="63">
        <f>Ustawienia!$A$10&amp;""</f>
        <v/>
      </c>
      <c r="C1778" s="63">
        <f>Ustawienia!$A$17&amp;""</f>
        <v/>
      </c>
      <c r="D1778" s="63" t="n">
        <v>4</v>
      </c>
      <c r="E1778" s="63">
        <f>IF('22'!J30="","",TRIM('22'!J30&amp;""))</f>
        <v/>
      </c>
      <c r="F1778" s="63">
        <f>IF('22'!K30="","",'22'!K30)</f>
        <v/>
      </c>
      <c r="G1778" s="63">
        <f>'22'!L30&amp;""</f>
        <v/>
      </c>
      <c r="H1778" s="63">
        <f>IF(OR(A1778="",F1778=""),"",F1778&amp;"|"&amp;A1778)</f>
        <v/>
      </c>
      <c r="I1778" s="63">
        <f>IF(AND(H1778&lt;&gt;"",OR('Historia wózka'!$B$4="",F1778='Historia wózka'!$B$4),A1778&gt;='Historia wózka'!$B$5,A1778&lt;='Historia wózka'!$B$6),A1778+0.7+(5000-ROW())/10000000,0)</f>
        <v/>
      </c>
      <c r="J1778" s="63">
        <f>Ustawienia!$B$10&amp;""</f>
        <v/>
      </c>
      <c r="K1778" s="63">
        <f>IF(H1778="","",COUNTIFS('Zgłoszenia'!$B$5:$B$504,F1778,'Zgłoszenia'!$D$5:$D$504,"&gt;="&amp;A1778,'Zgłoszenia'!$D$5:$D$504,"&lt;="&amp;(A1778+1)))</f>
        <v/>
      </c>
      <c r="L1778" s="63">
        <f>IF(OR(H1778="",K1778=0),"—",IF(ISNUMBER(MATCH(H1778,'Zgłoszenia'!$S$5:$S$504,0)),RIGHT("0"&amp;DAY(A1778),2)&amp;"."&amp;RIGHT("0"&amp;MONTH(A1778),2)&amp;"."&amp;YEAR(A1778)&amp;": "&amp;INDEX('Zgłoszenia'!$H$5:$H$504,MATCH(H1778,'Zgłoszenia'!$S$5:$S$504,0)),RIGHT("0"&amp;DAY((A1778+1)),2)&amp;"."&amp;RIGHT("0"&amp;MONTH((A1778+1)),2)&amp;"."&amp;YEAR((A1778+1))&amp;": "&amp;INDEX('Zgłoszenia'!$H$5:$H$504,MATCH(F1778&amp;"|"&amp;(A1778+1),'Zgłoszenia'!$S$5:$S$504,0)))&amp;IF(K1778&gt;1," (+"&amp;(K1778-1)&amp;")",""))</f>
        <v/>
      </c>
      <c r="M1778" s="63" t="n">
        <v>22</v>
      </c>
      <c r="N1778" s="2" t="n"/>
      <c r="O1778" s="2" t="n"/>
    </row>
    <row r="1779">
      <c r="A1779" s="62">
        <f>IF('22'!$C$1="","",'22'!$C$1)</f>
        <v/>
      </c>
      <c r="B1779" s="63">
        <f>Ustawienia!$A$10&amp;""</f>
        <v/>
      </c>
      <c r="C1779" s="63">
        <f>Ustawienia!$A$18&amp;""</f>
        <v/>
      </c>
      <c r="D1779" s="63" t="n">
        <v>1</v>
      </c>
      <c r="E1779" s="63">
        <f>IF('22'!J32="","",TRIM('22'!J32&amp;""))</f>
        <v/>
      </c>
      <c r="F1779" s="63">
        <f>IF('22'!K32="","",'22'!K32)</f>
        <v/>
      </c>
      <c r="G1779" s="63">
        <f>'22'!L32&amp;""</f>
        <v/>
      </c>
      <c r="H1779" s="63">
        <f>IF(OR(A1779="",F1779=""),"",F1779&amp;"|"&amp;A1779)</f>
        <v/>
      </c>
      <c r="I1779" s="63">
        <f>IF(AND(H1779&lt;&gt;"",OR('Historia wózka'!$B$4="",F1779='Historia wózka'!$B$4),A1779&gt;='Historia wózka'!$B$5,A1779&lt;='Historia wózka'!$B$6),A1779+0.7+(5000-ROW())/10000000,0)</f>
        <v/>
      </c>
      <c r="J1779" s="63">
        <f>Ustawienia!$B$10&amp;""</f>
        <v/>
      </c>
      <c r="K1779" s="63">
        <f>IF(H1779="","",COUNTIFS('Zgłoszenia'!$B$5:$B$504,F1779,'Zgłoszenia'!$D$5:$D$504,"&gt;="&amp;A1779,'Zgłoszenia'!$D$5:$D$504,"&lt;="&amp;(A1779+1)))</f>
        <v/>
      </c>
      <c r="L1779" s="63">
        <f>IF(OR(H1779="",K1779=0),"—",IF(ISNUMBER(MATCH(H1779,'Zgłoszenia'!$S$5:$S$504,0)),RIGHT("0"&amp;DAY(A1779),2)&amp;"."&amp;RIGHT("0"&amp;MONTH(A1779),2)&amp;"."&amp;YEAR(A1779)&amp;": "&amp;INDEX('Zgłoszenia'!$H$5:$H$504,MATCH(H1779,'Zgłoszenia'!$S$5:$S$504,0)),RIGHT("0"&amp;DAY((A1779+1)),2)&amp;"."&amp;RIGHT("0"&amp;MONTH((A1779+1)),2)&amp;"."&amp;YEAR((A1779+1))&amp;": "&amp;INDEX('Zgłoszenia'!$H$5:$H$504,MATCH(F1779&amp;"|"&amp;(A1779+1),'Zgłoszenia'!$S$5:$S$504,0)))&amp;IF(K1779&gt;1," (+"&amp;(K1779-1)&amp;")",""))</f>
        <v/>
      </c>
      <c r="M1779" s="63" t="n">
        <v>22</v>
      </c>
      <c r="N1779" s="2" t="n"/>
      <c r="O1779" s="2" t="n"/>
    </row>
    <row r="1780">
      <c r="A1780" s="62">
        <f>IF('22'!$C$1="","",'22'!$C$1)</f>
        <v/>
      </c>
      <c r="B1780" s="63">
        <f>Ustawienia!$A$10&amp;""</f>
        <v/>
      </c>
      <c r="C1780" s="63">
        <f>Ustawienia!$A$18&amp;""</f>
        <v/>
      </c>
      <c r="D1780" s="63" t="n">
        <v>2</v>
      </c>
      <c r="E1780" s="63">
        <f>IF('22'!J33="","",TRIM('22'!J33&amp;""))</f>
        <v/>
      </c>
      <c r="F1780" s="63">
        <f>IF('22'!K33="","",'22'!K33)</f>
        <v/>
      </c>
      <c r="G1780" s="63">
        <f>'22'!L33&amp;""</f>
        <v/>
      </c>
      <c r="H1780" s="63">
        <f>IF(OR(A1780="",F1780=""),"",F1780&amp;"|"&amp;A1780)</f>
        <v/>
      </c>
      <c r="I1780" s="63">
        <f>IF(AND(H1780&lt;&gt;"",OR('Historia wózka'!$B$4="",F1780='Historia wózka'!$B$4),A1780&gt;='Historia wózka'!$B$5,A1780&lt;='Historia wózka'!$B$6),A1780+0.7+(5000-ROW())/10000000,0)</f>
        <v/>
      </c>
      <c r="J1780" s="63">
        <f>Ustawienia!$B$10&amp;""</f>
        <v/>
      </c>
      <c r="K1780" s="63">
        <f>IF(H1780="","",COUNTIFS('Zgłoszenia'!$B$5:$B$504,F1780,'Zgłoszenia'!$D$5:$D$504,"&gt;="&amp;A1780,'Zgłoszenia'!$D$5:$D$504,"&lt;="&amp;(A1780+1)))</f>
        <v/>
      </c>
      <c r="L1780" s="63">
        <f>IF(OR(H1780="",K1780=0),"—",IF(ISNUMBER(MATCH(H1780,'Zgłoszenia'!$S$5:$S$504,0)),RIGHT("0"&amp;DAY(A1780),2)&amp;"."&amp;RIGHT("0"&amp;MONTH(A1780),2)&amp;"."&amp;YEAR(A1780)&amp;": "&amp;INDEX('Zgłoszenia'!$H$5:$H$504,MATCH(H1780,'Zgłoszenia'!$S$5:$S$504,0)),RIGHT("0"&amp;DAY((A1780+1)),2)&amp;"."&amp;RIGHT("0"&amp;MONTH((A1780+1)),2)&amp;"."&amp;YEAR((A1780+1))&amp;": "&amp;INDEX('Zgłoszenia'!$H$5:$H$504,MATCH(F1780&amp;"|"&amp;(A1780+1),'Zgłoszenia'!$S$5:$S$504,0)))&amp;IF(K1780&gt;1," (+"&amp;(K1780-1)&amp;")",""))</f>
        <v/>
      </c>
      <c r="M1780" s="63" t="n">
        <v>22</v>
      </c>
      <c r="N1780" s="2" t="n"/>
      <c r="O1780" s="2" t="n"/>
    </row>
    <row r="1781">
      <c r="A1781" s="62">
        <f>IF('22'!$C$1="","",'22'!$C$1)</f>
        <v/>
      </c>
      <c r="B1781" s="63">
        <f>Ustawienia!$A$10&amp;""</f>
        <v/>
      </c>
      <c r="C1781" s="63">
        <f>Ustawienia!$A$18&amp;""</f>
        <v/>
      </c>
      <c r="D1781" s="63" t="n">
        <v>3</v>
      </c>
      <c r="E1781" s="63">
        <f>IF('22'!J34="","",TRIM('22'!J34&amp;""))</f>
        <v/>
      </c>
      <c r="F1781" s="63">
        <f>IF('22'!K34="","",'22'!K34)</f>
        <v/>
      </c>
      <c r="G1781" s="63">
        <f>'22'!L34&amp;""</f>
        <v/>
      </c>
      <c r="H1781" s="63">
        <f>IF(OR(A1781="",F1781=""),"",F1781&amp;"|"&amp;A1781)</f>
        <v/>
      </c>
      <c r="I1781" s="63">
        <f>IF(AND(H1781&lt;&gt;"",OR('Historia wózka'!$B$4="",F1781='Historia wózka'!$B$4),A1781&gt;='Historia wózka'!$B$5,A1781&lt;='Historia wózka'!$B$6),A1781+0.7+(5000-ROW())/10000000,0)</f>
        <v/>
      </c>
      <c r="J1781" s="63">
        <f>Ustawienia!$B$10&amp;""</f>
        <v/>
      </c>
      <c r="K1781" s="63">
        <f>IF(H1781="","",COUNTIFS('Zgłoszenia'!$B$5:$B$504,F1781,'Zgłoszenia'!$D$5:$D$504,"&gt;="&amp;A1781,'Zgłoszenia'!$D$5:$D$504,"&lt;="&amp;(A1781+1)))</f>
        <v/>
      </c>
      <c r="L1781" s="63">
        <f>IF(OR(H1781="",K1781=0),"—",IF(ISNUMBER(MATCH(H1781,'Zgłoszenia'!$S$5:$S$504,0)),RIGHT("0"&amp;DAY(A1781),2)&amp;"."&amp;RIGHT("0"&amp;MONTH(A1781),2)&amp;"."&amp;YEAR(A1781)&amp;": "&amp;INDEX('Zgłoszenia'!$H$5:$H$504,MATCH(H1781,'Zgłoszenia'!$S$5:$S$504,0)),RIGHT("0"&amp;DAY((A1781+1)),2)&amp;"."&amp;RIGHT("0"&amp;MONTH((A1781+1)),2)&amp;"."&amp;YEAR((A1781+1))&amp;": "&amp;INDEX('Zgłoszenia'!$H$5:$H$504,MATCH(F1781&amp;"|"&amp;(A1781+1),'Zgłoszenia'!$S$5:$S$504,0)))&amp;IF(K1781&gt;1," (+"&amp;(K1781-1)&amp;")",""))</f>
        <v/>
      </c>
      <c r="M1781" s="63" t="n">
        <v>22</v>
      </c>
      <c r="N1781" s="2" t="n"/>
      <c r="O1781" s="2" t="n"/>
    </row>
    <row r="1782">
      <c r="A1782" s="62">
        <f>IF('22'!$C$1="","",'22'!$C$1)</f>
        <v/>
      </c>
      <c r="B1782" s="63">
        <f>Ustawienia!$A$10&amp;""</f>
        <v/>
      </c>
      <c r="C1782" s="63">
        <f>Ustawienia!$A$18&amp;""</f>
        <v/>
      </c>
      <c r="D1782" s="63" t="n">
        <v>4</v>
      </c>
      <c r="E1782" s="63">
        <f>IF('22'!J35="","",TRIM('22'!J35&amp;""))</f>
        <v/>
      </c>
      <c r="F1782" s="63">
        <f>IF('22'!K35="","",'22'!K35)</f>
        <v/>
      </c>
      <c r="G1782" s="63">
        <f>'22'!L35&amp;""</f>
        <v/>
      </c>
      <c r="H1782" s="63">
        <f>IF(OR(A1782="",F1782=""),"",F1782&amp;"|"&amp;A1782)</f>
        <v/>
      </c>
      <c r="I1782" s="63">
        <f>IF(AND(H1782&lt;&gt;"",OR('Historia wózka'!$B$4="",F1782='Historia wózka'!$B$4),A1782&gt;='Historia wózka'!$B$5,A1782&lt;='Historia wózka'!$B$6),A1782+0.7+(5000-ROW())/10000000,0)</f>
        <v/>
      </c>
      <c r="J1782" s="63">
        <f>Ustawienia!$B$10&amp;""</f>
        <v/>
      </c>
      <c r="K1782" s="63">
        <f>IF(H1782="","",COUNTIFS('Zgłoszenia'!$B$5:$B$504,F1782,'Zgłoszenia'!$D$5:$D$504,"&gt;="&amp;A1782,'Zgłoszenia'!$D$5:$D$504,"&lt;="&amp;(A1782+1)))</f>
        <v/>
      </c>
      <c r="L1782" s="63">
        <f>IF(OR(H1782="",K1782=0),"—",IF(ISNUMBER(MATCH(H1782,'Zgłoszenia'!$S$5:$S$504,0)),RIGHT("0"&amp;DAY(A1782),2)&amp;"."&amp;RIGHT("0"&amp;MONTH(A1782),2)&amp;"."&amp;YEAR(A1782)&amp;": "&amp;INDEX('Zgłoszenia'!$H$5:$H$504,MATCH(H1782,'Zgłoszenia'!$S$5:$S$504,0)),RIGHT("0"&amp;DAY((A1782+1)),2)&amp;"."&amp;RIGHT("0"&amp;MONTH((A1782+1)),2)&amp;"."&amp;YEAR((A1782+1))&amp;": "&amp;INDEX('Zgłoszenia'!$H$5:$H$504,MATCH(F1782&amp;"|"&amp;(A1782+1),'Zgłoszenia'!$S$5:$S$504,0)))&amp;IF(K1782&gt;1," (+"&amp;(K1782-1)&amp;")",""))</f>
        <v/>
      </c>
      <c r="M1782" s="63" t="n">
        <v>22</v>
      </c>
      <c r="N1782" s="2" t="n"/>
      <c r="O1782" s="2" t="n"/>
    </row>
    <row r="1783">
      <c r="A1783" s="62">
        <f>IF('22'!$C$1="","",'22'!$C$1)</f>
        <v/>
      </c>
      <c r="B1783" s="63">
        <f>Ustawienia!$A$10&amp;""</f>
        <v/>
      </c>
      <c r="C1783" s="63">
        <f>Ustawienia!$A$18&amp;""</f>
        <v/>
      </c>
      <c r="D1783" s="63" t="n">
        <v>5</v>
      </c>
      <c r="E1783" s="63">
        <f>IF('22'!J36="","",TRIM('22'!J36&amp;""))</f>
        <v/>
      </c>
      <c r="F1783" s="63">
        <f>IF('22'!K36="","",'22'!K36)</f>
        <v/>
      </c>
      <c r="G1783" s="63">
        <f>'22'!L36&amp;""</f>
        <v/>
      </c>
      <c r="H1783" s="63">
        <f>IF(OR(A1783="",F1783=""),"",F1783&amp;"|"&amp;A1783)</f>
        <v/>
      </c>
      <c r="I1783" s="63">
        <f>IF(AND(H1783&lt;&gt;"",OR('Historia wózka'!$B$4="",F1783='Historia wózka'!$B$4),A1783&gt;='Historia wózka'!$B$5,A1783&lt;='Historia wózka'!$B$6),A1783+0.7+(5000-ROW())/10000000,0)</f>
        <v/>
      </c>
      <c r="J1783" s="63">
        <f>Ustawienia!$B$10&amp;""</f>
        <v/>
      </c>
      <c r="K1783" s="63">
        <f>IF(H1783="","",COUNTIFS('Zgłoszenia'!$B$5:$B$504,F1783,'Zgłoszenia'!$D$5:$D$504,"&gt;="&amp;A1783,'Zgłoszenia'!$D$5:$D$504,"&lt;="&amp;(A1783+1)))</f>
        <v/>
      </c>
      <c r="L1783" s="63">
        <f>IF(OR(H1783="",K1783=0),"—",IF(ISNUMBER(MATCH(H1783,'Zgłoszenia'!$S$5:$S$504,0)),RIGHT("0"&amp;DAY(A1783),2)&amp;"."&amp;RIGHT("0"&amp;MONTH(A1783),2)&amp;"."&amp;YEAR(A1783)&amp;": "&amp;INDEX('Zgłoszenia'!$H$5:$H$504,MATCH(H1783,'Zgłoszenia'!$S$5:$S$504,0)),RIGHT("0"&amp;DAY((A1783+1)),2)&amp;"."&amp;RIGHT("0"&amp;MONTH((A1783+1)),2)&amp;"."&amp;YEAR((A1783+1))&amp;": "&amp;INDEX('Zgłoszenia'!$H$5:$H$504,MATCH(F1783&amp;"|"&amp;(A1783+1),'Zgłoszenia'!$S$5:$S$504,0)))&amp;IF(K1783&gt;1," (+"&amp;(K1783-1)&amp;")",""))</f>
        <v/>
      </c>
      <c r="M1783" s="63" t="n">
        <v>22</v>
      </c>
      <c r="N1783" s="2" t="n"/>
      <c r="O1783" s="2" t="n"/>
    </row>
    <row r="1784">
      <c r="A1784" s="62">
        <f>IF('23'!$C$1="","",'23'!$C$1)</f>
        <v/>
      </c>
      <c r="B1784" s="63">
        <f>Ustawienia!$A$8&amp;""</f>
        <v/>
      </c>
      <c r="C1784" s="63">
        <f>Ustawienia!$A$14&amp;""</f>
        <v/>
      </c>
      <c r="D1784" s="63" t="n">
        <v>1</v>
      </c>
      <c r="E1784" s="63">
        <f>IF('23'!B6="","",TRIM('23'!B6&amp;""))</f>
        <v/>
      </c>
      <c r="F1784" s="63">
        <f>IF('23'!C6="","",'23'!C6)</f>
        <v/>
      </c>
      <c r="G1784" s="63">
        <f>'23'!D6&amp;""</f>
        <v/>
      </c>
      <c r="H1784" s="63">
        <f>IF(OR(A1784="",F1784=""),"",F1784&amp;"|"&amp;A1784)</f>
        <v/>
      </c>
      <c r="I1784" s="63">
        <f>IF(AND(H1784&lt;&gt;"",OR('Historia wózka'!$B$4="",F1784='Historia wózka'!$B$4),A1784&gt;='Historia wózka'!$B$5,A1784&lt;='Historia wózka'!$B$6),A1784+0.9+(5000-ROW())/10000000,0)</f>
        <v/>
      </c>
      <c r="J1784" s="63">
        <f>Ustawienia!$B$8&amp;""</f>
        <v/>
      </c>
      <c r="K1784" s="63">
        <f>IF(H1784="","",COUNTIFS('Zgłoszenia'!$B$5:$B$504,F1784,'Zgłoszenia'!$D$5:$D$504,"&gt;="&amp;A1784,'Zgłoszenia'!$D$5:$D$504,"&lt;="&amp;(A1784+1)))</f>
        <v/>
      </c>
      <c r="L1784" s="63">
        <f>IF(OR(H1784="",K1784=0),"—",IF(ISNUMBER(MATCH(H1784,'Zgłoszenia'!$S$5:$S$504,0)),RIGHT("0"&amp;DAY(A1784),2)&amp;"."&amp;RIGHT("0"&amp;MONTH(A1784),2)&amp;"."&amp;YEAR(A1784)&amp;": "&amp;INDEX('Zgłoszenia'!$H$5:$H$504,MATCH(H1784,'Zgłoszenia'!$S$5:$S$504,0)),RIGHT("0"&amp;DAY((A1784+1)),2)&amp;"."&amp;RIGHT("0"&amp;MONTH((A1784+1)),2)&amp;"."&amp;YEAR((A1784+1))&amp;": "&amp;INDEX('Zgłoszenia'!$H$5:$H$504,MATCH(F1784&amp;"|"&amp;(A1784+1),'Zgłoszenia'!$S$5:$S$504,0)))&amp;IF(K1784&gt;1," (+"&amp;(K1784-1)&amp;")",""))</f>
        <v/>
      </c>
      <c r="M1784" s="63" t="n">
        <v>23</v>
      </c>
      <c r="N1784" s="2" t="n"/>
      <c r="O1784" s="2" t="n"/>
    </row>
    <row r="1785">
      <c r="A1785" s="62">
        <f>IF('23'!$C$1="","",'23'!$C$1)</f>
        <v/>
      </c>
      <c r="B1785" s="63">
        <f>Ustawienia!$A$8&amp;""</f>
        <v/>
      </c>
      <c r="C1785" s="63">
        <f>Ustawienia!$A$14&amp;""</f>
        <v/>
      </c>
      <c r="D1785" s="63" t="n">
        <v>2</v>
      </c>
      <c r="E1785" s="63">
        <f>IF('23'!B7="","",TRIM('23'!B7&amp;""))</f>
        <v/>
      </c>
      <c r="F1785" s="63">
        <f>IF('23'!C7="","",'23'!C7)</f>
        <v/>
      </c>
      <c r="G1785" s="63">
        <f>'23'!D7&amp;""</f>
        <v/>
      </c>
      <c r="H1785" s="63">
        <f>IF(OR(A1785="",F1785=""),"",F1785&amp;"|"&amp;A1785)</f>
        <v/>
      </c>
      <c r="I1785" s="63">
        <f>IF(AND(H1785&lt;&gt;"",OR('Historia wózka'!$B$4="",F1785='Historia wózka'!$B$4),A1785&gt;='Historia wózka'!$B$5,A1785&lt;='Historia wózka'!$B$6),A1785+0.9+(5000-ROW())/10000000,0)</f>
        <v/>
      </c>
      <c r="J1785" s="63">
        <f>Ustawienia!$B$8&amp;""</f>
        <v/>
      </c>
      <c r="K1785" s="63">
        <f>IF(H1785="","",COUNTIFS('Zgłoszenia'!$B$5:$B$504,F1785,'Zgłoszenia'!$D$5:$D$504,"&gt;="&amp;A1785,'Zgłoszenia'!$D$5:$D$504,"&lt;="&amp;(A1785+1)))</f>
        <v/>
      </c>
      <c r="L1785" s="63">
        <f>IF(OR(H1785="",K1785=0),"—",IF(ISNUMBER(MATCH(H1785,'Zgłoszenia'!$S$5:$S$504,0)),RIGHT("0"&amp;DAY(A1785),2)&amp;"."&amp;RIGHT("0"&amp;MONTH(A1785),2)&amp;"."&amp;YEAR(A1785)&amp;": "&amp;INDEX('Zgłoszenia'!$H$5:$H$504,MATCH(H1785,'Zgłoszenia'!$S$5:$S$504,0)),RIGHT("0"&amp;DAY((A1785+1)),2)&amp;"."&amp;RIGHT("0"&amp;MONTH((A1785+1)),2)&amp;"."&amp;YEAR((A1785+1))&amp;": "&amp;INDEX('Zgłoszenia'!$H$5:$H$504,MATCH(F1785&amp;"|"&amp;(A1785+1),'Zgłoszenia'!$S$5:$S$504,0)))&amp;IF(K1785&gt;1," (+"&amp;(K1785-1)&amp;")",""))</f>
        <v/>
      </c>
      <c r="M1785" s="63" t="n">
        <v>23</v>
      </c>
      <c r="N1785" s="2" t="n"/>
      <c r="O1785" s="2" t="n"/>
    </row>
    <row r="1786">
      <c r="A1786" s="62">
        <f>IF('23'!$C$1="","",'23'!$C$1)</f>
        <v/>
      </c>
      <c r="B1786" s="63">
        <f>Ustawienia!$A$8&amp;""</f>
        <v/>
      </c>
      <c r="C1786" s="63">
        <f>Ustawienia!$A$14&amp;""</f>
        <v/>
      </c>
      <c r="D1786" s="63" t="n">
        <v>3</v>
      </c>
      <c r="E1786" s="63">
        <f>IF('23'!B8="","",TRIM('23'!B8&amp;""))</f>
        <v/>
      </c>
      <c r="F1786" s="63">
        <f>IF('23'!C8="","",'23'!C8)</f>
        <v/>
      </c>
      <c r="G1786" s="63">
        <f>'23'!D8&amp;""</f>
        <v/>
      </c>
      <c r="H1786" s="63">
        <f>IF(OR(A1786="",F1786=""),"",F1786&amp;"|"&amp;A1786)</f>
        <v/>
      </c>
      <c r="I1786" s="63">
        <f>IF(AND(H1786&lt;&gt;"",OR('Historia wózka'!$B$4="",F1786='Historia wózka'!$B$4),A1786&gt;='Historia wózka'!$B$5,A1786&lt;='Historia wózka'!$B$6),A1786+0.9+(5000-ROW())/10000000,0)</f>
        <v/>
      </c>
      <c r="J1786" s="63">
        <f>Ustawienia!$B$8&amp;""</f>
        <v/>
      </c>
      <c r="K1786" s="63">
        <f>IF(H1786="","",COUNTIFS('Zgłoszenia'!$B$5:$B$504,F1786,'Zgłoszenia'!$D$5:$D$504,"&gt;="&amp;A1786,'Zgłoszenia'!$D$5:$D$504,"&lt;="&amp;(A1786+1)))</f>
        <v/>
      </c>
      <c r="L1786" s="63">
        <f>IF(OR(H1786="",K1786=0),"—",IF(ISNUMBER(MATCH(H1786,'Zgłoszenia'!$S$5:$S$504,0)),RIGHT("0"&amp;DAY(A1786),2)&amp;"."&amp;RIGHT("0"&amp;MONTH(A1786),2)&amp;"."&amp;YEAR(A1786)&amp;": "&amp;INDEX('Zgłoszenia'!$H$5:$H$504,MATCH(H1786,'Zgłoszenia'!$S$5:$S$504,0)),RIGHT("0"&amp;DAY((A1786+1)),2)&amp;"."&amp;RIGHT("0"&amp;MONTH((A1786+1)),2)&amp;"."&amp;YEAR((A1786+1))&amp;": "&amp;INDEX('Zgłoszenia'!$H$5:$H$504,MATCH(F1786&amp;"|"&amp;(A1786+1),'Zgłoszenia'!$S$5:$S$504,0)))&amp;IF(K1786&gt;1," (+"&amp;(K1786-1)&amp;")",""))</f>
        <v/>
      </c>
      <c r="M1786" s="63" t="n">
        <v>23</v>
      </c>
      <c r="N1786" s="2" t="n"/>
      <c r="O1786" s="2" t="n"/>
    </row>
    <row r="1787">
      <c r="A1787" s="62">
        <f>IF('23'!$C$1="","",'23'!$C$1)</f>
        <v/>
      </c>
      <c r="B1787" s="63">
        <f>Ustawienia!$A$8&amp;""</f>
        <v/>
      </c>
      <c r="C1787" s="63">
        <f>Ustawienia!$A$14&amp;""</f>
        <v/>
      </c>
      <c r="D1787" s="63" t="n">
        <v>4</v>
      </c>
      <c r="E1787" s="63">
        <f>IF('23'!B9="","",TRIM('23'!B9&amp;""))</f>
        <v/>
      </c>
      <c r="F1787" s="63">
        <f>IF('23'!C9="","",'23'!C9)</f>
        <v/>
      </c>
      <c r="G1787" s="63">
        <f>'23'!D9&amp;""</f>
        <v/>
      </c>
      <c r="H1787" s="63">
        <f>IF(OR(A1787="",F1787=""),"",F1787&amp;"|"&amp;A1787)</f>
        <v/>
      </c>
      <c r="I1787" s="63">
        <f>IF(AND(H1787&lt;&gt;"",OR('Historia wózka'!$B$4="",F1787='Historia wózka'!$B$4),A1787&gt;='Historia wózka'!$B$5,A1787&lt;='Historia wózka'!$B$6),A1787+0.9+(5000-ROW())/10000000,0)</f>
        <v/>
      </c>
      <c r="J1787" s="63">
        <f>Ustawienia!$B$8&amp;""</f>
        <v/>
      </c>
      <c r="K1787" s="63">
        <f>IF(H1787="","",COUNTIFS('Zgłoszenia'!$B$5:$B$504,F1787,'Zgłoszenia'!$D$5:$D$504,"&gt;="&amp;A1787,'Zgłoszenia'!$D$5:$D$504,"&lt;="&amp;(A1787+1)))</f>
        <v/>
      </c>
      <c r="L1787" s="63">
        <f>IF(OR(H1787="",K1787=0),"—",IF(ISNUMBER(MATCH(H1787,'Zgłoszenia'!$S$5:$S$504,0)),RIGHT("0"&amp;DAY(A1787),2)&amp;"."&amp;RIGHT("0"&amp;MONTH(A1787),2)&amp;"."&amp;YEAR(A1787)&amp;": "&amp;INDEX('Zgłoszenia'!$H$5:$H$504,MATCH(H1787,'Zgłoszenia'!$S$5:$S$504,0)),RIGHT("0"&amp;DAY((A1787+1)),2)&amp;"."&amp;RIGHT("0"&amp;MONTH((A1787+1)),2)&amp;"."&amp;YEAR((A1787+1))&amp;": "&amp;INDEX('Zgłoszenia'!$H$5:$H$504,MATCH(F1787&amp;"|"&amp;(A1787+1),'Zgłoszenia'!$S$5:$S$504,0)))&amp;IF(K1787&gt;1," (+"&amp;(K1787-1)&amp;")",""))</f>
        <v/>
      </c>
      <c r="M1787" s="63" t="n">
        <v>23</v>
      </c>
      <c r="N1787" s="2" t="n"/>
      <c r="O1787" s="2" t="n"/>
    </row>
    <row r="1788">
      <c r="A1788" s="62">
        <f>IF('23'!$C$1="","",'23'!$C$1)</f>
        <v/>
      </c>
      <c r="B1788" s="63">
        <f>Ustawienia!$A$8&amp;""</f>
        <v/>
      </c>
      <c r="C1788" s="63">
        <f>Ustawienia!$A$14&amp;""</f>
        <v/>
      </c>
      <c r="D1788" s="63" t="n">
        <v>5</v>
      </c>
      <c r="E1788" s="63">
        <f>IF('23'!B10="","",TRIM('23'!B10&amp;""))</f>
        <v/>
      </c>
      <c r="F1788" s="63">
        <f>IF('23'!C10="","",'23'!C10)</f>
        <v/>
      </c>
      <c r="G1788" s="63">
        <f>'23'!D10&amp;""</f>
        <v/>
      </c>
      <c r="H1788" s="63">
        <f>IF(OR(A1788="",F1788=""),"",F1788&amp;"|"&amp;A1788)</f>
        <v/>
      </c>
      <c r="I1788" s="63">
        <f>IF(AND(H1788&lt;&gt;"",OR('Historia wózka'!$B$4="",F1788='Historia wózka'!$B$4),A1788&gt;='Historia wózka'!$B$5,A1788&lt;='Historia wózka'!$B$6),A1788+0.9+(5000-ROW())/10000000,0)</f>
        <v/>
      </c>
      <c r="J1788" s="63">
        <f>Ustawienia!$B$8&amp;""</f>
        <v/>
      </c>
      <c r="K1788" s="63">
        <f>IF(H1788="","",COUNTIFS('Zgłoszenia'!$B$5:$B$504,F1788,'Zgłoszenia'!$D$5:$D$504,"&gt;="&amp;A1788,'Zgłoszenia'!$D$5:$D$504,"&lt;="&amp;(A1788+1)))</f>
        <v/>
      </c>
      <c r="L1788" s="63">
        <f>IF(OR(H1788="",K1788=0),"—",IF(ISNUMBER(MATCH(H1788,'Zgłoszenia'!$S$5:$S$504,0)),RIGHT("0"&amp;DAY(A1788),2)&amp;"."&amp;RIGHT("0"&amp;MONTH(A1788),2)&amp;"."&amp;YEAR(A1788)&amp;": "&amp;INDEX('Zgłoszenia'!$H$5:$H$504,MATCH(H1788,'Zgłoszenia'!$S$5:$S$504,0)),RIGHT("0"&amp;DAY((A1788+1)),2)&amp;"."&amp;RIGHT("0"&amp;MONTH((A1788+1)),2)&amp;"."&amp;YEAR((A1788+1))&amp;": "&amp;INDEX('Zgłoszenia'!$H$5:$H$504,MATCH(F1788&amp;"|"&amp;(A1788+1),'Zgłoszenia'!$S$5:$S$504,0)))&amp;IF(K1788&gt;1," (+"&amp;(K1788-1)&amp;")",""))</f>
        <v/>
      </c>
      <c r="M1788" s="63" t="n">
        <v>23</v>
      </c>
      <c r="N1788" s="2" t="n"/>
      <c r="O1788" s="2" t="n"/>
    </row>
    <row r="1789">
      <c r="A1789" s="62">
        <f>IF('23'!$C$1="","",'23'!$C$1)</f>
        <v/>
      </c>
      <c r="B1789" s="63">
        <f>Ustawienia!$A$8&amp;""</f>
        <v/>
      </c>
      <c r="C1789" s="63">
        <f>Ustawienia!$A$14&amp;""</f>
        <v/>
      </c>
      <c r="D1789" s="63" t="n">
        <v>6</v>
      </c>
      <c r="E1789" s="63">
        <f>IF('23'!B11="","",TRIM('23'!B11&amp;""))</f>
        <v/>
      </c>
      <c r="F1789" s="63">
        <f>IF('23'!C11="","",'23'!C11)</f>
        <v/>
      </c>
      <c r="G1789" s="63">
        <f>'23'!D11&amp;""</f>
        <v/>
      </c>
      <c r="H1789" s="63">
        <f>IF(OR(A1789="",F1789=""),"",F1789&amp;"|"&amp;A1789)</f>
        <v/>
      </c>
      <c r="I1789" s="63">
        <f>IF(AND(H1789&lt;&gt;"",OR('Historia wózka'!$B$4="",F1789='Historia wózka'!$B$4),A1789&gt;='Historia wózka'!$B$5,A1789&lt;='Historia wózka'!$B$6),A1789+0.9+(5000-ROW())/10000000,0)</f>
        <v/>
      </c>
      <c r="J1789" s="63">
        <f>Ustawienia!$B$8&amp;""</f>
        <v/>
      </c>
      <c r="K1789" s="63">
        <f>IF(H1789="","",COUNTIFS('Zgłoszenia'!$B$5:$B$504,F1789,'Zgłoszenia'!$D$5:$D$504,"&gt;="&amp;A1789,'Zgłoszenia'!$D$5:$D$504,"&lt;="&amp;(A1789+1)))</f>
        <v/>
      </c>
      <c r="L1789" s="63">
        <f>IF(OR(H1789="",K1789=0),"—",IF(ISNUMBER(MATCH(H1789,'Zgłoszenia'!$S$5:$S$504,0)),RIGHT("0"&amp;DAY(A1789),2)&amp;"."&amp;RIGHT("0"&amp;MONTH(A1789),2)&amp;"."&amp;YEAR(A1789)&amp;": "&amp;INDEX('Zgłoszenia'!$H$5:$H$504,MATCH(H1789,'Zgłoszenia'!$S$5:$S$504,0)),RIGHT("0"&amp;DAY((A1789+1)),2)&amp;"."&amp;RIGHT("0"&amp;MONTH((A1789+1)),2)&amp;"."&amp;YEAR((A1789+1))&amp;": "&amp;INDEX('Zgłoszenia'!$H$5:$H$504,MATCH(F1789&amp;"|"&amp;(A1789+1),'Zgłoszenia'!$S$5:$S$504,0)))&amp;IF(K1789&gt;1," (+"&amp;(K1789-1)&amp;")",""))</f>
        <v/>
      </c>
      <c r="M1789" s="63" t="n">
        <v>23</v>
      </c>
      <c r="N1789" s="2" t="n"/>
      <c r="O1789" s="2" t="n"/>
    </row>
    <row r="1790">
      <c r="A1790" s="62">
        <f>IF('23'!$C$1="","",'23'!$C$1)</f>
        <v/>
      </c>
      <c r="B1790" s="63">
        <f>Ustawienia!$A$8&amp;""</f>
        <v/>
      </c>
      <c r="C1790" s="63">
        <f>Ustawienia!$A$15&amp;""</f>
        <v/>
      </c>
      <c r="D1790" s="63" t="n">
        <v>1</v>
      </c>
      <c r="E1790" s="63">
        <f>IF('23'!B13="","",TRIM('23'!B13&amp;""))</f>
        <v/>
      </c>
      <c r="F1790" s="63">
        <f>IF('23'!C13="","",'23'!C13)</f>
        <v/>
      </c>
      <c r="G1790" s="63">
        <f>'23'!D13&amp;""</f>
        <v/>
      </c>
      <c r="H1790" s="63">
        <f>IF(OR(A1790="",F1790=""),"",F1790&amp;"|"&amp;A1790)</f>
        <v/>
      </c>
      <c r="I1790" s="63">
        <f>IF(AND(H1790&lt;&gt;"",OR('Historia wózka'!$B$4="",F1790='Historia wózka'!$B$4),A1790&gt;='Historia wózka'!$B$5,A1790&lt;='Historia wózka'!$B$6),A1790+0.9+(5000-ROW())/10000000,0)</f>
        <v/>
      </c>
      <c r="J1790" s="63">
        <f>Ustawienia!$B$8&amp;""</f>
        <v/>
      </c>
      <c r="K1790" s="63">
        <f>IF(H1790="","",COUNTIFS('Zgłoszenia'!$B$5:$B$504,F1790,'Zgłoszenia'!$D$5:$D$504,"&gt;="&amp;A1790,'Zgłoszenia'!$D$5:$D$504,"&lt;="&amp;(A1790+1)))</f>
        <v/>
      </c>
      <c r="L1790" s="63">
        <f>IF(OR(H1790="",K1790=0),"—",IF(ISNUMBER(MATCH(H1790,'Zgłoszenia'!$S$5:$S$504,0)),RIGHT("0"&amp;DAY(A1790),2)&amp;"."&amp;RIGHT("0"&amp;MONTH(A1790),2)&amp;"."&amp;YEAR(A1790)&amp;": "&amp;INDEX('Zgłoszenia'!$H$5:$H$504,MATCH(H1790,'Zgłoszenia'!$S$5:$S$504,0)),RIGHT("0"&amp;DAY((A1790+1)),2)&amp;"."&amp;RIGHT("0"&amp;MONTH((A1790+1)),2)&amp;"."&amp;YEAR((A1790+1))&amp;": "&amp;INDEX('Zgłoszenia'!$H$5:$H$504,MATCH(F1790&amp;"|"&amp;(A1790+1),'Zgłoszenia'!$S$5:$S$504,0)))&amp;IF(K1790&gt;1," (+"&amp;(K1790-1)&amp;")",""))</f>
        <v/>
      </c>
      <c r="M1790" s="63" t="n">
        <v>23</v>
      </c>
      <c r="N1790" s="2" t="n"/>
      <c r="O1790" s="2" t="n"/>
    </row>
    <row r="1791">
      <c r="A1791" s="62">
        <f>IF('23'!$C$1="","",'23'!$C$1)</f>
        <v/>
      </c>
      <c r="B1791" s="63">
        <f>Ustawienia!$A$8&amp;""</f>
        <v/>
      </c>
      <c r="C1791" s="63">
        <f>Ustawienia!$A$15&amp;""</f>
        <v/>
      </c>
      <c r="D1791" s="63" t="n">
        <v>2</v>
      </c>
      <c r="E1791" s="63">
        <f>IF('23'!B14="","",TRIM('23'!B14&amp;""))</f>
        <v/>
      </c>
      <c r="F1791" s="63">
        <f>IF('23'!C14="","",'23'!C14)</f>
        <v/>
      </c>
      <c r="G1791" s="63">
        <f>'23'!D14&amp;""</f>
        <v/>
      </c>
      <c r="H1791" s="63">
        <f>IF(OR(A1791="",F1791=""),"",F1791&amp;"|"&amp;A1791)</f>
        <v/>
      </c>
      <c r="I1791" s="63">
        <f>IF(AND(H1791&lt;&gt;"",OR('Historia wózka'!$B$4="",F1791='Historia wózka'!$B$4),A1791&gt;='Historia wózka'!$B$5,A1791&lt;='Historia wózka'!$B$6),A1791+0.9+(5000-ROW())/10000000,0)</f>
        <v/>
      </c>
      <c r="J1791" s="63">
        <f>Ustawienia!$B$8&amp;""</f>
        <v/>
      </c>
      <c r="K1791" s="63">
        <f>IF(H1791="","",COUNTIFS('Zgłoszenia'!$B$5:$B$504,F1791,'Zgłoszenia'!$D$5:$D$504,"&gt;="&amp;A1791,'Zgłoszenia'!$D$5:$D$504,"&lt;="&amp;(A1791+1)))</f>
        <v/>
      </c>
      <c r="L1791" s="63">
        <f>IF(OR(H1791="",K1791=0),"—",IF(ISNUMBER(MATCH(H1791,'Zgłoszenia'!$S$5:$S$504,0)),RIGHT("0"&amp;DAY(A1791),2)&amp;"."&amp;RIGHT("0"&amp;MONTH(A1791),2)&amp;"."&amp;YEAR(A1791)&amp;": "&amp;INDEX('Zgłoszenia'!$H$5:$H$504,MATCH(H1791,'Zgłoszenia'!$S$5:$S$504,0)),RIGHT("0"&amp;DAY((A1791+1)),2)&amp;"."&amp;RIGHT("0"&amp;MONTH((A1791+1)),2)&amp;"."&amp;YEAR((A1791+1))&amp;": "&amp;INDEX('Zgłoszenia'!$H$5:$H$504,MATCH(F1791&amp;"|"&amp;(A1791+1),'Zgłoszenia'!$S$5:$S$504,0)))&amp;IF(K1791&gt;1," (+"&amp;(K1791-1)&amp;")",""))</f>
        <v/>
      </c>
      <c r="M1791" s="63" t="n">
        <v>23</v>
      </c>
      <c r="N1791" s="2" t="n"/>
      <c r="O1791" s="2" t="n"/>
    </row>
    <row r="1792">
      <c r="A1792" s="62">
        <f>IF('23'!$C$1="","",'23'!$C$1)</f>
        <v/>
      </c>
      <c r="B1792" s="63">
        <f>Ustawienia!$A$8&amp;""</f>
        <v/>
      </c>
      <c r="C1792" s="63">
        <f>Ustawienia!$A$15&amp;""</f>
        <v/>
      </c>
      <c r="D1792" s="63" t="n">
        <v>3</v>
      </c>
      <c r="E1792" s="63">
        <f>IF('23'!B15="","",TRIM('23'!B15&amp;""))</f>
        <v/>
      </c>
      <c r="F1792" s="63">
        <f>IF('23'!C15="","",'23'!C15)</f>
        <v/>
      </c>
      <c r="G1792" s="63">
        <f>'23'!D15&amp;""</f>
        <v/>
      </c>
      <c r="H1792" s="63">
        <f>IF(OR(A1792="",F1792=""),"",F1792&amp;"|"&amp;A1792)</f>
        <v/>
      </c>
      <c r="I1792" s="63">
        <f>IF(AND(H1792&lt;&gt;"",OR('Historia wózka'!$B$4="",F1792='Historia wózka'!$B$4),A1792&gt;='Historia wózka'!$B$5,A1792&lt;='Historia wózka'!$B$6),A1792+0.9+(5000-ROW())/10000000,0)</f>
        <v/>
      </c>
      <c r="J1792" s="63">
        <f>Ustawienia!$B$8&amp;""</f>
        <v/>
      </c>
      <c r="K1792" s="63">
        <f>IF(H1792="","",COUNTIFS('Zgłoszenia'!$B$5:$B$504,F1792,'Zgłoszenia'!$D$5:$D$504,"&gt;="&amp;A1792,'Zgłoszenia'!$D$5:$D$504,"&lt;="&amp;(A1792+1)))</f>
        <v/>
      </c>
      <c r="L1792" s="63">
        <f>IF(OR(H1792="",K1792=0),"—",IF(ISNUMBER(MATCH(H1792,'Zgłoszenia'!$S$5:$S$504,0)),RIGHT("0"&amp;DAY(A1792),2)&amp;"."&amp;RIGHT("0"&amp;MONTH(A1792),2)&amp;"."&amp;YEAR(A1792)&amp;": "&amp;INDEX('Zgłoszenia'!$H$5:$H$504,MATCH(H1792,'Zgłoszenia'!$S$5:$S$504,0)),RIGHT("0"&amp;DAY((A1792+1)),2)&amp;"."&amp;RIGHT("0"&amp;MONTH((A1792+1)),2)&amp;"."&amp;YEAR((A1792+1))&amp;": "&amp;INDEX('Zgłoszenia'!$H$5:$H$504,MATCH(F1792&amp;"|"&amp;(A1792+1),'Zgłoszenia'!$S$5:$S$504,0)))&amp;IF(K1792&gt;1," (+"&amp;(K1792-1)&amp;")",""))</f>
        <v/>
      </c>
      <c r="M1792" s="63" t="n">
        <v>23</v>
      </c>
      <c r="N1792" s="2" t="n"/>
      <c r="O1792" s="2" t="n"/>
    </row>
    <row r="1793">
      <c r="A1793" s="62">
        <f>IF('23'!$C$1="","",'23'!$C$1)</f>
        <v/>
      </c>
      <c r="B1793" s="63">
        <f>Ustawienia!$A$8&amp;""</f>
        <v/>
      </c>
      <c r="C1793" s="63">
        <f>Ustawienia!$A$15&amp;""</f>
        <v/>
      </c>
      <c r="D1793" s="63" t="n">
        <v>4</v>
      </c>
      <c r="E1793" s="63">
        <f>IF('23'!B16="","",TRIM('23'!B16&amp;""))</f>
        <v/>
      </c>
      <c r="F1793" s="63">
        <f>IF('23'!C16="","",'23'!C16)</f>
        <v/>
      </c>
      <c r="G1793" s="63">
        <f>'23'!D16&amp;""</f>
        <v/>
      </c>
      <c r="H1793" s="63">
        <f>IF(OR(A1793="",F1793=""),"",F1793&amp;"|"&amp;A1793)</f>
        <v/>
      </c>
      <c r="I1793" s="63">
        <f>IF(AND(H1793&lt;&gt;"",OR('Historia wózka'!$B$4="",F1793='Historia wózka'!$B$4),A1793&gt;='Historia wózka'!$B$5,A1793&lt;='Historia wózka'!$B$6),A1793+0.9+(5000-ROW())/10000000,0)</f>
        <v/>
      </c>
      <c r="J1793" s="63">
        <f>Ustawienia!$B$8&amp;""</f>
        <v/>
      </c>
      <c r="K1793" s="63">
        <f>IF(H1793="","",COUNTIFS('Zgłoszenia'!$B$5:$B$504,F1793,'Zgłoszenia'!$D$5:$D$504,"&gt;="&amp;A1793,'Zgłoszenia'!$D$5:$D$504,"&lt;="&amp;(A1793+1)))</f>
        <v/>
      </c>
      <c r="L1793" s="63">
        <f>IF(OR(H1793="",K1793=0),"—",IF(ISNUMBER(MATCH(H1793,'Zgłoszenia'!$S$5:$S$504,0)),RIGHT("0"&amp;DAY(A1793),2)&amp;"."&amp;RIGHT("0"&amp;MONTH(A1793),2)&amp;"."&amp;YEAR(A1793)&amp;": "&amp;INDEX('Zgłoszenia'!$H$5:$H$504,MATCH(H1793,'Zgłoszenia'!$S$5:$S$504,0)),RIGHT("0"&amp;DAY((A1793+1)),2)&amp;"."&amp;RIGHT("0"&amp;MONTH((A1793+1)),2)&amp;"."&amp;YEAR((A1793+1))&amp;": "&amp;INDEX('Zgłoszenia'!$H$5:$H$504,MATCH(F1793&amp;"|"&amp;(A1793+1),'Zgłoszenia'!$S$5:$S$504,0)))&amp;IF(K1793&gt;1," (+"&amp;(K1793-1)&amp;")",""))</f>
        <v/>
      </c>
      <c r="M1793" s="63" t="n">
        <v>23</v>
      </c>
      <c r="N1793" s="2" t="n"/>
      <c r="O1793" s="2" t="n"/>
    </row>
    <row r="1794">
      <c r="A1794" s="62">
        <f>IF('23'!$C$1="","",'23'!$C$1)</f>
        <v/>
      </c>
      <c r="B1794" s="63">
        <f>Ustawienia!$A$8&amp;""</f>
        <v/>
      </c>
      <c r="C1794" s="63">
        <f>Ustawienia!$A$15&amp;""</f>
        <v/>
      </c>
      <c r="D1794" s="63" t="n">
        <v>5</v>
      </c>
      <c r="E1794" s="63">
        <f>IF('23'!B17="","",TRIM('23'!B17&amp;""))</f>
        <v/>
      </c>
      <c r="F1794" s="63">
        <f>IF('23'!C17="","",'23'!C17)</f>
        <v/>
      </c>
      <c r="G1794" s="63">
        <f>'23'!D17&amp;""</f>
        <v/>
      </c>
      <c r="H1794" s="63">
        <f>IF(OR(A1794="",F1794=""),"",F1794&amp;"|"&amp;A1794)</f>
        <v/>
      </c>
      <c r="I1794" s="63">
        <f>IF(AND(H1794&lt;&gt;"",OR('Historia wózka'!$B$4="",F1794='Historia wózka'!$B$4),A1794&gt;='Historia wózka'!$B$5,A1794&lt;='Historia wózka'!$B$6),A1794+0.9+(5000-ROW())/10000000,0)</f>
        <v/>
      </c>
      <c r="J1794" s="63">
        <f>Ustawienia!$B$8&amp;""</f>
        <v/>
      </c>
      <c r="K1794" s="63">
        <f>IF(H1794="","",COUNTIFS('Zgłoszenia'!$B$5:$B$504,F1794,'Zgłoszenia'!$D$5:$D$504,"&gt;="&amp;A1794,'Zgłoszenia'!$D$5:$D$504,"&lt;="&amp;(A1794+1)))</f>
        <v/>
      </c>
      <c r="L1794" s="63">
        <f>IF(OR(H1794="",K1794=0),"—",IF(ISNUMBER(MATCH(H1794,'Zgłoszenia'!$S$5:$S$504,0)),RIGHT("0"&amp;DAY(A1794),2)&amp;"."&amp;RIGHT("0"&amp;MONTH(A1794),2)&amp;"."&amp;YEAR(A1794)&amp;": "&amp;INDEX('Zgłoszenia'!$H$5:$H$504,MATCH(H1794,'Zgłoszenia'!$S$5:$S$504,0)),RIGHT("0"&amp;DAY((A1794+1)),2)&amp;"."&amp;RIGHT("0"&amp;MONTH((A1794+1)),2)&amp;"."&amp;YEAR((A1794+1))&amp;": "&amp;INDEX('Zgłoszenia'!$H$5:$H$504,MATCH(F1794&amp;"|"&amp;(A1794+1),'Zgłoszenia'!$S$5:$S$504,0)))&amp;IF(K1794&gt;1," (+"&amp;(K1794-1)&amp;")",""))</f>
        <v/>
      </c>
      <c r="M1794" s="63" t="n">
        <v>23</v>
      </c>
      <c r="N1794" s="2" t="n"/>
      <c r="O1794" s="2" t="n"/>
    </row>
    <row r="1795">
      <c r="A1795" s="62">
        <f>IF('23'!$C$1="","",'23'!$C$1)</f>
        <v/>
      </c>
      <c r="B1795" s="63">
        <f>Ustawienia!$A$8&amp;""</f>
        <v/>
      </c>
      <c r="C1795" s="63">
        <f>Ustawienia!$A$15&amp;""</f>
        <v/>
      </c>
      <c r="D1795" s="63" t="n">
        <v>6</v>
      </c>
      <c r="E1795" s="63">
        <f>IF('23'!B18="","",TRIM('23'!B18&amp;""))</f>
        <v/>
      </c>
      <c r="F1795" s="63">
        <f>IF('23'!C18="","",'23'!C18)</f>
        <v/>
      </c>
      <c r="G1795" s="63">
        <f>'23'!D18&amp;""</f>
        <v/>
      </c>
      <c r="H1795" s="63">
        <f>IF(OR(A1795="",F1795=""),"",F1795&amp;"|"&amp;A1795)</f>
        <v/>
      </c>
      <c r="I1795" s="63">
        <f>IF(AND(H1795&lt;&gt;"",OR('Historia wózka'!$B$4="",F1795='Historia wózka'!$B$4),A1795&gt;='Historia wózka'!$B$5,A1795&lt;='Historia wózka'!$B$6),A1795+0.9+(5000-ROW())/10000000,0)</f>
        <v/>
      </c>
      <c r="J1795" s="63">
        <f>Ustawienia!$B$8&amp;""</f>
        <v/>
      </c>
      <c r="K1795" s="63">
        <f>IF(H1795="","",COUNTIFS('Zgłoszenia'!$B$5:$B$504,F1795,'Zgłoszenia'!$D$5:$D$504,"&gt;="&amp;A1795,'Zgłoszenia'!$D$5:$D$504,"&lt;="&amp;(A1795+1)))</f>
        <v/>
      </c>
      <c r="L1795" s="63">
        <f>IF(OR(H1795="",K1795=0),"—",IF(ISNUMBER(MATCH(H1795,'Zgłoszenia'!$S$5:$S$504,0)),RIGHT("0"&amp;DAY(A1795),2)&amp;"."&amp;RIGHT("0"&amp;MONTH(A1795),2)&amp;"."&amp;YEAR(A1795)&amp;": "&amp;INDEX('Zgłoszenia'!$H$5:$H$504,MATCH(H1795,'Zgłoszenia'!$S$5:$S$504,0)),RIGHT("0"&amp;DAY((A1795+1)),2)&amp;"."&amp;RIGHT("0"&amp;MONTH((A1795+1)),2)&amp;"."&amp;YEAR((A1795+1))&amp;": "&amp;INDEX('Zgłoszenia'!$H$5:$H$504,MATCH(F1795&amp;"|"&amp;(A1795+1),'Zgłoszenia'!$S$5:$S$504,0)))&amp;IF(K1795&gt;1," (+"&amp;(K1795-1)&amp;")",""))</f>
        <v/>
      </c>
      <c r="M1795" s="63" t="n">
        <v>23</v>
      </c>
      <c r="N1795" s="2" t="n"/>
      <c r="O1795" s="2" t="n"/>
    </row>
    <row r="1796">
      <c r="A1796" s="62">
        <f>IF('23'!$C$1="","",'23'!$C$1)</f>
        <v/>
      </c>
      <c r="B1796" s="63">
        <f>Ustawienia!$A$8&amp;""</f>
        <v/>
      </c>
      <c r="C1796" s="63">
        <f>Ustawienia!$A$15&amp;""</f>
        <v/>
      </c>
      <c r="D1796" s="63" t="n">
        <v>7</v>
      </c>
      <c r="E1796" s="63">
        <f>IF('23'!B19="","",TRIM('23'!B19&amp;""))</f>
        <v/>
      </c>
      <c r="F1796" s="63">
        <f>IF('23'!C19="","",'23'!C19)</f>
        <v/>
      </c>
      <c r="G1796" s="63">
        <f>'23'!D19&amp;""</f>
        <v/>
      </c>
      <c r="H1796" s="63">
        <f>IF(OR(A1796="",F1796=""),"",F1796&amp;"|"&amp;A1796)</f>
        <v/>
      </c>
      <c r="I1796" s="63">
        <f>IF(AND(H1796&lt;&gt;"",OR('Historia wózka'!$B$4="",F1796='Historia wózka'!$B$4),A1796&gt;='Historia wózka'!$B$5,A1796&lt;='Historia wózka'!$B$6),A1796+0.9+(5000-ROW())/10000000,0)</f>
        <v/>
      </c>
      <c r="J1796" s="63">
        <f>Ustawienia!$B$8&amp;""</f>
        <v/>
      </c>
      <c r="K1796" s="63">
        <f>IF(H1796="","",COUNTIFS('Zgłoszenia'!$B$5:$B$504,F1796,'Zgłoszenia'!$D$5:$D$504,"&gt;="&amp;A1796,'Zgłoszenia'!$D$5:$D$504,"&lt;="&amp;(A1796+1)))</f>
        <v/>
      </c>
      <c r="L1796" s="63">
        <f>IF(OR(H1796="",K1796=0),"—",IF(ISNUMBER(MATCH(H1796,'Zgłoszenia'!$S$5:$S$504,0)),RIGHT("0"&amp;DAY(A1796),2)&amp;"."&amp;RIGHT("0"&amp;MONTH(A1796),2)&amp;"."&amp;YEAR(A1796)&amp;": "&amp;INDEX('Zgłoszenia'!$H$5:$H$504,MATCH(H1796,'Zgłoszenia'!$S$5:$S$504,0)),RIGHT("0"&amp;DAY((A1796+1)),2)&amp;"."&amp;RIGHT("0"&amp;MONTH((A1796+1)),2)&amp;"."&amp;YEAR((A1796+1))&amp;": "&amp;INDEX('Zgłoszenia'!$H$5:$H$504,MATCH(F1796&amp;"|"&amp;(A1796+1),'Zgłoszenia'!$S$5:$S$504,0)))&amp;IF(K1796&gt;1," (+"&amp;(K1796-1)&amp;")",""))</f>
        <v/>
      </c>
      <c r="M1796" s="63" t="n">
        <v>23</v>
      </c>
      <c r="N1796" s="2" t="n"/>
      <c r="O1796" s="2" t="n"/>
    </row>
    <row r="1797">
      <c r="A1797" s="62">
        <f>IF('23'!$C$1="","",'23'!$C$1)</f>
        <v/>
      </c>
      <c r="B1797" s="63">
        <f>Ustawienia!$A$8&amp;""</f>
        <v/>
      </c>
      <c r="C1797" s="63">
        <f>Ustawienia!$A$15&amp;""</f>
        <v/>
      </c>
      <c r="D1797" s="63" t="n">
        <v>8</v>
      </c>
      <c r="E1797" s="63">
        <f>IF('23'!B20="","",TRIM('23'!B20&amp;""))</f>
        <v/>
      </c>
      <c r="F1797" s="63">
        <f>IF('23'!C20="","",'23'!C20)</f>
        <v/>
      </c>
      <c r="G1797" s="63">
        <f>'23'!D20&amp;""</f>
        <v/>
      </c>
      <c r="H1797" s="63">
        <f>IF(OR(A1797="",F1797=""),"",F1797&amp;"|"&amp;A1797)</f>
        <v/>
      </c>
      <c r="I1797" s="63">
        <f>IF(AND(H1797&lt;&gt;"",OR('Historia wózka'!$B$4="",F1797='Historia wózka'!$B$4),A1797&gt;='Historia wózka'!$B$5,A1797&lt;='Historia wózka'!$B$6),A1797+0.9+(5000-ROW())/10000000,0)</f>
        <v/>
      </c>
      <c r="J1797" s="63">
        <f>Ustawienia!$B$8&amp;""</f>
        <v/>
      </c>
      <c r="K1797" s="63">
        <f>IF(H1797="","",COUNTIFS('Zgłoszenia'!$B$5:$B$504,F1797,'Zgłoszenia'!$D$5:$D$504,"&gt;="&amp;A1797,'Zgłoszenia'!$D$5:$D$504,"&lt;="&amp;(A1797+1)))</f>
        <v/>
      </c>
      <c r="L1797" s="63">
        <f>IF(OR(H1797="",K1797=0),"—",IF(ISNUMBER(MATCH(H1797,'Zgłoszenia'!$S$5:$S$504,0)),RIGHT("0"&amp;DAY(A1797),2)&amp;"."&amp;RIGHT("0"&amp;MONTH(A1797),2)&amp;"."&amp;YEAR(A1797)&amp;": "&amp;INDEX('Zgłoszenia'!$H$5:$H$504,MATCH(H1797,'Zgłoszenia'!$S$5:$S$504,0)),RIGHT("0"&amp;DAY((A1797+1)),2)&amp;"."&amp;RIGHT("0"&amp;MONTH((A1797+1)),2)&amp;"."&amp;YEAR((A1797+1))&amp;": "&amp;INDEX('Zgłoszenia'!$H$5:$H$504,MATCH(F1797&amp;"|"&amp;(A1797+1),'Zgłoszenia'!$S$5:$S$504,0)))&amp;IF(K1797&gt;1," (+"&amp;(K1797-1)&amp;")",""))</f>
        <v/>
      </c>
      <c r="M1797" s="63" t="n">
        <v>23</v>
      </c>
      <c r="N1797" s="2" t="n"/>
      <c r="O1797" s="2" t="n"/>
    </row>
    <row r="1798">
      <c r="A1798" s="62">
        <f>IF('23'!$C$1="","",'23'!$C$1)</f>
        <v/>
      </c>
      <c r="B1798" s="63">
        <f>Ustawienia!$A$8&amp;""</f>
        <v/>
      </c>
      <c r="C1798" s="63">
        <f>Ustawienia!$A$16&amp;""</f>
        <v/>
      </c>
      <c r="D1798" s="63" t="n">
        <v>1</v>
      </c>
      <c r="E1798" s="63">
        <f>IF('23'!B22="","",TRIM('23'!B22&amp;""))</f>
        <v/>
      </c>
      <c r="F1798" s="63">
        <f>IF('23'!C22="","",'23'!C22)</f>
        <v/>
      </c>
      <c r="G1798" s="63">
        <f>'23'!D22&amp;""</f>
        <v/>
      </c>
      <c r="H1798" s="63">
        <f>IF(OR(A1798="",F1798=""),"",F1798&amp;"|"&amp;A1798)</f>
        <v/>
      </c>
      <c r="I1798" s="63">
        <f>IF(AND(H1798&lt;&gt;"",OR('Historia wózka'!$B$4="",F1798='Historia wózka'!$B$4),A1798&gt;='Historia wózka'!$B$5,A1798&lt;='Historia wózka'!$B$6),A1798+0.9+(5000-ROW())/10000000,0)</f>
        <v/>
      </c>
      <c r="J1798" s="63">
        <f>Ustawienia!$B$8&amp;""</f>
        <v/>
      </c>
      <c r="K1798" s="63">
        <f>IF(H1798="","",COUNTIFS('Zgłoszenia'!$B$5:$B$504,F1798,'Zgłoszenia'!$D$5:$D$504,"&gt;="&amp;A1798,'Zgłoszenia'!$D$5:$D$504,"&lt;="&amp;(A1798+1)))</f>
        <v/>
      </c>
      <c r="L1798" s="63">
        <f>IF(OR(H1798="",K1798=0),"—",IF(ISNUMBER(MATCH(H1798,'Zgłoszenia'!$S$5:$S$504,0)),RIGHT("0"&amp;DAY(A1798),2)&amp;"."&amp;RIGHT("0"&amp;MONTH(A1798),2)&amp;"."&amp;YEAR(A1798)&amp;": "&amp;INDEX('Zgłoszenia'!$H$5:$H$504,MATCH(H1798,'Zgłoszenia'!$S$5:$S$504,0)),RIGHT("0"&amp;DAY((A1798+1)),2)&amp;"."&amp;RIGHT("0"&amp;MONTH((A1798+1)),2)&amp;"."&amp;YEAR((A1798+1))&amp;": "&amp;INDEX('Zgłoszenia'!$H$5:$H$504,MATCH(F1798&amp;"|"&amp;(A1798+1),'Zgłoszenia'!$S$5:$S$504,0)))&amp;IF(K1798&gt;1," (+"&amp;(K1798-1)&amp;")",""))</f>
        <v/>
      </c>
      <c r="M1798" s="63" t="n">
        <v>23</v>
      </c>
      <c r="N1798" s="2" t="n"/>
      <c r="O1798" s="2" t="n"/>
    </row>
    <row r="1799">
      <c r="A1799" s="62">
        <f>IF('23'!$C$1="","",'23'!$C$1)</f>
        <v/>
      </c>
      <c r="B1799" s="63">
        <f>Ustawienia!$A$8&amp;""</f>
        <v/>
      </c>
      <c r="C1799" s="63">
        <f>Ustawienia!$A$16&amp;""</f>
        <v/>
      </c>
      <c r="D1799" s="63" t="n">
        <v>2</v>
      </c>
      <c r="E1799" s="63">
        <f>IF('23'!B23="","",TRIM('23'!B23&amp;""))</f>
        <v/>
      </c>
      <c r="F1799" s="63">
        <f>IF('23'!C23="","",'23'!C23)</f>
        <v/>
      </c>
      <c r="G1799" s="63">
        <f>'23'!D23&amp;""</f>
        <v/>
      </c>
      <c r="H1799" s="63">
        <f>IF(OR(A1799="",F1799=""),"",F1799&amp;"|"&amp;A1799)</f>
        <v/>
      </c>
      <c r="I1799" s="63">
        <f>IF(AND(H1799&lt;&gt;"",OR('Historia wózka'!$B$4="",F1799='Historia wózka'!$B$4),A1799&gt;='Historia wózka'!$B$5,A1799&lt;='Historia wózka'!$B$6),A1799+0.9+(5000-ROW())/10000000,0)</f>
        <v/>
      </c>
      <c r="J1799" s="63">
        <f>Ustawienia!$B$8&amp;""</f>
        <v/>
      </c>
      <c r="K1799" s="63">
        <f>IF(H1799="","",COUNTIFS('Zgłoszenia'!$B$5:$B$504,F1799,'Zgłoszenia'!$D$5:$D$504,"&gt;="&amp;A1799,'Zgłoszenia'!$D$5:$D$504,"&lt;="&amp;(A1799+1)))</f>
        <v/>
      </c>
      <c r="L1799" s="63">
        <f>IF(OR(H1799="",K1799=0),"—",IF(ISNUMBER(MATCH(H1799,'Zgłoszenia'!$S$5:$S$504,0)),RIGHT("0"&amp;DAY(A1799),2)&amp;"."&amp;RIGHT("0"&amp;MONTH(A1799),2)&amp;"."&amp;YEAR(A1799)&amp;": "&amp;INDEX('Zgłoszenia'!$H$5:$H$504,MATCH(H1799,'Zgłoszenia'!$S$5:$S$504,0)),RIGHT("0"&amp;DAY((A1799+1)),2)&amp;"."&amp;RIGHT("0"&amp;MONTH((A1799+1)),2)&amp;"."&amp;YEAR((A1799+1))&amp;": "&amp;INDEX('Zgłoszenia'!$H$5:$H$504,MATCH(F1799&amp;"|"&amp;(A1799+1),'Zgłoszenia'!$S$5:$S$504,0)))&amp;IF(K1799&gt;1," (+"&amp;(K1799-1)&amp;")",""))</f>
        <v/>
      </c>
      <c r="M1799" s="63" t="n">
        <v>23</v>
      </c>
      <c r="N1799" s="2" t="n"/>
      <c r="O1799" s="2" t="n"/>
    </row>
    <row r="1800">
      <c r="A1800" s="62">
        <f>IF('23'!$C$1="","",'23'!$C$1)</f>
        <v/>
      </c>
      <c r="B1800" s="63">
        <f>Ustawienia!$A$8&amp;""</f>
        <v/>
      </c>
      <c r="C1800" s="63">
        <f>Ustawienia!$A$16&amp;""</f>
        <v/>
      </c>
      <c r="D1800" s="63" t="n">
        <v>3</v>
      </c>
      <c r="E1800" s="63">
        <f>IF('23'!B24="","",TRIM('23'!B24&amp;""))</f>
        <v/>
      </c>
      <c r="F1800" s="63">
        <f>IF('23'!C24="","",'23'!C24)</f>
        <v/>
      </c>
      <c r="G1800" s="63">
        <f>'23'!D24&amp;""</f>
        <v/>
      </c>
      <c r="H1800" s="63">
        <f>IF(OR(A1800="",F1800=""),"",F1800&amp;"|"&amp;A1800)</f>
        <v/>
      </c>
      <c r="I1800" s="63">
        <f>IF(AND(H1800&lt;&gt;"",OR('Historia wózka'!$B$4="",F1800='Historia wózka'!$B$4),A1800&gt;='Historia wózka'!$B$5,A1800&lt;='Historia wózka'!$B$6),A1800+0.9+(5000-ROW())/10000000,0)</f>
        <v/>
      </c>
      <c r="J1800" s="63">
        <f>Ustawienia!$B$8&amp;""</f>
        <v/>
      </c>
      <c r="K1800" s="63">
        <f>IF(H1800="","",COUNTIFS('Zgłoszenia'!$B$5:$B$504,F1800,'Zgłoszenia'!$D$5:$D$504,"&gt;="&amp;A1800,'Zgłoszenia'!$D$5:$D$504,"&lt;="&amp;(A1800+1)))</f>
        <v/>
      </c>
      <c r="L1800" s="63">
        <f>IF(OR(H1800="",K1800=0),"—",IF(ISNUMBER(MATCH(H1800,'Zgłoszenia'!$S$5:$S$504,0)),RIGHT("0"&amp;DAY(A1800),2)&amp;"."&amp;RIGHT("0"&amp;MONTH(A1800),2)&amp;"."&amp;YEAR(A1800)&amp;": "&amp;INDEX('Zgłoszenia'!$H$5:$H$504,MATCH(H1800,'Zgłoszenia'!$S$5:$S$504,0)),RIGHT("0"&amp;DAY((A1800+1)),2)&amp;"."&amp;RIGHT("0"&amp;MONTH((A1800+1)),2)&amp;"."&amp;YEAR((A1800+1))&amp;": "&amp;INDEX('Zgłoszenia'!$H$5:$H$504,MATCH(F1800&amp;"|"&amp;(A1800+1),'Zgłoszenia'!$S$5:$S$504,0)))&amp;IF(K1800&gt;1," (+"&amp;(K1800-1)&amp;")",""))</f>
        <v/>
      </c>
      <c r="M1800" s="63" t="n">
        <v>23</v>
      </c>
      <c r="N1800" s="2" t="n"/>
      <c r="O1800" s="2" t="n"/>
    </row>
    <row r="1801">
      <c r="A1801" s="62">
        <f>IF('23'!$C$1="","",'23'!$C$1)</f>
        <v/>
      </c>
      <c r="B1801" s="63">
        <f>Ustawienia!$A$8&amp;""</f>
        <v/>
      </c>
      <c r="C1801" s="63">
        <f>Ustawienia!$A$16&amp;""</f>
        <v/>
      </c>
      <c r="D1801" s="63" t="n">
        <v>4</v>
      </c>
      <c r="E1801" s="63">
        <f>IF('23'!B25="","",TRIM('23'!B25&amp;""))</f>
        <v/>
      </c>
      <c r="F1801" s="63">
        <f>IF('23'!C25="","",'23'!C25)</f>
        <v/>
      </c>
      <c r="G1801" s="63">
        <f>'23'!D25&amp;""</f>
        <v/>
      </c>
      <c r="H1801" s="63">
        <f>IF(OR(A1801="",F1801=""),"",F1801&amp;"|"&amp;A1801)</f>
        <v/>
      </c>
      <c r="I1801" s="63">
        <f>IF(AND(H1801&lt;&gt;"",OR('Historia wózka'!$B$4="",F1801='Historia wózka'!$B$4),A1801&gt;='Historia wózka'!$B$5,A1801&lt;='Historia wózka'!$B$6),A1801+0.9+(5000-ROW())/10000000,0)</f>
        <v/>
      </c>
      <c r="J1801" s="63">
        <f>Ustawienia!$B$8&amp;""</f>
        <v/>
      </c>
      <c r="K1801" s="63">
        <f>IF(H1801="","",COUNTIFS('Zgłoszenia'!$B$5:$B$504,F1801,'Zgłoszenia'!$D$5:$D$504,"&gt;="&amp;A1801,'Zgłoszenia'!$D$5:$D$504,"&lt;="&amp;(A1801+1)))</f>
        <v/>
      </c>
      <c r="L1801" s="63">
        <f>IF(OR(H1801="",K1801=0),"—",IF(ISNUMBER(MATCH(H1801,'Zgłoszenia'!$S$5:$S$504,0)),RIGHT("0"&amp;DAY(A1801),2)&amp;"."&amp;RIGHT("0"&amp;MONTH(A1801),2)&amp;"."&amp;YEAR(A1801)&amp;": "&amp;INDEX('Zgłoszenia'!$H$5:$H$504,MATCH(H1801,'Zgłoszenia'!$S$5:$S$504,0)),RIGHT("0"&amp;DAY((A1801+1)),2)&amp;"."&amp;RIGHT("0"&amp;MONTH((A1801+1)),2)&amp;"."&amp;YEAR((A1801+1))&amp;": "&amp;INDEX('Zgłoszenia'!$H$5:$H$504,MATCH(F1801&amp;"|"&amp;(A1801+1),'Zgłoszenia'!$S$5:$S$504,0)))&amp;IF(K1801&gt;1," (+"&amp;(K1801-1)&amp;")",""))</f>
        <v/>
      </c>
      <c r="M1801" s="63" t="n">
        <v>23</v>
      </c>
      <c r="N1801" s="2" t="n"/>
      <c r="O1801" s="2" t="n"/>
    </row>
    <row r="1802">
      <c r="A1802" s="62">
        <f>IF('23'!$C$1="","",'23'!$C$1)</f>
        <v/>
      </c>
      <c r="B1802" s="63">
        <f>Ustawienia!$A$8&amp;""</f>
        <v/>
      </c>
      <c r="C1802" s="63">
        <f>Ustawienia!$A$17&amp;""</f>
        <v/>
      </c>
      <c r="D1802" s="63" t="n">
        <v>1</v>
      </c>
      <c r="E1802" s="63">
        <f>IF('23'!B27="","",TRIM('23'!B27&amp;""))</f>
        <v/>
      </c>
      <c r="F1802" s="63">
        <f>IF('23'!C27="","",'23'!C27)</f>
        <v/>
      </c>
      <c r="G1802" s="63">
        <f>'23'!D27&amp;""</f>
        <v/>
      </c>
      <c r="H1802" s="63">
        <f>IF(OR(A1802="",F1802=""),"",F1802&amp;"|"&amp;A1802)</f>
        <v/>
      </c>
      <c r="I1802" s="63">
        <f>IF(AND(H1802&lt;&gt;"",OR('Historia wózka'!$B$4="",F1802='Historia wózka'!$B$4),A1802&gt;='Historia wózka'!$B$5,A1802&lt;='Historia wózka'!$B$6),A1802+0.9+(5000-ROW())/10000000,0)</f>
        <v/>
      </c>
      <c r="J1802" s="63">
        <f>Ustawienia!$B$8&amp;""</f>
        <v/>
      </c>
      <c r="K1802" s="63">
        <f>IF(H1802="","",COUNTIFS('Zgłoszenia'!$B$5:$B$504,F1802,'Zgłoszenia'!$D$5:$D$504,"&gt;="&amp;A1802,'Zgłoszenia'!$D$5:$D$504,"&lt;="&amp;(A1802+1)))</f>
        <v/>
      </c>
      <c r="L1802" s="63">
        <f>IF(OR(H1802="",K1802=0),"—",IF(ISNUMBER(MATCH(H1802,'Zgłoszenia'!$S$5:$S$504,0)),RIGHT("0"&amp;DAY(A1802),2)&amp;"."&amp;RIGHT("0"&amp;MONTH(A1802),2)&amp;"."&amp;YEAR(A1802)&amp;": "&amp;INDEX('Zgłoszenia'!$H$5:$H$504,MATCH(H1802,'Zgłoszenia'!$S$5:$S$504,0)),RIGHT("0"&amp;DAY((A1802+1)),2)&amp;"."&amp;RIGHT("0"&amp;MONTH((A1802+1)),2)&amp;"."&amp;YEAR((A1802+1))&amp;": "&amp;INDEX('Zgłoszenia'!$H$5:$H$504,MATCH(F1802&amp;"|"&amp;(A1802+1),'Zgłoszenia'!$S$5:$S$504,0)))&amp;IF(K1802&gt;1," (+"&amp;(K1802-1)&amp;")",""))</f>
        <v/>
      </c>
      <c r="M1802" s="63" t="n">
        <v>23</v>
      </c>
      <c r="N1802" s="2" t="n"/>
      <c r="O1802" s="2" t="n"/>
    </row>
    <row r="1803">
      <c r="A1803" s="62">
        <f>IF('23'!$C$1="","",'23'!$C$1)</f>
        <v/>
      </c>
      <c r="B1803" s="63">
        <f>Ustawienia!$A$8&amp;""</f>
        <v/>
      </c>
      <c r="C1803" s="63">
        <f>Ustawienia!$A$17&amp;""</f>
        <v/>
      </c>
      <c r="D1803" s="63" t="n">
        <v>2</v>
      </c>
      <c r="E1803" s="63">
        <f>IF('23'!B28="","",TRIM('23'!B28&amp;""))</f>
        <v/>
      </c>
      <c r="F1803" s="63">
        <f>IF('23'!C28="","",'23'!C28)</f>
        <v/>
      </c>
      <c r="G1803" s="63">
        <f>'23'!D28&amp;""</f>
        <v/>
      </c>
      <c r="H1803" s="63">
        <f>IF(OR(A1803="",F1803=""),"",F1803&amp;"|"&amp;A1803)</f>
        <v/>
      </c>
      <c r="I1803" s="63">
        <f>IF(AND(H1803&lt;&gt;"",OR('Historia wózka'!$B$4="",F1803='Historia wózka'!$B$4),A1803&gt;='Historia wózka'!$B$5,A1803&lt;='Historia wózka'!$B$6),A1803+0.9+(5000-ROW())/10000000,0)</f>
        <v/>
      </c>
      <c r="J1803" s="63">
        <f>Ustawienia!$B$8&amp;""</f>
        <v/>
      </c>
      <c r="K1803" s="63">
        <f>IF(H1803="","",COUNTIFS('Zgłoszenia'!$B$5:$B$504,F1803,'Zgłoszenia'!$D$5:$D$504,"&gt;="&amp;A1803,'Zgłoszenia'!$D$5:$D$504,"&lt;="&amp;(A1803+1)))</f>
        <v/>
      </c>
      <c r="L1803" s="63">
        <f>IF(OR(H1803="",K1803=0),"—",IF(ISNUMBER(MATCH(H1803,'Zgłoszenia'!$S$5:$S$504,0)),RIGHT("0"&amp;DAY(A1803),2)&amp;"."&amp;RIGHT("0"&amp;MONTH(A1803),2)&amp;"."&amp;YEAR(A1803)&amp;": "&amp;INDEX('Zgłoszenia'!$H$5:$H$504,MATCH(H1803,'Zgłoszenia'!$S$5:$S$504,0)),RIGHT("0"&amp;DAY((A1803+1)),2)&amp;"."&amp;RIGHT("0"&amp;MONTH((A1803+1)),2)&amp;"."&amp;YEAR((A1803+1))&amp;": "&amp;INDEX('Zgłoszenia'!$H$5:$H$504,MATCH(F1803&amp;"|"&amp;(A1803+1),'Zgłoszenia'!$S$5:$S$504,0)))&amp;IF(K1803&gt;1," (+"&amp;(K1803-1)&amp;")",""))</f>
        <v/>
      </c>
      <c r="M1803" s="63" t="n">
        <v>23</v>
      </c>
      <c r="N1803" s="2" t="n"/>
      <c r="O1803" s="2" t="n"/>
    </row>
    <row r="1804">
      <c r="A1804" s="62">
        <f>IF('23'!$C$1="","",'23'!$C$1)</f>
        <v/>
      </c>
      <c r="B1804" s="63">
        <f>Ustawienia!$A$8&amp;""</f>
        <v/>
      </c>
      <c r="C1804" s="63">
        <f>Ustawienia!$A$17&amp;""</f>
        <v/>
      </c>
      <c r="D1804" s="63" t="n">
        <v>3</v>
      </c>
      <c r="E1804" s="63">
        <f>IF('23'!B29="","",TRIM('23'!B29&amp;""))</f>
        <v/>
      </c>
      <c r="F1804" s="63">
        <f>IF('23'!C29="","",'23'!C29)</f>
        <v/>
      </c>
      <c r="G1804" s="63">
        <f>'23'!D29&amp;""</f>
        <v/>
      </c>
      <c r="H1804" s="63">
        <f>IF(OR(A1804="",F1804=""),"",F1804&amp;"|"&amp;A1804)</f>
        <v/>
      </c>
      <c r="I1804" s="63">
        <f>IF(AND(H1804&lt;&gt;"",OR('Historia wózka'!$B$4="",F1804='Historia wózka'!$B$4),A1804&gt;='Historia wózka'!$B$5,A1804&lt;='Historia wózka'!$B$6),A1804+0.9+(5000-ROW())/10000000,0)</f>
        <v/>
      </c>
      <c r="J1804" s="63">
        <f>Ustawienia!$B$8&amp;""</f>
        <v/>
      </c>
      <c r="K1804" s="63">
        <f>IF(H1804="","",COUNTIFS('Zgłoszenia'!$B$5:$B$504,F1804,'Zgłoszenia'!$D$5:$D$504,"&gt;="&amp;A1804,'Zgłoszenia'!$D$5:$D$504,"&lt;="&amp;(A1804+1)))</f>
        <v/>
      </c>
      <c r="L1804" s="63">
        <f>IF(OR(H1804="",K1804=0),"—",IF(ISNUMBER(MATCH(H1804,'Zgłoszenia'!$S$5:$S$504,0)),RIGHT("0"&amp;DAY(A1804),2)&amp;"."&amp;RIGHT("0"&amp;MONTH(A1804),2)&amp;"."&amp;YEAR(A1804)&amp;": "&amp;INDEX('Zgłoszenia'!$H$5:$H$504,MATCH(H1804,'Zgłoszenia'!$S$5:$S$504,0)),RIGHT("0"&amp;DAY((A1804+1)),2)&amp;"."&amp;RIGHT("0"&amp;MONTH((A1804+1)),2)&amp;"."&amp;YEAR((A1804+1))&amp;": "&amp;INDEX('Zgłoszenia'!$H$5:$H$504,MATCH(F1804&amp;"|"&amp;(A1804+1),'Zgłoszenia'!$S$5:$S$504,0)))&amp;IF(K1804&gt;1," (+"&amp;(K1804-1)&amp;")",""))</f>
        <v/>
      </c>
      <c r="M1804" s="63" t="n">
        <v>23</v>
      </c>
      <c r="N1804" s="2" t="n"/>
      <c r="O1804" s="2" t="n"/>
    </row>
    <row r="1805">
      <c r="A1805" s="62">
        <f>IF('23'!$C$1="","",'23'!$C$1)</f>
        <v/>
      </c>
      <c r="B1805" s="63">
        <f>Ustawienia!$A$8&amp;""</f>
        <v/>
      </c>
      <c r="C1805" s="63">
        <f>Ustawienia!$A$17&amp;""</f>
        <v/>
      </c>
      <c r="D1805" s="63" t="n">
        <v>4</v>
      </c>
      <c r="E1805" s="63">
        <f>IF('23'!B30="","",TRIM('23'!B30&amp;""))</f>
        <v/>
      </c>
      <c r="F1805" s="63">
        <f>IF('23'!C30="","",'23'!C30)</f>
        <v/>
      </c>
      <c r="G1805" s="63">
        <f>'23'!D30&amp;""</f>
        <v/>
      </c>
      <c r="H1805" s="63">
        <f>IF(OR(A1805="",F1805=""),"",F1805&amp;"|"&amp;A1805)</f>
        <v/>
      </c>
      <c r="I1805" s="63">
        <f>IF(AND(H1805&lt;&gt;"",OR('Historia wózka'!$B$4="",F1805='Historia wózka'!$B$4),A1805&gt;='Historia wózka'!$B$5,A1805&lt;='Historia wózka'!$B$6),A1805+0.9+(5000-ROW())/10000000,0)</f>
        <v/>
      </c>
      <c r="J1805" s="63">
        <f>Ustawienia!$B$8&amp;""</f>
        <v/>
      </c>
      <c r="K1805" s="63">
        <f>IF(H1805="","",COUNTIFS('Zgłoszenia'!$B$5:$B$504,F1805,'Zgłoszenia'!$D$5:$D$504,"&gt;="&amp;A1805,'Zgłoszenia'!$D$5:$D$504,"&lt;="&amp;(A1805+1)))</f>
        <v/>
      </c>
      <c r="L1805" s="63">
        <f>IF(OR(H1805="",K1805=0),"—",IF(ISNUMBER(MATCH(H1805,'Zgłoszenia'!$S$5:$S$504,0)),RIGHT("0"&amp;DAY(A1805),2)&amp;"."&amp;RIGHT("0"&amp;MONTH(A1805),2)&amp;"."&amp;YEAR(A1805)&amp;": "&amp;INDEX('Zgłoszenia'!$H$5:$H$504,MATCH(H1805,'Zgłoszenia'!$S$5:$S$504,0)),RIGHT("0"&amp;DAY((A1805+1)),2)&amp;"."&amp;RIGHT("0"&amp;MONTH((A1805+1)),2)&amp;"."&amp;YEAR((A1805+1))&amp;": "&amp;INDEX('Zgłoszenia'!$H$5:$H$504,MATCH(F1805&amp;"|"&amp;(A1805+1),'Zgłoszenia'!$S$5:$S$504,0)))&amp;IF(K1805&gt;1," (+"&amp;(K1805-1)&amp;")",""))</f>
        <v/>
      </c>
      <c r="M1805" s="63" t="n">
        <v>23</v>
      </c>
      <c r="N1805" s="2" t="n"/>
      <c r="O1805" s="2" t="n"/>
    </row>
    <row r="1806">
      <c r="A1806" s="62">
        <f>IF('23'!$C$1="","",'23'!$C$1)</f>
        <v/>
      </c>
      <c r="B1806" s="63">
        <f>Ustawienia!$A$8&amp;""</f>
        <v/>
      </c>
      <c r="C1806" s="63">
        <f>Ustawienia!$A$18&amp;""</f>
        <v/>
      </c>
      <c r="D1806" s="63" t="n">
        <v>1</v>
      </c>
      <c r="E1806" s="63">
        <f>IF('23'!B32="","",TRIM('23'!B32&amp;""))</f>
        <v/>
      </c>
      <c r="F1806" s="63">
        <f>IF('23'!C32="","",'23'!C32)</f>
        <v/>
      </c>
      <c r="G1806" s="63">
        <f>'23'!D32&amp;""</f>
        <v/>
      </c>
      <c r="H1806" s="63">
        <f>IF(OR(A1806="",F1806=""),"",F1806&amp;"|"&amp;A1806)</f>
        <v/>
      </c>
      <c r="I1806" s="63">
        <f>IF(AND(H1806&lt;&gt;"",OR('Historia wózka'!$B$4="",F1806='Historia wózka'!$B$4),A1806&gt;='Historia wózka'!$B$5,A1806&lt;='Historia wózka'!$B$6),A1806+0.9+(5000-ROW())/10000000,0)</f>
        <v/>
      </c>
      <c r="J1806" s="63">
        <f>Ustawienia!$B$8&amp;""</f>
        <v/>
      </c>
      <c r="K1806" s="63">
        <f>IF(H1806="","",COUNTIFS('Zgłoszenia'!$B$5:$B$504,F1806,'Zgłoszenia'!$D$5:$D$504,"&gt;="&amp;A1806,'Zgłoszenia'!$D$5:$D$504,"&lt;="&amp;(A1806+1)))</f>
        <v/>
      </c>
      <c r="L1806" s="63">
        <f>IF(OR(H1806="",K1806=0),"—",IF(ISNUMBER(MATCH(H1806,'Zgłoszenia'!$S$5:$S$504,0)),RIGHT("0"&amp;DAY(A1806),2)&amp;"."&amp;RIGHT("0"&amp;MONTH(A1806),2)&amp;"."&amp;YEAR(A1806)&amp;": "&amp;INDEX('Zgłoszenia'!$H$5:$H$504,MATCH(H1806,'Zgłoszenia'!$S$5:$S$504,0)),RIGHT("0"&amp;DAY((A1806+1)),2)&amp;"."&amp;RIGHT("0"&amp;MONTH((A1806+1)),2)&amp;"."&amp;YEAR((A1806+1))&amp;": "&amp;INDEX('Zgłoszenia'!$H$5:$H$504,MATCH(F1806&amp;"|"&amp;(A1806+1),'Zgłoszenia'!$S$5:$S$504,0)))&amp;IF(K1806&gt;1," (+"&amp;(K1806-1)&amp;")",""))</f>
        <v/>
      </c>
      <c r="M1806" s="63" t="n">
        <v>23</v>
      </c>
      <c r="N1806" s="2" t="n"/>
      <c r="O1806" s="2" t="n"/>
    </row>
    <row r="1807">
      <c r="A1807" s="62">
        <f>IF('23'!$C$1="","",'23'!$C$1)</f>
        <v/>
      </c>
      <c r="B1807" s="63">
        <f>Ustawienia!$A$8&amp;""</f>
        <v/>
      </c>
      <c r="C1807" s="63">
        <f>Ustawienia!$A$18&amp;""</f>
        <v/>
      </c>
      <c r="D1807" s="63" t="n">
        <v>2</v>
      </c>
      <c r="E1807" s="63">
        <f>IF('23'!B33="","",TRIM('23'!B33&amp;""))</f>
        <v/>
      </c>
      <c r="F1807" s="63">
        <f>IF('23'!C33="","",'23'!C33)</f>
        <v/>
      </c>
      <c r="G1807" s="63">
        <f>'23'!D33&amp;""</f>
        <v/>
      </c>
      <c r="H1807" s="63">
        <f>IF(OR(A1807="",F1807=""),"",F1807&amp;"|"&amp;A1807)</f>
        <v/>
      </c>
      <c r="I1807" s="63">
        <f>IF(AND(H1807&lt;&gt;"",OR('Historia wózka'!$B$4="",F1807='Historia wózka'!$B$4),A1807&gt;='Historia wózka'!$B$5,A1807&lt;='Historia wózka'!$B$6),A1807+0.9+(5000-ROW())/10000000,0)</f>
        <v/>
      </c>
      <c r="J1807" s="63">
        <f>Ustawienia!$B$8&amp;""</f>
        <v/>
      </c>
      <c r="K1807" s="63">
        <f>IF(H1807="","",COUNTIFS('Zgłoszenia'!$B$5:$B$504,F1807,'Zgłoszenia'!$D$5:$D$504,"&gt;="&amp;A1807,'Zgłoszenia'!$D$5:$D$504,"&lt;="&amp;(A1807+1)))</f>
        <v/>
      </c>
      <c r="L1807" s="63">
        <f>IF(OR(H1807="",K1807=0),"—",IF(ISNUMBER(MATCH(H1807,'Zgłoszenia'!$S$5:$S$504,0)),RIGHT("0"&amp;DAY(A1807),2)&amp;"."&amp;RIGHT("0"&amp;MONTH(A1807),2)&amp;"."&amp;YEAR(A1807)&amp;": "&amp;INDEX('Zgłoszenia'!$H$5:$H$504,MATCH(H1807,'Zgłoszenia'!$S$5:$S$504,0)),RIGHT("0"&amp;DAY((A1807+1)),2)&amp;"."&amp;RIGHT("0"&amp;MONTH((A1807+1)),2)&amp;"."&amp;YEAR((A1807+1))&amp;": "&amp;INDEX('Zgłoszenia'!$H$5:$H$504,MATCH(F1807&amp;"|"&amp;(A1807+1),'Zgłoszenia'!$S$5:$S$504,0)))&amp;IF(K1807&gt;1," (+"&amp;(K1807-1)&amp;")",""))</f>
        <v/>
      </c>
      <c r="M1807" s="63" t="n">
        <v>23</v>
      </c>
      <c r="N1807" s="2" t="n"/>
      <c r="O1807" s="2" t="n"/>
    </row>
    <row r="1808">
      <c r="A1808" s="62">
        <f>IF('23'!$C$1="","",'23'!$C$1)</f>
        <v/>
      </c>
      <c r="B1808" s="63">
        <f>Ustawienia!$A$8&amp;""</f>
        <v/>
      </c>
      <c r="C1808" s="63">
        <f>Ustawienia!$A$18&amp;""</f>
        <v/>
      </c>
      <c r="D1808" s="63" t="n">
        <v>3</v>
      </c>
      <c r="E1808" s="63">
        <f>IF('23'!B34="","",TRIM('23'!B34&amp;""))</f>
        <v/>
      </c>
      <c r="F1808" s="63">
        <f>IF('23'!C34="","",'23'!C34)</f>
        <v/>
      </c>
      <c r="G1808" s="63">
        <f>'23'!D34&amp;""</f>
        <v/>
      </c>
      <c r="H1808" s="63">
        <f>IF(OR(A1808="",F1808=""),"",F1808&amp;"|"&amp;A1808)</f>
        <v/>
      </c>
      <c r="I1808" s="63">
        <f>IF(AND(H1808&lt;&gt;"",OR('Historia wózka'!$B$4="",F1808='Historia wózka'!$B$4),A1808&gt;='Historia wózka'!$B$5,A1808&lt;='Historia wózka'!$B$6),A1808+0.9+(5000-ROW())/10000000,0)</f>
        <v/>
      </c>
      <c r="J1808" s="63">
        <f>Ustawienia!$B$8&amp;""</f>
        <v/>
      </c>
      <c r="K1808" s="63">
        <f>IF(H1808="","",COUNTIFS('Zgłoszenia'!$B$5:$B$504,F1808,'Zgłoszenia'!$D$5:$D$504,"&gt;="&amp;A1808,'Zgłoszenia'!$D$5:$D$504,"&lt;="&amp;(A1808+1)))</f>
        <v/>
      </c>
      <c r="L1808" s="63">
        <f>IF(OR(H1808="",K1808=0),"—",IF(ISNUMBER(MATCH(H1808,'Zgłoszenia'!$S$5:$S$504,0)),RIGHT("0"&amp;DAY(A1808),2)&amp;"."&amp;RIGHT("0"&amp;MONTH(A1808),2)&amp;"."&amp;YEAR(A1808)&amp;": "&amp;INDEX('Zgłoszenia'!$H$5:$H$504,MATCH(H1808,'Zgłoszenia'!$S$5:$S$504,0)),RIGHT("0"&amp;DAY((A1808+1)),2)&amp;"."&amp;RIGHT("0"&amp;MONTH((A1808+1)),2)&amp;"."&amp;YEAR((A1808+1))&amp;": "&amp;INDEX('Zgłoszenia'!$H$5:$H$504,MATCH(F1808&amp;"|"&amp;(A1808+1),'Zgłoszenia'!$S$5:$S$504,0)))&amp;IF(K1808&gt;1," (+"&amp;(K1808-1)&amp;")",""))</f>
        <v/>
      </c>
      <c r="M1808" s="63" t="n">
        <v>23</v>
      </c>
      <c r="N1808" s="2" t="n"/>
      <c r="O1808" s="2" t="n"/>
    </row>
    <row r="1809">
      <c r="A1809" s="62">
        <f>IF('23'!$C$1="","",'23'!$C$1)</f>
        <v/>
      </c>
      <c r="B1809" s="63">
        <f>Ustawienia!$A$8&amp;""</f>
        <v/>
      </c>
      <c r="C1809" s="63">
        <f>Ustawienia!$A$18&amp;""</f>
        <v/>
      </c>
      <c r="D1809" s="63" t="n">
        <v>4</v>
      </c>
      <c r="E1809" s="63">
        <f>IF('23'!B35="","",TRIM('23'!B35&amp;""))</f>
        <v/>
      </c>
      <c r="F1809" s="63">
        <f>IF('23'!C35="","",'23'!C35)</f>
        <v/>
      </c>
      <c r="G1809" s="63">
        <f>'23'!D35&amp;""</f>
        <v/>
      </c>
      <c r="H1809" s="63">
        <f>IF(OR(A1809="",F1809=""),"",F1809&amp;"|"&amp;A1809)</f>
        <v/>
      </c>
      <c r="I1809" s="63">
        <f>IF(AND(H1809&lt;&gt;"",OR('Historia wózka'!$B$4="",F1809='Historia wózka'!$B$4),A1809&gt;='Historia wózka'!$B$5,A1809&lt;='Historia wózka'!$B$6),A1809+0.9+(5000-ROW())/10000000,0)</f>
        <v/>
      </c>
      <c r="J1809" s="63">
        <f>Ustawienia!$B$8&amp;""</f>
        <v/>
      </c>
      <c r="K1809" s="63">
        <f>IF(H1809="","",COUNTIFS('Zgłoszenia'!$B$5:$B$504,F1809,'Zgłoszenia'!$D$5:$D$504,"&gt;="&amp;A1809,'Zgłoszenia'!$D$5:$D$504,"&lt;="&amp;(A1809+1)))</f>
        <v/>
      </c>
      <c r="L1809" s="63">
        <f>IF(OR(H1809="",K1809=0),"—",IF(ISNUMBER(MATCH(H1809,'Zgłoszenia'!$S$5:$S$504,0)),RIGHT("0"&amp;DAY(A1809),2)&amp;"."&amp;RIGHT("0"&amp;MONTH(A1809),2)&amp;"."&amp;YEAR(A1809)&amp;": "&amp;INDEX('Zgłoszenia'!$H$5:$H$504,MATCH(H1809,'Zgłoszenia'!$S$5:$S$504,0)),RIGHT("0"&amp;DAY((A1809+1)),2)&amp;"."&amp;RIGHT("0"&amp;MONTH((A1809+1)),2)&amp;"."&amp;YEAR((A1809+1))&amp;": "&amp;INDEX('Zgłoszenia'!$H$5:$H$504,MATCH(F1809&amp;"|"&amp;(A1809+1),'Zgłoszenia'!$S$5:$S$504,0)))&amp;IF(K1809&gt;1," (+"&amp;(K1809-1)&amp;")",""))</f>
        <v/>
      </c>
      <c r="M1809" s="63" t="n">
        <v>23</v>
      </c>
      <c r="N1809" s="2" t="n"/>
      <c r="O1809" s="2" t="n"/>
    </row>
    <row r="1810">
      <c r="A1810" s="62">
        <f>IF('23'!$C$1="","",'23'!$C$1)</f>
        <v/>
      </c>
      <c r="B1810" s="63">
        <f>Ustawienia!$A$8&amp;""</f>
        <v/>
      </c>
      <c r="C1810" s="63">
        <f>Ustawienia!$A$18&amp;""</f>
        <v/>
      </c>
      <c r="D1810" s="63" t="n">
        <v>5</v>
      </c>
      <c r="E1810" s="63">
        <f>IF('23'!B36="","",TRIM('23'!B36&amp;""))</f>
        <v/>
      </c>
      <c r="F1810" s="63">
        <f>IF('23'!C36="","",'23'!C36)</f>
        <v/>
      </c>
      <c r="G1810" s="63">
        <f>'23'!D36&amp;""</f>
        <v/>
      </c>
      <c r="H1810" s="63">
        <f>IF(OR(A1810="",F1810=""),"",F1810&amp;"|"&amp;A1810)</f>
        <v/>
      </c>
      <c r="I1810" s="63">
        <f>IF(AND(H1810&lt;&gt;"",OR('Historia wózka'!$B$4="",F1810='Historia wózka'!$B$4),A1810&gt;='Historia wózka'!$B$5,A1810&lt;='Historia wózka'!$B$6),A1810+0.9+(5000-ROW())/10000000,0)</f>
        <v/>
      </c>
      <c r="J1810" s="63">
        <f>Ustawienia!$B$8&amp;""</f>
        <v/>
      </c>
      <c r="K1810" s="63">
        <f>IF(H1810="","",COUNTIFS('Zgłoszenia'!$B$5:$B$504,F1810,'Zgłoszenia'!$D$5:$D$504,"&gt;="&amp;A1810,'Zgłoszenia'!$D$5:$D$504,"&lt;="&amp;(A1810+1)))</f>
        <v/>
      </c>
      <c r="L1810" s="63">
        <f>IF(OR(H1810="",K1810=0),"—",IF(ISNUMBER(MATCH(H1810,'Zgłoszenia'!$S$5:$S$504,0)),RIGHT("0"&amp;DAY(A1810),2)&amp;"."&amp;RIGHT("0"&amp;MONTH(A1810),2)&amp;"."&amp;YEAR(A1810)&amp;": "&amp;INDEX('Zgłoszenia'!$H$5:$H$504,MATCH(H1810,'Zgłoszenia'!$S$5:$S$504,0)),RIGHT("0"&amp;DAY((A1810+1)),2)&amp;"."&amp;RIGHT("0"&amp;MONTH((A1810+1)),2)&amp;"."&amp;YEAR((A1810+1))&amp;": "&amp;INDEX('Zgłoszenia'!$H$5:$H$504,MATCH(F1810&amp;"|"&amp;(A1810+1),'Zgłoszenia'!$S$5:$S$504,0)))&amp;IF(K1810&gt;1," (+"&amp;(K1810-1)&amp;")",""))</f>
        <v/>
      </c>
      <c r="M1810" s="63" t="n">
        <v>23</v>
      </c>
      <c r="N1810" s="2" t="n"/>
      <c r="O1810" s="2" t="n"/>
    </row>
    <row r="1811">
      <c r="A1811" s="62">
        <f>IF('23'!$C$1="","",'23'!$C$1)</f>
        <v/>
      </c>
      <c r="B1811" s="63">
        <f>Ustawienia!$A$9&amp;""</f>
        <v/>
      </c>
      <c r="C1811" s="63">
        <f>Ustawienia!$A$14&amp;""</f>
        <v/>
      </c>
      <c r="D1811" s="63" t="n">
        <v>1</v>
      </c>
      <c r="E1811" s="63">
        <f>IF('23'!F6="","",TRIM('23'!F6&amp;""))</f>
        <v/>
      </c>
      <c r="F1811" s="63">
        <f>IF('23'!G6="","",'23'!G6)</f>
        <v/>
      </c>
      <c r="G1811" s="63">
        <f>'23'!H6&amp;""</f>
        <v/>
      </c>
      <c r="H1811" s="63">
        <f>IF(OR(A1811="",F1811=""),"",F1811&amp;"|"&amp;A1811)</f>
        <v/>
      </c>
      <c r="I1811" s="63">
        <f>IF(AND(H1811&lt;&gt;"",OR('Historia wózka'!$B$4="",F1811='Historia wózka'!$B$4),A1811&gt;='Historia wózka'!$B$5,A1811&lt;='Historia wózka'!$B$6),A1811+0.8+(5000-ROW())/10000000,0)</f>
        <v/>
      </c>
      <c r="J1811" s="63">
        <f>Ustawienia!$B$9&amp;""</f>
        <v/>
      </c>
      <c r="K1811" s="63">
        <f>IF(H1811="","",COUNTIFS('Zgłoszenia'!$B$5:$B$504,F1811,'Zgłoszenia'!$D$5:$D$504,"&gt;="&amp;A1811,'Zgłoszenia'!$D$5:$D$504,"&lt;="&amp;(A1811+1)))</f>
        <v/>
      </c>
      <c r="L1811" s="63">
        <f>IF(OR(H1811="",K1811=0),"—",IF(ISNUMBER(MATCH(H1811,'Zgłoszenia'!$S$5:$S$504,0)),RIGHT("0"&amp;DAY(A1811),2)&amp;"."&amp;RIGHT("0"&amp;MONTH(A1811),2)&amp;"."&amp;YEAR(A1811)&amp;": "&amp;INDEX('Zgłoszenia'!$H$5:$H$504,MATCH(H1811,'Zgłoszenia'!$S$5:$S$504,0)),RIGHT("0"&amp;DAY((A1811+1)),2)&amp;"."&amp;RIGHT("0"&amp;MONTH((A1811+1)),2)&amp;"."&amp;YEAR((A1811+1))&amp;": "&amp;INDEX('Zgłoszenia'!$H$5:$H$504,MATCH(F1811&amp;"|"&amp;(A1811+1),'Zgłoszenia'!$S$5:$S$504,0)))&amp;IF(K1811&gt;1," (+"&amp;(K1811-1)&amp;")",""))</f>
        <v/>
      </c>
      <c r="M1811" s="63" t="n">
        <v>23</v>
      </c>
      <c r="N1811" s="2" t="n"/>
      <c r="O1811" s="2" t="n"/>
    </row>
    <row r="1812">
      <c r="A1812" s="62">
        <f>IF('23'!$C$1="","",'23'!$C$1)</f>
        <v/>
      </c>
      <c r="B1812" s="63">
        <f>Ustawienia!$A$9&amp;""</f>
        <v/>
      </c>
      <c r="C1812" s="63">
        <f>Ustawienia!$A$14&amp;""</f>
        <v/>
      </c>
      <c r="D1812" s="63" t="n">
        <v>2</v>
      </c>
      <c r="E1812" s="63">
        <f>IF('23'!F7="","",TRIM('23'!F7&amp;""))</f>
        <v/>
      </c>
      <c r="F1812" s="63">
        <f>IF('23'!G7="","",'23'!G7)</f>
        <v/>
      </c>
      <c r="G1812" s="63">
        <f>'23'!H7&amp;""</f>
        <v/>
      </c>
      <c r="H1812" s="63">
        <f>IF(OR(A1812="",F1812=""),"",F1812&amp;"|"&amp;A1812)</f>
        <v/>
      </c>
      <c r="I1812" s="63">
        <f>IF(AND(H1812&lt;&gt;"",OR('Historia wózka'!$B$4="",F1812='Historia wózka'!$B$4),A1812&gt;='Historia wózka'!$B$5,A1812&lt;='Historia wózka'!$B$6),A1812+0.8+(5000-ROW())/10000000,0)</f>
        <v/>
      </c>
      <c r="J1812" s="63">
        <f>Ustawienia!$B$9&amp;""</f>
        <v/>
      </c>
      <c r="K1812" s="63">
        <f>IF(H1812="","",COUNTIFS('Zgłoszenia'!$B$5:$B$504,F1812,'Zgłoszenia'!$D$5:$D$504,"&gt;="&amp;A1812,'Zgłoszenia'!$D$5:$D$504,"&lt;="&amp;(A1812+1)))</f>
        <v/>
      </c>
      <c r="L1812" s="63">
        <f>IF(OR(H1812="",K1812=0),"—",IF(ISNUMBER(MATCH(H1812,'Zgłoszenia'!$S$5:$S$504,0)),RIGHT("0"&amp;DAY(A1812),2)&amp;"."&amp;RIGHT("0"&amp;MONTH(A1812),2)&amp;"."&amp;YEAR(A1812)&amp;": "&amp;INDEX('Zgłoszenia'!$H$5:$H$504,MATCH(H1812,'Zgłoszenia'!$S$5:$S$504,0)),RIGHT("0"&amp;DAY((A1812+1)),2)&amp;"."&amp;RIGHT("0"&amp;MONTH((A1812+1)),2)&amp;"."&amp;YEAR((A1812+1))&amp;": "&amp;INDEX('Zgłoszenia'!$H$5:$H$504,MATCH(F1812&amp;"|"&amp;(A1812+1),'Zgłoszenia'!$S$5:$S$504,0)))&amp;IF(K1812&gt;1," (+"&amp;(K1812-1)&amp;")",""))</f>
        <v/>
      </c>
      <c r="M1812" s="63" t="n">
        <v>23</v>
      </c>
      <c r="N1812" s="2" t="n"/>
      <c r="O1812" s="2" t="n"/>
    </row>
    <row r="1813">
      <c r="A1813" s="62">
        <f>IF('23'!$C$1="","",'23'!$C$1)</f>
        <v/>
      </c>
      <c r="B1813" s="63">
        <f>Ustawienia!$A$9&amp;""</f>
        <v/>
      </c>
      <c r="C1813" s="63">
        <f>Ustawienia!$A$14&amp;""</f>
        <v/>
      </c>
      <c r="D1813" s="63" t="n">
        <v>3</v>
      </c>
      <c r="E1813" s="63">
        <f>IF('23'!F8="","",TRIM('23'!F8&amp;""))</f>
        <v/>
      </c>
      <c r="F1813" s="63">
        <f>IF('23'!G8="","",'23'!G8)</f>
        <v/>
      </c>
      <c r="G1813" s="63">
        <f>'23'!H8&amp;""</f>
        <v/>
      </c>
      <c r="H1813" s="63">
        <f>IF(OR(A1813="",F1813=""),"",F1813&amp;"|"&amp;A1813)</f>
        <v/>
      </c>
      <c r="I1813" s="63">
        <f>IF(AND(H1813&lt;&gt;"",OR('Historia wózka'!$B$4="",F1813='Historia wózka'!$B$4),A1813&gt;='Historia wózka'!$B$5,A1813&lt;='Historia wózka'!$B$6),A1813+0.8+(5000-ROW())/10000000,0)</f>
        <v/>
      </c>
      <c r="J1813" s="63">
        <f>Ustawienia!$B$9&amp;""</f>
        <v/>
      </c>
      <c r="K1813" s="63">
        <f>IF(H1813="","",COUNTIFS('Zgłoszenia'!$B$5:$B$504,F1813,'Zgłoszenia'!$D$5:$D$504,"&gt;="&amp;A1813,'Zgłoszenia'!$D$5:$D$504,"&lt;="&amp;(A1813+1)))</f>
        <v/>
      </c>
      <c r="L1813" s="63">
        <f>IF(OR(H1813="",K1813=0),"—",IF(ISNUMBER(MATCH(H1813,'Zgłoszenia'!$S$5:$S$504,0)),RIGHT("0"&amp;DAY(A1813),2)&amp;"."&amp;RIGHT("0"&amp;MONTH(A1813),2)&amp;"."&amp;YEAR(A1813)&amp;": "&amp;INDEX('Zgłoszenia'!$H$5:$H$504,MATCH(H1813,'Zgłoszenia'!$S$5:$S$504,0)),RIGHT("0"&amp;DAY((A1813+1)),2)&amp;"."&amp;RIGHT("0"&amp;MONTH((A1813+1)),2)&amp;"."&amp;YEAR((A1813+1))&amp;": "&amp;INDEX('Zgłoszenia'!$H$5:$H$504,MATCH(F1813&amp;"|"&amp;(A1813+1),'Zgłoszenia'!$S$5:$S$504,0)))&amp;IF(K1813&gt;1," (+"&amp;(K1813-1)&amp;")",""))</f>
        <v/>
      </c>
      <c r="M1813" s="63" t="n">
        <v>23</v>
      </c>
      <c r="N1813" s="2" t="n"/>
      <c r="O1813" s="2" t="n"/>
    </row>
    <row r="1814">
      <c r="A1814" s="62">
        <f>IF('23'!$C$1="","",'23'!$C$1)</f>
        <v/>
      </c>
      <c r="B1814" s="63">
        <f>Ustawienia!$A$9&amp;""</f>
        <v/>
      </c>
      <c r="C1814" s="63">
        <f>Ustawienia!$A$14&amp;""</f>
        <v/>
      </c>
      <c r="D1814" s="63" t="n">
        <v>4</v>
      </c>
      <c r="E1814" s="63">
        <f>IF('23'!F9="","",TRIM('23'!F9&amp;""))</f>
        <v/>
      </c>
      <c r="F1814" s="63">
        <f>IF('23'!G9="","",'23'!G9)</f>
        <v/>
      </c>
      <c r="G1814" s="63">
        <f>'23'!H9&amp;""</f>
        <v/>
      </c>
      <c r="H1814" s="63">
        <f>IF(OR(A1814="",F1814=""),"",F1814&amp;"|"&amp;A1814)</f>
        <v/>
      </c>
      <c r="I1814" s="63">
        <f>IF(AND(H1814&lt;&gt;"",OR('Historia wózka'!$B$4="",F1814='Historia wózka'!$B$4),A1814&gt;='Historia wózka'!$B$5,A1814&lt;='Historia wózka'!$B$6),A1814+0.8+(5000-ROW())/10000000,0)</f>
        <v/>
      </c>
      <c r="J1814" s="63">
        <f>Ustawienia!$B$9&amp;""</f>
        <v/>
      </c>
      <c r="K1814" s="63">
        <f>IF(H1814="","",COUNTIFS('Zgłoszenia'!$B$5:$B$504,F1814,'Zgłoszenia'!$D$5:$D$504,"&gt;="&amp;A1814,'Zgłoszenia'!$D$5:$D$504,"&lt;="&amp;(A1814+1)))</f>
        <v/>
      </c>
      <c r="L1814" s="63">
        <f>IF(OR(H1814="",K1814=0),"—",IF(ISNUMBER(MATCH(H1814,'Zgłoszenia'!$S$5:$S$504,0)),RIGHT("0"&amp;DAY(A1814),2)&amp;"."&amp;RIGHT("0"&amp;MONTH(A1814),2)&amp;"."&amp;YEAR(A1814)&amp;": "&amp;INDEX('Zgłoszenia'!$H$5:$H$504,MATCH(H1814,'Zgłoszenia'!$S$5:$S$504,0)),RIGHT("0"&amp;DAY((A1814+1)),2)&amp;"."&amp;RIGHT("0"&amp;MONTH((A1814+1)),2)&amp;"."&amp;YEAR((A1814+1))&amp;": "&amp;INDEX('Zgłoszenia'!$H$5:$H$504,MATCH(F1814&amp;"|"&amp;(A1814+1),'Zgłoszenia'!$S$5:$S$504,0)))&amp;IF(K1814&gt;1," (+"&amp;(K1814-1)&amp;")",""))</f>
        <v/>
      </c>
      <c r="M1814" s="63" t="n">
        <v>23</v>
      </c>
      <c r="N1814" s="2" t="n"/>
      <c r="O1814" s="2" t="n"/>
    </row>
    <row r="1815">
      <c r="A1815" s="62">
        <f>IF('23'!$C$1="","",'23'!$C$1)</f>
        <v/>
      </c>
      <c r="B1815" s="63">
        <f>Ustawienia!$A$9&amp;""</f>
        <v/>
      </c>
      <c r="C1815" s="63">
        <f>Ustawienia!$A$14&amp;""</f>
        <v/>
      </c>
      <c r="D1815" s="63" t="n">
        <v>5</v>
      </c>
      <c r="E1815" s="63">
        <f>IF('23'!F10="","",TRIM('23'!F10&amp;""))</f>
        <v/>
      </c>
      <c r="F1815" s="63">
        <f>IF('23'!G10="","",'23'!G10)</f>
        <v/>
      </c>
      <c r="G1815" s="63">
        <f>'23'!H10&amp;""</f>
        <v/>
      </c>
      <c r="H1815" s="63">
        <f>IF(OR(A1815="",F1815=""),"",F1815&amp;"|"&amp;A1815)</f>
        <v/>
      </c>
      <c r="I1815" s="63">
        <f>IF(AND(H1815&lt;&gt;"",OR('Historia wózka'!$B$4="",F1815='Historia wózka'!$B$4),A1815&gt;='Historia wózka'!$B$5,A1815&lt;='Historia wózka'!$B$6),A1815+0.8+(5000-ROW())/10000000,0)</f>
        <v/>
      </c>
      <c r="J1815" s="63">
        <f>Ustawienia!$B$9&amp;""</f>
        <v/>
      </c>
      <c r="K1815" s="63">
        <f>IF(H1815="","",COUNTIFS('Zgłoszenia'!$B$5:$B$504,F1815,'Zgłoszenia'!$D$5:$D$504,"&gt;="&amp;A1815,'Zgłoszenia'!$D$5:$D$504,"&lt;="&amp;(A1815+1)))</f>
        <v/>
      </c>
      <c r="L1815" s="63">
        <f>IF(OR(H1815="",K1815=0),"—",IF(ISNUMBER(MATCH(H1815,'Zgłoszenia'!$S$5:$S$504,0)),RIGHT("0"&amp;DAY(A1815),2)&amp;"."&amp;RIGHT("0"&amp;MONTH(A1815),2)&amp;"."&amp;YEAR(A1815)&amp;": "&amp;INDEX('Zgłoszenia'!$H$5:$H$504,MATCH(H1815,'Zgłoszenia'!$S$5:$S$504,0)),RIGHT("0"&amp;DAY((A1815+1)),2)&amp;"."&amp;RIGHT("0"&amp;MONTH((A1815+1)),2)&amp;"."&amp;YEAR((A1815+1))&amp;": "&amp;INDEX('Zgłoszenia'!$H$5:$H$504,MATCH(F1815&amp;"|"&amp;(A1815+1),'Zgłoszenia'!$S$5:$S$504,0)))&amp;IF(K1815&gt;1," (+"&amp;(K1815-1)&amp;")",""))</f>
        <v/>
      </c>
      <c r="M1815" s="63" t="n">
        <v>23</v>
      </c>
      <c r="N1815" s="2" t="n"/>
      <c r="O1815" s="2" t="n"/>
    </row>
    <row r="1816">
      <c r="A1816" s="62">
        <f>IF('23'!$C$1="","",'23'!$C$1)</f>
        <v/>
      </c>
      <c r="B1816" s="63">
        <f>Ustawienia!$A$9&amp;""</f>
        <v/>
      </c>
      <c r="C1816" s="63">
        <f>Ustawienia!$A$14&amp;""</f>
        <v/>
      </c>
      <c r="D1816" s="63" t="n">
        <v>6</v>
      </c>
      <c r="E1816" s="63">
        <f>IF('23'!F11="","",TRIM('23'!F11&amp;""))</f>
        <v/>
      </c>
      <c r="F1816" s="63">
        <f>IF('23'!G11="","",'23'!G11)</f>
        <v/>
      </c>
      <c r="G1816" s="63">
        <f>'23'!H11&amp;""</f>
        <v/>
      </c>
      <c r="H1816" s="63">
        <f>IF(OR(A1816="",F1816=""),"",F1816&amp;"|"&amp;A1816)</f>
        <v/>
      </c>
      <c r="I1816" s="63">
        <f>IF(AND(H1816&lt;&gt;"",OR('Historia wózka'!$B$4="",F1816='Historia wózka'!$B$4),A1816&gt;='Historia wózka'!$B$5,A1816&lt;='Historia wózka'!$B$6),A1816+0.8+(5000-ROW())/10000000,0)</f>
        <v/>
      </c>
      <c r="J1816" s="63">
        <f>Ustawienia!$B$9&amp;""</f>
        <v/>
      </c>
      <c r="K1816" s="63">
        <f>IF(H1816="","",COUNTIFS('Zgłoszenia'!$B$5:$B$504,F1816,'Zgłoszenia'!$D$5:$D$504,"&gt;="&amp;A1816,'Zgłoszenia'!$D$5:$D$504,"&lt;="&amp;(A1816+1)))</f>
        <v/>
      </c>
      <c r="L1816" s="63">
        <f>IF(OR(H1816="",K1816=0),"—",IF(ISNUMBER(MATCH(H1816,'Zgłoszenia'!$S$5:$S$504,0)),RIGHT("0"&amp;DAY(A1816),2)&amp;"."&amp;RIGHT("0"&amp;MONTH(A1816),2)&amp;"."&amp;YEAR(A1816)&amp;": "&amp;INDEX('Zgłoszenia'!$H$5:$H$504,MATCH(H1816,'Zgłoszenia'!$S$5:$S$504,0)),RIGHT("0"&amp;DAY((A1816+1)),2)&amp;"."&amp;RIGHT("0"&amp;MONTH((A1816+1)),2)&amp;"."&amp;YEAR((A1816+1))&amp;": "&amp;INDEX('Zgłoszenia'!$H$5:$H$504,MATCH(F1816&amp;"|"&amp;(A1816+1),'Zgłoszenia'!$S$5:$S$504,0)))&amp;IF(K1816&gt;1," (+"&amp;(K1816-1)&amp;")",""))</f>
        <v/>
      </c>
      <c r="M1816" s="63" t="n">
        <v>23</v>
      </c>
      <c r="N1816" s="2" t="n"/>
      <c r="O1816" s="2" t="n"/>
    </row>
    <row r="1817">
      <c r="A1817" s="62">
        <f>IF('23'!$C$1="","",'23'!$C$1)</f>
        <v/>
      </c>
      <c r="B1817" s="63">
        <f>Ustawienia!$A$9&amp;""</f>
        <v/>
      </c>
      <c r="C1817" s="63">
        <f>Ustawienia!$A$15&amp;""</f>
        <v/>
      </c>
      <c r="D1817" s="63" t="n">
        <v>1</v>
      </c>
      <c r="E1817" s="63">
        <f>IF('23'!F13="","",TRIM('23'!F13&amp;""))</f>
        <v/>
      </c>
      <c r="F1817" s="63">
        <f>IF('23'!G13="","",'23'!G13)</f>
        <v/>
      </c>
      <c r="G1817" s="63">
        <f>'23'!H13&amp;""</f>
        <v/>
      </c>
      <c r="H1817" s="63">
        <f>IF(OR(A1817="",F1817=""),"",F1817&amp;"|"&amp;A1817)</f>
        <v/>
      </c>
      <c r="I1817" s="63">
        <f>IF(AND(H1817&lt;&gt;"",OR('Historia wózka'!$B$4="",F1817='Historia wózka'!$B$4),A1817&gt;='Historia wózka'!$B$5,A1817&lt;='Historia wózka'!$B$6),A1817+0.8+(5000-ROW())/10000000,0)</f>
        <v/>
      </c>
      <c r="J1817" s="63">
        <f>Ustawienia!$B$9&amp;""</f>
        <v/>
      </c>
      <c r="K1817" s="63">
        <f>IF(H1817="","",COUNTIFS('Zgłoszenia'!$B$5:$B$504,F1817,'Zgłoszenia'!$D$5:$D$504,"&gt;="&amp;A1817,'Zgłoszenia'!$D$5:$D$504,"&lt;="&amp;(A1817+1)))</f>
        <v/>
      </c>
      <c r="L1817" s="63">
        <f>IF(OR(H1817="",K1817=0),"—",IF(ISNUMBER(MATCH(H1817,'Zgłoszenia'!$S$5:$S$504,0)),RIGHT("0"&amp;DAY(A1817),2)&amp;"."&amp;RIGHT("0"&amp;MONTH(A1817),2)&amp;"."&amp;YEAR(A1817)&amp;": "&amp;INDEX('Zgłoszenia'!$H$5:$H$504,MATCH(H1817,'Zgłoszenia'!$S$5:$S$504,0)),RIGHT("0"&amp;DAY((A1817+1)),2)&amp;"."&amp;RIGHT("0"&amp;MONTH((A1817+1)),2)&amp;"."&amp;YEAR((A1817+1))&amp;": "&amp;INDEX('Zgłoszenia'!$H$5:$H$504,MATCH(F1817&amp;"|"&amp;(A1817+1),'Zgłoszenia'!$S$5:$S$504,0)))&amp;IF(K1817&gt;1," (+"&amp;(K1817-1)&amp;")",""))</f>
        <v/>
      </c>
      <c r="M1817" s="63" t="n">
        <v>23</v>
      </c>
      <c r="N1817" s="2" t="n"/>
      <c r="O1817" s="2" t="n"/>
    </row>
    <row r="1818">
      <c r="A1818" s="62">
        <f>IF('23'!$C$1="","",'23'!$C$1)</f>
        <v/>
      </c>
      <c r="B1818" s="63">
        <f>Ustawienia!$A$9&amp;""</f>
        <v/>
      </c>
      <c r="C1818" s="63">
        <f>Ustawienia!$A$15&amp;""</f>
        <v/>
      </c>
      <c r="D1818" s="63" t="n">
        <v>2</v>
      </c>
      <c r="E1818" s="63">
        <f>IF('23'!F14="","",TRIM('23'!F14&amp;""))</f>
        <v/>
      </c>
      <c r="F1818" s="63">
        <f>IF('23'!G14="","",'23'!G14)</f>
        <v/>
      </c>
      <c r="G1818" s="63">
        <f>'23'!H14&amp;""</f>
        <v/>
      </c>
      <c r="H1818" s="63">
        <f>IF(OR(A1818="",F1818=""),"",F1818&amp;"|"&amp;A1818)</f>
        <v/>
      </c>
      <c r="I1818" s="63">
        <f>IF(AND(H1818&lt;&gt;"",OR('Historia wózka'!$B$4="",F1818='Historia wózka'!$B$4),A1818&gt;='Historia wózka'!$B$5,A1818&lt;='Historia wózka'!$B$6),A1818+0.8+(5000-ROW())/10000000,0)</f>
        <v/>
      </c>
      <c r="J1818" s="63">
        <f>Ustawienia!$B$9&amp;""</f>
        <v/>
      </c>
      <c r="K1818" s="63">
        <f>IF(H1818="","",COUNTIFS('Zgłoszenia'!$B$5:$B$504,F1818,'Zgłoszenia'!$D$5:$D$504,"&gt;="&amp;A1818,'Zgłoszenia'!$D$5:$D$504,"&lt;="&amp;(A1818+1)))</f>
        <v/>
      </c>
      <c r="L1818" s="63">
        <f>IF(OR(H1818="",K1818=0),"—",IF(ISNUMBER(MATCH(H1818,'Zgłoszenia'!$S$5:$S$504,0)),RIGHT("0"&amp;DAY(A1818),2)&amp;"."&amp;RIGHT("0"&amp;MONTH(A1818),2)&amp;"."&amp;YEAR(A1818)&amp;": "&amp;INDEX('Zgłoszenia'!$H$5:$H$504,MATCH(H1818,'Zgłoszenia'!$S$5:$S$504,0)),RIGHT("0"&amp;DAY((A1818+1)),2)&amp;"."&amp;RIGHT("0"&amp;MONTH((A1818+1)),2)&amp;"."&amp;YEAR((A1818+1))&amp;": "&amp;INDEX('Zgłoszenia'!$H$5:$H$504,MATCH(F1818&amp;"|"&amp;(A1818+1),'Zgłoszenia'!$S$5:$S$504,0)))&amp;IF(K1818&gt;1," (+"&amp;(K1818-1)&amp;")",""))</f>
        <v/>
      </c>
      <c r="M1818" s="63" t="n">
        <v>23</v>
      </c>
      <c r="N1818" s="2" t="n"/>
      <c r="O1818" s="2" t="n"/>
    </row>
    <row r="1819">
      <c r="A1819" s="62">
        <f>IF('23'!$C$1="","",'23'!$C$1)</f>
        <v/>
      </c>
      <c r="B1819" s="63">
        <f>Ustawienia!$A$9&amp;""</f>
        <v/>
      </c>
      <c r="C1819" s="63">
        <f>Ustawienia!$A$15&amp;""</f>
        <v/>
      </c>
      <c r="D1819" s="63" t="n">
        <v>3</v>
      </c>
      <c r="E1819" s="63">
        <f>IF('23'!F15="","",TRIM('23'!F15&amp;""))</f>
        <v/>
      </c>
      <c r="F1819" s="63">
        <f>IF('23'!G15="","",'23'!G15)</f>
        <v/>
      </c>
      <c r="G1819" s="63">
        <f>'23'!H15&amp;""</f>
        <v/>
      </c>
      <c r="H1819" s="63">
        <f>IF(OR(A1819="",F1819=""),"",F1819&amp;"|"&amp;A1819)</f>
        <v/>
      </c>
      <c r="I1819" s="63">
        <f>IF(AND(H1819&lt;&gt;"",OR('Historia wózka'!$B$4="",F1819='Historia wózka'!$B$4),A1819&gt;='Historia wózka'!$B$5,A1819&lt;='Historia wózka'!$B$6),A1819+0.8+(5000-ROW())/10000000,0)</f>
        <v/>
      </c>
      <c r="J1819" s="63">
        <f>Ustawienia!$B$9&amp;""</f>
        <v/>
      </c>
      <c r="K1819" s="63">
        <f>IF(H1819="","",COUNTIFS('Zgłoszenia'!$B$5:$B$504,F1819,'Zgłoszenia'!$D$5:$D$504,"&gt;="&amp;A1819,'Zgłoszenia'!$D$5:$D$504,"&lt;="&amp;(A1819+1)))</f>
        <v/>
      </c>
      <c r="L1819" s="63">
        <f>IF(OR(H1819="",K1819=0),"—",IF(ISNUMBER(MATCH(H1819,'Zgłoszenia'!$S$5:$S$504,0)),RIGHT("0"&amp;DAY(A1819),2)&amp;"."&amp;RIGHT("0"&amp;MONTH(A1819),2)&amp;"."&amp;YEAR(A1819)&amp;": "&amp;INDEX('Zgłoszenia'!$H$5:$H$504,MATCH(H1819,'Zgłoszenia'!$S$5:$S$504,0)),RIGHT("0"&amp;DAY((A1819+1)),2)&amp;"."&amp;RIGHT("0"&amp;MONTH((A1819+1)),2)&amp;"."&amp;YEAR((A1819+1))&amp;": "&amp;INDEX('Zgłoszenia'!$H$5:$H$504,MATCH(F1819&amp;"|"&amp;(A1819+1),'Zgłoszenia'!$S$5:$S$504,0)))&amp;IF(K1819&gt;1," (+"&amp;(K1819-1)&amp;")",""))</f>
        <v/>
      </c>
      <c r="M1819" s="63" t="n">
        <v>23</v>
      </c>
      <c r="N1819" s="2" t="n"/>
      <c r="O1819" s="2" t="n"/>
    </row>
    <row r="1820">
      <c r="A1820" s="62">
        <f>IF('23'!$C$1="","",'23'!$C$1)</f>
        <v/>
      </c>
      <c r="B1820" s="63">
        <f>Ustawienia!$A$9&amp;""</f>
        <v/>
      </c>
      <c r="C1820" s="63">
        <f>Ustawienia!$A$15&amp;""</f>
        <v/>
      </c>
      <c r="D1820" s="63" t="n">
        <v>4</v>
      </c>
      <c r="E1820" s="63">
        <f>IF('23'!F16="","",TRIM('23'!F16&amp;""))</f>
        <v/>
      </c>
      <c r="F1820" s="63">
        <f>IF('23'!G16="","",'23'!G16)</f>
        <v/>
      </c>
      <c r="G1820" s="63">
        <f>'23'!H16&amp;""</f>
        <v/>
      </c>
      <c r="H1820" s="63">
        <f>IF(OR(A1820="",F1820=""),"",F1820&amp;"|"&amp;A1820)</f>
        <v/>
      </c>
      <c r="I1820" s="63">
        <f>IF(AND(H1820&lt;&gt;"",OR('Historia wózka'!$B$4="",F1820='Historia wózka'!$B$4),A1820&gt;='Historia wózka'!$B$5,A1820&lt;='Historia wózka'!$B$6),A1820+0.8+(5000-ROW())/10000000,0)</f>
        <v/>
      </c>
      <c r="J1820" s="63">
        <f>Ustawienia!$B$9&amp;""</f>
        <v/>
      </c>
      <c r="K1820" s="63">
        <f>IF(H1820="","",COUNTIFS('Zgłoszenia'!$B$5:$B$504,F1820,'Zgłoszenia'!$D$5:$D$504,"&gt;="&amp;A1820,'Zgłoszenia'!$D$5:$D$504,"&lt;="&amp;(A1820+1)))</f>
        <v/>
      </c>
      <c r="L1820" s="63">
        <f>IF(OR(H1820="",K1820=0),"—",IF(ISNUMBER(MATCH(H1820,'Zgłoszenia'!$S$5:$S$504,0)),RIGHT("0"&amp;DAY(A1820),2)&amp;"."&amp;RIGHT("0"&amp;MONTH(A1820),2)&amp;"."&amp;YEAR(A1820)&amp;": "&amp;INDEX('Zgłoszenia'!$H$5:$H$504,MATCH(H1820,'Zgłoszenia'!$S$5:$S$504,0)),RIGHT("0"&amp;DAY((A1820+1)),2)&amp;"."&amp;RIGHT("0"&amp;MONTH((A1820+1)),2)&amp;"."&amp;YEAR((A1820+1))&amp;": "&amp;INDEX('Zgłoszenia'!$H$5:$H$504,MATCH(F1820&amp;"|"&amp;(A1820+1),'Zgłoszenia'!$S$5:$S$504,0)))&amp;IF(K1820&gt;1," (+"&amp;(K1820-1)&amp;")",""))</f>
        <v/>
      </c>
      <c r="M1820" s="63" t="n">
        <v>23</v>
      </c>
      <c r="N1820" s="2" t="n"/>
      <c r="O1820" s="2" t="n"/>
    </row>
    <row r="1821">
      <c r="A1821" s="62">
        <f>IF('23'!$C$1="","",'23'!$C$1)</f>
        <v/>
      </c>
      <c r="B1821" s="63">
        <f>Ustawienia!$A$9&amp;""</f>
        <v/>
      </c>
      <c r="C1821" s="63">
        <f>Ustawienia!$A$15&amp;""</f>
        <v/>
      </c>
      <c r="D1821" s="63" t="n">
        <v>5</v>
      </c>
      <c r="E1821" s="63">
        <f>IF('23'!F17="","",TRIM('23'!F17&amp;""))</f>
        <v/>
      </c>
      <c r="F1821" s="63">
        <f>IF('23'!G17="","",'23'!G17)</f>
        <v/>
      </c>
      <c r="G1821" s="63">
        <f>'23'!H17&amp;""</f>
        <v/>
      </c>
      <c r="H1821" s="63">
        <f>IF(OR(A1821="",F1821=""),"",F1821&amp;"|"&amp;A1821)</f>
        <v/>
      </c>
      <c r="I1821" s="63">
        <f>IF(AND(H1821&lt;&gt;"",OR('Historia wózka'!$B$4="",F1821='Historia wózka'!$B$4),A1821&gt;='Historia wózka'!$B$5,A1821&lt;='Historia wózka'!$B$6),A1821+0.8+(5000-ROW())/10000000,0)</f>
        <v/>
      </c>
      <c r="J1821" s="63">
        <f>Ustawienia!$B$9&amp;""</f>
        <v/>
      </c>
      <c r="K1821" s="63">
        <f>IF(H1821="","",COUNTIFS('Zgłoszenia'!$B$5:$B$504,F1821,'Zgłoszenia'!$D$5:$D$504,"&gt;="&amp;A1821,'Zgłoszenia'!$D$5:$D$504,"&lt;="&amp;(A1821+1)))</f>
        <v/>
      </c>
      <c r="L1821" s="63">
        <f>IF(OR(H1821="",K1821=0),"—",IF(ISNUMBER(MATCH(H1821,'Zgłoszenia'!$S$5:$S$504,0)),RIGHT("0"&amp;DAY(A1821),2)&amp;"."&amp;RIGHT("0"&amp;MONTH(A1821),2)&amp;"."&amp;YEAR(A1821)&amp;": "&amp;INDEX('Zgłoszenia'!$H$5:$H$504,MATCH(H1821,'Zgłoszenia'!$S$5:$S$504,0)),RIGHT("0"&amp;DAY((A1821+1)),2)&amp;"."&amp;RIGHT("0"&amp;MONTH((A1821+1)),2)&amp;"."&amp;YEAR((A1821+1))&amp;": "&amp;INDEX('Zgłoszenia'!$H$5:$H$504,MATCH(F1821&amp;"|"&amp;(A1821+1),'Zgłoszenia'!$S$5:$S$504,0)))&amp;IF(K1821&gt;1," (+"&amp;(K1821-1)&amp;")",""))</f>
        <v/>
      </c>
      <c r="M1821" s="63" t="n">
        <v>23</v>
      </c>
      <c r="N1821" s="2" t="n"/>
      <c r="O1821" s="2" t="n"/>
    </row>
    <row r="1822">
      <c r="A1822" s="62">
        <f>IF('23'!$C$1="","",'23'!$C$1)</f>
        <v/>
      </c>
      <c r="B1822" s="63">
        <f>Ustawienia!$A$9&amp;""</f>
        <v/>
      </c>
      <c r="C1822" s="63">
        <f>Ustawienia!$A$15&amp;""</f>
        <v/>
      </c>
      <c r="D1822" s="63" t="n">
        <v>6</v>
      </c>
      <c r="E1822" s="63">
        <f>IF('23'!F18="","",TRIM('23'!F18&amp;""))</f>
        <v/>
      </c>
      <c r="F1822" s="63">
        <f>IF('23'!G18="","",'23'!G18)</f>
        <v/>
      </c>
      <c r="G1822" s="63">
        <f>'23'!H18&amp;""</f>
        <v/>
      </c>
      <c r="H1822" s="63">
        <f>IF(OR(A1822="",F1822=""),"",F1822&amp;"|"&amp;A1822)</f>
        <v/>
      </c>
      <c r="I1822" s="63">
        <f>IF(AND(H1822&lt;&gt;"",OR('Historia wózka'!$B$4="",F1822='Historia wózka'!$B$4),A1822&gt;='Historia wózka'!$B$5,A1822&lt;='Historia wózka'!$B$6),A1822+0.8+(5000-ROW())/10000000,0)</f>
        <v/>
      </c>
      <c r="J1822" s="63">
        <f>Ustawienia!$B$9&amp;""</f>
        <v/>
      </c>
      <c r="K1822" s="63">
        <f>IF(H1822="","",COUNTIFS('Zgłoszenia'!$B$5:$B$504,F1822,'Zgłoszenia'!$D$5:$D$504,"&gt;="&amp;A1822,'Zgłoszenia'!$D$5:$D$504,"&lt;="&amp;(A1822+1)))</f>
        <v/>
      </c>
      <c r="L1822" s="63">
        <f>IF(OR(H1822="",K1822=0),"—",IF(ISNUMBER(MATCH(H1822,'Zgłoszenia'!$S$5:$S$504,0)),RIGHT("0"&amp;DAY(A1822),2)&amp;"."&amp;RIGHT("0"&amp;MONTH(A1822),2)&amp;"."&amp;YEAR(A1822)&amp;": "&amp;INDEX('Zgłoszenia'!$H$5:$H$504,MATCH(H1822,'Zgłoszenia'!$S$5:$S$504,0)),RIGHT("0"&amp;DAY((A1822+1)),2)&amp;"."&amp;RIGHT("0"&amp;MONTH((A1822+1)),2)&amp;"."&amp;YEAR((A1822+1))&amp;": "&amp;INDEX('Zgłoszenia'!$H$5:$H$504,MATCH(F1822&amp;"|"&amp;(A1822+1),'Zgłoszenia'!$S$5:$S$504,0)))&amp;IF(K1822&gt;1," (+"&amp;(K1822-1)&amp;")",""))</f>
        <v/>
      </c>
      <c r="M1822" s="63" t="n">
        <v>23</v>
      </c>
      <c r="N1822" s="2" t="n"/>
      <c r="O1822" s="2" t="n"/>
    </row>
    <row r="1823">
      <c r="A1823" s="62">
        <f>IF('23'!$C$1="","",'23'!$C$1)</f>
        <v/>
      </c>
      <c r="B1823" s="63">
        <f>Ustawienia!$A$9&amp;""</f>
        <v/>
      </c>
      <c r="C1823" s="63">
        <f>Ustawienia!$A$15&amp;""</f>
        <v/>
      </c>
      <c r="D1823" s="63" t="n">
        <v>7</v>
      </c>
      <c r="E1823" s="63">
        <f>IF('23'!F19="","",TRIM('23'!F19&amp;""))</f>
        <v/>
      </c>
      <c r="F1823" s="63">
        <f>IF('23'!G19="","",'23'!G19)</f>
        <v/>
      </c>
      <c r="G1823" s="63">
        <f>'23'!H19&amp;""</f>
        <v/>
      </c>
      <c r="H1823" s="63">
        <f>IF(OR(A1823="",F1823=""),"",F1823&amp;"|"&amp;A1823)</f>
        <v/>
      </c>
      <c r="I1823" s="63">
        <f>IF(AND(H1823&lt;&gt;"",OR('Historia wózka'!$B$4="",F1823='Historia wózka'!$B$4),A1823&gt;='Historia wózka'!$B$5,A1823&lt;='Historia wózka'!$B$6),A1823+0.8+(5000-ROW())/10000000,0)</f>
        <v/>
      </c>
      <c r="J1823" s="63">
        <f>Ustawienia!$B$9&amp;""</f>
        <v/>
      </c>
      <c r="K1823" s="63">
        <f>IF(H1823="","",COUNTIFS('Zgłoszenia'!$B$5:$B$504,F1823,'Zgłoszenia'!$D$5:$D$504,"&gt;="&amp;A1823,'Zgłoszenia'!$D$5:$D$504,"&lt;="&amp;(A1823+1)))</f>
        <v/>
      </c>
      <c r="L1823" s="63">
        <f>IF(OR(H1823="",K1823=0),"—",IF(ISNUMBER(MATCH(H1823,'Zgłoszenia'!$S$5:$S$504,0)),RIGHT("0"&amp;DAY(A1823),2)&amp;"."&amp;RIGHT("0"&amp;MONTH(A1823),2)&amp;"."&amp;YEAR(A1823)&amp;": "&amp;INDEX('Zgłoszenia'!$H$5:$H$504,MATCH(H1823,'Zgłoszenia'!$S$5:$S$504,0)),RIGHT("0"&amp;DAY((A1823+1)),2)&amp;"."&amp;RIGHT("0"&amp;MONTH((A1823+1)),2)&amp;"."&amp;YEAR((A1823+1))&amp;": "&amp;INDEX('Zgłoszenia'!$H$5:$H$504,MATCH(F1823&amp;"|"&amp;(A1823+1),'Zgłoszenia'!$S$5:$S$504,0)))&amp;IF(K1823&gt;1," (+"&amp;(K1823-1)&amp;")",""))</f>
        <v/>
      </c>
      <c r="M1823" s="63" t="n">
        <v>23</v>
      </c>
      <c r="N1823" s="2" t="n"/>
      <c r="O1823" s="2" t="n"/>
    </row>
    <row r="1824">
      <c r="A1824" s="62">
        <f>IF('23'!$C$1="","",'23'!$C$1)</f>
        <v/>
      </c>
      <c r="B1824" s="63">
        <f>Ustawienia!$A$9&amp;""</f>
        <v/>
      </c>
      <c r="C1824" s="63">
        <f>Ustawienia!$A$15&amp;""</f>
        <v/>
      </c>
      <c r="D1824" s="63" t="n">
        <v>8</v>
      </c>
      <c r="E1824" s="63">
        <f>IF('23'!F20="","",TRIM('23'!F20&amp;""))</f>
        <v/>
      </c>
      <c r="F1824" s="63">
        <f>IF('23'!G20="","",'23'!G20)</f>
        <v/>
      </c>
      <c r="G1824" s="63">
        <f>'23'!H20&amp;""</f>
        <v/>
      </c>
      <c r="H1824" s="63">
        <f>IF(OR(A1824="",F1824=""),"",F1824&amp;"|"&amp;A1824)</f>
        <v/>
      </c>
      <c r="I1824" s="63">
        <f>IF(AND(H1824&lt;&gt;"",OR('Historia wózka'!$B$4="",F1824='Historia wózka'!$B$4),A1824&gt;='Historia wózka'!$B$5,A1824&lt;='Historia wózka'!$B$6),A1824+0.8+(5000-ROW())/10000000,0)</f>
        <v/>
      </c>
      <c r="J1824" s="63">
        <f>Ustawienia!$B$9&amp;""</f>
        <v/>
      </c>
      <c r="K1824" s="63">
        <f>IF(H1824="","",COUNTIFS('Zgłoszenia'!$B$5:$B$504,F1824,'Zgłoszenia'!$D$5:$D$504,"&gt;="&amp;A1824,'Zgłoszenia'!$D$5:$D$504,"&lt;="&amp;(A1824+1)))</f>
        <v/>
      </c>
      <c r="L1824" s="63">
        <f>IF(OR(H1824="",K1824=0),"—",IF(ISNUMBER(MATCH(H1824,'Zgłoszenia'!$S$5:$S$504,0)),RIGHT("0"&amp;DAY(A1824),2)&amp;"."&amp;RIGHT("0"&amp;MONTH(A1824),2)&amp;"."&amp;YEAR(A1824)&amp;": "&amp;INDEX('Zgłoszenia'!$H$5:$H$504,MATCH(H1824,'Zgłoszenia'!$S$5:$S$504,0)),RIGHT("0"&amp;DAY((A1824+1)),2)&amp;"."&amp;RIGHT("0"&amp;MONTH((A1824+1)),2)&amp;"."&amp;YEAR((A1824+1))&amp;": "&amp;INDEX('Zgłoszenia'!$H$5:$H$504,MATCH(F1824&amp;"|"&amp;(A1824+1),'Zgłoszenia'!$S$5:$S$504,0)))&amp;IF(K1824&gt;1," (+"&amp;(K1824-1)&amp;")",""))</f>
        <v/>
      </c>
      <c r="M1824" s="63" t="n">
        <v>23</v>
      </c>
      <c r="N1824" s="2" t="n"/>
      <c r="O1824" s="2" t="n"/>
    </row>
    <row r="1825">
      <c r="A1825" s="62">
        <f>IF('23'!$C$1="","",'23'!$C$1)</f>
        <v/>
      </c>
      <c r="B1825" s="63">
        <f>Ustawienia!$A$9&amp;""</f>
        <v/>
      </c>
      <c r="C1825" s="63">
        <f>Ustawienia!$A$16&amp;""</f>
        <v/>
      </c>
      <c r="D1825" s="63" t="n">
        <v>1</v>
      </c>
      <c r="E1825" s="63">
        <f>IF('23'!F22="","",TRIM('23'!F22&amp;""))</f>
        <v/>
      </c>
      <c r="F1825" s="63">
        <f>IF('23'!G22="","",'23'!G22)</f>
        <v/>
      </c>
      <c r="G1825" s="63">
        <f>'23'!H22&amp;""</f>
        <v/>
      </c>
      <c r="H1825" s="63">
        <f>IF(OR(A1825="",F1825=""),"",F1825&amp;"|"&amp;A1825)</f>
        <v/>
      </c>
      <c r="I1825" s="63">
        <f>IF(AND(H1825&lt;&gt;"",OR('Historia wózka'!$B$4="",F1825='Historia wózka'!$B$4),A1825&gt;='Historia wózka'!$B$5,A1825&lt;='Historia wózka'!$B$6),A1825+0.8+(5000-ROW())/10000000,0)</f>
        <v/>
      </c>
      <c r="J1825" s="63">
        <f>Ustawienia!$B$9&amp;""</f>
        <v/>
      </c>
      <c r="K1825" s="63">
        <f>IF(H1825="","",COUNTIFS('Zgłoszenia'!$B$5:$B$504,F1825,'Zgłoszenia'!$D$5:$D$504,"&gt;="&amp;A1825,'Zgłoszenia'!$D$5:$D$504,"&lt;="&amp;(A1825+1)))</f>
        <v/>
      </c>
      <c r="L1825" s="63">
        <f>IF(OR(H1825="",K1825=0),"—",IF(ISNUMBER(MATCH(H1825,'Zgłoszenia'!$S$5:$S$504,0)),RIGHT("0"&amp;DAY(A1825),2)&amp;"."&amp;RIGHT("0"&amp;MONTH(A1825),2)&amp;"."&amp;YEAR(A1825)&amp;": "&amp;INDEX('Zgłoszenia'!$H$5:$H$504,MATCH(H1825,'Zgłoszenia'!$S$5:$S$504,0)),RIGHT("0"&amp;DAY((A1825+1)),2)&amp;"."&amp;RIGHT("0"&amp;MONTH((A1825+1)),2)&amp;"."&amp;YEAR((A1825+1))&amp;": "&amp;INDEX('Zgłoszenia'!$H$5:$H$504,MATCH(F1825&amp;"|"&amp;(A1825+1),'Zgłoszenia'!$S$5:$S$504,0)))&amp;IF(K1825&gt;1," (+"&amp;(K1825-1)&amp;")",""))</f>
        <v/>
      </c>
      <c r="M1825" s="63" t="n">
        <v>23</v>
      </c>
      <c r="N1825" s="2" t="n"/>
      <c r="O1825" s="2" t="n"/>
    </row>
    <row r="1826">
      <c r="A1826" s="62">
        <f>IF('23'!$C$1="","",'23'!$C$1)</f>
        <v/>
      </c>
      <c r="B1826" s="63">
        <f>Ustawienia!$A$9&amp;""</f>
        <v/>
      </c>
      <c r="C1826" s="63">
        <f>Ustawienia!$A$16&amp;""</f>
        <v/>
      </c>
      <c r="D1826" s="63" t="n">
        <v>2</v>
      </c>
      <c r="E1826" s="63">
        <f>IF('23'!F23="","",TRIM('23'!F23&amp;""))</f>
        <v/>
      </c>
      <c r="F1826" s="63">
        <f>IF('23'!G23="","",'23'!G23)</f>
        <v/>
      </c>
      <c r="G1826" s="63">
        <f>'23'!H23&amp;""</f>
        <v/>
      </c>
      <c r="H1826" s="63">
        <f>IF(OR(A1826="",F1826=""),"",F1826&amp;"|"&amp;A1826)</f>
        <v/>
      </c>
      <c r="I1826" s="63">
        <f>IF(AND(H1826&lt;&gt;"",OR('Historia wózka'!$B$4="",F1826='Historia wózka'!$B$4),A1826&gt;='Historia wózka'!$B$5,A1826&lt;='Historia wózka'!$B$6),A1826+0.8+(5000-ROW())/10000000,0)</f>
        <v/>
      </c>
      <c r="J1826" s="63">
        <f>Ustawienia!$B$9&amp;""</f>
        <v/>
      </c>
      <c r="K1826" s="63">
        <f>IF(H1826="","",COUNTIFS('Zgłoszenia'!$B$5:$B$504,F1826,'Zgłoszenia'!$D$5:$D$504,"&gt;="&amp;A1826,'Zgłoszenia'!$D$5:$D$504,"&lt;="&amp;(A1826+1)))</f>
        <v/>
      </c>
      <c r="L1826" s="63">
        <f>IF(OR(H1826="",K1826=0),"—",IF(ISNUMBER(MATCH(H1826,'Zgłoszenia'!$S$5:$S$504,0)),RIGHT("0"&amp;DAY(A1826),2)&amp;"."&amp;RIGHT("0"&amp;MONTH(A1826),2)&amp;"."&amp;YEAR(A1826)&amp;": "&amp;INDEX('Zgłoszenia'!$H$5:$H$504,MATCH(H1826,'Zgłoszenia'!$S$5:$S$504,0)),RIGHT("0"&amp;DAY((A1826+1)),2)&amp;"."&amp;RIGHT("0"&amp;MONTH((A1826+1)),2)&amp;"."&amp;YEAR((A1826+1))&amp;": "&amp;INDEX('Zgłoszenia'!$H$5:$H$504,MATCH(F1826&amp;"|"&amp;(A1826+1),'Zgłoszenia'!$S$5:$S$504,0)))&amp;IF(K1826&gt;1," (+"&amp;(K1826-1)&amp;")",""))</f>
        <v/>
      </c>
      <c r="M1826" s="63" t="n">
        <v>23</v>
      </c>
      <c r="N1826" s="2" t="n"/>
      <c r="O1826" s="2" t="n"/>
    </row>
    <row r="1827">
      <c r="A1827" s="62">
        <f>IF('23'!$C$1="","",'23'!$C$1)</f>
        <v/>
      </c>
      <c r="B1827" s="63">
        <f>Ustawienia!$A$9&amp;""</f>
        <v/>
      </c>
      <c r="C1827" s="63">
        <f>Ustawienia!$A$16&amp;""</f>
        <v/>
      </c>
      <c r="D1827" s="63" t="n">
        <v>3</v>
      </c>
      <c r="E1827" s="63">
        <f>IF('23'!F24="","",TRIM('23'!F24&amp;""))</f>
        <v/>
      </c>
      <c r="F1827" s="63">
        <f>IF('23'!G24="","",'23'!G24)</f>
        <v/>
      </c>
      <c r="G1827" s="63">
        <f>'23'!H24&amp;""</f>
        <v/>
      </c>
      <c r="H1827" s="63">
        <f>IF(OR(A1827="",F1827=""),"",F1827&amp;"|"&amp;A1827)</f>
        <v/>
      </c>
      <c r="I1827" s="63">
        <f>IF(AND(H1827&lt;&gt;"",OR('Historia wózka'!$B$4="",F1827='Historia wózka'!$B$4),A1827&gt;='Historia wózka'!$B$5,A1827&lt;='Historia wózka'!$B$6),A1827+0.8+(5000-ROW())/10000000,0)</f>
        <v/>
      </c>
      <c r="J1827" s="63">
        <f>Ustawienia!$B$9&amp;""</f>
        <v/>
      </c>
      <c r="K1827" s="63">
        <f>IF(H1827="","",COUNTIFS('Zgłoszenia'!$B$5:$B$504,F1827,'Zgłoszenia'!$D$5:$D$504,"&gt;="&amp;A1827,'Zgłoszenia'!$D$5:$D$504,"&lt;="&amp;(A1827+1)))</f>
        <v/>
      </c>
      <c r="L1827" s="63">
        <f>IF(OR(H1827="",K1827=0),"—",IF(ISNUMBER(MATCH(H1827,'Zgłoszenia'!$S$5:$S$504,0)),RIGHT("0"&amp;DAY(A1827),2)&amp;"."&amp;RIGHT("0"&amp;MONTH(A1827),2)&amp;"."&amp;YEAR(A1827)&amp;": "&amp;INDEX('Zgłoszenia'!$H$5:$H$504,MATCH(H1827,'Zgłoszenia'!$S$5:$S$504,0)),RIGHT("0"&amp;DAY((A1827+1)),2)&amp;"."&amp;RIGHT("0"&amp;MONTH((A1827+1)),2)&amp;"."&amp;YEAR((A1827+1))&amp;": "&amp;INDEX('Zgłoszenia'!$H$5:$H$504,MATCH(F1827&amp;"|"&amp;(A1827+1),'Zgłoszenia'!$S$5:$S$504,0)))&amp;IF(K1827&gt;1," (+"&amp;(K1827-1)&amp;")",""))</f>
        <v/>
      </c>
      <c r="M1827" s="63" t="n">
        <v>23</v>
      </c>
      <c r="N1827" s="2" t="n"/>
      <c r="O1827" s="2" t="n"/>
    </row>
    <row r="1828">
      <c r="A1828" s="62">
        <f>IF('23'!$C$1="","",'23'!$C$1)</f>
        <v/>
      </c>
      <c r="B1828" s="63">
        <f>Ustawienia!$A$9&amp;""</f>
        <v/>
      </c>
      <c r="C1828" s="63">
        <f>Ustawienia!$A$16&amp;""</f>
        <v/>
      </c>
      <c r="D1828" s="63" t="n">
        <v>4</v>
      </c>
      <c r="E1828" s="63">
        <f>IF('23'!F25="","",TRIM('23'!F25&amp;""))</f>
        <v/>
      </c>
      <c r="F1828" s="63">
        <f>IF('23'!G25="","",'23'!G25)</f>
        <v/>
      </c>
      <c r="G1828" s="63">
        <f>'23'!H25&amp;""</f>
        <v/>
      </c>
      <c r="H1828" s="63">
        <f>IF(OR(A1828="",F1828=""),"",F1828&amp;"|"&amp;A1828)</f>
        <v/>
      </c>
      <c r="I1828" s="63">
        <f>IF(AND(H1828&lt;&gt;"",OR('Historia wózka'!$B$4="",F1828='Historia wózka'!$B$4),A1828&gt;='Historia wózka'!$B$5,A1828&lt;='Historia wózka'!$B$6),A1828+0.8+(5000-ROW())/10000000,0)</f>
        <v/>
      </c>
      <c r="J1828" s="63">
        <f>Ustawienia!$B$9&amp;""</f>
        <v/>
      </c>
      <c r="K1828" s="63">
        <f>IF(H1828="","",COUNTIFS('Zgłoszenia'!$B$5:$B$504,F1828,'Zgłoszenia'!$D$5:$D$504,"&gt;="&amp;A1828,'Zgłoszenia'!$D$5:$D$504,"&lt;="&amp;(A1828+1)))</f>
        <v/>
      </c>
      <c r="L1828" s="63">
        <f>IF(OR(H1828="",K1828=0),"—",IF(ISNUMBER(MATCH(H1828,'Zgłoszenia'!$S$5:$S$504,0)),RIGHT("0"&amp;DAY(A1828),2)&amp;"."&amp;RIGHT("0"&amp;MONTH(A1828),2)&amp;"."&amp;YEAR(A1828)&amp;": "&amp;INDEX('Zgłoszenia'!$H$5:$H$504,MATCH(H1828,'Zgłoszenia'!$S$5:$S$504,0)),RIGHT("0"&amp;DAY((A1828+1)),2)&amp;"."&amp;RIGHT("0"&amp;MONTH((A1828+1)),2)&amp;"."&amp;YEAR((A1828+1))&amp;": "&amp;INDEX('Zgłoszenia'!$H$5:$H$504,MATCH(F1828&amp;"|"&amp;(A1828+1),'Zgłoszenia'!$S$5:$S$504,0)))&amp;IF(K1828&gt;1," (+"&amp;(K1828-1)&amp;")",""))</f>
        <v/>
      </c>
      <c r="M1828" s="63" t="n">
        <v>23</v>
      </c>
      <c r="N1828" s="2" t="n"/>
      <c r="O1828" s="2" t="n"/>
    </row>
    <row r="1829">
      <c r="A1829" s="62">
        <f>IF('23'!$C$1="","",'23'!$C$1)</f>
        <v/>
      </c>
      <c r="B1829" s="63">
        <f>Ustawienia!$A$9&amp;""</f>
        <v/>
      </c>
      <c r="C1829" s="63">
        <f>Ustawienia!$A$17&amp;""</f>
        <v/>
      </c>
      <c r="D1829" s="63" t="n">
        <v>1</v>
      </c>
      <c r="E1829" s="63">
        <f>IF('23'!F27="","",TRIM('23'!F27&amp;""))</f>
        <v/>
      </c>
      <c r="F1829" s="63">
        <f>IF('23'!G27="","",'23'!G27)</f>
        <v/>
      </c>
      <c r="G1829" s="63">
        <f>'23'!H27&amp;""</f>
        <v/>
      </c>
      <c r="H1829" s="63">
        <f>IF(OR(A1829="",F1829=""),"",F1829&amp;"|"&amp;A1829)</f>
        <v/>
      </c>
      <c r="I1829" s="63">
        <f>IF(AND(H1829&lt;&gt;"",OR('Historia wózka'!$B$4="",F1829='Historia wózka'!$B$4),A1829&gt;='Historia wózka'!$B$5,A1829&lt;='Historia wózka'!$B$6),A1829+0.8+(5000-ROW())/10000000,0)</f>
        <v/>
      </c>
      <c r="J1829" s="63">
        <f>Ustawienia!$B$9&amp;""</f>
        <v/>
      </c>
      <c r="K1829" s="63">
        <f>IF(H1829="","",COUNTIFS('Zgłoszenia'!$B$5:$B$504,F1829,'Zgłoszenia'!$D$5:$D$504,"&gt;="&amp;A1829,'Zgłoszenia'!$D$5:$D$504,"&lt;="&amp;(A1829+1)))</f>
        <v/>
      </c>
      <c r="L1829" s="63">
        <f>IF(OR(H1829="",K1829=0),"—",IF(ISNUMBER(MATCH(H1829,'Zgłoszenia'!$S$5:$S$504,0)),RIGHT("0"&amp;DAY(A1829),2)&amp;"."&amp;RIGHT("0"&amp;MONTH(A1829),2)&amp;"."&amp;YEAR(A1829)&amp;": "&amp;INDEX('Zgłoszenia'!$H$5:$H$504,MATCH(H1829,'Zgłoszenia'!$S$5:$S$504,0)),RIGHT("0"&amp;DAY((A1829+1)),2)&amp;"."&amp;RIGHT("0"&amp;MONTH((A1829+1)),2)&amp;"."&amp;YEAR((A1829+1))&amp;": "&amp;INDEX('Zgłoszenia'!$H$5:$H$504,MATCH(F1829&amp;"|"&amp;(A1829+1),'Zgłoszenia'!$S$5:$S$504,0)))&amp;IF(K1829&gt;1," (+"&amp;(K1829-1)&amp;")",""))</f>
        <v/>
      </c>
      <c r="M1829" s="63" t="n">
        <v>23</v>
      </c>
      <c r="N1829" s="2" t="n"/>
      <c r="O1829" s="2" t="n"/>
    </row>
    <row r="1830">
      <c r="A1830" s="62">
        <f>IF('23'!$C$1="","",'23'!$C$1)</f>
        <v/>
      </c>
      <c r="B1830" s="63">
        <f>Ustawienia!$A$9&amp;""</f>
        <v/>
      </c>
      <c r="C1830" s="63">
        <f>Ustawienia!$A$17&amp;""</f>
        <v/>
      </c>
      <c r="D1830" s="63" t="n">
        <v>2</v>
      </c>
      <c r="E1830" s="63">
        <f>IF('23'!F28="","",TRIM('23'!F28&amp;""))</f>
        <v/>
      </c>
      <c r="F1830" s="63">
        <f>IF('23'!G28="","",'23'!G28)</f>
        <v/>
      </c>
      <c r="G1830" s="63">
        <f>'23'!H28&amp;""</f>
        <v/>
      </c>
      <c r="H1830" s="63">
        <f>IF(OR(A1830="",F1830=""),"",F1830&amp;"|"&amp;A1830)</f>
        <v/>
      </c>
      <c r="I1830" s="63">
        <f>IF(AND(H1830&lt;&gt;"",OR('Historia wózka'!$B$4="",F1830='Historia wózka'!$B$4),A1830&gt;='Historia wózka'!$B$5,A1830&lt;='Historia wózka'!$B$6),A1830+0.8+(5000-ROW())/10000000,0)</f>
        <v/>
      </c>
      <c r="J1830" s="63">
        <f>Ustawienia!$B$9&amp;""</f>
        <v/>
      </c>
      <c r="K1830" s="63">
        <f>IF(H1830="","",COUNTIFS('Zgłoszenia'!$B$5:$B$504,F1830,'Zgłoszenia'!$D$5:$D$504,"&gt;="&amp;A1830,'Zgłoszenia'!$D$5:$D$504,"&lt;="&amp;(A1830+1)))</f>
        <v/>
      </c>
      <c r="L1830" s="63">
        <f>IF(OR(H1830="",K1830=0),"—",IF(ISNUMBER(MATCH(H1830,'Zgłoszenia'!$S$5:$S$504,0)),RIGHT("0"&amp;DAY(A1830),2)&amp;"."&amp;RIGHT("0"&amp;MONTH(A1830),2)&amp;"."&amp;YEAR(A1830)&amp;": "&amp;INDEX('Zgłoszenia'!$H$5:$H$504,MATCH(H1830,'Zgłoszenia'!$S$5:$S$504,0)),RIGHT("0"&amp;DAY((A1830+1)),2)&amp;"."&amp;RIGHT("0"&amp;MONTH((A1830+1)),2)&amp;"."&amp;YEAR((A1830+1))&amp;": "&amp;INDEX('Zgłoszenia'!$H$5:$H$504,MATCH(F1830&amp;"|"&amp;(A1830+1),'Zgłoszenia'!$S$5:$S$504,0)))&amp;IF(K1830&gt;1," (+"&amp;(K1830-1)&amp;")",""))</f>
        <v/>
      </c>
      <c r="M1830" s="63" t="n">
        <v>23</v>
      </c>
      <c r="N1830" s="2" t="n"/>
      <c r="O1830" s="2" t="n"/>
    </row>
    <row r="1831">
      <c r="A1831" s="62">
        <f>IF('23'!$C$1="","",'23'!$C$1)</f>
        <v/>
      </c>
      <c r="B1831" s="63">
        <f>Ustawienia!$A$9&amp;""</f>
        <v/>
      </c>
      <c r="C1831" s="63">
        <f>Ustawienia!$A$17&amp;""</f>
        <v/>
      </c>
      <c r="D1831" s="63" t="n">
        <v>3</v>
      </c>
      <c r="E1831" s="63">
        <f>IF('23'!F29="","",TRIM('23'!F29&amp;""))</f>
        <v/>
      </c>
      <c r="F1831" s="63">
        <f>IF('23'!G29="","",'23'!G29)</f>
        <v/>
      </c>
      <c r="G1831" s="63">
        <f>'23'!H29&amp;""</f>
        <v/>
      </c>
      <c r="H1831" s="63">
        <f>IF(OR(A1831="",F1831=""),"",F1831&amp;"|"&amp;A1831)</f>
        <v/>
      </c>
      <c r="I1831" s="63">
        <f>IF(AND(H1831&lt;&gt;"",OR('Historia wózka'!$B$4="",F1831='Historia wózka'!$B$4),A1831&gt;='Historia wózka'!$B$5,A1831&lt;='Historia wózka'!$B$6),A1831+0.8+(5000-ROW())/10000000,0)</f>
        <v/>
      </c>
      <c r="J1831" s="63">
        <f>Ustawienia!$B$9&amp;""</f>
        <v/>
      </c>
      <c r="K1831" s="63">
        <f>IF(H1831="","",COUNTIFS('Zgłoszenia'!$B$5:$B$504,F1831,'Zgłoszenia'!$D$5:$D$504,"&gt;="&amp;A1831,'Zgłoszenia'!$D$5:$D$504,"&lt;="&amp;(A1831+1)))</f>
        <v/>
      </c>
      <c r="L1831" s="63">
        <f>IF(OR(H1831="",K1831=0),"—",IF(ISNUMBER(MATCH(H1831,'Zgłoszenia'!$S$5:$S$504,0)),RIGHT("0"&amp;DAY(A1831),2)&amp;"."&amp;RIGHT("0"&amp;MONTH(A1831),2)&amp;"."&amp;YEAR(A1831)&amp;": "&amp;INDEX('Zgłoszenia'!$H$5:$H$504,MATCH(H1831,'Zgłoszenia'!$S$5:$S$504,0)),RIGHT("0"&amp;DAY((A1831+1)),2)&amp;"."&amp;RIGHT("0"&amp;MONTH((A1831+1)),2)&amp;"."&amp;YEAR((A1831+1))&amp;": "&amp;INDEX('Zgłoszenia'!$H$5:$H$504,MATCH(F1831&amp;"|"&amp;(A1831+1),'Zgłoszenia'!$S$5:$S$504,0)))&amp;IF(K1831&gt;1," (+"&amp;(K1831-1)&amp;")",""))</f>
        <v/>
      </c>
      <c r="M1831" s="63" t="n">
        <v>23</v>
      </c>
      <c r="N1831" s="2" t="n"/>
      <c r="O1831" s="2" t="n"/>
    </row>
    <row r="1832">
      <c r="A1832" s="62">
        <f>IF('23'!$C$1="","",'23'!$C$1)</f>
        <v/>
      </c>
      <c r="B1832" s="63">
        <f>Ustawienia!$A$9&amp;""</f>
        <v/>
      </c>
      <c r="C1832" s="63">
        <f>Ustawienia!$A$17&amp;""</f>
        <v/>
      </c>
      <c r="D1832" s="63" t="n">
        <v>4</v>
      </c>
      <c r="E1832" s="63">
        <f>IF('23'!F30="","",TRIM('23'!F30&amp;""))</f>
        <v/>
      </c>
      <c r="F1832" s="63">
        <f>IF('23'!G30="","",'23'!G30)</f>
        <v/>
      </c>
      <c r="G1832" s="63">
        <f>'23'!H30&amp;""</f>
        <v/>
      </c>
      <c r="H1832" s="63">
        <f>IF(OR(A1832="",F1832=""),"",F1832&amp;"|"&amp;A1832)</f>
        <v/>
      </c>
      <c r="I1832" s="63">
        <f>IF(AND(H1832&lt;&gt;"",OR('Historia wózka'!$B$4="",F1832='Historia wózka'!$B$4),A1832&gt;='Historia wózka'!$B$5,A1832&lt;='Historia wózka'!$B$6),A1832+0.8+(5000-ROW())/10000000,0)</f>
        <v/>
      </c>
      <c r="J1832" s="63">
        <f>Ustawienia!$B$9&amp;""</f>
        <v/>
      </c>
      <c r="K1832" s="63">
        <f>IF(H1832="","",COUNTIFS('Zgłoszenia'!$B$5:$B$504,F1832,'Zgłoszenia'!$D$5:$D$504,"&gt;="&amp;A1832,'Zgłoszenia'!$D$5:$D$504,"&lt;="&amp;(A1832+1)))</f>
        <v/>
      </c>
      <c r="L1832" s="63">
        <f>IF(OR(H1832="",K1832=0),"—",IF(ISNUMBER(MATCH(H1832,'Zgłoszenia'!$S$5:$S$504,0)),RIGHT("0"&amp;DAY(A1832),2)&amp;"."&amp;RIGHT("0"&amp;MONTH(A1832),2)&amp;"."&amp;YEAR(A1832)&amp;": "&amp;INDEX('Zgłoszenia'!$H$5:$H$504,MATCH(H1832,'Zgłoszenia'!$S$5:$S$504,0)),RIGHT("0"&amp;DAY((A1832+1)),2)&amp;"."&amp;RIGHT("0"&amp;MONTH((A1832+1)),2)&amp;"."&amp;YEAR((A1832+1))&amp;": "&amp;INDEX('Zgłoszenia'!$H$5:$H$504,MATCH(F1832&amp;"|"&amp;(A1832+1),'Zgłoszenia'!$S$5:$S$504,0)))&amp;IF(K1832&gt;1," (+"&amp;(K1832-1)&amp;")",""))</f>
        <v/>
      </c>
      <c r="M1832" s="63" t="n">
        <v>23</v>
      </c>
      <c r="N1832" s="2" t="n"/>
      <c r="O1832" s="2" t="n"/>
    </row>
    <row r="1833">
      <c r="A1833" s="62">
        <f>IF('23'!$C$1="","",'23'!$C$1)</f>
        <v/>
      </c>
      <c r="B1833" s="63">
        <f>Ustawienia!$A$9&amp;""</f>
        <v/>
      </c>
      <c r="C1833" s="63">
        <f>Ustawienia!$A$18&amp;""</f>
        <v/>
      </c>
      <c r="D1833" s="63" t="n">
        <v>1</v>
      </c>
      <c r="E1833" s="63">
        <f>IF('23'!F32="","",TRIM('23'!F32&amp;""))</f>
        <v/>
      </c>
      <c r="F1833" s="63">
        <f>IF('23'!G32="","",'23'!G32)</f>
        <v/>
      </c>
      <c r="G1833" s="63">
        <f>'23'!H32&amp;""</f>
        <v/>
      </c>
      <c r="H1833" s="63">
        <f>IF(OR(A1833="",F1833=""),"",F1833&amp;"|"&amp;A1833)</f>
        <v/>
      </c>
      <c r="I1833" s="63">
        <f>IF(AND(H1833&lt;&gt;"",OR('Historia wózka'!$B$4="",F1833='Historia wózka'!$B$4),A1833&gt;='Historia wózka'!$B$5,A1833&lt;='Historia wózka'!$B$6),A1833+0.8+(5000-ROW())/10000000,0)</f>
        <v/>
      </c>
      <c r="J1833" s="63">
        <f>Ustawienia!$B$9&amp;""</f>
        <v/>
      </c>
      <c r="K1833" s="63">
        <f>IF(H1833="","",COUNTIFS('Zgłoszenia'!$B$5:$B$504,F1833,'Zgłoszenia'!$D$5:$D$504,"&gt;="&amp;A1833,'Zgłoszenia'!$D$5:$D$504,"&lt;="&amp;(A1833+1)))</f>
        <v/>
      </c>
      <c r="L1833" s="63">
        <f>IF(OR(H1833="",K1833=0),"—",IF(ISNUMBER(MATCH(H1833,'Zgłoszenia'!$S$5:$S$504,0)),RIGHT("0"&amp;DAY(A1833),2)&amp;"."&amp;RIGHT("0"&amp;MONTH(A1833),2)&amp;"."&amp;YEAR(A1833)&amp;": "&amp;INDEX('Zgłoszenia'!$H$5:$H$504,MATCH(H1833,'Zgłoszenia'!$S$5:$S$504,0)),RIGHT("0"&amp;DAY((A1833+1)),2)&amp;"."&amp;RIGHT("0"&amp;MONTH((A1833+1)),2)&amp;"."&amp;YEAR((A1833+1))&amp;": "&amp;INDEX('Zgłoszenia'!$H$5:$H$504,MATCH(F1833&amp;"|"&amp;(A1833+1),'Zgłoszenia'!$S$5:$S$504,0)))&amp;IF(K1833&gt;1," (+"&amp;(K1833-1)&amp;")",""))</f>
        <v/>
      </c>
      <c r="M1833" s="63" t="n">
        <v>23</v>
      </c>
      <c r="N1833" s="2" t="n"/>
      <c r="O1833" s="2" t="n"/>
    </row>
    <row r="1834">
      <c r="A1834" s="62">
        <f>IF('23'!$C$1="","",'23'!$C$1)</f>
        <v/>
      </c>
      <c r="B1834" s="63">
        <f>Ustawienia!$A$9&amp;""</f>
        <v/>
      </c>
      <c r="C1834" s="63">
        <f>Ustawienia!$A$18&amp;""</f>
        <v/>
      </c>
      <c r="D1834" s="63" t="n">
        <v>2</v>
      </c>
      <c r="E1834" s="63">
        <f>IF('23'!F33="","",TRIM('23'!F33&amp;""))</f>
        <v/>
      </c>
      <c r="F1834" s="63">
        <f>IF('23'!G33="","",'23'!G33)</f>
        <v/>
      </c>
      <c r="G1834" s="63">
        <f>'23'!H33&amp;""</f>
        <v/>
      </c>
      <c r="H1834" s="63">
        <f>IF(OR(A1834="",F1834=""),"",F1834&amp;"|"&amp;A1834)</f>
        <v/>
      </c>
      <c r="I1834" s="63">
        <f>IF(AND(H1834&lt;&gt;"",OR('Historia wózka'!$B$4="",F1834='Historia wózka'!$B$4),A1834&gt;='Historia wózka'!$B$5,A1834&lt;='Historia wózka'!$B$6),A1834+0.8+(5000-ROW())/10000000,0)</f>
        <v/>
      </c>
      <c r="J1834" s="63">
        <f>Ustawienia!$B$9&amp;""</f>
        <v/>
      </c>
      <c r="K1834" s="63">
        <f>IF(H1834="","",COUNTIFS('Zgłoszenia'!$B$5:$B$504,F1834,'Zgłoszenia'!$D$5:$D$504,"&gt;="&amp;A1834,'Zgłoszenia'!$D$5:$D$504,"&lt;="&amp;(A1834+1)))</f>
        <v/>
      </c>
      <c r="L1834" s="63">
        <f>IF(OR(H1834="",K1834=0),"—",IF(ISNUMBER(MATCH(H1834,'Zgłoszenia'!$S$5:$S$504,0)),RIGHT("0"&amp;DAY(A1834),2)&amp;"."&amp;RIGHT("0"&amp;MONTH(A1834),2)&amp;"."&amp;YEAR(A1834)&amp;": "&amp;INDEX('Zgłoszenia'!$H$5:$H$504,MATCH(H1834,'Zgłoszenia'!$S$5:$S$504,0)),RIGHT("0"&amp;DAY((A1834+1)),2)&amp;"."&amp;RIGHT("0"&amp;MONTH((A1834+1)),2)&amp;"."&amp;YEAR((A1834+1))&amp;": "&amp;INDEX('Zgłoszenia'!$H$5:$H$504,MATCH(F1834&amp;"|"&amp;(A1834+1),'Zgłoszenia'!$S$5:$S$504,0)))&amp;IF(K1834&gt;1," (+"&amp;(K1834-1)&amp;")",""))</f>
        <v/>
      </c>
      <c r="M1834" s="63" t="n">
        <v>23</v>
      </c>
      <c r="N1834" s="2" t="n"/>
      <c r="O1834" s="2" t="n"/>
    </row>
    <row r="1835">
      <c r="A1835" s="62">
        <f>IF('23'!$C$1="","",'23'!$C$1)</f>
        <v/>
      </c>
      <c r="B1835" s="63">
        <f>Ustawienia!$A$9&amp;""</f>
        <v/>
      </c>
      <c r="C1835" s="63">
        <f>Ustawienia!$A$18&amp;""</f>
        <v/>
      </c>
      <c r="D1835" s="63" t="n">
        <v>3</v>
      </c>
      <c r="E1835" s="63">
        <f>IF('23'!F34="","",TRIM('23'!F34&amp;""))</f>
        <v/>
      </c>
      <c r="F1835" s="63">
        <f>IF('23'!G34="","",'23'!G34)</f>
        <v/>
      </c>
      <c r="G1835" s="63">
        <f>'23'!H34&amp;""</f>
        <v/>
      </c>
      <c r="H1835" s="63">
        <f>IF(OR(A1835="",F1835=""),"",F1835&amp;"|"&amp;A1835)</f>
        <v/>
      </c>
      <c r="I1835" s="63">
        <f>IF(AND(H1835&lt;&gt;"",OR('Historia wózka'!$B$4="",F1835='Historia wózka'!$B$4),A1835&gt;='Historia wózka'!$B$5,A1835&lt;='Historia wózka'!$B$6),A1835+0.8+(5000-ROW())/10000000,0)</f>
        <v/>
      </c>
      <c r="J1835" s="63">
        <f>Ustawienia!$B$9&amp;""</f>
        <v/>
      </c>
      <c r="K1835" s="63">
        <f>IF(H1835="","",COUNTIFS('Zgłoszenia'!$B$5:$B$504,F1835,'Zgłoszenia'!$D$5:$D$504,"&gt;="&amp;A1835,'Zgłoszenia'!$D$5:$D$504,"&lt;="&amp;(A1835+1)))</f>
        <v/>
      </c>
      <c r="L1835" s="63">
        <f>IF(OR(H1835="",K1835=0),"—",IF(ISNUMBER(MATCH(H1835,'Zgłoszenia'!$S$5:$S$504,0)),RIGHT("0"&amp;DAY(A1835),2)&amp;"."&amp;RIGHT("0"&amp;MONTH(A1835),2)&amp;"."&amp;YEAR(A1835)&amp;": "&amp;INDEX('Zgłoszenia'!$H$5:$H$504,MATCH(H1835,'Zgłoszenia'!$S$5:$S$504,0)),RIGHT("0"&amp;DAY((A1835+1)),2)&amp;"."&amp;RIGHT("0"&amp;MONTH((A1835+1)),2)&amp;"."&amp;YEAR((A1835+1))&amp;": "&amp;INDEX('Zgłoszenia'!$H$5:$H$504,MATCH(F1835&amp;"|"&amp;(A1835+1),'Zgłoszenia'!$S$5:$S$504,0)))&amp;IF(K1835&gt;1," (+"&amp;(K1835-1)&amp;")",""))</f>
        <v/>
      </c>
      <c r="M1835" s="63" t="n">
        <v>23</v>
      </c>
      <c r="N1835" s="2" t="n"/>
      <c r="O1835" s="2" t="n"/>
    </row>
    <row r="1836">
      <c r="A1836" s="62">
        <f>IF('23'!$C$1="","",'23'!$C$1)</f>
        <v/>
      </c>
      <c r="B1836" s="63">
        <f>Ustawienia!$A$9&amp;""</f>
        <v/>
      </c>
      <c r="C1836" s="63">
        <f>Ustawienia!$A$18&amp;""</f>
        <v/>
      </c>
      <c r="D1836" s="63" t="n">
        <v>4</v>
      </c>
      <c r="E1836" s="63">
        <f>IF('23'!F35="","",TRIM('23'!F35&amp;""))</f>
        <v/>
      </c>
      <c r="F1836" s="63">
        <f>IF('23'!G35="","",'23'!G35)</f>
        <v/>
      </c>
      <c r="G1836" s="63">
        <f>'23'!H35&amp;""</f>
        <v/>
      </c>
      <c r="H1836" s="63">
        <f>IF(OR(A1836="",F1836=""),"",F1836&amp;"|"&amp;A1836)</f>
        <v/>
      </c>
      <c r="I1836" s="63">
        <f>IF(AND(H1836&lt;&gt;"",OR('Historia wózka'!$B$4="",F1836='Historia wózka'!$B$4),A1836&gt;='Historia wózka'!$B$5,A1836&lt;='Historia wózka'!$B$6),A1836+0.8+(5000-ROW())/10000000,0)</f>
        <v/>
      </c>
      <c r="J1836" s="63">
        <f>Ustawienia!$B$9&amp;""</f>
        <v/>
      </c>
      <c r="K1836" s="63">
        <f>IF(H1836="","",COUNTIFS('Zgłoszenia'!$B$5:$B$504,F1836,'Zgłoszenia'!$D$5:$D$504,"&gt;="&amp;A1836,'Zgłoszenia'!$D$5:$D$504,"&lt;="&amp;(A1836+1)))</f>
        <v/>
      </c>
      <c r="L1836" s="63">
        <f>IF(OR(H1836="",K1836=0),"—",IF(ISNUMBER(MATCH(H1836,'Zgłoszenia'!$S$5:$S$504,0)),RIGHT("0"&amp;DAY(A1836),2)&amp;"."&amp;RIGHT("0"&amp;MONTH(A1836),2)&amp;"."&amp;YEAR(A1836)&amp;": "&amp;INDEX('Zgłoszenia'!$H$5:$H$504,MATCH(H1836,'Zgłoszenia'!$S$5:$S$504,0)),RIGHT("0"&amp;DAY((A1836+1)),2)&amp;"."&amp;RIGHT("0"&amp;MONTH((A1836+1)),2)&amp;"."&amp;YEAR((A1836+1))&amp;": "&amp;INDEX('Zgłoszenia'!$H$5:$H$504,MATCH(F1836&amp;"|"&amp;(A1836+1),'Zgłoszenia'!$S$5:$S$504,0)))&amp;IF(K1836&gt;1," (+"&amp;(K1836-1)&amp;")",""))</f>
        <v/>
      </c>
      <c r="M1836" s="63" t="n">
        <v>23</v>
      </c>
      <c r="N1836" s="2" t="n"/>
      <c r="O1836" s="2" t="n"/>
    </row>
    <row r="1837">
      <c r="A1837" s="62">
        <f>IF('23'!$C$1="","",'23'!$C$1)</f>
        <v/>
      </c>
      <c r="B1837" s="63">
        <f>Ustawienia!$A$9&amp;""</f>
        <v/>
      </c>
      <c r="C1837" s="63">
        <f>Ustawienia!$A$18&amp;""</f>
        <v/>
      </c>
      <c r="D1837" s="63" t="n">
        <v>5</v>
      </c>
      <c r="E1837" s="63">
        <f>IF('23'!F36="","",TRIM('23'!F36&amp;""))</f>
        <v/>
      </c>
      <c r="F1837" s="63">
        <f>IF('23'!G36="","",'23'!G36)</f>
        <v/>
      </c>
      <c r="G1837" s="63">
        <f>'23'!H36&amp;""</f>
        <v/>
      </c>
      <c r="H1837" s="63">
        <f>IF(OR(A1837="",F1837=""),"",F1837&amp;"|"&amp;A1837)</f>
        <v/>
      </c>
      <c r="I1837" s="63">
        <f>IF(AND(H1837&lt;&gt;"",OR('Historia wózka'!$B$4="",F1837='Historia wózka'!$B$4),A1837&gt;='Historia wózka'!$B$5,A1837&lt;='Historia wózka'!$B$6),A1837+0.8+(5000-ROW())/10000000,0)</f>
        <v/>
      </c>
      <c r="J1837" s="63">
        <f>Ustawienia!$B$9&amp;""</f>
        <v/>
      </c>
      <c r="K1837" s="63">
        <f>IF(H1837="","",COUNTIFS('Zgłoszenia'!$B$5:$B$504,F1837,'Zgłoszenia'!$D$5:$D$504,"&gt;="&amp;A1837,'Zgłoszenia'!$D$5:$D$504,"&lt;="&amp;(A1837+1)))</f>
        <v/>
      </c>
      <c r="L1837" s="63">
        <f>IF(OR(H1837="",K1837=0),"—",IF(ISNUMBER(MATCH(H1837,'Zgłoszenia'!$S$5:$S$504,0)),RIGHT("0"&amp;DAY(A1837),2)&amp;"."&amp;RIGHT("0"&amp;MONTH(A1837),2)&amp;"."&amp;YEAR(A1837)&amp;": "&amp;INDEX('Zgłoszenia'!$H$5:$H$504,MATCH(H1837,'Zgłoszenia'!$S$5:$S$504,0)),RIGHT("0"&amp;DAY((A1837+1)),2)&amp;"."&amp;RIGHT("0"&amp;MONTH((A1837+1)),2)&amp;"."&amp;YEAR((A1837+1))&amp;": "&amp;INDEX('Zgłoszenia'!$H$5:$H$504,MATCH(F1837&amp;"|"&amp;(A1837+1),'Zgłoszenia'!$S$5:$S$504,0)))&amp;IF(K1837&gt;1," (+"&amp;(K1837-1)&amp;")",""))</f>
        <v/>
      </c>
      <c r="M1837" s="63" t="n">
        <v>23</v>
      </c>
      <c r="N1837" s="2" t="n"/>
      <c r="O1837" s="2" t="n"/>
    </row>
    <row r="1838">
      <c r="A1838" s="62">
        <f>IF('23'!$C$1="","",'23'!$C$1)</f>
        <v/>
      </c>
      <c r="B1838" s="63">
        <f>Ustawienia!$A$10&amp;""</f>
        <v/>
      </c>
      <c r="C1838" s="63">
        <f>Ustawienia!$A$14&amp;""</f>
        <v/>
      </c>
      <c r="D1838" s="63" t="n">
        <v>1</v>
      </c>
      <c r="E1838" s="63">
        <f>IF('23'!J6="","",TRIM('23'!J6&amp;""))</f>
        <v/>
      </c>
      <c r="F1838" s="63">
        <f>IF('23'!K6="","",'23'!K6)</f>
        <v/>
      </c>
      <c r="G1838" s="63">
        <f>'23'!L6&amp;""</f>
        <v/>
      </c>
      <c r="H1838" s="63">
        <f>IF(OR(A1838="",F1838=""),"",F1838&amp;"|"&amp;A1838)</f>
        <v/>
      </c>
      <c r="I1838" s="63">
        <f>IF(AND(H1838&lt;&gt;"",OR('Historia wózka'!$B$4="",F1838='Historia wózka'!$B$4),A1838&gt;='Historia wózka'!$B$5,A1838&lt;='Historia wózka'!$B$6),A1838+0.7+(5000-ROW())/10000000,0)</f>
        <v/>
      </c>
      <c r="J1838" s="63">
        <f>Ustawienia!$B$10&amp;""</f>
        <v/>
      </c>
      <c r="K1838" s="63">
        <f>IF(H1838="","",COUNTIFS('Zgłoszenia'!$B$5:$B$504,F1838,'Zgłoszenia'!$D$5:$D$504,"&gt;="&amp;A1838,'Zgłoszenia'!$D$5:$D$504,"&lt;="&amp;(A1838+1)))</f>
        <v/>
      </c>
      <c r="L1838" s="63">
        <f>IF(OR(H1838="",K1838=0),"—",IF(ISNUMBER(MATCH(H1838,'Zgłoszenia'!$S$5:$S$504,0)),RIGHT("0"&amp;DAY(A1838),2)&amp;"."&amp;RIGHT("0"&amp;MONTH(A1838),2)&amp;"."&amp;YEAR(A1838)&amp;": "&amp;INDEX('Zgłoszenia'!$H$5:$H$504,MATCH(H1838,'Zgłoszenia'!$S$5:$S$504,0)),RIGHT("0"&amp;DAY((A1838+1)),2)&amp;"."&amp;RIGHT("0"&amp;MONTH((A1838+1)),2)&amp;"."&amp;YEAR((A1838+1))&amp;": "&amp;INDEX('Zgłoszenia'!$H$5:$H$504,MATCH(F1838&amp;"|"&amp;(A1838+1),'Zgłoszenia'!$S$5:$S$504,0)))&amp;IF(K1838&gt;1," (+"&amp;(K1838-1)&amp;")",""))</f>
        <v/>
      </c>
      <c r="M1838" s="63" t="n">
        <v>23</v>
      </c>
      <c r="N1838" s="2" t="n"/>
      <c r="O1838" s="2" t="n"/>
    </row>
    <row r="1839">
      <c r="A1839" s="62">
        <f>IF('23'!$C$1="","",'23'!$C$1)</f>
        <v/>
      </c>
      <c r="B1839" s="63">
        <f>Ustawienia!$A$10&amp;""</f>
        <v/>
      </c>
      <c r="C1839" s="63">
        <f>Ustawienia!$A$14&amp;""</f>
        <v/>
      </c>
      <c r="D1839" s="63" t="n">
        <v>2</v>
      </c>
      <c r="E1839" s="63">
        <f>IF('23'!J7="","",TRIM('23'!J7&amp;""))</f>
        <v/>
      </c>
      <c r="F1839" s="63">
        <f>IF('23'!K7="","",'23'!K7)</f>
        <v/>
      </c>
      <c r="G1839" s="63">
        <f>'23'!L7&amp;""</f>
        <v/>
      </c>
      <c r="H1839" s="63">
        <f>IF(OR(A1839="",F1839=""),"",F1839&amp;"|"&amp;A1839)</f>
        <v/>
      </c>
      <c r="I1839" s="63">
        <f>IF(AND(H1839&lt;&gt;"",OR('Historia wózka'!$B$4="",F1839='Historia wózka'!$B$4),A1839&gt;='Historia wózka'!$B$5,A1839&lt;='Historia wózka'!$B$6),A1839+0.7+(5000-ROW())/10000000,0)</f>
        <v/>
      </c>
      <c r="J1839" s="63">
        <f>Ustawienia!$B$10&amp;""</f>
        <v/>
      </c>
      <c r="K1839" s="63">
        <f>IF(H1839="","",COUNTIFS('Zgłoszenia'!$B$5:$B$504,F1839,'Zgłoszenia'!$D$5:$D$504,"&gt;="&amp;A1839,'Zgłoszenia'!$D$5:$D$504,"&lt;="&amp;(A1839+1)))</f>
        <v/>
      </c>
      <c r="L1839" s="63">
        <f>IF(OR(H1839="",K1839=0),"—",IF(ISNUMBER(MATCH(H1839,'Zgłoszenia'!$S$5:$S$504,0)),RIGHT("0"&amp;DAY(A1839),2)&amp;"."&amp;RIGHT("0"&amp;MONTH(A1839),2)&amp;"."&amp;YEAR(A1839)&amp;": "&amp;INDEX('Zgłoszenia'!$H$5:$H$504,MATCH(H1839,'Zgłoszenia'!$S$5:$S$504,0)),RIGHT("0"&amp;DAY((A1839+1)),2)&amp;"."&amp;RIGHT("0"&amp;MONTH((A1839+1)),2)&amp;"."&amp;YEAR((A1839+1))&amp;": "&amp;INDEX('Zgłoszenia'!$H$5:$H$504,MATCH(F1839&amp;"|"&amp;(A1839+1),'Zgłoszenia'!$S$5:$S$504,0)))&amp;IF(K1839&gt;1," (+"&amp;(K1839-1)&amp;")",""))</f>
        <v/>
      </c>
      <c r="M1839" s="63" t="n">
        <v>23</v>
      </c>
      <c r="N1839" s="2" t="n"/>
      <c r="O1839" s="2" t="n"/>
    </row>
    <row r="1840">
      <c r="A1840" s="62">
        <f>IF('23'!$C$1="","",'23'!$C$1)</f>
        <v/>
      </c>
      <c r="B1840" s="63">
        <f>Ustawienia!$A$10&amp;""</f>
        <v/>
      </c>
      <c r="C1840" s="63">
        <f>Ustawienia!$A$14&amp;""</f>
        <v/>
      </c>
      <c r="D1840" s="63" t="n">
        <v>3</v>
      </c>
      <c r="E1840" s="63">
        <f>IF('23'!J8="","",TRIM('23'!J8&amp;""))</f>
        <v/>
      </c>
      <c r="F1840" s="63">
        <f>IF('23'!K8="","",'23'!K8)</f>
        <v/>
      </c>
      <c r="G1840" s="63">
        <f>'23'!L8&amp;""</f>
        <v/>
      </c>
      <c r="H1840" s="63">
        <f>IF(OR(A1840="",F1840=""),"",F1840&amp;"|"&amp;A1840)</f>
        <v/>
      </c>
      <c r="I1840" s="63">
        <f>IF(AND(H1840&lt;&gt;"",OR('Historia wózka'!$B$4="",F1840='Historia wózka'!$B$4),A1840&gt;='Historia wózka'!$B$5,A1840&lt;='Historia wózka'!$B$6),A1840+0.7+(5000-ROW())/10000000,0)</f>
        <v/>
      </c>
      <c r="J1840" s="63">
        <f>Ustawienia!$B$10&amp;""</f>
        <v/>
      </c>
      <c r="K1840" s="63">
        <f>IF(H1840="","",COUNTIFS('Zgłoszenia'!$B$5:$B$504,F1840,'Zgłoszenia'!$D$5:$D$504,"&gt;="&amp;A1840,'Zgłoszenia'!$D$5:$D$504,"&lt;="&amp;(A1840+1)))</f>
        <v/>
      </c>
      <c r="L1840" s="63">
        <f>IF(OR(H1840="",K1840=0),"—",IF(ISNUMBER(MATCH(H1840,'Zgłoszenia'!$S$5:$S$504,0)),RIGHT("0"&amp;DAY(A1840),2)&amp;"."&amp;RIGHT("0"&amp;MONTH(A1840),2)&amp;"."&amp;YEAR(A1840)&amp;": "&amp;INDEX('Zgłoszenia'!$H$5:$H$504,MATCH(H1840,'Zgłoszenia'!$S$5:$S$504,0)),RIGHT("0"&amp;DAY((A1840+1)),2)&amp;"."&amp;RIGHT("0"&amp;MONTH((A1840+1)),2)&amp;"."&amp;YEAR((A1840+1))&amp;": "&amp;INDEX('Zgłoszenia'!$H$5:$H$504,MATCH(F1840&amp;"|"&amp;(A1840+1),'Zgłoszenia'!$S$5:$S$504,0)))&amp;IF(K1840&gt;1," (+"&amp;(K1840-1)&amp;")",""))</f>
        <v/>
      </c>
      <c r="M1840" s="63" t="n">
        <v>23</v>
      </c>
      <c r="N1840" s="2" t="n"/>
      <c r="O1840" s="2" t="n"/>
    </row>
    <row r="1841">
      <c r="A1841" s="62">
        <f>IF('23'!$C$1="","",'23'!$C$1)</f>
        <v/>
      </c>
      <c r="B1841" s="63">
        <f>Ustawienia!$A$10&amp;""</f>
        <v/>
      </c>
      <c r="C1841" s="63">
        <f>Ustawienia!$A$14&amp;""</f>
        <v/>
      </c>
      <c r="D1841" s="63" t="n">
        <v>4</v>
      </c>
      <c r="E1841" s="63">
        <f>IF('23'!J9="","",TRIM('23'!J9&amp;""))</f>
        <v/>
      </c>
      <c r="F1841" s="63">
        <f>IF('23'!K9="","",'23'!K9)</f>
        <v/>
      </c>
      <c r="G1841" s="63">
        <f>'23'!L9&amp;""</f>
        <v/>
      </c>
      <c r="H1841" s="63">
        <f>IF(OR(A1841="",F1841=""),"",F1841&amp;"|"&amp;A1841)</f>
        <v/>
      </c>
      <c r="I1841" s="63">
        <f>IF(AND(H1841&lt;&gt;"",OR('Historia wózka'!$B$4="",F1841='Historia wózka'!$B$4),A1841&gt;='Historia wózka'!$B$5,A1841&lt;='Historia wózka'!$B$6),A1841+0.7+(5000-ROW())/10000000,0)</f>
        <v/>
      </c>
      <c r="J1841" s="63">
        <f>Ustawienia!$B$10&amp;""</f>
        <v/>
      </c>
      <c r="K1841" s="63">
        <f>IF(H1841="","",COUNTIFS('Zgłoszenia'!$B$5:$B$504,F1841,'Zgłoszenia'!$D$5:$D$504,"&gt;="&amp;A1841,'Zgłoszenia'!$D$5:$D$504,"&lt;="&amp;(A1841+1)))</f>
        <v/>
      </c>
      <c r="L1841" s="63">
        <f>IF(OR(H1841="",K1841=0),"—",IF(ISNUMBER(MATCH(H1841,'Zgłoszenia'!$S$5:$S$504,0)),RIGHT("0"&amp;DAY(A1841),2)&amp;"."&amp;RIGHT("0"&amp;MONTH(A1841),2)&amp;"."&amp;YEAR(A1841)&amp;": "&amp;INDEX('Zgłoszenia'!$H$5:$H$504,MATCH(H1841,'Zgłoszenia'!$S$5:$S$504,0)),RIGHT("0"&amp;DAY((A1841+1)),2)&amp;"."&amp;RIGHT("0"&amp;MONTH((A1841+1)),2)&amp;"."&amp;YEAR((A1841+1))&amp;": "&amp;INDEX('Zgłoszenia'!$H$5:$H$504,MATCH(F1841&amp;"|"&amp;(A1841+1),'Zgłoszenia'!$S$5:$S$504,0)))&amp;IF(K1841&gt;1," (+"&amp;(K1841-1)&amp;")",""))</f>
        <v/>
      </c>
      <c r="M1841" s="63" t="n">
        <v>23</v>
      </c>
      <c r="N1841" s="2" t="n"/>
      <c r="O1841" s="2" t="n"/>
    </row>
    <row r="1842">
      <c r="A1842" s="62">
        <f>IF('23'!$C$1="","",'23'!$C$1)</f>
        <v/>
      </c>
      <c r="B1842" s="63">
        <f>Ustawienia!$A$10&amp;""</f>
        <v/>
      </c>
      <c r="C1842" s="63">
        <f>Ustawienia!$A$14&amp;""</f>
        <v/>
      </c>
      <c r="D1842" s="63" t="n">
        <v>5</v>
      </c>
      <c r="E1842" s="63">
        <f>IF('23'!J10="","",TRIM('23'!J10&amp;""))</f>
        <v/>
      </c>
      <c r="F1842" s="63">
        <f>IF('23'!K10="","",'23'!K10)</f>
        <v/>
      </c>
      <c r="G1842" s="63">
        <f>'23'!L10&amp;""</f>
        <v/>
      </c>
      <c r="H1842" s="63">
        <f>IF(OR(A1842="",F1842=""),"",F1842&amp;"|"&amp;A1842)</f>
        <v/>
      </c>
      <c r="I1842" s="63">
        <f>IF(AND(H1842&lt;&gt;"",OR('Historia wózka'!$B$4="",F1842='Historia wózka'!$B$4),A1842&gt;='Historia wózka'!$B$5,A1842&lt;='Historia wózka'!$B$6),A1842+0.7+(5000-ROW())/10000000,0)</f>
        <v/>
      </c>
      <c r="J1842" s="63">
        <f>Ustawienia!$B$10&amp;""</f>
        <v/>
      </c>
      <c r="K1842" s="63">
        <f>IF(H1842="","",COUNTIFS('Zgłoszenia'!$B$5:$B$504,F1842,'Zgłoszenia'!$D$5:$D$504,"&gt;="&amp;A1842,'Zgłoszenia'!$D$5:$D$504,"&lt;="&amp;(A1842+1)))</f>
        <v/>
      </c>
      <c r="L1842" s="63">
        <f>IF(OR(H1842="",K1842=0),"—",IF(ISNUMBER(MATCH(H1842,'Zgłoszenia'!$S$5:$S$504,0)),RIGHT("0"&amp;DAY(A1842),2)&amp;"."&amp;RIGHT("0"&amp;MONTH(A1842),2)&amp;"."&amp;YEAR(A1842)&amp;": "&amp;INDEX('Zgłoszenia'!$H$5:$H$504,MATCH(H1842,'Zgłoszenia'!$S$5:$S$504,0)),RIGHT("0"&amp;DAY((A1842+1)),2)&amp;"."&amp;RIGHT("0"&amp;MONTH((A1842+1)),2)&amp;"."&amp;YEAR((A1842+1))&amp;": "&amp;INDEX('Zgłoszenia'!$H$5:$H$504,MATCH(F1842&amp;"|"&amp;(A1842+1),'Zgłoszenia'!$S$5:$S$504,0)))&amp;IF(K1842&gt;1," (+"&amp;(K1842-1)&amp;")",""))</f>
        <v/>
      </c>
      <c r="M1842" s="63" t="n">
        <v>23</v>
      </c>
      <c r="N1842" s="2" t="n"/>
      <c r="O1842" s="2" t="n"/>
    </row>
    <row r="1843">
      <c r="A1843" s="62">
        <f>IF('23'!$C$1="","",'23'!$C$1)</f>
        <v/>
      </c>
      <c r="B1843" s="63">
        <f>Ustawienia!$A$10&amp;""</f>
        <v/>
      </c>
      <c r="C1843" s="63">
        <f>Ustawienia!$A$14&amp;""</f>
        <v/>
      </c>
      <c r="D1843" s="63" t="n">
        <v>6</v>
      </c>
      <c r="E1843" s="63">
        <f>IF('23'!J11="","",TRIM('23'!J11&amp;""))</f>
        <v/>
      </c>
      <c r="F1843" s="63">
        <f>IF('23'!K11="","",'23'!K11)</f>
        <v/>
      </c>
      <c r="G1843" s="63">
        <f>'23'!L11&amp;""</f>
        <v/>
      </c>
      <c r="H1843" s="63">
        <f>IF(OR(A1843="",F1843=""),"",F1843&amp;"|"&amp;A1843)</f>
        <v/>
      </c>
      <c r="I1843" s="63">
        <f>IF(AND(H1843&lt;&gt;"",OR('Historia wózka'!$B$4="",F1843='Historia wózka'!$B$4),A1843&gt;='Historia wózka'!$B$5,A1843&lt;='Historia wózka'!$B$6),A1843+0.7+(5000-ROW())/10000000,0)</f>
        <v/>
      </c>
      <c r="J1843" s="63">
        <f>Ustawienia!$B$10&amp;""</f>
        <v/>
      </c>
      <c r="K1843" s="63">
        <f>IF(H1843="","",COUNTIFS('Zgłoszenia'!$B$5:$B$504,F1843,'Zgłoszenia'!$D$5:$D$504,"&gt;="&amp;A1843,'Zgłoszenia'!$D$5:$D$504,"&lt;="&amp;(A1843+1)))</f>
        <v/>
      </c>
      <c r="L1843" s="63">
        <f>IF(OR(H1843="",K1843=0),"—",IF(ISNUMBER(MATCH(H1843,'Zgłoszenia'!$S$5:$S$504,0)),RIGHT("0"&amp;DAY(A1843),2)&amp;"."&amp;RIGHT("0"&amp;MONTH(A1843),2)&amp;"."&amp;YEAR(A1843)&amp;": "&amp;INDEX('Zgłoszenia'!$H$5:$H$504,MATCH(H1843,'Zgłoszenia'!$S$5:$S$504,0)),RIGHT("0"&amp;DAY((A1843+1)),2)&amp;"."&amp;RIGHT("0"&amp;MONTH((A1843+1)),2)&amp;"."&amp;YEAR((A1843+1))&amp;": "&amp;INDEX('Zgłoszenia'!$H$5:$H$504,MATCH(F1843&amp;"|"&amp;(A1843+1),'Zgłoszenia'!$S$5:$S$504,0)))&amp;IF(K1843&gt;1," (+"&amp;(K1843-1)&amp;")",""))</f>
        <v/>
      </c>
      <c r="M1843" s="63" t="n">
        <v>23</v>
      </c>
      <c r="N1843" s="2" t="n"/>
      <c r="O1843" s="2" t="n"/>
    </row>
    <row r="1844">
      <c r="A1844" s="62">
        <f>IF('23'!$C$1="","",'23'!$C$1)</f>
        <v/>
      </c>
      <c r="B1844" s="63">
        <f>Ustawienia!$A$10&amp;""</f>
        <v/>
      </c>
      <c r="C1844" s="63">
        <f>Ustawienia!$A$15&amp;""</f>
        <v/>
      </c>
      <c r="D1844" s="63" t="n">
        <v>1</v>
      </c>
      <c r="E1844" s="63">
        <f>IF('23'!J13="","",TRIM('23'!J13&amp;""))</f>
        <v/>
      </c>
      <c r="F1844" s="63">
        <f>IF('23'!K13="","",'23'!K13)</f>
        <v/>
      </c>
      <c r="G1844" s="63">
        <f>'23'!L13&amp;""</f>
        <v/>
      </c>
      <c r="H1844" s="63">
        <f>IF(OR(A1844="",F1844=""),"",F1844&amp;"|"&amp;A1844)</f>
        <v/>
      </c>
      <c r="I1844" s="63">
        <f>IF(AND(H1844&lt;&gt;"",OR('Historia wózka'!$B$4="",F1844='Historia wózka'!$B$4),A1844&gt;='Historia wózka'!$B$5,A1844&lt;='Historia wózka'!$B$6),A1844+0.7+(5000-ROW())/10000000,0)</f>
        <v/>
      </c>
      <c r="J1844" s="63">
        <f>Ustawienia!$B$10&amp;""</f>
        <v/>
      </c>
      <c r="K1844" s="63">
        <f>IF(H1844="","",COUNTIFS('Zgłoszenia'!$B$5:$B$504,F1844,'Zgłoszenia'!$D$5:$D$504,"&gt;="&amp;A1844,'Zgłoszenia'!$D$5:$D$504,"&lt;="&amp;(A1844+1)))</f>
        <v/>
      </c>
      <c r="L1844" s="63">
        <f>IF(OR(H1844="",K1844=0),"—",IF(ISNUMBER(MATCH(H1844,'Zgłoszenia'!$S$5:$S$504,0)),RIGHT("0"&amp;DAY(A1844),2)&amp;"."&amp;RIGHT("0"&amp;MONTH(A1844),2)&amp;"."&amp;YEAR(A1844)&amp;": "&amp;INDEX('Zgłoszenia'!$H$5:$H$504,MATCH(H1844,'Zgłoszenia'!$S$5:$S$504,0)),RIGHT("0"&amp;DAY((A1844+1)),2)&amp;"."&amp;RIGHT("0"&amp;MONTH((A1844+1)),2)&amp;"."&amp;YEAR((A1844+1))&amp;": "&amp;INDEX('Zgłoszenia'!$H$5:$H$504,MATCH(F1844&amp;"|"&amp;(A1844+1),'Zgłoszenia'!$S$5:$S$504,0)))&amp;IF(K1844&gt;1," (+"&amp;(K1844-1)&amp;")",""))</f>
        <v/>
      </c>
      <c r="M1844" s="63" t="n">
        <v>23</v>
      </c>
      <c r="N1844" s="2" t="n"/>
      <c r="O1844" s="2" t="n"/>
    </row>
    <row r="1845">
      <c r="A1845" s="62">
        <f>IF('23'!$C$1="","",'23'!$C$1)</f>
        <v/>
      </c>
      <c r="B1845" s="63">
        <f>Ustawienia!$A$10&amp;""</f>
        <v/>
      </c>
      <c r="C1845" s="63">
        <f>Ustawienia!$A$15&amp;""</f>
        <v/>
      </c>
      <c r="D1845" s="63" t="n">
        <v>2</v>
      </c>
      <c r="E1845" s="63">
        <f>IF('23'!J14="","",TRIM('23'!J14&amp;""))</f>
        <v/>
      </c>
      <c r="F1845" s="63">
        <f>IF('23'!K14="","",'23'!K14)</f>
        <v/>
      </c>
      <c r="G1845" s="63">
        <f>'23'!L14&amp;""</f>
        <v/>
      </c>
      <c r="H1845" s="63">
        <f>IF(OR(A1845="",F1845=""),"",F1845&amp;"|"&amp;A1845)</f>
        <v/>
      </c>
      <c r="I1845" s="63">
        <f>IF(AND(H1845&lt;&gt;"",OR('Historia wózka'!$B$4="",F1845='Historia wózka'!$B$4),A1845&gt;='Historia wózka'!$B$5,A1845&lt;='Historia wózka'!$B$6),A1845+0.7+(5000-ROW())/10000000,0)</f>
        <v/>
      </c>
      <c r="J1845" s="63">
        <f>Ustawienia!$B$10&amp;""</f>
        <v/>
      </c>
      <c r="K1845" s="63">
        <f>IF(H1845="","",COUNTIFS('Zgłoszenia'!$B$5:$B$504,F1845,'Zgłoszenia'!$D$5:$D$504,"&gt;="&amp;A1845,'Zgłoszenia'!$D$5:$D$504,"&lt;="&amp;(A1845+1)))</f>
        <v/>
      </c>
      <c r="L1845" s="63">
        <f>IF(OR(H1845="",K1845=0),"—",IF(ISNUMBER(MATCH(H1845,'Zgłoszenia'!$S$5:$S$504,0)),RIGHT("0"&amp;DAY(A1845),2)&amp;"."&amp;RIGHT("0"&amp;MONTH(A1845),2)&amp;"."&amp;YEAR(A1845)&amp;": "&amp;INDEX('Zgłoszenia'!$H$5:$H$504,MATCH(H1845,'Zgłoszenia'!$S$5:$S$504,0)),RIGHT("0"&amp;DAY((A1845+1)),2)&amp;"."&amp;RIGHT("0"&amp;MONTH((A1845+1)),2)&amp;"."&amp;YEAR((A1845+1))&amp;": "&amp;INDEX('Zgłoszenia'!$H$5:$H$504,MATCH(F1845&amp;"|"&amp;(A1845+1),'Zgłoszenia'!$S$5:$S$504,0)))&amp;IF(K1845&gt;1," (+"&amp;(K1845-1)&amp;")",""))</f>
        <v/>
      </c>
      <c r="M1845" s="63" t="n">
        <v>23</v>
      </c>
      <c r="N1845" s="2" t="n"/>
      <c r="O1845" s="2" t="n"/>
    </row>
    <row r="1846">
      <c r="A1846" s="62">
        <f>IF('23'!$C$1="","",'23'!$C$1)</f>
        <v/>
      </c>
      <c r="B1846" s="63">
        <f>Ustawienia!$A$10&amp;""</f>
        <v/>
      </c>
      <c r="C1846" s="63">
        <f>Ustawienia!$A$15&amp;""</f>
        <v/>
      </c>
      <c r="D1846" s="63" t="n">
        <v>3</v>
      </c>
      <c r="E1846" s="63">
        <f>IF('23'!J15="","",TRIM('23'!J15&amp;""))</f>
        <v/>
      </c>
      <c r="F1846" s="63">
        <f>IF('23'!K15="","",'23'!K15)</f>
        <v/>
      </c>
      <c r="G1846" s="63">
        <f>'23'!L15&amp;""</f>
        <v/>
      </c>
      <c r="H1846" s="63">
        <f>IF(OR(A1846="",F1846=""),"",F1846&amp;"|"&amp;A1846)</f>
        <v/>
      </c>
      <c r="I1846" s="63">
        <f>IF(AND(H1846&lt;&gt;"",OR('Historia wózka'!$B$4="",F1846='Historia wózka'!$B$4),A1846&gt;='Historia wózka'!$B$5,A1846&lt;='Historia wózka'!$B$6),A1846+0.7+(5000-ROW())/10000000,0)</f>
        <v/>
      </c>
      <c r="J1846" s="63">
        <f>Ustawienia!$B$10&amp;""</f>
        <v/>
      </c>
      <c r="K1846" s="63">
        <f>IF(H1846="","",COUNTIFS('Zgłoszenia'!$B$5:$B$504,F1846,'Zgłoszenia'!$D$5:$D$504,"&gt;="&amp;A1846,'Zgłoszenia'!$D$5:$D$504,"&lt;="&amp;(A1846+1)))</f>
        <v/>
      </c>
      <c r="L1846" s="63">
        <f>IF(OR(H1846="",K1846=0),"—",IF(ISNUMBER(MATCH(H1846,'Zgłoszenia'!$S$5:$S$504,0)),RIGHT("0"&amp;DAY(A1846),2)&amp;"."&amp;RIGHT("0"&amp;MONTH(A1846),2)&amp;"."&amp;YEAR(A1846)&amp;": "&amp;INDEX('Zgłoszenia'!$H$5:$H$504,MATCH(H1846,'Zgłoszenia'!$S$5:$S$504,0)),RIGHT("0"&amp;DAY((A1846+1)),2)&amp;"."&amp;RIGHT("0"&amp;MONTH((A1846+1)),2)&amp;"."&amp;YEAR((A1846+1))&amp;": "&amp;INDEX('Zgłoszenia'!$H$5:$H$504,MATCH(F1846&amp;"|"&amp;(A1846+1),'Zgłoszenia'!$S$5:$S$504,0)))&amp;IF(K1846&gt;1," (+"&amp;(K1846-1)&amp;")",""))</f>
        <v/>
      </c>
      <c r="M1846" s="63" t="n">
        <v>23</v>
      </c>
      <c r="N1846" s="2" t="n"/>
      <c r="O1846" s="2" t="n"/>
    </row>
    <row r="1847">
      <c r="A1847" s="62">
        <f>IF('23'!$C$1="","",'23'!$C$1)</f>
        <v/>
      </c>
      <c r="B1847" s="63">
        <f>Ustawienia!$A$10&amp;""</f>
        <v/>
      </c>
      <c r="C1847" s="63">
        <f>Ustawienia!$A$15&amp;""</f>
        <v/>
      </c>
      <c r="D1847" s="63" t="n">
        <v>4</v>
      </c>
      <c r="E1847" s="63">
        <f>IF('23'!J16="","",TRIM('23'!J16&amp;""))</f>
        <v/>
      </c>
      <c r="F1847" s="63">
        <f>IF('23'!K16="","",'23'!K16)</f>
        <v/>
      </c>
      <c r="G1847" s="63">
        <f>'23'!L16&amp;""</f>
        <v/>
      </c>
      <c r="H1847" s="63">
        <f>IF(OR(A1847="",F1847=""),"",F1847&amp;"|"&amp;A1847)</f>
        <v/>
      </c>
      <c r="I1847" s="63">
        <f>IF(AND(H1847&lt;&gt;"",OR('Historia wózka'!$B$4="",F1847='Historia wózka'!$B$4),A1847&gt;='Historia wózka'!$B$5,A1847&lt;='Historia wózka'!$B$6),A1847+0.7+(5000-ROW())/10000000,0)</f>
        <v/>
      </c>
      <c r="J1847" s="63">
        <f>Ustawienia!$B$10&amp;""</f>
        <v/>
      </c>
      <c r="K1847" s="63">
        <f>IF(H1847="","",COUNTIFS('Zgłoszenia'!$B$5:$B$504,F1847,'Zgłoszenia'!$D$5:$D$504,"&gt;="&amp;A1847,'Zgłoszenia'!$D$5:$D$504,"&lt;="&amp;(A1847+1)))</f>
        <v/>
      </c>
      <c r="L1847" s="63">
        <f>IF(OR(H1847="",K1847=0),"—",IF(ISNUMBER(MATCH(H1847,'Zgłoszenia'!$S$5:$S$504,0)),RIGHT("0"&amp;DAY(A1847),2)&amp;"."&amp;RIGHT("0"&amp;MONTH(A1847),2)&amp;"."&amp;YEAR(A1847)&amp;": "&amp;INDEX('Zgłoszenia'!$H$5:$H$504,MATCH(H1847,'Zgłoszenia'!$S$5:$S$504,0)),RIGHT("0"&amp;DAY((A1847+1)),2)&amp;"."&amp;RIGHT("0"&amp;MONTH((A1847+1)),2)&amp;"."&amp;YEAR((A1847+1))&amp;": "&amp;INDEX('Zgłoszenia'!$H$5:$H$504,MATCH(F1847&amp;"|"&amp;(A1847+1),'Zgłoszenia'!$S$5:$S$504,0)))&amp;IF(K1847&gt;1," (+"&amp;(K1847-1)&amp;")",""))</f>
        <v/>
      </c>
      <c r="M1847" s="63" t="n">
        <v>23</v>
      </c>
      <c r="N1847" s="2" t="n"/>
      <c r="O1847" s="2" t="n"/>
    </row>
    <row r="1848">
      <c r="A1848" s="62">
        <f>IF('23'!$C$1="","",'23'!$C$1)</f>
        <v/>
      </c>
      <c r="B1848" s="63">
        <f>Ustawienia!$A$10&amp;""</f>
        <v/>
      </c>
      <c r="C1848" s="63">
        <f>Ustawienia!$A$15&amp;""</f>
        <v/>
      </c>
      <c r="D1848" s="63" t="n">
        <v>5</v>
      </c>
      <c r="E1848" s="63">
        <f>IF('23'!J17="","",TRIM('23'!J17&amp;""))</f>
        <v/>
      </c>
      <c r="F1848" s="63">
        <f>IF('23'!K17="","",'23'!K17)</f>
        <v/>
      </c>
      <c r="G1848" s="63">
        <f>'23'!L17&amp;""</f>
        <v/>
      </c>
      <c r="H1848" s="63">
        <f>IF(OR(A1848="",F1848=""),"",F1848&amp;"|"&amp;A1848)</f>
        <v/>
      </c>
      <c r="I1848" s="63">
        <f>IF(AND(H1848&lt;&gt;"",OR('Historia wózka'!$B$4="",F1848='Historia wózka'!$B$4),A1848&gt;='Historia wózka'!$B$5,A1848&lt;='Historia wózka'!$B$6),A1848+0.7+(5000-ROW())/10000000,0)</f>
        <v/>
      </c>
      <c r="J1848" s="63">
        <f>Ustawienia!$B$10&amp;""</f>
        <v/>
      </c>
      <c r="K1848" s="63">
        <f>IF(H1848="","",COUNTIFS('Zgłoszenia'!$B$5:$B$504,F1848,'Zgłoszenia'!$D$5:$D$504,"&gt;="&amp;A1848,'Zgłoszenia'!$D$5:$D$504,"&lt;="&amp;(A1848+1)))</f>
        <v/>
      </c>
      <c r="L1848" s="63">
        <f>IF(OR(H1848="",K1848=0),"—",IF(ISNUMBER(MATCH(H1848,'Zgłoszenia'!$S$5:$S$504,0)),RIGHT("0"&amp;DAY(A1848),2)&amp;"."&amp;RIGHT("0"&amp;MONTH(A1848),2)&amp;"."&amp;YEAR(A1848)&amp;": "&amp;INDEX('Zgłoszenia'!$H$5:$H$504,MATCH(H1848,'Zgłoszenia'!$S$5:$S$504,0)),RIGHT("0"&amp;DAY((A1848+1)),2)&amp;"."&amp;RIGHT("0"&amp;MONTH((A1848+1)),2)&amp;"."&amp;YEAR((A1848+1))&amp;": "&amp;INDEX('Zgłoszenia'!$H$5:$H$504,MATCH(F1848&amp;"|"&amp;(A1848+1),'Zgłoszenia'!$S$5:$S$504,0)))&amp;IF(K1848&gt;1," (+"&amp;(K1848-1)&amp;")",""))</f>
        <v/>
      </c>
      <c r="M1848" s="63" t="n">
        <v>23</v>
      </c>
      <c r="N1848" s="2" t="n"/>
      <c r="O1848" s="2" t="n"/>
    </row>
    <row r="1849">
      <c r="A1849" s="62">
        <f>IF('23'!$C$1="","",'23'!$C$1)</f>
        <v/>
      </c>
      <c r="B1849" s="63">
        <f>Ustawienia!$A$10&amp;""</f>
        <v/>
      </c>
      <c r="C1849" s="63">
        <f>Ustawienia!$A$15&amp;""</f>
        <v/>
      </c>
      <c r="D1849" s="63" t="n">
        <v>6</v>
      </c>
      <c r="E1849" s="63">
        <f>IF('23'!J18="","",TRIM('23'!J18&amp;""))</f>
        <v/>
      </c>
      <c r="F1849" s="63">
        <f>IF('23'!K18="","",'23'!K18)</f>
        <v/>
      </c>
      <c r="G1849" s="63">
        <f>'23'!L18&amp;""</f>
        <v/>
      </c>
      <c r="H1849" s="63">
        <f>IF(OR(A1849="",F1849=""),"",F1849&amp;"|"&amp;A1849)</f>
        <v/>
      </c>
      <c r="I1849" s="63">
        <f>IF(AND(H1849&lt;&gt;"",OR('Historia wózka'!$B$4="",F1849='Historia wózka'!$B$4),A1849&gt;='Historia wózka'!$B$5,A1849&lt;='Historia wózka'!$B$6),A1849+0.7+(5000-ROW())/10000000,0)</f>
        <v/>
      </c>
      <c r="J1849" s="63">
        <f>Ustawienia!$B$10&amp;""</f>
        <v/>
      </c>
      <c r="K1849" s="63">
        <f>IF(H1849="","",COUNTIFS('Zgłoszenia'!$B$5:$B$504,F1849,'Zgłoszenia'!$D$5:$D$504,"&gt;="&amp;A1849,'Zgłoszenia'!$D$5:$D$504,"&lt;="&amp;(A1849+1)))</f>
        <v/>
      </c>
      <c r="L1849" s="63">
        <f>IF(OR(H1849="",K1849=0),"—",IF(ISNUMBER(MATCH(H1849,'Zgłoszenia'!$S$5:$S$504,0)),RIGHT("0"&amp;DAY(A1849),2)&amp;"."&amp;RIGHT("0"&amp;MONTH(A1849),2)&amp;"."&amp;YEAR(A1849)&amp;": "&amp;INDEX('Zgłoszenia'!$H$5:$H$504,MATCH(H1849,'Zgłoszenia'!$S$5:$S$504,0)),RIGHT("0"&amp;DAY((A1849+1)),2)&amp;"."&amp;RIGHT("0"&amp;MONTH((A1849+1)),2)&amp;"."&amp;YEAR((A1849+1))&amp;": "&amp;INDEX('Zgłoszenia'!$H$5:$H$504,MATCH(F1849&amp;"|"&amp;(A1849+1),'Zgłoszenia'!$S$5:$S$504,0)))&amp;IF(K1849&gt;1," (+"&amp;(K1849-1)&amp;")",""))</f>
        <v/>
      </c>
      <c r="M1849" s="63" t="n">
        <v>23</v>
      </c>
      <c r="N1849" s="2" t="n"/>
      <c r="O1849" s="2" t="n"/>
    </row>
    <row r="1850">
      <c r="A1850" s="62">
        <f>IF('23'!$C$1="","",'23'!$C$1)</f>
        <v/>
      </c>
      <c r="B1850" s="63">
        <f>Ustawienia!$A$10&amp;""</f>
        <v/>
      </c>
      <c r="C1850" s="63">
        <f>Ustawienia!$A$15&amp;""</f>
        <v/>
      </c>
      <c r="D1850" s="63" t="n">
        <v>7</v>
      </c>
      <c r="E1850" s="63">
        <f>IF('23'!J19="","",TRIM('23'!J19&amp;""))</f>
        <v/>
      </c>
      <c r="F1850" s="63">
        <f>IF('23'!K19="","",'23'!K19)</f>
        <v/>
      </c>
      <c r="G1850" s="63">
        <f>'23'!L19&amp;""</f>
        <v/>
      </c>
      <c r="H1850" s="63">
        <f>IF(OR(A1850="",F1850=""),"",F1850&amp;"|"&amp;A1850)</f>
        <v/>
      </c>
      <c r="I1850" s="63">
        <f>IF(AND(H1850&lt;&gt;"",OR('Historia wózka'!$B$4="",F1850='Historia wózka'!$B$4),A1850&gt;='Historia wózka'!$B$5,A1850&lt;='Historia wózka'!$B$6),A1850+0.7+(5000-ROW())/10000000,0)</f>
        <v/>
      </c>
      <c r="J1850" s="63">
        <f>Ustawienia!$B$10&amp;""</f>
        <v/>
      </c>
      <c r="K1850" s="63">
        <f>IF(H1850="","",COUNTIFS('Zgłoszenia'!$B$5:$B$504,F1850,'Zgłoszenia'!$D$5:$D$504,"&gt;="&amp;A1850,'Zgłoszenia'!$D$5:$D$504,"&lt;="&amp;(A1850+1)))</f>
        <v/>
      </c>
      <c r="L1850" s="63">
        <f>IF(OR(H1850="",K1850=0),"—",IF(ISNUMBER(MATCH(H1850,'Zgłoszenia'!$S$5:$S$504,0)),RIGHT("0"&amp;DAY(A1850),2)&amp;"."&amp;RIGHT("0"&amp;MONTH(A1850),2)&amp;"."&amp;YEAR(A1850)&amp;": "&amp;INDEX('Zgłoszenia'!$H$5:$H$504,MATCH(H1850,'Zgłoszenia'!$S$5:$S$504,0)),RIGHT("0"&amp;DAY((A1850+1)),2)&amp;"."&amp;RIGHT("0"&amp;MONTH((A1850+1)),2)&amp;"."&amp;YEAR((A1850+1))&amp;": "&amp;INDEX('Zgłoszenia'!$H$5:$H$504,MATCH(F1850&amp;"|"&amp;(A1850+1),'Zgłoszenia'!$S$5:$S$504,0)))&amp;IF(K1850&gt;1," (+"&amp;(K1850-1)&amp;")",""))</f>
        <v/>
      </c>
      <c r="M1850" s="63" t="n">
        <v>23</v>
      </c>
      <c r="N1850" s="2" t="n"/>
      <c r="O1850" s="2" t="n"/>
    </row>
    <row r="1851">
      <c r="A1851" s="62">
        <f>IF('23'!$C$1="","",'23'!$C$1)</f>
        <v/>
      </c>
      <c r="B1851" s="63">
        <f>Ustawienia!$A$10&amp;""</f>
        <v/>
      </c>
      <c r="C1851" s="63">
        <f>Ustawienia!$A$15&amp;""</f>
        <v/>
      </c>
      <c r="D1851" s="63" t="n">
        <v>8</v>
      </c>
      <c r="E1851" s="63">
        <f>IF('23'!J20="","",TRIM('23'!J20&amp;""))</f>
        <v/>
      </c>
      <c r="F1851" s="63">
        <f>IF('23'!K20="","",'23'!K20)</f>
        <v/>
      </c>
      <c r="G1851" s="63">
        <f>'23'!L20&amp;""</f>
        <v/>
      </c>
      <c r="H1851" s="63">
        <f>IF(OR(A1851="",F1851=""),"",F1851&amp;"|"&amp;A1851)</f>
        <v/>
      </c>
      <c r="I1851" s="63">
        <f>IF(AND(H1851&lt;&gt;"",OR('Historia wózka'!$B$4="",F1851='Historia wózka'!$B$4),A1851&gt;='Historia wózka'!$B$5,A1851&lt;='Historia wózka'!$B$6),A1851+0.7+(5000-ROW())/10000000,0)</f>
        <v/>
      </c>
      <c r="J1851" s="63">
        <f>Ustawienia!$B$10&amp;""</f>
        <v/>
      </c>
      <c r="K1851" s="63">
        <f>IF(H1851="","",COUNTIFS('Zgłoszenia'!$B$5:$B$504,F1851,'Zgłoszenia'!$D$5:$D$504,"&gt;="&amp;A1851,'Zgłoszenia'!$D$5:$D$504,"&lt;="&amp;(A1851+1)))</f>
        <v/>
      </c>
      <c r="L1851" s="63">
        <f>IF(OR(H1851="",K1851=0),"—",IF(ISNUMBER(MATCH(H1851,'Zgłoszenia'!$S$5:$S$504,0)),RIGHT("0"&amp;DAY(A1851),2)&amp;"."&amp;RIGHT("0"&amp;MONTH(A1851),2)&amp;"."&amp;YEAR(A1851)&amp;": "&amp;INDEX('Zgłoszenia'!$H$5:$H$504,MATCH(H1851,'Zgłoszenia'!$S$5:$S$504,0)),RIGHT("0"&amp;DAY((A1851+1)),2)&amp;"."&amp;RIGHT("0"&amp;MONTH((A1851+1)),2)&amp;"."&amp;YEAR((A1851+1))&amp;": "&amp;INDEX('Zgłoszenia'!$H$5:$H$504,MATCH(F1851&amp;"|"&amp;(A1851+1),'Zgłoszenia'!$S$5:$S$504,0)))&amp;IF(K1851&gt;1," (+"&amp;(K1851-1)&amp;")",""))</f>
        <v/>
      </c>
      <c r="M1851" s="63" t="n">
        <v>23</v>
      </c>
      <c r="N1851" s="2" t="n"/>
      <c r="O1851" s="2" t="n"/>
    </row>
    <row r="1852">
      <c r="A1852" s="62">
        <f>IF('23'!$C$1="","",'23'!$C$1)</f>
        <v/>
      </c>
      <c r="B1852" s="63">
        <f>Ustawienia!$A$10&amp;""</f>
        <v/>
      </c>
      <c r="C1852" s="63">
        <f>Ustawienia!$A$16&amp;""</f>
        <v/>
      </c>
      <c r="D1852" s="63" t="n">
        <v>1</v>
      </c>
      <c r="E1852" s="63">
        <f>IF('23'!J22="","",TRIM('23'!J22&amp;""))</f>
        <v/>
      </c>
      <c r="F1852" s="63">
        <f>IF('23'!K22="","",'23'!K22)</f>
        <v/>
      </c>
      <c r="G1852" s="63">
        <f>'23'!L22&amp;""</f>
        <v/>
      </c>
      <c r="H1852" s="63">
        <f>IF(OR(A1852="",F1852=""),"",F1852&amp;"|"&amp;A1852)</f>
        <v/>
      </c>
      <c r="I1852" s="63">
        <f>IF(AND(H1852&lt;&gt;"",OR('Historia wózka'!$B$4="",F1852='Historia wózka'!$B$4),A1852&gt;='Historia wózka'!$B$5,A1852&lt;='Historia wózka'!$B$6),A1852+0.7+(5000-ROW())/10000000,0)</f>
        <v/>
      </c>
      <c r="J1852" s="63">
        <f>Ustawienia!$B$10&amp;""</f>
        <v/>
      </c>
      <c r="K1852" s="63">
        <f>IF(H1852="","",COUNTIFS('Zgłoszenia'!$B$5:$B$504,F1852,'Zgłoszenia'!$D$5:$D$504,"&gt;="&amp;A1852,'Zgłoszenia'!$D$5:$D$504,"&lt;="&amp;(A1852+1)))</f>
        <v/>
      </c>
      <c r="L1852" s="63">
        <f>IF(OR(H1852="",K1852=0),"—",IF(ISNUMBER(MATCH(H1852,'Zgłoszenia'!$S$5:$S$504,0)),RIGHT("0"&amp;DAY(A1852),2)&amp;"."&amp;RIGHT("0"&amp;MONTH(A1852),2)&amp;"."&amp;YEAR(A1852)&amp;": "&amp;INDEX('Zgłoszenia'!$H$5:$H$504,MATCH(H1852,'Zgłoszenia'!$S$5:$S$504,0)),RIGHT("0"&amp;DAY((A1852+1)),2)&amp;"."&amp;RIGHT("0"&amp;MONTH((A1852+1)),2)&amp;"."&amp;YEAR((A1852+1))&amp;": "&amp;INDEX('Zgłoszenia'!$H$5:$H$504,MATCH(F1852&amp;"|"&amp;(A1852+1),'Zgłoszenia'!$S$5:$S$504,0)))&amp;IF(K1852&gt;1," (+"&amp;(K1852-1)&amp;")",""))</f>
        <v/>
      </c>
      <c r="M1852" s="63" t="n">
        <v>23</v>
      </c>
      <c r="N1852" s="2" t="n"/>
      <c r="O1852" s="2" t="n"/>
    </row>
    <row r="1853">
      <c r="A1853" s="62">
        <f>IF('23'!$C$1="","",'23'!$C$1)</f>
        <v/>
      </c>
      <c r="B1853" s="63">
        <f>Ustawienia!$A$10&amp;""</f>
        <v/>
      </c>
      <c r="C1853" s="63">
        <f>Ustawienia!$A$16&amp;""</f>
        <v/>
      </c>
      <c r="D1853" s="63" t="n">
        <v>2</v>
      </c>
      <c r="E1853" s="63">
        <f>IF('23'!J23="","",TRIM('23'!J23&amp;""))</f>
        <v/>
      </c>
      <c r="F1853" s="63">
        <f>IF('23'!K23="","",'23'!K23)</f>
        <v/>
      </c>
      <c r="G1853" s="63">
        <f>'23'!L23&amp;""</f>
        <v/>
      </c>
      <c r="H1853" s="63">
        <f>IF(OR(A1853="",F1853=""),"",F1853&amp;"|"&amp;A1853)</f>
        <v/>
      </c>
      <c r="I1853" s="63">
        <f>IF(AND(H1853&lt;&gt;"",OR('Historia wózka'!$B$4="",F1853='Historia wózka'!$B$4),A1853&gt;='Historia wózka'!$B$5,A1853&lt;='Historia wózka'!$B$6),A1853+0.7+(5000-ROW())/10000000,0)</f>
        <v/>
      </c>
      <c r="J1853" s="63">
        <f>Ustawienia!$B$10&amp;""</f>
        <v/>
      </c>
      <c r="K1853" s="63">
        <f>IF(H1853="","",COUNTIFS('Zgłoszenia'!$B$5:$B$504,F1853,'Zgłoszenia'!$D$5:$D$504,"&gt;="&amp;A1853,'Zgłoszenia'!$D$5:$D$504,"&lt;="&amp;(A1853+1)))</f>
        <v/>
      </c>
      <c r="L1853" s="63">
        <f>IF(OR(H1853="",K1853=0),"—",IF(ISNUMBER(MATCH(H1853,'Zgłoszenia'!$S$5:$S$504,0)),RIGHT("0"&amp;DAY(A1853),2)&amp;"."&amp;RIGHT("0"&amp;MONTH(A1853),2)&amp;"."&amp;YEAR(A1853)&amp;": "&amp;INDEX('Zgłoszenia'!$H$5:$H$504,MATCH(H1853,'Zgłoszenia'!$S$5:$S$504,0)),RIGHT("0"&amp;DAY((A1853+1)),2)&amp;"."&amp;RIGHT("0"&amp;MONTH((A1853+1)),2)&amp;"."&amp;YEAR((A1853+1))&amp;": "&amp;INDEX('Zgłoszenia'!$H$5:$H$504,MATCH(F1853&amp;"|"&amp;(A1853+1),'Zgłoszenia'!$S$5:$S$504,0)))&amp;IF(K1853&gt;1," (+"&amp;(K1853-1)&amp;")",""))</f>
        <v/>
      </c>
      <c r="M1853" s="63" t="n">
        <v>23</v>
      </c>
      <c r="N1853" s="2" t="n"/>
      <c r="O1853" s="2" t="n"/>
    </row>
    <row r="1854">
      <c r="A1854" s="62">
        <f>IF('23'!$C$1="","",'23'!$C$1)</f>
        <v/>
      </c>
      <c r="B1854" s="63">
        <f>Ustawienia!$A$10&amp;""</f>
        <v/>
      </c>
      <c r="C1854" s="63">
        <f>Ustawienia!$A$16&amp;""</f>
        <v/>
      </c>
      <c r="D1854" s="63" t="n">
        <v>3</v>
      </c>
      <c r="E1854" s="63">
        <f>IF('23'!J24="","",TRIM('23'!J24&amp;""))</f>
        <v/>
      </c>
      <c r="F1854" s="63">
        <f>IF('23'!K24="","",'23'!K24)</f>
        <v/>
      </c>
      <c r="G1854" s="63">
        <f>'23'!L24&amp;""</f>
        <v/>
      </c>
      <c r="H1854" s="63">
        <f>IF(OR(A1854="",F1854=""),"",F1854&amp;"|"&amp;A1854)</f>
        <v/>
      </c>
      <c r="I1854" s="63">
        <f>IF(AND(H1854&lt;&gt;"",OR('Historia wózka'!$B$4="",F1854='Historia wózka'!$B$4),A1854&gt;='Historia wózka'!$B$5,A1854&lt;='Historia wózka'!$B$6),A1854+0.7+(5000-ROW())/10000000,0)</f>
        <v/>
      </c>
      <c r="J1854" s="63">
        <f>Ustawienia!$B$10&amp;""</f>
        <v/>
      </c>
      <c r="K1854" s="63">
        <f>IF(H1854="","",COUNTIFS('Zgłoszenia'!$B$5:$B$504,F1854,'Zgłoszenia'!$D$5:$D$504,"&gt;="&amp;A1854,'Zgłoszenia'!$D$5:$D$504,"&lt;="&amp;(A1854+1)))</f>
        <v/>
      </c>
      <c r="L1854" s="63">
        <f>IF(OR(H1854="",K1854=0),"—",IF(ISNUMBER(MATCH(H1854,'Zgłoszenia'!$S$5:$S$504,0)),RIGHT("0"&amp;DAY(A1854),2)&amp;"."&amp;RIGHT("0"&amp;MONTH(A1854),2)&amp;"."&amp;YEAR(A1854)&amp;": "&amp;INDEX('Zgłoszenia'!$H$5:$H$504,MATCH(H1854,'Zgłoszenia'!$S$5:$S$504,0)),RIGHT("0"&amp;DAY((A1854+1)),2)&amp;"."&amp;RIGHT("0"&amp;MONTH((A1854+1)),2)&amp;"."&amp;YEAR((A1854+1))&amp;": "&amp;INDEX('Zgłoszenia'!$H$5:$H$504,MATCH(F1854&amp;"|"&amp;(A1854+1),'Zgłoszenia'!$S$5:$S$504,0)))&amp;IF(K1854&gt;1," (+"&amp;(K1854-1)&amp;")",""))</f>
        <v/>
      </c>
      <c r="M1854" s="63" t="n">
        <v>23</v>
      </c>
      <c r="N1854" s="2" t="n"/>
      <c r="O1854" s="2" t="n"/>
    </row>
    <row r="1855">
      <c r="A1855" s="62">
        <f>IF('23'!$C$1="","",'23'!$C$1)</f>
        <v/>
      </c>
      <c r="B1855" s="63">
        <f>Ustawienia!$A$10&amp;""</f>
        <v/>
      </c>
      <c r="C1855" s="63">
        <f>Ustawienia!$A$16&amp;""</f>
        <v/>
      </c>
      <c r="D1855" s="63" t="n">
        <v>4</v>
      </c>
      <c r="E1855" s="63">
        <f>IF('23'!J25="","",TRIM('23'!J25&amp;""))</f>
        <v/>
      </c>
      <c r="F1855" s="63">
        <f>IF('23'!K25="","",'23'!K25)</f>
        <v/>
      </c>
      <c r="G1855" s="63">
        <f>'23'!L25&amp;""</f>
        <v/>
      </c>
      <c r="H1855" s="63">
        <f>IF(OR(A1855="",F1855=""),"",F1855&amp;"|"&amp;A1855)</f>
        <v/>
      </c>
      <c r="I1855" s="63">
        <f>IF(AND(H1855&lt;&gt;"",OR('Historia wózka'!$B$4="",F1855='Historia wózka'!$B$4),A1855&gt;='Historia wózka'!$B$5,A1855&lt;='Historia wózka'!$B$6),A1855+0.7+(5000-ROW())/10000000,0)</f>
        <v/>
      </c>
      <c r="J1855" s="63">
        <f>Ustawienia!$B$10&amp;""</f>
        <v/>
      </c>
      <c r="K1855" s="63">
        <f>IF(H1855="","",COUNTIFS('Zgłoszenia'!$B$5:$B$504,F1855,'Zgłoszenia'!$D$5:$D$504,"&gt;="&amp;A1855,'Zgłoszenia'!$D$5:$D$504,"&lt;="&amp;(A1855+1)))</f>
        <v/>
      </c>
      <c r="L1855" s="63">
        <f>IF(OR(H1855="",K1855=0),"—",IF(ISNUMBER(MATCH(H1855,'Zgłoszenia'!$S$5:$S$504,0)),RIGHT("0"&amp;DAY(A1855),2)&amp;"."&amp;RIGHT("0"&amp;MONTH(A1855),2)&amp;"."&amp;YEAR(A1855)&amp;": "&amp;INDEX('Zgłoszenia'!$H$5:$H$504,MATCH(H1855,'Zgłoszenia'!$S$5:$S$504,0)),RIGHT("0"&amp;DAY((A1855+1)),2)&amp;"."&amp;RIGHT("0"&amp;MONTH((A1855+1)),2)&amp;"."&amp;YEAR((A1855+1))&amp;": "&amp;INDEX('Zgłoszenia'!$H$5:$H$504,MATCH(F1855&amp;"|"&amp;(A1855+1),'Zgłoszenia'!$S$5:$S$504,0)))&amp;IF(K1855&gt;1," (+"&amp;(K1855-1)&amp;")",""))</f>
        <v/>
      </c>
      <c r="M1855" s="63" t="n">
        <v>23</v>
      </c>
      <c r="N1855" s="2" t="n"/>
      <c r="O1855" s="2" t="n"/>
    </row>
    <row r="1856">
      <c r="A1856" s="62">
        <f>IF('23'!$C$1="","",'23'!$C$1)</f>
        <v/>
      </c>
      <c r="B1856" s="63">
        <f>Ustawienia!$A$10&amp;""</f>
        <v/>
      </c>
      <c r="C1856" s="63">
        <f>Ustawienia!$A$17&amp;""</f>
        <v/>
      </c>
      <c r="D1856" s="63" t="n">
        <v>1</v>
      </c>
      <c r="E1856" s="63">
        <f>IF('23'!J27="","",TRIM('23'!J27&amp;""))</f>
        <v/>
      </c>
      <c r="F1856" s="63">
        <f>IF('23'!K27="","",'23'!K27)</f>
        <v/>
      </c>
      <c r="G1856" s="63">
        <f>'23'!L27&amp;""</f>
        <v/>
      </c>
      <c r="H1856" s="63">
        <f>IF(OR(A1856="",F1856=""),"",F1856&amp;"|"&amp;A1856)</f>
        <v/>
      </c>
      <c r="I1856" s="63">
        <f>IF(AND(H1856&lt;&gt;"",OR('Historia wózka'!$B$4="",F1856='Historia wózka'!$B$4),A1856&gt;='Historia wózka'!$B$5,A1856&lt;='Historia wózka'!$B$6),A1856+0.7+(5000-ROW())/10000000,0)</f>
        <v/>
      </c>
      <c r="J1856" s="63">
        <f>Ustawienia!$B$10&amp;""</f>
        <v/>
      </c>
      <c r="K1856" s="63">
        <f>IF(H1856="","",COUNTIFS('Zgłoszenia'!$B$5:$B$504,F1856,'Zgłoszenia'!$D$5:$D$504,"&gt;="&amp;A1856,'Zgłoszenia'!$D$5:$D$504,"&lt;="&amp;(A1856+1)))</f>
        <v/>
      </c>
      <c r="L1856" s="63">
        <f>IF(OR(H1856="",K1856=0),"—",IF(ISNUMBER(MATCH(H1856,'Zgłoszenia'!$S$5:$S$504,0)),RIGHT("0"&amp;DAY(A1856),2)&amp;"."&amp;RIGHT("0"&amp;MONTH(A1856),2)&amp;"."&amp;YEAR(A1856)&amp;": "&amp;INDEX('Zgłoszenia'!$H$5:$H$504,MATCH(H1856,'Zgłoszenia'!$S$5:$S$504,0)),RIGHT("0"&amp;DAY((A1856+1)),2)&amp;"."&amp;RIGHT("0"&amp;MONTH((A1856+1)),2)&amp;"."&amp;YEAR((A1856+1))&amp;": "&amp;INDEX('Zgłoszenia'!$H$5:$H$504,MATCH(F1856&amp;"|"&amp;(A1856+1),'Zgłoszenia'!$S$5:$S$504,0)))&amp;IF(K1856&gt;1," (+"&amp;(K1856-1)&amp;")",""))</f>
        <v/>
      </c>
      <c r="M1856" s="63" t="n">
        <v>23</v>
      </c>
      <c r="N1856" s="2" t="n"/>
      <c r="O1856" s="2" t="n"/>
    </row>
    <row r="1857">
      <c r="A1857" s="62">
        <f>IF('23'!$C$1="","",'23'!$C$1)</f>
        <v/>
      </c>
      <c r="B1857" s="63">
        <f>Ustawienia!$A$10&amp;""</f>
        <v/>
      </c>
      <c r="C1857" s="63">
        <f>Ustawienia!$A$17&amp;""</f>
        <v/>
      </c>
      <c r="D1857" s="63" t="n">
        <v>2</v>
      </c>
      <c r="E1857" s="63">
        <f>IF('23'!J28="","",TRIM('23'!J28&amp;""))</f>
        <v/>
      </c>
      <c r="F1857" s="63">
        <f>IF('23'!K28="","",'23'!K28)</f>
        <v/>
      </c>
      <c r="G1857" s="63">
        <f>'23'!L28&amp;""</f>
        <v/>
      </c>
      <c r="H1857" s="63">
        <f>IF(OR(A1857="",F1857=""),"",F1857&amp;"|"&amp;A1857)</f>
        <v/>
      </c>
      <c r="I1857" s="63">
        <f>IF(AND(H1857&lt;&gt;"",OR('Historia wózka'!$B$4="",F1857='Historia wózka'!$B$4),A1857&gt;='Historia wózka'!$B$5,A1857&lt;='Historia wózka'!$B$6),A1857+0.7+(5000-ROW())/10000000,0)</f>
        <v/>
      </c>
      <c r="J1857" s="63">
        <f>Ustawienia!$B$10&amp;""</f>
        <v/>
      </c>
      <c r="K1857" s="63">
        <f>IF(H1857="","",COUNTIFS('Zgłoszenia'!$B$5:$B$504,F1857,'Zgłoszenia'!$D$5:$D$504,"&gt;="&amp;A1857,'Zgłoszenia'!$D$5:$D$504,"&lt;="&amp;(A1857+1)))</f>
        <v/>
      </c>
      <c r="L1857" s="63">
        <f>IF(OR(H1857="",K1857=0),"—",IF(ISNUMBER(MATCH(H1857,'Zgłoszenia'!$S$5:$S$504,0)),RIGHT("0"&amp;DAY(A1857),2)&amp;"."&amp;RIGHT("0"&amp;MONTH(A1857),2)&amp;"."&amp;YEAR(A1857)&amp;": "&amp;INDEX('Zgłoszenia'!$H$5:$H$504,MATCH(H1857,'Zgłoszenia'!$S$5:$S$504,0)),RIGHT("0"&amp;DAY((A1857+1)),2)&amp;"."&amp;RIGHT("0"&amp;MONTH((A1857+1)),2)&amp;"."&amp;YEAR((A1857+1))&amp;": "&amp;INDEX('Zgłoszenia'!$H$5:$H$504,MATCH(F1857&amp;"|"&amp;(A1857+1),'Zgłoszenia'!$S$5:$S$504,0)))&amp;IF(K1857&gt;1," (+"&amp;(K1857-1)&amp;")",""))</f>
        <v/>
      </c>
      <c r="M1857" s="63" t="n">
        <v>23</v>
      </c>
      <c r="N1857" s="2" t="n"/>
      <c r="O1857" s="2" t="n"/>
    </row>
    <row r="1858">
      <c r="A1858" s="62">
        <f>IF('23'!$C$1="","",'23'!$C$1)</f>
        <v/>
      </c>
      <c r="B1858" s="63">
        <f>Ustawienia!$A$10&amp;""</f>
        <v/>
      </c>
      <c r="C1858" s="63">
        <f>Ustawienia!$A$17&amp;""</f>
        <v/>
      </c>
      <c r="D1858" s="63" t="n">
        <v>3</v>
      </c>
      <c r="E1858" s="63">
        <f>IF('23'!J29="","",TRIM('23'!J29&amp;""))</f>
        <v/>
      </c>
      <c r="F1858" s="63">
        <f>IF('23'!K29="","",'23'!K29)</f>
        <v/>
      </c>
      <c r="G1858" s="63">
        <f>'23'!L29&amp;""</f>
        <v/>
      </c>
      <c r="H1858" s="63">
        <f>IF(OR(A1858="",F1858=""),"",F1858&amp;"|"&amp;A1858)</f>
        <v/>
      </c>
      <c r="I1858" s="63">
        <f>IF(AND(H1858&lt;&gt;"",OR('Historia wózka'!$B$4="",F1858='Historia wózka'!$B$4),A1858&gt;='Historia wózka'!$B$5,A1858&lt;='Historia wózka'!$B$6),A1858+0.7+(5000-ROW())/10000000,0)</f>
        <v/>
      </c>
      <c r="J1858" s="63">
        <f>Ustawienia!$B$10&amp;""</f>
        <v/>
      </c>
      <c r="K1858" s="63">
        <f>IF(H1858="","",COUNTIFS('Zgłoszenia'!$B$5:$B$504,F1858,'Zgłoszenia'!$D$5:$D$504,"&gt;="&amp;A1858,'Zgłoszenia'!$D$5:$D$504,"&lt;="&amp;(A1858+1)))</f>
        <v/>
      </c>
      <c r="L1858" s="63">
        <f>IF(OR(H1858="",K1858=0),"—",IF(ISNUMBER(MATCH(H1858,'Zgłoszenia'!$S$5:$S$504,0)),RIGHT("0"&amp;DAY(A1858),2)&amp;"."&amp;RIGHT("0"&amp;MONTH(A1858),2)&amp;"."&amp;YEAR(A1858)&amp;": "&amp;INDEX('Zgłoszenia'!$H$5:$H$504,MATCH(H1858,'Zgłoszenia'!$S$5:$S$504,0)),RIGHT("0"&amp;DAY((A1858+1)),2)&amp;"."&amp;RIGHT("0"&amp;MONTH((A1858+1)),2)&amp;"."&amp;YEAR((A1858+1))&amp;": "&amp;INDEX('Zgłoszenia'!$H$5:$H$504,MATCH(F1858&amp;"|"&amp;(A1858+1),'Zgłoszenia'!$S$5:$S$504,0)))&amp;IF(K1858&gt;1," (+"&amp;(K1858-1)&amp;")",""))</f>
        <v/>
      </c>
      <c r="M1858" s="63" t="n">
        <v>23</v>
      </c>
      <c r="N1858" s="2" t="n"/>
      <c r="O1858" s="2" t="n"/>
    </row>
    <row r="1859">
      <c r="A1859" s="62">
        <f>IF('23'!$C$1="","",'23'!$C$1)</f>
        <v/>
      </c>
      <c r="B1859" s="63">
        <f>Ustawienia!$A$10&amp;""</f>
        <v/>
      </c>
      <c r="C1859" s="63">
        <f>Ustawienia!$A$17&amp;""</f>
        <v/>
      </c>
      <c r="D1859" s="63" t="n">
        <v>4</v>
      </c>
      <c r="E1859" s="63">
        <f>IF('23'!J30="","",TRIM('23'!J30&amp;""))</f>
        <v/>
      </c>
      <c r="F1859" s="63">
        <f>IF('23'!K30="","",'23'!K30)</f>
        <v/>
      </c>
      <c r="G1859" s="63">
        <f>'23'!L30&amp;""</f>
        <v/>
      </c>
      <c r="H1859" s="63">
        <f>IF(OR(A1859="",F1859=""),"",F1859&amp;"|"&amp;A1859)</f>
        <v/>
      </c>
      <c r="I1859" s="63">
        <f>IF(AND(H1859&lt;&gt;"",OR('Historia wózka'!$B$4="",F1859='Historia wózka'!$B$4),A1859&gt;='Historia wózka'!$B$5,A1859&lt;='Historia wózka'!$B$6),A1859+0.7+(5000-ROW())/10000000,0)</f>
        <v/>
      </c>
      <c r="J1859" s="63">
        <f>Ustawienia!$B$10&amp;""</f>
        <v/>
      </c>
      <c r="K1859" s="63">
        <f>IF(H1859="","",COUNTIFS('Zgłoszenia'!$B$5:$B$504,F1859,'Zgłoszenia'!$D$5:$D$504,"&gt;="&amp;A1859,'Zgłoszenia'!$D$5:$D$504,"&lt;="&amp;(A1859+1)))</f>
        <v/>
      </c>
      <c r="L1859" s="63">
        <f>IF(OR(H1859="",K1859=0),"—",IF(ISNUMBER(MATCH(H1859,'Zgłoszenia'!$S$5:$S$504,0)),RIGHT("0"&amp;DAY(A1859),2)&amp;"."&amp;RIGHT("0"&amp;MONTH(A1859),2)&amp;"."&amp;YEAR(A1859)&amp;": "&amp;INDEX('Zgłoszenia'!$H$5:$H$504,MATCH(H1859,'Zgłoszenia'!$S$5:$S$504,0)),RIGHT("0"&amp;DAY((A1859+1)),2)&amp;"."&amp;RIGHT("0"&amp;MONTH((A1859+1)),2)&amp;"."&amp;YEAR((A1859+1))&amp;": "&amp;INDEX('Zgłoszenia'!$H$5:$H$504,MATCH(F1859&amp;"|"&amp;(A1859+1),'Zgłoszenia'!$S$5:$S$504,0)))&amp;IF(K1859&gt;1," (+"&amp;(K1859-1)&amp;")",""))</f>
        <v/>
      </c>
      <c r="M1859" s="63" t="n">
        <v>23</v>
      </c>
      <c r="N1859" s="2" t="n"/>
      <c r="O1859" s="2" t="n"/>
    </row>
    <row r="1860">
      <c r="A1860" s="62">
        <f>IF('23'!$C$1="","",'23'!$C$1)</f>
        <v/>
      </c>
      <c r="B1860" s="63">
        <f>Ustawienia!$A$10&amp;""</f>
        <v/>
      </c>
      <c r="C1860" s="63">
        <f>Ustawienia!$A$18&amp;""</f>
        <v/>
      </c>
      <c r="D1860" s="63" t="n">
        <v>1</v>
      </c>
      <c r="E1860" s="63">
        <f>IF('23'!J32="","",TRIM('23'!J32&amp;""))</f>
        <v/>
      </c>
      <c r="F1860" s="63">
        <f>IF('23'!K32="","",'23'!K32)</f>
        <v/>
      </c>
      <c r="G1860" s="63">
        <f>'23'!L32&amp;""</f>
        <v/>
      </c>
      <c r="H1860" s="63">
        <f>IF(OR(A1860="",F1860=""),"",F1860&amp;"|"&amp;A1860)</f>
        <v/>
      </c>
      <c r="I1860" s="63">
        <f>IF(AND(H1860&lt;&gt;"",OR('Historia wózka'!$B$4="",F1860='Historia wózka'!$B$4),A1860&gt;='Historia wózka'!$B$5,A1860&lt;='Historia wózka'!$B$6),A1860+0.7+(5000-ROW())/10000000,0)</f>
        <v/>
      </c>
      <c r="J1860" s="63">
        <f>Ustawienia!$B$10&amp;""</f>
        <v/>
      </c>
      <c r="K1860" s="63">
        <f>IF(H1860="","",COUNTIFS('Zgłoszenia'!$B$5:$B$504,F1860,'Zgłoszenia'!$D$5:$D$504,"&gt;="&amp;A1860,'Zgłoszenia'!$D$5:$D$504,"&lt;="&amp;(A1860+1)))</f>
        <v/>
      </c>
      <c r="L1860" s="63">
        <f>IF(OR(H1860="",K1860=0),"—",IF(ISNUMBER(MATCH(H1860,'Zgłoszenia'!$S$5:$S$504,0)),RIGHT("0"&amp;DAY(A1860),2)&amp;"."&amp;RIGHT("0"&amp;MONTH(A1860),2)&amp;"."&amp;YEAR(A1860)&amp;": "&amp;INDEX('Zgłoszenia'!$H$5:$H$504,MATCH(H1860,'Zgłoszenia'!$S$5:$S$504,0)),RIGHT("0"&amp;DAY((A1860+1)),2)&amp;"."&amp;RIGHT("0"&amp;MONTH((A1860+1)),2)&amp;"."&amp;YEAR((A1860+1))&amp;": "&amp;INDEX('Zgłoszenia'!$H$5:$H$504,MATCH(F1860&amp;"|"&amp;(A1860+1),'Zgłoszenia'!$S$5:$S$504,0)))&amp;IF(K1860&gt;1," (+"&amp;(K1860-1)&amp;")",""))</f>
        <v/>
      </c>
      <c r="M1860" s="63" t="n">
        <v>23</v>
      </c>
      <c r="N1860" s="2" t="n"/>
      <c r="O1860" s="2" t="n"/>
    </row>
    <row r="1861">
      <c r="A1861" s="62">
        <f>IF('23'!$C$1="","",'23'!$C$1)</f>
        <v/>
      </c>
      <c r="B1861" s="63">
        <f>Ustawienia!$A$10&amp;""</f>
        <v/>
      </c>
      <c r="C1861" s="63">
        <f>Ustawienia!$A$18&amp;""</f>
        <v/>
      </c>
      <c r="D1861" s="63" t="n">
        <v>2</v>
      </c>
      <c r="E1861" s="63">
        <f>IF('23'!J33="","",TRIM('23'!J33&amp;""))</f>
        <v/>
      </c>
      <c r="F1861" s="63">
        <f>IF('23'!K33="","",'23'!K33)</f>
        <v/>
      </c>
      <c r="G1861" s="63">
        <f>'23'!L33&amp;""</f>
        <v/>
      </c>
      <c r="H1861" s="63">
        <f>IF(OR(A1861="",F1861=""),"",F1861&amp;"|"&amp;A1861)</f>
        <v/>
      </c>
      <c r="I1861" s="63">
        <f>IF(AND(H1861&lt;&gt;"",OR('Historia wózka'!$B$4="",F1861='Historia wózka'!$B$4),A1861&gt;='Historia wózka'!$B$5,A1861&lt;='Historia wózka'!$B$6),A1861+0.7+(5000-ROW())/10000000,0)</f>
        <v/>
      </c>
      <c r="J1861" s="63">
        <f>Ustawienia!$B$10&amp;""</f>
        <v/>
      </c>
      <c r="K1861" s="63">
        <f>IF(H1861="","",COUNTIFS('Zgłoszenia'!$B$5:$B$504,F1861,'Zgłoszenia'!$D$5:$D$504,"&gt;="&amp;A1861,'Zgłoszenia'!$D$5:$D$504,"&lt;="&amp;(A1861+1)))</f>
        <v/>
      </c>
      <c r="L1861" s="63">
        <f>IF(OR(H1861="",K1861=0),"—",IF(ISNUMBER(MATCH(H1861,'Zgłoszenia'!$S$5:$S$504,0)),RIGHT("0"&amp;DAY(A1861),2)&amp;"."&amp;RIGHT("0"&amp;MONTH(A1861),2)&amp;"."&amp;YEAR(A1861)&amp;": "&amp;INDEX('Zgłoszenia'!$H$5:$H$504,MATCH(H1861,'Zgłoszenia'!$S$5:$S$504,0)),RIGHT("0"&amp;DAY((A1861+1)),2)&amp;"."&amp;RIGHT("0"&amp;MONTH((A1861+1)),2)&amp;"."&amp;YEAR((A1861+1))&amp;": "&amp;INDEX('Zgłoszenia'!$H$5:$H$504,MATCH(F1861&amp;"|"&amp;(A1861+1),'Zgłoszenia'!$S$5:$S$504,0)))&amp;IF(K1861&gt;1," (+"&amp;(K1861-1)&amp;")",""))</f>
        <v/>
      </c>
      <c r="M1861" s="63" t="n">
        <v>23</v>
      </c>
      <c r="N1861" s="2" t="n"/>
      <c r="O1861" s="2" t="n"/>
    </row>
    <row r="1862">
      <c r="A1862" s="62">
        <f>IF('23'!$C$1="","",'23'!$C$1)</f>
        <v/>
      </c>
      <c r="B1862" s="63">
        <f>Ustawienia!$A$10&amp;""</f>
        <v/>
      </c>
      <c r="C1862" s="63">
        <f>Ustawienia!$A$18&amp;""</f>
        <v/>
      </c>
      <c r="D1862" s="63" t="n">
        <v>3</v>
      </c>
      <c r="E1862" s="63">
        <f>IF('23'!J34="","",TRIM('23'!J34&amp;""))</f>
        <v/>
      </c>
      <c r="F1862" s="63">
        <f>IF('23'!K34="","",'23'!K34)</f>
        <v/>
      </c>
      <c r="G1862" s="63">
        <f>'23'!L34&amp;""</f>
        <v/>
      </c>
      <c r="H1862" s="63">
        <f>IF(OR(A1862="",F1862=""),"",F1862&amp;"|"&amp;A1862)</f>
        <v/>
      </c>
      <c r="I1862" s="63">
        <f>IF(AND(H1862&lt;&gt;"",OR('Historia wózka'!$B$4="",F1862='Historia wózka'!$B$4),A1862&gt;='Historia wózka'!$B$5,A1862&lt;='Historia wózka'!$B$6),A1862+0.7+(5000-ROW())/10000000,0)</f>
        <v/>
      </c>
      <c r="J1862" s="63">
        <f>Ustawienia!$B$10&amp;""</f>
        <v/>
      </c>
      <c r="K1862" s="63">
        <f>IF(H1862="","",COUNTIFS('Zgłoszenia'!$B$5:$B$504,F1862,'Zgłoszenia'!$D$5:$D$504,"&gt;="&amp;A1862,'Zgłoszenia'!$D$5:$D$504,"&lt;="&amp;(A1862+1)))</f>
        <v/>
      </c>
      <c r="L1862" s="63">
        <f>IF(OR(H1862="",K1862=0),"—",IF(ISNUMBER(MATCH(H1862,'Zgłoszenia'!$S$5:$S$504,0)),RIGHT("0"&amp;DAY(A1862),2)&amp;"."&amp;RIGHT("0"&amp;MONTH(A1862),2)&amp;"."&amp;YEAR(A1862)&amp;": "&amp;INDEX('Zgłoszenia'!$H$5:$H$504,MATCH(H1862,'Zgłoszenia'!$S$5:$S$504,0)),RIGHT("0"&amp;DAY((A1862+1)),2)&amp;"."&amp;RIGHT("0"&amp;MONTH((A1862+1)),2)&amp;"."&amp;YEAR((A1862+1))&amp;": "&amp;INDEX('Zgłoszenia'!$H$5:$H$504,MATCH(F1862&amp;"|"&amp;(A1862+1),'Zgłoszenia'!$S$5:$S$504,0)))&amp;IF(K1862&gt;1," (+"&amp;(K1862-1)&amp;")",""))</f>
        <v/>
      </c>
      <c r="M1862" s="63" t="n">
        <v>23</v>
      </c>
      <c r="N1862" s="2" t="n"/>
      <c r="O1862" s="2" t="n"/>
    </row>
    <row r="1863">
      <c r="A1863" s="62">
        <f>IF('23'!$C$1="","",'23'!$C$1)</f>
        <v/>
      </c>
      <c r="B1863" s="63">
        <f>Ustawienia!$A$10&amp;""</f>
        <v/>
      </c>
      <c r="C1863" s="63">
        <f>Ustawienia!$A$18&amp;""</f>
        <v/>
      </c>
      <c r="D1863" s="63" t="n">
        <v>4</v>
      </c>
      <c r="E1863" s="63">
        <f>IF('23'!J35="","",TRIM('23'!J35&amp;""))</f>
        <v/>
      </c>
      <c r="F1863" s="63">
        <f>IF('23'!K35="","",'23'!K35)</f>
        <v/>
      </c>
      <c r="G1863" s="63">
        <f>'23'!L35&amp;""</f>
        <v/>
      </c>
      <c r="H1863" s="63">
        <f>IF(OR(A1863="",F1863=""),"",F1863&amp;"|"&amp;A1863)</f>
        <v/>
      </c>
      <c r="I1863" s="63">
        <f>IF(AND(H1863&lt;&gt;"",OR('Historia wózka'!$B$4="",F1863='Historia wózka'!$B$4),A1863&gt;='Historia wózka'!$B$5,A1863&lt;='Historia wózka'!$B$6),A1863+0.7+(5000-ROW())/10000000,0)</f>
        <v/>
      </c>
      <c r="J1863" s="63">
        <f>Ustawienia!$B$10&amp;""</f>
        <v/>
      </c>
      <c r="K1863" s="63">
        <f>IF(H1863="","",COUNTIFS('Zgłoszenia'!$B$5:$B$504,F1863,'Zgłoszenia'!$D$5:$D$504,"&gt;="&amp;A1863,'Zgłoszenia'!$D$5:$D$504,"&lt;="&amp;(A1863+1)))</f>
        <v/>
      </c>
      <c r="L1863" s="63">
        <f>IF(OR(H1863="",K1863=0),"—",IF(ISNUMBER(MATCH(H1863,'Zgłoszenia'!$S$5:$S$504,0)),RIGHT("0"&amp;DAY(A1863),2)&amp;"."&amp;RIGHT("0"&amp;MONTH(A1863),2)&amp;"."&amp;YEAR(A1863)&amp;": "&amp;INDEX('Zgłoszenia'!$H$5:$H$504,MATCH(H1863,'Zgłoszenia'!$S$5:$S$504,0)),RIGHT("0"&amp;DAY((A1863+1)),2)&amp;"."&amp;RIGHT("0"&amp;MONTH((A1863+1)),2)&amp;"."&amp;YEAR((A1863+1))&amp;": "&amp;INDEX('Zgłoszenia'!$H$5:$H$504,MATCH(F1863&amp;"|"&amp;(A1863+1),'Zgłoszenia'!$S$5:$S$504,0)))&amp;IF(K1863&gt;1," (+"&amp;(K1863-1)&amp;")",""))</f>
        <v/>
      </c>
      <c r="M1863" s="63" t="n">
        <v>23</v>
      </c>
      <c r="N1863" s="2" t="n"/>
      <c r="O1863" s="2" t="n"/>
    </row>
    <row r="1864">
      <c r="A1864" s="62">
        <f>IF('23'!$C$1="","",'23'!$C$1)</f>
        <v/>
      </c>
      <c r="B1864" s="63">
        <f>Ustawienia!$A$10&amp;""</f>
        <v/>
      </c>
      <c r="C1864" s="63">
        <f>Ustawienia!$A$18&amp;""</f>
        <v/>
      </c>
      <c r="D1864" s="63" t="n">
        <v>5</v>
      </c>
      <c r="E1864" s="63">
        <f>IF('23'!J36="","",TRIM('23'!J36&amp;""))</f>
        <v/>
      </c>
      <c r="F1864" s="63">
        <f>IF('23'!K36="","",'23'!K36)</f>
        <v/>
      </c>
      <c r="G1864" s="63">
        <f>'23'!L36&amp;""</f>
        <v/>
      </c>
      <c r="H1864" s="63">
        <f>IF(OR(A1864="",F1864=""),"",F1864&amp;"|"&amp;A1864)</f>
        <v/>
      </c>
      <c r="I1864" s="63">
        <f>IF(AND(H1864&lt;&gt;"",OR('Historia wózka'!$B$4="",F1864='Historia wózka'!$B$4),A1864&gt;='Historia wózka'!$B$5,A1864&lt;='Historia wózka'!$B$6),A1864+0.7+(5000-ROW())/10000000,0)</f>
        <v/>
      </c>
      <c r="J1864" s="63">
        <f>Ustawienia!$B$10&amp;""</f>
        <v/>
      </c>
      <c r="K1864" s="63">
        <f>IF(H1864="","",COUNTIFS('Zgłoszenia'!$B$5:$B$504,F1864,'Zgłoszenia'!$D$5:$D$504,"&gt;="&amp;A1864,'Zgłoszenia'!$D$5:$D$504,"&lt;="&amp;(A1864+1)))</f>
        <v/>
      </c>
      <c r="L1864" s="63">
        <f>IF(OR(H1864="",K1864=0),"—",IF(ISNUMBER(MATCH(H1864,'Zgłoszenia'!$S$5:$S$504,0)),RIGHT("0"&amp;DAY(A1864),2)&amp;"."&amp;RIGHT("0"&amp;MONTH(A1864),2)&amp;"."&amp;YEAR(A1864)&amp;": "&amp;INDEX('Zgłoszenia'!$H$5:$H$504,MATCH(H1864,'Zgłoszenia'!$S$5:$S$504,0)),RIGHT("0"&amp;DAY((A1864+1)),2)&amp;"."&amp;RIGHT("0"&amp;MONTH((A1864+1)),2)&amp;"."&amp;YEAR((A1864+1))&amp;": "&amp;INDEX('Zgłoszenia'!$H$5:$H$504,MATCH(F1864&amp;"|"&amp;(A1864+1),'Zgłoszenia'!$S$5:$S$504,0)))&amp;IF(K1864&gt;1," (+"&amp;(K1864-1)&amp;")",""))</f>
        <v/>
      </c>
      <c r="M1864" s="63" t="n">
        <v>23</v>
      </c>
      <c r="N1864" s="2" t="n"/>
      <c r="O1864" s="2" t="n"/>
    </row>
    <row r="1865">
      <c r="A1865" s="62">
        <f>IF('24'!$C$1="","",'24'!$C$1)</f>
        <v/>
      </c>
      <c r="B1865" s="63">
        <f>Ustawienia!$A$8&amp;""</f>
        <v/>
      </c>
      <c r="C1865" s="63">
        <f>Ustawienia!$A$14&amp;""</f>
        <v/>
      </c>
      <c r="D1865" s="63" t="n">
        <v>1</v>
      </c>
      <c r="E1865" s="63">
        <f>IF('24'!B6="","",TRIM('24'!B6&amp;""))</f>
        <v/>
      </c>
      <c r="F1865" s="63">
        <f>IF('24'!C6="","",'24'!C6)</f>
        <v/>
      </c>
      <c r="G1865" s="63">
        <f>'24'!D6&amp;""</f>
        <v/>
      </c>
      <c r="H1865" s="63">
        <f>IF(OR(A1865="",F1865=""),"",F1865&amp;"|"&amp;A1865)</f>
        <v/>
      </c>
      <c r="I1865" s="63">
        <f>IF(AND(H1865&lt;&gt;"",OR('Historia wózka'!$B$4="",F1865='Historia wózka'!$B$4),A1865&gt;='Historia wózka'!$B$5,A1865&lt;='Historia wózka'!$B$6),A1865+0.9+(5000-ROW())/10000000,0)</f>
        <v/>
      </c>
      <c r="J1865" s="63">
        <f>Ustawienia!$B$8&amp;""</f>
        <v/>
      </c>
      <c r="K1865" s="63">
        <f>IF(H1865="","",COUNTIFS('Zgłoszenia'!$B$5:$B$504,F1865,'Zgłoszenia'!$D$5:$D$504,"&gt;="&amp;A1865,'Zgłoszenia'!$D$5:$D$504,"&lt;="&amp;(A1865+1)))</f>
        <v/>
      </c>
      <c r="L1865" s="63">
        <f>IF(OR(H1865="",K1865=0),"—",IF(ISNUMBER(MATCH(H1865,'Zgłoszenia'!$S$5:$S$504,0)),RIGHT("0"&amp;DAY(A1865),2)&amp;"."&amp;RIGHT("0"&amp;MONTH(A1865),2)&amp;"."&amp;YEAR(A1865)&amp;": "&amp;INDEX('Zgłoszenia'!$H$5:$H$504,MATCH(H1865,'Zgłoszenia'!$S$5:$S$504,0)),RIGHT("0"&amp;DAY((A1865+1)),2)&amp;"."&amp;RIGHT("0"&amp;MONTH((A1865+1)),2)&amp;"."&amp;YEAR((A1865+1))&amp;": "&amp;INDEX('Zgłoszenia'!$H$5:$H$504,MATCH(F1865&amp;"|"&amp;(A1865+1),'Zgłoszenia'!$S$5:$S$504,0)))&amp;IF(K1865&gt;1," (+"&amp;(K1865-1)&amp;")",""))</f>
        <v/>
      </c>
      <c r="M1865" s="63" t="n">
        <v>24</v>
      </c>
      <c r="N1865" s="2" t="n"/>
      <c r="O1865" s="2" t="n"/>
    </row>
    <row r="1866">
      <c r="A1866" s="62">
        <f>IF('24'!$C$1="","",'24'!$C$1)</f>
        <v/>
      </c>
      <c r="B1866" s="63">
        <f>Ustawienia!$A$8&amp;""</f>
        <v/>
      </c>
      <c r="C1866" s="63">
        <f>Ustawienia!$A$14&amp;""</f>
        <v/>
      </c>
      <c r="D1866" s="63" t="n">
        <v>2</v>
      </c>
      <c r="E1866" s="63">
        <f>IF('24'!B7="","",TRIM('24'!B7&amp;""))</f>
        <v/>
      </c>
      <c r="F1866" s="63">
        <f>IF('24'!C7="","",'24'!C7)</f>
        <v/>
      </c>
      <c r="G1866" s="63">
        <f>'24'!D7&amp;""</f>
        <v/>
      </c>
      <c r="H1866" s="63">
        <f>IF(OR(A1866="",F1866=""),"",F1866&amp;"|"&amp;A1866)</f>
        <v/>
      </c>
      <c r="I1866" s="63">
        <f>IF(AND(H1866&lt;&gt;"",OR('Historia wózka'!$B$4="",F1866='Historia wózka'!$B$4),A1866&gt;='Historia wózka'!$B$5,A1866&lt;='Historia wózka'!$B$6),A1866+0.9+(5000-ROW())/10000000,0)</f>
        <v/>
      </c>
      <c r="J1866" s="63">
        <f>Ustawienia!$B$8&amp;""</f>
        <v/>
      </c>
      <c r="K1866" s="63">
        <f>IF(H1866="","",COUNTIFS('Zgłoszenia'!$B$5:$B$504,F1866,'Zgłoszenia'!$D$5:$D$504,"&gt;="&amp;A1866,'Zgłoszenia'!$D$5:$D$504,"&lt;="&amp;(A1866+1)))</f>
        <v/>
      </c>
      <c r="L1866" s="63">
        <f>IF(OR(H1866="",K1866=0),"—",IF(ISNUMBER(MATCH(H1866,'Zgłoszenia'!$S$5:$S$504,0)),RIGHT("0"&amp;DAY(A1866),2)&amp;"."&amp;RIGHT("0"&amp;MONTH(A1866),2)&amp;"."&amp;YEAR(A1866)&amp;": "&amp;INDEX('Zgłoszenia'!$H$5:$H$504,MATCH(H1866,'Zgłoszenia'!$S$5:$S$504,0)),RIGHT("0"&amp;DAY((A1866+1)),2)&amp;"."&amp;RIGHT("0"&amp;MONTH((A1866+1)),2)&amp;"."&amp;YEAR((A1866+1))&amp;": "&amp;INDEX('Zgłoszenia'!$H$5:$H$504,MATCH(F1866&amp;"|"&amp;(A1866+1),'Zgłoszenia'!$S$5:$S$504,0)))&amp;IF(K1866&gt;1," (+"&amp;(K1866-1)&amp;")",""))</f>
        <v/>
      </c>
      <c r="M1866" s="63" t="n">
        <v>24</v>
      </c>
      <c r="N1866" s="2" t="n"/>
      <c r="O1866" s="2" t="n"/>
    </row>
    <row r="1867">
      <c r="A1867" s="62">
        <f>IF('24'!$C$1="","",'24'!$C$1)</f>
        <v/>
      </c>
      <c r="B1867" s="63">
        <f>Ustawienia!$A$8&amp;""</f>
        <v/>
      </c>
      <c r="C1867" s="63">
        <f>Ustawienia!$A$14&amp;""</f>
        <v/>
      </c>
      <c r="D1867" s="63" t="n">
        <v>3</v>
      </c>
      <c r="E1867" s="63">
        <f>IF('24'!B8="","",TRIM('24'!B8&amp;""))</f>
        <v/>
      </c>
      <c r="F1867" s="63">
        <f>IF('24'!C8="","",'24'!C8)</f>
        <v/>
      </c>
      <c r="G1867" s="63">
        <f>'24'!D8&amp;""</f>
        <v/>
      </c>
      <c r="H1867" s="63">
        <f>IF(OR(A1867="",F1867=""),"",F1867&amp;"|"&amp;A1867)</f>
        <v/>
      </c>
      <c r="I1867" s="63">
        <f>IF(AND(H1867&lt;&gt;"",OR('Historia wózka'!$B$4="",F1867='Historia wózka'!$B$4),A1867&gt;='Historia wózka'!$B$5,A1867&lt;='Historia wózka'!$B$6),A1867+0.9+(5000-ROW())/10000000,0)</f>
        <v/>
      </c>
      <c r="J1867" s="63">
        <f>Ustawienia!$B$8&amp;""</f>
        <v/>
      </c>
      <c r="K1867" s="63">
        <f>IF(H1867="","",COUNTIFS('Zgłoszenia'!$B$5:$B$504,F1867,'Zgłoszenia'!$D$5:$D$504,"&gt;="&amp;A1867,'Zgłoszenia'!$D$5:$D$504,"&lt;="&amp;(A1867+1)))</f>
        <v/>
      </c>
      <c r="L1867" s="63">
        <f>IF(OR(H1867="",K1867=0),"—",IF(ISNUMBER(MATCH(H1867,'Zgłoszenia'!$S$5:$S$504,0)),RIGHT("0"&amp;DAY(A1867),2)&amp;"."&amp;RIGHT("0"&amp;MONTH(A1867),2)&amp;"."&amp;YEAR(A1867)&amp;": "&amp;INDEX('Zgłoszenia'!$H$5:$H$504,MATCH(H1867,'Zgłoszenia'!$S$5:$S$504,0)),RIGHT("0"&amp;DAY((A1867+1)),2)&amp;"."&amp;RIGHT("0"&amp;MONTH((A1867+1)),2)&amp;"."&amp;YEAR((A1867+1))&amp;": "&amp;INDEX('Zgłoszenia'!$H$5:$H$504,MATCH(F1867&amp;"|"&amp;(A1867+1),'Zgłoszenia'!$S$5:$S$504,0)))&amp;IF(K1867&gt;1," (+"&amp;(K1867-1)&amp;")",""))</f>
        <v/>
      </c>
      <c r="M1867" s="63" t="n">
        <v>24</v>
      </c>
      <c r="N1867" s="2" t="n"/>
      <c r="O1867" s="2" t="n"/>
    </row>
    <row r="1868">
      <c r="A1868" s="62">
        <f>IF('24'!$C$1="","",'24'!$C$1)</f>
        <v/>
      </c>
      <c r="B1868" s="63">
        <f>Ustawienia!$A$8&amp;""</f>
        <v/>
      </c>
      <c r="C1868" s="63">
        <f>Ustawienia!$A$14&amp;""</f>
        <v/>
      </c>
      <c r="D1868" s="63" t="n">
        <v>4</v>
      </c>
      <c r="E1868" s="63">
        <f>IF('24'!B9="","",TRIM('24'!B9&amp;""))</f>
        <v/>
      </c>
      <c r="F1868" s="63">
        <f>IF('24'!C9="","",'24'!C9)</f>
        <v/>
      </c>
      <c r="G1868" s="63">
        <f>'24'!D9&amp;""</f>
        <v/>
      </c>
      <c r="H1868" s="63">
        <f>IF(OR(A1868="",F1868=""),"",F1868&amp;"|"&amp;A1868)</f>
        <v/>
      </c>
      <c r="I1868" s="63">
        <f>IF(AND(H1868&lt;&gt;"",OR('Historia wózka'!$B$4="",F1868='Historia wózka'!$B$4),A1868&gt;='Historia wózka'!$B$5,A1868&lt;='Historia wózka'!$B$6),A1868+0.9+(5000-ROW())/10000000,0)</f>
        <v/>
      </c>
      <c r="J1868" s="63">
        <f>Ustawienia!$B$8&amp;""</f>
        <v/>
      </c>
      <c r="K1868" s="63">
        <f>IF(H1868="","",COUNTIFS('Zgłoszenia'!$B$5:$B$504,F1868,'Zgłoszenia'!$D$5:$D$504,"&gt;="&amp;A1868,'Zgłoszenia'!$D$5:$D$504,"&lt;="&amp;(A1868+1)))</f>
        <v/>
      </c>
      <c r="L1868" s="63">
        <f>IF(OR(H1868="",K1868=0),"—",IF(ISNUMBER(MATCH(H1868,'Zgłoszenia'!$S$5:$S$504,0)),RIGHT("0"&amp;DAY(A1868),2)&amp;"."&amp;RIGHT("0"&amp;MONTH(A1868),2)&amp;"."&amp;YEAR(A1868)&amp;": "&amp;INDEX('Zgłoszenia'!$H$5:$H$504,MATCH(H1868,'Zgłoszenia'!$S$5:$S$504,0)),RIGHT("0"&amp;DAY((A1868+1)),2)&amp;"."&amp;RIGHT("0"&amp;MONTH((A1868+1)),2)&amp;"."&amp;YEAR((A1868+1))&amp;": "&amp;INDEX('Zgłoszenia'!$H$5:$H$504,MATCH(F1868&amp;"|"&amp;(A1868+1),'Zgłoszenia'!$S$5:$S$504,0)))&amp;IF(K1868&gt;1," (+"&amp;(K1868-1)&amp;")",""))</f>
        <v/>
      </c>
      <c r="M1868" s="63" t="n">
        <v>24</v>
      </c>
      <c r="N1868" s="2" t="n"/>
      <c r="O1868" s="2" t="n"/>
    </row>
    <row r="1869">
      <c r="A1869" s="62">
        <f>IF('24'!$C$1="","",'24'!$C$1)</f>
        <v/>
      </c>
      <c r="B1869" s="63">
        <f>Ustawienia!$A$8&amp;""</f>
        <v/>
      </c>
      <c r="C1869" s="63">
        <f>Ustawienia!$A$14&amp;""</f>
        <v/>
      </c>
      <c r="D1869" s="63" t="n">
        <v>5</v>
      </c>
      <c r="E1869" s="63">
        <f>IF('24'!B10="","",TRIM('24'!B10&amp;""))</f>
        <v/>
      </c>
      <c r="F1869" s="63">
        <f>IF('24'!C10="","",'24'!C10)</f>
        <v/>
      </c>
      <c r="G1869" s="63">
        <f>'24'!D10&amp;""</f>
        <v/>
      </c>
      <c r="H1869" s="63">
        <f>IF(OR(A1869="",F1869=""),"",F1869&amp;"|"&amp;A1869)</f>
        <v/>
      </c>
      <c r="I1869" s="63">
        <f>IF(AND(H1869&lt;&gt;"",OR('Historia wózka'!$B$4="",F1869='Historia wózka'!$B$4),A1869&gt;='Historia wózka'!$B$5,A1869&lt;='Historia wózka'!$B$6),A1869+0.9+(5000-ROW())/10000000,0)</f>
        <v/>
      </c>
      <c r="J1869" s="63">
        <f>Ustawienia!$B$8&amp;""</f>
        <v/>
      </c>
      <c r="K1869" s="63">
        <f>IF(H1869="","",COUNTIFS('Zgłoszenia'!$B$5:$B$504,F1869,'Zgłoszenia'!$D$5:$D$504,"&gt;="&amp;A1869,'Zgłoszenia'!$D$5:$D$504,"&lt;="&amp;(A1869+1)))</f>
        <v/>
      </c>
      <c r="L1869" s="63">
        <f>IF(OR(H1869="",K1869=0),"—",IF(ISNUMBER(MATCH(H1869,'Zgłoszenia'!$S$5:$S$504,0)),RIGHT("0"&amp;DAY(A1869),2)&amp;"."&amp;RIGHT("0"&amp;MONTH(A1869),2)&amp;"."&amp;YEAR(A1869)&amp;": "&amp;INDEX('Zgłoszenia'!$H$5:$H$504,MATCH(H1869,'Zgłoszenia'!$S$5:$S$504,0)),RIGHT("0"&amp;DAY((A1869+1)),2)&amp;"."&amp;RIGHT("0"&amp;MONTH((A1869+1)),2)&amp;"."&amp;YEAR((A1869+1))&amp;": "&amp;INDEX('Zgłoszenia'!$H$5:$H$504,MATCH(F1869&amp;"|"&amp;(A1869+1),'Zgłoszenia'!$S$5:$S$504,0)))&amp;IF(K1869&gt;1," (+"&amp;(K1869-1)&amp;")",""))</f>
        <v/>
      </c>
      <c r="M1869" s="63" t="n">
        <v>24</v>
      </c>
      <c r="N1869" s="2" t="n"/>
      <c r="O1869" s="2" t="n"/>
    </row>
    <row r="1870">
      <c r="A1870" s="62">
        <f>IF('24'!$C$1="","",'24'!$C$1)</f>
        <v/>
      </c>
      <c r="B1870" s="63">
        <f>Ustawienia!$A$8&amp;""</f>
        <v/>
      </c>
      <c r="C1870" s="63">
        <f>Ustawienia!$A$14&amp;""</f>
        <v/>
      </c>
      <c r="D1870" s="63" t="n">
        <v>6</v>
      </c>
      <c r="E1870" s="63">
        <f>IF('24'!B11="","",TRIM('24'!B11&amp;""))</f>
        <v/>
      </c>
      <c r="F1870" s="63">
        <f>IF('24'!C11="","",'24'!C11)</f>
        <v/>
      </c>
      <c r="G1870" s="63">
        <f>'24'!D11&amp;""</f>
        <v/>
      </c>
      <c r="H1870" s="63">
        <f>IF(OR(A1870="",F1870=""),"",F1870&amp;"|"&amp;A1870)</f>
        <v/>
      </c>
      <c r="I1870" s="63">
        <f>IF(AND(H1870&lt;&gt;"",OR('Historia wózka'!$B$4="",F1870='Historia wózka'!$B$4),A1870&gt;='Historia wózka'!$B$5,A1870&lt;='Historia wózka'!$B$6),A1870+0.9+(5000-ROW())/10000000,0)</f>
        <v/>
      </c>
      <c r="J1870" s="63">
        <f>Ustawienia!$B$8&amp;""</f>
        <v/>
      </c>
      <c r="K1870" s="63">
        <f>IF(H1870="","",COUNTIFS('Zgłoszenia'!$B$5:$B$504,F1870,'Zgłoszenia'!$D$5:$D$504,"&gt;="&amp;A1870,'Zgłoszenia'!$D$5:$D$504,"&lt;="&amp;(A1870+1)))</f>
        <v/>
      </c>
      <c r="L1870" s="63">
        <f>IF(OR(H1870="",K1870=0),"—",IF(ISNUMBER(MATCH(H1870,'Zgłoszenia'!$S$5:$S$504,0)),RIGHT("0"&amp;DAY(A1870),2)&amp;"."&amp;RIGHT("0"&amp;MONTH(A1870),2)&amp;"."&amp;YEAR(A1870)&amp;": "&amp;INDEX('Zgłoszenia'!$H$5:$H$504,MATCH(H1870,'Zgłoszenia'!$S$5:$S$504,0)),RIGHT("0"&amp;DAY((A1870+1)),2)&amp;"."&amp;RIGHT("0"&amp;MONTH((A1870+1)),2)&amp;"."&amp;YEAR((A1870+1))&amp;": "&amp;INDEX('Zgłoszenia'!$H$5:$H$504,MATCH(F1870&amp;"|"&amp;(A1870+1),'Zgłoszenia'!$S$5:$S$504,0)))&amp;IF(K1870&gt;1," (+"&amp;(K1870-1)&amp;")",""))</f>
        <v/>
      </c>
      <c r="M1870" s="63" t="n">
        <v>24</v>
      </c>
      <c r="N1870" s="2" t="n"/>
      <c r="O1870" s="2" t="n"/>
    </row>
    <row r="1871">
      <c r="A1871" s="62">
        <f>IF('24'!$C$1="","",'24'!$C$1)</f>
        <v/>
      </c>
      <c r="B1871" s="63">
        <f>Ustawienia!$A$8&amp;""</f>
        <v/>
      </c>
      <c r="C1871" s="63">
        <f>Ustawienia!$A$15&amp;""</f>
        <v/>
      </c>
      <c r="D1871" s="63" t="n">
        <v>1</v>
      </c>
      <c r="E1871" s="63">
        <f>IF('24'!B13="","",TRIM('24'!B13&amp;""))</f>
        <v/>
      </c>
      <c r="F1871" s="63">
        <f>IF('24'!C13="","",'24'!C13)</f>
        <v/>
      </c>
      <c r="G1871" s="63">
        <f>'24'!D13&amp;""</f>
        <v/>
      </c>
      <c r="H1871" s="63">
        <f>IF(OR(A1871="",F1871=""),"",F1871&amp;"|"&amp;A1871)</f>
        <v/>
      </c>
      <c r="I1871" s="63">
        <f>IF(AND(H1871&lt;&gt;"",OR('Historia wózka'!$B$4="",F1871='Historia wózka'!$B$4),A1871&gt;='Historia wózka'!$B$5,A1871&lt;='Historia wózka'!$B$6),A1871+0.9+(5000-ROW())/10000000,0)</f>
        <v/>
      </c>
      <c r="J1871" s="63">
        <f>Ustawienia!$B$8&amp;""</f>
        <v/>
      </c>
      <c r="K1871" s="63">
        <f>IF(H1871="","",COUNTIFS('Zgłoszenia'!$B$5:$B$504,F1871,'Zgłoszenia'!$D$5:$D$504,"&gt;="&amp;A1871,'Zgłoszenia'!$D$5:$D$504,"&lt;="&amp;(A1871+1)))</f>
        <v/>
      </c>
      <c r="L1871" s="63">
        <f>IF(OR(H1871="",K1871=0),"—",IF(ISNUMBER(MATCH(H1871,'Zgłoszenia'!$S$5:$S$504,0)),RIGHT("0"&amp;DAY(A1871),2)&amp;"."&amp;RIGHT("0"&amp;MONTH(A1871),2)&amp;"."&amp;YEAR(A1871)&amp;": "&amp;INDEX('Zgłoszenia'!$H$5:$H$504,MATCH(H1871,'Zgłoszenia'!$S$5:$S$504,0)),RIGHT("0"&amp;DAY((A1871+1)),2)&amp;"."&amp;RIGHT("0"&amp;MONTH((A1871+1)),2)&amp;"."&amp;YEAR((A1871+1))&amp;": "&amp;INDEX('Zgłoszenia'!$H$5:$H$504,MATCH(F1871&amp;"|"&amp;(A1871+1),'Zgłoszenia'!$S$5:$S$504,0)))&amp;IF(K1871&gt;1," (+"&amp;(K1871-1)&amp;")",""))</f>
        <v/>
      </c>
      <c r="M1871" s="63" t="n">
        <v>24</v>
      </c>
      <c r="N1871" s="2" t="n"/>
      <c r="O1871" s="2" t="n"/>
    </row>
    <row r="1872">
      <c r="A1872" s="62">
        <f>IF('24'!$C$1="","",'24'!$C$1)</f>
        <v/>
      </c>
      <c r="B1872" s="63">
        <f>Ustawienia!$A$8&amp;""</f>
        <v/>
      </c>
      <c r="C1872" s="63">
        <f>Ustawienia!$A$15&amp;""</f>
        <v/>
      </c>
      <c r="D1872" s="63" t="n">
        <v>2</v>
      </c>
      <c r="E1872" s="63">
        <f>IF('24'!B14="","",TRIM('24'!B14&amp;""))</f>
        <v/>
      </c>
      <c r="F1872" s="63">
        <f>IF('24'!C14="","",'24'!C14)</f>
        <v/>
      </c>
      <c r="G1872" s="63">
        <f>'24'!D14&amp;""</f>
        <v/>
      </c>
      <c r="H1872" s="63">
        <f>IF(OR(A1872="",F1872=""),"",F1872&amp;"|"&amp;A1872)</f>
        <v/>
      </c>
      <c r="I1872" s="63">
        <f>IF(AND(H1872&lt;&gt;"",OR('Historia wózka'!$B$4="",F1872='Historia wózka'!$B$4),A1872&gt;='Historia wózka'!$B$5,A1872&lt;='Historia wózka'!$B$6),A1872+0.9+(5000-ROW())/10000000,0)</f>
        <v/>
      </c>
      <c r="J1872" s="63">
        <f>Ustawienia!$B$8&amp;""</f>
        <v/>
      </c>
      <c r="K1872" s="63">
        <f>IF(H1872="","",COUNTIFS('Zgłoszenia'!$B$5:$B$504,F1872,'Zgłoszenia'!$D$5:$D$504,"&gt;="&amp;A1872,'Zgłoszenia'!$D$5:$D$504,"&lt;="&amp;(A1872+1)))</f>
        <v/>
      </c>
      <c r="L1872" s="63">
        <f>IF(OR(H1872="",K1872=0),"—",IF(ISNUMBER(MATCH(H1872,'Zgłoszenia'!$S$5:$S$504,0)),RIGHT("0"&amp;DAY(A1872),2)&amp;"."&amp;RIGHT("0"&amp;MONTH(A1872),2)&amp;"."&amp;YEAR(A1872)&amp;": "&amp;INDEX('Zgłoszenia'!$H$5:$H$504,MATCH(H1872,'Zgłoszenia'!$S$5:$S$504,0)),RIGHT("0"&amp;DAY((A1872+1)),2)&amp;"."&amp;RIGHT("0"&amp;MONTH((A1872+1)),2)&amp;"."&amp;YEAR((A1872+1))&amp;": "&amp;INDEX('Zgłoszenia'!$H$5:$H$504,MATCH(F1872&amp;"|"&amp;(A1872+1),'Zgłoszenia'!$S$5:$S$504,0)))&amp;IF(K1872&gt;1," (+"&amp;(K1872-1)&amp;")",""))</f>
        <v/>
      </c>
      <c r="M1872" s="63" t="n">
        <v>24</v>
      </c>
      <c r="N1872" s="2" t="n"/>
      <c r="O1872" s="2" t="n"/>
    </row>
    <row r="1873">
      <c r="A1873" s="62">
        <f>IF('24'!$C$1="","",'24'!$C$1)</f>
        <v/>
      </c>
      <c r="B1873" s="63">
        <f>Ustawienia!$A$8&amp;""</f>
        <v/>
      </c>
      <c r="C1873" s="63">
        <f>Ustawienia!$A$15&amp;""</f>
        <v/>
      </c>
      <c r="D1873" s="63" t="n">
        <v>3</v>
      </c>
      <c r="E1873" s="63">
        <f>IF('24'!B15="","",TRIM('24'!B15&amp;""))</f>
        <v/>
      </c>
      <c r="F1873" s="63">
        <f>IF('24'!C15="","",'24'!C15)</f>
        <v/>
      </c>
      <c r="G1873" s="63">
        <f>'24'!D15&amp;""</f>
        <v/>
      </c>
      <c r="H1873" s="63">
        <f>IF(OR(A1873="",F1873=""),"",F1873&amp;"|"&amp;A1873)</f>
        <v/>
      </c>
      <c r="I1873" s="63">
        <f>IF(AND(H1873&lt;&gt;"",OR('Historia wózka'!$B$4="",F1873='Historia wózka'!$B$4),A1873&gt;='Historia wózka'!$B$5,A1873&lt;='Historia wózka'!$B$6),A1873+0.9+(5000-ROW())/10000000,0)</f>
        <v/>
      </c>
      <c r="J1873" s="63">
        <f>Ustawienia!$B$8&amp;""</f>
        <v/>
      </c>
      <c r="K1873" s="63">
        <f>IF(H1873="","",COUNTIFS('Zgłoszenia'!$B$5:$B$504,F1873,'Zgłoszenia'!$D$5:$D$504,"&gt;="&amp;A1873,'Zgłoszenia'!$D$5:$D$504,"&lt;="&amp;(A1873+1)))</f>
        <v/>
      </c>
      <c r="L1873" s="63">
        <f>IF(OR(H1873="",K1873=0),"—",IF(ISNUMBER(MATCH(H1873,'Zgłoszenia'!$S$5:$S$504,0)),RIGHT("0"&amp;DAY(A1873),2)&amp;"."&amp;RIGHT("0"&amp;MONTH(A1873),2)&amp;"."&amp;YEAR(A1873)&amp;": "&amp;INDEX('Zgłoszenia'!$H$5:$H$504,MATCH(H1873,'Zgłoszenia'!$S$5:$S$504,0)),RIGHT("0"&amp;DAY((A1873+1)),2)&amp;"."&amp;RIGHT("0"&amp;MONTH((A1873+1)),2)&amp;"."&amp;YEAR((A1873+1))&amp;": "&amp;INDEX('Zgłoszenia'!$H$5:$H$504,MATCH(F1873&amp;"|"&amp;(A1873+1),'Zgłoszenia'!$S$5:$S$504,0)))&amp;IF(K1873&gt;1," (+"&amp;(K1873-1)&amp;")",""))</f>
        <v/>
      </c>
      <c r="M1873" s="63" t="n">
        <v>24</v>
      </c>
      <c r="N1873" s="2" t="n"/>
      <c r="O1873" s="2" t="n"/>
    </row>
    <row r="1874">
      <c r="A1874" s="62">
        <f>IF('24'!$C$1="","",'24'!$C$1)</f>
        <v/>
      </c>
      <c r="B1874" s="63">
        <f>Ustawienia!$A$8&amp;""</f>
        <v/>
      </c>
      <c r="C1874" s="63">
        <f>Ustawienia!$A$15&amp;""</f>
        <v/>
      </c>
      <c r="D1874" s="63" t="n">
        <v>4</v>
      </c>
      <c r="E1874" s="63">
        <f>IF('24'!B16="","",TRIM('24'!B16&amp;""))</f>
        <v/>
      </c>
      <c r="F1874" s="63">
        <f>IF('24'!C16="","",'24'!C16)</f>
        <v/>
      </c>
      <c r="G1874" s="63">
        <f>'24'!D16&amp;""</f>
        <v/>
      </c>
      <c r="H1874" s="63">
        <f>IF(OR(A1874="",F1874=""),"",F1874&amp;"|"&amp;A1874)</f>
        <v/>
      </c>
      <c r="I1874" s="63">
        <f>IF(AND(H1874&lt;&gt;"",OR('Historia wózka'!$B$4="",F1874='Historia wózka'!$B$4),A1874&gt;='Historia wózka'!$B$5,A1874&lt;='Historia wózka'!$B$6),A1874+0.9+(5000-ROW())/10000000,0)</f>
        <v/>
      </c>
      <c r="J1874" s="63">
        <f>Ustawienia!$B$8&amp;""</f>
        <v/>
      </c>
      <c r="K1874" s="63">
        <f>IF(H1874="","",COUNTIFS('Zgłoszenia'!$B$5:$B$504,F1874,'Zgłoszenia'!$D$5:$D$504,"&gt;="&amp;A1874,'Zgłoszenia'!$D$5:$D$504,"&lt;="&amp;(A1874+1)))</f>
        <v/>
      </c>
      <c r="L1874" s="63">
        <f>IF(OR(H1874="",K1874=0),"—",IF(ISNUMBER(MATCH(H1874,'Zgłoszenia'!$S$5:$S$504,0)),RIGHT("0"&amp;DAY(A1874),2)&amp;"."&amp;RIGHT("0"&amp;MONTH(A1874),2)&amp;"."&amp;YEAR(A1874)&amp;": "&amp;INDEX('Zgłoszenia'!$H$5:$H$504,MATCH(H1874,'Zgłoszenia'!$S$5:$S$504,0)),RIGHT("0"&amp;DAY((A1874+1)),2)&amp;"."&amp;RIGHT("0"&amp;MONTH((A1874+1)),2)&amp;"."&amp;YEAR((A1874+1))&amp;": "&amp;INDEX('Zgłoszenia'!$H$5:$H$504,MATCH(F1874&amp;"|"&amp;(A1874+1),'Zgłoszenia'!$S$5:$S$504,0)))&amp;IF(K1874&gt;1," (+"&amp;(K1874-1)&amp;")",""))</f>
        <v/>
      </c>
      <c r="M1874" s="63" t="n">
        <v>24</v>
      </c>
      <c r="N1874" s="2" t="n"/>
      <c r="O1874" s="2" t="n"/>
    </row>
    <row r="1875">
      <c r="A1875" s="62">
        <f>IF('24'!$C$1="","",'24'!$C$1)</f>
        <v/>
      </c>
      <c r="B1875" s="63">
        <f>Ustawienia!$A$8&amp;""</f>
        <v/>
      </c>
      <c r="C1875" s="63">
        <f>Ustawienia!$A$15&amp;""</f>
        <v/>
      </c>
      <c r="D1875" s="63" t="n">
        <v>5</v>
      </c>
      <c r="E1875" s="63">
        <f>IF('24'!B17="","",TRIM('24'!B17&amp;""))</f>
        <v/>
      </c>
      <c r="F1875" s="63">
        <f>IF('24'!C17="","",'24'!C17)</f>
        <v/>
      </c>
      <c r="G1875" s="63">
        <f>'24'!D17&amp;""</f>
        <v/>
      </c>
      <c r="H1875" s="63">
        <f>IF(OR(A1875="",F1875=""),"",F1875&amp;"|"&amp;A1875)</f>
        <v/>
      </c>
      <c r="I1875" s="63">
        <f>IF(AND(H1875&lt;&gt;"",OR('Historia wózka'!$B$4="",F1875='Historia wózka'!$B$4),A1875&gt;='Historia wózka'!$B$5,A1875&lt;='Historia wózka'!$B$6),A1875+0.9+(5000-ROW())/10000000,0)</f>
        <v/>
      </c>
      <c r="J1875" s="63">
        <f>Ustawienia!$B$8&amp;""</f>
        <v/>
      </c>
      <c r="K1875" s="63">
        <f>IF(H1875="","",COUNTIFS('Zgłoszenia'!$B$5:$B$504,F1875,'Zgłoszenia'!$D$5:$D$504,"&gt;="&amp;A1875,'Zgłoszenia'!$D$5:$D$504,"&lt;="&amp;(A1875+1)))</f>
        <v/>
      </c>
      <c r="L1875" s="63">
        <f>IF(OR(H1875="",K1875=0),"—",IF(ISNUMBER(MATCH(H1875,'Zgłoszenia'!$S$5:$S$504,0)),RIGHT("0"&amp;DAY(A1875),2)&amp;"."&amp;RIGHT("0"&amp;MONTH(A1875),2)&amp;"."&amp;YEAR(A1875)&amp;": "&amp;INDEX('Zgłoszenia'!$H$5:$H$504,MATCH(H1875,'Zgłoszenia'!$S$5:$S$504,0)),RIGHT("0"&amp;DAY((A1875+1)),2)&amp;"."&amp;RIGHT("0"&amp;MONTH((A1875+1)),2)&amp;"."&amp;YEAR((A1875+1))&amp;": "&amp;INDEX('Zgłoszenia'!$H$5:$H$504,MATCH(F1875&amp;"|"&amp;(A1875+1),'Zgłoszenia'!$S$5:$S$504,0)))&amp;IF(K1875&gt;1," (+"&amp;(K1875-1)&amp;")",""))</f>
        <v/>
      </c>
      <c r="M1875" s="63" t="n">
        <v>24</v>
      </c>
      <c r="N1875" s="2" t="n"/>
      <c r="O1875" s="2" t="n"/>
    </row>
    <row r="1876">
      <c r="A1876" s="62">
        <f>IF('24'!$C$1="","",'24'!$C$1)</f>
        <v/>
      </c>
      <c r="B1876" s="63">
        <f>Ustawienia!$A$8&amp;""</f>
        <v/>
      </c>
      <c r="C1876" s="63">
        <f>Ustawienia!$A$15&amp;""</f>
        <v/>
      </c>
      <c r="D1876" s="63" t="n">
        <v>6</v>
      </c>
      <c r="E1876" s="63">
        <f>IF('24'!B18="","",TRIM('24'!B18&amp;""))</f>
        <v/>
      </c>
      <c r="F1876" s="63">
        <f>IF('24'!C18="","",'24'!C18)</f>
        <v/>
      </c>
      <c r="G1876" s="63">
        <f>'24'!D18&amp;""</f>
        <v/>
      </c>
      <c r="H1876" s="63">
        <f>IF(OR(A1876="",F1876=""),"",F1876&amp;"|"&amp;A1876)</f>
        <v/>
      </c>
      <c r="I1876" s="63">
        <f>IF(AND(H1876&lt;&gt;"",OR('Historia wózka'!$B$4="",F1876='Historia wózka'!$B$4),A1876&gt;='Historia wózka'!$B$5,A1876&lt;='Historia wózka'!$B$6),A1876+0.9+(5000-ROW())/10000000,0)</f>
        <v/>
      </c>
      <c r="J1876" s="63">
        <f>Ustawienia!$B$8&amp;""</f>
        <v/>
      </c>
      <c r="K1876" s="63">
        <f>IF(H1876="","",COUNTIFS('Zgłoszenia'!$B$5:$B$504,F1876,'Zgłoszenia'!$D$5:$D$504,"&gt;="&amp;A1876,'Zgłoszenia'!$D$5:$D$504,"&lt;="&amp;(A1876+1)))</f>
        <v/>
      </c>
      <c r="L1876" s="63">
        <f>IF(OR(H1876="",K1876=0),"—",IF(ISNUMBER(MATCH(H1876,'Zgłoszenia'!$S$5:$S$504,0)),RIGHT("0"&amp;DAY(A1876),2)&amp;"."&amp;RIGHT("0"&amp;MONTH(A1876),2)&amp;"."&amp;YEAR(A1876)&amp;": "&amp;INDEX('Zgłoszenia'!$H$5:$H$504,MATCH(H1876,'Zgłoszenia'!$S$5:$S$504,0)),RIGHT("0"&amp;DAY((A1876+1)),2)&amp;"."&amp;RIGHT("0"&amp;MONTH((A1876+1)),2)&amp;"."&amp;YEAR((A1876+1))&amp;": "&amp;INDEX('Zgłoszenia'!$H$5:$H$504,MATCH(F1876&amp;"|"&amp;(A1876+1),'Zgłoszenia'!$S$5:$S$504,0)))&amp;IF(K1876&gt;1," (+"&amp;(K1876-1)&amp;")",""))</f>
        <v/>
      </c>
      <c r="M1876" s="63" t="n">
        <v>24</v>
      </c>
      <c r="N1876" s="2" t="n"/>
      <c r="O1876" s="2" t="n"/>
    </row>
    <row r="1877">
      <c r="A1877" s="62">
        <f>IF('24'!$C$1="","",'24'!$C$1)</f>
        <v/>
      </c>
      <c r="B1877" s="63">
        <f>Ustawienia!$A$8&amp;""</f>
        <v/>
      </c>
      <c r="C1877" s="63">
        <f>Ustawienia!$A$15&amp;""</f>
        <v/>
      </c>
      <c r="D1877" s="63" t="n">
        <v>7</v>
      </c>
      <c r="E1877" s="63">
        <f>IF('24'!B19="","",TRIM('24'!B19&amp;""))</f>
        <v/>
      </c>
      <c r="F1877" s="63">
        <f>IF('24'!C19="","",'24'!C19)</f>
        <v/>
      </c>
      <c r="G1877" s="63">
        <f>'24'!D19&amp;""</f>
        <v/>
      </c>
      <c r="H1877" s="63">
        <f>IF(OR(A1877="",F1877=""),"",F1877&amp;"|"&amp;A1877)</f>
        <v/>
      </c>
      <c r="I1877" s="63">
        <f>IF(AND(H1877&lt;&gt;"",OR('Historia wózka'!$B$4="",F1877='Historia wózka'!$B$4),A1877&gt;='Historia wózka'!$B$5,A1877&lt;='Historia wózka'!$B$6),A1877+0.9+(5000-ROW())/10000000,0)</f>
        <v/>
      </c>
      <c r="J1877" s="63">
        <f>Ustawienia!$B$8&amp;""</f>
        <v/>
      </c>
      <c r="K1877" s="63">
        <f>IF(H1877="","",COUNTIFS('Zgłoszenia'!$B$5:$B$504,F1877,'Zgłoszenia'!$D$5:$D$504,"&gt;="&amp;A1877,'Zgłoszenia'!$D$5:$D$504,"&lt;="&amp;(A1877+1)))</f>
        <v/>
      </c>
      <c r="L1877" s="63">
        <f>IF(OR(H1877="",K1877=0),"—",IF(ISNUMBER(MATCH(H1877,'Zgłoszenia'!$S$5:$S$504,0)),RIGHT("0"&amp;DAY(A1877),2)&amp;"."&amp;RIGHT("0"&amp;MONTH(A1877),2)&amp;"."&amp;YEAR(A1877)&amp;": "&amp;INDEX('Zgłoszenia'!$H$5:$H$504,MATCH(H1877,'Zgłoszenia'!$S$5:$S$504,0)),RIGHT("0"&amp;DAY((A1877+1)),2)&amp;"."&amp;RIGHT("0"&amp;MONTH((A1877+1)),2)&amp;"."&amp;YEAR((A1877+1))&amp;": "&amp;INDEX('Zgłoszenia'!$H$5:$H$504,MATCH(F1877&amp;"|"&amp;(A1877+1),'Zgłoszenia'!$S$5:$S$504,0)))&amp;IF(K1877&gt;1," (+"&amp;(K1877-1)&amp;")",""))</f>
        <v/>
      </c>
      <c r="M1877" s="63" t="n">
        <v>24</v>
      </c>
      <c r="N1877" s="2" t="n"/>
      <c r="O1877" s="2" t="n"/>
    </row>
    <row r="1878">
      <c r="A1878" s="62">
        <f>IF('24'!$C$1="","",'24'!$C$1)</f>
        <v/>
      </c>
      <c r="B1878" s="63">
        <f>Ustawienia!$A$8&amp;""</f>
        <v/>
      </c>
      <c r="C1878" s="63">
        <f>Ustawienia!$A$15&amp;""</f>
        <v/>
      </c>
      <c r="D1878" s="63" t="n">
        <v>8</v>
      </c>
      <c r="E1878" s="63">
        <f>IF('24'!B20="","",TRIM('24'!B20&amp;""))</f>
        <v/>
      </c>
      <c r="F1878" s="63">
        <f>IF('24'!C20="","",'24'!C20)</f>
        <v/>
      </c>
      <c r="G1878" s="63">
        <f>'24'!D20&amp;""</f>
        <v/>
      </c>
      <c r="H1878" s="63">
        <f>IF(OR(A1878="",F1878=""),"",F1878&amp;"|"&amp;A1878)</f>
        <v/>
      </c>
      <c r="I1878" s="63">
        <f>IF(AND(H1878&lt;&gt;"",OR('Historia wózka'!$B$4="",F1878='Historia wózka'!$B$4),A1878&gt;='Historia wózka'!$B$5,A1878&lt;='Historia wózka'!$B$6),A1878+0.9+(5000-ROW())/10000000,0)</f>
        <v/>
      </c>
      <c r="J1878" s="63">
        <f>Ustawienia!$B$8&amp;""</f>
        <v/>
      </c>
      <c r="K1878" s="63">
        <f>IF(H1878="","",COUNTIFS('Zgłoszenia'!$B$5:$B$504,F1878,'Zgłoszenia'!$D$5:$D$504,"&gt;="&amp;A1878,'Zgłoszenia'!$D$5:$D$504,"&lt;="&amp;(A1878+1)))</f>
        <v/>
      </c>
      <c r="L1878" s="63">
        <f>IF(OR(H1878="",K1878=0),"—",IF(ISNUMBER(MATCH(H1878,'Zgłoszenia'!$S$5:$S$504,0)),RIGHT("0"&amp;DAY(A1878),2)&amp;"."&amp;RIGHT("0"&amp;MONTH(A1878),2)&amp;"."&amp;YEAR(A1878)&amp;": "&amp;INDEX('Zgłoszenia'!$H$5:$H$504,MATCH(H1878,'Zgłoszenia'!$S$5:$S$504,0)),RIGHT("0"&amp;DAY((A1878+1)),2)&amp;"."&amp;RIGHT("0"&amp;MONTH((A1878+1)),2)&amp;"."&amp;YEAR((A1878+1))&amp;": "&amp;INDEX('Zgłoszenia'!$H$5:$H$504,MATCH(F1878&amp;"|"&amp;(A1878+1),'Zgłoszenia'!$S$5:$S$504,0)))&amp;IF(K1878&gt;1," (+"&amp;(K1878-1)&amp;")",""))</f>
        <v/>
      </c>
      <c r="M1878" s="63" t="n">
        <v>24</v>
      </c>
      <c r="N1878" s="2" t="n"/>
      <c r="O1878" s="2" t="n"/>
    </row>
    <row r="1879">
      <c r="A1879" s="62">
        <f>IF('24'!$C$1="","",'24'!$C$1)</f>
        <v/>
      </c>
      <c r="B1879" s="63">
        <f>Ustawienia!$A$8&amp;""</f>
        <v/>
      </c>
      <c r="C1879" s="63">
        <f>Ustawienia!$A$16&amp;""</f>
        <v/>
      </c>
      <c r="D1879" s="63" t="n">
        <v>1</v>
      </c>
      <c r="E1879" s="63">
        <f>IF('24'!B22="","",TRIM('24'!B22&amp;""))</f>
        <v/>
      </c>
      <c r="F1879" s="63">
        <f>IF('24'!C22="","",'24'!C22)</f>
        <v/>
      </c>
      <c r="G1879" s="63">
        <f>'24'!D22&amp;""</f>
        <v/>
      </c>
      <c r="H1879" s="63">
        <f>IF(OR(A1879="",F1879=""),"",F1879&amp;"|"&amp;A1879)</f>
        <v/>
      </c>
      <c r="I1879" s="63">
        <f>IF(AND(H1879&lt;&gt;"",OR('Historia wózka'!$B$4="",F1879='Historia wózka'!$B$4),A1879&gt;='Historia wózka'!$B$5,A1879&lt;='Historia wózka'!$B$6),A1879+0.9+(5000-ROW())/10000000,0)</f>
        <v/>
      </c>
      <c r="J1879" s="63">
        <f>Ustawienia!$B$8&amp;""</f>
        <v/>
      </c>
      <c r="K1879" s="63">
        <f>IF(H1879="","",COUNTIFS('Zgłoszenia'!$B$5:$B$504,F1879,'Zgłoszenia'!$D$5:$D$504,"&gt;="&amp;A1879,'Zgłoszenia'!$D$5:$D$504,"&lt;="&amp;(A1879+1)))</f>
        <v/>
      </c>
      <c r="L1879" s="63">
        <f>IF(OR(H1879="",K1879=0),"—",IF(ISNUMBER(MATCH(H1879,'Zgłoszenia'!$S$5:$S$504,0)),RIGHT("0"&amp;DAY(A1879),2)&amp;"."&amp;RIGHT("0"&amp;MONTH(A1879),2)&amp;"."&amp;YEAR(A1879)&amp;": "&amp;INDEX('Zgłoszenia'!$H$5:$H$504,MATCH(H1879,'Zgłoszenia'!$S$5:$S$504,0)),RIGHT("0"&amp;DAY((A1879+1)),2)&amp;"."&amp;RIGHT("0"&amp;MONTH((A1879+1)),2)&amp;"."&amp;YEAR((A1879+1))&amp;": "&amp;INDEX('Zgłoszenia'!$H$5:$H$504,MATCH(F1879&amp;"|"&amp;(A1879+1),'Zgłoszenia'!$S$5:$S$504,0)))&amp;IF(K1879&gt;1," (+"&amp;(K1879-1)&amp;")",""))</f>
        <v/>
      </c>
      <c r="M1879" s="63" t="n">
        <v>24</v>
      </c>
      <c r="N1879" s="2" t="n"/>
      <c r="O1879" s="2" t="n"/>
    </row>
    <row r="1880">
      <c r="A1880" s="62">
        <f>IF('24'!$C$1="","",'24'!$C$1)</f>
        <v/>
      </c>
      <c r="B1880" s="63">
        <f>Ustawienia!$A$8&amp;""</f>
        <v/>
      </c>
      <c r="C1880" s="63">
        <f>Ustawienia!$A$16&amp;""</f>
        <v/>
      </c>
      <c r="D1880" s="63" t="n">
        <v>2</v>
      </c>
      <c r="E1880" s="63">
        <f>IF('24'!B23="","",TRIM('24'!B23&amp;""))</f>
        <v/>
      </c>
      <c r="F1880" s="63">
        <f>IF('24'!C23="","",'24'!C23)</f>
        <v/>
      </c>
      <c r="G1880" s="63">
        <f>'24'!D23&amp;""</f>
        <v/>
      </c>
      <c r="H1880" s="63">
        <f>IF(OR(A1880="",F1880=""),"",F1880&amp;"|"&amp;A1880)</f>
        <v/>
      </c>
      <c r="I1880" s="63">
        <f>IF(AND(H1880&lt;&gt;"",OR('Historia wózka'!$B$4="",F1880='Historia wózka'!$B$4),A1880&gt;='Historia wózka'!$B$5,A1880&lt;='Historia wózka'!$B$6),A1880+0.9+(5000-ROW())/10000000,0)</f>
        <v/>
      </c>
      <c r="J1880" s="63">
        <f>Ustawienia!$B$8&amp;""</f>
        <v/>
      </c>
      <c r="K1880" s="63">
        <f>IF(H1880="","",COUNTIFS('Zgłoszenia'!$B$5:$B$504,F1880,'Zgłoszenia'!$D$5:$D$504,"&gt;="&amp;A1880,'Zgłoszenia'!$D$5:$D$504,"&lt;="&amp;(A1880+1)))</f>
        <v/>
      </c>
      <c r="L1880" s="63">
        <f>IF(OR(H1880="",K1880=0),"—",IF(ISNUMBER(MATCH(H1880,'Zgłoszenia'!$S$5:$S$504,0)),RIGHT("0"&amp;DAY(A1880),2)&amp;"."&amp;RIGHT("0"&amp;MONTH(A1880),2)&amp;"."&amp;YEAR(A1880)&amp;": "&amp;INDEX('Zgłoszenia'!$H$5:$H$504,MATCH(H1880,'Zgłoszenia'!$S$5:$S$504,0)),RIGHT("0"&amp;DAY((A1880+1)),2)&amp;"."&amp;RIGHT("0"&amp;MONTH((A1880+1)),2)&amp;"."&amp;YEAR((A1880+1))&amp;": "&amp;INDEX('Zgłoszenia'!$H$5:$H$504,MATCH(F1880&amp;"|"&amp;(A1880+1),'Zgłoszenia'!$S$5:$S$504,0)))&amp;IF(K1880&gt;1," (+"&amp;(K1880-1)&amp;")",""))</f>
        <v/>
      </c>
      <c r="M1880" s="63" t="n">
        <v>24</v>
      </c>
      <c r="N1880" s="2" t="n"/>
      <c r="O1880" s="2" t="n"/>
    </row>
    <row r="1881">
      <c r="A1881" s="62">
        <f>IF('24'!$C$1="","",'24'!$C$1)</f>
        <v/>
      </c>
      <c r="B1881" s="63">
        <f>Ustawienia!$A$8&amp;""</f>
        <v/>
      </c>
      <c r="C1881" s="63">
        <f>Ustawienia!$A$16&amp;""</f>
        <v/>
      </c>
      <c r="D1881" s="63" t="n">
        <v>3</v>
      </c>
      <c r="E1881" s="63">
        <f>IF('24'!B24="","",TRIM('24'!B24&amp;""))</f>
        <v/>
      </c>
      <c r="F1881" s="63">
        <f>IF('24'!C24="","",'24'!C24)</f>
        <v/>
      </c>
      <c r="G1881" s="63">
        <f>'24'!D24&amp;""</f>
        <v/>
      </c>
      <c r="H1881" s="63">
        <f>IF(OR(A1881="",F1881=""),"",F1881&amp;"|"&amp;A1881)</f>
        <v/>
      </c>
      <c r="I1881" s="63">
        <f>IF(AND(H1881&lt;&gt;"",OR('Historia wózka'!$B$4="",F1881='Historia wózka'!$B$4),A1881&gt;='Historia wózka'!$B$5,A1881&lt;='Historia wózka'!$B$6),A1881+0.9+(5000-ROW())/10000000,0)</f>
        <v/>
      </c>
      <c r="J1881" s="63">
        <f>Ustawienia!$B$8&amp;""</f>
        <v/>
      </c>
      <c r="K1881" s="63">
        <f>IF(H1881="","",COUNTIFS('Zgłoszenia'!$B$5:$B$504,F1881,'Zgłoszenia'!$D$5:$D$504,"&gt;="&amp;A1881,'Zgłoszenia'!$D$5:$D$504,"&lt;="&amp;(A1881+1)))</f>
        <v/>
      </c>
      <c r="L1881" s="63">
        <f>IF(OR(H1881="",K1881=0),"—",IF(ISNUMBER(MATCH(H1881,'Zgłoszenia'!$S$5:$S$504,0)),RIGHT("0"&amp;DAY(A1881),2)&amp;"."&amp;RIGHT("0"&amp;MONTH(A1881),2)&amp;"."&amp;YEAR(A1881)&amp;": "&amp;INDEX('Zgłoszenia'!$H$5:$H$504,MATCH(H1881,'Zgłoszenia'!$S$5:$S$504,0)),RIGHT("0"&amp;DAY((A1881+1)),2)&amp;"."&amp;RIGHT("0"&amp;MONTH((A1881+1)),2)&amp;"."&amp;YEAR((A1881+1))&amp;": "&amp;INDEX('Zgłoszenia'!$H$5:$H$504,MATCH(F1881&amp;"|"&amp;(A1881+1),'Zgłoszenia'!$S$5:$S$504,0)))&amp;IF(K1881&gt;1," (+"&amp;(K1881-1)&amp;")",""))</f>
        <v/>
      </c>
      <c r="M1881" s="63" t="n">
        <v>24</v>
      </c>
      <c r="N1881" s="2" t="n"/>
      <c r="O1881" s="2" t="n"/>
    </row>
    <row r="1882">
      <c r="A1882" s="62">
        <f>IF('24'!$C$1="","",'24'!$C$1)</f>
        <v/>
      </c>
      <c r="B1882" s="63">
        <f>Ustawienia!$A$8&amp;""</f>
        <v/>
      </c>
      <c r="C1882" s="63">
        <f>Ustawienia!$A$16&amp;""</f>
        <v/>
      </c>
      <c r="D1882" s="63" t="n">
        <v>4</v>
      </c>
      <c r="E1882" s="63">
        <f>IF('24'!B25="","",TRIM('24'!B25&amp;""))</f>
        <v/>
      </c>
      <c r="F1882" s="63">
        <f>IF('24'!C25="","",'24'!C25)</f>
        <v/>
      </c>
      <c r="G1882" s="63">
        <f>'24'!D25&amp;""</f>
        <v/>
      </c>
      <c r="H1882" s="63">
        <f>IF(OR(A1882="",F1882=""),"",F1882&amp;"|"&amp;A1882)</f>
        <v/>
      </c>
      <c r="I1882" s="63">
        <f>IF(AND(H1882&lt;&gt;"",OR('Historia wózka'!$B$4="",F1882='Historia wózka'!$B$4),A1882&gt;='Historia wózka'!$B$5,A1882&lt;='Historia wózka'!$B$6),A1882+0.9+(5000-ROW())/10000000,0)</f>
        <v/>
      </c>
      <c r="J1882" s="63">
        <f>Ustawienia!$B$8&amp;""</f>
        <v/>
      </c>
      <c r="K1882" s="63">
        <f>IF(H1882="","",COUNTIFS('Zgłoszenia'!$B$5:$B$504,F1882,'Zgłoszenia'!$D$5:$D$504,"&gt;="&amp;A1882,'Zgłoszenia'!$D$5:$D$504,"&lt;="&amp;(A1882+1)))</f>
        <v/>
      </c>
      <c r="L1882" s="63">
        <f>IF(OR(H1882="",K1882=0),"—",IF(ISNUMBER(MATCH(H1882,'Zgłoszenia'!$S$5:$S$504,0)),RIGHT("0"&amp;DAY(A1882),2)&amp;"."&amp;RIGHT("0"&amp;MONTH(A1882),2)&amp;"."&amp;YEAR(A1882)&amp;": "&amp;INDEX('Zgłoszenia'!$H$5:$H$504,MATCH(H1882,'Zgłoszenia'!$S$5:$S$504,0)),RIGHT("0"&amp;DAY((A1882+1)),2)&amp;"."&amp;RIGHT("0"&amp;MONTH((A1882+1)),2)&amp;"."&amp;YEAR((A1882+1))&amp;": "&amp;INDEX('Zgłoszenia'!$H$5:$H$504,MATCH(F1882&amp;"|"&amp;(A1882+1),'Zgłoszenia'!$S$5:$S$504,0)))&amp;IF(K1882&gt;1," (+"&amp;(K1882-1)&amp;")",""))</f>
        <v/>
      </c>
      <c r="M1882" s="63" t="n">
        <v>24</v>
      </c>
      <c r="N1882" s="2" t="n"/>
      <c r="O1882" s="2" t="n"/>
    </row>
    <row r="1883">
      <c r="A1883" s="62">
        <f>IF('24'!$C$1="","",'24'!$C$1)</f>
        <v/>
      </c>
      <c r="B1883" s="63">
        <f>Ustawienia!$A$8&amp;""</f>
        <v/>
      </c>
      <c r="C1883" s="63">
        <f>Ustawienia!$A$17&amp;""</f>
        <v/>
      </c>
      <c r="D1883" s="63" t="n">
        <v>1</v>
      </c>
      <c r="E1883" s="63">
        <f>IF('24'!B27="","",TRIM('24'!B27&amp;""))</f>
        <v/>
      </c>
      <c r="F1883" s="63">
        <f>IF('24'!C27="","",'24'!C27)</f>
        <v/>
      </c>
      <c r="G1883" s="63">
        <f>'24'!D27&amp;""</f>
        <v/>
      </c>
      <c r="H1883" s="63">
        <f>IF(OR(A1883="",F1883=""),"",F1883&amp;"|"&amp;A1883)</f>
        <v/>
      </c>
      <c r="I1883" s="63">
        <f>IF(AND(H1883&lt;&gt;"",OR('Historia wózka'!$B$4="",F1883='Historia wózka'!$B$4),A1883&gt;='Historia wózka'!$B$5,A1883&lt;='Historia wózka'!$B$6),A1883+0.9+(5000-ROW())/10000000,0)</f>
        <v/>
      </c>
      <c r="J1883" s="63">
        <f>Ustawienia!$B$8&amp;""</f>
        <v/>
      </c>
      <c r="K1883" s="63">
        <f>IF(H1883="","",COUNTIFS('Zgłoszenia'!$B$5:$B$504,F1883,'Zgłoszenia'!$D$5:$D$504,"&gt;="&amp;A1883,'Zgłoszenia'!$D$5:$D$504,"&lt;="&amp;(A1883+1)))</f>
        <v/>
      </c>
      <c r="L1883" s="63">
        <f>IF(OR(H1883="",K1883=0),"—",IF(ISNUMBER(MATCH(H1883,'Zgłoszenia'!$S$5:$S$504,0)),RIGHT("0"&amp;DAY(A1883),2)&amp;"."&amp;RIGHT("0"&amp;MONTH(A1883),2)&amp;"."&amp;YEAR(A1883)&amp;": "&amp;INDEX('Zgłoszenia'!$H$5:$H$504,MATCH(H1883,'Zgłoszenia'!$S$5:$S$504,0)),RIGHT("0"&amp;DAY((A1883+1)),2)&amp;"."&amp;RIGHT("0"&amp;MONTH((A1883+1)),2)&amp;"."&amp;YEAR((A1883+1))&amp;": "&amp;INDEX('Zgłoszenia'!$H$5:$H$504,MATCH(F1883&amp;"|"&amp;(A1883+1),'Zgłoszenia'!$S$5:$S$504,0)))&amp;IF(K1883&gt;1," (+"&amp;(K1883-1)&amp;")",""))</f>
        <v/>
      </c>
      <c r="M1883" s="63" t="n">
        <v>24</v>
      </c>
      <c r="N1883" s="2" t="n"/>
      <c r="O1883" s="2" t="n"/>
    </row>
    <row r="1884">
      <c r="A1884" s="62">
        <f>IF('24'!$C$1="","",'24'!$C$1)</f>
        <v/>
      </c>
      <c r="B1884" s="63">
        <f>Ustawienia!$A$8&amp;""</f>
        <v/>
      </c>
      <c r="C1884" s="63">
        <f>Ustawienia!$A$17&amp;""</f>
        <v/>
      </c>
      <c r="D1884" s="63" t="n">
        <v>2</v>
      </c>
      <c r="E1884" s="63">
        <f>IF('24'!B28="","",TRIM('24'!B28&amp;""))</f>
        <v/>
      </c>
      <c r="F1884" s="63">
        <f>IF('24'!C28="","",'24'!C28)</f>
        <v/>
      </c>
      <c r="G1884" s="63">
        <f>'24'!D28&amp;""</f>
        <v/>
      </c>
      <c r="H1884" s="63">
        <f>IF(OR(A1884="",F1884=""),"",F1884&amp;"|"&amp;A1884)</f>
        <v/>
      </c>
      <c r="I1884" s="63">
        <f>IF(AND(H1884&lt;&gt;"",OR('Historia wózka'!$B$4="",F1884='Historia wózka'!$B$4),A1884&gt;='Historia wózka'!$B$5,A1884&lt;='Historia wózka'!$B$6),A1884+0.9+(5000-ROW())/10000000,0)</f>
        <v/>
      </c>
      <c r="J1884" s="63">
        <f>Ustawienia!$B$8&amp;""</f>
        <v/>
      </c>
      <c r="K1884" s="63">
        <f>IF(H1884="","",COUNTIFS('Zgłoszenia'!$B$5:$B$504,F1884,'Zgłoszenia'!$D$5:$D$504,"&gt;="&amp;A1884,'Zgłoszenia'!$D$5:$D$504,"&lt;="&amp;(A1884+1)))</f>
        <v/>
      </c>
      <c r="L1884" s="63">
        <f>IF(OR(H1884="",K1884=0),"—",IF(ISNUMBER(MATCH(H1884,'Zgłoszenia'!$S$5:$S$504,0)),RIGHT("0"&amp;DAY(A1884),2)&amp;"."&amp;RIGHT("0"&amp;MONTH(A1884),2)&amp;"."&amp;YEAR(A1884)&amp;": "&amp;INDEX('Zgłoszenia'!$H$5:$H$504,MATCH(H1884,'Zgłoszenia'!$S$5:$S$504,0)),RIGHT("0"&amp;DAY((A1884+1)),2)&amp;"."&amp;RIGHT("0"&amp;MONTH((A1884+1)),2)&amp;"."&amp;YEAR((A1884+1))&amp;": "&amp;INDEX('Zgłoszenia'!$H$5:$H$504,MATCH(F1884&amp;"|"&amp;(A1884+1),'Zgłoszenia'!$S$5:$S$504,0)))&amp;IF(K1884&gt;1," (+"&amp;(K1884-1)&amp;")",""))</f>
        <v/>
      </c>
      <c r="M1884" s="63" t="n">
        <v>24</v>
      </c>
      <c r="N1884" s="2" t="n"/>
      <c r="O1884" s="2" t="n"/>
    </row>
    <row r="1885">
      <c r="A1885" s="62">
        <f>IF('24'!$C$1="","",'24'!$C$1)</f>
        <v/>
      </c>
      <c r="B1885" s="63">
        <f>Ustawienia!$A$8&amp;""</f>
        <v/>
      </c>
      <c r="C1885" s="63">
        <f>Ustawienia!$A$17&amp;""</f>
        <v/>
      </c>
      <c r="D1885" s="63" t="n">
        <v>3</v>
      </c>
      <c r="E1885" s="63">
        <f>IF('24'!B29="","",TRIM('24'!B29&amp;""))</f>
        <v/>
      </c>
      <c r="F1885" s="63">
        <f>IF('24'!C29="","",'24'!C29)</f>
        <v/>
      </c>
      <c r="G1885" s="63">
        <f>'24'!D29&amp;""</f>
        <v/>
      </c>
      <c r="H1885" s="63">
        <f>IF(OR(A1885="",F1885=""),"",F1885&amp;"|"&amp;A1885)</f>
        <v/>
      </c>
      <c r="I1885" s="63">
        <f>IF(AND(H1885&lt;&gt;"",OR('Historia wózka'!$B$4="",F1885='Historia wózka'!$B$4),A1885&gt;='Historia wózka'!$B$5,A1885&lt;='Historia wózka'!$B$6),A1885+0.9+(5000-ROW())/10000000,0)</f>
        <v/>
      </c>
      <c r="J1885" s="63">
        <f>Ustawienia!$B$8&amp;""</f>
        <v/>
      </c>
      <c r="K1885" s="63">
        <f>IF(H1885="","",COUNTIFS('Zgłoszenia'!$B$5:$B$504,F1885,'Zgłoszenia'!$D$5:$D$504,"&gt;="&amp;A1885,'Zgłoszenia'!$D$5:$D$504,"&lt;="&amp;(A1885+1)))</f>
        <v/>
      </c>
      <c r="L1885" s="63">
        <f>IF(OR(H1885="",K1885=0),"—",IF(ISNUMBER(MATCH(H1885,'Zgłoszenia'!$S$5:$S$504,0)),RIGHT("0"&amp;DAY(A1885),2)&amp;"."&amp;RIGHT("0"&amp;MONTH(A1885),2)&amp;"."&amp;YEAR(A1885)&amp;": "&amp;INDEX('Zgłoszenia'!$H$5:$H$504,MATCH(H1885,'Zgłoszenia'!$S$5:$S$504,0)),RIGHT("0"&amp;DAY((A1885+1)),2)&amp;"."&amp;RIGHT("0"&amp;MONTH((A1885+1)),2)&amp;"."&amp;YEAR((A1885+1))&amp;": "&amp;INDEX('Zgłoszenia'!$H$5:$H$504,MATCH(F1885&amp;"|"&amp;(A1885+1),'Zgłoszenia'!$S$5:$S$504,0)))&amp;IF(K1885&gt;1," (+"&amp;(K1885-1)&amp;")",""))</f>
        <v/>
      </c>
      <c r="M1885" s="63" t="n">
        <v>24</v>
      </c>
      <c r="N1885" s="2" t="n"/>
      <c r="O1885" s="2" t="n"/>
    </row>
    <row r="1886">
      <c r="A1886" s="62">
        <f>IF('24'!$C$1="","",'24'!$C$1)</f>
        <v/>
      </c>
      <c r="B1886" s="63">
        <f>Ustawienia!$A$8&amp;""</f>
        <v/>
      </c>
      <c r="C1886" s="63">
        <f>Ustawienia!$A$17&amp;""</f>
        <v/>
      </c>
      <c r="D1886" s="63" t="n">
        <v>4</v>
      </c>
      <c r="E1886" s="63">
        <f>IF('24'!B30="","",TRIM('24'!B30&amp;""))</f>
        <v/>
      </c>
      <c r="F1886" s="63">
        <f>IF('24'!C30="","",'24'!C30)</f>
        <v/>
      </c>
      <c r="G1886" s="63">
        <f>'24'!D30&amp;""</f>
        <v/>
      </c>
      <c r="H1886" s="63">
        <f>IF(OR(A1886="",F1886=""),"",F1886&amp;"|"&amp;A1886)</f>
        <v/>
      </c>
      <c r="I1886" s="63">
        <f>IF(AND(H1886&lt;&gt;"",OR('Historia wózka'!$B$4="",F1886='Historia wózka'!$B$4),A1886&gt;='Historia wózka'!$B$5,A1886&lt;='Historia wózka'!$B$6),A1886+0.9+(5000-ROW())/10000000,0)</f>
        <v/>
      </c>
      <c r="J1886" s="63">
        <f>Ustawienia!$B$8&amp;""</f>
        <v/>
      </c>
      <c r="K1886" s="63">
        <f>IF(H1886="","",COUNTIFS('Zgłoszenia'!$B$5:$B$504,F1886,'Zgłoszenia'!$D$5:$D$504,"&gt;="&amp;A1886,'Zgłoszenia'!$D$5:$D$504,"&lt;="&amp;(A1886+1)))</f>
        <v/>
      </c>
      <c r="L1886" s="63">
        <f>IF(OR(H1886="",K1886=0),"—",IF(ISNUMBER(MATCH(H1886,'Zgłoszenia'!$S$5:$S$504,0)),RIGHT("0"&amp;DAY(A1886),2)&amp;"."&amp;RIGHT("0"&amp;MONTH(A1886),2)&amp;"."&amp;YEAR(A1886)&amp;": "&amp;INDEX('Zgłoszenia'!$H$5:$H$504,MATCH(H1886,'Zgłoszenia'!$S$5:$S$504,0)),RIGHT("0"&amp;DAY((A1886+1)),2)&amp;"."&amp;RIGHT("0"&amp;MONTH((A1886+1)),2)&amp;"."&amp;YEAR((A1886+1))&amp;": "&amp;INDEX('Zgłoszenia'!$H$5:$H$504,MATCH(F1886&amp;"|"&amp;(A1886+1),'Zgłoszenia'!$S$5:$S$504,0)))&amp;IF(K1886&gt;1," (+"&amp;(K1886-1)&amp;")",""))</f>
        <v/>
      </c>
      <c r="M1886" s="63" t="n">
        <v>24</v>
      </c>
      <c r="N1886" s="2" t="n"/>
      <c r="O1886" s="2" t="n"/>
    </row>
    <row r="1887">
      <c r="A1887" s="62">
        <f>IF('24'!$C$1="","",'24'!$C$1)</f>
        <v/>
      </c>
      <c r="B1887" s="63">
        <f>Ustawienia!$A$8&amp;""</f>
        <v/>
      </c>
      <c r="C1887" s="63">
        <f>Ustawienia!$A$18&amp;""</f>
        <v/>
      </c>
      <c r="D1887" s="63" t="n">
        <v>1</v>
      </c>
      <c r="E1887" s="63">
        <f>IF('24'!B32="","",TRIM('24'!B32&amp;""))</f>
        <v/>
      </c>
      <c r="F1887" s="63">
        <f>IF('24'!C32="","",'24'!C32)</f>
        <v/>
      </c>
      <c r="G1887" s="63">
        <f>'24'!D32&amp;""</f>
        <v/>
      </c>
      <c r="H1887" s="63">
        <f>IF(OR(A1887="",F1887=""),"",F1887&amp;"|"&amp;A1887)</f>
        <v/>
      </c>
      <c r="I1887" s="63">
        <f>IF(AND(H1887&lt;&gt;"",OR('Historia wózka'!$B$4="",F1887='Historia wózka'!$B$4),A1887&gt;='Historia wózka'!$B$5,A1887&lt;='Historia wózka'!$B$6),A1887+0.9+(5000-ROW())/10000000,0)</f>
        <v/>
      </c>
      <c r="J1887" s="63">
        <f>Ustawienia!$B$8&amp;""</f>
        <v/>
      </c>
      <c r="K1887" s="63">
        <f>IF(H1887="","",COUNTIFS('Zgłoszenia'!$B$5:$B$504,F1887,'Zgłoszenia'!$D$5:$D$504,"&gt;="&amp;A1887,'Zgłoszenia'!$D$5:$D$504,"&lt;="&amp;(A1887+1)))</f>
        <v/>
      </c>
      <c r="L1887" s="63">
        <f>IF(OR(H1887="",K1887=0),"—",IF(ISNUMBER(MATCH(H1887,'Zgłoszenia'!$S$5:$S$504,0)),RIGHT("0"&amp;DAY(A1887),2)&amp;"."&amp;RIGHT("0"&amp;MONTH(A1887),2)&amp;"."&amp;YEAR(A1887)&amp;": "&amp;INDEX('Zgłoszenia'!$H$5:$H$504,MATCH(H1887,'Zgłoszenia'!$S$5:$S$504,0)),RIGHT("0"&amp;DAY((A1887+1)),2)&amp;"."&amp;RIGHT("0"&amp;MONTH((A1887+1)),2)&amp;"."&amp;YEAR((A1887+1))&amp;": "&amp;INDEX('Zgłoszenia'!$H$5:$H$504,MATCH(F1887&amp;"|"&amp;(A1887+1),'Zgłoszenia'!$S$5:$S$504,0)))&amp;IF(K1887&gt;1," (+"&amp;(K1887-1)&amp;")",""))</f>
        <v/>
      </c>
      <c r="M1887" s="63" t="n">
        <v>24</v>
      </c>
      <c r="N1887" s="2" t="n"/>
      <c r="O1887" s="2" t="n"/>
    </row>
    <row r="1888">
      <c r="A1888" s="62">
        <f>IF('24'!$C$1="","",'24'!$C$1)</f>
        <v/>
      </c>
      <c r="B1888" s="63">
        <f>Ustawienia!$A$8&amp;""</f>
        <v/>
      </c>
      <c r="C1888" s="63">
        <f>Ustawienia!$A$18&amp;""</f>
        <v/>
      </c>
      <c r="D1888" s="63" t="n">
        <v>2</v>
      </c>
      <c r="E1888" s="63">
        <f>IF('24'!B33="","",TRIM('24'!B33&amp;""))</f>
        <v/>
      </c>
      <c r="F1888" s="63">
        <f>IF('24'!C33="","",'24'!C33)</f>
        <v/>
      </c>
      <c r="G1888" s="63">
        <f>'24'!D33&amp;""</f>
        <v/>
      </c>
      <c r="H1888" s="63">
        <f>IF(OR(A1888="",F1888=""),"",F1888&amp;"|"&amp;A1888)</f>
        <v/>
      </c>
      <c r="I1888" s="63">
        <f>IF(AND(H1888&lt;&gt;"",OR('Historia wózka'!$B$4="",F1888='Historia wózka'!$B$4),A1888&gt;='Historia wózka'!$B$5,A1888&lt;='Historia wózka'!$B$6),A1888+0.9+(5000-ROW())/10000000,0)</f>
        <v/>
      </c>
      <c r="J1888" s="63">
        <f>Ustawienia!$B$8&amp;""</f>
        <v/>
      </c>
      <c r="K1888" s="63">
        <f>IF(H1888="","",COUNTIFS('Zgłoszenia'!$B$5:$B$504,F1888,'Zgłoszenia'!$D$5:$D$504,"&gt;="&amp;A1888,'Zgłoszenia'!$D$5:$D$504,"&lt;="&amp;(A1888+1)))</f>
        <v/>
      </c>
      <c r="L1888" s="63">
        <f>IF(OR(H1888="",K1888=0),"—",IF(ISNUMBER(MATCH(H1888,'Zgłoszenia'!$S$5:$S$504,0)),RIGHT("0"&amp;DAY(A1888),2)&amp;"."&amp;RIGHT("0"&amp;MONTH(A1888),2)&amp;"."&amp;YEAR(A1888)&amp;": "&amp;INDEX('Zgłoszenia'!$H$5:$H$504,MATCH(H1888,'Zgłoszenia'!$S$5:$S$504,0)),RIGHT("0"&amp;DAY((A1888+1)),2)&amp;"."&amp;RIGHT("0"&amp;MONTH((A1888+1)),2)&amp;"."&amp;YEAR((A1888+1))&amp;": "&amp;INDEX('Zgłoszenia'!$H$5:$H$504,MATCH(F1888&amp;"|"&amp;(A1888+1),'Zgłoszenia'!$S$5:$S$504,0)))&amp;IF(K1888&gt;1," (+"&amp;(K1888-1)&amp;")",""))</f>
        <v/>
      </c>
      <c r="M1888" s="63" t="n">
        <v>24</v>
      </c>
      <c r="N1888" s="2" t="n"/>
      <c r="O1888" s="2" t="n"/>
    </row>
    <row r="1889">
      <c r="A1889" s="62">
        <f>IF('24'!$C$1="","",'24'!$C$1)</f>
        <v/>
      </c>
      <c r="B1889" s="63">
        <f>Ustawienia!$A$8&amp;""</f>
        <v/>
      </c>
      <c r="C1889" s="63">
        <f>Ustawienia!$A$18&amp;""</f>
        <v/>
      </c>
      <c r="D1889" s="63" t="n">
        <v>3</v>
      </c>
      <c r="E1889" s="63">
        <f>IF('24'!B34="","",TRIM('24'!B34&amp;""))</f>
        <v/>
      </c>
      <c r="F1889" s="63">
        <f>IF('24'!C34="","",'24'!C34)</f>
        <v/>
      </c>
      <c r="G1889" s="63">
        <f>'24'!D34&amp;""</f>
        <v/>
      </c>
      <c r="H1889" s="63">
        <f>IF(OR(A1889="",F1889=""),"",F1889&amp;"|"&amp;A1889)</f>
        <v/>
      </c>
      <c r="I1889" s="63">
        <f>IF(AND(H1889&lt;&gt;"",OR('Historia wózka'!$B$4="",F1889='Historia wózka'!$B$4),A1889&gt;='Historia wózka'!$B$5,A1889&lt;='Historia wózka'!$B$6),A1889+0.9+(5000-ROW())/10000000,0)</f>
        <v/>
      </c>
      <c r="J1889" s="63">
        <f>Ustawienia!$B$8&amp;""</f>
        <v/>
      </c>
      <c r="K1889" s="63">
        <f>IF(H1889="","",COUNTIFS('Zgłoszenia'!$B$5:$B$504,F1889,'Zgłoszenia'!$D$5:$D$504,"&gt;="&amp;A1889,'Zgłoszenia'!$D$5:$D$504,"&lt;="&amp;(A1889+1)))</f>
        <v/>
      </c>
      <c r="L1889" s="63">
        <f>IF(OR(H1889="",K1889=0),"—",IF(ISNUMBER(MATCH(H1889,'Zgłoszenia'!$S$5:$S$504,0)),RIGHT("0"&amp;DAY(A1889),2)&amp;"."&amp;RIGHT("0"&amp;MONTH(A1889),2)&amp;"."&amp;YEAR(A1889)&amp;": "&amp;INDEX('Zgłoszenia'!$H$5:$H$504,MATCH(H1889,'Zgłoszenia'!$S$5:$S$504,0)),RIGHT("0"&amp;DAY((A1889+1)),2)&amp;"."&amp;RIGHT("0"&amp;MONTH((A1889+1)),2)&amp;"."&amp;YEAR((A1889+1))&amp;": "&amp;INDEX('Zgłoszenia'!$H$5:$H$504,MATCH(F1889&amp;"|"&amp;(A1889+1),'Zgłoszenia'!$S$5:$S$504,0)))&amp;IF(K1889&gt;1," (+"&amp;(K1889-1)&amp;")",""))</f>
        <v/>
      </c>
      <c r="M1889" s="63" t="n">
        <v>24</v>
      </c>
      <c r="N1889" s="2" t="n"/>
      <c r="O1889" s="2" t="n"/>
    </row>
    <row r="1890">
      <c r="A1890" s="62">
        <f>IF('24'!$C$1="","",'24'!$C$1)</f>
        <v/>
      </c>
      <c r="B1890" s="63">
        <f>Ustawienia!$A$8&amp;""</f>
        <v/>
      </c>
      <c r="C1890" s="63">
        <f>Ustawienia!$A$18&amp;""</f>
        <v/>
      </c>
      <c r="D1890" s="63" t="n">
        <v>4</v>
      </c>
      <c r="E1890" s="63">
        <f>IF('24'!B35="","",TRIM('24'!B35&amp;""))</f>
        <v/>
      </c>
      <c r="F1890" s="63">
        <f>IF('24'!C35="","",'24'!C35)</f>
        <v/>
      </c>
      <c r="G1890" s="63">
        <f>'24'!D35&amp;""</f>
        <v/>
      </c>
      <c r="H1890" s="63">
        <f>IF(OR(A1890="",F1890=""),"",F1890&amp;"|"&amp;A1890)</f>
        <v/>
      </c>
      <c r="I1890" s="63">
        <f>IF(AND(H1890&lt;&gt;"",OR('Historia wózka'!$B$4="",F1890='Historia wózka'!$B$4),A1890&gt;='Historia wózka'!$B$5,A1890&lt;='Historia wózka'!$B$6),A1890+0.9+(5000-ROW())/10000000,0)</f>
        <v/>
      </c>
      <c r="J1890" s="63">
        <f>Ustawienia!$B$8&amp;""</f>
        <v/>
      </c>
      <c r="K1890" s="63">
        <f>IF(H1890="","",COUNTIFS('Zgłoszenia'!$B$5:$B$504,F1890,'Zgłoszenia'!$D$5:$D$504,"&gt;="&amp;A1890,'Zgłoszenia'!$D$5:$D$504,"&lt;="&amp;(A1890+1)))</f>
        <v/>
      </c>
      <c r="L1890" s="63">
        <f>IF(OR(H1890="",K1890=0),"—",IF(ISNUMBER(MATCH(H1890,'Zgłoszenia'!$S$5:$S$504,0)),RIGHT("0"&amp;DAY(A1890),2)&amp;"."&amp;RIGHT("0"&amp;MONTH(A1890),2)&amp;"."&amp;YEAR(A1890)&amp;": "&amp;INDEX('Zgłoszenia'!$H$5:$H$504,MATCH(H1890,'Zgłoszenia'!$S$5:$S$504,0)),RIGHT("0"&amp;DAY((A1890+1)),2)&amp;"."&amp;RIGHT("0"&amp;MONTH((A1890+1)),2)&amp;"."&amp;YEAR((A1890+1))&amp;": "&amp;INDEX('Zgłoszenia'!$H$5:$H$504,MATCH(F1890&amp;"|"&amp;(A1890+1),'Zgłoszenia'!$S$5:$S$504,0)))&amp;IF(K1890&gt;1," (+"&amp;(K1890-1)&amp;")",""))</f>
        <v/>
      </c>
      <c r="M1890" s="63" t="n">
        <v>24</v>
      </c>
      <c r="N1890" s="2" t="n"/>
      <c r="O1890" s="2" t="n"/>
    </row>
    <row r="1891">
      <c r="A1891" s="62">
        <f>IF('24'!$C$1="","",'24'!$C$1)</f>
        <v/>
      </c>
      <c r="B1891" s="63">
        <f>Ustawienia!$A$8&amp;""</f>
        <v/>
      </c>
      <c r="C1891" s="63">
        <f>Ustawienia!$A$18&amp;""</f>
        <v/>
      </c>
      <c r="D1891" s="63" t="n">
        <v>5</v>
      </c>
      <c r="E1891" s="63">
        <f>IF('24'!B36="","",TRIM('24'!B36&amp;""))</f>
        <v/>
      </c>
      <c r="F1891" s="63">
        <f>IF('24'!C36="","",'24'!C36)</f>
        <v/>
      </c>
      <c r="G1891" s="63">
        <f>'24'!D36&amp;""</f>
        <v/>
      </c>
      <c r="H1891" s="63">
        <f>IF(OR(A1891="",F1891=""),"",F1891&amp;"|"&amp;A1891)</f>
        <v/>
      </c>
      <c r="I1891" s="63">
        <f>IF(AND(H1891&lt;&gt;"",OR('Historia wózka'!$B$4="",F1891='Historia wózka'!$B$4),A1891&gt;='Historia wózka'!$B$5,A1891&lt;='Historia wózka'!$B$6),A1891+0.9+(5000-ROW())/10000000,0)</f>
        <v/>
      </c>
      <c r="J1891" s="63">
        <f>Ustawienia!$B$8&amp;""</f>
        <v/>
      </c>
      <c r="K1891" s="63">
        <f>IF(H1891="","",COUNTIFS('Zgłoszenia'!$B$5:$B$504,F1891,'Zgłoszenia'!$D$5:$D$504,"&gt;="&amp;A1891,'Zgłoszenia'!$D$5:$D$504,"&lt;="&amp;(A1891+1)))</f>
        <v/>
      </c>
      <c r="L1891" s="63">
        <f>IF(OR(H1891="",K1891=0),"—",IF(ISNUMBER(MATCH(H1891,'Zgłoszenia'!$S$5:$S$504,0)),RIGHT("0"&amp;DAY(A1891),2)&amp;"."&amp;RIGHT("0"&amp;MONTH(A1891),2)&amp;"."&amp;YEAR(A1891)&amp;": "&amp;INDEX('Zgłoszenia'!$H$5:$H$504,MATCH(H1891,'Zgłoszenia'!$S$5:$S$504,0)),RIGHT("0"&amp;DAY((A1891+1)),2)&amp;"."&amp;RIGHT("0"&amp;MONTH((A1891+1)),2)&amp;"."&amp;YEAR((A1891+1))&amp;": "&amp;INDEX('Zgłoszenia'!$H$5:$H$504,MATCH(F1891&amp;"|"&amp;(A1891+1),'Zgłoszenia'!$S$5:$S$504,0)))&amp;IF(K1891&gt;1," (+"&amp;(K1891-1)&amp;")",""))</f>
        <v/>
      </c>
      <c r="M1891" s="63" t="n">
        <v>24</v>
      </c>
      <c r="N1891" s="2" t="n"/>
      <c r="O1891" s="2" t="n"/>
    </row>
    <row r="1892">
      <c r="A1892" s="62">
        <f>IF('24'!$C$1="","",'24'!$C$1)</f>
        <v/>
      </c>
      <c r="B1892" s="63">
        <f>Ustawienia!$A$9&amp;""</f>
        <v/>
      </c>
      <c r="C1892" s="63">
        <f>Ustawienia!$A$14&amp;""</f>
        <v/>
      </c>
      <c r="D1892" s="63" t="n">
        <v>1</v>
      </c>
      <c r="E1892" s="63">
        <f>IF('24'!F6="","",TRIM('24'!F6&amp;""))</f>
        <v/>
      </c>
      <c r="F1892" s="63">
        <f>IF('24'!G6="","",'24'!G6)</f>
        <v/>
      </c>
      <c r="G1892" s="63">
        <f>'24'!H6&amp;""</f>
        <v/>
      </c>
      <c r="H1892" s="63">
        <f>IF(OR(A1892="",F1892=""),"",F1892&amp;"|"&amp;A1892)</f>
        <v/>
      </c>
      <c r="I1892" s="63">
        <f>IF(AND(H1892&lt;&gt;"",OR('Historia wózka'!$B$4="",F1892='Historia wózka'!$B$4),A1892&gt;='Historia wózka'!$B$5,A1892&lt;='Historia wózka'!$B$6),A1892+0.8+(5000-ROW())/10000000,0)</f>
        <v/>
      </c>
      <c r="J1892" s="63">
        <f>Ustawienia!$B$9&amp;""</f>
        <v/>
      </c>
      <c r="K1892" s="63">
        <f>IF(H1892="","",COUNTIFS('Zgłoszenia'!$B$5:$B$504,F1892,'Zgłoszenia'!$D$5:$D$504,"&gt;="&amp;A1892,'Zgłoszenia'!$D$5:$D$504,"&lt;="&amp;(A1892+1)))</f>
        <v/>
      </c>
      <c r="L1892" s="63">
        <f>IF(OR(H1892="",K1892=0),"—",IF(ISNUMBER(MATCH(H1892,'Zgłoszenia'!$S$5:$S$504,0)),RIGHT("0"&amp;DAY(A1892),2)&amp;"."&amp;RIGHT("0"&amp;MONTH(A1892),2)&amp;"."&amp;YEAR(A1892)&amp;": "&amp;INDEX('Zgłoszenia'!$H$5:$H$504,MATCH(H1892,'Zgłoszenia'!$S$5:$S$504,0)),RIGHT("0"&amp;DAY((A1892+1)),2)&amp;"."&amp;RIGHT("0"&amp;MONTH((A1892+1)),2)&amp;"."&amp;YEAR((A1892+1))&amp;": "&amp;INDEX('Zgłoszenia'!$H$5:$H$504,MATCH(F1892&amp;"|"&amp;(A1892+1),'Zgłoszenia'!$S$5:$S$504,0)))&amp;IF(K1892&gt;1," (+"&amp;(K1892-1)&amp;")",""))</f>
        <v/>
      </c>
      <c r="M1892" s="63" t="n">
        <v>24</v>
      </c>
      <c r="N1892" s="2" t="n"/>
      <c r="O1892" s="2" t="n"/>
    </row>
    <row r="1893">
      <c r="A1893" s="62">
        <f>IF('24'!$C$1="","",'24'!$C$1)</f>
        <v/>
      </c>
      <c r="B1893" s="63">
        <f>Ustawienia!$A$9&amp;""</f>
        <v/>
      </c>
      <c r="C1893" s="63">
        <f>Ustawienia!$A$14&amp;""</f>
        <v/>
      </c>
      <c r="D1893" s="63" t="n">
        <v>2</v>
      </c>
      <c r="E1893" s="63">
        <f>IF('24'!F7="","",TRIM('24'!F7&amp;""))</f>
        <v/>
      </c>
      <c r="F1893" s="63">
        <f>IF('24'!G7="","",'24'!G7)</f>
        <v/>
      </c>
      <c r="G1893" s="63">
        <f>'24'!H7&amp;""</f>
        <v/>
      </c>
      <c r="H1893" s="63">
        <f>IF(OR(A1893="",F1893=""),"",F1893&amp;"|"&amp;A1893)</f>
        <v/>
      </c>
      <c r="I1893" s="63">
        <f>IF(AND(H1893&lt;&gt;"",OR('Historia wózka'!$B$4="",F1893='Historia wózka'!$B$4),A1893&gt;='Historia wózka'!$B$5,A1893&lt;='Historia wózka'!$B$6),A1893+0.8+(5000-ROW())/10000000,0)</f>
        <v/>
      </c>
      <c r="J1893" s="63">
        <f>Ustawienia!$B$9&amp;""</f>
        <v/>
      </c>
      <c r="K1893" s="63">
        <f>IF(H1893="","",COUNTIFS('Zgłoszenia'!$B$5:$B$504,F1893,'Zgłoszenia'!$D$5:$D$504,"&gt;="&amp;A1893,'Zgłoszenia'!$D$5:$D$504,"&lt;="&amp;(A1893+1)))</f>
        <v/>
      </c>
      <c r="L1893" s="63">
        <f>IF(OR(H1893="",K1893=0),"—",IF(ISNUMBER(MATCH(H1893,'Zgłoszenia'!$S$5:$S$504,0)),RIGHT("0"&amp;DAY(A1893),2)&amp;"."&amp;RIGHT("0"&amp;MONTH(A1893),2)&amp;"."&amp;YEAR(A1893)&amp;": "&amp;INDEX('Zgłoszenia'!$H$5:$H$504,MATCH(H1893,'Zgłoszenia'!$S$5:$S$504,0)),RIGHT("0"&amp;DAY((A1893+1)),2)&amp;"."&amp;RIGHT("0"&amp;MONTH((A1893+1)),2)&amp;"."&amp;YEAR((A1893+1))&amp;": "&amp;INDEX('Zgłoszenia'!$H$5:$H$504,MATCH(F1893&amp;"|"&amp;(A1893+1),'Zgłoszenia'!$S$5:$S$504,0)))&amp;IF(K1893&gt;1," (+"&amp;(K1893-1)&amp;")",""))</f>
        <v/>
      </c>
      <c r="M1893" s="63" t="n">
        <v>24</v>
      </c>
      <c r="N1893" s="2" t="n"/>
      <c r="O1893" s="2" t="n"/>
    </row>
    <row r="1894">
      <c r="A1894" s="62">
        <f>IF('24'!$C$1="","",'24'!$C$1)</f>
        <v/>
      </c>
      <c r="B1894" s="63">
        <f>Ustawienia!$A$9&amp;""</f>
        <v/>
      </c>
      <c r="C1894" s="63">
        <f>Ustawienia!$A$14&amp;""</f>
        <v/>
      </c>
      <c r="D1894" s="63" t="n">
        <v>3</v>
      </c>
      <c r="E1894" s="63">
        <f>IF('24'!F8="","",TRIM('24'!F8&amp;""))</f>
        <v/>
      </c>
      <c r="F1894" s="63">
        <f>IF('24'!G8="","",'24'!G8)</f>
        <v/>
      </c>
      <c r="G1894" s="63">
        <f>'24'!H8&amp;""</f>
        <v/>
      </c>
      <c r="H1894" s="63">
        <f>IF(OR(A1894="",F1894=""),"",F1894&amp;"|"&amp;A1894)</f>
        <v/>
      </c>
      <c r="I1894" s="63">
        <f>IF(AND(H1894&lt;&gt;"",OR('Historia wózka'!$B$4="",F1894='Historia wózka'!$B$4),A1894&gt;='Historia wózka'!$B$5,A1894&lt;='Historia wózka'!$B$6),A1894+0.8+(5000-ROW())/10000000,0)</f>
        <v/>
      </c>
      <c r="J1894" s="63">
        <f>Ustawienia!$B$9&amp;""</f>
        <v/>
      </c>
      <c r="K1894" s="63">
        <f>IF(H1894="","",COUNTIFS('Zgłoszenia'!$B$5:$B$504,F1894,'Zgłoszenia'!$D$5:$D$504,"&gt;="&amp;A1894,'Zgłoszenia'!$D$5:$D$504,"&lt;="&amp;(A1894+1)))</f>
        <v/>
      </c>
      <c r="L1894" s="63">
        <f>IF(OR(H1894="",K1894=0),"—",IF(ISNUMBER(MATCH(H1894,'Zgłoszenia'!$S$5:$S$504,0)),RIGHT("0"&amp;DAY(A1894),2)&amp;"."&amp;RIGHT("0"&amp;MONTH(A1894),2)&amp;"."&amp;YEAR(A1894)&amp;": "&amp;INDEX('Zgłoszenia'!$H$5:$H$504,MATCH(H1894,'Zgłoszenia'!$S$5:$S$504,0)),RIGHT("0"&amp;DAY((A1894+1)),2)&amp;"."&amp;RIGHT("0"&amp;MONTH((A1894+1)),2)&amp;"."&amp;YEAR((A1894+1))&amp;": "&amp;INDEX('Zgłoszenia'!$H$5:$H$504,MATCH(F1894&amp;"|"&amp;(A1894+1),'Zgłoszenia'!$S$5:$S$504,0)))&amp;IF(K1894&gt;1," (+"&amp;(K1894-1)&amp;")",""))</f>
        <v/>
      </c>
      <c r="M1894" s="63" t="n">
        <v>24</v>
      </c>
      <c r="N1894" s="2" t="n"/>
      <c r="O1894" s="2" t="n"/>
    </row>
    <row r="1895">
      <c r="A1895" s="62">
        <f>IF('24'!$C$1="","",'24'!$C$1)</f>
        <v/>
      </c>
      <c r="B1895" s="63">
        <f>Ustawienia!$A$9&amp;""</f>
        <v/>
      </c>
      <c r="C1895" s="63">
        <f>Ustawienia!$A$14&amp;""</f>
        <v/>
      </c>
      <c r="D1895" s="63" t="n">
        <v>4</v>
      </c>
      <c r="E1895" s="63">
        <f>IF('24'!F9="","",TRIM('24'!F9&amp;""))</f>
        <v/>
      </c>
      <c r="F1895" s="63">
        <f>IF('24'!G9="","",'24'!G9)</f>
        <v/>
      </c>
      <c r="G1895" s="63">
        <f>'24'!H9&amp;""</f>
        <v/>
      </c>
      <c r="H1895" s="63">
        <f>IF(OR(A1895="",F1895=""),"",F1895&amp;"|"&amp;A1895)</f>
        <v/>
      </c>
      <c r="I1895" s="63">
        <f>IF(AND(H1895&lt;&gt;"",OR('Historia wózka'!$B$4="",F1895='Historia wózka'!$B$4),A1895&gt;='Historia wózka'!$B$5,A1895&lt;='Historia wózka'!$B$6),A1895+0.8+(5000-ROW())/10000000,0)</f>
        <v/>
      </c>
      <c r="J1895" s="63">
        <f>Ustawienia!$B$9&amp;""</f>
        <v/>
      </c>
      <c r="K1895" s="63">
        <f>IF(H1895="","",COUNTIFS('Zgłoszenia'!$B$5:$B$504,F1895,'Zgłoszenia'!$D$5:$D$504,"&gt;="&amp;A1895,'Zgłoszenia'!$D$5:$D$504,"&lt;="&amp;(A1895+1)))</f>
        <v/>
      </c>
      <c r="L1895" s="63">
        <f>IF(OR(H1895="",K1895=0),"—",IF(ISNUMBER(MATCH(H1895,'Zgłoszenia'!$S$5:$S$504,0)),RIGHT("0"&amp;DAY(A1895),2)&amp;"."&amp;RIGHT("0"&amp;MONTH(A1895),2)&amp;"."&amp;YEAR(A1895)&amp;": "&amp;INDEX('Zgłoszenia'!$H$5:$H$504,MATCH(H1895,'Zgłoszenia'!$S$5:$S$504,0)),RIGHT("0"&amp;DAY((A1895+1)),2)&amp;"."&amp;RIGHT("0"&amp;MONTH((A1895+1)),2)&amp;"."&amp;YEAR((A1895+1))&amp;": "&amp;INDEX('Zgłoszenia'!$H$5:$H$504,MATCH(F1895&amp;"|"&amp;(A1895+1),'Zgłoszenia'!$S$5:$S$504,0)))&amp;IF(K1895&gt;1," (+"&amp;(K1895-1)&amp;")",""))</f>
        <v/>
      </c>
      <c r="M1895" s="63" t="n">
        <v>24</v>
      </c>
      <c r="N1895" s="2" t="n"/>
      <c r="O1895" s="2" t="n"/>
    </row>
    <row r="1896">
      <c r="A1896" s="62">
        <f>IF('24'!$C$1="","",'24'!$C$1)</f>
        <v/>
      </c>
      <c r="B1896" s="63">
        <f>Ustawienia!$A$9&amp;""</f>
        <v/>
      </c>
      <c r="C1896" s="63">
        <f>Ustawienia!$A$14&amp;""</f>
        <v/>
      </c>
      <c r="D1896" s="63" t="n">
        <v>5</v>
      </c>
      <c r="E1896" s="63">
        <f>IF('24'!F10="","",TRIM('24'!F10&amp;""))</f>
        <v/>
      </c>
      <c r="F1896" s="63">
        <f>IF('24'!G10="","",'24'!G10)</f>
        <v/>
      </c>
      <c r="G1896" s="63">
        <f>'24'!H10&amp;""</f>
        <v/>
      </c>
      <c r="H1896" s="63">
        <f>IF(OR(A1896="",F1896=""),"",F1896&amp;"|"&amp;A1896)</f>
        <v/>
      </c>
      <c r="I1896" s="63">
        <f>IF(AND(H1896&lt;&gt;"",OR('Historia wózka'!$B$4="",F1896='Historia wózka'!$B$4),A1896&gt;='Historia wózka'!$B$5,A1896&lt;='Historia wózka'!$B$6),A1896+0.8+(5000-ROW())/10000000,0)</f>
        <v/>
      </c>
      <c r="J1896" s="63">
        <f>Ustawienia!$B$9&amp;""</f>
        <v/>
      </c>
      <c r="K1896" s="63">
        <f>IF(H1896="","",COUNTIFS('Zgłoszenia'!$B$5:$B$504,F1896,'Zgłoszenia'!$D$5:$D$504,"&gt;="&amp;A1896,'Zgłoszenia'!$D$5:$D$504,"&lt;="&amp;(A1896+1)))</f>
        <v/>
      </c>
      <c r="L1896" s="63">
        <f>IF(OR(H1896="",K1896=0),"—",IF(ISNUMBER(MATCH(H1896,'Zgłoszenia'!$S$5:$S$504,0)),RIGHT("0"&amp;DAY(A1896),2)&amp;"."&amp;RIGHT("0"&amp;MONTH(A1896),2)&amp;"."&amp;YEAR(A1896)&amp;": "&amp;INDEX('Zgłoszenia'!$H$5:$H$504,MATCH(H1896,'Zgłoszenia'!$S$5:$S$504,0)),RIGHT("0"&amp;DAY((A1896+1)),2)&amp;"."&amp;RIGHT("0"&amp;MONTH((A1896+1)),2)&amp;"."&amp;YEAR((A1896+1))&amp;": "&amp;INDEX('Zgłoszenia'!$H$5:$H$504,MATCH(F1896&amp;"|"&amp;(A1896+1),'Zgłoszenia'!$S$5:$S$504,0)))&amp;IF(K1896&gt;1," (+"&amp;(K1896-1)&amp;")",""))</f>
        <v/>
      </c>
      <c r="M1896" s="63" t="n">
        <v>24</v>
      </c>
      <c r="N1896" s="2" t="n"/>
      <c r="O1896" s="2" t="n"/>
    </row>
    <row r="1897">
      <c r="A1897" s="62">
        <f>IF('24'!$C$1="","",'24'!$C$1)</f>
        <v/>
      </c>
      <c r="B1897" s="63">
        <f>Ustawienia!$A$9&amp;""</f>
        <v/>
      </c>
      <c r="C1897" s="63">
        <f>Ustawienia!$A$14&amp;""</f>
        <v/>
      </c>
      <c r="D1897" s="63" t="n">
        <v>6</v>
      </c>
      <c r="E1897" s="63">
        <f>IF('24'!F11="","",TRIM('24'!F11&amp;""))</f>
        <v/>
      </c>
      <c r="F1897" s="63">
        <f>IF('24'!G11="","",'24'!G11)</f>
        <v/>
      </c>
      <c r="G1897" s="63">
        <f>'24'!H11&amp;""</f>
        <v/>
      </c>
      <c r="H1897" s="63">
        <f>IF(OR(A1897="",F1897=""),"",F1897&amp;"|"&amp;A1897)</f>
        <v/>
      </c>
      <c r="I1897" s="63">
        <f>IF(AND(H1897&lt;&gt;"",OR('Historia wózka'!$B$4="",F1897='Historia wózka'!$B$4),A1897&gt;='Historia wózka'!$B$5,A1897&lt;='Historia wózka'!$B$6),A1897+0.8+(5000-ROW())/10000000,0)</f>
        <v/>
      </c>
      <c r="J1897" s="63">
        <f>Ustawienia!$B$9&amp;""</f>
        <v/>
      </c>
      <c r="K1897" s="63">
        <f>IF(H1897="","",COUNTIFS('Zgłoszenia'!$B$5:$B$504,F1897,'Zgłoszenia'!$D$5:$D$504,"&gt;="&amp;A1897,'Zgłoszenia'!$D$5:$D$504,"&lt;="&amp;(A1897+1)))</f>
        <v/>
      </c>
      <c r="L1897" s="63">
        <f>IF(OR(H1897="",K1897=0),"—",IF(ISNUMBER(MATCH(H1897,'Zgłoszenia'!$S$5:$S$504,0)),RIGHT("0"&amp;DAY(A1897),2)&amp;"."&amp;RIGHT("0"&amp;MONTH(A1897),2)&amp;"."&amp;YEAR(A1897)&amp;": "&amp;INDEX('Zgłoszenia'!$H$5:$H$504,MATCH(H1897,'Zgłoszenia'!$S$5:$S$504,0)),RIGHT("0"&amp;DAY((A1897+1)),2)&amp;"."&amp;RIGHT("0"&amp;MONTH((A1897+1)),2)&amp;"."&amp;YEAR((A1897+1))&amp;": "&amp;INDEX('Zgłoszenia'!$H$5:$H$504,MATCH(F1897&amp;"|"&amp;(A1897+1),'Zgłoszenia'!$S$5:$S$504,0)))&amp;IF(K1897&gt;1," (+"&amp;(K1897-1)&amp;")",""))</f>
        <v/>
      </c>
      <c r="M1897" s="63" t="n">
        <v>24</v>
      </c>
      <c r="N1897" s="2" t="n"/>
      <c r="O1897" s="2" t="n"/>
    </row>
    <row r="1898">
      <c r="A1898" s="62">
        <f>IF('24'!$C$1="","",'24'!$C$1)</f>
        <v/>
      </c>
      <c r="B1898" s="63">
        <f>Ustawienia!$A$9&amp;""</f>
        <v/>
      </c>
      <c r="C1898" s="63">
        <f>Ustawienia!$A$15&amp;""</f>
        <v/>
      </c>
      <c r="D1898" s="63" t="n">
        <v>1</v>
      </c>
      <c r="E1898" s="63">
        <f>IF('24'!F13="","",TRIM('24'!F13&amp;""))</f>
        <v/>
      </c>
      <c r="F1898" s="63">
        <f>IF('24'!G13="","",'24'!G13)</f>
        <v/>
      </c>
      <c r="G1898" s="63">
        <f>'24'!H13&amp;""</f>
        <v/>
      </c>
      <c r="H1898" s="63">
        <f>IF(OR(A1898="",F1898=""),"",F1898&amp;"|"&amp;A1898)</f>
        <v/>
      </c>
      <c r="I1898" s="63">
        <f>IF(AND(H1898&lt;&gt;"",OR('Historia wózka'!$B$4="",F1898='Historia wózka'!$B$4),A1898&gt;='Historia wózka'!$B$5,A1898&lt;='Historia wózka'!$B$6),A1898+0.8+(5000-ROW())/10000000,0)</f>
        <v/>
      </c>
      <c r="J1898" s="63">
        <f>Ustawienia!$B$9&amp;""</f>
        <v/>
      </c>
      <c r="K1898" s="63">
        <f>IF(H1898="","",COUNTIFS('Zgłoszenia'!$B$5:$B$504,F1898,'Zgłoszenia'!$D$5:$D$504,"&gt;="&amp;A1898,'Zgłoszenia'!$D$5:$D$504,"&lt;="&amp;(A1898+1)))</f>
        <v/>
      </c>
      <c r="L1898" s="63">
        <f>IF(OR(H1898="",K1898=0),"—",IF(ISNUMBER(MATCH(H1898,'Zgłoszenia'!$S$5:$S$504,0)),RIGHT("0"&amp;DAY(A1898),2)&amp;"."&amp;RIGHT("0"&amp;MONTH(A1898),2)&amp;"."&amp;YEAR(A1898)&amp;": "&amp;INDEX('Zgłoszenia'!$H$5:$H$504,MATCH(H1898,'Zgłoszenia'!$S$5:$S$504,0)),RIGHT("0"&amp;DAY((A1898+1)),2)&amp;"."&amp;RIGHT("0"&amp;MONTH((A1898+1)),2)&amp;"."&amp;YEAR((A1898+1))&amp;": "&amp;INDEX('Zgłoszenia'!$H$5:$H$504,MATCH(F1898&amp;"|"&amp;(A1898+1),'Zgłoszenia'!$S$5:$S$504,0)))&amp;IF(K1898&gt;1," (+"&amp;(K1898-1)&amp;")",""))</f>
        <v/>
      </c>
      <c r="M1898" s="63" t="n">
        <v>24</v>
      </c>
      <c r="N1898" s="2" t="n"/>
      <c r="O1898" s="2" t="n"/>
    </row>
    <row r="1899">
      <c r="A1899" s="62">
        <f>IF('24'!$C$1="","",'24'!$C$1)</f>
        <v/>
      </c>
      <c r="B1899" s="63">
        <f>Ustawienia!$A$9&amp;""</f>
        <v/>
      </c>
      <c r="C1899" s="63">
        <f>Ustawienia!$A$15&amp;""</f>
        <v/>
      </c>
      <c r="D1899" s="63" t="n">
        <v>2</v>
      </c>
      <c r="E1899" s="63">
        <f>IF('24'!F14="","",TRIM('24'!F14&amp;""))</f>
        <v/>
      </c>
      <c r="F1899" s="63">
        <f>IF('24'!G14="","",'24'!G14)</f>
        <v/>
      </c>
      <c r="G1899" s="63">
        <f>'24'!H14&amp;""</f>
        <v/>
      </c>
      <c r="H1899" s="63">
        <f>IF(OR(A1899="",F1899=""),"",F1899&amp;"|"&amp;A1899)</f>
        <v/>
      </c>
      <c r="I1899" s="63">
        <f>IF(AND(H1899&lt;&gt;"",OR('Historia wózka'!$B$4="",F1899='Historia wózka'!$B$4),A1899&gt;='Historia wózka'!$B$5,A1899&lt;='Historia wózka'!$B$6),A1899+0.8+(5000-ROW())/10000000,0)</f>
        <v/>
      </c>
      <c r="J1899" s="63">
        <f>Ustawienia!$B$9&amp;""</f>
        <v/>
      </c>
      <c r="K1899" s="63">
        <f>IF(H1899="","",COUNTIFS('Zgłoszenia'!$B$5:$B$504,F1899,'Zgłoszenia'!$D$5:$D$504,"&gt;="&amp;A1899,'Zgłoszenia'!$D$5:$D$504,"&lt;="&amp;(A1899+1)))</f>
        <v/>
      </c>
      <c r="L1899" s="63">
        <f>IF(OR(H1899="",K1899=0),"—",IF(ISNUMBER(MATCH(H1899,'Zgłoszenia'!$S$5:$S$504,0)),RIGHT("0"&amp;DAY(A1899),2)&amp;"."&amp;RIGHT("0"&amp;MONTH(A1899),2)&amp;"."&amp;YEAR(A1899)&amp;": "&amp;INDEX('Zgłoszenia'!$H$5:$H$504,MATCH(H1899,'Zgłoszenia'!$S$5:$S$504,0)),RIGHT("0"&amp;DAY((A1899+1)),2)&amp;"."&amp;RIGHT("0"&amp;MONTH((A1899+1)),2)&amp;"."&amp;YEAR((A1899+1))&amp;": "&amp;INDEX('Zgłoszenia'!$H$5:$H$504,MATCH(F1899&amp;"|"&amp;(A1899+1),'Zgłoszenia'!$S$5:$S$504,0)))&amp;IF(K1899&gt;1," (+"&amp;(K1899-1)&amp;")",""))</f>
        <v/>
      </c>
      <c r="M1899" s="63" t="n">
        <v>24</v>
      </c>
      <c r="N1899" s="2" t="n"/>
      <c r="O1899" s="2" t="n"/>
    </row>
    <row r="1900">
      <c r="A1900" s="62">
        <f>IF('24'!$C$1="","",'24'!$C$1)</f>
        <v/>
      </c>
      <c r="B1900" s="63">
        <f>Ustawienia!$A$9&amp;""</f>
        <v/>
      </c>
      <c r="C1900" s="63">
        <f>Ustawienia!$A$15&amp;""</f>
        <v/>
      </c>
      <c r="D1900" s="63" t="n">
        <v>3</v>
      </c>
      <c r="E1900" s="63">
        <f>IF('24'!F15="","",TRIM('24'!F15&amp;""))</f>
        <v/>
      </c>
      <c r="F1900" s="63">
        <f>IF('24'!G15="","",'24'!G15)</f>
        <v/>
      </c>
      <c r="G1900" s="63">
        <f>'24'!H15&amp;""</f>
        <v/>
      </c>
      <c r="H1900" s="63">
        <f>IF(OR(A1900="",F1900=""),"",F1900&amp;"|"&amp;A1900)</f>
        <v/>
      </c>
      <c r="I1900" s="63">
        <f>IF(AND(H1900&lt;&gt;"",OR('Historia wózka'!$B$4="",F1900='Historia wózka'!$B$4),A1900&gt;='Historia wózka'!$B$5,A1900&lt;='Historia wózka'!$B$6),A1900+0.8+(5000-ROW())/10000000,0)</f>
        <v/>
      </c>
      <c r="J1900" s="63">
        <f>Ustawienia!$B$9&amp;""</f>
        <v/>
      </c>
      <c r="K1900" s="63">
        <f>IF(H1900="","",COUNTIFS('Zgłoszenia'!$B$5:$B$504,F1900,'Zgłoszenia'!$D$5:$D$504,"&gt;="&amp;A1900,'Zgłoszenia'!$D$5:$D$504,"&lt;="&amp;(A1900+1)))</f>
        <v/>
      </c>
      <c r="L1900" s="63">
        <f>IF(OR(H1900="",K1900=0),"—",IF(ISNUMBER(MATCH(H1900,'Zgłoszenia'!$S$5:$S$504,0)),RIGHT("0"&amp;DAY(A1900),2)&amp;"."&amp;RIGHT("0"&amp;MONTH(A1900),2)&amp;"."&amp;YEAR(A1900)&amp;": "&amp;INDEX('Zgłoszenia'!$H$5:$H$504,MATCH(H1900,'Zgłoszenia'!$S$5:$S$504,0)),RIGHT("0"&amp;DAY((A1900+1)),2)&amp;"."&amp;RIGHT("0"&amp;MONTH((A1900+1)),2)&amp;"."&amp;YEAR((A1900+1))&amp;": "&amp;INDEX('Zgłoszenia'!$H$5:$H$504,MATCH(F1900&amp;"|"&amp;(A1900+1),'Zgłoszenia'!$S$5:$S$504,0)))&amp;IF(K1900&gt;1," (+"&amp;(K1900-1)&amp;")",""))</f>
        <v/>
      </c>
      <c r="M1900" s="63" t="n">
        <v>24</v>
      </c>
      <c r="N1900" s="2" t="n"/>
      <c r="O1900" s="2" t="n"/>
    </row>
    <row r="1901">
      <c r="A1901" s="62">
        <f>IF('24'!$C$1="","",'24'!$C$1)</f>
        <v/>
      </c>
      <c r="B1901" s="63">
        <f>Ustawienia!$A$9&amp;""</f>
        <v/>
      </c>
      <c r="C1901" s="63">
        <f>Ustawienia!$A$15&amp;""</f>
        <v/>
      </c>
      <c r="D1901" s="63" t="n">
        <v>4</v>
      </c>
      <c r="E1901" s="63">
        <f>IF('24'!F16="","",TRIM('24'!F16&amp;""))</f>
        <v/>
      </c>
      <c r="F1901" s="63">
        <f>IF('24'!G16="","",'24'!G16)</f>
        <v/>
      </c>
      <c r="G1901" s="63">
        <f>'24'!H16&amp;""</f>
        <v/>
      </c>
      <c r="H1901" s="63">
        <f>IF(OR(A1901="",F1901=""),"",F1901&amp;"|"&amp;A1901)</f>
        <v/>
      </c>
      <c r="I1901" s="63">
        <f>IF(AND(H1901&lt;&gt;"",OR('Historia wózka'!$B$4="",F1901='Historia wózka'!$B$4),A1901&gt;='Historia wózka'!$B$5,A1901&lt;='Historia wózka'!$B$6),A1901+0.8+(5000-ROW())/10000000,0)</f>
        <v/>
      </c>
      <c r="J1901" s="63">
        <f>Ustawienia!$B$9&amp;""</f>
        <v/>
      </c>
      <c r="K1901" s="63">
        <f>IF(H1901="","",COUNTIFS('Zgłoszenia'!$B$5:$B$504,F1901,'Zgłoszenia'!$D$5:$D$504,"&gt;="&amp;A1901,'Zgłoszenia'!$D$5:$D$504,"&lt;="&amp;(A1901+1)))</f>
        <v/>
      </c>
      <c r="L1901" s="63">
        <f>IF(OR(H1901="",K1901=0),"—",IF(ISNUMBER(MATCH(H1901,'Zgłoszenia'!$S$5:$S$504,0)),RIGHT("0"&amp;DAY(A1901),2)&amp;"."&amp;RIGHT("0"&amp;MONTH(A1901),2)&amp;"."&amp;YEAR(A1901)&amp;": "&amp;INDEX('Zgłoszenia'!$H$5:$H$504,MATCH(H1901,'Zgłoszenia'!$S$5:$S$504,0)),RIGHT("0"&amp;DAY((A1901+1)),2)&amp;"."&amp;RIGHT("0"&amp;MONTH((A1901+1)),2)&amp;"."&amp;YEAR((A1901+1))&amp;": "&amp;INDEX('Zgłoszenia'!$H$5:$H$504,MATCH(F1901&amp;"|"&amp;(A1901+1),'Zgłoszenia'!$S$5:$S$504,0)))&amp;IF(K1901&gt;1," (+"&amp;(K1901-1)&amp;")",""))</f>
        <v/>
      </c>
      <c r="M1901" s="63" t="n">
        <v>24</v>
      </c>
      <c r="N1901" s="2" t="n"/>
      <c r="O1901" s="2" t="n"/>
    </row>
    <row r="1902">
      <c r="A1902" s="62">
        <f>IF('24'!$C$1="","",'24'!$C$1)</f>
        <v/>
      </c>
      <c r="B1902" s="63">
        <f>Ustawienia!$A$9&amp;""</f>
        <v/>
      </c>
      <c r="C1902" s="63">
        <f>Ustawienia!$A$15&amp;""</f>
        <v/>
      </c>
      <c r="D1902" s="63" t="n">
        <v>5</v>
      </c>
      <c r="E1902" s="63">
        <f>IF('24'!F17="","",TRIM('24'!F17&amp;""))</f>
        <v/>
      </c>
      <c r="F1902" s="63">
        <f>IF('24'!G17="","",'24'!G17)</f>
        <v/>
      </c>
      <c r="G1902" s="63">
        <f>'24'!H17&amp;""</f>
        <v/>
      </c>
      <c r="H1902" s="63">
        <f>IF(OR(A1902="",F1902=""),"",F1902&amp;"|"&amp;A1902)</f>
        <v/>
      </c>
      <c r="I1902" s="63">
        <f>IF(AND(H1902&lt;&gt;"",OR('Historia wózka'!$B$4="",F1902='Historia wózka'!$B$4),A1902&gt;='Historia wózka'!$B$5,A1902&lt;='Historia wózka'!$B$6),A1902+0.8+(5000-ROW())/10000000,0)</f>
        <v/>
      </c>
      <c r="J1902" s="63">
        <f>Ustawienia!$B$9&amp;""</f>
        <v/>
      </c>
      <c r="K1902" s="63">
        <f>IF(H1902="","",COUNTIFS('Zgłoszenia'!$B$5:$B$504,F1902,'Zgłoszenia'!$D$5:$D$504,"&gt;="&amp;A1902,'Zgłoszenia'!$D$5:$D$504,"&lt;="&amp;(A1902+1)))</f>
        <v/>
      </c>
      <c r="L1902" s="63">
        <f>IF(OR(H1902="",K1902=0),"—",IF(ISNUMBER(MATCH(H1902,'Zgłoszenia'!$S$5:$S$504,0)),RIGHT("0"&amp;DAY(A1902),2)&amp;"."&amp;RIGHT("0"&amp;MONTH(A1902),2)&amp;"."&amp;YEAR(A1902)&amp;": "&amp;INDEX('Zgłoszenia'!$H$5:$H$504,MATCH(H1902,'Zgłoszenia'!$S$5:$S$504,0)),RIGHT("0"&amp;DAY((A1902+1)),2)&amp;"."&amp;RIGHT("0"&amp;MONTH((A1902+1)),2)&amp;"."&amp;YEAR((A1902+1))&amp;": "&amp;INDEX('Zgłoszenia'!$H$5:$H$504,MATCH(F1902&amp;"|"&amp;(A1902+1),'Zgłoszenia'!$S$5:$S$504,0)))&amp;IF(K1902&gt;1," (+"&amp;(K1902-1)&amp;")",""))</f>
        <v/>
      </c>
      <c r="M1902" s="63" t="n">
        <v>24</v>
      </c>
      <c r="N1902" s="2" t="n"/>
      <c r="O1902" s="2" t="n"/>
    </row>
    <row r="1903">
      <c r="A1903" s="62">
        <f>IF('24'!$C$1="","",'24'!$C$1)</f>
        <v/>
      </c>
      <c r="B1903" s="63">
        <f>Ustawienia!$A$9&amp;""</f>
        <v/>
      </c>
      <c r="C1903" s="63">
        <f>Ustawienia!$A$15&amp;""</f>
        <v/>
      </c>
      <c r="D1903" s="63" t="n">
        <v>6</v>
      </c>
      <c r="E1903" s="63">
        <f>IF('24'!F18="","",TRIM('24'!F18&amp;""))</f>
        <v/>
      </c>
      <c r="F1903" s="63">
        <f>IF('24'!G18="","",'24'!G18)</f>
        <v/>
      </c>
      <c r="G1903" s="63">
        <f>'24'!H18&amp;""</f>
        <v/>
      </c>
      <c r="H1903" s="63">
        <f>IF(OR(A1903="",F1903=""),"",F1903&amp;"|"&amp;A1903)</f>
        <v/>
      </c>
      <c r="I1903" s="63">
        <f>IF(AND(H1903&lt;&gt;"",OR('Historia wózka'!$B$4="",F1903='Historia wózka'!$B$4),A1903&gt;='Historia wózka'!$B$5,A1903&lt;='Historia wózka'!$B$6),A1903+0.8+(5000-ROW())/10000000,0)</f>
        <v/>
      </c>
      <c r="J1903" s="63">
        <f>Ustawienia!$B$9&amp;""</f>
        <v/>
      </c>
      <c r="K1903" s="63">
        <f>IF(H1903="","",COUNTIFS('Zgłoszenia'!$B$5:$B$504,F1903,'Zgłoszenia'!$D$5:$D$504,"&gt;="&amp;A1903,'Zgłoszenia'!$D$5:$D$504,"&lt;="&amp;(A1903+1)))</f>
        <v/>
      </c>
      <c r="L1903" s="63">
        <f>IF(OR(H1903="",K1903=0),"—",IF(ISNUMBER(MATCH(H1903,'Zgłoszenia'!$S$5:$S$504,0)),RIGHT("0"&amp;DAY(A1903),2)&amp;"."&amp;RIGHT("0"&amp;MONTH(A1903),2)&amp;"."&amp;YEAR(A1903)&amp;": "&amp;INDEX('Zgłoszenia'!$H$5:$H$504,MATCH(H1903,'Zgłoszenia'!$S$5:$S$504,0)),RIGHT("0"&amp;DAY((A1903+1)),2)&amp;"."&amp;RIGHT("0"&amp;MONTH((A1903+1)),2)&amp;"."&amp;YEAR((A1903+1))&amp;": "&amp;INDEX('Zgłoszenia'!$H$5:$H$504,MATCH(F1903&amp;"|"&amp;(A1903+1),'Zgłoszenia'!$S$5:$S$504,0)))&amp;IF(K1903&gt;1," (+"&amp;(K1903-1)&amp;")",""))</f>
        <v/>
      </c>
      <c r="M1903" s="63" t="n">
        <v>24</v>
      </c>
      <c r="N1903" s="2" t="n"/>
      <c r="O1903" s="2" t="n"/>
    </row>
    <row r="1904">
      <c r="A1904" s="62">
        <f>IF('24'!$C$1="","",'24'!$C$1)</f>
        <v/>
      </c>
      <c r="B1904" s="63">
        <f>Ustawienia!$A$9&amp;""</f>
        <v/>
      </c>
      <c r="C1904" s="63">
        <f>Ustawienia!$A$15&amp;""</f>
        <v/>
      </c>
      <c r="D1904" s="63" t="n">
        <v>7</v>
      </c>
      <c r="E1904" s="63">
        <f>IF('24'!F19="","",TRIM('24'!F19&amp;""))</f>
        <v/>
      </c>
      <c r="F1904" s="63">
        <f>IF('24'!G19="","",'24'!G19)</f>
        <v/>
      </c>
      <c r="G1904" s="63">
        <f>'24'!H19&amp;""</f>
        <v/>
      </c>
      <c r="H1904" s="63">
        <f>IF(OR(A1904="",F1904=""),"",F1904&amp;"|"&amp;A1904)</f>
        <v/>
      </c>
      <c r="I1904" s="63">
        <f>IF(AND(H1904&lt;&gt;"",OR('Historia wózka'!$B$4="",F1904='Historia wózka'!$B$4),A1904&gt;='Historia wózka'!$B$5,A1904&lt;='Historia wózka'!$B$6),A1904+0.8+(5000-ROW())/10000000,0)</f>
        <v/>
      </c>
      <c r="J1904" s="63">
        <f>Ustawienia!$B$9&amp;""</f>
        <v/>
      </c>
      <c r="K1904" s="63">
        <f>IF(H1904="","",COUNTIFS('Zgłoszenia'!$B$5:$B$504,F1904,'Zgłoszenia'!$D$5:$D$504,"&gt;="&amp;A1904,'Zgłoszenia'!$D$5:$D$504,"&lt;="&amp;(A1904+1)))</f>
        <v/>
      </c>
      <c r="L1904" s="63">
        <f>IF(OR(H1904="",K1904=0),"—",IF(ISNUMBER(MATCH(H1904,'Zgłoszenia'!$S$5:$S$504,0)),RIGHT("0"&amp;DAY(A1904),2)&amp;"."&amp;RIGHT("0"&amp;MONTH(A1904),2)&amp;"."&amp;YEAR(A1904)&amp;": "&amp;INDEX('Zgłoszenia'!$H$5:$H$504,MATCH(H1904,'Zgłoszenia'!$S$5:$S$504,0)),RIGHT("0"&amp;DAY((A1904+1)),2)&amp;"."&amp;RIGHT("0"&amp;MONTH((A1904+1)),2)&amp;"."&amp;YEAR((A1904+1))&amp;": "&amp;INDEX('Zgłoszenia'!$H$5:$H$504,MATCH(F1904&amp;"|"&amp;(A1904+1),'Zgłoszenia'!$S$5:$S$504,0)))&amp;IF(K1904&gt;1," (+"&amp;(K1904-1)&amp;")",""))</f>
        <v/>
      </c>
      <c r="M1904" s="63" t="n">
        <v>24</v>
      </c>
      <c r="N1904" s="2" t="n"/>
      <c r="O1904" s="2" t="n"/>
    </row>
    <row r="1905">
      <c r="A1905" s="62">
        <f>IF('24'!$C$1="","",'24'!$C$1)</f>
        <v/>
      </c>
      <c r="B1905" s="63">
        <f>Ustawienia!$A$9&amp;""</f>
        <v/>
      </c>
      <c r="C1905" s="63">
        <f>Ustawienia!$A$15&amp;""</f>
        <v/>
      </c>
      <c r="D1905" s="63" t="n">
        <v>8</v>
      </c>
      <c r="E1905" s="63">
        <f>IF('24'!F20="","",TRIM('24'!F20&amp;""))</f>
        <v/>
      </c>
      <c r="F1905" s="63">
        <f>IF('24'!G20="","",'24'!G20)</f>
        <v/>
      </c>
      <c r="G1905" s="63">
        <f>'24'!H20&amp;""</f>
        <v/>
      </c>
      <c r="H1905" s="63">
        <f>IF(OR(A1905="",F1905=""),"",F1905&amp;"|"&amp;A1905)</f>
        <v/>
      </c>
      <c r="I1905" s="63">
        <f>IF(AND(H1905&lt;&gt;"",OR('Historia wózka'!$B$4="",F1905='Historia wózka'!$B$4),A1905&gt;='Historia wózka'!$B$5,A1905&lt;='Historia wózka'!$B$6),A1905+0.8+(5000-ROW())/10000000,0)</f>
        <v/>
      </c>
      <c r="J1905" s="63">
        <f>Ustawienia!$B$9&amp;""</f>
        <v/>
      </c>
      <c r="K1905" s="63">
        <f>IF(H1905="","",COUNTIFS('Zgłoszenia'!$B$5:$B$504,F1905,'Zgłoszenia'!$D$5:$D$504,"&gt;="&amp;A1905,'Zgłoszenia'!$D$5:$D$504,"&lt;="&amp;(A1905+1)))</f>
        <v/>
      </c>
      <c r="L1905" s="63">
        <f>IF(OR(H1905="",K1905=0),"—",IF(ISNUMBER(MATCH(H1905,'Zgłoszenia'!$S$5:$S$504,0)),RIGHT("0"&amp;DAY(A1905),2)&amp;"."&amp;RIGHT("0"&amp;MONTH(A1905),2)&amp;"."&amp;YEAR(A1905)&amp;": "&amp;INDEX('Zgłoszenia'!$H$5:$H$504,MATCH(H1905,'Zgłoszenia'!$S$5:$S$504,0)),RIGHT("0"&amp;DAY((A1905+1)),2)&amp;"."&amp;RIGHT("0"&amp;MONTH((A1905+1)),2)&amp;"."&amp;YEAR((A1905+1))&amp;": "&amp;INDEX('Zgłoszenia'!$H$5:$H$504,MATCH(F1905&amp;"|"&amp;(A1905+1),'Zgłoszenia'!$S$5:$S$504,0)))&amp;IF(K1905&gt;1," (+"&amp;(K1905-1)&amp;")",""))</f>
        <v/>
      </c>
      <c r="M1905" s="63" t="n">
        <v>24</v>
      </c>
      <c r="N1905" s="2" t="n"/>
      <c r="O1905" s="2" t="n"/>
    </row>
    <row r="1906">
      <c r="A1906" s="62">
        <f>IF('24'!$C$1="","",'24'!$C$1)</f>
        <v/>
      </c>
      <c r="B1906" s="63">
        <f>Ustawienia!$A$9&amp;""</f>
        <v/>
      </c>
      <c r="C1906" s="63">
        <f>Ustawienia!$A$16&amp;""</f>
        <v/>
      </c>
      <c r="D1906" s="63" t="n">
        <v>1</v>
      </c>
      <c r="E1906" s="63">
        <f>IF('24'!F22="","",TRIM('24'!F22&amp;""))</f>
        <v/>
      </c>
      <c r="F1906" s="63">
        <f>IF('24'!G22="","",'24'!G22)</f>
        <v/>
      </c>
      <c r="G1906" s="63">
        <f>'24'!H22&amp;""</f>
        <v/>
      </c>
      <c r="H1906" s="63">
        <f>IF(OR(A1906="",F1906=""),"",F1906&amp;"|"&amp;A1906)</f>
        <v/>
      </c>
      <c r="I1906" s="63">
        <f>IF(AND(H1906&lt;&gt;"",OR('Historia wózka'!$B$4="",F1906='Historia wózka'!$B$4),A1906&gt;='Historia wózka'!$B$5,A1906&lt;='Historia wózka'!$B$6),A1906+0.8+(5000-ROW())/10000000,0)</f>
        <v/>
      </c>
      <c r="J1906" s="63">
        <f>Ustawienia!$B$9&amp;""</f>
        <v/>
      </c>
      <c r="K1906" s="63">
        <f>IF(H1906="","",COUNTIFS('Zgłoszenia'!$B$5:$B$504,F1906,'Zgłoszenia'!$D$5:$D$504,"&gt;="&amp;A1906,'Zgłoszenia'!$D$5:$D$504,"&lt;="&amp;(A1906+1)))</f>
        <v/>
      </c>
      <c r="L1906" s="63">
        <f>IF(OR(H1906="",K1906=0),"—",IF(ISNUMBER(MATCH(H1906,'Zgłoszenia'!$S$5:$S$504,0)),RIGHT("0"&amp;DAY(A1906),2)&amp;"."&amp;RIGHT("0"&amp;MONTH(A1906),2)&amp;"."&amp;YEAR(A1906)&amp;": "&amp;INDEX('Zgłoszenia'!$H$5:$H$504,MATCH(H1906,'Zgłoszenia'!$S$5:$S$504,0)),RIGHT("0"&amp;DAY((A1906+1)),2)&amp;"."&amp;RIGHT("0"&amp;MONTH((A1906+1)),2)&amp;"."&amp;YEAR((A1906+1))&amp;": "&amp;INDEX('Zgłoszenia'!$H$5:$H$504,MATCH(F1906&amp;"|"&amp;(A1906+1),'Zgłoszenia'!$S$5:$S$504,0)))&amp;IF(K1906&gt;1," (+"&amp;(K1906-1)&amp;")",""))</f>
        <v/>
      </c>
      <c r="M1906" s="63" t="n">
        <v>24</v>
      </c>
      <c r="N1906" s="2" t="n"/>
      <c r="O1906" s="2" t="n"/>
    </row>
    <row r="1907">
      <c r="A1907" s="62">
        <f>IF('24'!$C$1="","",'24'!$C$1)</f>
        <v/>
      </c>
      <c r="B1907" s="63">
        <f>Ustawienia!$A$9&amp;""</f>
        <v/>
      </c>
      <c r="C1907" s="63">
        <f>Ustawienia!$A$16&amp;""</f>
        <v/>
      </c>
      <c r="D1907" s="63" t="n">
        <v>2</v>
      </c>
      <c r="E1907" s="63">
        <f>IF('24'!F23="","",TRIM('24'!F23&amp;""))</f>
        <v/>
      </c>
      <c r="F1907" s="63">
        <f>IF('24'!G23="","",'24'!G23)</f>
        <v/>
      </c>
      <c r="G1907" s="63">
        <f>'24'!H23&amp;""</f>
        <v/>
      </c>
      <c r="H1907" s="63">
        <f>IF(OR(A1907="",F1907=""),"",F1907&amp;"|"&amp;A1907)</f>
        <v/>
      </c>
      <c r="I1907" s="63">
        <f>IF(AND(H1907&lt;&gt;"",OR('Historia wózka'!$B$4="",F1907='Historia wózka'!$B$4),A1907&gt;='Historia wózka'!$B$5,A1907&lt;='Historia wózka'!$B$6),A1907+0.8+(5000-ROW())/10000000,0)</f>
        <v/>
      </c>
      <c r="J1907" s="63">
        <f>Ustawienia!$B$9&amp;""</f>
        <v/>
      </c>
      <c r="K1907" s="63">
        <f>IF(H1907="","",COUNTIFS('Zgłoszenia'!$B$5:$B$504,F1907,'Zgłoszenia'!$D$5:$D$504,"&gt;="&amp;A1907,'Zgłoszenia'!$D$5:$D$504,"&lt;="&amp;(A1907+1)))</f>
        <v/>
      </c>
      <c r="L1907" s="63">
        <f>IF(OR(H1907="",K1907=0),"—",IF(ISNUMBER(MATCH(H1907,'Zgłoszenia'!$S$5:$S$504,0)),RIGHT("0"&amp;DAY(A1907),2)&amp;"."&amp;RIGHT("0"&amp;MONTH(A1907),2)&amp;"."&amp;YEAR(A1907)&amp;": "&amp;INDEX('Zgłoszenia'!$H$5:$H$504,MATCH(H1907,'Zgłoszenia'!$S$5:$S$504,0)),RIGHT("0"&amp;DAY((A1907+1)),2)&amp;"."&amp;RIGHT("0"&amp;MONTH((A1907+1)),2)&amp;"."&amp;YEAR((A1907+1))&amp;": "&amp;INDEX('Zgłoszenia'!$H$5:$H$504,MATCH(F1907&amp;"|"&amp;(A1907+1),'Zgłoszenia'!$S$5:$S$504,0)))&amp;IF(K1907&gt;1," (+"&amp;(K1907-1)&amp;")",""))</f>
        <v/>
      </c>
      <c r="M1907" s="63" t="n">
        <v>24</v>
      </c>
      <c r="N1907" s="2" t="n"/>
      <c r="O1907" s="2" t="n"/>
    </row>
    <row r="1908">
      <c r="A1908" s="62">
        <f>IF('24'!$C$1="","",'24'!$C$1)</f>
        <v/>
      </c>
      <c r="B1908" s="63">
        <f>Ustawienia!$A$9&amp;""</f>
        <v/>
      </c>
      <c r="C1908" s="63">
        <f>Ustawienia!$A$16&amp;""</f>
        <v/>
      </c>
      <c r="D1908" s="63" t="n">
        <v>3</v>
      </c>
      <c r="E1908" s="63">
        <f>IF('24'!F24="","",TRIM('24'!F24&amp;""))</f>
        <v/>
      </c>
      <c r="F1908" s="63">
        <f>IF('24'!G24="","",'24'!G24)</f>
        <v/>
      </c>
      <c r="G1908" s="63">
        <f>'24'!H24&amp;""</f>
        <v/>
      </c>
      <c r="H1908" s="63">
        <f>IF(OR(A1908="",F1908=""),"",F1908&amp;"|"&amp;A1908)</f>
        <v/>
      </c>
      <c r="I1908" s="63">
        <f>IF(AND(H1908&lt;&gt;"",OR('Historia wózka'!$B$4="",F1908='Historia wózka'!$B$4),A1908&gt;='Historia wózka'!$B$5,A1908&lt;='Historia wózka'!$B$6),A1908+0.8+(5000-ROW())/10000000,0)</f>
        <v/>
      </c>
      <c r="J1908" s="63">
        <f>Ustawienia!$B$9&amp;""</f>
        <v/>
      </c>
      <c r="K1908" s="63">
        <f>IF(H1908="","",COUNTIFS('Zgłoszenia'!$B$5:$B$504,F1908,'Zgłoszenia'!$D$5:$D$504,"&gt;="&amp;A1908,'Zgłoszenia'!$D$5:$D$504,"&lt;="&amp;(A1908+1)))</f>
        <v/>
      </c>
      <c r="L1908" s="63">
        <f>IF(OR(H1908="",K1908=0),"—",IF(ISNUMBER(MATCH(H1908,'Zgłoszenia'!$S$5:$S$504,0)),RIGHT("0"&amp;DAY(A1908),2)&amp;"."&amp;RIGHT("0"&amp;MONTH(A1908),2)&amp;"."&amp;YEAR(A1908)&amp;": "&amp;INDEX('Zgłoszenia'!$H$5:$H$504,MATCH(H1908,'Zgłoszenia'!$S$5:$S$504,0)),RIGHT("0"&amp;DAY((A1908+1)),2)&amp;"."&amp;RIGHT("0"&amp;MONTH((A1908+1)),2)&amp;"."&amp;YEAR((A1908+1))&amp;": "&amp;INDEX('Zgłoszenia'!$H$5:$H$504,MATCH(F1908&amp;"|"&amp;(A1908+1),'Zgłoszenia'!$S$5:$S$504,0)))&amp;IF(K1908&gt;1," (+"&amp;(K1908-1)&amp;")",""))</f>
        <v/>
      </c>
      <c r="M1908" s="63" t="n">
        <v>24</v>
      </c>
      <c r="N1908" s="2" t="n"/>
      <c r="O1908" s="2" t="n"/>
    </row>
    <row r="1909">
      <c r="A1909" s="62">
        <f>IF('24'!$C$1="","",'24'!$C$1)</f>
        <v/>
      </c>
      <c r="B1909" s="63">
        <f>Ustawienia!$A$9&amp;""</f>
        <v/>
      </c>
      <c r="C1909" s="63">
        <f>Ustawienia!$A$16&amp;""</f>
        <v/>
      </c>
      <c r="D1909" s="63" t="n">
        <v>4</v>
      </c>
      <c r="E1909" s="63">
        <f>IF('24'!F25="","",TRIM('24'!F25&amp;""))</f>
        <v/>
      </c>
      <c r="F1909" s="63">
        <f>IF('24'!G25="","",'24'!G25)</f>
        <v/>
      </c>
      <c r="G1909" s="63">
        <f>'24'!H25&amp;""</f>
        <v/>
      </c>
      <c r="H1909" s="63">
        <f>IF(OR(A1909="",F1909=""),"",F1909&amp;"|"&amp;A1909)</f>
        <v/>
      </c>
      <c r="I1909" s="63">
        <f>IF(AND(H1909&lt;&gt;"",OR('Historia wózka'!$B$4="",F1909='Historia wózka'!$B$4),A1909&gt;='Historia wózka'!$B$5,A1909&lt;='Historia wózka'!$B$6),A1909+0.8+(5000-ROW())/10000000,0)</f>
        <v/>
      </c>
      <c r="J1909" s="63">
        <f>Ustawienia!$B$9&amp;""</f>
        <v/>
      </c>
      <c r="K1909" s="63">
        <f>IF(H1909="","",COUNTIFS('Zgłoszenia'!$B$5:$B$504,F1909,'Zgłoszenia'!$D$5:$D$504,"&gt;="&amp;A1909,'Zgłoszenia'!$D$5:$D$504,"&lt;="&amp;(A1909+1)))</f>
        <v/>
      </c>
      <c r="L1909" s="63">
        <f>IF(OR(H1909="",K1909=0),"—",IF(ISNUMBER(MATCH(H1909,'Zgłoszenia'!$S$5:$S$504,0)),RIGHT("0"&amp;DAY(A1909),2)&amp;"."&amp;RIGHT("0"&amp;MONTH(A1909),2)&amp;"."&amp;YEAR(A1909)&amp;": "&amp;INDEX('Zgłoszenia'!$H$5:$H$504,MATCH(H1909,'Zgłoszenia'!$S$5:$S$504,0)),RIGHT("0"&amp;DAY((A1909+1)),2)&amp;"."&amp;RIGHT("0"&amp;MONTH((A1909+1)),2)&amp;"."&amp;YEAR((A1909+1))&amp;": "&amp;INDEX('Zgłoszenia'!$H$5:$H$504,MATCH(F1909&amp;"|"&amp;(A1909+1),'Zgłoszenia'!$S$5:$S$504,0)))&amp;IF(K1909&gt;1," (+"&amp;(K1909-1)&amp;")",""))</f>
        <v/>
      </c>
      <c r="M1909" s="63" t="n">
        <v>24</v>
      </c>
      <c r="N1909" s="2" t="n"/>
      <c r="O1909" s="2" t="n"/>
    </row>
    <row r="1910">
      <c r="A1910" s="62">
        <f>IF('24'!$C$1="","",'24'!$C$1)</f>
        <v/>
      </c>
      <c r="B1910" s="63">
        <f>Ustawienia!$A$9&amp;""</f>
        <v/>
      </c>
      <c r="C1910" s="63">
        <f>Ustawienia!$A$17&amp;""</f>
        <v/>
      </c>
      <c r="D1910" s="63" t="n">
        <v>1</v>
      </c>
      <c r="E1910" s="63">
        <f>IF('24'!F27="","",TRIM('24'!F27&amp;""))</f>
        <v/>
      </c>
      <c r="F1910" s="63">
        <f>IF('24'!G27="","",'24'!G27)</f>
        <v/>
      </c>
      <c r="G1910" s="63">
        <f>'24'!H27&amp;""</f>
        <v/>
      </c>
      <c r="H1910" s="63">
        <f>IF(OR(A1910="",F1910=""),"",F1910&amp;"|"&amp;A1910)</f>
        <v/>
      </c>
      <c r="I1910" s="63">
        <f>IF(AND(H1910&lt;&gt;"",OR('Historia wózka'!$B$4="",F1910='Historia wózka'!$B$4),A1910&gt;='Historia wózka'!$B$5,A1910&lt;='Historia wózka'!$B$6),A1910+0.8+(5000-ROW())/10000000,0)</f>
        <v/>
      </c>
      <c r="J1910" s="63">
        <f>Ustawienia!$B$9&amp;""</f>
        <v/>
      </c>
      <c r="K1910" s="63">
        <f>IF(H1910="","",COUNTIFS('Zgłoszenia'!$B$5:$B$504,F1910,'Zgłoszenia'!$D$5:$D$504,"&gt;="&amp;A1910,'Zgłoszenia'!$D$5:$D$504,"&lt;="&amp;(A1910+1)))</f>
        <v/>
      </c>
      <c r="L1910" s="63">
        <f>IF(OR(H1910="",K1910=0),"—",IF(ISNUMBER(MATCH(H1910,'Zgłoszenia'!$S$5:$S$504,0)),RIGHT("0"&amp;DAY(A1910),2)&amp;"."&amp;RIGHT("0"&amp;MONTH(A1910),2)&amp;"."&amp;YEAR(A1910)&amp;": "&amp;INDEX('Zgłoszenia'!$H$5:$H$504,MATCH(H1910,'Zgłoszenia'!$S$5:$S$504,0)),RIGHT("0"&amp;DAY((A1910+1)),2)&amp;"."&amp;RIGHT("0"&amp;MONTH((A1910+1)),2)&amp;"."&amp;YEAR((A1910+1))&amp;": "&amp;INDEX('Zgłoszenia'!$H$5:$H$504,MATCH(F1910&amp;"|"&amp;(A1910+1),'Zgłoszenia'!$S$5:$S$504,0)))&amp;IF(K1910&gt;1," (+"&amp;(K1910-1)&amp;")",""))</f>
        <v/>
      </c>
      <c r="M1910" s="63" t="n">
        <v>24</v>
      </c>
      <c r="N1910" s="2" t="n"/>
      <c r="O1910" s="2" t="n"/>
    </row>
    <row r="1911">
      <c r="A1911" s="62">
        <f>IF('24'!$C$1="","",'24'!$C$1)</f>
        <v/>
      </c>
      <c r="B1911" s="63">
        <f>Ustawienia!$A$9&amp;""</f>
        <v/>
      </c>
      <c r="C1911" s="63">
        <f>Ustawienia!$A$17&amp;""</f>
        <v/>
      </c>
      <c r="D1911" s="63" t="n">
        <v>2</v>
      </c>
      <c r="E1911" s="63">
        <f>IF('24'!F28="","",TRIM('24'!F28&amp;""))</f>
        <v/>
      </c>
      <c r="F1911" s="63">
        <f>IF('24'!G28="","",'24'!G28)</f>
        <v/>
      </c>
      <c r="G1911" s="63">
        <f>'24'!H28&amp;""</f>
        <v/>
      </c>
      <c r="H1911" s="63">
        <f>IF(OR(A1911="",F1911=""),"",F1911&amp;"|"&amp;A1911)</f>
        <v/>
      </c>
      <c r="I1911" s="63">
        <f>IF(AND(H1911&lt;&gt;"",OR('Historia wózka'!$B$4="",F1911='Historia wózka'!$B$4),A1911&gt;='Historia wózka'!$B$5,A1911&lt;='Historia wózka'!$B$6),A1911+0.8+(5000-ROW())/10000000,0)</f>
        <v/>
      </c>
      <c r="J1911" s="63">
        <f>Ustawienia!$B$9&amp;""</f>
        <v/>
      </c>
      <c r="K1911" s="63">
        <f>IF(H1911="","",COUNTIFS('Zgłoszenia'!$B$5:$B$504,F1911,'Zgłoszenia'!$D$5:$D$504,"&gt;="&amp;A1911,'Zgłoszenia'!$D$5:$D$504,"&lt;="&amp;(A1911+1)))</f>
        <v/>
      </c>
      <c r="L1911" s="63">
        <f>IF(OR(H1911="",K1911=0),"—",IF(ISNUMBER(MATCH(H1911,'Zgłoszenia'!$S$5:$S$504,0)),RIGHT("0"&amp;DAY(A1911),2)&amp;"."&amp;RIGHT("0"&amp;MONTH(A1911),2)&amp;"."&amp;YEAR(A1911)&amp;": "&amp;INDEX('Zgłoszenia'!$H$5:$H$504,MATCH(H1911,'Zgłoszenia'!$S$5:$S$504,0)),RIGHT("0"&amp;DAY((A1911+1)),2)&amp;"."&amp;RIGHT("0"&amp;MONTH((A1911+1)),2)&amp;"."&amp;YEAR((A1911+1))&amp;": "&amp;INDEX('Zgłoszenia'!$H$5:$H$504,MATCH(F1911&amp;"|"&amp;(A1911+1),'Zgłoszenia'!$S$5:$S$504,0)))&amp;IF(K1911&gt;1," (+"&amp;(K1911-1)&amp;")",""))</f>
        <v/>
      </c>
      <c r="M1911" s="63" t="n">
        <v>24</v>
      </c>
      <c r="N1911" s="2" t="n"/>
      <c r="O1911" s="2" t="n"/>
    </row>
    <row r="1912">
      <c r="A1912" s="62">
        <f>IF('24'!$C$1="","",'24'!$C$1)</f>
        <v/>
      </c>
      <c r="B1912" s="63">
        <f>Ustawienia!$A$9&amp;""</f>
        <v/>
      </c>
      <c r="C1912" s="63">
        <f>Ustawienia!$A$17&amp;""</f>
        <v/>
      </c>
      <c r="D1912" s="63" t="n">
        <v>3</v>
      </c>
      <c r="E1912" s="63">
        <f>IF('24'!F29="","",TRIM('24'!F29&amp;""))</f>
        <v/>
      </c>
      <c r="F1912" s="63">
        <f>IF('24'!G29="","",'24'!G29)</f>
        <v/>
      </c>
      <c r="G1912" s="63">
        <f>'24'!H29&amp;""</f>
        <v/>
      </c>
      <c r="H1912" s="63">
        <f>IF(OR(A1912="",F1912=""),"",F1912&amp;"|"&amp;A1912)</f>
        <v/>
      </c>
      <c r="I1912" s="63">
        <f>IF(AND(H1912&lt;&gt;"",OR('Historia wózka'!$B$4="",F1912='Historia wózka'!$B$4),A1912&gt;='Historia wózka'!$B$5,A1912&lt;='Historia wózka'!$B$6),A1912+0.8+(5000-ROW())/10000000,0)</f>
        <v/>
      </c>
      <c r="J1912" s="63">
        <f>Ustawienia!$B$9&amp;""</f>
        <v/>
      </c>
      <c r="K1912" s="63">
        <f>IF(H1912="","",COUNTIFS('Zgłoszenia'!$B$5:$B$504,F1912,'Zgłoszenia'!$D$5:$D$504,"&gt;="&amp;A1912,'Zgłoszenia'!$D$5:$D$504,"&lt;="&amp;(A1912+1)))</f>
        <v/>
      </c>
      <c r="L1912" s="63">
        <f>IF(OR(H1912="",K1912=0),"—",IF(ISNUMBER(MATCH(H1912,'Zgłoszenia'!$S$5:$S$504,0)),RIGHT("0"&amp;DAY(A1912),2)&amp;"."&amp;RIGHT("0"&amp;MONTH(A1912),2)&amp;"."&amp;YEAR(A1912)&amp;": "&amp;INDEX('Zgłoszenia'!$H$5:$H$504,MATCH(H1912,'Zgłoszenia'!$S$5:$S$504,0)),RIGHT("0"&amp;DAY((A1912+1)),2)&amp;"."&amp;RIGHT("0"&amp;MONTH((A1912+1)),2)&amp;"."&amp;YEAR((A1912+1))&amp;": "&amp;INDEX('Zgłoszenia'!$H$5:$H$504,MATCH(F1912&amp;"|"&amp;(A1912+1),'Zgłoszenia'!$S$5:$S$504,0)))&amp;IF(K1912&gt;1," (+"&amp;(K1912-1)&amp;")",""))</f>
        <v/>
      </c>
      <c r="M1912" s="63" t="n">
        <v>24</v>
      </c>
      <c r="N1912" s="2" t="n"/>
      <c r="O1912" s="2" t="n"/>
    </row>
    <row r="1913">
      <c r="A1913" s="62">
        <f>IF('24'!$C$1="","",'24'!$C$1)</f>
        <v/>
      </c>
      <c r="B1913" s="63">
        <f>Ustawienia!$A$9&amp;""</f>
        <v/>
      </c>
      <c r="C1913" s="63">
        <f>Ustawienia!$A$17&amp;""</f>
        <v/>
      </c>
      <c r="D1913" s="63" t="n">
        <v>4</v>
      </c>
      <c r="E1913" s="63">
        <f>IF('24'!F30="","",TRIM('24'!F30&amp;""))</f>
        <v/>
      </c>
      <c r="F1913" s="63">
        <f>IF('24'!G30="","",'24'!G30)</f>
        <v/>
      </c>
      <c r="G1913" s="63">
        <f>'24'!H30&amp;""</f>
        <v/>
      </c>
      <c r="H1913" s="63">
        <f>IF(OR(A1913="",F1913=""),"",F1913&amp;"|"&amp;A1913)</f>
        <v/>
      </c>
      <c r="I1913" s="63">
        <f>IF(AND(H1913&lt;&gt;"",OR('Historia wózka'!$B$4="",F1913='Historia wózka'!$B$4),A1913&gt;='Historia wózka'!$B$5,A1913&lt;='Historia wózka'!$B$6),A1913+0.8+(5000-ROW())/10000000,0)</f>
        <v/>
      </c>
      <c r="J1913" s="63">
        <f>Ustawienia!$B$9&amp;""</f>
        <v/>
      </c>
      <c r="K1913" s="63">
        <f>IF(H1913="","",COUNTIFS('Zgłoszenia'!$B$5:$B$504,F1913,'Zgłoszenia'!$D$5:$D$504,"&gt;="&amp;A1913,'Zgłoszenia'!$D$5:$D$504,"&lt;="&amp;(A1913+1)))</f>
        <v/>
      </c>
      <c r="L1913" s="63">
        <f>IF(OR(H1913="",K1913=0),"—",IF(ISNUMBER(MATCH(H1913,'Zgłoszenia'!$S$5:$S$504,0)),RIGHT("0"&amp;DAY(A1913),2)&amp;"."&amp;RIGHT("0"&amp;MONTH(A1913),2)&amp;"."&amp;YEAR(A1913)&amp;": "&amp;INDEX('Zgłoszenia'!$H$5:$H$504,MATCH(H1913,'Zgłoszenia'!$S$5:$S$504,0)),RIGHT("0"&amp;DAY((A1913+1)),2)&amp;"."&amp;RIGHT("0"&amp;MONTH((A1913+1)),2)&amp;"."&amp;YEAR((A1913+1))&amp;": "&amp;INDEX('Zgłoszenia'!$H$5:$H$504,MATCH(F1913&amp;"|"&amp;(A1913+1),'Zgłoszenia'!$S$5:$S$504,0)))&amp;IF(K1913&gt;1," (+"&amp;(K1913-1)&amp;")",""))</f>
        <v/>
      </c>
      <c r="M1913" s="63" t="n">
        <v>24</v>
      </c>
      <c r="N1913" s="2" t="n"/>
      <c r="O1913" s="2" t="n"/>
    </row>
    <row r="1914">
      <c r="A1914" s="62">
        <f>IF('24'!$C$1="","",'24'!$C$1)</f>
        <v/>
      </c>
      <c r="B1914" s="63">
        <f>Ustawienia!$A$9&amp;""</f>
        <v/>
      </c>
      <c r="C1914" s="63">
        <f>Ustawienia!$A$18&amp;""</f>
        <v/>
      </c>
      <c r="D1914" s="63" t="n">
        <v>1</v>
      </c>
      <c r="E1914" s="63">
        <f>IF('24'!F32="","",TRIM('24'!F32&amp;""))</f>
        <v/>
      </c>
      <c r="F1914" s="63">
        <f>IF('24'!G32="","",'24'!G32)</f>
        <v/>
      </c>
      <c r="G1914" s="63">
        <f>'24'!H32&amp;""</f>
        <v/>
      </c>
      <c r="H1914" s="63">
        <f>IF(OR(A1914="",F1914=""),"",F1914&amp;"|"&amp;A1914)</f>
        <v/>
      </c>
      <c r="I1914" s="63">
        <f>IF(AND(H1914&lt;&gt;"",OR('Historia wózka'!$B$4="",F1914='Historia wózka'!$B$4),A1914&gt;='Historia wózka'!$B$5,A1914&lt;='Historia wózka'!$B$6),A1914+0.8+(5000-ROW())/10000000,0)</f>
        <v/>
      </c>
      <c r="J1914" s="63">
        <f>Ustawienia!$B$9&amp;""</f>
        <v/>
      </c>
      <c r="K1914" s="63">
        <f>IF(H1914="","",COUNTIFS('Zgłoszenia'!$B$5:$B$504,F1914,'Zgłoszenia'!$D$5:$D$504,"&gt;="&amp;A1914,'Zgłoszenia'!$D$5:$D$504,"&lt;="&amp;(A1914+1)))</f>
        <v/>
      </c>
      <c r="L1914" s="63">
        <f>IF(OR(H1914="",K1914=0),"—",IF(ISNUMBER(MATCH(H1914,'Zgłoszenia'!$S$5:$S$504,0)),RIGHT("0"&amp;DAY(A1914),2)&amp;"."&amp;RIGHT("0"&amp;MONTH(A1914),2)&amp;"."&amp;YEAR(A1914)&amp;": "&amp;INDEX('Zgłoszenia'!$H$5:$H$504,MATCH(H1914,'Zgłoszenia'!$S$5:$S$504,0)),RIGHT("0"&amp;DAY((A1914+1)),2)&amp;"."&amp;RIGHT("0"&amp;MONTH((A1914+1)),2)&amp;"."&amp;YEAR((A1914+1))&amp;": "&amp;INDEX('Zgłoszenia'!$H$5:$H$504,MATCH(F1914&amp;"|"&amp;(A1914+1),'Zgłoszenia'!$S$5:$S$504,0)))&amp;IF(K1914&gt;1," (+"&amp;(K1914-1)&amp;")",""))</f>
        <v/>
      </c>
      <c r="M1914" s="63" t="n">
        <v>24</v>
      </c>
      <c r="N1914" s="2" t="n"/>
      <c r="O1914" s="2" t="n"/>
    </row>
    <row r="1915">
      <c r="A1915" s="62">
        <f>IF('24'!$C$1="","",'24'!$C$1)</f>
        <v/>
      </c>
      <c r="B1915" s="63">
        <f>Ustawienia!$A$9&amp;""</f>
        <v/>
      </c>
      <c r="C1915" s="63">
        <f>Ustawienia!$A$18&amp;""</f>
        <v/>
      </c>
      <c r="D1915" s="63" t="n">
        <v>2</v>
      </c>
      <c r="E1915" s="63">
        <f>IF('24'!F33="","",TRIM('24'!F33&amp;""))</f>
        <v/>
      </c>
      <c r="F1915" s="63">
        <f>IF('24'!G33="","",'24'!G33)</f>
        <v/>
      </c>
      <c r="G1915" s="63">
        <f>'24'!H33&amp;""</f>
        <v/>
      </c>
      <c r="H1915" s="63">
        <f>IF(OR(A1915="",F1915=""),"",F1915&amp;"|"&amp;A1915)</f>
        <v/>
      </c>
      <c r="I1915" s="63">
        <f>IF(AND(H1915&lt;&gt;"",OR('Historia wózka'!$B$4="",F1915='Historia wózka'!$B$4),A1915&gt;='Historia wózka'!$B$5,A1915&lt;='Historia wózka'!$B$6),A1915+0.8+(5000-ROW())/10000000,0)</f>
        <v/>
      </c>
      <c r="J1915" s="63">
        <f>Ustawienia!$B$9&amp;""</f>
        <v/>
      </c>
      <c r="K1915" s="63">
        <f>IF(H1915="","",COUNTIFS('Zgłoszenia'!$B$5:$B$504,F1915,'Zgłoszenia'!$D$5:$D$504,"&gt;="&amp;A1915,'Zgłoszenia'!$D$5:$D$504,"&lt;="&amp;(A1915+1)))</f>
        <v/>
      </c>
      <c r="L1915" s="63">
        <f>IF(OR(H1915="",K1915=0),"—",IF(ISNUMBER(MATCH(H1915,'Zgłoszenia'!$S$5:$S$504,0)),RIGHT("0"&amp;DAY(A1915),2)&amp;"."&amp;RIGHT("0"&amp;MONTH(A1915),2)&amp;"."&amp;YEAR(A1915)&amp;": "&amp;INDEX('Zgłoszenia'!$H$5:$H$504,MATCH(H1915,'Zgłoszenia'!$S$5:$S$504,0)),RIGHT("0"&amp;DAY((A1915+1)),2)&amp;"."&amp;RIGHT("0"&amp;MONTH((A1915+1)),2)&amp;"."&amp;YEAR((A1915+1))&amp;": "&amp;INDEX('Zgłoszenia'!$H$5:$H$504,MATCH(F1915&amp;"|"&amp;(A1915+1),'Zgłoszenia'!$S$5:$S$504,0)))&amp;IF(K1915&gt;1," (+"&amp;(K1915-1)&amp;")",""))</f>
        <v/>
      </c>
      <c r="M1915" s="63" t="n">
        <v>24</v>
      </c>
      <c r="N1915" s="2" t="n"/>
      <c r="O1915" s="2" t="n"/>
    </row>
    <row r="1916">
      <c r="A1916" s="62">
        <f>IF('24'!$C$1="","",'24'!$C$1)</f>
        <v/>
      </c>
      <c r="B1916" s="63">
        <f>Ustawienia!$A$9&amp;""</f>
        <v/>
      </c>
      <c r="C1916" s="63">
        <f>Ustawienia!$A$18&amp;""</f>
        <v/>
      </c>
      <c r="D1916" s="63" t="n">
        <v>3</v>
      </c>
      <c r="E1916" s="63">
        <f>IF('24'!F34="","",TRIM('24'!F34&amp;""))</f>
        <v/>
      </c>
      <c r="F1916" s="63">
        <f>IF('24'!G34="","",'24'!G34)</f>
        <v/>
      </c>
      <c r="G1916" s="63">
        <f>'24'!H34&amp;""</f>
        <v/>
      </c>
      <c r="H1916" s="63">
        <f>IF(OR(A1916="",F1916=""),"",F1916&amp;"|"&amp;A1916)</f>
        <v/>
      </c>
      <c r="I1916" s="63">
        <f>IF(AND(H1916&lt;&gt;"",OR('Historia wózka'!$B$4="",F1916='Historia wózka'!$B$4),A1916&gt;='Historia wózka'!$B$5,A1916&lt;='Historia wózka'!$B$6),A1916+0.8+(5000-ROW())/10000000,0)</f>
        <v/>
      </c>
      <c r="J1916" s="63">
        <f>Ustawienia!$B$9&amp;""</f>
        <v/>
      </c>
      <c r="K1916" s="63">
        <f>IF(H1916="","",COUNTIFS('Zgłoszenia'!$B$5:$B$504,F1916,'Zgłoszenia'!$D$5:$D$504,"&gt;="&amp;A1916,'Zgłoszenia'!$D$5:$D$504,"&lt;="&amp;(A1916+1)))</f>
        <v/>
      </c>
      <c r="L1916" s="63">
        <f>IF(OR(H1916="",K1916=0),"—",IF(ISNUMBER(MATCH(H1916,'Zgłoszenia'!$S$5:$S$504,0)),RIGHT("0"&amp;DAY(A1916),2)&amp;"."&amp;RIGHT("0"&amp;MONTH(A1916),2)&amp;"."&amp;YEAR(A1916)&amp;": "&amp;INDEX('Zgłoszenia'!$H$5:$H$504,MATCH(H1916,'Zgłoszenia'!$S$5:$S$504,0)),RIGHT("0"&amp;DAY((A1916+1)),2)&amp;"."&amp;RIGHT("0"&amp;MONTH((A1916+1)),2)&amp;"."&amp;YEAR((A1916+1))&amp;": "&amp;INDEX('Zgłoszenia'!$H$5:$H$504,MATCH(F1916&amp;"|"&amp;(A1916+1),'Zgłoszenia'!$S$5:$S$504,0)))&amp;IF(K1916&gt;1," (+"&amp;(K1916-1)&amp;")",""))</f>
        <v/>
      </c>
      <c r="M1916" s="63" t="n">
        <v>24</v>
      </c>
      <c r="N1916" s="2" t="n"/>
      <c r="O1916" s="2" t="n"/>
    </row>
    <row r="1917">
      <c r="A1917" s="62">
        <f>IF('24'!$C$1="","",'24'!$C$1)</f>
        <v/>
      </c>
      <c r="B1917" s="63">
        <f>Ustawienia!$A$9&amp;""</f>
        <v/>
      </c>
      <c r="C1917" s="63">
        <f>Ustawienia!$A$18&amp;""</f>
        <v/>
      </c>
      <c r="D1917" s="63" t="n">
        <v>4</v>
      </c>
      <c r="E1917" s="63">
        <f>IF('24'!F35="","",TRIM('24'!F35&amp;""))</f>
        <v/>
      </c>
      <c r="F1917" s="63">
        <f>IF('24'!G35="","",'24'!G35)</f>
        <v/>
      </c>
      <c r="G1917" s="63">
        <f>'24'!H35&amp;""</f>
        <v/>
      </c>
      <c r="H1917" s="63">
        <f>IF(OR(A1917="",F1917=""),"",F1917&amp;"|"&amp;A1917)</f>
        <v/>
      </c>
      <c r="I1917" s="63">
        <f>IF(AND(H1917&lt;&gt;"",OR('Historia wózka'!$B$4="",F1917='Historia wózka'!$B$4),A1917&gt;='Historia wózka'!$B$5,A1917&lt;='Historia wózka'!$B$6),A1917+0.8+(5000-ROW())/10000000,0)</f>
        <v/>
      </c>
      <c r="J1917" s="63">
        <f>Ustawienia!$B$9&amp;""</f>
        <v/>
      </c>
      <c r="K1917" s="63">
        <f>IF(H1917="","",COUNTIFS('Zgłoszenia'!$B$5:$B$504,F1917,'Zgłoszenia'!$D$5:$D$504,"&gt;="&amp;A1917,'Zgłoszenia'!$D$5:$D$504,"&lt;="&amp;(A1917+1)))</f>
        <v/>
      </c>
      <c r="L1917" s="63">
        <f>IF(OR(H1917="",K1917=0),"—",IF(ISNUMBER(MATCH(H1917,'Zgłoszenia'!$S$5:$S$504,0)),RIGHT("0"&amp;DAY(A1917),2)&amp;"."&amp;RIGHT("0"&amp;MONTH(A1917),2)&amp;"."&amp;YEAR(A1917)&amp;": "&amp;INDEX('Zgłoszenia'!$H$5:$H$504,MATCH(H1917,'Zgłoszenia'!$S$5:$S$504,0)),RIGHT("0"&amp;DAY((A1917+1)),2)&amp;"."&amp;RIGHT("0"&amp;MONTH((A1917+1)),2)&amp;"."&amp;YEAR((A1917+1))&amp;": "&amp;INDEX('Zgłoszenia'!$H$5:$H$504,MATCH(F1917&amp;"|"&amp;(A1917+1),'Zgłoszenia'!$S$5:$S$504,0)))&amp;IF(K1917&gt;1," (+"&amp;(K1917-1)&amp;")",""))</f>
        <v/>
      </c>
      <c r="M1917" s="63" t="n">
        <v>24</v>
      </c>
      <c r="N1917" s="2" t="n"/>
      <c r="O1917" s="2" t="n"/>
    </row>
    <row r="1918">
      <c r="A1918" s="62">
        <f>IF('24'!$C$1="","",'24'!$C$1)</f>
        <v/>
      </c>
      <c r="B1918" s="63">
        <f>Ustawienia!$A$9&amp;""</f>
        <v/>
      </c>
      <c r="C1918" s="63">
        <f>Ustawienia!$A$18&amp;""</f>
        <v/>
      </c>
      <c r="D1918" s="63" t="n">
        <v>5</v>
      </c>
      <c r="E1918" s="63">
        <f>IF('24'!F36="","",TRIM('24'!F36&amp;""))</f>
        <v/>
      </c>
      <c r="F1918" s="63">
        <f>IF('24'!G36="","",'24'!G36)</f>
        <v/>
      </c>
      <c r="G1918" s="63">
        <f>'24'!H36&amp;""</f>
        <v/>
      </c>
      <c r="H1918" s="63">
        <f>IF(OR(A1918="",F1918=""),"",F1918&amp;"|"&amp;A1918)</f>
        <v/>
      </c>
      <c r="I1918" s="63">
        <f>IF(AND(H1918&lt;&gt;"",OR('Historia wózka'!$B$4="",F1918='Historia wózka'!$B$4),A1918&gt;='Historia wózka'!$B$5,A1918&lt;='Historia wózka'!$B$6),A1918+0.8+(5000-ROW())/10000000,0)</f>
        <v/>
      </c>
      <c r="J1918" s="63">
        <f>Ustawienia!$B$9&amp;""</f>
        <v/>
      </c>
      <c r="K1918" s="63">
        <f>IF(H1918="","",COUNTIFS('Zgłoszenia'!$B$5:$B$504,F1918,'Zgłoszenia'!$D$5:$D$504,"&gt;="&amp;A1918,'Zgłoszenia'!$D$5:$D$504,"&lt;="&amp;(A1918+1)))</f>
        <v/>
      </c>
      <c r="L1918" s="63">
        <f>IF(OR(H1918="",K1918=0),"—",IF(ISNUMBER(MATCH(H1918,'Zgłoszenia'!$S$5:$S$504,0)),RIGHT("0"&amp;DAY(A1918),2)&amp;"."&amp;RIGHT("0"&amp;MONTH(A1918),2)&amp;"."&amp;YEAR(A1918)&amp;": "&amp;INDEX('Zgłoszenia'!$H$5:$H$504,MATCH(H1918,'Zgłoszenia'!$S$5:$S$504,0)),RIGHT("0"&amp;DAY((A1918+1)),2)&amp;"."&amp;RIGHT("0"&amp;MONTH((A1918+1)),2)&amp;"."&amp;YEAR((A1918+1))&amp;": "&amp;INDEX('Zgłoszenia'!$H$5:$H$504,MATCH(F1918&amp;"|"&amp;(A1918+1),'Zgłoszenia'!$S$5:$S$504,0)))&amp;IF(K1918&gt;1," (+"&amp;(K1918-1)&amp;")",""))</f>
        <v/>
      </c>
      <c r="M1918" s="63" t="n">
        <v>24</v>
      </c>
      <c r="N1918" s="2" t="n"/>
      <c r="O1918" s="2" t="n"/>
    </row>
    <row r="1919">
      <c r="A1919" s="62">
        <f>IF('24'!$C$1="","",'24'!$C$1)</f>
        <v/>
      </c>
      <c r="B1919" s="63">
        <f>Ustawienia!$A$10&amp;""</f>
        <v/>
      </c>
      <c r="C1919" s="63">
        <f>Ustawienia!$A$14&amp;""</f>
        <v/>
      </c>
      <c r="D1919" s="63" t="n">
        <v>1</v>
      </c>
      <c r="E1919" s="63">
        <f>IF('24'!J6="","",TRIM('24'!J6&amp;""))</f>
        <v/>
      </c>
      <c r="F1919" s="63">
        <f>IF('24'!K6="","",'24'!K6)</f>
        <v/>
      </c>
      <c r="G1919" s="63">
        <f>'24'!L6&amp;""</f>
        <v/>
      </c>
      <c r="H1919" s="63">
        <f>IF(OR(A1919="",F1919=""),"",F1919&amp;"|"&amp;A1919)</f>
        <v/>
      </c>
      <c r="I1919" s="63">
        <f>IF(AND(H1919&lt;&gt;"",OR('Historia wózka'!$B$4="",F1919='Historia wózka'!$B$4),A1919&gt;='Historia wózka'!$B$5,A1919&lt;='Historia wózka'!$B$6),A1919+0.7+(5000-ROW())/10000000,0)</f>
        <v/>
      </c>
      <c r="J1919" s="63">
        <f>Ustawienia!$B$10&amp;""</f>
        <v/>
      </c>
      <c r="K1919" s="63">
        <f>IF(H1919="","",COUNTIFS('Zgłoszenia'!$B$5:$B$504,F1919,'Zgłoszenia'!$D$5:$D$504,"&gt;="&amp;A1919,'Zgłoszenia'!$D$5:$D$504,"&lt;="&amp;(A1919+1)))</f>
        <v/>
      </c>
      <c r="L1919" s="63">
        <f>IF(OR(H1919="",K1919=0),"—",IF(ISNUMBER(MATCH(H1919,'Zgłoszenia'!$S$5:$S$504,0)),RIGHT("0"&amp;DAY(A1919),2)&amp;"."&amp;RIGHT("0"&amp;MONTH(A1919),2)&amp;"."&amp;YEAR(A1919)&amp;": "&amp;INDEX('Zgłoszenia'!$H$5:$H$504,MATCH(H1919,'Zgłoszenia'!$S$5:$S$504,0)),RIGHT("0"&amp;DAY((A1919+1)),2)&amp;"."&amp;RIGHT("0"&amp;MONTH((A1919+1)),2)&amp;"."&amp;YEAR((A1919+1))&amp;": "&amp;INDEX('Zgłoszenia'!$H$5:$H$504,MATCH(F1919&amp;"|"&amp;(A1919+1),'Zgłoszenia'!$S$5:$S$504,0)))&amp;IF(K1919&gt;1," (+"&amp;(K1919-1)&amp;")",""))</f>
        <v/>
      </c>
      <c r="M1919" s="63" t="n">
        <v>24</v>
      </c>
      <c r="N1919" s="2" t="n"/>
      <c r="O1919" s="2" t="n"/>
    </row>
    <row r="1920">
      <c r="A1920" s="62">
        <f>IF('24'!$C$1="","",'24'!$C$1)</f>
        <v/>
      </c>
      <c r="B1920" s="63">
        <f>Ustawienia!$A$10&amp;""</f>
        <v/>
      </c>
      <c r="C1920" s="63">
        <f>Ustawienia!$A$14&amp;""</f>
        <v/>
      </c>
      <c r="D1920" s="63" t="n">
        <v>2</v>
      </c>
      <c r="E1920" s="63">
        <f>IF('24'!J7="","",TRIM('24'!J7&amp;""))</f>
        <v/>
      </c>
      <c r="F1920" s="63">
        <f>IF('24'!K7="","",'24'!K7)</f>
        <v/>
      </c>
      <c r="G1920" s="63">
        <f>'24'!L7&amp;""</f>
        <v/>
      </c>
      <c r="H1920" s="63">
        <f>IF(OR(A1920="",F1920=""),"",F1920&amp;"|"&amp;A1920)</f>
        <v/>
      </c>
      <c r="I1920" s="63">
        <f>IF(AND(H1920&lt;&gt;"",OR('Historia wózka'!$B$4="",F1920='Historia wózka'!$B$4),A1920&gt;='Historia wózka'!$B$5,A1920&lt;='Historia wózka'!$B$6),A1920+0.7+(5000-ROW())/10000000,0)</f>
        <v/>
      </c>
      <c r="J1920" s="63">
        <f>Ustawienia!$B$10&amp;""</f>
        <v/>
      </c>
      <c r="K1920" s="63">
        <f>IF(H1920="","",COUNTIFS('Zgłoszenia'!$B$5:$B$504,F1920,'Zgłoszenia'!$D$5:$D$504,"&gt;="&amp;A1920,'Zgłoszenia'!$D$5:$D$504,"&lt;="&amp;(A1920+1)))</f>
        <v/>
      </c>
      <c r="L1920" s="63">
        <f>IF(OR(H1920="",K1920=0),"—",IF(ISNUMBER(MATCH(H1920,'Zgłoszenia'!$S$5:$S$504,0)),RIGHT("0"&amp;DAY(A1920),2)&amp;"."&amp;RIGHT("0"&amp;MONTH(A1920),2)&amp;"."&amp;YEAR(A1920)&amp;": "&amp;INDEX('Zgłoszenia'!$H$5:$H$504,MATCH(H1920,'Zgłoszenia'!$S$5:$S$504,0)),RIGHT("0"&amp;DAY((A1920+1)),2)&amp;"."&amp;RIGHT("0"&amp;MONTH((A1920+1)),2)&amp;"."&amp;YEAR((A1920+1))&amp;": "&amp;INDEX('Zgłoszenia'!$H$5:$H$504,MATCH(F1920&amp;"|"&amp;(A1920+1),'Zgłoszenia'!$S$5:$S$504,0)))&amp;IF(K1920&gt;1," (+"&amp;(K1920-1)&amp;")",""))</f>
        <v/>
      </c>
      <c r="M1920" s="63" t="n">
        <v>24</v>
      </c>
      <c r="N1920" s="2" t="n"/>
      <c r="O1920" s="2" t="n"/>
    </row>
    <row r="1921">
      <c r="A1921" s="62">
        <f>IF('24'!$C$1="","",'24'!$C$1)</f>
        <v/>
      </c>
      <c r="B1921" s="63">
        <f>Ustawienia!$A$10&amp;""</f>
        <v/>
      </c>
      <c r="C1921" s="63">
        <f>Ustawienia!$A$14&amp;""</f>
        <v/>
      </c>
      <c r="D1921" s="63" t="n">
        <v>3</v>
      </c>
      <c r="E1921" s="63">
        <f>IF('24'!J8="","",TRIM('24'!J8&amp;""))</f>
        <v/>
      </c>
      <c r="F1921" s="63">
        <f>IF('24'!K8="","",'24'!K8)</f>
        <v/>
      </c>
      <c r="G1921" s="63">
        <f>'24'!L8&amp;""</f>
        <v/>
      </c>
      <c r="H1921" s="63">
        <f>IF(OR(A1921="",F1921=""),"",F1921&amp;"|"&amp;A1921)</f>
        <v/>
      </c>
      <c r="I1921" s="63">
        <f>IF(AND(H1921&lt;&gt;"",OR('Historia wózka'!$B$4="",F1921='Historia wózka'!$B$4),A1921&gt;='Historia wózka'!$B$5,A1921&lt;='Historia wózka'!$B$6),A1921+0.7+(5000-ROW())/10000000,0)</f>
        <v/>
      </c>
      <c r="J1921" s="63">
        <f>Ustawienia!$B$10&amp;""</f>
        <v/>
      </c>
      <c r="K1921" s="63">
        <f>IF(H1921="","",COUNTIFS('Zgłoszenia'!$B$5:$B$504,F1921,'Zgłoszenia'!$D$5:$D$504,"&gt;="&amp;A1921,'Zgłoszenia'!$D$5:$D$504,"&lt;="&amp;(A1921+1)))</f>
        <v/>
      </c>
      <c r="L1921" s="63">
        <f>IF(OR(H1921="",K1921=0),"—",IF(ISNUMBER(MATCH(H1921,'Zgłoszenia'!$S$5:$S$504,0)),RIGHT("0"&amp;DAY(A1921),2)&amp;"."&amp;RIGHT("0"&amp;MONTH(A1921),2)&amp;"."&amp;YEAR(A1921)&amp;": "&amp;INDEX('Zgłoszenia'!$H$5:$H$504,MATCH(H1921,'Zgłoszenia'!$S$5:$S$504,0)),RIGHT("0"&amp;DAY((A1921+1)),2)&amp;"."&amp;RIGHT("0"&amp;MONTH((A1921+1)),2)&amp;"."&amp;YEAR((A1921+1))&amp;": "&amp;INDEX('Zgłoszenia'!$H$5:$H$504,MATCH(F1921&amp;"|"&amp;(A1921+1),'Zgłoszenia'!$S$5:$S$504,0)))&amp;IF(K1921&gt;1," (+"&amp;(K1921-1)&amp;")",""))</f>
        <v/>
      </c>
      <c r="M1921" s="63" t="n">
        <v>24</v>
      </c>
      <c r="N1921" s="2" t="n"/>
      <c r="O1921" s="2" t="n"/>
    </row>
    <row r="1922">
      <c r="A1922" s="62">
        <f>IF('24'!$C$1="","",'24'!$C$1)</f>
        <v/>
      </c>
      <c r="B1922" s="63">
        <f>Ustawienia!$A$10&amp;""</f>
        <v/>
      </c>
      <c r="C1922" s="63">
        <f>Ustawienia!$A$14&amp;""</f>
        <v/>
      </c>
      <c r="D1922" s="63" t="n">
        <v>4</v>
      </c>
      <c r="E1922" s="63">
        <f>IF('24'!J9="","",TRIM('24'!J9&amp;""))</f>
        <v/>
      </c>
      <c r="F1922" s="63">
        <f>IF('24'!K9="","",'24'!K9)</f>
        <v/>
      </c>
      <c r="G1922" s="63">
        <f>'24'!L9&amp;""</f>
        <v/>
      </c>
      <c r="H1922" s="63">
        <f>IF(OR(A1922="",F1922=""),"",F1922&amp;"|"&amp;A1922)</f>
        <v/>
      </c>
      <c r="I1922" s="63">
        <f>IF(AND(H1922&lt;&gt;"",OR('Historia wózka'!$B$4="",F1922='Historia wózka'!$B$4),A1922&gt;='Historia wózka'!$B$5,A1922&lt;='Historia wózka'!$B$6),A1922+0.7+(5000-ROW())/10000000,0)</f>
        <v/>
      </c>
      <c r="J1922" s="63">
        <f>Ustawienia!$B$10&amp;""</f>
        <v/>
      </c>
      <c r="K1922" s="63">
        <f>IF(H1922="","",COUNTIFS('Zgłoszenia'!$B$5:$B$504,F1922,'Zgłoszenia'!$D$5:$D$504,"&gt;="&amp;A1922,'Zgłoszenia'!$D$5:$D$504,"&lt;="&amp;(A1922+1)))</f>
        <v/>
      </c>
      <c r="L1922" s="63">
        <f>IF(OR(H1922="",K1922=0),"—",IF(ISNUMBER(MATCH(H1922,'Zgłoszenia'!$S$5:$S$504,0)),RIGHT("0"&amp;DAY(A1922),2)&amp;"."&amp;RIGHT("0"&amp;MONTH(A1922),2)&amp;"."&amp;YEAR(A1922)&amp;": "&amp;INDEX('Zgłoszenia'!$H$5:$H$504,MATCH(H1922,'Zgłoszenia'!$S$5:$S$504,0)),RIGHT("0"&amp;DAY((A1922+1)),2)&amp;"."&amp;RIGHT("0"&amp;MONTH((A1922+1)),2)&amp;"."&amp;YEAR((A1922+1))&amp;": "&amp;INDEX('Zgłoszenia'!$H$5:$H$504,MATCH(F1922&amp;"|"&amp;(A1922+1),'Zgłoszenia'!$S$5:$S$504,0)))&amp;IF(K1922&gt;1," (+"&amp;(K1922-1)&amp;")",""))</f>
        <v/>
      </c>
      <c r="M1922" s="63" t="n">
        <v>24</v>
      </c>
      <c r="N1922" s="2" t="n"/>
      <c r="O1922" s="2" t="n"/>
    </row>
    <row r="1923">
      <c r="A1923" s="62">
        <f>IF('24'!$C$1="","",'24'!$C$1)</f>
        <v/>
      </c>
      <c r="B1923" s="63">
        <f>Ustawienia!$A$10&amp;""</f>
        <v/>
      </c>
      <c r="C1923" s="63">
        <f>Ustawienia!$A$14&amp;""</f>
        <v/>
      </c>
      <c r="D1923" s="63" t="n">
        <v>5</v>
      </c>
      <c r="E1923" s="63">
        <f>IF('24'!J10="","",TRIM('24'!J10&amp;""))</f>
        <v/>
      </c>
      <c r="F1923" s="63">
        <f>IF('24'!K10="","",'24'!K10)</f>
        <v/>
      </c>
      <c r="G1923" s="63">
        <f>'24'!L10&amp;""</f>
        <v/>
      </c>
      <c r="H1923" s="63">
        <f>IF(OR(A1923="",F1923=""),"",F1923&amp;"|"&amp;A1923)</f>
        <v/>
      </c>
      <c r="I1923" s="63">
        <f>IF(AND(H1923&lt;&gt;"",OR('Historia wózka'!$B$4="",F1923='Historia wózka'!$B$4),A1923&gt;='Historia wózka'!$B$5,A1923&lt;='Historia wózka'!$B$6),A1923+0.7+(5000-ROW())/10000000,0)</f>
        <v/>
      </c>
      <c r="J1923" s="63">
        <f>Ustawienia!$B$10&amp;""</f>
        <v/>
      </c>
      <c r="K1923" s="63">
        <f>IF(H1923="","",COUNTIFS('Zgłoszenia'!$B$5:$B$504,F1923,'Zgłoszenia'!$D$5:$D$504,"&gt;="&amp;A1923,'Zgłoszenia'!$D$5:$D$504,"&lt;="&amp;(A1923+1)))</f>
        <v/>
      </c>
      <c r="L1923" s="63">
        <f>IF(OR(H1923="",K1923=0),"—",IF(ISNUMBER(MATCH(H1923,'Zgłoszenia'!$S$5:$S$504,0)),RIGHT("0"&amp;DAY(A1923),2)&amp;"."&amp;RIGHT("0"&amp;MONTH(A1923),2)&amp;"."&amp;YEAR(A1923)&amp;": "&amp;INDEX('Zgłoszenia'!$H$5:$H$504,MATCH(H1923,'Zgłoszenia'!$S$5:$S$504,0)),RIGHT("0"&amp;DAY((A1923+1)),2)&amp;"."&amp;RIGHT("0"&amp;MONTH((A1923+1)),2)&amp;"."&amp;YEAR((A1923+1))&amp;": "&amp;INDEX('Zgłoszenia'!$H$5:$H$504,MATCH(F1923&amp;"|"&amp;(A1923+1),'Zgłoszenia'!$S$5:$S$504,0)))&amp;IF(K1923&gt;1," (+"&amp;(K1923-1)&amp;")",""))</f>
        <v/>
      </c>
      <c r="M1923" s="63" t="n">
        <v>24</v>
      </c>
      <c r="N1923" s="2" t="n"/>
      <c r="O1923" s="2" t="n"/>
    </row>
    <row r="1924">
      <c r="A1924" s="62">
        <f>IF('24'!$C$1="","",'24'!$C$1)</f>
        <v/>
      </c>
      <c r="B1924" s="63">
        <f>Ustawienia!$A$10&amp;""</f>
        <v/>
      </c>
      <c r="C1924" s="63">
        <f>Ustawienia!$A$14&amp;""</f>
        <v/>
      </c>
      <c r="D1924" s="63" t="n">
        <v>6</v>
      </c>
      <c r="E1924" s="63">
        <f>IF('24'!J11="","",TRIM('24'!J11&amp;""))</f>
        <v/>
      </c>
      <c r="F1924" s="63">
        <f>IF('24'!K11="","",'24'!K11)</f>
        <v/>
      </c>
      <c r="G1924" s="63">
        <f>'24'!L11&amp;""</f>
        <v/>
      </c>
      <c r="H1924" s="63">
        <f>IF(OR(A1924="",F1924=""),"",F1924&amp;"|"&amp;A1924)</f>
        <v/>
      </c>
      <c r="I1924" s="63">
        <f>IF(AND(H1924&lt;&gt;"",OR('Historia wózka'!$B$4="",F1924='Historia wózka'!$B$4),A1924&gt;='Historia wózka'!$B$5,A1924&lt;='Historia wózka'!$B$6),A1924+0.7+(5000-ROW())/10000000,0)</f>
        <v/>
      </c>
      <c r="J1924" s="63">
        <f>Ustawienia!$B$10&amp;""</f>
        <v/>
      </c>
      <c r="K1924" s="63">
        <f>IF(H1924="","",COUNTIFS('Zgłoszenia'!$B$5:$B$504,F1924,'Zgłoszenia'!$D$5:$D$504,"&gt;="&amp;A1924,'Zgłoszenia'!$D$5:$D$504,"&lt;="&amp;(A1924+1)))</f>
        <v/>
      </c>
      <c r="L1924" s="63">
        <f>IF(OR(H1924="",K1924=0),"—",IF(ISNUMBER(MATCH(H1924,'Zgłoszenia'!$S$5:$S$504,0)),RIGHT("0"&amp;DAY(A1924),2)&amp;"."&amp;RIGHT("0"&amp;MONTH(A1924),2)&amp;"."&amp;YEAR(A1924)&amp;": "&amp;INDEX('Zgłoszenia'!$H$5:$H$504,MATCH(H1924,'Zgłoszenia'!$S$5:$S$504,0)),RIGHT("0"&amp;DAY((A1924+1)),2)&amp;"."&amp;RIGHT("0"&amp;MONTH((A1924+1)),2)&amp;"."&amp;YEAR((A1924+1))&amp;": "&amp;INDEX('Zgłoszenia'!$H$5:$H$504,MATCH(F1924&amp;"|"&amp;(A1924+1),'Zgłoszenia'!$S$5:$S$504,0)))&amp;IF(K1924&gt;1," (+"&amp;(K1924-1)&amp;")",""))</f>
        <v/>
      </c>
      <c r="M1924" s="63" t="n">
        <v>24</v>
      </c>
      <c r="N1924" s="2" t="n"/>
      <c r="O1924" s="2" t="n"/>
    </row>
    <row r="1925">
      <c r="A1925" s="62">
        <f>IF('24'!$C$1="","",'24'!$C$1)</f>
        <v/>
      </c>
      <c r="B1925" s="63">
        <f>Ustawienia!$A$10&amp;""</f>
        <v/>
      </c>
      <c r="C1925" s="63">
        <f>Ustawienia!$A$15&amp;""</f>
        <v/>
      </c>
      <c r="D1925" s="63" t="n">
        <v>1</v>
      </c>
      <c r="E1925" s="63">
        <f>IF('24'!J13="","",TRIM('24'!J13&amp;""))</f>
        <v/>
      </c>
      <c r="F1925" s="63">
        <f>IF('24'!K13="","",'24'!K13)</f>
        <v/>
      </c>
      <c r="G1925" s="63">
        <f>'24'!L13&amp;""</f>
        <v/>
      </c>
      <c r="H1925" s="63">
        <f>IF(OR(A1925="",F1925=""),"",F1925&amp;"|"&amp;A1925)</f>
        <v/>
      </c>
      <c r="I1925" s="63">
        <f>IF(AND(H1925&lt;&gt;"",OR('Historia wózka'!$B$4="",F1925='Historia wózka'!$B$4),A1925&gt;='Historia wózka'!$B$5,A1925&lt;='Historia wózka'!$B$6),A1925+0.7+(5000-ROW())/10000000,0)</f>
        <v/>
      </c>
      <c r="J1925" s="63">
        <f>Ustawienia!$B$10&amp;""</f>
        <v/>
      </c>
      <c r="K1925" s="63">
        <f>IF(H1925="","",COUNTIFS('Zgłoszenia'!$B$5:$B$504,F1925,'Zgłoszenia'!$D$5:$D$504,"&gt;="&amp;A1925,'Zgłoszenia'!$D$5:$D$504,"&lt;="&amp;(A1925+1)))</f>
        <v/>
      </c>
      <c r="L1925" s="63">
        <f>IF(OR(H1925="",K1925=0),"—",IF(ISNUMBER(MATCH(H1925,'Zgłoszenia'!$S$5:$S$504,0)),RIGHT("0"&amp;DAY(A1925),2)&amp;"."&amp;RIGHT("0"&amp;MONTH(A1925),2)&amp;"."&amp;YEAR(A1925)&amp;": "&amp;INDEX('Zgłoszenia'!$H$5:$H$504,MATCH(H1925,'Zgłoszenia'!$S$5:$S$504,0)),RIGHT("0"&amp;DAY((A1925+1)),2)&amp;"."&amp;RIGHT("0"&amp;MONTH((A1925+1)),2)&amp;"."&amp;YEAR((A1925+1))&amp;": "&amp;INDEX('Zgłoszenia'!$H$5:$H$504,MATCH(F1925&amp;"|"&amp;(A1925+1),'Zgłoszenia'!$S$5:$S$504,0)))&amp;IF(K1925&gt;1," (+"&amp;(K1925-1)&amp;")",""))</f>
        <v/>
      </c>
      <c r="M1925" s="63" t="n">
        <v>24</v>
      </c>
      <c r="N1925" s="2" t="n"/>
      <c r="O1925" s="2" t="n"/>
    </row>
    <row r="1926">
      <c r="A1926" s="62">
        <f>IF('24'!$C$1="","",'24'!$C$1)</f>
        <v/>
      </c>
      <c r="B1926" s="63">
        <f>Ustawienia!$A$10&amp;""</f>
        <v/>
      </c>
      <c r="C1926" s="63">
        <f>Ustawienia!$A$15&amp;""</f>
        <v/>
      </c>
      <c r="D1926" s="63" t="n">
        <v>2</v>
      </c>
      <c r="E1926" s="63">
        <f>IF('24'!J14="","",TRIM('24'!J14&amp;""))</f>
        <v/>
      </c>
      <c r="F1926" s="63">
        <f>IF('24'!K14="","",'24'!K14)</f>
        <v/>
      </c>
      <c r="G1926" s="63">
        <f>'24'!L14&amp;""</f>
        <v/>
      </c>
      <c r="H1926" s="63">
        <f>IF(OR(A1926="",F1926=""),"",F1926&amp;"|"&amp;A1926)</f>
        <v/>
      </c>
      <c r="I1926" s="63">
        <f>IF(AND(H1926&lt;&gt;"",OR('Historia wózka'!$B$4="",F1926='Historia wózka'!$B$4),A1926&gt;='Historia wózka'!$B$5,A1926&lt;='Historia wózka'!$B$6),A1926+0.7+(5000-ROW())/10000000,0)</f>
        <v/>
      </c>
      <c r="J1926" s="63">
        <f>Ustawienia!$B$10&amp;""</f>
        <v/>
      </c>
      <c r="K1926" s="63">
        <f>IF(H1926="","",COUNTIFS('Zgłoszenia'!$B$5:$B$504,F1926,'Zgłoszenia'!$D$5:$D$504,"&gt;="&amp;A1926,'Zgłoszenia'!$D$5:$D$504,"&lt;="&amp;(A1926+1)))</f>
        <v/>
      </c>
      <c r="L1926" s="63">
        <f>IF(OR(H1926="",K1926=0),"—",IF(ISNUMBER(MATCH(H1926,'Zgłoszenia'!$S$5:$S$504,0)),RIGHT("0"&amp;DAY(A1926),2)&amp;"."&amp;RIGHT("0"&amp;MONTH(A1926),2)&amp;"."&amp;YEAR(A1926)&amp;": "&amp;INDEX('Zgłoszenia'!$H$5:$H$504,MATCH(H1926,'Zgłoszenia'!$S$5:$S$504,0)),RIGHT("0"&amp;DAY((A1926+1)),2)&amp;"."&amp;RIGHT("0"&amp;MONTH((A1926+1)),2)&amp;"."&amp;YEAR((A1926+1))&amp;": "&amp;INDEX('Zgłoszenia'!$H$5:$H$504,MATCH(F1926&amp;"|"&amp;(A1926+1),'Zgłoszenia'!$S$5:$S$504,0)))&amp;IF(K1926&gt;1," (+"&amp;(K1926-1)&amp;")",""))</f>
        <v/>
      </c>
      <c r="M1926" s="63" t="n">
        <v>24</v>
      </c>
      <c r="N1926" s="2" t="n"/>
      <c r="O1926" s="2" t="n"/>
    </row>
    <row r="1927">
      <c r="A1927" s="62">
        <f>IF('24'!$C$1="","",'24'!$C$1)</f>
        <v/>
      </c>
      <c r="B1927" s="63">
        <f>Ustawienia!$A$10&amp;""</f>
        <v/>
      </c>
      <c r="C1927" s="63">
        <f>Ustawienia!$A$15&amp;""</f>
        <v/>
      </c>
      <c r="D1927" s="63" t="n">
        <v>3</v>
      </c>
      <c r="E1927" s="63">
        <f>IF('24'!J15="","",TRIM('24'!J15&amp;""))</f>
        <v/>
      </c>
      <c r="F1927" s="63">
        <f>IF('24'!K15="","",'24'!K15)</f>
        <v/>
      </c>
      <c r="G1927" s="63">
        <f>'24'!L15&amp;""</f>
        <v/>
      </c>
      <c r="H1927" s="63">
        <f>IF(OR(A1927="",F1927=""),"",F1927&amp;"|"&amp;A1927)</f>
        <v/>
      </c>
      <c r="I1927" s="63">
        <f>IF(AND(H1927&lt;&gt;"",OR('Historia wózka'!$B$4="",F1927='Historia wózka'!$B$4),A1927&gt;='Historia wózka'!$B$5,A1927&lt;='Historia wózka'!$B$6),A1927+0.7+(5000-ROW())/10000000,0)</f>
        <v/>
      </c>
      <c r="J1927" s="63">
        <f>Ustawienia!$B$10&amp;""</f>
        <v/>
      </c>
      <c r="K1927" s="63">
        <f>IF(H1927="","",COUNTIFS('Zgłoszenia'!$B$5:$B$504,F1927,'Zgłoszenia'!$D$5:$D$504,"&gt;="&amp;A1927,'Zgłoszenia'!$D$5:$D$504,"&lt;="&amp;(A1927+1)))</f>
        <v/>
      </c>
      <c r="L1927" s="63">
        <f>IF(OR(H1927="",K1927=0),"—",IF(ISNUMBER(MATCH(H1927,'Zgłoszenia'!$S$5:$S$504,0)),RIGHT("0"&amp;DAY(A1927),2)&amp;"."&amp;RIGHT("0"&amp;MONTH(A1927),2)&amp;"."&amp;YEAR(A1927)&amp;": "&amp;INDEX('Zgłoszenia'!$H$5:$H$504,MATCH(H1927,'Zgłoszenia'!$S$5:$S$504,0)),RIGHT("0"&amp;DAY((A1927+1)),2)&amp;"."&amp;RIGHT("0"&amp;MONTH((A1927+1)),2)&amp;"."&amp;YEAR((A1927+1))&amp;": "&amp;INDEX('Zgłoszenia'!$H$5:$H$504,MATCH(F1927&amp;"|"&amp;(A1927+1),'Zgłoszenia'!$S$5:$S$504,0)))&amp;IF(K1927&gt;1," (+"&amp;(K1927-1)&amp;")",""))</f>
        <v/>
      </c>
      <c r="M1927" s="63" t="n">
        <v>24</v>
      </c>
      <c r="N1927" s="2" t="n"/>
      <c r="O1927" s="2" t="n"/>
    </row>
    <row r="1928">
      <c r="A1928" s="62">
        <f>IF('24'!$C$1="","",'24'!$C$1)</f>
        <v/>
      </c>
      <c r="B1928" s="63">
        <f>Ustawienia!$A$10&amp;""</f>
        <v/>
      </c>
      <c r="C1928" s="63">
        <f>Ustawienia!$A$15&amp;""</f>
        <v/>
      </c>
      <c r="D1928" s="63" t="n">
        <v>4</v>
      </c>
      <c r="E1928" s="63">
        <f>IF('24'!J16="","",TRIM('24'!J16&amp;""))</f>
        <v/>
      </c>
      <c r="F1928" s="63">
        <f>IF('24'!K16="","",'24'!K16)</f>
        <v/>
      </c>
      <c r="G1928" s="63">
        <f>'24'!L16&amp;""</f>
        <v/>
      </c>
      <c r="H1928" s="63">
        <f>IF(OR(A1928="",F1928=""),"",F1928&amp;"|"&amp;A1928)</f>
        <v/>
      </c>
      <c r="I1928" s="63">
        <f>IF(AND(H1928&lt;&gt;"",OR('Historia wózka'!$B$4="",F1928='Historia wózka'!$B$4),A1928&gt;='Historia wózka'!$B$5,A1928&lt;='Historia wózka'!$B$6),A1928+0.7+(5000-ROW())/10000000,0)</f>
        <v/>
      </c>
      <c r="J1928" s="63">
        <f>Ustawienia!$B$10&amp;""</f>
        <v/>
      </c>
      <c r="K1928" s="63">
        <f>IF(H1928="","",COUNTIFS('Zgłoszenia'!$B$5:$B$504,F1928,'Zgłoszenia'!$D$5:$D$504,"&gt;="&amp;A1928,'Zgłoszenia'!$D$5:$D$504,"&lt;="&amp;(A1928+1)))</f>
        <v/>
      </c>
      <c r="L1928" s="63">
        <f>IF(OR(H1928="",K1928=0),"—",IF(ISNUMBER(MATCH(H1928,'Zgłoszenia'!$S$5:$S$504,0)),RIGHT("0"&amp;DAY(A1928),2)&amp;"."&amp;RIGHT("0"&amp;MONTH(A1928),2)&amp;"."&amp;YEAR(A1928)&amp;": "&amp;INDEX('Zgłoszenia'!$H$5:$H$504,MATCH(H1928,'Zgłoszenia'!$S$5:$S$504,0)),RIGHT("0"&amp;DAY((A1928+1)),2)&amp;"."&amp;RIGHT("0"&amp;MONTH((A1928+1)),2)&amp;"."&amp;YEAR((A1928+1))&amp;": "&amp;INDEX('Zgłoszenia'!$H$5:$H$504,MATCH(F1928&amp;"|"&amp;(A1928+1),'Zgłoszenia'!$S$5:$S$504,0)))&amp;IF(K1928&gt;1," (+"&amp;(K1928-1)&amp;")",""))</f>
        <v/>
      </c>
      <c r="M1928" s="63" t="n">
        <v>24</v>
      </c>
      <c r="N1928" s="2" t="n"/>
      <c r="O1928" s="2" t="n"/>
    </row>
    <row r="1929">
      <c r="A1929" s="62">
        <f>IF('24'!$C$1="","",'24'!$C$1)</f>
        <v/>
      </c>
      <c r="B1929" s="63">
        <f>Ustawienia!$A$10&amp;""</f>
        <v/>
      </c>
      <c r="C1929" s="63">
        <f>Ustawienia!$A$15&amp;""</f>
        <v/>
      </c>
      <c r="D1929" s="63" t="n">
        <v>5</v>
      </c>
      <c r="E1929" s="63">
        <f>IF('24'!J17="","",TRIM('24'!J17&amp;""))</f>
        <v/>
      </c>
      <c r="F1929" s="63">
        <f>IF('24'!K17="","",'24'!K17)</f>
        <v/>
      </c>
      <c r="G1929" s="63">
        <f>'24'!L17&amp;""</f>
        <v/>
      </c>
      <c r="H1929" s="63">
        <f>IF(OR(A1929="",F1929=""),"",F1929&amp;"|"&amp;A1929)</f>
        <v/>
      </c>
      <c r="I1929" s="63">
        <f>IF(AND(H1929&lt;&gt;"",OR('Historia wózka'!$B$4="",F1929='Historia wózka'!$B$4),A1929&gt;='Historia wózka'!$B$5,A1929&lt;='Historia wózka'!$B$6),A1929+0.7+(5000-ROW())/10000000,0)</f>
        <v/>
      </c>
      <c r="J1929" s="63">
        <f>Ustawienia!$B$10&amp;""</f>
        <v/>
      </c>
      <c r="K1929" s="63">
        <f>IF(H1929="","",COUNTIFS('Zgłoszenia'!$B$5:$B$504,F1929,'Zgłoszenia'!$D$5:$D$504,"&gt;="&amp;A1929,'Zgłoszenia'!$D$5:$D$504,"&lt;="&amp;(A1929+1)))</f>
        <v/>
      </c>
      <c r="L1929" s="63">
        <f>IF(OR(H1929="",K1929=0),"—",IF(ISNUMBER(MATCH(H1929,'Zgłoszenia'!$S$5:$S$504,0)),RIGHT("0"&amp;DAY(A1929),2)&amp;"."&amp;RIGHT("0"&amp;MONTH(A1929),2)&amp;"."&amp;YEAR(A1929)&amp;": "&amp;INDEX('Zgłoszenia'!$H$5:$H$504,MATCH(H1929,'Zgłoszenia'!$S$5:$S$504,0)),RIGHT("0"&amp;DAY((A1929+1)),2)&amp;"."&amp;RIGHT("0"&amp;MONTH((A1929+1)),2)&amp;"."&amp;YEAR((A1929+1))&amp;": "&amp;INDEX('Zgłoszenia'!$H$5:$H$504,MATCH(F1929&amp;"|"&amp;(A1929+1),'Zgłoszenia'!$S$5:$S$504,0)))&amp;IF(K1929&gt;1," (+"&amp;(K1929-1)&amp;")",""))</f>
        <v/>
      </c>
      <c r="M1929" s="63" t="n">
        <v>24</v>
      </c>
      <c r="N1929" s="2" t="n"/>
      <c r="O1929" s="2" t="n"/>
    </row>
    <row r="1930">
      <c r="A1930" s="62">
        <f>IF('24'!$C$1="","",'24'!$C$1)</f>
        <v/>
      </c>
      <c r="B1930" s="63">
        <f>Ustawienia!$A$10&amp;""</f>
        <v/>
      </c>
      <c r="C1930" s="63">
        <f>Ustawienia!$A$15&amp;""</f>
        <v/>
      </c>
      <c r="D1930" s="63" t="n">
        <v>6</v>
      </c>
      <c r="E1930" s="63">
        <f>IF('24'!J18="","",TRIM('24'!J18&amp;""))</f>
        <v/>
      </c>
      <c r="F1930" s="63">
        <f>IF('24'!K18="","",'24'!K18)</f>
        <v/>
      </c>
      <c r="G1930" s="63">
        <f>'24'!L18&amp;""</f>
        <v/>
      </c>
      <c r="H1930" s="63">
        <f>IF(OR(A1930="",F1930=""),"",F1930&amp;"|"&amp;A1930)</f>
        <v/>
      </c>
      <c r="I1930" s="63">
        <f>IF(AND(H1930&lt;&gt;"",OR('Historia wózka'!$B$4="",F1930='Historia wózka'!$B$4),A1930&gt;='Historia wózka'!$B$5,A1930&lt;='Historia wózka'!$B$6),A1930+0.7+(5000-ROW())/10000000,0)</f>
        <v/>
      </c>
      <c r="J1930" s="63">
        <f>Ustawienia!$B$10&amp;""</f>
        <v/>
      </c>
      <c r="K1930" s="63">
        <f>IF(H1930="","",COUNTIFS('Zgłoszenia'!$B$5:$B$504,F1930,'Zgłoszenia'!$D$5:$D$504,"&gt;="&amp;A1930,'Zgłoszenia'!$D$5:$D$504,"&lt;="&amp;(A1930+1)))</f>
        <v/>
      </c>
      <c r="L1930" s="63">
        <f>IF(OR(H1930="",K1930=0),"—",IF(ISNUMBER(MATCH(H1930,'Zgłoszenia'!$S$5:$S$504,0)),RIGHT("0"&amp;DAY(A1930),2)&amp;"."&amp;RIGHT("0"&amp;MONTH(A1930),2)&amp;"."&amp;YEAR(A1930)&amp;": "&amp;INDEX('Zgłoszenia'!$H$5:$H$504,MATCH(H1930,'Zgłoszenia'!$S$5:$S$504,0)),RIGHT("0"&amp;DAY((A1930+1)),2)&amp;"."&amp;RIGHT("0"&amp;MONTH((A1930+1)),2)&amp;"."&amp;YEAR((A1930+1))&amp;": "&amp;INDEX('Zgłoszenia'!$H$5:$H$504,MATCH(F1930&amp;"|"&amp;(A1930+1),'Zgłoszenia'!$S$5:$S$504,0)))&amp;IF(K1930&gt;1," (+"&amp;(K1930-1)&amp;")",""))</f>
        <v/>
      </c>
      <c r="M1930" s="63" t="n">
        <v>24</v>
      </c>
      <c r="N1930" s="2" t="n"/>
      <c r="O1930" s="2" t="n"/>
    </row>
    <row r="1931">
      <c r="A1931" s="62">
        <f>IF('24'!$C$1="","",'24'!$C$1)</f>
        <v/>
      </c>
      <c r="B1931" s="63">
        <f>Ustawienia!$A$10&amp;""</f>
        <v/>
      </c>
      <c r="C1931" s="63">
        <f>Ustawienia!$A$15&amp;""</f>
        <v/>
      </c>
      <c r="D1931" s="63" t="n">
        <v>7</v>
      </c>
      <c r="E1931" s="63">
        <f>IF('24'!J19="","",TRIM('24'!J19&amp;""))</f>
        <v/>
      </c>
      <c r="F1931" s="63">
        <f>IF('24'!K19="","",'24'!K19)</f>
        <v/>
      </c>
      <c r="G1931" s="63">
        <f>'24'!L19&amp;""</f>
        <v/>
      </c>
      <c r="H1931" s="63">
        <f>IF(OR(A1931="",F1931=""),"",F1931&amp;"|"&amp;A1931)</f>
        <v/>
      </c>
      <c r="I1931" s="63">
        <f>IF(AND(H1931&lt;&gt;"",OR('Historia wózka'!$B$4="",F1931='Historia wózka'!$B$4),A1931&gt;='Historia wózka'!$B$5,A1931&lt;='Historia wózka'!$B$6),A1931+0.7+(5000-ROW())/10000000,0)</f>
        <v/>
      </c>
      <c r="J1931" s="63">
        <f>Ustawienia!$B$10&amp;""</f>
        <v/>
      </c>
      <c r="K1931" s="63">
        <f>IF(H1931="","",COUNTIFS('Zgłoszenia'!$B$5:$B$504,F1931,'Zgłoszenia'!$D$5:$D$504,"&gt;="&amp;A1931,'Zgłoszenia'!$D$5:$D$504,"&lt;="&amp;(A1931+1)))</f>
        <v/>
      </c>
      <c r="L1931" s="63">
        <f>IF(OR(H1931="",K1931=0),"—",IF(ISNUMBER(MATCH(H1931,'Zgłoszenia'!$S$5:$S$504,0)),RIGHT("0"&amp;DAY(A1931),2)&amp;"."&amp;RIGHT("0"&amp;MONTH(A1931),2)&amp;"."&amp;YEAR(A1931)&amp;": "&amp;INDEX('Zgłoszenia'!$H$5:$H$504,MATCH(H1931,'Zgłoszenia'!$S$5:$S$504,0)),RIGHT("0"&amp;DAY((A1931+1)),2)&amp;"."&amp;RIGHT("0"&amp;MONTH((A1931+1)),2)&amp;"."&amp;YEAR((A1931+1))&amp;": "&amp;INDEX('Zgłoszenia'!$H$5:$H$504,MATCH(F1931&amp;"|"&amp;(A1931+1),'Zgłoszenia'!$S$5:$S$504,0)))&amp;IF(K1931&gt;1," (+"&amp;(K1931-1)&amp;")",""))</f>
        <v/>
      </c>
      <c r="M1931" s="63" t="n">
        <v>24</v>
      </c>
      <c r="N1931" s="2" t="n"/>
      <c r="O1931" s="2" t="n"/>
    </row>
    <row r="1932">
      <c r="A1932" s="62">
        <f>IF('24'!$C$1="","",'24'!$C$1)</f>
        <v/>
      </c>
      <c r="B1932" s="63">
        <f>Ustawienia!$A$10&amp;""</f>
        <v/>
      </c>
      <c r="C1932" s="63">
        <f>Ustawienia!$A$15&amp;""</f>
        <v/>
      </c>
      <c r="D1932" s="63" t="n">
        <v>8</v>
      </c>
      <c r="E1932" s="63">
        <f>IF('24'!J20="","",TRIM('24'!J20&amp;""))</f>
        <v/>
      </c>
      <c r="F1932" s="63">
        <f>IF('24'!K20="","",'24'!K20)</f>
        <v/>
      </c>
      <c r="G1932" s="63">
        <f>'24'!L20&amp;""</f>
        <v/>
      </c>
      <c r="H1932" s="63">
        <f>IF(OR(A1932="",F1932=""),"",F1932&amp;"|"&amp;A1932)</f>
        <v/>
      </c>
      <c r="I1932" s="63">
        <f>IF(AND(H1932&lt;&gt;"",OR('Historia wózka'!$B$4="",F1932='Historia wózka'!$B$4),A1932&gt;='Historia wózka'!$B$5,A1932&lt;='Historia wózka'!$B$6),A1932+0.7+(5000-ROW())/10000000,0)</f>
        <v/>
      </c>
      <c r="J1932" s="63">
        <f>Ustawienia!$B$10&amp;""</f>
        <v/>
      </c>
      <c r="K1932" s="63">
        <f>IF(H1932="","",COUNTIFS('Zgłoszenia'!$B$5:$B$504,F1932,'Zgłoszenia'!$D$5:$D$504,"&gt;="&amp;A1932,'Zgłoszenia'!$D$5:$D$504,"&lt;="&amp;(A1932+1)))</f>
        <v/>
      </c>
      <c r="L1932" s="63">
        <f>IF(OR(H1932="",K1932=0),"—",IF(ISNUMBER(MATCH(H1932,'Zgłoszenia'!$S$5:$S$504,0)),RIGHT("0"&amp;DAY(A1932),2)&amp;"."&amp;RIGHT("0"&amp;MONTH(A1932),2)&amp;"."&amp;YEAR(A1932)&amp;": "&amp;INDEX('Zgłoszenia'!$H$5:$H$504,MATCH(H1932,'Zgłoszenia'!$S$5:$S$504,0)),RIGHT("0"&amp;DAY((A1932+1)),2)&amp;"."&amp;RIGHT("0"&amp;MONTH((A1932+1)),2)&amp;"."&amp;YEAR((A1932+1))&amp;": "&amp;INDEX('Zgłoszenia'!$H$5:$H$504,MATCH(F1932&amp;"|"&amp;(A1932+1),'Zgłoszenia'!$S$5:$S$504,0)))&amp;IF(K1932&gt;1," (+"&amp;(K1932-1)&amp;")",""))</f>
        <v/>
      </c>
      <c r="M1932" s="63" t="n">
        <v>24</v>
      </c>
      <c r="N1932" s="2" t="n"/>
      <c r="O1932" s="2" t="n"/>
    </row>
    <row r="1933">
      <c r="A1933" s="62">
        <f>IF('24'!$C$1="","",'24'!$C$1)</f>
        <v/>
      </c>
      <c r="B1933" s="63">
        <f>Ustawienia!$A$10&amp;""</f>
        <v/>
      </c>
      <c r="C1933" s="63">
        <f>Ustawienia!$A$16&amp;""</f>
        <v/>
      </c>
      <c r="D1933" s="63" t="n">
        <v>1</v>
      </c>
      <c r="E1933" s="63">
        <f>IF('24'!J22="","",TRIM('24'!J22&amp;""))</f>
        <v/>
      </c>
      <c r="F1933" s="63">
        <f>IF('24'!K22="","",'24'!K22)</f>
        <v/>
      </c>
      <c r="G1933" s="63">
        <f>'24'!L22&amp;""</f>
        <v/>
      </c>
      <c r="H1933" s="63">
        <f>IF(OR(A1933="",F1933=""),"",F1933&amp;"|"&amp;A1933)</f>
        <v/>
      </c>
      <c r="I1933" s="63">
        <f>IF(AND(H1933&lt;&gt;"",OR('Historia wózka'!$B$4="",F1933='Historia wózka'!$B$4),A1933&gt;='Historia wózka'!$B$5,A1933&lt;='Historia wózka'!$B$6),A1933+0.7+(5000-ROW())/10000000,0)</f>
        <v/>
      </c>
      <c r="J1933" s="63">
        <f>Ustawienia!$B$10&amp;""</f>
        <v/>
      </c>
      <c r="K1933" s="63">
        <f>IF(H1933="","",COUNTIFS('Zgłoszenia'!$B$5:$B$504,F1933,'Zgłoszenia'!$D$5:$D$504,"&gt;="&amp;A1933,'Zgłoszenia'!$D$5:$D$504,"&lt;="&amp;(A1933+1)))</f>
        <v/>
      </c>
      <c r="L1933" s="63">
        <f>IF(OR(H1933="",K1933=0),"—",IF(ISNUMBER(MATCH(H1933,'Zgłoszenia'!$S$5:$S$504,0)),RIGHT("0"&amp;DAY(A1933),2)&amp;"."&amp;RIGHT("0"&amp;MONTH(A1933),2)&amp;"."&amp;YEAR(A1933)&amp;": "&amp;INDEX('Zgłoszenia'!$H$5:$H$504,MATCH(H1933,'Zgłoszenia'!$S$5:$S$504,0)),RIGHT("0"&amp;DAY((A1933+1)),2)&amp;"."&amp;RIGHT("0"&amp;MONTH((A1933+1)),2)&amp;"."&amp;YEAR((A1933+1))&amp;": "&amp;INDEX('Zgłoszenia'!$H$5:$H$504,MATCH(F1933&amp;"|"&amp;(A1933+1),'Zgłoszenia'!$S$5:$S$504,0)))&amp;IF(K1933&gt;1," (+"&amp;(K1933-1)&amp;")",""))</f>
        <v/>
      </c>
      <c r="M1933" s="63" t="n">
        <v>24</v>
      </c>
      <c r="N1933" s="2" t="n"/>
      <c r="O1933" s="2" t="n"/>
    </row>
    <row r="1934">
      <c r="A1934" s="62">
        <f>IF('24'!$C$1="","",'24'!$C$1)</f>
        <v/>
      </c>
      <c r="B1934" s="63">
        <f>Ustawienia!$A$10&amp;""</f>
        <v/>
      </c>
      <c r="C1934" s="63">
        <f>Ustawienia!$A$16&amp;""</f>
        <v/>
      </c>
      <c r="D1934" s="63" t="n">
        <v>2</v>
      </c>
      <c r="E1934" s="63">
        <f>IF('24'!J23="","",TRIM('24'!J23&amp;""))</f>
        <v/>
      </c>
      <c r="F1934" s="63">
        <f>IF('24'!K23="","",'24'!K23)</f>
        <v/>
      </c>
      <c r="G1934" s="63">
        <f>'24'!L23&amp;""</f>
        <v/>
      </c>
      <c r="H1934" s="63">
        <f>IF(OR(A1934="",F1934=""),"",F1934&amp;"|"&amp;A1934)</f>
        <v/>
      </c>
      <c r="I1934" s="63">
        <f>IF(AND(H1934&lt;&gt;"",OR('Historia wózka'!$B$4="",F1934='Historia wózka'!$B$4),A1934&gt;='Historia wózka'!$B$5,A1934&lt;='Historia wózka'!$B$6),A1934+0.7+(5000-ROW())/10000000,0)</f>
        <v/>
      </c>
      <c r="J1934" s="63">
        <f>Ustawienia!$B$10&amp;""</f>
        <v/>
      </c>
      <c r="K1934" s="63">
        <f>IF(H1934="","",COUNTIFS('Zgłoszenia'!$B$5:$B$504,F1934,'Zgłoszenia'!$D$5:$D$504,"&gt;="&amp;A1934,'Zgłoszenia'!$D$5:$D$504,"&lt;="&amp;(A1934+1)))</f>
        <v/>
      </c>
      <c r="L1934" s="63">
        <f>IF(OR(H1934="",K1934=0),"—",IF(ISNUMBER(MATCH(H1934,'Zgłoszenia'!$S$5:$S$504,0)),RIGHT("0"&amp;DAY(A1934),2)&amp;"."&amp;RIGHT("0"&amp;MONTH(A1934),2)&amp;"."&amp;YEAR(A1934)&amp;": "&amp;INDEX('Zgłoszenia'!$H$5:$H$504,MATCH(H1934,'Zgłoszenia'!$S$5:$S$504,0)),RIGHT("0"&amp;DAY((A1934+1)),2)&amp;"."&amp;RIGHT("0"&amp;MONTH((A1934+1)),2)&amp;"."&amp;YEAR((A1934+1))&amp;": "&amp;INDEX('Zgłoszenia'!$H$5:$H$504,MATCH(F1934&amp;"|"&amp;(A1934+1),'Zgłoszenia'!$S$5:$S$504,0)))&amp;IF(K1934&gt;1," (+"&amp;(K1934-1)&amp;")",""))</f>
        <v/>
      </c>
      <c r="M1934" s="63" t="n">
        <v>24</v>
      </c>
      <c r="N1934" s="2" t="n"/>
      <c r="O1934" s="2" t="n"/>
    </row>
    <row r="1935">
      <c r="A1935" s="62">
        <f>IF('24'!$C$1="","",'24'!$C$1)</f>
        <v/>
      </c>
      <c r="B1935" s="63">
        <f>Ustawienia!$A$10&amp;""</f>
        <v/>
      </c>
      <c r="C1935" s="63">
        <f>Ustawienia!$A$16&amp;""</f>
        <v/>
      </c>
      <c r="D1935" s="63" t="n">
        <v>3</v>
      </c>
      <c r="E1935" s="63">
        <f>IF('24'!J24="","",TRIM('24'!J24&amp;""))</f>
        <v/>
      </c>
      <c r="F1935" s="63">
        <f>IF('24'!K24="","",'24'!K24)</f>
        <v/>
      </c>
      <c r="G1935" s="63">
        <f>'24'!L24&amp;""</f>
        <v/>
      </c>
      <c r="H1935" s="63">
        <f>IF(OR(A1935="",F1935=""),"",F1935&amp;"|"&amp;A1935)</f>
        <v/>
      </c>
      <c r="I1935" s="63">
        <f>IF(AND(H1935&lt;&gt;"",OR('Historia wózka'!$B$4="",F1935='Historia wózka'!$B$4),A1935&gt;='Historia wózka'!$B$5,A1935&lt;='Historia wózka'!$B$6),A1935+0.7+(5000-ROW())/10000000,0)</f>
        <v/>
      </c>
      <c r="J1935" s="63">
        <f>Ustawienia!$B$10&amp;""</f>
        <v/>
      </c>
      <c r="K1935" s="63">
        <f>IF(H1935="","",COUNTIFS('Zgłoszenia'!$B$5:$B$504,F1935,'Zgłoszenia'!$D$5:$D$504,"&gt;="&amp;A1935,'Zgłoszenia'!$D$5:$D$504,"&lt;="&amp;(A1935+1)))</f>
        <v/>
      </c>
      <c r="L1935" s="63">
        <f>IF(OR(H1935="",K1935=0),"—",IF(ISNUMBER(MATCH(H1935,'Zgłoszenia'!$S$5:$S$504,0)),RIGHT("0"&amp;DAY(A1935),2)&amp;"."&amp;RIGHT("0"&amp;MONTH(A1935),2)&amp;"."&amp;YEAR(A1935)&amp;": "&amp;INDEX('Zgłoszenia'!$H$5:$H$504,MATCH(H1935,'Zgłoszenia'!$S$5:$S$504,0)),RIGHT("0"&amp;DAY((A1935+1)),2)&amp;"."&amp;RIGHT("0"&amp;MONTH((A1935+1)),2)&amp;"."&amp;YEAR((A1935+1))&amp;": "&amp;INDEX('Zgłoszenia'!$H$5:$H$504,MATCH(F1935&amp;"|"&amp;(A1935+1),'Zgłoszenia'!$S$5:$S$504,0)))&amp;IF(K1935&gt;1," (+"&amp;(K1935-1)&amp;")",""))</f>
        <v/>
      </c>
      <c r="M1935" s="63" t="n">
        <v>24</v>
      </c>
      <c r="N1935" s="2" t="n"/>
      <c r="O1935" s="2" t="n"/>
    </row>
    <row r="1936">
      <c r="A1936" s="62">
        <f>IF('24'!$C$1="","",'24'!$C$1)</f>
        <v/>
      </c>
      <c r="B1936" s="63">
        <f>Ustawienia!$A$10&amp;""</f>
        <v/>
      </c>
      <c r="C1936" s="63">
        <f>Ustawienia!$A$16&amp;""</f>
        <v/>
      </c>
      <c r="D1936" s="63" t="n">
        <v>4</v>
      </c>
      <c r="E1936" s="63">
        <f>IF('24'!J25="","",TRIM('24'!J25&amp;""))</f>
        <v/>
      </c>
      <c r="F1936" s="63">
        <f>IF('24'!K25="","",'24'!K25)</f>
        <v/>
      </c>
      <c r="G1936" s="63">
        <f>'24'!L25&amp;""</f>
        <v/>
      </c>
      <c r="H1936" s="63">
        <f>IF(OR(A1936="",F1936=""),"",F1936&amp;"|"&amp;A1936)</f>
        <v/>
      </c>
      <c r="I1936" s="63">
        <f>IF(AND(H1936&lt;&gt;"",OR('Historia wózka'!$B$4="",F1936='Historia wózka'!$B$4),A1936&gt;='Historia wózka'!$B$5,A1936&lt;='Historia wózka'!$B$6),A1936+0.7+(5000-ROW())/10000000,0)</f>
        <v/>
      </c>
      <c r="J1936" s="63">
        <f>Ustawienia!$B$10&amp;""</f>
        <v/>
      </c>
      <c r="K1936" s="63">
        <f>IF(H1936="","",COUNTIFS('Zgłoszenia'!$B$5:$B$504,F1936,'Zgłoszenia'!$D$5:$D$504,"&gt;="&amp;A1936,'Zgłoszenia'!$D$5:$D$504,"&lt;="&amp;(A1936+1)))</f>
        <v/>
      </c>
      <c r="L1936" s="63">
        <f>IF(OR(H1936="",K1936=0),"—",IF(ISNUMBER(MATCH(H1936,'Zgłoszenia'!$S$5:$S$504,0)),RIGHT("0"&amp;DAY(A1936),2)&amp;"."&amp;RIGHT("0"&amp;MONTH(A1936),2)&amp;"."&amp;YEAR(A1936)&amp;": "&amp;INDEX('Zgłoszenia'!$H$5:$H$504,MATCH(H1936,'Zgłoszenia'!$S$5:$S$504,0)),RIGHT("0"&amp;DAY((A1936+1)),2)&amp;"."&amp;RIGHT("0"&amp;MONTH((A1936+1)),2)&amp;"."&amp;YEAR((A1936+1))&amp;": "&amp;INDEX('Zgłoszenia'!$H$5:$H$504,MATCH(F1936&amp;"|"&amp;(A1936+1),'Zgłoszenia'!$S$5:$S$504,0)))&amp;IF(K1936&gt;1," (+"&amp;(K1936-1)&amp;")",""))</f>
        <v/>
      </c>
      <c r="M1936" s="63" t="n">
        <v>24</v>
      </c>
      <c r="N1936" s="2" t="n"/>
      <c r="O1936" s="2" t="n"/>
    </row>
    <row r="1937">
      <c r="A1937" s="62">
        <f>IF('24'!$C$1="","",'24'!$C$1)</f>
        <v/>
      </c>
      <c r="B1937" s="63">
        <f>Ustawienia!$A$10&amp;""</f>
        <v/>
      </c>
      <c r="C1937" s="63">
        <f>Ustawienia!$A$17&amp;""</f>
        <v/>
      </c>
      <c r="D1937" s="63" t="n">
        <v>1</v>
      </c>
      <c r="E1937" s="63">
        <f>IF('24'!J27="","",TRIM('24'!J27&amp;""))</f>
        <v/>
      </c>
      <c r="F1937" s="63">
        <f>IF('24'!K27="","",'24'!K27)</f>
        <v/>
      </c>
      <c r="G1937" s="63">
        <f>'24'!L27&amp;""</f>
        <v/>
      </c>
      <c r="H1937" s="63">
        <f>IF(OR(A1937="",F1937=""),"",F1937&amp;"|"&amp;A1937)</f>
        <v/>
      </c>
      <c r="I1937" s="63">
        <f>IF(AND(H1937&lt;&gt;"",OR('Historia wózka'!$B$4="",F1937='Historia wózka'!$B$4),A1937&gt;='Historia wózka'!$B$5,A1937&lt;='Historia wózka'!$B$6),A1937+0.7+(5000-ROW())/10000000,0)</f>
        <v/>
      </c>
      <c r="J1937" s="63">
        <f>Ustawienia!$B$10&amp;""</f>
        <v/>
      </c>
      <c r="K1937" s="63">
        <f>IF(H1937="","",COUNTIFS('Zgłoszenia'!$B$5:$B$504,F1937,'Zgłoszenia'!$D$5:$D$504,"&gt;="&amp;A1937,'Zgłoszenia'!$D$5:$D$504,"&lt;="&amp;(A1937+1)))</f>
        <v/>
      </c>
      <c r="L1937" s="63">
        <f>IF(OR(H1937="",K1937=0),"—",IF(ISNUMBER(MATCH(H1937,'Zgłoszenia'!$S$5:$S$504,0)),RIGHT("0"&amp;DAY(A1937),2)&amp;"."&amp;RIGHT("0"&amp;MONTH(A1937),2)&amp;"."&amp;YEAR(A1937)&amp;": "&amp;INDEX('Zgłoszenia'!$H$5:$H$504,MATCH(H1937,'Zgłoszenia'!$S$5:$S$504,0)),RIGHT("0"&amp;DAY((A1937+1)),2)&amp;"."&amp;RIGHT("0"&amp;MONTH((A1937+1)),2)&amp;"."&amp;YEAR((A1937+1))&amp;": "&amp;INDEX('Zgłoszenia'!$H$5:$H$504,MATCH(F1937&amp;"|"&amp;(A1937+1),'Zgłoszenia'!$S$5:$S$504,0)))&amp;IF(K1937&gt;1," (+"&amp;(K1937-1)&amp;")",""))</f>
        <v/>
      </c>
      <c r="M1937" s="63" t="n">
        <v>24</v>
      </c>
      <c r="N1937" s="2" t="n"/>
      <c r="O1937" s="2" t="n"/>
    </row>
    <row r="1938">
      <c r="A1938" s="62">
        <f>IF('24'!$C$1="","",'24'!$C$1)</f>
        <v/>
      </c>
      <c r="B1938" s="63">
        <f>Ustawienia!$A$10&amp;""</f>
        <v/>
      </c>
      <c r="C1938" s="63">
        <f>Ustawienia!$A$17&amp;""</f>
        <v/>
      </c>
      <c r="D1938" s="63" t="n">
        <v>2</v>
      </c>
      <c r="E1938" s="63">
        <f>IF('24'!J28="","",TRIM('24'!J28&amp;""))</f>
        <v/>
      </c>
      <c r="F1938" s="63">
        <f>IF('24'!K28="","",'24'!K28)</f>
        <v/>
      </c>
      <c r="G1938" s="63">
        <f>'24'!L28&amp;""</f>
        <v/>
      </c>
      <c r="H1938" s="63">
        <f>IF(OR(A1938="",F1938=""),"",F1938&amp;"|"&amp;A1938)</f>
        <v/>
      </c>
      <c r="I1938" s="63">
        <f>IF(AND(H1938&lt;&gt;"",OR('Historia wózka'!$B$4="",F1938='Historia wózka'!$B$4),A1938&gt;='Historia wózka'!$B$5,A1938&lt;='Historia wózka'!$B$6),A1938+0.7+(5000-ROW())/10000000,0)</f>
        <v/>
      </c>
      <c r="J1938" s="63">
        <f>Ustawienia!$B$10&amp;""</f>
        <v/>
      </c>
      <c r="K1938" s="63">
        <f>IF(H1938="","",COUNTIFS('Zgłoszenia'!$B$5:$B$504,F1938,'Zgłoszenia'!$D$5:$D$504,"&gt;="&amp;A1938,'Zgłoszenia'!$D$5:$D$504,"&lt;="&amp;(A1938+1)))</f>
        <v/>
      </c>
      <c r="L1938" s="63">
        <f>IF(OR(H1938="",K1938=0),"—",IF(ISNUMBER(MATCH(H1938,'Zgłoszenia'!$S$5:$S$504,0)),RIGHT("0"&amp;DAY(A1938),2)&amp;"."&amp;RIGHT("0"&amp;MONTH(A1938),2)&amp;"."&amp;YEAR(A1938)&amp;": "&amp;INDEX('Zgłoszenia'!$H$5:$H$504,MATCH(H1938,'Zgłoszenia'!$S$5:$S$504,0)),RIGHT("0"&amp;DAY((A1938+1)),2)&amp;"."&amp;RIGHT("0"&amp;MONTH((A1938+1)),2)&amp;"."&amp;YEAR((A1938+1))&amp;": "&amp;INDEX('Zgłoszenia'!$H$5:$H$504,MATCH(F1938&amp;"|"&amp;(A1938+1),'Zgłoszenia'!$S$5:$S$504,0)))&amp;IF(K1938&gt;1," (+"&amp;(K1938-1)&amp;")",""))</f>
        <v/>
      </c>
      <c r="M1938" s="63" t="n">
        <v>24</v>
      </c>
      <c r="N1938" s="2" t="n"/>
      <c r="O1938" s="2" t="n"/>
    </row>
    <row r="1939">
      <c r="A1939" s="62">
        <f>IF('24'!$C$1="","",'24'!$C$1)</f>
        <v/>
      </c>
      <c r="B1939" s="63">
        <f>Ustawienia!$A$10&amp;""</f>
        <v/>
      </c>
      <c r="C1939" s="63">
        <f>Ustawienia!$A$17&amp;""</f>
        <v/>
      </c>
      <c r="D1939" s="63" t="n">
        <v>3</v>
      </c>
      <c r="E1939" s="63">
        <f>IF('24'!J29="","",TRIM('24'!J29&amp;""))</f>
        <v/>
      </c>
      <c r="F1939" s="63">
        <f>IF('24'!K29="","",'24'!K29)</f>
        <v/>
      </c>
      <c r="G1939" s="63">
        <f>'24'!L29&amp;""</f>
        <v/>
      </c>
      <c r="H1939" s="63">
        <f>IF(OR(A1939="",F1939=""),"",F1939&amp;"|"&amp;A1939)</f>
        <v/>
      </c>
      <c r="I1939" s="63">
        <f>IF(AND(H1939&lt;&gt;"",OR('Historia wózka'!$B$4="",F1939='Historia wózka'!$B$4),A1939&gt;='Historia wózka'!$B$5,A1939&lt;='Historia wózka'!$B$6),A1939+0.7+(5000-ROW())/10000000,0)</f>
        <v/>
      </c>
      <c r="J1939" s="63">
        <f>Ustawienia!$B$10&amp;""</f>
        <v/>
      </c>
      <c r="K1939" s="63">
        <f>IF(H1939="","",COUNTIFS('Zgłoszenia'!$B$5:$B$504,F1939,'Zgłoszenia'!$D$5:$D$504,"&gt;="&amp;A1939,'Zgłoszenia'!$D$5:$D$504,"&lt;="&amp;(A1939+1)))</f>
        <v/>
      </c>
      <c r="L1939" s="63">
        <f>IF(OR(H1939="",K1939=0),"—",IF(ISNUMBER(MATCH(H1939,'Zgłoszenia'!$S$5:$S$504,0)),RIGHT("0"&amp;DAY(A1939),2)&amp;"."&amp;RIGHT("0"&amp;MONTH(A1939),2)&amp;"."&amp;YEAR(A1939)&amp;": "&amp;INDEX('Zgłoszenia'!$H$5:$H$504,MATCH(H1939,'Zgłoszenia'!$S$5:$S$504,0)),RIGHT("0"&amp;DAY((A1939+1)),2)&amp;"."&amp;RIGHT("0"&amp;MONTH((A1939+1)),2)&amp;"."&amp;YEAR((A1939+1))&amp;": "&amp;INDEX('Zgłoszenia'!$H$5:$H$504,MATCH(F1939&amp;"|"&amp;(A1939+1),'Zgłoszenia'!$S$5:$S$504,0)))&amp;IF(K1939&gt;1," (+"&amp;(K1939-1)&amp;")",""))</f>
        <v/>
      </c>
      <c r="M1939" s="63" t="n">
        <v>24</v>
      </c>
      <c r="N1939" s="2" t="n"/>
      <c r="O1939" s="2" t="n"/>
    </row>
    <row r="1940">
      <c r="A1940" s="62">
        <f>IF('24'!$C$1="","",'24'!$C$1)</f>
        <v/>
      </c>
      <c r="B1940" s="63">
        <f>Ustawienia!$A$10&amp;""</f>
        <v/>
      </c>
      <c r="C1940" s="63">
        <f>Ustawienia!$A$17&amp;""</f>
        <v/>
      </c>
      <c r="D1940" s="63" t="n">
        <v>4</v>
      </c>
      <c r="E1940" s="63">
        <f>IF('24'!J30="","",TRIM('24'!J30&amp;""))</f>
        <v/>
      </c>
      <c r="F1940" s="63">
        <f>IF('24'!K30="","",'24'!K30)</f>
        <v/>
      </c>
      <c r="G1940" s="63">
        <f>'24'!L30&amp;""</f>
        <v/>
      </c>
      <c r="H1940" s="63">
        <f>IF(OR(A1940="",F1940=""),"",F1940&amp;"|"&amp;A1940)</f>
        <v/>
      </c>
      <c r="I1940" s="63">
        <f>IF(AND(H1940&lt;&gt;"",OR('Historia wózka'!$B$4="",F1940='Historia wózka'!$B$4),A1940&gt;='Historia wózka'!$B$5,A1940&lt;='Historia wózka'!$B$6),A1940+0.7+(5000-ROW())/10000000,0)</f>
        <v/>
      </c>
      <c r="J1940" s="63">
        <f>Ustawienia!$B$10&amp;""</f>
        <v/>
      </c>
      <c r="K1940" s="63">
        <f>IF(H1940="","",COUNTIFS('Zgłoszenia'!$B$5:$B$504,F1940,'Zgłoszenia'!$D$5:$D$504,"&gt;="&amp;A1940,'Zgłoszenia'!$D$5:$D$504,"&lt;="&amp;(A1940+1)))</f>
        <v/>
      </c>
      <c r="L1940" s="63">
        <f>IF(OR(H1940="",K1940=0),"—",IF(ISNUMBER(MATCH(H1940,'Zgłoszenia'!$S$5:$S$504,0)),RIGHT("0"&amp;DAY(A1940),2)&amp;"."&amp;RIGHT("0"&amp;MONTH(A1940),2)&amp;"."&amp;YEAR(A1940)&amp;": "&amp;INDEX('Zgłoszenia'!$H$5:$H$504,MATCH(H1940,'Zgłoszenia'!$S$5:$S$504,0)),RIGHT("0"&amp;DAY((A1940+1)),2)&amp;"."&amp;RIGHT("0"&amp;MONTH((A1940+1)),2)&amp;"."&amp;YEAR((A1940+1))&amp;": "&amp;INDEX('Zgłoszenia'!$H$5:$H$504,MATCH(F1940&amp;"|"&amp;(A1940+1),'Zgłoszenia'!$S$5:$S$504,0)))&amp;IF(K1940&gt;1," (+"&amp;(K1940-1)&amp;")",""))</f>
        <v/>
      </c>
      <c r="M1940" s="63" t="n">
        <v>24</v>
      </c>
      <c r="N1940" s="2" t="n"/>
      <c r="O1940" s="2" t="n"/>
    </row>
    <row r="1941">
      <c r="A1941" s="62">
        <f>IF('24'!$C$1="","",'24'!$C$1)</f>
        <v/>
      </c>
      <c r="B1941" s="63">
        <f>Ustawienia!$A$10&amp;""</f>
        <v/>
      </c>
      <c r="C1941" s="63">
        <f>Ustawienia!$A$18&amp;""</f>
        <v/>
      </c>
      <c r="D1941" s="63" t="n">
        <v>1</v>
      </c>
      <c r="E1941" s="63">
        <f>IF('24'!J32="","",TRIM('24'!J32&amp;""))</f>
        <v/>
      </c>
      <c r="F1941" s="63">
        <f>IF('24'!K32="","",'24'!K32)</f>
        <v/>
      </c>
      <c r="G1941" s="63">
        <f>'24'!L32&amp;""</f>
        <v/>
      </c>
      <c r="H1941" s="63">
        <f>IF(OR(A1941="",F1941=""),"",F1941&amp;"|"&amp;A1941)</f>
        <v/>
      </c>
      <c r="I1941" s="63">
        <f>IF(AND(H1941&lt;&gt;"",OR('Historia wózka'!$B$4="",F1941='Historia wózka'!$B$4),A1941&gt;='Historia wózka'!$B$5,A1941&lt;='Historia wózka'!$B$6),A1941+0.7+(5000-ROW())/10000000,0)</f>
        <v/>
      </c>
      <c r="J1941" s="63">
        <f>Ustawienia!$B$10&amp;""</f>
        <v/>
      </c>
      <c r="K1941" s="63">
        <f>IF(H1941="","",COUNTIFS('Zgłoszenia'!$B$5:$B$504,F1941,'Zgłoszenia'!$D$5:$D$504,"&gt;="&amp;A1941,'Zgłoszenia'!$D$5:$D$504,"&lt;="&amp;(A1941+1)))</f>
        <v/>
      </c>
      <c r="L1941" s="63">
        <f>IF(OR(H1941="",K1941=0),"—",IF(ISNUMBER(MATCH(H1941,'Zgłoszenia'!$S$5:$S$504,0)),RIGHT("0"&amp;DAY(A1941),2)&amp;"."&amp;RIGHT("0"&amp;MONTH(A1941),2)&amp;"."&amp;YEAR(A1941)&amp;": "&amp;INDEX('Zgłoszenia'!$H$5:$H$504,MATCH(H1941,'Zgłoszenia'!$S$5:$S$504,0)),RIGHT("0"&amp;DAY((A1941+1)),2)&amp;"."&amp;RIGHT("0"&amp;MONTH((A1941+1)),2)&amp;"."&amp;YEAR((A1941+1))&amp;": "&amp;INDEX('Zgłoszenia'!$H$5:$H$504,MATCH(F1941&amp;"|"&amp;(A1941+1),'Zgłoszenia'!$S$5:$S$504,0)))&amp;IF(K1941&gt;1," (+"&amp;(K1941-1)&amp;")",""))</f>
        <v/>
      </c>
      <c r="M1941" s="63" t="n">
        <v>24</v>
      </c>
      <c r="N1941" s="2" t="n"/>
      <c r="O1941" s="2" t="n"/>
    </row>
    <row r="1942">
      <c r="A1942" s="62">
        <f>IF('24'!$C$1="","",'24'!$C$1)</f>
        <v/>
      </c>
      <c r="B1942" s="63">
        <f>Ustawienia!$A$10&amp;""</f>
        <v/>
      </c>
      <c r="C1942" s="63">
        <f>Ustawienia!$A$18&amp;""</f>
        <v/>
      </c>
      <c r="D1942" s="63" t="n">
        <v>2</v>
      </c>
      <c r="E1942" s="63">
        <f>IF('24'!J33="","",TRIM('24'!J33&amp;""))</f>
        <v/>
      </c>
      <c r="F1942" s="63">
        <f>IF('24'!K33="","",'24'!K33)</f>
        <v/>
      </c>
      <c r="G1942" s="63">
        <f>'24'!L33&amp;""</f>
        <v/>
      </c>
      <c r="H1942" s="63">
        <f>IF(OR(A1942="",F1942=""),"",F1942&amp;"|"&amp;A1942)</f>
        <v/>
      </c>
      <c r="I1942" s="63">
        <f>IF(AND(H1942&lt;&gt;"",OR('Historia wózka'!$B$4="",F1942='Historia wózka'!$B$4),A1942&gt;='Historia wózka'!$B$5,A1942&lt;='Historia wózka'!$B$6),A1942+0.7+(5000-ROW())/10000000,0)</f>
        <v/>
      </c>
      <c r="J1942" s="63">
        <f>Ustawienia!$B$10&amp;""</f>
        <v/>
      </c>
      <c r="K1942" s="63">
        <f>IF(H1942="","",COUNTIFS('Zgłoszenia'!$B$5:$B$504,F1942,'Zgłoszenia'!$D$5:$D$504,"&gt;="&amp;A1942,'Zgłoszenia'!$D$5:$D$504,"&lt;="&amp;(A1942+1)))</f>
        <v/>
      </c>
      <c r="L1942" s="63">
        <f>IF(OR(H1942="",K1942=0),"—",IF(ISNUMBER(MATCH(H1942,'Zgłoszenia'!$S$5:$S$504,0)),RIGHT("0"&amp;DAY(A1942),2)&amp;"."&amp;RIGHT("0"&amp;MONTH(A1942),2)&amp;"."&amp;YEAR(A1942)&amp;": "&amp;INDEX('Zgłoszenia'!$H$5:$H$504,MATCH(H1942,'Zgłoszenia'!$S$5:$S$504,0)),RIGHT("0"&amp;DAY((A1942+1)),2)&amp;"."&amp;RIGHT("0"&amp;MONTH((A1942+1)),2)&amp;"."&amp;YEAR((A1942+1))&amp;": "&amp;INDEX('Zgłoszenia'!$H$5:$H$504,MATCH(F1942&amp;"|"&amp;(A1942+1),'Zgłoszenia'!$S$5:$S$504,0)))&amp;IF(K1942&gt;1," (+"&amp;(K1942-1)&amp;")",""))</f>
        <v/>
      </c>
      <c r="M1942" s="63" t="n">
        <v>24</v>
      </c>
      <c r="N1942" s="2" t="n"/>
      <c r="O1942" s="2" t="n"/>
    </row>
    <row r="1943">
      <c r="A1943" s="62">
        <f>IF('24'!$C$1="","",'24'!$C$1)</f>
        <v/>
      </c>
      <c r="B1943" s="63">
        <f>Ustawienia!$A$10&amp;""</f>
        <v/>
      </c>
      <c r="C1943" s="63">
        <f>Ustawienia!$A$18&amp;""</f>
        <v/>
      </c>
      <c r="D1943" s="63" t="n">
        <v>3</v>
      </c>
      <c r="E1943" s="63">
        <f>IF('24'!J34="","",TRIM('24'!J34&amp;""))</f>
        <v/>
      </c>
      <c r="F1943" s="63">
        <f>IF('24'!K34="","",'24'!K34)</f>
        <v/>
      </c>
      <c r="G1943" s="63">
        <f>'24'!L34&amp;""</f>
        <v/>
      </c>
      <c r="H1943" s="63">
        <f>IF(OR(A1943="",F1943=""),"",F1943&amp;"|"&amp;A1943)</f>
        <v/>
      </c>
      <c r="I1943" s="63">
        <f>IF(AND(H1943&lt;&gt;"",OR('Historia wózka'!$B$4="",F1943='Historia wózka'!$B$4),A1943&gt;='Historia wózka'!$B$5,A1943&lt;='Historia wózka'!$B$6),A1943+0.7+(5000-ROW())/10000000,0)</f>
        <v/>
      </c>
      <c r="J1943" s="63">
        <f>Ustawienia!$B$10&amp;""</f>
        <v/>
      </c>
      <c r="K1943" s="63">
        <f>IF(H1943="","",COUNTIFS('Zgłoszenia'!$B$5:$B$504,F1943,'Zgłoszenia'!$D$5:$D$504,"&gt;="&amp;A1943,'Zgłoszenia'!$D$5:$D$504,"&lt;="&amp;(A1943+1)))</f>
        <v/>
      </c>
      <c r="L1943" s="63">
        <f>IF(OR(H1943="",K1943=0),"—",IF(ISNUMBER(MATCH(H1943,'Zgłoszenia'!$S$5:$S$504,0)),RIGHT("0"&amp;DAY(A1943),2)&amp;"."&amp;RIGHT("0"&amp;MONTH(A1943),2)&amp;"."&amp;YEAR(A1943)&amp;": "&amp;INDEX('Zgłoszenia'!$H$5:$H$504,MATCH(H1943,'Zgłoszenia'!$S$5:$S$504,0)),RIGHT("0"&amp;DAY((A1943+1)),2)&amp;"."&amp;RIGHT("0"&amp;MONTH((A1943+1)),2)&amp;"."&amp;YEAR((A1943+1))&amp;": "&amp;INDEX('Zgłoszenia'!$H$5:$H$504,MATCH(F1943&amp;"|"&amp;(A1943+1),'Zgłoszenia'!$S$5:$S$504,0)))&amp;IF(K1943&gt;1," (+"&amp;(K1943-1)&amp;")",""))</f>
        <v/>
      </c>
      <c r="M1943" s="63" t="n">
        <v>24</v>
      </c>
      <c r="N1943" s="2" t="n"/>
      <c r="O1943" s="2" t="n"/>
    </row>
    <row r="1944">
      <c r="A1944" s="62">
        <f>IF('24'!$C$1="","",'24'!$C$1)</f>
        <v/>
      </c>
      <c r="B1944" s="63">
        <f>Ustawienia!$A$10&amp;""</f>
        <v/>
      </c>
      <c r="C1944" s="63">
        <f>Ustawienia!$A$18&amp;""</f>
        <v/>
      </c>
      <c r="D1944" s="63" t="n">
        <v>4</v>
      </c>
      <c r="E1944" s="63">
        <f>IF('24'!J35="","",TRIM('24'!J35&amp;""))</f>
        <v/>
      </c>
      <c r="F1944" s="63">
        <f>IF('24'!K35="","",'24'!K35)</f>
        <v/>
      </c>
      <c r="G1944" s="63">
        <f>'24'!L35&amp;""</f>
        <v/>
      </c>
      <c r="H1944" s="63">
        <f>IF(OR(A1944="",F1944=""),"",F1944&amp;"|"&amp;A1944)</f>
        <v/>
      </c>
      <c r="I1944" s="63">
        <f>IF(AND(H1944&lt;&gt;"",OR('Historia wózka'!$B$4="",F1944='Historia wózka'!$B$4),A1944&gt;='Historia wózka'!$B$5,A1944&lt;='Historia wózka'!$B$6),A1944+0.7+(5000-ROW())/10000000,0)</f>
        <v/>
      </c>
      <c r="J1944" s="63">
        <f>Ustawienia!$B$10&amp;""</f>
        <v/>
      </c>
      <c r="K1944" s="63">
        <f>IF(H1944="","",COUNTIFS('Zgłoszenia'!$B$5:$B$504,F1944,'Zgłoszenia'!$D$5:$D$504,"&gt;="&amp;A1944,'Zgłoszenia'!$D$5:$D$504,"&lt;="&amp;(A1944+1)))</f>
        <v/>
      </c>
      <c r="L1944" s="63">
        <f>IF(OR(H1944="",K1944=0),"—",IF(ISNUMBER(MATCH(H1944,'Zgłoszenia'!$S$5:$S$504,0)),RIGHT("0"&amp;DAY(A1944),2)&amp;"."&amp;RIGHT("0"&amp;MONTH(A1944),2)&amp;"."&amp;YEAR(A1944)&amp;": "&amp;INDEX('Zgłoszenia'!$H$5:$H$504,MATCH(H1944,'Zgłoszenia'!$S$5:$S$504,0)),RIGHT("0"&amp;DAY((A1944+1)),2)&amp;"."&amp;RIGHT("0"&amp;MONTH((A1944+1)),2)&amp;"."&amp;YEAR((A1944+1))&amp;": "&amp;INDEX('Zgłoszenia'!$H$5:$H$504,MATCH(F1944&amp;"|"&amp;(A1944+1),'Zgłoszenia'!$S$5:$S$504,0)))&amp;IF(K1944&gt;1," (+"&amp;(K1944-1)&amp;")",""))</f>
        <v/>
      </c>
      <c r="M1944" s="63" t="n">
        <v>24</v>
      </c>
      <c r="N1944" s="2" t="n"/>
      <c r="O1944" s="2" t="n"/>
    </row>
    <row r="1945">
      <c r="A1945" s="62">
        <f>IF('24'!$C$1="","",'24'!$C$1)</f>
        <v/>
      </c>
      <c r="B1945" s="63">
        <f>Ustawienia!$A$10&amp;""</f>
        <v/>
      </c>
      <c r="C1945" s="63">
        <f>Ustawienia!$A$18&amp;""</f>
        <v/>
      </c>
      <c r="D1945" s="63" t="n">
        <v>5</v>
      </c>
      <c r="E1945" s="63">
        <f>IF('24'!J36="","",TRIM('24'!J36&amp;""))</f>
        <v/>
      </c>
      <c r="F1945" s="63">
        <f>IF('24'!K36="","",'24'!K36)</f>
        <v/>
      </c>
      <c r="G1945" s="63">
        <f>'24'!L36&amp;""</f>
        <v/>
      </c>
      <c r="H1945" s="63">
        <f>IF(OR(A1945="",F1945=""),"",F1945&amp;"|"&amp;A1945)</f>
        <v/>
      </c>
      <c r="I1945" s="63">
        <f>IF(AND(H1945&lt;&gt;"",OR('Historia wózka'!$B$4="",F1945='Historia wózka'!$B$4),A1945&gt;='Historia wózka'!$B$5,A1945&lt;='Historia wózka'!$B$6),A1945+0.7+(5000-ROW())/10000000,0)</f>
        <v/>
      </c>
      <c r="J1945" s="63">
        <f>Ustawienia!$B$10&amp;""</f>
        <v/>
      </c>
      <c r="K1945" s="63">
        <f>IF(H1945="","",COUNTIFS('Zgłoszenia'!$B$5:$B$504,F1945,'Zgłoszenia'!$D$5:$D$504,"&gt;="&amp;A1945,'Zgłoszenia'!$D$5:$D$504,"&lt;="&amp;(A1945+1)))</f>
        <v/>
      </c>
      <c r="L1945" s="63">
        <f>IF(OR(H1945="",K1945=0),"—",IF(ISNUMBER(MATCH(H1945,'Zgłoszenia'!$S$5:$S$504,0)),RIGHT("0"&amp;DAY(A1945),2)&amp;"."&amp;RIGHT("0"&amp;MONTH(A1945),2)&amp;"."&amp;YEAR(A1945)&amp;": "&amp;INDEX('Zgłoszenia'!$H$5:$H$504,MATCH(H1945,'Zgłoszenia'!$S$5:$S$504,0)),RIGHT("0"&amp;DAY((A1945+1)),2)&amp;"."&amp;RIGHT("0"&amp;MONTH((A1945+1)),2)&amp;"."&amp;YEAR((A1945+1))&amp;": "&amp;INDEX('Zgłoszenia'!$H$5:$H$504,MATCH(F1945&amp;"|"&amp;(A1945+1),'Zgłoszenia'!$S$5:$S$504,0)))&amp;IF(K1945&gt;1," (+"&amp;(K1945-1)&amp;")",""))</f>
        <v/>
      </c>
      <c r="M1945" s="63" t="n">
        <v>24</v>
      </c>
      <c r="N1945" s="2" t="n"/>
      <c r="O1945" s="2" t="n"/>
    </row>
    <row r="1946">
      <c r="A1946" s="62">
        <f>IF('25'!$C$1="","",'25'!$C$1)</f>
        <v/>
      </c>
      <c r="B1946" s="63">
        <f>Ustawienia!$A$8&amp;""</f>
        <v/>
      </c>
      <c r="C1946" s="63">
        <f>Ustawienia!$A$14&amp;""</f>
        <v/>
      </c>
      <c r="D1946" s="63" t="n">
        <v>1</v>
      </c>
      <c r="E1946" s="63">
        <f>IF('25'!B6="","",TRIM('25'!B6&amp;""))</f>
        <v/>
      </c>
      <c r="F1946" s="63">
        <f>IF('25'!C6="","",'25'!C6)</f>
        <v/>
      </c>
      <c r="G1946" s="63">
        <f>'25'!D6&amp;""</f>
        <v/>
      </c>
      <c r="H1946" s="63">
        <f>IF(OR(A1946="",F1946=""),"",F1946&amp;"|"&amp;A1946)</f>
        <v/>
      </c>
      <c r="I1946" s="63">
        <f>IF(AND(H1946&lt;&gt;"",OR('Historia wózka'!$B$4="",F1946='Historia wózka'!$B$4),A1946&gt;='Historia wózka'!$B$5,A1946&lt;='Historia wózka'!$B$6),A1946+0.9+(5000-ROW())/10000000,0)</f>
        <v/>
      </c>
      <c r="J1946" s="63">
        <f>Ustawienia!$B$8&amp;""</f>
        <v/>
      </c>
      <c r="K1946" s="63">
        <f>IF(H1946="","",COUNTIFS('Zgłoszenia'!$B$5:$B$504,F1946,'Zgłoszenia'!$D$5:$D$504,"&gt;="&amp;A1946,'Zgłoszenia'!$D$5:$D$504,"&lt;="&amp;(A1946+1)))</f>
        <v/>
      </c>
      <c r="L1946" s="63">
        <f>IF(OR(H1946="",K1946=0),"—",IF(ISNUMBER(MATCH(H1946,'Zgłoszenia'!$S$5:$S$504,0)),RIGHT("0"&amp;DAY(A1946),2)&amp;"."&amp;RIGHT("0"&amp;MONTH(A1946),2)&amp;"."&amp;YEAR(A1946)&amp;": "&amp;INDEX('Zgłoszenia'!$H$5:$H$504,MATCH(H1946,'Zgłoszenia'!$S$5:$S$504,0)),RIGHT("0"&amp;DAY((A1946+1)),2)&amp;"."&amp;RIGHT("0"&amp;MONTH((A1946+1)),2)&amp;"."&amp;YEAR((A1946+1))&amp;": "&amp;INDEX('Zgłoszenia'!$H$5:$H$504,MATCH(F1946&amp;"|"&amp;(A1946+1),'Zgłoszenia'!$S$5:$S$504,0)))&amp;IF(K1946&gt;1," (+"&amp;(K1946-1)&amp;")",""))</f>
        <v/>
      </c>
      <c r="M1946" s="63" t="n">
        <v>25</v>
      </c>
      <c r="N1946" s="2" t="n"/>
      <c r="O1946" s="2" t="n"/>
    </row>
    <row r="1947">
      <c r="A1947" s="62">
        <f>IF('25'!$C$1="","",'25'!$C$1)</f>
        <v/>
      </c>
      <c r="B1947" s="63">
        <f>Ustawienia!$A$8&amp;""</f>
        <v/>
      </c>
      <c r="C1947" s="63">
        <f>Ustawienia!$A$14&amp;""</f>
        <v/>
      </c>
      <c r="D1947" s="63" t="n">
        <v>2</v>
      </c>
      <c r="E1947" s="63">
        <f>IF('25'!B7="","",TRIM('25'!B7&amp;""))</f>
        <v/>
      </c>
      <c r="F1947" s="63">
        <f>IF('25'!C7="","",'25'!C7)</f>
        <v/>
      </c>
      <c r="G1947" s="63">
        <f>'25'!D7&amp;""</f>
        <v/>
      </c>
      <c r="H1947" s="63">
        <f>IF(OR(A1947="",F1947=""),"",F1947&amp;"|"&amp;A1947)</f>
        <v/>
      </c>
      <c r="I1947" s="63">
        <f>IF(AND(H1947&lt;&gt;"",OR('Historia wózka'!$B$4="",F1947='Historia wózka'!$B$4),A1947&gt;='Historia wózka'!$B$5,A1947&lt;='Historia wózka'!$B$6),A1947+0.9+(5000-ROW())/10000000,0)</f>
        <v/>
      </c>
      <c r="J1947" s="63">
        <f>Ustawienia!$B$8&amp;""</f>
        <v/>
      </c>
      <c r="K1947" s="63">
        <f>IF(H1947="","",COUNTIFS('Zgłoszenia'!$B$5:$B$504,F1947,'Zgłoszenia'!$D$5:$D$504,"&gt;="&amp;A1947,'Zgłoszenia'!$D$5:$D$504,"&lt;="&amp;(A1947+1)))</f>
        <v/>
      </c>
      <c r="L1947" s="63">
        <f>IF(OR(H1947="",K1947=0),"—",IF(ISNUMBER(MATCH(H1947,'Zgłoszenia'!$S$5:$S$504,0)),RIGHT("0"&amp;DAY(A1947),2)&amp;"."&amp;RIGHT("0"&amp;MONTH(A1947),2)&amp;"."&amp;YEAR(A1947)&amp;": "&amp;INDEX('Zgłoszenia'!$H$5:$H$504,MATCH(H1947,'Zgłoszenia'!$S$5:$S$504,0)),RIGHT("0"&amp;DAY((A1947+1)),2)&amp;"."&amp;RIGHT("0"&amp;MONTH((A1947+1)),2)&amp;"."&amp;YEAR((A1947+1))&amp;": "&amp;INDEX('Zgłoszenia'!$H$5:$H$504,MATCH(F1947&amp;"|"&amp;(A1947+1),'Zgłoszenia'!$S$5:$S$504,0)))&amp;IF(K1947&gt;1," (+"&amp;(K1947-1)&amp;")",""))</f>
        <v/>
      </c>
      <c r="M1947" s="63" t="n">
        <v>25</v>
      </c>
      <c r="N1947" s="2" t="n"/>
      <c r="O1947" s="2" t="n"/>
    </row>
    <row r="1948">
      <c r="A1948" s="62">
        <f>IF('25'!$C$1="","",'25'!$C$1)</f>
        <v/>
      </c>
      <c r="B1948" s="63">
        <f>Ustawienia!$A$8&amp;""</f>
        <v/>
      </c>
      <c r="C1948" s="63">
        <f>Ustawienia!$A$14&amp;""</f>
        <v/>
      </c>
      <c r="D1948" s="63" t="n">
        <v>3</v>
      </c>
      <c r="E1948" s="63">
        <f>IF('25'!B8="","",TRIM('25'!B8&amp;""))</f>
        <v/>
      </c>
      <c r="F1948" s="63">
        <f>IF('25'!C8="","",'25'!C8)</f>
        <v/>
      </c>
      <c r="G1948" s="63">
        <f>'25'!D8&amp;""</f>
        <v/>
      </c>
      <c r="H1948" s="63">
        <f>IF(OR(A1948="",F1948=""),"",F1948&amp;"|"&amp;A1948)</f>
        <v/>
      </c>
      <c r="I1948" s="63">
        <f>IF(AND(H1948&lt;&gt;"",OR('Historia wózka'!$B$4="",F1948='Historia wózka'!$B$4),A1948&gt;='Historia wózka'!$B$5,A1948&lt;='Historia wózka'!$B$6),A1948+0.9+(5000-ROW())/10000000,0)</f>
        <v/>
      </c>
      <c r="J1948" s="63">
        <f>Ustawienia!$B$8&amp;""</f>
        <v/>
      </c>
      <c r="K1948" s="63">
        <f>IF(H1948="","",COUNTIFS('Zgłoszenia'!$B$5:$B$504,F1948,'Zgłoszenia'!$D$5:$D$504,"&gt;="&amp;A1948,'Zgłoszenia'!$D$5:$D$504,"&lt;="&amp;(A1948+1)))</f>
        <v/>
      </c>
      <c r="L1948" s="63">
        <f>IF(OR(H1948="",K1948=0),"—",IF(ISNUMBER(MATCH(H1948,'Zgłoszenia'!$S$5:$S$504,0)),RIGHT("0"&amp;DAY(A1948),2)&amp;"."&amp;RIGHT("0"&amp;MONTH(A1948),2)&amp;"."&amp;YEAR(A1948)&amp;": "&amp;INDEX('Zgłoszenia'!$H$5:$H$504,MATCH(H1948,'Zgłoszenia'!$S$5:$S$504,0)),RIGHT("0"&amp;DAY((A1948+1)),2)&amp;"."&amp;RIGHT("0"&amp;MONTH((A1948+1)),2)&amp;"."&amp;YEAR((A1948+1))&amp;": "&amp;INDEX('Zgłoszenia'!$H$5:$H$504,MATCH(F1948&amp;"|"&amp;(A1948+1),'Zgłoszenia'!$S$5:$S$504,0)))&amp;IF(K1948&gt;1," (+"&amp;(K1948-1)&amp;")",""))</f>
        <v/>
      </c>
      <c r="M1948" s="63" t="n">
        <v>25</v>
      </c>
      <c r="N1948" s="2" t="n"/>
      <c r="O1948" s="2" t="n"/>
    </row>
    <row r="1949">
      <c r="A1949" s="62">
        <f>IF('25'!$C$1="","",'25'!$C$1)</f>
        <v/>
      </c>
      <c r="B1949" s="63">
        <f>Ustawienia!$A$8&amp;""</f>
        <v/>
      </c>
      <c r="C1949" s="63">
        <f>Ustawienia!$A$14&amp;""</f>
        <v/>
      </c>
      <c r="D1949" s="63" t="n">
        <v>4</v>
      </c>
      <c r="E1949" s="63">
        <f>IF('25'!B9="","",TRIM('25'!B9&amp;""))</f>
        <v/>
      </c>
      <c r="F1949" s="63">
        <f>IF('25'!C9="","",'25'!C9)</f>
        <v/>
      </c>
      <c r="G1949" s="63">
        <f>'25'!D9&amp;""</f>
        <v/>
      </c>
      <c r="H1949" s="63">
        <f>IF(OR(A1949="",F1949=""),"",F1949&amp;"|"&amp;A1949)</f>
        <v/>
      </c>
      <c r="I1949" s="63">
        <f>IF(AND(H1949&lt;&gt;"",OR('Historia wózka'!$B$4="",F1949='Historia wózka'!$B$4),A1949&gt;='Historia wózka'!$B$5,A1949&lt;='Historia wózka'!$B$6),A1949+0.9+(5000-ROW())/10000000,0)</f>
        <v/>
      </c>
      <c r="J1949" s="63">
        <f>Ustawienia!$B$8&amp;""</f>
        <v/>
      </c>
      <c r="K1949" s="63">
        <f>IF(H1949="","",COUNTIFS('Zgłoszenia'!$B$5:$B$504,F1949,'Zgłoszenia'!$D$5:$D$504,"&gt;="&amp;A1949,'Zgłoszenia'!$D$5:$D$504,"&lt;="&amp;(A1949+1)))</f>
        <v/>
      </c>
      <c r="L1949" s="63">
        <f>IF(OR(H1949="",K1949=0),"—",IF(ISNUMBER(MATCH(H1949,'Zgłoszenia'!$S$5:$S$504,0)),RIGHT("0"&amp;DAY(A1949),2)&amp;"."&amp;RIGHT("0"&amp;MONTH(A1949),2)&amp;"."&amp;YEAR(A1949)&amp;": "&amp;INDEX('Zgłoszenia'!$H$5:$H$504,MATCH(H1949,'Zgłoszenia'!$S$5:$S$504,0)),RIGHT("0"&amp;DAY((A1949+1)),2)&amp;"."&amp;RIGHT("0"&amp;MONTH((A1949+1)),2)&amp;"."&amp;YEAR((A1949+1))&amp;": "&amp;INDEX('Zgłoszenia'!$H$5:$H$504,MATCH(F1949&amp;"|"&amp;(A1949+1),'Zgłoszenia'!$S$5:$S$504,0)))&amp;IF(K1949&gt;1," (+"&amp;(K1949-1)&amp;")",""))</f>
        <v/>
      </c>
      <c r="M1949" s="63" t="n">
        <v>25</v>
      </c>
      <c r="N1949" s="2" t="n"/>
      <c r="O1949" s="2" t="n"/>
    </row>
    <row r="1950">
      <c r="A1950" s="62">
        <f>IF('25'!$C$1="","",'25'!$C$1)</f>
        <v/>
      </c>
      <c r="B1950" s="63">
        <f>Ustawienia!$A$8&amp;""</f>
        <v/>
      </c>
      <c r="C1950" s="63">
        <f>Ustawienia!$A$14&amp;""</f>
        <v/>
      </c>
      <c r="D1950" s="63" t="n">
        <v>5</v>
      </c>
      <c r="E1950" s="63">
        <f>IF('25'!B10="","",TRIM('25'!B10&amp;""))</f>
        <v/>
      </c>
      <c r="F1950" s="63">
        <f>IF('25'!C10="","",'25'!C10)</f>
        <v/>
      </c>
      <c r="G1950" s="63">
        <f>'25'!D10&amp;""</f>
        <v/>
      </c>
      <c r="H1950" s="63">
        <f>IF(OR(A1950="",F1950=""),"",F1950&amp;"|"&amp;A1950)</f>
        <v/>
      </c>
      <c r="I1950" s="63">
        <f>IF(AND(H1950&lt;&gt;"",OR('Historia wózka'!$B$4="",F1950='Historia wózka'!$B$4),A1950&gt;='Historia wózka'!$B$5,A1950&lt;='Historia wózka'!$B$6),A1950+0.9+(5000-ROW())/10000000,0)</f>
        <v/>
      </c>
      <c r="J1950" s="63">
        <f>Ustawienia!$B$8&amp;""</f>
        <v/>
      </c>
      <c r="K1950" s="63">
        <f>IF(H1950="","",COUNTIFS('Zgłoszenia'!$B$5:$B$504,F1950,'Zgłoszenia'!$D$5:$D$504,"&gt;="&amp;A1950,'Zgłoszenia'!$D$5:$D$504,"&lt;="&amp;(A1950+1)))</f>
        <v/>
      </c>
      <c r="L1950" s="63">
        <f>IF(OR(H1950="",K1950=0),"—",IF(ISNUMBER(MATCH(H1950,'Zgłoszenia'!$S$5:$S$504,0)),RIGHT("0"&amp;DAY(A1950),2)&amp;"."&amp;RIGHT("0"&amp;MONTH(A1950),2)&amp;"."&amp;YEAR(A1950)&amp;": "&amp;INDEX('Zgłoszenia'!$H$5:$H$504,MATCH(H1950,'Zgłoszenia'!$S$5:$S$504,0)),RIGHT("0"&amp;DAY((A1950+1)),2)&amp;"."&amp;RIGHT("0"&amp;MONTH((A1950+1)),2)&amp;"."&amp;YEAR((A1950+1))&amp;": "&amp;INDEX('Zgłoszenia'!$H$5:$H$504,MATCH(F1950&amp;"|"&amp;(A1950+1),'Zgłoszenia'!$S$5:$S$504,0)))&amp;IF(K1950&gt;1," (+"&amp;(K1950-1)&amp;")",""))</f>
        <v/>
      </c>
      <c r="M1950" s="63" t="n">
        <v>25</v>
      </c>
      <c r="N1950" s="2" t="n"/>
      <c r="O1950" s="2" t="n"/>
    </row>
    <row r="1951">
      <c r="A1951" s="62">
        <f>IF('25'!$C$1="","",'25'!$C$1)</f>
        <v/>
      </c>
      <c r="B1951" s="63">
        <f>Ustawienia!$A$8&amp;""</f>
        <v/>
      </c>
      <c r="C1951" s="63">
        <f>Ustawienia!$A$14&amp;""</f>
        <v/>
      </c>
      <c r="D1951" s="63" t="n">
        <v>6</v>
      </c>
      <c r="E1951" s="63">
        <f>IF('25'!B11="","",TRIM('25'!B11&amp;""))</f>
        <v/>
      </c>
      <c r="F1951" s="63">
        <f>IF('25'!C11="","",'25'!C11)</f>
        <v/>
      </c>
      <c r="G1951" s="63">
        <f>'25'!D11&amp;""</f>
        <v/>
      </c>
      <c r="H1951" s="63">
        <f>IF(OR(A1951="",F1951=""),"",F1951&amp;"|"&amp;A1951)</f>
        <v/>
      </c>
      <c r="I1951" s="63">
        <f>IF(AND(H1951&lt;&gt;"",OR('Historia wózka'!$B$4="",F1951='Historia wózka'!$B$4),A1951&gt;='Historia wózka'!$B$5,A1951&lt;='Historia wózka'!$B$6),A1951+0.9+(5000-ROW())/10000000,0)</f>
        <v/>
      </c>
      <c r="J1951" s="63">
        <f>Ustawienia!$B$8&amp;""</f>
        <v/>
      </c>
      <c r="K1951" s="63">
        <f>IF(H1951="","",COUNTIFS('Zgłoszenia'!$B$5:$B$504,F1951,'Zgłoszenia'!$D$5:$D$504,"&gt;="&amp;A1951,'Zgłoszenia'!$D$5:$D$504,"&lt;="&amp;(A1951+1)))</f>
        <v/>
      </c>
      <c r="L1951" s="63">
        <f>IF(OR(H1951="",K1951=0),"—",IF(ISNUMBER(MATCH(H1951,'Zgłoszenia'!$S$5:$S$504,0)),RIGHT("0"&amp;DAY(A1951),2)&amp;"."&amp;RIGHT("0"&amp;MONTH(A1951),2)&amp;"."&amp;YEAR(A1951)&amp;": "&amp;INDEX('Zgłoszenia'!$H$5:$H$504,MATCH(H1951,'Zgłoszenia'!$S$5:$S$504,0)),RIGHT("0"&amp;DAY((A1951+1)),2)&amp;"."&amp;RIGHT("0"&amp;MONTH((A1951+1)),2)&amp;"."&amp;YEAR((A1951+1))&amp;": "&amp;INDEX('Zgłoszenia'!$H$5:$H$504,MATCH(F1951&amp;"|"&amp;(A1951+1),'Zgłoszenia'!$S$5:$S$504,0)))&amp;IF(K1951&gt;1," (+"&amp;(K1951-1)&amp;")",""))</f>
        <v/>
      </c>
      <c r="M1951" s="63" t="n">
        <v>25</v>
      </c>
      <c r="N1951" s="2" t="n"/>
      <c r="O1951" s="2" t="n"/>
    </row>
    <row r="1952">
      <c r="A1952" s="62">
        <f>IF('25'!$C$1="","",'25'!$C$1)</f>
        <v/>
      </c>
      <c r="B1952" s="63">
        <f>Ustawienia!$A$8&amp;""</f>
        <v/>
      </c>
      <c r="C1952" s="63">
        <f>Ustawienia!$A$15&amp;""</f>
        <v/>
      </c>
      <c r="D1952" s="63" t="n">
        <v>1</v>
      </c>
      <c r="E1952" s="63">
        <f>IF('25'!B13="","",TRIM('25'!B13&amp;""))</f>
        <v/>
      </c>
      <c r="F1952" s="63">
        <f>IF('25'!C13="","",'25'!C13)</f>
        <v/>
      </c>
      <c r="G1952" s="63">
        <f>'25'!D13&amp;""</f>
        <v/>
      </c>
      <c r="H1952" s="63">
        <f>IF(OR(A1952="",F1952=""),"",F1952&amp;"|"&amp;A1952)</f>
        <v/>
      </c>
      <c r="I1952" s="63">
        <f>IF(AND(H1952&lt;&gt;"",OR('Historia wózka'!$B$4="",F1952='Historia wózka'!$B$4),A1952&gt;='Historia wózka'!$B$5,A1952&lt;='Historia wózka'!$B$6),A1952+0.9+(5000-ROW())/10000000,0)</f>
        <v/>
      </c>
      <c r="J1952" s="63">
        <f>Ustawienia!$B$8&amp;""</f>
        <v/>
      </c>
      <c r="K1952" s="63">
        <f>IF(H1952="","",COUNTIFS('Zgłoszenia'!$B$5:$B$504,F1952,'Zgłoszenia'!$D$5:$D$504,"&gt;="&amp;A1952,'Zgłoszenia'!$D$5:$D$504,"&lt;="&amp;(A1952+1)))</f>
        <v/>
      </c>
      <c r="L1952" s="63">
        <f>IF(OR(H1952="",K1952=0),"—",IF(ISNUMBER(MATCH(H1952,'Zgłoszenia'!$S$5:$S$504,0)),RIGHT("0"&amp;DAY(A1952),2)&amp;"."&amp;RIGHT("0"&amp;MONTH(A1952),2)&amp;"."&amp;YEAR(A1952)&amp;": "&amp;INDEX('Zgłoszenia'!$H$5:$H$504,MATCH(H1952,'Zgłoszenia'!$S$5:$S$504,0)),RIGHT("0"&amp;DAY((A1952+1)),2)&amp;"."&amp;RIGHT("0"&amp;MONTH((A1952+1)),2)&amp;"."&amp;YEAR((A1952+1))&amp;": "&amp;INDEX('Zgłoszenia'!$H$5:$H$504,MATCH(F1952&amp;"|"&amp;(A1952+1),'Zgłoszenia'!$S$5:$S$504,0)))&amp;IF(K1952&gt;1," (+"&amp;(K1952-1)&amp;")",""))</f>
        <v/>
      </c>
      <c r="M1952" s="63" t="n">
        <v>25</v>
      </c>
      <c r="N1952" s="2" t="n"/>
      <c r="O1952" s="2" t="n"/>
    </row>
    <row r="1953">
      <c r="A1953" s="62">
        <f>IF('25'!$C$1="","",'25'!$C$1)</f>
        <v/>
      </c>
      <c r="B1953" s="63">
        <f>Ustawienia!$A$8&amp;""</f>
        <v/>
      </c>
      <c r="C1953" s="63">
        <f>Ustawienia!$A$15&amp;""</f>
        <v/>
      </c>
      <c r="D1953" s="63" t="n">
        <v>2</v>
      </c>
      <c r="E1953" s="63">
        <f>IF('25'!B14="","",TRIM('25'!B14&amp;""))</f>
        <v/>
      </c>
      <c r="F1953" s="63">
        <f>IF('25'!C14="","",'25'!C14)</f>
        <v/>
      </c>
      <c r="G1953" s="63">
        <f>'25'!D14&amp;""</f>
        <v/>
      </c>
      <c r="H1953" s="63">
        <f>IF(OR(A1953="",F1953=""),"",F1953&amp;"|"&amp;A1953)</f>
        <v/>
      </c>
      <c r="I1953" s="63">
        <f>IF(AND(H1953&lt;&gt;"",OR('Historia wózka'!$B$4="",F1953='Historia wózka'!$B$4),A1953&gt;='Historia wózka'!$B$5,A1953&lt;='Historia wózka'!$B$6),A1953+0.9+(5000-ROW())/10000000,0)</f>
        <v/>
      </c>
      <c r="J1953" s="63">
        <f>Ustawienia!$B$8&amp;""</f>
        <v/>
      </c>
      <c r="K1953" s="63">
        <f>IF(H1953="","",COUNTIFS('Zgłoszenia'!$B$5:$B$504,F1953,'Zgłoszenia'!$D$5:$D$504,"&gt;="&amp;A1953,'Zgłoszenia'!$D$5:$D$504,"&lt;="&amp;(A1953+1)))</f>
        <v/>
      </c>
      <c r="L1953" s="63">
        <f>IF(OR(H1953="",K1953=0),"—",IF(ISNUMBER(MATCH(H1953,'Zgłoszenia'!$S$5:$S$504,0)),RIGHT("0"&amp;DAY(A1953),2)&amp;"."&amp;RIGHT("0"&amp;MONTH(A1953),2)&amp;"."&amp;YEAR(A1953)&amp;": "&amp;INDEX('Zgłoszenia'!$H$5:$H$504,MATCH(H1953,'Zgłoszenia'!$S$5:$S$504,0)),RIGHT("0"&amp;DAY((A1953+1)),2)&amp;"."&amp;RIGHT("0"&amp;MONTH((A1953+1)),2)&amp;"."&amp;YEAR((A1953+1))&amp;": "&amp;INDEX('Zgłoszenia'!$H$5:$H$504,MATCH(F1953&amp;"|"&amp;(A1953+1),'Zgłoszenia'!$S$5:$S$504,0)))&amp;IF(K1953&gt;1," (+"&amp;(K1953-1)&amp;")",""))</f>
        <v/>
      </c>
      <c r="M1953" s="63" t="n">
        <v>25</v>
      </c>
      <c r="N1953" s="2" t="n"/>
      <c r="O1953" s="2" t="n"/>
    </row>
    <row r="1954">
      <c r="A1954" s="62">
        <f>IF('25'!$C$1="","",'25'!$C$1)</f>
        <v/>
      </c>
      <c r="B1954" s="63">
        <f>Ustawienia!$A$8&amp;""</f>
        <v/>
      </c>
      <c r="C1954" s="63">
        <f>Ustawienia!$A$15&amp;""</f>
        <v/>
      </c>
      <c r="D1954" s="63" t="n">
        <v>3</v>
      </c>
      <c r="E1954" s="63">
        <f>IF('25'!B15="","",TRIM('25'!B15&amp;""))</f>
        <v/>
      </c>
      <c r="F1954" s="63">
        <f>IF('25'!C15="","",'25'!C15)</f>
        <v/>
      </c>
      <c r="G1954" s="63">
        <f>'25'!D15&amp;""</f>
        <v/>
      </c>
      <c r="H1954" s="63">
        <f>IF(OR(A1954="",F1954=""),"",F1954&amp;"|"&amp;A1954)</f>
        <v/>
      </c>
      <c r="I1954" s="63">
        <f>IF(AND(H1954&lt;&gt;"",OR('Historia wózka'!$B$4="",F1954='Historia wózka'!$B$4),A1954&gt;='Historia wózka'!$B$5,A1954&lt;='Historia wózka'!$B$6),A1954+0.9+(5000-ROW())/10000000,0)</f>
        <v/>
      </c>
      <c r="J1954" s="63">
        <f>Ustawienia!$B$8&amp;""</f>
        <v/>
      </c>
      <c r="K1954" s="63">
        <f>IF(H1954="","",COUNTIFS('Zgłoszenia'!$B$5:$B$504,F1954,'Zgłoszenia'!$D$5:$D$504,"&gt;="&amp;A1954,'Zgłoszenia'!$D$5:$D$504,"&lt;="&amp;(A1954+1)))</f>
        <v/>
      </c>
      <c r="L1954" s="63">
        <f>IF(OR(H1954="",K1954=0),"—",IF(ISNUMBER(MATCH(H1954,'Zgłoszenia'!$S$5:$S$504,0)),RIGHT("0"&amp;DAY(A1954),2)&amp;"."&amp;RIGHT("0"&amp;MONTH(A1954),2)&amp;"."&amp;YEAR(A1954)&amp;": "&amp;INDEX('Zgłoszenia'!$H$5:$H$504,MATCH(H1954,'Zgłoszenia'!$S$5:$S$504,0)),RIGHT("0"&amp;DAY((A1954+1)),2)&amp;"."&amp;RIGHT("0"&amp;MONTH((A1954+1)),2)&amp;"."&amp;YEAR((A1954+1))&amp;": "&amp;INDEX('Zgłoszenia'!$H$5:$H$504,MATCH(F1954&amp;"|"&amp;(A1954+1),'Zgłoszenia'!$S$5:$S$504,0)))&amp;IF(K1954&gt;1," (+"&amp;(K1954-1)&amp;")",""))</f>
        <v/>
      </c>
      <c r="M1954" s="63" t="n">
        <v>25</v>
      </c>
      <c r="N1954" s="2" t="n"/>
      <c r="O1954" s="2" t="n"/>
    </row>
    <row r="1955">
      <c r="A1955" s="62">
        <f>IF('25'!$C$1="","",'25'!$C$1)</f>
        <v/>
      </c>
      <c r="B1955" s="63">
        <f>Ustawienia!$A$8&amp;""</f>
        <v/>
      </c>
      <c r="C1955" s="63">
        <f>Ustawienia!$A$15&amp;""</f>
        <v/>
      </c>
      <c r="D1955" s="63" t="n">
        <v>4</v>
      </c>
      <c r="E1955" s="63">
        <f>IF('25'!B16="","",TRIM('25'!B16&amp;""))</f>
        <v/>
      </c>
      <c r="F1955" s="63">
        <f>IF('25'!C16="","",'25'!C16)</f>
        <v/>
      </c>
      <c r="G1955" s="63">
        <f>'25'!D16&amp;""</f>
        <v/>
      </c>
      <c r="H1955" s="63">
        <f>IF(OR(A1955="",F1955=""),"",F1955&amp;"|"&amp;A1955)</f>
        <v/>
      </c>
      <c r="I1955" s="63">
        <f>IF(AND(H1955&lt;&gt;"",OR('Historia wózka'!$B$4="",F1955='Historia wózka'!$B$4),A1955&gt;='Historia wózka'!$B$5,A1955&lt;='Historia wózka'!$B$6),A1955+0.9+(5000-ROW())/10000000,0)</f>
        <v/>
      </c>
      <c r="J1955" s="63">
        <f>Ustawienia!$B$8&amp;""</f>
        <v/>
      </c>
      <c r="K1955" s="63">
        <f>IF(H1955="","",COUNTIFS('Zgłoszenia'!$B$5:$B$504,F1955,'Zgłoszenia'!$D$5:$D$504,"&gt;="&amp;A1955,'Zgłoszenia'!$D$5:$D$504,"&lt;="&amp;(A1955+1)))</f>
        <v/>
      </c>
      <c r="L1955" s="63">
        <f>IF(OR(H1955="",K1955=0),"—",IF(ISNUMBER(MATCH(H1955,'Zgłoszenia'!$S$5:$S$504,0)),RIGHT("0"&amp;DAY(A1955),2)&amp;"."&amp;RIGHT("0"&amp;MONTH(A1955),2)&amp;"."&amp;YEAR(A1955)&amp;": "&amp;INDEX('Zgłoszenia'!$H$5:$H$504,MATCH(H1955,'Zgłoszenia'!$S$5:$S$504,0)),RIGHT("0"&amp;DAY((A1955+1)),2)&amp;"."&amp;RIGHT("0"&amp;MONTH((A1955+1)),2)&amp;"."&amp;YEAR((A1955+1))&amp;": "&amp;INDEX('Zgłoszenia'!$H$5:$H$504,MATCH(F1955&amp;"|"&amp;(A1955+1),'Zgłoszenia'!$S$5:$S$504,0)))&amp;IF(K1955&gt;1," (+"&amp;(K1955-1)&amp;")",""))</f>
        <v/>
      </c>
      <c r="M1955" s="63" t="n">
        <v>25</v>
      </c>
      <c r="N1955" s="2" t="n"/>
      <c r="O1955" s="2" t="n"/>
    </row>
    <row r="1956">
      <c r="A1956" s="62">
        <f>IF('25'!$C$1="","",'25'!$C$1)</f>
        <v/>
      </c>
      <c r="B1956" s="63">
        <f>Ustawienia!$A$8&amp;""</f>
        <v/>
      </c>
      <c r="C1956" s="63">
        <f>Ustawienia!$A$15&amp;""</f>
        <v/>
      </c>
      <c r="D1956" s="63" t="n">
        <v>5</v>
      </c>
      <c r="E1956" s="63">
        <f>IF('25'!B17="","",TRIM('25'!B17&amp;""))</f>
        <v/>
      </c>
      <c r="F1956" s="63">
        <f>IF('25'!C17="","",'25'!C17)</f>
        <v/>
      </c>
      <c r="G1956" s="63">
        <f>'25'!D17&amp;""</f>
        <v/>
      </c>
      <c r="H1956" s="63">
        <f>IF(OR(A1956="",F1956=""),"",F1956&amp;"|"&amp;A1956)</f>
        <v/>
      </c>
      <c r="I1956" s="63">
        <f>IF(AND(H1956&lt;&gt;"",OR('Historia wózka'!$B$4="",F1956='Historia wózka'!$B$4),A1956&gt;='Historia wózka'!$B$5,A1956&lt;='Historia wózka'!$B$6),A1956+0.9+(5000-ROW())/10000000,0)</f>
        <v/>
      </c>
      <c r="J1956" s="63">
        <f>Ustawienia!$B$8&amp;""</f>
        <v/>
      </c>
      <c r="K1956" s="63">
        <f>IF(H1956="","",COUNTIFS('Zgłoszenia'!$B$5:$B$504,F1956,'Zgłoszenia'!$D$5:$D$504,"&gt;="&amp;A1956,'Zgłoszenia'!$D$5:$D$504,"&lt;="&amp;(A1956+1)))</f>
        <v/>
      </c>
      <c r="L1956" s="63">
        <f>IF(OR(H1956="",K1956=0),"—",IF(ISNUMBER(MATCH(H1956,'Zgłoszenia'!$S$5:$S$504,0)),RIGHT("0"&amp;DAY(A1956),2)&amp;"."&amp;RIGHT("0"&amp;MONTH(A1956),2)&amp;"."&amp;YEAR(A1956)&amp;": "&amp;INDEX('Zgłoszenia'!$H$5:$H$504,MATCH(H1956,'Zgłoszenia'!$S$5:$S$504,0)),RIGHT("0"&amp;DAY((A1956+1)),2)&amp;"."&amp;RIGHT("0"&amp;MONTH((A1956+1)),2)&amp;"."&amp;YEAR((A1956+1))&amp;": "&amp;INDEX('Zgłoszenia'!$H$5:$H$504,MATCH(F1956&amp;"|"&amp;(A1956+1),'Zgłoszenia'!$S$5:$S$504,0)))&amp;IF(K1956&gt;1," (+"&amp;(K1956-1)&amp;")",""))</f>
        <v/>
      </c>
      <c r="M1956" s="63" t="n">
        <v>25</v>
      </c>
      <c r="N1956" s="2" t="n"/>
      <c r="O1956" s="2" t="n"/>
    </row>
    <row r="1957">
      <c r="A1957" s="62">
        <f>IF('25'!$C$1="","",'25'!$C$1)</f>
        <v/>
      </c>
      <c r="B1957" s="63">
        <f>Ustawienia!$A$8&amp;""</f>
        <v/>
      </c>
      <c r="C1957" s="63">
        <f>Ustawienia!$A$15&amp;""</f>
        <v/>
      </c>
      <c r="D1957" s="63" t="n">
        <v>6</v>
      </c>
      <c r="E1957" s="63">
        <f>IF('25'!B18="","",TRIM('25'!B18&amp;""))</f>
        <v/>
      </c>
      <c r="F1957" s="63">
        <f>IF('25'!C18="","",'25'!C18)</f>
        <v/>
      </c>
      <c r="G1957" s="63">
        <f>'25'!D18&amp;""</f>
        <v/>
      </c>
      <c r="H1957" s="63">
        <f>IF(OR(A1957="",F1957=""),"",F1957&amp;"|"&amp;A1957)</f>
        <v/>
      </c>
      <c r="I1957" s="63">
        <f>IF(AND(H1957&lt;&gt;"",OR('Historia wózka'!$B$4="",F1957='Historia wózka'!$B$4),A1957&gt;='Historia wózka'!$B$5,A1957&lt;='Historia wózka'!$B$6),A1957+0.9+(5000-ROW())/10000000,0)</f>
        <v/>
      </c>
      <c r="J1957" s="63">
        <f>Ustawienia!$B$8&amp;""</f>
        <v/>
      </c>
      <c r="K1957" s="63">
        <f>IF(H1957="","",COUNTIFS('Zgłoszenia'!$B$5:$B$504,F1957,'Zgłoszenia'!$D$5:$D$504,"&gt;="&amp;A1957,'Zgłoszenia'!$D$5:$D$504,"&lt;="&amp;(A1957+1)))</f>
        <v/>
      </c>
      <c r="L1957" s="63">
        <f>IF(OR(H1957="",K1957=0),"—",IF(ISNUMBER(MATCH(H1957,'Zgłoszenia'!$S$5:$S$504,0)),RIGHT("0"&amp;DAY(A1957),2)&amp;"."&amp;RIGHT("0"&amp;MONTH(A1957),2)&amp;"."&amp;YEAR(A1957)&amp;": "&amp;INDEX('Zgłoszenia'!$H$5:$H$504,MATCH(H1957,'Zgłoszenia'!$S$5:$S$504,0)),RIGHT("0"&amp;DAY((A1957+1)),2)&amp;"."&amp;RIGHT("0"&amp;MONTH((A1957+1)),2)&amp;"."&amp;YEAR((A1957+1))&amp;": "&amp;INDEX('Zgłoszenia'!$H$5:$H$504,MATCH(F1957&amp;"|"&amp;(A1957+1),'Zgłoszenia'!$S$5:$S$504,0)))&amp;IF(K1957&gt;1," (+"&amp;(K1957-1)&amp;")",""))</f>
        <v/>
      </c>
      <c r="M1957" s="63" t="n">
        <v>25</v>
      </c>
      <c r="N1957" s="2" t="n"/>
      <c r="O1957" s="2" t="n"/>
    </row>
    <row r="1958">
      <c r="A1958" s="62">
        <f>IF('25'!$C$1="","",'25'!$C$1)</f>
        <v/>
      </c>
      <c r="B1958" s="63">
        <f>Ustawienia!$A$8&amp;""</f>
        <v/>
      </c>
      <c r="C1958" s="63">
        <f>Ustawienia!$A$15&amp;""</f>
        <v/>
      </c>
      <c r="D1958" s="63" t="n">
        <v>7</v>
      </c>
      <c r="E1958" s="63">
        <f>IF('25'!B19="","",TRIM('25'!B19&amp;""))</f>
        <v/>
      </c>
      <c r="F1958" s="63">
        <f>IF('25'!C19="","",'25'!C19)</f>
        <v/>
      </c>
      <c r="G1958" s="63">
        <f>'25'!D19&amp;""</f>
        <v/>
      </c>
      <c r="H1958" s="63">
        <f>IF(OR(A1958="",F1958=""),"",F1958&amp;"|"&amp;A1958)</f>
        <v/>
      </c>
      <c r="I1958" s="63">
        <f>IF(AND(H1958&lt;&gt;"",OR('Historia wózka'!$B$4="",F1958='Historia wózka'!$B$4),A1958&gt;='Historia wózka'!$B$5,A1958&lt;='Historia wózka'!$B$6),A1958+0.9+(5000-ROW())/10000000,0)</f>
        <v/>
      </c>
      <c r="J1958" s="63">
        <f>Ustawienia!$B$8&amp;""</f>
        <v/>
      </c>
      <c r="K1958" s="63">
        <f>IF(H1958="","",COUNTIFS('Zgłoszenia'!$B$5:$B$504,F1958,'Zgłoszenia'!$D$5:$D$504,"&gt;="&amp;A1958,'Zgłoszenia'!$D$5:$D$504,"&lt;="&amp;(A1958+1)))</f>
        <v/>
      </c>
      <c r="L1958" s="63">
        <f>IF(OR(H1958="",K1958=0),"—",IF(ISNUMBER(MATCH(H1958,'Zgłoszenia'!$S$5:$S$504,0)),RIGHT("0"&amp;DAY(A1958),2)&amp;"."&amp;RIGHT("0"&amp;MONTH(A1958),2)&amp;"."&amp;YEAR(A1958)&amp;": "&amp;INDEX('Zgłoszenia'!$H$5:$H$504,MATCH(H1958,'Zgłoszenia'!$S$5:$S$504,0)),RIGHT("0"&amp;DAY((A1958+1)),2)&amp;"."&amp;RIGHT("0"&amp;MONTH((A1958+1)),2)&amp;"."&amp;YEAR((A1958+1))&amp;": "&amp;INDEX('Zgłoszenia'!$H$5:$H$504,MATCH(F1958&amp;"|"&amp;(A1958+1),'Zgłoszenia'!$S$5:$S$504,0)))&amp;IF(K1958&gt;1," (+"&amp;(K1958-1)&amp;")",""))</f>
        <v/>
      </c>
      <c r="M1958" s="63" t="n">
        <v>25</v>
      </c>
      <c r="N1958" s="2" t="n"/>
      <c r="O1958" s="2" t="n"/>
    </row>
    <row r="1959">
      <c r="A1959" s="62">
        <f>IF('25'!$C$1="","",'25'!$C$1)</f>
        <v/>
      </c>
      <c r="B1959" s="63">
        <f>Ustawienia!$A$8&amp;""</f>
        <v/>
      </c>
      <c r="C1959" s="63">
        <f>Ustawienia!$A$15&amp;""</f>
        <v/>
      </c>
      <c r="D1959" s="63" t="n">
        <v>8</v>
      </c>
      <c r="E1959" s="63">
        <f>IF('25'!B20="","",TRIM('25'!B20&amp;""))</f>
        <v/>
      </c>
      <c r="F1959" s="63">
        <f>IF('25'!C20="","",'25'!C20)</f>
        <v/>
      </c>
      <c r="G1959" s="63">
        <f>'25'!D20&amp;""</f>
        <v/>
      </c>
      <c r="H1959" s="63">
        <f>IF(OR(A1959="",F1959=""),"",F1959&amp;"|"&amp;A1959)</f>
        <v/>
      </c>
      <c r="I1959" s="63">
        <f>IF(AND(H1959&lt;&gt;"",OR('Historia wózka'!$B$4="",F1959='Historia wózka'!$B$4),A1959&gt;='Historia wózka'!$B$5,A1959&lt;='Historia wózka'!$B$6),A1959+0.9+(5000-ROW())/10000000,0)</f>
        <v/>
      </c>
      <c r="J1959" s="63">
        <f>Ustawienia!$B$8&amp;""</f>
        <v/>
      </c>
      <c r="K1959" s="63">
        <f>IF(H1959="","",COUNTIFS('Zgłoszenia'!$B$5:$B$504,F1959,'Zgłoszenia'!$D$5:$D$504,"&gt;="&amp;A1959,'Zgłoszenia'!$D$5:$D$504,"&lt;="&amp;(A1959+1)))</f>
        <v/>
      </c>
      <c r="L1959" s="63">
        <f>IF(OR(H1959="",K1959=0),"—",IF(ISNUMBER(MATCH(H1959,'Zgłoszenia'!$S$5:$S$504,0)),RIGHT("0"&amp;DAY(A1959),2)&amp;"."&amp;RIGHT("0"&amp;MONTH(A1959),2)&amp;"."&amp;YEAR(A1959)&amp;": "&amp;INDEX('Zgłoszenia'!$H$5:$H$504,MATCH(H1959,'Zgłoszenia'!$S$5:$S$504,0)),RIGHT("0"&amp;DAY((A1959+1)),2)&amp;"."&amp;RIGHT("0"&amp;MONTH((A1959+1)),2)&amp;"."&amp;YEAR((A1959+1))&amp;": "&amp;INDEX('Zgłoszenia'!$H$5:$H$504,MATCH(F1959&amp;"|"&amp;(A1959+1),'Zgłoszenia'!$S$5:$S$504,0)))&amp;IF(K1959&gt;1," (+"&amp;(K1959-1)&amp;")",""))</f>
        <v/>
      </c>
      <c r="M1959" s="63" t="n">
        <v>25</v>
      </c>
      <c r="N1959" s="2" t="n"/>
      <c r="O1959" s="2" t="n"/>
    </row>
    <row r="1960">
      <c r="A1960" s="62">
        <f>IF('25'!$C$1="","",'25'!$C$1)</f>
        <v/>
      </c>
      <c r="B1960" s="63">
        <f>Ustawienia!$A$8&amp;""</f>
        <v/>
      </c>
      <c r="C1960" s="63">
        <f>Ustawienia!$A$16&amp;""</f>
        <v/>
      </c>
      <c r="D1960" s="63" t="n">
        <v>1</v>
      </c>
      <c r="E1960" s="63">
        <f>IF('25'!B22="","",TRIM('25'!B22&amp;""))</f>
        <v/>
      </c>
      <c r="F1960" s="63">
        <f>IF('25'!C22="","",'25'!C22)</f>
        <v/>
      </c>
      <c r="G1960" s="63">
        <f>'25'!D22&amp;""</f>
        <v/>
      </c>
      <c r="H1960" s="63">
        <f>IF(OR(A1960="",F1960=""),"",F1960&amp;"|"&amp;A1960)</f>
        <v/>
      </c>
      <c r="I1960" s="63">
        <f>IF(AND(H1960&lt;&gt;"",OR('Historia wózka'!$B$4="",F1960='Historia wózka'!$B$4),A1960&gt;='Historia wózka'!$B$5,A1960&lt;='Historia wózka'!$B$6),A1960+0.9+(5000-ROW())/10000000,0)</f>
        <v/>
      </c>
      <c r="J1960" s="63">
        <f>Ustawienia!$B$8&amp;""</f>
        <v/>
      </c>
      <c r="K1960" s="63">
        <f>IF(H1960="","",COUNTIFS('Zgłoszenia'!$B$5:$B$504,F1960,'Zgłoszenia'!$D$5:$D$504,"&gt;="&amp;A1960,'Zgłoszenia'!$D$5:$D$504,"&lt;="&amp;(A1960+1)))</f>
        <v/>
      </c>
      <c r="L1960" s="63">
        <f>IF(OR(H1960="",K1960=0),"—",IF(ISNUMBER(MATCH(H1960,'Zgłoszenia'!$S$5:$S$504,0)),RIGHT("0"&amp;DAY(A1960),2)&amp;"."&amp;RIGHT("0"&amp;MONTH(A1960),2)&amp;"."&amp;YEAR(A1960)&amp;": "&amp;INDEX('Zgłoszenia'!$H$5:$H$504,MATCH(H1960,'Zgłoszenia'!$S$5:$S$504,0)),RIGHT("0"&amp;DAY((A1960+1)),2)&amp;"."&amp;RIGHT("0"&amp;MONTH((A1960+1)),2)&amp;"."&amp;YEAR((A1960+1))&amp;": "&amp;INDEX('Zgłoszenia'!$H$5:$H$504,MATCH(F1960&amp;"|"&amp;(A1960+1),'Zgłoszenia'!$S$5:$S$504,0)))&amp;IF(K1960&gt;1," (+"&amp;(K1960-1)&amp;")",""))</f>
        <v/>
      </c>
      <c r="M1960" s="63" t="n">
        <v>25</v>
      </c>
      <c r="N1960" s="2" t="n"/>
      <c r="O1960" s="2" t="n"/>
    </row>
    <row r="1961">
      <c r="A1961" s="62">
        <f>IF('25'!$C$1="","",'25'!$C$1)</f>
        <v/>
      </c>
      <c r="B1961" s="63">
        <f>Ustawienia!$A$8&amp;""</f>
        <v/>
      </c>
      <c r="C1961" s="63">
        <f>Ustawienia!$A$16&amp;""</f>
        <v/>
      </c>
      <c r="D1961" s="63" t="n">
        <v>2</v>
      </c>
      <c r="E1961" s="63">
        <f>IF('25'!B23="","",TRIM('25'!B23&amp;""))</f>
        <v/>
      </c>
      <c r="F1961" s="63">
        <f>IF('25'!C23="","",'25'!C23)</f>
        <v/>
      </c>
      <c r="G1961" s="63">
        <f>'25'!D23&amp;""</f>
        <v/>
      </c>
      <c r="H1961" s="63">
        <f>IF(OR(A1961="",F1961=""),"",F1961&amp;"|"&amp;A1961)</f>
        <v/>
      </c>
      <c r="I1961" s="63">
        <f>IF(AND(H1961&lt;&gt;"",OR('Historia wózka'!$B$4="",F1961='Historia wózka'!$B$4),A1961&gt;='Historia wózka'!$B$5,A1961&lt;='Historia wózka'!$B$6),A1961+0.9+(5000-ROW())/10000000,0)</f>
        <v/>
      </c>
      <c r="J1961" s="63">
        <f>Ustawienia!$B$8&amp;""</f>
        <v/>
      </c>
      <c r="K1961" s="63">
        <f>IF(H1961="","",COUNTIFS('Zgłoszenia'!$B$5:$B$504,F1961,'Zgłoszenia'!$D$5:$D$504,"&gt;="&amp;A1961,'Zgłoszenia'!$D$5:$D$504,"&lt;="&amp;(A1961+1)))</f>
        <v/>
      </c>
      <c r="L1961" s="63">
        <f>IF(OR(H1961="",K1961=0),"—",IF(ISNUMBER(MATCH(H1961,'Zgłoszenia'!$S$5:$S$504,0)),RIGHT("0"&amp;DAY(A1961),2)&amp;"."&amp;RIGHT("0"&amp;MONTH(A1961),2)&amp;"."&amp;YEAR(A1961)&amp;": "&amp;INDEX('Zgłoszenia'!$H$5:$H$504,MATCH(H1961,'Zgłoszenia'!$S$5:$S$504,0)),RIGHT("0"&amp;DAY((A1961+1)),2)&amp;"."&amp;RIGHT("0"&amp;MONTH((A1961+1)),2)&amp;"."&amp;YEAR((A1961+1))&amp;": "&amp;INDEX('Zgłoszenia'!$H$5:$H$504,MATCH(F1961&amp;"|"&amp;(A1961+1),'Zgłoszenia'!$S$5:$S$504,0)))&amp;IF(K1961&gt;1," (+"&amp;(K1961-1)&amp;")",""))</f>
        <v/>
      </c>
      <c r="M1961" s="63" t="n">
        <v>25</v>
      </c>
      <c r="N1961" s="2" t="n"/>
      <c r="O1961" s="2" t="n"/>
    </row>
    <row r="1962">
      <c r="A1962" s="62">
        <f>IF('25'!$C$1="","",'25'!$C$1)</f>
        <v/>
      </c>
      <c r="B1962" s="63">
        <f>Ustawienia!$A$8&amp;""</f>
        <v/>
      </c>
      <c r="C1962" s="63">
        <f>Ustawienia!$A$16&amp;""</f>
        <v/>
      </c>
      <c r="D1962" s="63" t="n">
        <v>3</v>
      </c>
      <c r="E1962" s="63">
        <f>IF('25'!B24="","",TRIM('25'!B24&amp;""))</f>
        <v/>
      </c>
      <c r="F1962" s="63">
        <f>IF('25'!C24="","",'25'!C24)</f>
        <v/>
      </c>
      <c r="G1962" s="63">
        <f>'25'!D24&amp;""</f>
        <v/>
      </c>
      <c r="H1962" s="63">
        <f>IF(OR(A1962="",F1962=""),"",F1962&amp;"|"&amp;A1962)</f>
        <v/>
      </c>
      <c r="I1962" s="63">
        <f>IF(AND(H1962&lt;&gt;"",OR('Historia wózka'!$B$4="",F1962='Historia wózka'!$B$4),A1962&gt;='Historia wózka'!$B$5,A1962&lt;='Historia wózka'!$B$6),A1962+0.9+(5000-ROW())/10000000,0)</f>
        <v/>
      </c>
      <c r="J1962" s="63">
        <f>Ustawienia!$B$8&amp;""</f>
        <v/>
      </c>
      <c r="K1962" s="63">
        <f>IF(H1962="","",COUNTIFS('Zgłoszenia'!$B$5:$B$504,F1962,'Zgłoszenia'!$D$5:$D$504,"&gt;="&amp;A1962,'Zgłoszenia'!$D$5:$D$504,"&lt;="&amp;(A1962+1)))</f>
        <v/>
      </c>
      <c r="L1962" s="63">
        <f>IF(OR(H1962="",K1962=0),"—",IF(ISNUMBER(MATCH(H1962,'Zgłoszenia'!$S$5:$S$504,0)),RIGHT("0"&amp;DAY(A1962),2)&amp;"."&amp;RIGHT("0"&amp;MONTH(A1962),2)&amp;"."&amp;YEAR(A1962)&amp;": "&amp;INDEX('Zgłoszenia'!$H$5:$H$504,MATCH(H1962,'Zgłoszenia'!$S$5:$S$504,0)),RIGHT("0"&amp;DAY((A1962+1)),2)&amp;"."&amp;RIGHT("0"&amp;MONTH((A1962+1)),2)&amp;"."&amp;YEAR((A1962+1))&amp;": "&amp;INDEX('Zgłoszenia'!$H$5:$H$504,MATCH(F1962&amp;"|"&amp;(A1962+1),'Zgłoszenia'!$S$5:$S$504,0)))&amp;IF(K1962&gt;1," (+"&amp;(K1962-1)&amp;")",""))</f>
        <v/>
      </c>
      <c r="M1962" s="63" t="n">
        <v>25</v>
      </c>
      <c r="N1962" s="2" t="n"/>
      <c r="O1962" s="2" t="n"/>
    </row>
    <row r="1963">
      <c r="A1963" s="62">
        <f>IF('25'!$C$1="","",'25'!$C$1)</f>
        <v/>
      </c>
      <c r="B1963" s="63">
        <f>Ustawienia!$A$8&amp;""</f>
        <v/>
      </c>
      <c r="C1963" s="63">
        <f>Ustawienia!$A$16&amp;""</f>
        <v/>
      </c>
      <c r="D1963" s="63" t="n">
        <v>4</v>
      </c>
      <c r="E1963" s="63">
        <f>IF('25'!B25="","",TRIM('25'!B25&amp;""))</f>
        <v/>
      </c>
      <c r="F1963" s="63">
        <f>IF('25'!C25="","",'25'!C25)</f>
        <v/>
      </c>
      <c r="G1963" s="63">
        <f>'25'!D25&amp;""</f>
        <v/>
      </c>
      <c r="H1963" s="63">
        <f>IF(OR(A1963="",F1963=""),"",F1963&amp;"|"&amp;A1963)</f>
        <v/>
      </c>
      <c r="I1963" s="63">
        <f>IF(AND(H1963&lt;&gt;"",OR('Historia wózka'!$B$4="",F1963='Historia wózka'!$B$4),A1963&gt;='Historia wózka'!$B$5,A1963&lt;='Historia wózka'!$B$6),A1963+0.9+(5000-ROW())/10000000,0)</f>
        <v/>
      </c>
      <c r="J1963" s="63">
        <f>Ustawienia!$B$8&amp;""</f>
        <v/>
      </c>
      <c r="K1963" s="63">
        <f>IF(H1963="","",COUNTIFS('Zgłoszenia'!$B$5:$B$504,F1963,'Zgłoszenia'!$D$5:$D$504,"&gt;="&amp;A1963,'Zgłoszenia'!$D$5:$D$504,"&lt;="&amp;(A1963+1)))</f>
        <v/>
      </c>
      <c r="L1963" s="63">
        <f>IF(OR(H1963="",K1963=0),"—",IF(ISNUMBER(MATCH(H1963,'Zgłoszenia'!$S$5:$S$504,0)),RIGHT("0"&amp;DAY(A1963),2)&amp;"."&amp;RIGHT("0"&amp;MONTH(A1963),2)&amp;"."&amp;YEAR(A1963)&amp;": "&amp;INDEX('Zgłoszenia'!$H$5:$H$504,MATCH(H1963,'Zgłoszenia'!$S$5:$S$504,0)),RIGHT("0"&amp;DAY((A1963+1)),2)&amp;"."&amp;RIGHT("0"&amp;MONTH((A1963+1)),2)&amp;"."&amp;YEAR((A1963+1))&amp;": "&amp;INDEX('Zgłoszenia'!$H$5:$H$504,MATCH(F1963&amp;"|"&amp;(A1963+1),'Zgłoszenia'!$S$5:$S$504,0)))&amp;IF(K1963&gt;1," (+"&amp;(K1963-1)&amp;")",""))</f>
        <v/>
      </c>
      <c r="M1963" s="63" t="n">
        <v>25</v>
      </c>
      <c r="N1963" s="2" t="n"/>
      <c r="O1963" s="2" t="n"/>
    </row>
    <row r="1964">
      <c r="A1964" s="62">
        <f>IF('25'!$C$1="","",'25'!$C$1)</f>
        <v/>
      </c>
      <c r="B1964" s="63">
        <f>Ustawienia!$A$8&amp;""</f>
        <v/>
      </c>
      <c r="C1964" s="63">
        <f>Ustawienia!$A$17&amp;""</f>
        <v/>
      </c>
      <c r="D1964" s="63" t="n">
        <v>1</v>
      </c>
      <c r="E1964" s="63">
        <f>IF('25'!B27="","",TRIM('25'!B27&amp;""))</f>
        <v/>
      </c>
      <c r="F1964" s="63">
        <f>IF('25'!C27="","",'25'!C27)</f>
        <v/>
      </c>
      <c r="G1964" s="63">
        <f>'25'!D27&amp;""</f>
        <v/>
      </c>
      <c r="H1964" s="63">
        <f>IF(OR(A1964="",F1964=""),"",F1964&amp;"|"&amp;A1964)</f>
        <v/>
      </c>
      <c r="I1964" s="63">
        <f>IF(AND(H1964&lt;&gt;"",OR('Historia wózka'!$B$4="",F1964='Historia wózka'!$B$4),A1964&gt;='Historia wózka'!$B$5,A1964&lt;='Historia wózka'!$B$6),A1964+0.9+(5000-ROW())/10000000,0)</f>
        <v/>
      </c>
      <c r="J1964" s="63">
        <f>Ustawienia!$B$8&amp;""</f>
        <v/>
      </c>
      <c r="K1964" s="63">
        <f>IF(H1964="","",COUNTIFS('Zgłoszenia'!$B$5:$B$504,F1964,'Zgłoszenia'!$D$5:$D$504,"&gt;="&amp;A1964,'Zgłoszenia'!$D$5:$D$504,"&lt;="&amp;(A1964+1)))</f>
        <v/>
      </c>
      <c r="L1964" s="63">
        <f>IF(OR(H1964="",K1964=0),"—",IF(ISNUMBER(MATCH(H1964,'Zgłoszenia'!$S$5:$S$504,0)),RIGHT("0"&amp;DAY(A1964),2)&amp;"."&amp;RIGHT("0"&amp;MONTH(A1964),2)&amp;"."&amp;YEAR(A1964)&amp;": "&amp;INDEX('Zgłoszenia'!$H$5:$H$504,MATCH(H1964,'Zgłoszenia'!$S$5:$S$504,0)),RIGHT("0"&amp;DAY((A1964+1)),2)&amp;"."&amp;RIGHT("0"&amp;MONTH((A1964+1)),2)&amp;"."&amp;YEAR((A1964+1))&amp;": "&amp;INDEX('Zgłoszenia'!$H$5:$H$504,MATCH(F1964&amp;"|"&amp;(A1964+1),'Zgłoszenia'!$S$5:$S$504,0)))&amp;IF(K1964&gt;1," (+"&amp;(K1964-1)&amp;")",""))</f>
        <v/>
      </c>
      <c r="M1964" s="63" t="n">
        <v>25</v>
      </c>
      <c r="N1964" s="2" t="n"/>
      <c r="O1964" s="2" t="n"/>
    </row>
    <row r="1965">
      <c r="A1965" s="62">
        <f>IF('25'!$C$1="","",'25'!$C$1)</f>
        <v/>
      </c>
      <c r="B1965" s="63">
        <f>Ustawienia!$A$8&amp;""</f>
        <v/>
      </c>
      <c r="C1965" s="63">
        <f>Ustawienia!$A$17&amp;""</f>
        <v/>
      </c>
      <c r="D1965" s="63" t="n">
        <v>2</v>
      </c>
      <c r="E1965" s="63">
        <f>IF('25'!B28="","",TRIM('25'!B28&amp;""))</f>
        <v/>
      </c>
      <c r="F1965" s="63">
        <f>IF('25'!C28="","",'25'!C28)</f>
        <v/>
      </c>
      <c r="G1965" s="63">
        <f>'25'!D28&amp;""</f>
        <v/>
      </c>
      <c r="H1965" s="63">
        <f>IF(OR(A1965="",F1965=""),"",F1965&amp;"|"&amp;A1965)</f>
        <v/>
      </c>
      <c r="I1965" s="63">
        <f>IF(AND(H1965&lt;&gt;"",OR('Historia wózka'!$B$4="",F1965='Historia wózka'!$B$4),A1965&gt;='Historia wózka'!$B$5,A1965&lt;='Historia wózka'!$B$6),A1965+0.9+(5000-ROW())/10000000,0)</f>
        <v/>
      </c>
      <c r="J1965" s="63">
        <f>Ustawienia!$B$8&amp;""</f>
        <v/>
      </c>
      <c r="K1965" s="63">
        <f>IF(H1965="","",COUNTIFS('Zgłoszenia'!$B$5:$B$504,F1965,'Zgłoszenia'!$D$5:$D$504,"&gt;="&amp;A1965,'Zgłoszenia'!$D$5:$D$504,"&lt;="&amp;(A1965+1)))</f>
        <v/>
      </c>
      <c r="L1965" s="63">
        <f>IF(OR(H1965="",K1965=0),"—",IF(ISNUMBER(MATCH(H1965,'Zgłoszenia'!$S$5:$S$504,0)),RIGHT("0"&amp;DAY(A1965),2)&amp;"."&amp;RIGHT("0"&amp;MONTH(A1965),2)&amp;"."&amp;YEAR(A1965)&amp;": "&amp;INDEX('Zgłoszenia'!$H$5:$H$504,MATCH(H1965,'Zgłoszenia'!$S$5:$S$504,0)),RIGHT("0"&amp;DAY((A1965+1)),2)&amp;"."&amp;RIGHT("0"&amp;MONTH((A1965+1)),2)&amp;"."&amp;YEAR((A1965+1))&amp;": "&amp;INDEX('Zgłoszenia'!$H$5:$H$504,MATCH(F1965&amp;"|"&amp;(A1965+1),'Zgłoszenia'!$S$5:$S$504,0)))&amp;IF(K1965&gt;1," (+"&amp;(K1965-1)&amp;")",""))</f>
        <v/>
      </c>
      <c r="M1965" s="63" t="n">
        <v>25</v>
      </c>
      <c r="N1965" s="2" t="n"/>
      <c r="O1965" s="2" t="n"/>
    </row>
    <row r="1966">
      <c r="A1966" s="62">
        <f>IF('25'!$C$1="","",'25'!$C$1)</f>
        <v/>
      </c>
      <c r="B1966" s="63">
        <f>Ustawienia!$A$8&amp;""</f>
        <v/>
      </c>
      <c r="C1966" s="63">
        <f>Ustawienia!$A$17&amp;""</f>
        <v/>
      </c>
      <c r="D1966" s="63" t="n">
        <v>3</v>
      </c>
      <c r="E1966" s="63">
        <f>IF('25'!B29="","",TRIM('25'!B29&amp;""))</f>
        <v/>
      </c>
      <c r="F1966" s="63">
        <f>IF('25'!C29="","",'25'!C29)</f>
        <v/>
      </c>
      <c r="G1966" s="63">
        <f>'25'!D29&amp;""</f>
        <v/>
      </c>
      <c r="H1966" s="63">
        <f>IF(OR(A1966="",F1966=""),"",F1966&amp;"|"&amp;A1966)</f>
        <v/>
      </c>
      <c r="I1966" s="63">
        <f>IF(AND(H1966&lt;&gt;"",OR('Historia wózka'!$B$4="",F1966='Historia wózka'!$B$4),A1966&gt;='Historia wózka'!$B$5,A1966&lt;='Historia wózka'!$B$6),A1966+0.9+(5000-ROW())/10000000,0)</f>
        <v/>
      </c>
      <c r="J1966" s="63">
        <f>Ustawienia!$B$8&amp;""</f>
        <v/>
      </c>
      <c r="K1966" s="63">
        <f>IF(H1966="","",COUNTIFS('Zgłoszenia'!$B$5:$B$504,F1966,'Zgłoszenia'!$D$5:$D$504,"&gt;="&amp;A1966,'Zgłoszenia'!$D$5:$D$504,"&lt;="&amp;(A1966+1)))</f>
        <v/>
      </c>
      <c r="L1966" s="63">
        <f>IF(OR(H1966="",K1966=0),"—",IF(ISNUMBER(MATCH(H1966,'Zgłoszenia'!$S$5:$S$504,0)),RIGHT("0"&amp;DAY(A1966),2)&amp;"."&amp;RIGHT("0"&amp;MONTH(A1966),2)&amp;"."&amp;YEAR(A1966)&amp;": "&amp;INDEX('Zgłoszenia'!$H$5:$H$504,MATCH(H1966,'Zgłoszenia'!$S$5:$S$504,0)),RIGHT("0"&amp;DAY((A1966+1)),2)&amp;"."&amp;RIGHT("0"&amp;MONTH((A1966+1)),2)&amp;"."&amp;YEAR((A1966+1))&amp;": "&amp;INDEX('Zgłoszenia'!$H$5:$H$504,MATCH(F1966&amp;"|"&amp;(A1966+1),'Zgłoszenia'!$S$5:$S$504,0)))&amp;IF(K1966&gt;1," (+"&amp;(K1966-1)&amp;")",""))</f>
        <v/>
      </c>
      <c r="M1966" s="63" t="n">
        <v>25</v>
      </c>
      <c r="N1966" s="2" t="n"/>
      <c r="O1966" s="2" t="n"/>
    </row>
    <row r="1967">
      <c r="A1967" s="62">
        <f>IF('25'!$C$1="","",'25'!$C$1)</f>
        <v/>
      </c>
      <c r="B1967" s="63">
        <f>Ustawienia!$A$8&amp;""</f>
        <v/>
      </c>
      <c r="C1967" s="63">
        <f>Ustawienia!$A$17&amp;""</f>
        <v/>
      </c>
      <c r="D1967" s="63" t="n">
        <v>4</v>
      </c>
      <c r="E1967" s="63">
        <f>IF('25'!B30="","",TRIM('25'!B30&amp;""))</f>
        <v/>
      </c>
      <c r="F1967" s="63">
        <f>IF('25'!C30="","",'25'!C30)</f>
        <v/>
      </c>
      <c r="G1967" s="63">
        <f>'25'!D30&amp;""</f>
        <v/>
      </c>
      <c r="H1967" s="63">
        <f>IF(OR(A1967="",F1967=""),"",F1967&amp;"|"&amp;A1967)</f>
        <v/>
      </c>
      <c r="I1967" s="63">
        <f>IF(AND(H1967&lt;&gt;"",OR('Historia wózka'!$B$4="",F1967='Historia wózka'!$B$4),A1967&gt;='Historia wózka'!$B$5,A1967&lt;='Historia wózka'!$B$6),A1967+0.9+(5000-ROW())/10000000,0)</f>
        <v/>
      </c>
      <c r="J1967" s="63">
        <f>Ustawienia!$B$8&amp;""</f>
        <v/>
      </c>
      <c r="K1967" s="63">
        <f>IF(H1967="","",COUNTIFS('Zgłoszenia'!$B$5:$B$504,F1967,'Zgłoszenia'!$D$5:$D$504,"&gt;="&amp;A1967,'Zgłoszenia'!$D$5:$D$504,"&lt;="&amp;(A1967+1)))</f>
        <v/>
      </c>
      <c r="L1967" s="63">
        <f>IF(OR(H1967="",K1967=0),"—",IF(ISNUMBER(MATCH(H1967,'Zgłoszenia'!$S$5:$S$504,0)),RIGHT("0"&amp;DAY(A1967),2)&amp;"."&amp;RIGHT("0"&amp;MONTH(A1967),2)&amp;"."&amp;YEAR(A1967)&amp;": "&amp;INDEX('Zgłoszenia'!$H$5:$H$504,MATCH(H1967,'Zgłoszenia'!$S$5:$S$504,0)),RIGHT("0"&amp;DAY((A1967+1)),2)&amp;"."&amp;RIGHT("0"&amp;MONTH((A1967+1)),2)&amp;"."&amp;YEAR((A1967+1))&amp;": "&amp;INDEX('Zgłoszenia'!$H$5:$H$504,MATCH(F1967&amp;"|"&amp;(A1967+1),'Zgłoszenia'!$S$5:$S$504,0)))&amp;IF(K1967&gt;1," (+"&amp;(K1967-1)&amp;")",""))</f>
        <v/>
      </c>
      <c r="M1967" s="63" t="n">
        <v>25</v>
      </c>
      <c r="N1967" s="2" t="n"/>
      <c r="O1967" s="2" t="n"/>
    </row>
    <row r="1968">
      <c r="A1968" s="62">
        <f>IF('25'!$C$1="","",'25'!$C$1)</f>
        <v/>
      </c>
      <c r="B1968" s="63">
        <f>Ustawienia!$A$8&amp;""</f>
        <v/>
      </c>
      <c r="C1968" s="63">
        <f>Ustawienia!$A$18&amp;""</f>
        <v/>
      </c>
      <c r="D1968" s="63" t="n">
        <v>1</v>
      </c>
      <c r="E1968" s="63">
        <f>IF('25'!B32="","",TRIM('25'!B32&amp;""))</f>
        <v/>
      </c>
      <c r="F1968" s="63">
        <f>IF('25'!C32="","",'25'!C32)</f>
        <v/>
      </c>
      <c r="G1968" s="63">
        <f>'25'!D32&amp;""</f>
        <v/>
      </c>
      <c r="H1968" s="63">
        <f>IF(OR(A1968="",F1968=""),"",F1968&amp;"|"&amp;A1968)</f>
        <v/>
      </c>
      <c r="I1968" s="63">
        <f>IF(AND(H1968&lt;&gt;"",OR('Historia wózka'!$B$4="",F1968='Historia wózka'!$B$4),A1968&gt;='Historia wózka'!$B$5,A1968&lt;='Historia wózka'!$B$6),A1968+0.9+(5000-ROW())/10000000,0)</f>
        <v/>
      </c>
      <c r="J1968" s="63">
        <f>Ustawienia!$B$8&amp;""</f>
        <v/>
      </c>
      <c r="K1968" s="63">
        <f>IF(H1968="","",COUNTIFS('Zgłoszenia'!$B$5:$B$504,F1968,'Zgłoszenia'!$D$5:$D$504,"&gt;="&amp;A1968,'Zgłoszenia'!$D$5:$D$504,"&lt;="&amp;(A1968+1)))</f>
        <v/>
      </c>
      <c r="L1968" s="63">
        <f>IF(OR(H1968="",K1968=0),"—",IF(ISNUMBER(MATCH(H1968,'Zgłoszenia'!$S$5:$S$504,0)),RIGHT("0"&amp;DAY(A1968),2)&amp;"."&amp;RIGHT("0"&amp;MONTH(A1968),2)&amp;"."&amp;YEAR(A1968)&amp;": "&amp;INDEX('Zgłoszenia'!$H$5:$H$504,MATCH(H1968,'Zgłoszenia'!$S$5:$S$504,0)),RIGHT("0"&amp;DAY((A1968+1)),2)&amp;"."&amp;RIGHT("0"&amp;MONTH((A1968+1)),2)&amp;"."&amp;YEAR((A1968+1))&amp;": "&amp;INDEX('Zgłoszenia'!$H$5:$H$504,MATCH(F1968&amp;"|"&amp;(A1968+1),'Zgłoszenia'!$S$5:$S$504,0)))&amp;IF(K1968&gt;1," (+"&amp;(K1968-1)&amp;")",""))</f>
        <v/>
      </c>
      <c r="M1968" s="63" t="n">
        <v>25</v>
      </c>
      <c r="N1968" s="2" t="n"/>
      <c r="O1968" s="2" t="n"/>
    </row>
    <row r="1969">
      <c r="A1969" s="62">
        <f>IF('25'!$C$1="","",'25'!$C$1)</f>
        <v/>
      </c>
      <c r="B1969" s="63">
        <f>Ustawienia!$A$8&amp;""</f>
        <v/>
      </c>
      <c r="C1969" s="63">
        <f>Ustawienia!$A$18&amp;""</f>
        <v/>
      </c>
      <c r="D1969" s="63" t="n">
        <v>2</v>
      </c>
      <c r="E1969" s="63">
        <f>IF('25'!B33="","",TRIM('25'!B33&amp;""))</f>
        <v/>
      </c>
      <c r="F1969" s="63">
        <f>IF('25'!C33="","",'25'!C33)</f>
        <v/>
      </c>
      <c r="G1969" s="63">
        <f>'25'!D33&amp;""</f>
        <v/>
      </c>
      <c r="H1969" s="63">
        <f>IF(OR(A1969="",F1969=""),"",F1969&amp;"|"&amp;A1969)</f>
        <v/>
      </c>
      <c r="I1969" s="63">
        <f>IF(AND(H1969&lt;&gt;"",OR('Historia wózka'!$B$4="",F1969='Historia wózka'!$B$4),A1969&gt;='Historia wózka'!$B$5,A1969&lt;='Historia wózka'!$B$6),A1969+0.9+(5000-ROW())/10000000,0)</f>
        <v/>
      </c>
      <c r="J1969" s="63">
        <f>Ustawienia!$B$8&amp;""</f>
        <v/>
      </c>
      <c r="K1969" s="63">
        <f>IF(H1969="","",COUNTIFS('Zgłoszenia'!$B$5:$B$504,F1969,'Zgłoszenia'!$D$5:$D$504,"&gt;="&amp;A1969,'Zgłoszenia'!$D$5:$D$504,"&lt;="&amp;(A1969+1)))</f>
        <v/>
      </c>
      <c r="L1969" s="63">
        <f>IF(OR(H1969="",K1969=0),"—",IF(ISNUMBER(MATCH(H1969,'Zgłoszenia'!$S$5:$S$504,0)),RIGHT("0"&amp;DAY(A1969),2)&amp;"."&amp;RIGHT("0"&amp;MONTH(A1969),2)&amp;"."&amp;YEAR(A1969)&amp;": "&amp;INDEX('Zgłoszenia'!$H$5:$H$504,MATCH(H1969,'Zgłoszenia'!$S$5:$S$504,0)),RIGHT("0"&amp;DAY((A1969+1)),2)&amp;"."&amp;RIGHT("0"&amp;MONTH((A1969+1)),2)&amp;"."&amp;YEAR((A1969+1))&amp;": "&amp;INDEX('Zgłoszenia'!$H$5:$H$504,MATCH(F1969&amp;"|"&amp;(A1969+1),'Zgłoszenia'!$S$5:$S$504,0)))&amp;IF(K1969&gt;1," (+"&amp;(K1969-1)&amp;")",""))</f>
        <v/>
      </c>
      <c r="M1969" s="63" t="n">
        <v>25</v>
      </c>
      <c r="N1969" s="2" t="n"/>
      <c r="O1969" s="2" t="n"/>
    </row>
    <row r="1970">
      <c r="A1970" s="62">
        <f>IF('25'!$C$1="","",'25'!$C$1)</f>
        <v/>
      </c>
      <c r="B1970" s="63">
        <f>Ustawienia!$A$8&amp;""</f>
        <v/>
      </c>
      <c r="C1970" s="63">
        <f>Ustawienia!$A$18&amp;""</f>
        <v/>
      </c>
      <c r="D1970" s="63" t="n">
        <v>3</v>
      </c>
      <c r="E1970" s="63">
        <f>IF('25'!B34="","",TRIM('25'!B34&amp;""))</f>
        <v/>
      </c>
      <c r="F1970" s="63">
        <f>IF('25'!C34="","",'25'!C34)</f>
        <v/>
      </c>
      <c r="G1970" s="63">
        <f>'25'!D34&amp;""</f>
        <v/>
      </c>
      <c r="H1970" s="63">
        <f>IF(OR(A1970="",F1970=""),"",F1970&amp;"|"&amp;A1970)</f>
        <v/>
      </c>
      <c r="I1970" s="63">
        <f>IF(AND(H1970&lt;&gt;"",OR('Historia wózka'!$B$4="",F1970='Historia wózka'!$B$4),A1970&gt;='Historia wózka'!$B$5,A1970&lt;='Historia wózka'!$B$6),A1970+0.9+(5000-ROW())/10000000,0)</f>
        <v/>
      </c>
      <c r="J1970" s="63">
        <f>Ustawienia!$B$8&amp;""</f>
        <v/>
      </c>
      <c r="K1970" s="63">
        <f>IF(H1970="","",COUNTIFS('Zgłoszenia'!$B$5:$B$504,F1970,'Zgłoszenia'!$D$5:$D$504,"&gt;="&amp;A1970,'Zgłoszenia'!$D$5:$D$504,"&lt;="&amp;(A1970+1)))</f>
        <v/>
      </c>
      <c r="L1970" s="63">
        <f>IF(OR(H1970="",K1970=0),"—",IF(ISNUMBER(MATCH(H1970,'Zgłoszenia'!$S$5:$S$504,0)),RIGHT("0"&amp;DAY(A1970),2)&amp;"."&amp;RIGHT("0"&amp;MONTH(A1970),2)&amp;"."&amp;YEAR(A1970)&amp;": "&amp;INDEX('Zgłoszenia'!$H$5:$H$504,MATCH(H1970,'Zgłoszenia'!$S$5:$S$504,0)),RIGHT("0"&amp;DAY((A1970+1)),2)&amp;"."&amp;RIGHT("0"&amp;MONTH((A1970+1)),2)&amp;"."&amp;YEAR((A1970+1))&amp;": "&amp;INDEX('Zgłoszenia'!$H$5:$H$504,MATCH(F1970&amp;"|"&amp;(A1970+1),'Zgłoszenia'!$S$5:$S$504,0)))&amp;IF(K1970&gt;1," (+"&amp;(K1970-1)&amp;")",""))</f>
        <v/>
      </c>
      <c r="M1970" s="63" t="n">
        <v>25</v>
      </c>
      <c r="N1970" s="2" t="n"/>
      <c r="O1970" s="2" t="n"/>
    </row>
    <row r="1971">
      <c r="A1971" s="62">
        <f>IF('25'!$C$1="","",'25'!$C$1)</f>
        <v/>
      </c>
      <c r="B1971" s="63">
        <f>Ustawienia!$A$8&amp;""</f>
        <v/>
      </c>
      <c r="C1971" s="63">
        <f>Ustawienia!$A$18&amp;""</f>
        <v/>
      </c>
      <c r="D1971" s="63" t="n">
        <v>4</v>
      </c>
      <c r="E1971" s="63">
        <f>IF('25'!B35="","",TRIM('25'!B35&amp;""))</f>
        <v/>
      </c>
      <c r="F1971" s="63">
        <f>IF('25'!C35="","",'25'!C35)</f>
        <v/>
      </c>
      <c r="G1971" s="63">
        <f>'25'!D35&amp;""</f>
        <v/>
      </c>
      <c r="H1971" s="63">
        <f>IF(OR(A1971="",F1971=""),"",F1971&amp;"|"&amp;A1971)</f>
        <v/>
      </c>
      <c r="I1971" s="63">
        <f>IF(AND(H1971&lt;&gt;"",OR('Historia wózka'!$B$4="",F1971='Historia wózka'!$B$4),A1971&gt;='Historia wózka'!$B$5,A1971&lt;='Historia wózka'!$B$6),A1971+0.9+(5000-ROW())/10000000,0)</f>
        <v/>
      </c>
      <c r="J1971" s="63">
        <f>Ustawienia!$B$8&amp;""</f>
        <v/>
      </c>
      <c r="K1971" s="63">
        <f>IF(H1971="","",COUNTIFS('Zgłoszenia'!$B$5:$B$504,F1971,'Zgłoszenia'!$D$5:$D$504,"&gt;="&amp;A1971,'Zgłoszenia'!$D$5:$D$504,"&lt;="&amp;(A1971+1)))</f>
        <v/>
      </c>
      <c r="L1971" s="63">
        <f>IF(OR(H1971="",K1971=0),"—",IF(ISNUMBER(MATCH(H1971,'Zgłoszenia'!$S$5:$S$504,0)),RIGHT("0"&amp;DAY(A1971),2)&amp;"."&amp;RIGHT("0"&amp;MONTH(A1971),2)&amp;"."&amp;YEAR(A1971)&amp;": "&amp;INDEX('Zgłoszenia'!$H$5:$H$504,MATCH(H1971,'Zgłoszenia'!$S$5:$S$504,0)),RIGHT("0"&amp;DAY((A1971+1)),2)&amp;"."&amp;RIGHT("0"&amp;MONTH((A1971+1)),2)&amp;"."&amp;YEAR((A1971+1))&amp;": "&amp;INDEX('Zgłoszenia'!$H$5:$H$504,MATCH(F1971&amp;"|"&amp;(A1971+1),'Zgłoszenia'!$S$5:$S$504,0)))&amp;IF(K1971&gt;1," (+"&amp;(K1971-1)&amp;")",""))</f>
        <v/>
      </c>
      <c r="M1971" s="63" t="n">
        <v>25</v>
      </c>
      <c r="N1971" s="2" t="n"/>
      <c r="O1971" s="2" t="n"/>
    </row>
    <row r="1972">
      <c r="A1972" s="62">
        <f>IF('25'!$C$1="","",'25'!$C$1)</f>
        <v/>
      </c>
      <c r="B1972" s="63">
        <f>Ustawienia!$A$8&amp;""</f>
        <v/>
      </c>
      <c r="C1972" s="63">
        <f>Ustawienia!$A$18&amp;""</f>
        <v/>
      </c>
      <c r="D1972" s="63" t="n">
        <v>5</v>
      </c>
      <c r="E1972" s="63">
        <f>IF('25'!B36="","",TRIM('25'!B36&amp;""))</f>
        <v/>
      </c>
      <c r="F1972" s="63">
        <f>IF('25'!C36="","",'25'!C36)</f>
        <v/>
      </c>
      <c r="G1972" s="63">
        <f>'25'!D36&amp;""</f>
        <v/>
      </c>
      <c r="H1972" s="63">
        <f>IF(OR(A1972="",F1972=""),"",F1972&amp;"|"&amp;A1972)</f>
        <v/>
      </c>
      <c r="I1972" s="63">
        <f>IF(AND(H1972&lt;&gt;"",OR('Historia wózka'!$B$4="",F1972='Historia wózka'!$B$4),A1972&gt;='Historia wózka'!$B$5,A1972&lt;='Historia wózka'!$B$6),A1972+0.9+(5000-ROW())/10000000,0)</f>
        <v/>
      </c>
      <c r="J1972" s="63">
        <f>Ustawienia!$B$8&amp;""</f>
        <v/>
      </c>
      <c r="K1972" s="63">
        <f>IF(H1972="","",COUNTIFS('Zgłoszenia'!$B$5:$B$504,F1972,'Zgłoszenia'!$D$5:$D$504,"&gt;="&amp;A1972,'Zgłoszenia'!$D$5:$D$504,"&lt;="&amp;(A1972+1)))</f>
        <v/>
      </c>
      <c r="L1972" s="63">
        <f>IF(OR(H1972="",K1972=0),"—",IF(ISNUMBER(MATCH(H1972,'Zgłoszenia'!$S$5:$S$504,0)),RIGHT("0"&amp;DAY(A1972),2)&amp;"."&amp;RIGHT("0"&amp;MONTH(A1972),2)&amp;"."&amp;YEAR(A1972)&amp;": "&amp;INDEX('Zgłoszenia'!$H$5:$H$504,MATCH(H1972,'Zgłoszenia'!$S$5:$S$504,0)),RIGHT("0"&amp;DAY((A1972+1)),2)&amp;"."&amp;RIGHT("0"&amp;MONTH((A1972+1)),2)&amp;"."&amp;YEAR((A1972+1))&amp;": "&amp;INDEX('Zgłoszenia'!$H$5:$H$504,MATCH(F1972&amp;"|"&amp;(A1972+1),'Zgłoszenia'!$S$5:$S$504,0)))&amp;IF(K1972&gt;1," (+"&amp;(K1972-1)&amp;")",""))</f>
        <v/>
      </c>
      <c r="M1972" s="63" t="n">
        <v>25</v>
      </c>
      <c r="N1972" s="2" t="n"/>
      <c r="O1972" s="2" t="n"/>
    </row>
    <row r="1973">
      <c r="A1973" s="62">
        <f>IF('25'!$C$1="","",'25'!$C$1)</f>
        <v/>
      </c>
      <c r="B1973" s="63">
        <f>Ustawienia!$A$9&amp;""</f>
        <v/>
      </c>
      <c r="C1973" s="63">
        <f>Ustawienia!$A$14&amp;""</f>
        <v/>
      </c>
      <c r="D1973" s="63" t="n">
        <v>1</v>
      </c>
      <c r="E1973" s="63">
        <f>IF('25'!F6="","",TRIM('25'!F6&amp;""))</f>
        <v/>
      </c>
      <c r="F1973" s="63">
        <f>IF('25'!G6="","",'25'!G6)</f>
        <v/>
      </c>
      <c r="G1973" s="63">
        <f>'25'!H6&amp;""</f>
        <v/>
      </c>
      <c r="H1973" s="63">
        <f>IF(OR(A1973="",F1973=""),"",F1973&amp;"|"&amp;A1973)</f>
        <v/>
      </c>
      <c r="I1973" s="63">
        <f>IF(AND(H1973&lt;&gt;"",OR('Historia wózka'!$B$4="",F1973='Historia wózka'!$B$4),A1973&gt;='Historia wózka'!$B$5,A1973&lt;='Historia wózka'!$B$6),A1973+0.8+(5000-ROW())/10000000,0)</f>
        <v/>
      </c>
      <c r="J1973" s="63">
        <f>Ustawienia!$B$9&amp;""</f>
        <v/>
      </c>
      <c r="K1973" s="63">
        <f>IF(H1973="","",COUNTIFS('Zgłoszenia'!$B$5:$B$504,F1973,'Zgłoszenia'!$D$5:$D$504,"&gt;="&amp;A1973,'Zgłoszenia'!$D$5:$D$504,"&lt;="&amp;(A1973+1)))</f>
        <v/>
      </c>
      <c r="L1973" s="63">
        <f>IF(OR(H1973="",K1973=0),"—",IF(ISNUMBER(MATCH(H1973,'Zgłoszenia'!$S$5:$S$504,0)),RIGHT("0"&amp;DAY(A1973),2)&amp;"."&amp;RIGHT("0"&amp;MONTH(A1973),2)&amp;"."&amp;YEAR(A1973)&amp;": "&amp;INDEX('Zgłoszenia'!$H$5:$H$504,MATCH(H1973,'Zgłoszenia'!$S$5:$S$504,0)),RIGHT("0"&amp;DAY((A1973+1)),2)&amp;"."&amp;RIGHT("0"&amp;MONTH((A1973+1)),2)&amp;"."&amp;YEAR((A1973+1))&amp;": "&amp;INDEX('Zgłoszenia'!$H$5:$H$504,MATCH(F1973&amp;"|"&amp;(A1973+1),'Zgłoszenia'!$S$5:$S$504,0)))&amp;IF(K1973&gt;1," (+"&amp;(K1973-1)&amp;")",""))</f>
        <v/>
      </c>
      <c r="M1973" s="63" t="n">
        <v>25</v>
      </c>
      <c r="N1973" s="2" t="n"/>
      <c r="O1973" s="2" t="n"/>
    </row>
    <row r="1974">
      <c r="A1974" s="62">
        <f>IF('25'!$C$1="","",'25'!$C$1)</f>
        <v/>
      </c>
      <c r="B1974" s="63">
        <f>Ustawienia!$A$9&amp;""</f>
        <v/>
      </c>
      <c r="C1974" s="63">
        <f>Ustawienia!$A$14&amp;""</f>
        <v/>
      </c>
      <c r="D1974" s="63" t="n">
        <v>2</v>
      </c>
      <c r="E1974" s="63">
        <f>IF('25'!F7="","",TRIM('25'!F7&amp;""))</f>
        <v/>
      </c>
      <c r="F1974" s="63">
        <f>IF('25'!G7="","",'25'!G7)</f>
        <v/>
      </c>
      <c r="G1974" s="63">
        <f>'25'!H7&amp;""</f>
        <v/>
      </c>
      <c r="H1974" s="63">
        <f>IF(OR(A1974="",F1974=""),"",F1974&amp;"|"&amp;A1974)</f>
        <v/>
      </c>
      <c r="I1974" s="63">
        <f>IF(AND(H1974&lt;&gt;"",OR('Historia wózka'!$B$4="",F1974='Historia wózka'!$B$4),A1974&gt;='Historia wózka'!$B$5,A1974&lt;='Historia wózka'!$B$6),A1974+0.8+(5000-ROW())/10000000,0)</f>
        <v/>
      </c>
      <c r="J1974" s="63">
        <f>Ustawienia!$B$9&amp;""</f>
        <v/>
      </c>
      <c r="K1974" s="63">
        <f>IF(H1974="","",COUNTIFS('Zgłoszenia'!$B$5:$B$504,F1974,'Zgłoszenia'!$D$5:$D$504,"&gt;="&amp;A1974,'Zgłoszenia'!$D$5:$D$504,"&lt;="&amp;(A1974+1)))</f>
        <v/>
      </c>
      <c r="L1974" s="63">
        <f>IF(OR(H1974="",K1974=0),"—",IF(ISNUMBER(MATCH(H1974,'Zgłoszenia'!$S$5:$S$504,0)),RIGHT("0"&amp;DAY(A1974),2)&amp;"."&amp;RIGHT("0"&amp;MONTH(A1974),2)&amp;"."&amp;YEAR(A1974)&amp;": "&amp;INDEX('Zgłoszenia'!$H$5:$H$504,MATCH(H1974,'Zgłoszenia'!$S$5:$S$504,0)),RIGHT("0"&amp;DAY((A1974+1)),2)&amp;"."&amp;RIGHT("0"&amp;MONTH((A1974+1)),2)&amp;"."&amp;YEAR((A1974+1))&amp;": "&amp;INDEX('Zgłoszenia'!$H$5:$H$504,MATCH(F1974&amp;"|"&amp;(A1974+1),'Zgłoszenia'!$S$5:$S$504,0)))&amp;IF(K1974&gt;1," (+"&amp;(K1974-1)&amp;")",""))</f>
        <v/>
      </c>
      <c r="M1974" s="63" t="n">
        <v>25</v>
      </c>
      <c r="N1974" s="2" t="n"/>
      <c r="O1974" s="2" t="n"/>
    </row>
    <row r="1975">
      <c r="A1975" s="62">
        <f>IF('25'!$C$1="","",'25'!$C$1)</f>
        <v/>
      </c>
      <c r="B1975" s="63">
        <f>Ustawienia!$A$9&amp;""</f>
        <v/>
      </c>
      <c r="C1975" s="63">
        <f>Ustawienia!$A$14&amp;""</f>
        <v/>
      </c>
      <c r="D1975" s="63" t="n">
        <v>3</v>
      </c>
      <c r="E1975" s="63">
        <f>IF('25'!F8="","",TRIM('25'!F8&amp;""))</f>
        <v/>
      </c>
      <c r="F1975" s="63">
        <f>IF('25'!G8="","",'25'!G8)</f>
        <v/>
      </c>
      <c r="G1975" s="63">
        <f>'25'!H8&amp;""</f>
        <v/>
      </c>
      <c r="H1975" s="63">
        <f>IF(OR(A1975="",F1975=""),"",F1975&amp;"|"&amp;A1975)</f>
        <v/>
      </c>
      <c r="I1975" s="63">
        <f>IF(AND(H1975&lt;&gt;"",OR('Historia wózka'!$B$4="",F1975='Historia wózka'!$B$4),A1975&gt;='Historia wózka'!$B$5,A1975&lt;='Historia wózka'!$B$6),A1975+0.8+(5000-ROW())/10000000,0)</f>
        <v/>
      </c>
      <c r="J1975" s="63">
        <f>Ustawienia!$B$9&amp;""</f>
        <v/>
      </c>
      <c r="K1975" s="63">
        <f>IF(H1975="","",COUNTIFS('Zgłoszenia'!$B$5:$B$504,F1975,'Zgłoszenia'!$D$5:$D$504,"&gt;="&amp;A1975,'Zgłoszenia'!$D$5:$D$504,"&lt;="&amp;(A1975+1)))</f>
        <v/>
      </c>
      <c r="L1975" s="63">
        <f>IF(OR(H1975="",K1975=0),"—",IF(ISNUMBER(MATCH(H1975,'Zgłoszenia'!$S$5:$S$504,0)),RIGHT("0"&amp;DAY(A1975),2)&amp;"."&amp;RIGHT("0"&amp;MONTH(A1975),2)&amp;"."&amp;YEAR(A1975)&amp;": "&amp;INDEX('Zgłoszenia'!$H$5:$H$504,MATCH(H1975,'Zgłoszenia'!$S$5:$S$504,0)),RIGHT("0"&amp;DAY((A1975+1)),2)&amp;"."&amp;RIGHT("0"&amp;MONTH((A1975+1)),2)&amp;"."&amp;YEAR((A1975+1))&amp;": "&amp;INDEX('Zgłoszenia'!$H$5:$H$504,MATCH(F1975&amp;"|"&amp;(A1975+1),'Zgłoszenia'!$S$5:$S$504,0)))&amp;IF(K1975&gt;1," (+"&amp;(K1975-1)&amp;")",""))</f>
        <v/>
      </c>
      <c r="M1975" s="63" t="n">
        <v>25</v>
      </c>
      <c r="N1975" s="2" t="n"/>
      <c r="O1975" s="2" t="n"/>
    </row>
    <row r="1976">
      <c r="A1976" s="62">
        <f>IF('25'!$C$1="","",'25'!$C$1)</f>
        <v/>
      </c>
      <c r="B1976" s="63">
        <f>Ustawienia!$A$9&amp;""</f>
        <v/>
      </c>
      <c r="C1976" s="63">
        <f>Ustawienia!$A$14&amp;""</f>
        <v/>
      </c>
      <c r="D1976" s="63" t="n">
        <v>4</v>
      </c>
      <c r="E1976" s="63">
        <f>IF('25'!F9="","",TRIM('25'!F9&amp;""))</f>
        <v/>
      </c>
      <c r="F1976" s="63">
        <f>IF('25'!G9="","",'25'!G9)</f>
        <v/>
      </c>
      <c r="G1976" s="63">
        <f>'25'!H9&amp;""</f>
        <v/>
      </c>
      <c r="H1976" s="63">
        <f>IF(OR(A1976="",F1976=""),"",F1976&amp;"|"&amp;A1976)</f>
        <v/>
      </c>
      <c r="I1976" s="63">
        <f>IF(AND(H1976&lt;&gt;"",OR('Historia wózka'!$B$4="",F1976='Historia wózka'!$B$4),A1976&gt;='Historia wózka'!$B$5,A1976&lt;='Historia wózka'!$B$6),A1976+0.8+(5000-ROW())/10000000,0)</f>
        <v/>
      </c>
      <c r="J1976" s="63">
        <f>Ustawienia!$B$9&amp;""</f>
        <v/>
      </c>
      <c r="K1976" s="63">
        <f>IF(H1976="","",COUNTIFS('Zgłoszenia'!$B$5:$B$504,F1976,'Zgłoszenia'!$D$5:$D$504,"&gt;="&amp;A1976,'Zgłoszenia'!$D$5:$D$504,"&lt;="&amp;(A1976+1)))</f>
        <v/>
      </c>
      <c r="L1976" s="63">
        <f>IF(OR(H1976="",K1976=0),"—",IF(ISNUMBER(MATCH(H1976,'Zgłoszenia'!$S$5:$S$504,0)),RIGHT("0"&amp;DAY(A1976),2)&amp;"."&amp;RIGHT("0"&amp;MONTH(A1976),2)&amp;"."&amp;YEAR(A1976)&amp;": "&amp;INDEX('Zgłoszenia'!$H$5:$H$504,MATCH(H1976,'Zgłoszenia'!$S$5:$S$504,0)),RIGHT("0"&amp;DAY((A1976+1)),2)&amp;"."&amp;RIGHT("0"&amp;MONTH((A1976+1)),2)&amp;"."&amp;YEAR((A1976+1))&amp;": "&amp;INDEX('Zgłoszenia'!$H$5:$H$504,MATCH(F1976&amp;"|"&amp;(A1976+1),'Zgłoszenia'!$S$5:$S$504,0)))&amp;IF(K1976&gt;1," (+"&amp;(K1976-1)&amp;")",""))</f>
        <v/>
      </c>
      <c r="M1976" s="63" t="n">
        <v>25</v>
      </c>
      <c r="N1976" s="2" t="n"/>
      <c r="O1976" s="2" t="n"/>
    </row>
    <row r="1977">
      <c r="A1977" s="62">
        <f>IF('25'!$C$1="","",'25'!$C$1)</f>
        <v/>
      </c>
      <c r="B1977" s="63">
        <f>Ustawienia!$A$9&amp;""</f>
        <v/>
      </c>
      <c r="C1977" s="63">
        <f>Ustawienia!$A$14&amp;""</f>
        <v/>
      </c>
      <c r="D1977" s="63" t="n">
        <v>5</v>
      </c>
      <c r="E1977" s="63">
        <f>IF('25'!F10="","",TRIM('25'!F10&amp;""))</f>
        <v/>
      </c>
      <c r="F1977" s="63">
        <f>IF('25'!G10="","",'25'!G10)</f>
        <v/>
      </c>
      <c r="G1977" s="63">
        <f>'25'!H10&amp;""</f>
        <v/>
      </c>
      <c r="H1977" s="63">
        <f>IF(OR(A1977="",F1977=""),"",F1977&amp;"|"&amp;A1977)</f>
        <v/>
      </c>
      <c r="I1977" s="63">
        <f>IF(AND(H1977&lt;&gt;"",OR('Historia wózka'!$B$4="",F1977='Historia wózka'!$B$4),A1977&gt;='Historia wózka'!$B$5,A1977&lt;='Historia wózka'!$B$6),A1977+0.8+(5000-ROW())/10000000,0)</f>
        <v/>
      </c>
      <c r="J1977" s="63">
        <f>Ustawienia!$B$9&amp;""</f>
        <v/>
      </c>
      <c r="K1977" s="63">
        <f>IF(H1977="","",COUNTIFS('Zgłoszenia'!$B$5:$B$504,F1977,'Zgłoszenia'!$D$5:$D$504,"&gt;="&amp;A1977,'Zgłoszenia'!$D$5:$D$504,"&lt;="&amp;(A1977+1)))</f>
        <v/>
      </c>
      <c r="L1977" s="63">
        <f>IF(OR(H1977="",K1977=0),"—",IF(ISNUMBER(MATCH(H1977,'Zgłoszenia'!$S$5:$S$504,0)),RIGHT("0"&amp;DAY(A1977),2)&amp;"."&amp;RIGHT("0"&amp;MONTH(A1977),2)&amp;"."&amp;YEAR(A1977)&amp;": "&amp;INDEX('Zgłoszenia'!$H$5:$H$504,MATCH(H1977,'Zgłoszenia'!$S$5:$S$504,0)),RIGHT("0"&amp;DAY((A1977+1)),2)&amp;"."&amp;RIGHT("0"&amp;MONTH((A1977+1)),2)&amp;"."&amp;YEAR((A1977+1))&amp;": "&amp;INDEX('Zgłoszenia'!$H$5:$H$504,MATCH(F1977&amp;"|"&amp;(A1977+1),'Zgłoszenia'!$S$5:$S$504,0)))&amp;IF(K1977&gt;1," (+"&amp;(K1977-1)&amp;")",""))</f>
        <v/>
      </c>
      <c r="M1977" s="63" t="n">
        <v>25</v>
      </c>
      <c r="N1977" s="2" t="n"/>
      <c r="O1977" s="2" t="n"/>
    </row>
    <row r="1978">
      <c r="A1978" s="62">
        <f>IF('25'!$C$1="","",'25'!$C$1)</f>
        <v/>
      </c>
      <c r="B1978" s="63">
        <f>Ustawienia!$A$9&amp;""</f>
        <v/>
      </c>
      <c r="C1978" s="63">
        <f>Ustawienia!$A$14&amp;""</f>
        <v/>
      </c>
      <c r="D1978" s="63" t="n">
        <v>6</v>
      </c>
      <c r="E1978" s="63">
        <f>IF('25'!F11="","",TRIM('25'!F11&amp;""))</f>
        <v/>
      </c>
      <c r="F1978" s="63">
        <f>IF('25'!G11="","",'25'!G11)</f>
        <v/>
      </c>
      <c r="G1978" s="63">
        <f>'25'!H11&amp;""</f>
        <v/>
      </c>
      <c r="H1978" s="63">
        <f>IF(OR(A1978="",F1978=""),"",F1978&amp;"|"&amp;A1978)</f>
        <v/>
      </c>
      <c r="I1978" s="63">
        <f>IF(AND(H1978&lt;&gt;"",OR('Historia wózka'!$B$4="",F1978='Historia wózka'!$B$4),A1978&gt;='Historia wózka'!$B$5,A1978&lt;='Historia wózka'!$B$6),A1978+0.8+(5000-ROW())/10000000,0)</f>
        <v/>
      </c>
      <c r="J1978" s="63">
        <f>Ustawienia!$B$9&amp;""</f>
        <v/>
      </c>
      <c r="K1978" s="63">
        <f>IF(H1978="","",COUNTIFS('Zgłoszenia'!$B$5:$B$504,F1978,'Zgłoszenia'!$D$5:$D$504,"&gt;="&amp;A1978,'Zgłoszenia'!$D$5:$D$504,"&lt;="&amp;(A1978+1)))</f>
        <v/>
      </c>
      <c r="L1978" s="63">
        <f>IF(OR(H1978="",K1978=0),"—",IF(ISNUMBER(MATCH(H1978,'Zgłoszenia'!$S$5:$S$504,0)),RIGHT("0"&amp;DAY(A1978),2)&amp;"."&amp;RIGHT("0"&amp;MONTH(A1978),2)&amp;"."&amp;YEAR(A1978)&amp;": "&amp;INDEX('Zgłoszenia'!$H$5:$H$504,MATCH(H1978,'Zgłoszenia'!$S$5:$S$504,0)),RIGHT("0"&amp;DAY((A1978+1)),2)&amp;"."&amp;RIGHT("0"&amp;MONTH((A1978+1)),2)&amp;"."&amp;YEAR((A1978+1))&amp;": "&amp;INDEX('Zgłoszenia'!$H$5:$H$504,MATCH(F1978&amp;"|"&amp;(A1978+1),'Zgłoszenia'!$S$5:$S$504,0)))&amp;IF(K1978&gt;1," (+"&amp;(K1978-1)&amp;")",""))</f>
        <v/>
      </c>
      <c r="M1978" s="63" t="n">
        <v>25</v>
      </c>
      <c r="N1978" s="2" t="n"/>
      <c r="O1978" s="2" t="n"/>
    </row>
    <row r="1979">
      <c r="A1979" s="62">
        <f>IF('25'!$C$1="","",'25'!$C$1)</f>
        <v/>
      </c>
      <c r="B1979" s="63">
        <f>Ustawienia!$A$9&amp;""</f>
        <v/>
      </c>
      <c r="C1979" s="63">
        <f>Ustawienia!$A$15&amp;""</f>
        <v/>
      </c>
      <c r="D1979" s="63" t="n">
        <v>1</v>
      </c>
      <c r="E1979" s="63">
        <f>IF('25'!F13="","",TRIM('25'!F13&amp;""))</f>
        <v/>
      </c>
      <c r="F1979" s="63">
        <f>IF('25'!G13="","",'25'!G13)</f>
        <v/>
      </c>
      <c r="G1979" s="63">
        <f>'25'!H13&amp;""</f>
        <v/>
      </c>
      <c r="H1979" s="63">
        <f>IF(OR(A1979="",F1979=""),"",F1979&amp;"|"&amp;A1979)</f>
        <v/>
      </c>
      <c r="I1979" s="63">
        <f>IF(AND(H1979&lt;&gt;"",OR('Historia wózka'!$B$4="",F1979='Historia wózka'!$B$4),A1979&gt;='Historia wózka'!$B$5,A1979&lt;='Historia wózka'!$B$6),A1979+0.8+(5000-ROW())/10000000,0)</f>
        <v/>
      </c>
      <c r="J1979" s="63">
        <f>Ustawienia!$B$9&amp;""</f>
        <v/>
      </c>
      <c r="K1979" s="63">
        <f>IF(H1979="","",COUNTIFS('Zgłoszenia'!$B$5:$B$504,F1979,'Zgłoszenia'!$D$5:$D$504,"&gt;="&amp;A1979,'Zgłoszenia'!$D$5:$D$504,"&lt;="&amp;(A1979+1)))</f>
        <v/>
      </c>
      <c r="L1979" s="63">
        <f>IF(OR(H1979="",K1979=0),"—",IF(ISNUMBER(MATCH(H1979,'Zgłoszenia'!$S$5:$S$504,0)),RIGHT("0"&amp;DAY(A1979),2)&amp;"."&amp;RIGHT("0"&amp;MONTH(A1979),2)&amp;"."&amp;YEAR(A1979)&amp;": "&amp;INDEX('Zgłoszenia'!$H$5:$H$504,MATCH(H1979,'Zgłoszenia'!$S$5:$S$504,0)),RIGHT("0"&amp;DAY((A1979+1)),2)&amp;"."&amp;RIGHT("0"&amp;MONTH((A1979+1)),2)&amp;"."&amp;YEAR((A1979+1))&amp;": "&amp;INDEX('Zgłoszenia'!$H$5:$H$504,MATCH(F1979&amp;"|"&amp;(A1979+1),'Zgłoszenia'!$S$5:$S$504,0)))&amp;IF(K1979&gt;1," (+"&amp;(K1979-1)&amp;")",""))</f>
        <v/>
      </c>
      <c r="M1979" s="63" t="n">
        <v>25</v>
      </c>
      <c r="N1979" s="2" t="n"/>
      <c r="O1979" s="2" t="n"/>
    </row>
    <row r="1980">
      <c r="A1980" s="62">
        <f>IF('25'!$C$1="","",'25'!$C$1)</f>
        <v/>
      </c>
      <c r="B1980" s="63">
        <f>Ustawienia!$A$9&amp;""</f>
        <v/>
      </c>
      <c r="C1980" s="63">
        <f>Ustawienia!$A$15&amp;""</f>
        <v/>
      </c>
      <c r="D1980" s="63" t="n">
        <v>2</v>
      </c>
      <c r="E1980" s="63">
        <f>IF('25'!F14="","",TRIM('25'!F14&amp;""))</f>
        <v/>
      </c>
      <c r="F1980" s="63">
        <f>IF('25'!G14="","",'25'!G14)</f>
        <v/>
      </c>
      <c r="G1980" s="63">
        <f>'25'!H14&amp;""</f>
        <v/>
      </c>
      <c r="H1980" s="63">
        <f>IF(OR(A1980="",F1980=""),"",F1980&amp;"|"&amp;A1980)</f>
        <v/>
      </c>
      <c r="I1980" s="63">
        <f>IF(AND(H1980&lt;&gt;"",OR('Historia wózka'!$B$4="",F1980='Historia wózka'!$B$4),A1980&gt;='Historia wózka'!$B$5,A1980&lt;='Historia wózka'!$B$6),A1980+0.8+(5000-ROW())/10000000,0)</f>
        <v/>
      </c>
      <c r="J1980" s="63">
        <f>Ustawienia!$B$9&amp;""</f>
        <v/>
      </c>
      <c r="K1980" s="63">
        <f>IF(H1980="","",COUNTIFS('Zgłoszenia'!$B$5:$B$504,F1980,'Zgłoszenia'!$D$5:$D$504,"&gt;="&amp;A1980,'Zgłoszenia'!$D$5:$D$504,"&lt;="&amp;(A1980+1)))</f>
        <v/>
      </c>
      <c r="L1980" s="63">
        <f>IF(OR(H1980="",K1980=0),"—",IF(ISNUMBER(MATCH(H1980,'Zgłoszenia'!$S$5:$S$504,0)),RIGHT("0"&amp;DAY(A1980),2)&amp;"."&amp;RIGHT("0"&amp;MONTH(A1980),2)&amp;"."&amp;YEAR(A1980)&amp;": "&amp;INDEX('Zgłoszenia'!$H$5:$H$504,MATCH(H1980,'Zgłoszenia'!$S$5:$S$504,0)),RIGHT("0"&amp;DAY((A1980+1)),2)&amp;"."&amp;RIGHT("0"&amp;MONTH((A1980+1)),2)&amp;"."&amp;YEAR((A1980+1))&amp;": "&amp;INDEX('Zgłoszenia'!$H$5:$H$504,MATCH(F1980&amp;"|"&amp;(A1980+1),'Zgłoszenia'!$S$5:$S$504,0)))&amp;IF(K1980&gt;1," (+"&amp;(K1980-1)&amp;")",""))</f>
        <v/>
      </c>
      <c r="M1980" s="63" t="n">
        <v>25</v>
      </c>
      <c r="N1980" s="2" t="n"/>
      <c r="O1980" s="2" t="n"/>
    </row>
    <row r="1981">
      <c r="A1981" s="62">
        <f>IF('25'!$C$1="","",'25'!$C$1)</f>
        <v/>
      </c>
      <c r="B1981" s="63">
        <f>Ustawienia!$A$9&amp;""</f>
        <v/>
      </c>
      <c r="C1981" s="63">
        <f>Ustawienia!$A$15&amp;""</f>
        <v/>
      </c>
      <c r="D1981" s="63" t="n">
        <v>3</v>
      </c>
      <c r="E1981" s="63">
        <f>IF('25'!F15="","",TRIM('25'!F15&amp;""))</f>
        <v/>
      </c>
      <c r="F1981" s="63">
        <f>IF('25'!G15="","",'25'!G15)</f>
        <v/>
      </c>
      <c r="G1981" s="63">
        <f>'25'!H15&amp;""</f>
        <v/>
      </c>
      <c r="H1981" s="63">
        <f>IF(OR(A1981="",F1981=""),"",F1981&amp;"|"&amp;A1981)</f>
        <v/>
      </c>
      <c r="I1981" s="63">
        <f>IF(AND(H1981&lt;&gt;"",OR('Historia wózka'!$B$4="",F1981='Historia wózka'!$B$4),A1981&gt;='Historia wózka'!$B$5,A1981&lt;='Historia wózka'!$B$6),A1981+0.8+(5000-ROW())/10000000,0)</f>
        <v/>
      </c>
      <c r="J1981" s="63">
        <f>Ustawienia!$B$9&amp;""</f>
        <v/>
      </c>
      <c r="K1981" s="63">
        <f>IF(H1981="","",COUNTIFS('Zgłoszenia'!$B$5:$B$504,F1981,'Zgłoszenia'!$D$5:$D$504,"&gt;="&amp;A1981,'Zgłoszenia'!$D$5:$D$504,"&lt;="&amp;(A1981+1)))</f>
        <v/>
      </c>
      <c r="L1981" s="63">
        <f>IF(OR(H1981="",K1981=0),"—",IF(ISNUMBER(MATCH(H1981,'Zgłoszenia'!$S$5:$S$504,0)),RIGHT("0"&amp;DAY(A1981),2)&amp;"."&amp;RIGHT("0"&amp;MONTH(A1981),2)&amp;"."&amp;YEAR(A1981)&amp;": "&amp;INDEX('Zgłoszenia'!$H$5:$H$504,MATCH(H1981,'Zgłoszenia'!$S$5:$S$504,0)),RIGHT("0"&amp;DAY((A1981+1)),2)&amp;"."&amp;RIGHT("0"&amp;MONTH((A1981+1)),2)&amp;"."&amp;YEAR((A1981+1))&amp;": "&amp;INDEX('Zgłoszenia'!$H$5:$H$504,MATCH(F1981&amp;"|"&amp;(A1981+1),'Zgłoszenia'!$S$5:$S$504,0)))&amp;IF(K1981&gt;1," (+"&amp;(K1981-1)&amp;")",""))</f>
        <v/>
      </c>
      <c r="M1981" s="63" t="n">
        <v>25</v>
      </c>
      <c r="N1981" s="2" t="n"/>
      <c r="O1981" s="2" t="n"/>
    </row>
    <row r="1982">
      <c r="A1982" s="62">
        <f>IF('25'!$C$1="","",'25'!$C$1)</f>
        <v/>
      </c>
      <c r="B1982" s="63">
        <f>Ustawienia!$A$9&amp;""</f>
        <v/>
      </c>
      <c r="C1982" s="63">
        <f>Ustawienia!$A$15&amp;""</f>
        <v/>
      </c>
      <c r="D1982" s="63" t="n">
        <v>4</v>
      </c>
      <c r="E1982" s="63">
        <f>IF('25'!F16="","",TRIM('25'!F16&amp;""))</f>
        <v/>
      </c>
      <c r="F1982" s="63">
        <f>IF('25'!G16="","",'25'!G16)</f>
        <v/>
      </c>
      <c r="G1982" s="63">
        <f>'25'!H16&amp;""</f>
        <v/>
      </c>
      <c r="H1982" s="63">
        <f>IF(OR(A1982="",F1982=""),"",F1982&amp;"|"&amp;A1982)</f>
        <v/>
      </c>
      <c r="I1982" s="63">
        <f>IF(AND(H1982&lt;&gt;"",OR('Historia wózka'!$B$4="",F1982='Historia wózka'!$B$4),A1982&gt;='Historia wózka'!$B$5,A1982&lt;='Historia wózka'!$B$6),A1982+0.8+(5000-ROW())/10000000,0)</f>
        <v/>
      </c>
      <c r="J1982" s="63">
        <f>Ustawienia!$B$9&amp;""</f>
        <v/>
      </c>
      <c r="K1982" s="63">
        <f>IF(H1982="","",COUNTIFS('Zgłoszenia'!$B$5:$B$504,F1982,'Zgłoszenia'!$D$5:$D$504,"&gt;="&amp;A1982,'Zgłoszenia'!$D$5:$D$504,"&lt;="&amp;(A1982+1)))</f>
        <v/>
      </c>
      <c r="L1982" s="63">
        <f>IF(OR(H1982="",K1982=0),"—",IF(ISNUMBER(MATCH(H1982,'Zgłoszenia'!$S$5:$S$504,0)),RIGHT("0"&amp;DAY(A1982),2)&amp;"."&amp;RIGHT("0"&amp;MONTH(A1982),2)&amp;"."&amp;YEAR(A1982)&amp;": "&amp;INDEX('Zgłoszenia'!$H$5:$H$504,MATCH(H1982,'Zgłoszenia'!$S$5:$S$504,0)),RIGHT("0"&amp;DAY((A1982+1)),2)&amp;"."&amp;RIGHT("0"&amp;MONTH((A1982+1)),2)&amp;"."&amp;YEAR((A1982+1))&amp;": "&amp;INDEX('Zgłoszenia'!$H$5:$H$504,MATCH(F1982&amp;"|"&amp;(A1982+1),'Zgłoszenia'!$S$5:$S$504,0)))&amp;IF(K1982&gt;1," (+"&amp;(K1982-1)&amp;")",""))</f>
        <v/>
      </c>
      <c r="M1982" s="63" t="n">
        <v>25</v>
      </c>
      <c r="N1982" s="2" t="n"/>
      <c r="O1982" s="2" t="n"/>
    </row>
    <row r="1983">
      <c r="A1983" s="62">
        <f>IF('25'!$C$1="","",'25'!$C$1)</f>
        <v/>
      </c>
      <c r="B1983" s="63">
        <f>Ustawienia!$A$9&amp;""</f>
        <v/>
      </c>
      <c r="C1983" s="63">
        <f>Ustawienia!$A$15&amp;""</f>
        <v/>
      </c>
      <c r="D1983" s="63" t="n">
        <v>5</v>
      </c>
      <c r="E1983" s="63">
        <f>IF('25'!F17="","",TRIM('25'!F17&amp;""))</f>
        <v/>
      </c>
      <c r="F1983" s="63">
        <f>IF('25'!G17="","",'25'!G17)</f>
        <v/>
      </c>
      <c r="G1983" s="63">
        <f>'25'!H17&amp;""</f>
        <v/>
      </c>
      <c r="H1983" s="63">
        <f>IF(OR(A1983="",F1983=""),"",F1983&amp;"|"&amp;A1983)</f>
        <v/>
      </c>
      <c r="I1983" s="63">
        <f>IF(AND(H1983&lt;&gt;"",OR('Historia wózka'!$B$4="",F1983='Historia wózka'!$B$4),A1983&gt;='Historia wózka'!$B$5,A1983&lt;='Historia wózka'!$B$6),A1983+0.8+(5000-ROW())/10000000,0)</f>
        <v/>
      </c>
      <c r="J1983" s="63">
        <f>Ustawienia!$B$9&amp;""</f>
        <v/>
      </c>
      <c r="K1983" s="63">
        <f>IF(H1983="","",COUNTIFS('Zgłoszenia'!$B$5:$B$504,F1983,'Zgłoszenia'!$D$5:$D$504,"&gt;="&amp;A1983,'Zgłoszenia'!$D$5:$D$504,"&lt;="&amp;(A1983+1)))</f>
        <v/>
      </c>
      <c r="L1983" s="63">
        <f>IF(OR(H1983="",K1983=0),"—",IF(ISNUMBER(MATCH(H1983,'Zgłoszenia'!$S$5:$S$504,0)),RIGHT("0"&amp;DAY(A1983),2)&amp;"."&amp;RIGHT("0"&amp;MONTH(A1983),2)&amp;"."&amp;YEAR(A1983)&amp;": "&amp;INDEX('Zgłoszenia'!$H$5:$H$504,MATCH(H1983,'Zgłoszenia'!$S$5:$S$504,0)),RIGHT("0"&amp;DAY((A1983+1)),2)&amp;"."&amp;RIGHT("0"&amp;MONTH((A1983+1)),2)&amp;"."&amp;YEAR((A1983+1))&amp;": "&amp;INDEX('Zgłoszenia'!$H$5:$H$504,MATCH(F1983&amp;"|"&amp;(A1983+1),'Zgłoszenia'!$S$5:$S$504,0)))&amp;IF(K1983&gt;1," (+"&amp;(K1983-1)&amp;")",""))</f>
        <v/>
      </c>
      <c r="M1983" s="63" t="n">
        <v>25</v>
      </c>
      <c r="N1983" s="2" t="n"/>
      <c r="O1983" s="2" t="n"/>
    </row>
    <row r="1984">
      <c r="A1984" s="62">
        <f>IF('25'!$C$1="","",'25'!$C$1)</f>
        <v/>
      </c>
      <c r="B1984" s="63">
        <f>Ustawienia!$A$9&amp;""</f>
        <v/>
      </c>
      <c r="C1984" s="63">
        <f>Ustawienia!$A$15&amp;""</f>
        <v/>
      </c>
      <c r="D1984" s="63" t="n">
        <v>6</v>
      </c>
      <c r="E1984" s="63">
        <f>IF('25'!F18="","",TRIM('25'!F18&amp;""))</f>
        <v/>
      </c>
      <c r="F1984" s="63">
        <f>IF('25'!G18="","",'25'!G18)</f>
        <v/>
      </c>
      <c r="G1984" s="63">
        <f>'25'!H18&amp;""</f>
        <v/>
      </c>
      <c r="H1984" s="63">
        <f>IF(OR(A1984="",F1984=""),"",F1984&amp;"|"&amp;A1984)</f>
        <v/>
      </c>
      <c r="I1984" s="63">
        <f>IF(AND(H1984&lt;&gt;"",OR('Historia wózka'!$B$4="",F1984='Historia wózka'!$B$4),A1984&gt;='Historia wózka'!$B$5,A1984&lt;='Historia wózka'!$B$6),A1984+0.8+(5000-ROW())/10000000,0)</f>
        <v/>
      </c>
      <c r="J1984" s="63">
        <f>Ustawienia!$B$9&amp;""</f>
        <v/>
      </c>
      <c r="K1984" s="63">
        <f>IF(H1984="","",COUNTIFS('Zgłoszenia'!$B$5:$B$504,F1984,'Zgłoszenia'!$D$5:$D$504,"&gt;="&amp;A1984,'Zgłoszenia'!$D$5:$D$504,"&lt;="&amp;(A1984+1)))</f>
        <v/>
      </c>
      <c r="L1984" s="63">
        <f>IF(OR(H1984="",K1984=0),"—",IF(ISNUMBER(MATCH(H1984,'Zgłoszenia'!$S$5:$S$504,0)),RIGHT("0"&amp;DAY(A1984),2)&amp;"."&amp;RIGHT("0"&amp;MONTH(A1984),2)&amp;"."&amp;YEAR(A1984)&amp;": "&amp;INDEX('Zgłoszenia'!$H$5:$H$504,MATCH(H1984,'Zgłoszenia'!$S$5:$S$504,0)),RIGHT("0"&amp;DAY((A1984+1)),2)&amp;"."&amp;RIGHT("0"&amp;MONTH((A1984+1)),2)&amp;"."&amp;YEAR((A1984+1))&amp;": "&amp;INDEX('Zgłoszenia'!$H$5:$H$504,MATCH(F1984&amp;"|"&amp;(A1984+1),'Zgłoszenia'!$S$5:$S$504,0)))&amp;IF(K1984&gt;1," (+"&amp;(K1984-1)&amp;")",""))</f>
        <v/>
      </c>
      <c r="M1984" s="63" t="n">
        <v>25</v>
      </c>
      <c r="N1984" s="2" t="n"/>
      <c r="O1984" s="2" t="n"/>
    </row>
    <row r="1985">
      <c r="A1985" s="62">
        <f>IF('25'!$C$1="","",'25'!$C$1)</f>
        <v/>
      </c>
      <c r="B1985" s="63">
        <f>Ustawienia!$A$9&amp;""</f>
        <v/>
      </c>
      <c r="C1985" s="63">
        <f>Ustawienia!$A$15&amp;""</f>
        <v/>
      </c>
      <c r="D1985" s="63" t="n">
        <v>7</v>
      </c>
      <c r="E1985" s="63">
        <f>IF('25'!F19="","",TRIM('25'!F19&amp;""))</f>
        <v/>
      </c>
      <c r="F1985" s="63">
        <f>IF('25'!G19="","",'25'!G19)</f>
        <v/>
      </c>
      <c r="G1985" s="63">
        <f>'25'!H19&amp;""</f>
        <v/>
      </c>
      <c r="H1985" s="63">
        <f>IF(OR(A1985="",F1985=""),"",F1985&amp;"|"&amp;A1985)</f>
        <v/>
      </c>
      <c r="I1985" s="63">
        <f>IF(AND(H1985&lt;&gt;"",OR('Historia wózka'!$B$4="",F1985='Historia wózka'!$B$4),A1985&gt;='Historia wózka'!$B$5,A1985&lt;='Historia wózka'!$B$6),A1985+0.8+(5000-ROW())/10000000,0)</f>
        <v/>
      </c>
      <c r="J1985" s="63">
        <f>Ustawienia!$B$9&amp;""</f>
        <v/>
      </c>
      <c r="K1985" s="63">
        <f>IF(H1985="","",COUNTIFS('Zgłoszenia'!$B$5:$B$504,F1985,'Zgłoszenia'!$D$5:$D$504,"&gt;="&amp;A1985,'Zgłoszenia'!$D$5:$D$504,"&lt;="&amp;(A1985+1)))</f>
        <v/>
      </c>
      <c r="L1985" s="63">
        <f>IF(OR(H1985="",K1985=0),"—",IF(ISNUMBER(MATCH(H1985,'Zgłoszenia'!$S$5:$S$504,0)),RIGHT("0"&amp;DAY(A1985),2)&amp;"."&amp;RIGHT("0"&amp;MONTH(A1985),2)&amp;"."&amp;YEAR(A1985)&amp;": "&amp;INDEX('Zgłoszenia'!$H$5:$H$504,MATCH(H1985,'Zgłoszenia'!$S$5:$S$504,0)),RIGHT("0"&amp;DAY((A1985+1)),2)&amp;"."&amp;RIGHT("0"&amp;MONTH((A1985+1)),2)&amp;"."&amp;YEAR((A1985+1))&amp;": "&amp;INDEX('Zgłoszenia'!$H$5:$H$504,MATCH(F1985&amp;"|"&amp;(A1985+1),'Zgłoszenia'!$S$5:$S$504,0)))&amp;IF(K1985&gt;1," (+"&amp;(K1985-1)&amp;")",""))</f>
        <v/>
      </c>
      <c r="M1985" s="63" t="n">
        <v>25</v>
      </c>
      <c r="N1985" s="2" t="n"/>
      <c r="O1985" s="2" t="n"/>
    </row>
    <row r="1986">
      <c r="A1986" s="62">
        <f>IF('25'!$C$1="","",'25'!$C$1)</f>
        <v/>
      </c>
      <c r="B1986" s="63">
        <f>Ustawienia!$A$9&amp;""</f>
        <v/>
      </c>
      <c r="C1986" s="63">
        <f>Ustawienia!$A$15&amp;""</f>
        <v/>
      </c>
      <c r="D1986" s="63" t="n">
        <v>8</v>
      </c>
      <c r="E1986" s="63">
        <f>IF('25'!F20="","",TRIM('25'!F20&amp;""))</f>
        <v/>
      </c>
      <c r="F1986" s="63">
        <f>IF('25'!G20="","",'25'!G20)</f>
        <v/>
      </c>
      <c r="G1986" s="63">
        <f>'25'!H20&amp;""</f>
        <v/>
      </c>
      <c r="H1986" s="63">
        <f>IF(OR(A1986="",F1986=""),"",F1986&amp;"|"&amp;A1986)</f>
        <v/>
      </c>
      <c r="I1986" s="63">
        <f>IF(AND(H1986&lt;&gt;"",OR('Historia wózka'!$B$4="",F1986='Historia wózka'!$B$4),A1986&gt;='Historia wózka'!$B$5,A1986&lt;='Historia wózka'!$B$6),A1986+0.8+(5000-ROW())/10000000,0)</f>
        <v/>
      </c>
      <c r="J1986" s="63">
        <f>Ustawienia!$B$9&amp;""</f>
        <v/>
      </c>
      <c r="K1986" s="63">
        <f>IF(H1986="","",COUNTIFS('Zgłoszenia'!$B$5:$B$504,F1986,'Zgłoszenia'!$D$5:$D$504,"&gt;="&amp;A1986,'Zgłoszenia'!$D$5:$D$504,"&lt;="&amp;(A1986+1)))</f>
        <v/>
      </c>
      <c r="L1986" s="63">
        <f>IF(OR(H1986="",K1986=0),"—",IF(ISNUMBER(MATCH(H1986,'Zgłoszenia'!$S$5:$S$504,0)),RIGHT("0"&amp;DAY(A1986),2)&amp;"."&amp;RIGHT("0"&amp;MONTH(A1986),2)&amp;"."&amp;YEAR(A1986)&amp;": "&amp;INDEX('Zgłoszenia'!$H$5:$H$504,MATCH(H1986,'Zgłoszenia'!$S$5:$S$504,0)),RIGHT("0"&amp;DAY((A1986+1)),2)&amp;"."&amp;RIGHT("0"&amp;MONTH((A1986+1)),2)&amp;"."&amp;YEAR((A1986+1))&amp;": "&amp;INDEX('Zgłoszenia'!$H$5:$H$504,MATCH(F1986&amp;"|"&amp;(A1986+1),'Zgłoszenia'!$S$5:$S$504,0)))&amp;IF(K1986&gt;1," (+"&amp;(K1986-1)&amp;")",""))</f>
        <v/>
      </c>
      <c r="M1986" s="63" t="n">
        <v>25</v>
      </c>
      <c r="N1986" s="2" t="n"/>
      <c r="O1986" s="2" t="n"/>
    </row>
    <row r="1987">
      <c r="A1987" s="62">
        <f>IF('25'!$C$1="","",'25'!$C$1)</f>
        <v/>
      </c>
      <c r="B1987" s="63">
        <f>Ustawienia!$A$9&amp;""</f>
        <v/>
      </c>
      <c r="C1987" s="63">
        <f>Ustawienia!$A$16&amp;""</f>
        <v/>
      </c>
      <c r="D1987" s="63" t="n">
        <v>1</v>
      </c>
      <c r="E1987" s="63">
        <f>IF('25'!F22="","",TRIM('25'!F22&amp;""))</f>
        <v/>
      </c>
      <c r="F1987" s="63">
        <f>IF('25'!G22="","",'25'!G22)</f>
        <v/>
      </c>
      <c r="G1987" s="63">
        <f>'25'!H22&amp;""</f>
        <v/>
      </c>
      <c r="H1987" s="63">
        <f>IF(OR(A1987="",F1987=""),"",F1987&amp;"|"&amp;A1987)</f>
        <v/>
      </c>
      <c r="I1987" s="63">
        <f>IF(AND(H1987&lt;&gt;"",OR('Historia wózka'!$B$4="",F1987='Historia wózka'!$B$4),A1987&gt;='Historia wózka'!$B$5,A1987&lt;='Historia wózka'!$B$6),A1987+0.8+(5000-ROW())/10000000,0)</f>
        <v/>
      </c>
      <c r="J1987" s="63">
        <f>Ustawienia!$B$9&amp;""</f>
        <v/>
      </c>
      <c r="K1987" s="63">
        <f>IF(H1987="","",COUNTIFS('Zgłoszenia'!$B$5:$B$504,F1987,'Zgłoszenia'!$D$5:$D$504,"&gt;="&amp;A1987,'Zgłoszenia'!$D$5:$D$504,"&lt;="&amp;(A1987+1)))</f>
        <v/>
      </c>
      <c r="L1987" s="63">
        <f>IF(OR(H1987="",K1987=0),"—",IF(ISNUMBER(MATCH(H1987,'Zgłoszenia'!$S$5:$S$504,0)),RIGHT("0"&amp;DAY(A1987),2)&amp;"."&amp;RIGHT("0"&amp;MONTH(A1987),2)&amp;"."&amp;YEAR(A1987)&amp;": "&amp;INDEX('Zgłoszenia'!$H$5:$H$504,MATCH(H1987,'Zgłoszenia'!$S$5:$S$504,0)),RIGHT("0"&amp;DAY((A1987+1)),2)&amp;"."&amp;RIGHT("0"&amp;MONTH((A1987+1)),2)&amp;"."&amp;YEAR((A1987+1))&amp;": "&amp;INDEX('Zgłoszenia'!$H$5:$H$504,MATCH(F1987&amp;"|"&amp;(A1987+1),'Zgłoszenia'!$S$5:$S$504,0)))&amp;IF(K1987&gt;1," (+"&amp;(K1987-1)&amp;")",""))</f>
        <v/>
      </c>
      <c r="M1987" s="63" t="n">
        <v>25</v>
      </c>
      <c r="N1987" s="2" t="n"/>
      <c r="O1987" s="2" t="n"/>
    </row>
    <row r="1988">
      <c r="A1988" s="62">
        <f>IF('25'!$C$1="","",'25'!$C$1)</f>
        <v/>
      </c>
      <c r="B1988" s="63">
        <f>Ustawienia!$A$9&amp;""</f>
        <v/>
      </c>
      <c r="C1988" s="63">
        <f>Ustawienia!$A$16&amp;""</f>
        <v/>
      </c>
      <c r="D1988" s="63" t="n">
        <v>2</v>
      </c>
      <c r="E1988" s="63">
        <f>IF('25'!F23="","",TRIM('25'!F23&amp;""))</f>
        <v/>
      </c>
      <c r="F1988" s="63">
        <f>IF('25'!G23="","",'25'!G23)</f>
        <v/>
      </c>
      <c r="G1988" s="63">
        <f>'25'!H23&amp;""</f>
        <v/>
      </c>
      <c r="H1988" s="63">
        <f>IF(OR(A1988="",F1988=""),"",F1988&amp;"|"&amp;A1988)</f>
        <v/>
      </c>
      <c r="I1988" s="63">
        <f>IF(AND(H1988&lt;&gt;"",OR('Historia wózka'!$B$4="",F1988='Historia wózka'!$B$4),A1988&gt;='Historia wózka'!$B$5,A1988&lt;='Historia wózka'!$B$6),A1988+0.8+(5000-ROW())/10000000,0)</f>
        <v/>
      </c>
      <c r="J1988" s="63">
        <f>Ustawienia!$B$9&amp;""</f>
        <v/>
      </c>
      <c r="K1988" s="63">
        <f>IF(H1988="","",COUNTIFS('Zgłoszenia'!$B$5:$B$504,F1988,'Zgłoszenia'!$D$5:$D$504,"&gt;="&amp;A1988,'Zgłoszenia'!$D$5:$D$504,"&lt;="&amp;(A1988+1)))</f>
        <v/>
      </c>
      <c r="L1988" s="63">
        <f>IF(OR(H1988="",K1988=0),"—",IF(ISNUMBER(MATCH(H1988,'Zgłoszenia'!$S$5:$S$504,0)),RIGHT("0"&amp;DAY(A1988),2)&amp;"."&amp;RIGHT("0"&amp;MONTH(A1988),2)&amp;"."&amp;YEAR(A1988)&amp;": "&amp;INDEX('Zgłoszenia'!$H$5:$H$504,MATCH(H1988,'Zgłoszenia'!$S$5:$S$504,0)),RIGHT("0"&amp;DAY((A1988+1)),2)&amp;"."&amp;RIGHT("0"&amp;MONTH((A1988+1)),2)&amp;"."&amp;YEAR((A1988+1))&amp;": "&amp;INDEX('Zgłoszenia'!$H$5:$H$504,MATCH(F1988&amp;"|"&amp;(A1988+1),'Zgłoszenia'!$S$5:$S$504,0)))&amp;IF(K1988&gt;1," (+"&amp;(K1988-1)&amp;")",""))</f>
        <v/>
      </c>
      <c r="M1988" s="63" t="n">
        <v>25</v>
      </c>
      <c r="N1988" s="2" t="n"/>
      <c r="O1988" s="2" t="n"/>
    </row>
    <row r="1989">
      <c r="A1989" s="62">
        <f>IF('25'!$C$1="","",'25'!$C$1)</f>
        <v/>
      </c>
      <c r="B1989" s="63">
        <f>Ustawienia!$A$9&amp;""</f>
        <v/>
      </c>
      <c r="C1989" s="63">
        <f>Ustawienia!$A$16&amp;""</f>
        <v/>
      </c>
      <c r="D1989" s="63" t="n">
        <v>3</v>
      </c>
      <c r="E1989" s="63">
        <f>IF('25'!F24="","",TRIM('25'!F24&amp;""))</f>
        <v/>
      </c>
      <c r="F1989" s="63">
        <f>IF('25'!G24="","",'25'!G24)</f>
        <v/>
      </c>
      <c r="G1989" s="63">
        <f>'25'!H24&amp;""</f>
        <v/>
      </c>
      <c r="H1989" s="63">
        <f>IF(OR(A1989="",F1989=""),"",F1989&amp;"|"&amp;A1989)</f>
        <v/>
      </c>
      <c r="I1989" s="63">
        <f>IF(AND(H1989&lt;&gt;"",OR('Historia wózka'!$B$4="",F1989='Historia wózka'!$B$4),A1989&gt;='Historia wózka'!$B$5,A1989&lt;='Historia wózka'!$B$6),A1989+0.8+(5000-ROW())/10000000,0)</f>
        <v/>
      </c>
      <c r="J1989" s="63">
        <f>Ustawienia!$B$9&amp;""</f>
        <v/>
      </c>
      <c r="K1989" s="63">
        <f>IF(H1989="","",COUNTIFS('Zgłoszenia'!$B$5:$B$504,F1989,'Zgłoszenia'!$D$5:$D$504,"&gt;="&amp;A1989,'Zgłoszenia'!$D$5:$D$504,"&lt;="&amp;(A1989+1)))</f>
        <v/>
      </c>
      <c r="L1989" s="63">
        <f>IF(OR(H1989="",K1989=0),"—",IF(ISNUMBER(MATCH(H1989,'Zgłoszenia'!$S$5:$S$504,0)),RIGHT("0"&amp;DAY(A1989),2)&amp;"."&amp;RIGHT("0"&amp;MONTH(A1989),2)&amp;"."&amp;YEAR(A1989)&amp;": "&amp;INDEX('Zgłoszenia'!$H$5:$H$504,MATCH(H1989,'Zgłoszenia'!$S$5:$S$504,0)),RIGHT("0"&amp;DAY((A1989+1)),2)&amp;"."&amp;RIGHT("0"&amp;MONTH((A1989+1)),2)&amp;"."&amp;YEAR((A1989+1))&amp;": "&amp;INDEX('Zgłoszenia'!$H$5:$H$504,MATCH(F1989&amp;"|"&amp;(A1989+1),'Zgłoszenia'!$S$5:$S$504,0)))&amp;IF(K1989&gt;1," (+"&amp;(K1989-1)&amp;")",""))</f>
        <v/>
      </c>
      <c r="M1989" s="63" t="n">
        <v>25</v>
      </c>
      <c r="N1989" s="2" t="n"/>
      <c r="O1989" s="2" t="n"/>
    </row>
    <row r="1990">
      <c r="A1990" s="62">
        <f>IF('25'!$C$1="","",'25'!$C$1)</f>
        <v/>
      </c>
      <c r="B1990" s="63">
        <f>Ustawienia!$A$9&amp;""</f>
        <v/>
      </c>
      <c r="C1990" s="63">
        <f>Ustawienia!$A$16&amp;""</f>
        <v/>
      </c>
      <c r="D1990" s="63" t="n">
        <v>4</v>
      </c>
      <c r="E1990" s="63">
        <f>IF('25'!F25="","",TRIM('25'!F25&amp;""))</f>
        <v/>
      </c>
      <c r="F1990" s="63">
        <f>IF('25'!G25="","",'25'!G25)</f>
        <v/>
      </c>
      <c r="G1990" s="63">
        <f>'25'!H25&amp;""</f>
        <v/>
      </c>
      <c r="H1990" s="63">
        <f>IF(OR(A1990="",F1990=""),"",F1990&amp;"|"&amp;A1990)</f>
        <v/>
      </c>
      <c r="I1990" s="63">
        <f>IF(AND(H1990&lt;&gt;"",OR('Historia wózka'!$B$4="",F1990='Historia wózka'!$B$4),A1990&gt;='Historia wózka'!$B$5,A1990&lt;='Historia wózka'!$B$6),A1990+0.8+(5000-ROW())/10000000,0)</f>
        <v/>
      </c>
      <c r="J1990" s="63">
        <f>Ustawienia!$B$9&amp;""</f>
        <v/>
      </c>
      <c r="K1990" s="63">
        <f>IF(H1990="","",COUNTIFS('Zgłoszenia'!$B$5:$B$504,F1990,'Zgłoszenia'!$D$5:$D$504,"&gt;="&amp;A1990,'Zgłoszenia'!$D$5:$D$504,"&lt;="&amp;(A1990+1)))</f>
        <v/>
      </c>
      <c r="L1990" s="63">
        <f>IF(OR(H1990="",K1990=0),"—",IF(ISNUMBER(MATCH(H1990,'Zgłoszenia'!$S$5:$S$504,0)),RIGHT("0"&amp;DAY(A1990),2)&amp;"."&amp;RIGHT("0"&amp;MONTH(A1990),2)&amp;"."&amp;YEAR(A1990)&amp;": "&amp;INDEX('Zgłoszenia'!$H$5:$H$504,MATCH(H1990,'Zgłoszenia'!$S$5:$S$504,0)),RIGHT("0"&amp;DAY((A1990+1)),2)&amp;"."&amp;RIGHT("0"&amp;MONTH((A1990+1)),2)&amp;"."&amp;YEAR((A1990+1))&amp;": "&amp;INDEX('Zgłoszenia'!$H$5:$H$504,MATCH(F1990&amp;"|"&amp;(A1990+1),'Zgłoszenia'!$S$5:$S$504,0)))&amp;IF(K1990&gt;1," (+"&amp;(K1990-1)&amp;")",""))</f>
        <v/>
      </c>
      <c r="M1990" s="63" t="n">
        <v>25</v>
      </c>
      <c r="N1990" s="2" t="n"/>
      <c r="O1990" s="2" t="n"/>
    </row>
    <row r="1991">
      <c r="A1991" s="62">
        <f>IF('25'!$C$1="","",'25'!$C$1)</f>
        <v/>
      </c>
      <c r="B1991" s="63">
        <f>Ustawienia!$A$9&amp;""</f>
        <v/>
      </c>
      <c r="C1991" s="63">
        <f>Ustawienia!$A$17&amp;""</f>
        <v/>
      </c>
      <c r="D1991" s="63" t="n">
        <v>1</v>
      </c>
      <c r="E1991" s="63">
        <f>IF('25'!F27="","",TRIM('25'!F27&amp;""))</f>
        <v/>
      </c>
      <c r="F1991" s="63">
        <f>IF('25'!G27="","",'25'!G27)</f>
        <v/>
      </c>
      <c r="G1991" s="63">
        <f>'25'!H27&amp;""</f>
        <v/>
      </c>
      <c r="H1991" s="63">
        <f>IF(OR(A1991="",F1991=""),"",F1991&amp;"|"&amp;A1991)</f>
        <v/>
      </c>
      <c r="I1991" s="63">
        <f>IF(AND(H1991&lt;&gt;"",OR('Historia wózka'!$B$4="",F1991='Historia wózka'!$B$4),A1991&gt;='Historia wózka'!$B$5,A1991&lt;='Historia wózka'!$B$6),A1991+0.8+(5000-ROW())/10000000,0)</f>
        <v/>
      </c>
      <c r="J1991" s="63">
        <f>Ustawienia!$B$9&amp;""</f>
        <v/>
      </c>
      <c r="K1991" s="63">
        <f>IF(H1991="","",COUNTIFS('Zgłoszenia'!$B$5:$B$504,F1991,'Zgłoszenia'!$D$5:$D$504,"&gt;="&amp;A1991,'Zgłoszenia'!$D$5:$D$504,"&lt;="&amp;(A1991+1)))</f>
        <v/>
      </c>
      <c r="L1991" s="63">
        <f>IF(OR(H1991="",K1991=0),"—",IF(ISNUMBER(MATCH(H1991,'Zgłoszenia'!$S$5:$S$504,0)),RIGHT("0"&amp;DAY(A1991),2)&amp;"."&amp;RIGHT("0"&amp;MONTH(A1991),2)&amp;"."&amp;YEAR(A1991)&amp;": "&amp;INDEX('Zgłoszenia'!$H$5:$H$504,MATCH(H1991,'Zgłoszenia'!$S$5:$S$504,0)),RIGHT("0"&amp;DAY((A1991+1)),2)&amp;"."&amp;RIGHT("0"&amp;MONTH((A1991+1)),2)&amp;"."&amp;YEAR((A1991+1))&amp;": "&amp;INDEX('Zgłoszenia'!$H$5:$H$504,MATCH(F1991&amp;"|"&amp;(A1991+1),'Zgłoszenia'!$S$5:$S$504,0)))&amp;IF(K1991&gt;1," (+"&amp;(K1991-1)&amp;")",""))</f>
        <v/>
      </c>
      <c r="M1991" s="63" t="n">
        <v>25</v>
      </c>
      <c r="N1991" s="2" t="n"/>
      <c r="O1991" s="2" t="n"/>
    </row>
    <row r="1992">
      <c r="A1992" s="62">
        <f>IF('25'!$C$1="","",'25'!$C$1)</f>
        <v/>
      </c>
      <c r="B1992" s="63">
        <f>Ustawienia!$A$9&amp;""</f>
        <v/>
      </c>
      <c r="C1992" s="63">
        <f>Ustawienia!$A$17&amp;""</f>
        <v/>
      </c>
      <c r="D1992" s="63" t="n">
        <v>2</v>
      </c>
      <c r="E1992" s="63">
        <f>IF('25'!F28="","",TRIM('25'!F28&amp;""))</f>
        <v/>
      </c>
      <c r="F1992" s="63">
        <f>IF('25'!G28="","",'25'!G28)</f>
        <v/>
      </c>
      <c r="G1992" s="63">
        <f>'25'!H28&amp;""</f>
        <v/>
      </c>
      <c r="H1992" s="63">
        <f>IF(OR(A1992="",F1992=""),"",F1992&amp;"|"&amp;A1992)</f>
        <v/>
      </c>
      <c r="I1992" s="63">
        <f>IF(AND(H1992&lt;&gt;"",OR('Historia wózka'!$B$4="",F1992='Historia wózka'!$B$4),A1992&gt;='Historia wózka'!$B$5,A1992&lt;='Historia wózka'!$B$6),A1992+0.8+(5000-ROW())/10000000,0)</f>
        <v/>
      </c>
      <c r="J1992" s="63">
        <f>Ustawienia!$B$9&amp;""</f>
        <v/>
      </c>
      <c r="K1992" s="63">
        <f>IF(H1992="","",COUNTIFS('Zgłoszenia'!$B$5:$B$504,F1992,'Zgłoszenia'!$D$5:$D$504,"&gt;="&amp;A1992,'Zgłoszenia'!$D$5:$D$504,"&lt;="&amp;(A1992+1)))</f>
        <v/>
      </c>
      <c r="L1992" s="63">
        <f>IF(OR(H1992="",K1992=0),"—",IF(ISNUMBER(MATCH(H1992,'Zgłoszenia'!$S$5:$S$504,0)),RIGHT("0"&amp;DAY(A1992),2)&amp;"."&amp;RIGHT("0"&amp;MONTH(A1992),2)&amp;"."&amp;YEAR(A1992)&amp;": "&amp;INDEX('Zgłoszenia'!$H$5:$H$504,MATCH(H1992,'Zgłoszenia'!$S$5:$S$504,0)),RIGHT("0"&amp;DAY((A1992+1)),2)&amp;"."&amp;RIGHT("0"&amp;MONTH((A1992+1)),2)&amp;"."&amp;YEAR((A1992+1))&amp;": "&amp;INDEX('Zgłoszenia'!$H$5:$H$504,MATCH(F1992&amp;"|"&amp;(A1992+1),'Zgłoszenia'!$S$5:$S$504,0)))&amp;IF(K1992&gt;1," (+"&amp;(K1992-1)&amp;")",""))</f>
        <v/>
      </c>
      <c r="M1992" s="63" t="n">
        <v>25</v>
      </c>
      <c r="N1992" s="2" t="n"/>
      <c r="O1992" s="2" t="n"/>
    </row>
    <row r="1993">
      <c r="A1993" s="62">
        <f>IF('25'!$C$1="","",'25'!$C$1)</f>
        <v/>
      </c>
      <c r="B1993" s="63">
        <f>Ustawienia!$A$9&amp;""</f>
        <v/>
      </c>
      <c r="C1993" s="63">
        <f>Ustawienia!$A$17&amp;""</f>
        <v/>
      </c>
      <c r="D1993" s="63" t="n">
        <v>3</v>
      </c>
      <c r="E1993" s="63">
        <f>IF('25'!F29="","",TRIM('25'!F29&amp;""))</f>
        <v/>
      </c>
      <c r="F1993" s="63">
        <f>IF('25'!G29="","",'25'!G29)</f>
        <v/>
      </c>
      <c r="G1993" s="63">
        <f>'25'!H29&amp;""</f>
        <v/>
      </c>
      <c r="H1993" s="63">
        <f>IF(OR(A1993="",F1993=""),"",F1993&amp;"|"&amp;A1993)</f>
        <v/>
      </c>
      <c r="I1993" s="63">
        <f>IF(AND(H1993&lt;&gt;"",OR('Historia wózka'!$B$4="",F1993='Historia wózka'!$B$4),A1993&gt;='Historia wózka'!$B$5,A1993&lt;='Historia wózka'!$B$6),A1993+0.8+(5000-ROW())/10000000,0)</f>
        <v/>
      </c>
      <c r="J1993" s="63">
        <f>Ustawienia!$B$9&amp;""</f>
        <v/>
      </c>
      <c r="K1993" s="63">
        <f>IF(H1993="","",COUNTIFS('Zgłoszenia'!$B$5:$B$504,F1993,'Zgłoszenia'!$D$5:$D$504,"&gt;="&amp;A1993,'Zgłoszenia'!$D$5:$D$504,"&lt;="&amp;(A1993+1)))</f>
        <v/>
      </c>
      <c r="L1993" s="63">
        <f>IF(OR(H1993="",K1993=0),"—",IF(ISNUMBER(MATCH(H1993,'Zgłoszenia'!$S$5:$S$504,0)),RIGHT("0"&amp;DAY(A1993),2)&amp;"."&amp;RIGHT("0"&amp;MONTH(A1993),2)&amp;"."&amp;YEAR(A1993)&amp;": "&amp;INDEX('Zgłoszenia'!$H$5:$H$504,MATCH(H1993,'Zgłoszenia'!$S$5:$S$504,0)),RIGHT("0"&amp;DAY((A1993+1)),2)&amp;"."&amp;RIGHT("0"&amp;MONTH((A1993+1)),2)&amp;"."&amp;YEAR((A1993+1))&amp;": "&amp;INDEX('Zgłoszenia'!$H$5:$H$504,MATCH(F1993&amp;"|"&amp;(A1993+1),'Zgłoszenia'!$S$5:$S$504,0)))&amp;IF(K1993&gt;1," (+"&amp;(K1993-1)&amp;")",""))</f>
        <v/>
      </c>
      <c r="M1993" s="63" t="n">
        <v>25</v>
      </c>
      <c r="N1993" s="2" t="n"/>
      <c r="O1993" s="2" t="n"/>
    </row>
    <row r="1994">
      <c r="A1994" s="62">
        <f>IF('25'!$C$1="","",'25'!$C$1)</f>
        <v/>
      </c>
      <c r="B1994" s="63">
        <f>Ustawienia!$A$9&amp;""</f>
        <v/>
      </c>
      <c r="C1994" s="63">
        <f>Ustawienia!$A$17&amp;""</f>
        <v/>
      </c>
      <c r="D1994" s="63" t="n">
        <v>4</v>
      </c>
      <c r="E1994" s="63">
        <f>IF('25'!F30="","",TRIM('25'!F30&amp;""))</f>
        <v/>
      </c>
      <c r="F1994" s="63">
        <f>IF('25'!G30="","",'25'!G30)</f>
        <v/>
      </c>
      <c r="G1994" s="63">
        <f>'25'!H30&amp;""</f>
        <v/>
      </c>
      <c r="H1994" s="63">
        <f>IF(OR(A1994="",F1994=""),"",F1994&amp;"|"&amp;A1994)</f>
        <v/>
      </c>
      <c r="I1994" s="63">
        <f>IF(AND(H1994&lt;&gt;"",OR('Historia wózka'!$B$4="",F1994='Historia wózka'!$B$4),A1994&gt;='Historia wózka'!$B$5,A1994&lt;='Historia wózka'!$B$6),A1994+0.8+(5000-ROW())/10000000,0)</f>
        <v/>
      </c>
      <c r="J1994" s="63">
        <f>Ustawienia!$B$9&amp;""</f>
        <v/>
      </c>
      <c r="K1994" s="63">
        <f>IF(H1994="","",COUNTIFS('Zgłoszenia'!$B$5:$B$504,F1994,'Zgłoszenia'!$D$5:$D$504,"&gt;="&amp;A1994,'Zgłoszenia'!$D$5:$D$504,"&lt;="&amp;(A1994+1)))</f>
        <v/>
      </c>
      <c r="L1994" s="63">
        <f>IF(OR(H1994="",K1994=0),"—",IF(ISNUMBER(MATCH(H1994,'Zgłoszenia'!$S$5:$S$504,0)),RIGHT("0"&amp;DAY(A1994),2)&amp;"."&amp;RIGHT("0"&amp;MONTH(A1994),2)&amp;"."&amp;YEAR(A1994)&amp;": "&amp;INDEX('Zgłoszenia'!$H$5:$H$504,MATCH(H1994,'Zgłoszenia'!$S$5:$S$504,0)),RIGHT("0"&amp;DAY((A1994+1)),2)&amp;"."&amp;RIGHT("0"&amp;MONTH((A1994+1)),2)&amp;"."&amp;YEAR((A1994+1))&amp;": "&amp;INDEX('Zgłoszenia'!$H$5:$H$504,MATCH(F1994&amp;"|"&amp;(A1994+1),'Zgłoszenia'!$S$5:$S$504,0)))&amp;IF(K1994&gt;1," (+"&amp;(K1994-1)&amp;")",""))</f>
        <v/>
      </c>
      <c r="M1994" s="63" t="n">
        <v>25</v>
      </c>
      <c r="N1994" s="2" t="n"/>
      <c r="O1994" s="2" t="n"/>
    </row>
    <row r="1995">
      <c r="A1995" s="62">
        <f>IF('25'!$C$1="","",'25'!$C$1)</f>
        <v/>
      </c>
      <c r="B1995" s="63">
        <f>Ustawienia!$A$9&amp;""</f>
        <v/>
      </c>
      <c r="C1995" s="63">
        <f>Ustawienia!$A$18&amp;""</f>
        <v/>
      </c>
      <c r="D1995" s="63" t="n">
        <v>1</v>
      </c>
      <c r="E1995" s="63">
        <f>IF('25'!F32="","",TRIM('25'!F32&amp;""))</f>
        <v/>
      </c>
      <c r="F1995" s="63">
        <f>IF('25'!G32="","",'25'!G32)</f>
        <v/>
      </c>
      <c r="G1995" s="63">
        <f>'25'!H32&amp;""</f>
        <v/>
      </c>
      <c r="H1995" s="63">
        <f>IF(OR(A1995="",F1995=""),"",F1995&amp;"|"&amp;A1995)</f>
        <v/>
      </c>
      <c r="I1995" s="63">
        <f>IF(AND(H1995&lt;&gt;"",OR('Historia wózka'!$B$4="",F1995='Historia wózka'!$B$4),A1995&gt;='Historia wózka'!$B$5,A1995&lt;='Historia wózka'!$B$6),A1995+0.8+(5000-ROW())/10000000,0)</f>
        <v/>
      </c>
      <c r="J1995" s="63">
        <f>Ustawienia!$B$9&amp;""</f>
        <v/>
      </c>
      <c r="K1995" s="63">
        <f>IF(H1995="","",COUNTIFS('Zgłoszenia'!$B$5:$B$504,F1995,'Zgłoszenia'!$D$5:$D$504,"&gt;="&amp;A1995,'Zgłoszenia'!$D$5:$D$504,"&lt;="&amp;(A1995+1)))</f>
        <v/>
      </c>
      <c r="L1995" s="63">
        <f>IF(OR(H1995="",K1995=0),"—",IF(ISNUMBER(MATCH(H1995,'Zgłoszenia'!$S$5:$S$504,0)),RIGHT("0"&amp;DAY(A1995),2)&amp;"."&amp;RIGHT("0"&amp;MONTH(A1995),2)&amp;"."&amp;YEAR(A1995)&amp;": "&amp;INDEX('Zgłoszenia'!$H$5:$H$504,MATCH(H1995,'Zgłoszenia'!$S$5:$S$504,0)),RIGHT("0"&amp;DAY((A1995+1)),2)&amp;"."&amp;RIGHT("0"&amp;MONTH((A1995+1)),2)&amp;"."&amp;YEAR((A1995+1))&amp;": "&amp;INDEX('Zgłoszenia'!$H$5:$H$504,MATCH(F1995&amp;"|"&amp;(A1995+1),'Zgłoszenia'!$S$5:$S$504,0)))&amp;IF(K1995&gt;1," (+"&amp;(K1995-1)&amp;")",""))</f>
        <v/>
      </c>
      <c r="M1995" s="63" t="n">
        <v>25</v>
      </c>
      <c r="N1995" s="2" t="n"/>
      <c r="O1995" s="2" t="n"/>
    </row>
    <row r="1996">
      <c r="A1996" s="62">
        <f>IF('25'!$C$1="","",'25'!$C$1)</f>
        <v/>
      </c>
      <c r="B1996" s="63">
        <f>Ustawienia!$A$9&amp;""</f>
        <v/>
      </c>
      <c r="C1996" s="63">
        <f>Ustawienia!$A$18&amp;""</f>
        <v/>
      </c>
      <c r="D1996" s="63" t="n">
        <v>2</v>
      </c>
      <c r="E1996" s="63">
        <f>IF('25'!F33="","",TRIM('25'!F33&amp;""))</f>
        <v/>
      </c>
      <c r="F1996" s="63">
        <f>IF('25'!G33="","",'25'!G33)</f>
        <v/>
      </c>
      <c r="G1996" s="63">
        <f>'25'!H33&amp;""</f>
        <v/>
      </c>
      <c r="H1996" s="63">
        <f>IF(OR(A1996="",F1996=""),"",F1996&amp;"|"&amp;A1996)</f>
        <v/>
      </c>
      <c r="I1996" s="63">
        <f>IF(AND(H1996&lt;&gt;"",OR('Historia wózka'!$B$4="",F1996='Historia wózka'!$B$4),A1996&gt;='Historia wózka'!$B$5,A1996&lt;='Historia wózka'!$B$6),A1996+0.8+(5000-ROW())/10000000,0)</f>
        <v/>
      </c>
      <c r="J1996" s="63">
        <f>Ustawienia!$B$9&amp;""</f>
        <v/>
      </c>
      <c r="K1996" s="63">
        <f>IF(H1996="","",COUNTIFS('Zgłoszenia'!$B$5:$B$504,F1996,'Zgłoszenia'!$D$5:$D$504,"&gt;="&amp;A1996,'Zgłoszenia'!$D$5:$D$504,"&lt;="&amp;(A1996+1)))</f>
        <v/>
      </c>
      <c r="L1996" s="63">
        <f>IF(OR(H1996="",K1996=0),"—",IF(ISNUMBER(MATCH(H1996,'Zgłoszenia'!$S$5:$S$504,0)),RIGHT("0"&amp;DAY(A1996),2)&amp;"."&amp;RIGHT("0"&amp;MONTH(A1996),2)&amp;"."&amp;YEAR(A1996)&amp;": "&amp;INDEX('Zgłoszenia'!$H$5:$H$504,MATCH(H1996,'Zgłoszenia'!$S$5:$S$504,0)),RIGHT("0"&amp;DAY((A1996+1)),2)&amp;"."&amp;RIGHT("0"&amp;MONTH((A1996+1)),2)&amp;"."&amp;YEAR((A1996+1))&amp;": "&amp;INDEX('Zgłoszenia'!$H$5:$H$504,MATCH(F1996&amp;"|"&amp;(A1996+1),'Zgłoszenia'!$S$5:$S$504,0)))&amp;IF(K1996&gt;1," (+"&amp;(K1996-1)&amp;")",""))</f>
        <v/>
      </c>
      <c r="M1996" s="63" t="n">
        <v>25</v>
      </c>
      <c r="N1996" s="2" t="n"/>
      <c r="O1996" s="2" t="n"/>
    </row>
    <row r="1997">
      <c r="A1997" s="62">
        <f>IF('25'!$C$1="","",'25'!$C$1)</f>
        <v/>
      </c>
      <c r="B1997" s="63">
        <f>Ustawienia!$A$9&amp;""</f>
        <v/>
      </c>
      <c r="C1997" s="63">
        <f>Ustawienia!$A$18&amp;""</f>
        <v/>
      </c>
      <c r="D1997" s="63" t="n">
        <v>3</v>
      </c>
      <c r="E1997" s="63">
        <f>IF('25'!F34="","",TRIM('25'!F34&amp;""))</f>
        <v/>
      </c>
      <c r="F1997" s="63">
        <f>IF('25'!G34="","",'25'!G34)</f>
        <v/>
      </c>
      <c r="G1997" s="63">
        <f>'25'!H34&amp;""</f>
        <v/>
      </c>
      <c r="H1997" s="63">
        <f>IF(OR(A1997="",F1997=""),"",F1997&amp;"|"&amp;A1997)</f>
        <v/>
      </c>
      <c r="I1997" s="63">
        <f>IF(AND(H1997&lt;&gt;"",OR('Historia wózka'!$B$4="",F1997='Historia wózka'!$B$4),A1997&gt;='Historia wózka'!$B$5,A1997&lt;='Historia wózka'!$B$6),A1997+0.8+(5000-ROW())/10000000,0)</f>
        <v/>
      </c>
      <c r="J1997" s="63">
        <f>Ustawienia!$B$9&amp;""</f>
        <v/>
      </c>
      <c r="K1997" s="63">
        <f>IF(H1997="","",COUNTIFS('Zgłoszenia'!$B$5:$B$504,F1997,'Zgłoszenia'!$D$5:$D$504,"&gt;="&amp;A1997,'Zgłoszenia'!$D$5:$D$504,"&lt;="&amp;(A1997+1)))</f>
        <v/>
      </c>
      <c r="L1997" s="63">
        <f>IF(OR(H1997="",K1997=0),"—",IF(ISNUMBER(MATCH(H1997,'Zgłoszenia'!$S$5:$S$504,0)),RIGHT("0"&amp;DAY(A1997),2)&amp;"."&amp;RIGHT("0"&amp;MONTH(A1997),2)&amp;"."&amp;YEAR(A1997)&amp;": "&amp;INDEX('Zgłoszenia'!$H$5:$H$504,MATCH(H1997,'Zgłoszenia'!$S$5:$S$504,0)),RIGHT("0"&amp;DAY((A1997+1)),2)&amp;"."&amp;RIGHT("0"&amp;MONTH((A1997+1)),2)&amp;"."&amp;YEAR((A1997+1))&amp;": "&amp;INDEX('Zgłoszenia'!$H$5:$H$504,MATCH(F1997&amp;"|"&amp;(A1997+1),'Zgłoszenia'!$S$5:$S$504,0)))&amp;IF(K1997&gt;1," (+"&amp;(K1997-1)&amp;")",""))</f>
        <v/>
      </c>
      <c r="M1997" s="63" t="n">
        <v>25</v>
      </c>
      <c r="N1997" s="2" t="n"/>
      <c r="O1997" s="2" t="n"/>
    </row>
    <row r="1998">
      <c r="A1998" s="62">
        <f>IF('25'!$C$1="","",'25'!$C$1)</f>
        <v/>
      </c>
      <c r="B1998" s="63">
        <f>Ustawienia!$A$9&amp;""</f>
        <v/>
      </c>
      <c r="C1998" s="63">
        <f>Ustawienia!$A$18&amp;""</f>
        <v/>
      </c>
      <c r="D1998" s="63" t="n">
        <v>4</v>
      </c>
      <c r="E1998" s="63">
        <f>IF('25'!F35="","",TRIM('25'!F35&amp;""))</f>
        <v/>
      </c>
      <c r="F1998" s="63">
        <f>IF('25'!G35="","",'25'!G35)</f>
        <v/>
      </c>
      <c r="G1998" s="63">
        <f>'25'!H35&amp;""</f>
        <v/>
      </c>
      <c r="H1998" s="63">
        <f>IF(OR(A1998="",F1998=""),"",F1998&amp;"|"&amp;A1998)</f>
        <v/>
      </c>
      <c r="I1998" s="63">
        <f>IF(AND(H1998&lt;&gt;"",OR('Historia wózka'!$B$4="",F1998='Historia wózka'!$B$4),A1998&gt;='Historia wózka'!$B$5,A1998&lt;='Historia wózka'!$B$6),A1998+0.8+(5000-ROW())/10000000,0)</f>
        <v/>
      </c>
      <c r="J1998" s="63">
        <f>Ustawienia!$B$9&amp;""</f>
        <v/>
      </c>
      <c r="K1998" s="63">
        <f>IF(H1998="","",COUNTIFS('Zgłoszenia'!$B$5:$B$504,F1998,'Zgłoszenia'!$D$5:$D$504,"&gt;="&amp;A1998,'Zgłoszenia'!$D$5:$D$504,"&lt;="&amp;(A1998+1)))</f>
        <v/>
      </c>
      <c r="L1998" s="63">
        <f>IF(OR(H1998="",K1998=0),"—",IF(ISNUMBER(MATCH(H1998,'Zgłoszenia'!$S$5:$S$504,0)),RIGHT("0"&amp;DAY(A1998),2)&amp;"."&amp;RIGHT("0"&amp;MONTH(A1998),2)&amp;"."&amp;YEAR(A1998)&amp;": "&amp;INDEX('Zgłoszenia'!$H$5:$H$504,MATCH(H1998,'Zgłoszenia'!$S$5:$S$504,0)),RIGHT("0"&amp;DAY((A1998+1)),2)&amp;"."&amp;RIGHT("0"&amp;MONTH((A1998+1)),2)&amp;"."&amp;YEAR((A1998+1))&amp;": "&amp;INDEX('Zgłoszenia'!$H$5:$H$504,MATCH(F1998&amp;"|"&amp;(A1998+1),'Zgłoszenia'!$S$5:$S$504,0)))&amp;IF(K1998&gt;1," (+"&amp;(K1998-1)&amp;")",""))</f>
        <v/>
      </c>
      <c r="M1998" s="63" t="n">
        <v>25</v>
      </c>
      <c r="N1998" s="2" t="n"/>
      <c r="O1998" s="2" t="n"/>
    </row>
    <row r="1999">
      <c r="A1999" s="62">
        <f>IF('25'!$C$1="","",'25'!$C$1)</f>
        <v/>
      </c>
      <c r="B1999" s="63">
        <f>Ustawienia!$A$9&amp;""</f>
        <v/>
      </c>
      <c r="C1999" s="63">
        <f>Ustawienia!$A$18&amp;""</f>
        <v/>
      </c>
      <c r="D1999" s="63" t="n">
        <v>5</v>
      </c>
      <c r="E1999" s="63">
        <f>IF('25'!F36="","",TRIM('25'!F36&amp;""))</f>
        <v/>
      </c>
      <c r="F1999" s="63">
        <f>IF('25'!G36="","",'25'!G36)</f>
        <v/>
      </c>
      <c r="G1999" s="63">
        <f>'25'!H36&amp;""</f>
        <v/>
      </c>
      <c r="H1999" s="63">
        <f>IF(OR(A1999="",F1999=""),"",F1999&amp;"|"&amp;A1999)</f>
        <v/>
      </c>
      <c r="I1999" s="63">
        <f>IF(AND(H1999&lt;&gt;"",OR('Historia wózka'!$B$4="",F1999='Historia wózka'!$B$4),A1999&gt;='Historia wózka'!$B$5,A1999&lt;='Historia wózka'!$B$6),A1999+0.8+(5000-ROW())/10000000,0)</f>
        <v/>
      </c>
      <c r="J1999" s="63">
        <f>Ustawienia!$B$9&amp;""</f>
        <v/>
      </c>
      <c r="K1999" s="63">
        <f>IF(H1999="","",COUNTIFS('Zgłoszenia'!$B$5:$B$504,F1999,'Zgłoszenia'!$D$5:$D$504,"&gt;="&amp;A1999,'Zgłoszenia'!$D$5:$D$504,"&lt;="&amp;(A1999+1)))</f>
        <v/>
      </c>
      <c r="L1999" s="63">
        <f>IF(OR(H1999="",K1999=0),"—",IF(ISNUMBER(MATCH(H1999,'Zgłoszenia'!$S$5:$S$504,0)),RIGHT("0"&amp;DAY(A1999),2)&amp;"."&amp;RIGHT("0"&amp;MONTH(A1999),2)&amp;"."&amp;YEAR(A1999)&amp;": "&amp;INDEX('Zgłoszenia'!$H$5:$H$504,MATCH(H1999,'Zgłoszenia'!$S$5:$S$504,0)),RIGHT("0"&amp;DAY((A1999+1)),2)&amp;"."&amp;RIGHT("0"&amp;MONTH((A1999+1)),2)&amp;"."&amp;YEAR((A1999+1))&amp;": "&amp;INDEX('Zgłoszenia'!$H$5:$H$504,MATCH(F1999&amp;"|"&amp;(A1999+1),'Zgłoszenia'!$S$5:$S$504,0)))&amp;IF(K1999&gt;1," (+"&amp;(K1999-1)&amp;")",""))</f>
        <v/>
      </c>
      <c r="M1999" s="63" t="n">
        <v>25</v>
      </c>
      <c r="N1999" s="2" t="n"/>
      <c r="O1999" s="2" t="n"/>
    </row>
    <row r="2000">
      <c r="A2000" s="62">
        <f>IF('25'!$C$1="","",'25'!$C$1)</f>
        <v/>
      </c>
      <c r="B2000" s="63">
        <f>Ustawienia!$A$10&amp;""</f>
        <v/>
      </c>
      <c r="C2000" s="63">
        <f>Ustawienia!$A$14&amp;""</f>
        <v/>
      </c>
      <c r="D2000" s="63" t="n">
        <v>1</v>
      </c>
      <c r="E2000" s="63">
        <f>IF('25'!J6="","",TRIM('25'!J6&amp;""))</f>
        <v/>
      </c>
      <c r="F2000" s="63">
        <f>IF('25'!K6="","",'25'!K6)</f>
        <v/>
      </c>
      <c r="G2000" s="63">
        <f>'25'!L6&amp;""</f>
        <v/>
      </c>
      <c r="H2000" s="63">
        <f>IF(OR(A2000="",F2000=""),"",F2000&amp;"|"&amp;A2000)</f>
        <v/>
      </c>
      <c r="I2000" s="63">
        <f>IF(AND(H2000&lt;&gt;"",OR('Historia wózka'!$B$4="",F2000='Historia wózka'!$B$4),A2000&gt;='Historia wózka'!$B$5,A2000&lt;='Historia wózka'!$B$6),A2000+0.7+(5000-ROW())/10000000,0)</f>
        <v/>
      </c>
      <c r="J2000" s="63">
        <f>Ustawienia!$B$10&amp;""</f>
        <v/>
      </c>
      <c r="K2000" s="63">
        <f>IF(H2000="","",COUNTIFS('Zgłoszenia'!$B$5:$B$504,F2000,'Zgłoszenia'!$D$5:$D$504,"&gt;="&amp;A2000,'Zgłoszenia'!$D$5:$D$504,"&lt;="&amp;(A2000+1)))</f>
        <v/>
      </c>
      <c r="L2000" s="63">
        <f>IF(OR(H2000="",K2000=0),"—",IF(ISNUMBER(MATCH(H2000,'Zgłoszenia'!$S$5:$S$504,0)),RIGHT("0"&amp;DAY(A2000),2)&amp;"."&amp;RIGHT("0"&amp;MONTH(A2000),2)&amp;"."&amp;YEAR(A2000)&amp;": "&amp;INDEX('Zgłoszenia'!$H$5:$H$504,MATCH(H2000,'Zgłoszenia'!$S$5:$S$504,0)),RIGHT("0"&amp;DAY((A2000+1)),2)&amp;"."&amp;RIGHT("0"&amp;MONTH((A2000+1)),2)&amp;"."&amp;YEAR((A2000+1))&amp;": "&amp;INDEX('Zgłoszenia'!$H$5:$H$504,MATCH(F2000&amp;"|"&amp;(A2000+1),'Zgłoszenia'!$S$5:$S$504,0)))&amp;IF(K2000&gt;1," (+"&amp;(K2000-1)&amp;")",""))</f>
        <v/>
      </c>
      <c r="M2000" s="63" t="n">
        <v>25</v>
      </c>
      <c r="N2000" s="2" t="n"/>
      <c r="O2000" s="2" t="n"/>
    </row>
    <row r="2001">
      <c r="A2001" s="62">
        <f>IF('25'!$C$1="","",'25'!$C$1)</f>
        <v/>
      </c>
      <c r="B2001" s="63">
        <f>Ustawienia!$A$10&amp;""</f>
        <v/>
      </c>
      <c r="C2001" s="63">
        <f>Ustawienia!$A$14&amp;""</f>
        <v/>
      </c>
      <c r="D2001" s="63" t="n">
        <v>2</v>
      </c>
      <c r="E2001" s="63">
        <f>IF('25'!J7="","",TRIM('25'!J7&amp;""))</f>
        <v/>
      </c>
      <c r="F2001" s="63">
        <f>IF('25'!K7="","",'25'!K7)</f>
        <v/>
      </c>
      <c r="G2001" s="63">
        <f>'25'!L7&amp;""</f>
        <v/>
      </c>
      <c r="H2001" s="63">
        <f>IF(OR(A2001="",F2001=""),"",F2001&amp;"|"&amp;A2001)</f>
        <v/>
      </c>
      <c r="I2001" s="63">
        <f>IF(AND(H2001&lt;&gt;"",OR('Historia wózka'!$B$4="",F2001='Historia wózka'!$B$4),A2001&gt;='Historia wózka'!$B$5,A2001&lt;='Historia wózka'!$B$6),A2001+0.7+(5000-ROW())/10000000,0)</f>
        <v/>
      </c>
      <c r="J2001" s="63">
        <f>Ustawienia!$B$10&amp;""</f>
        <v/>
      </c>
      <c r="K2001" s="63">
        <f>IF(H2001="","",COUNTIFS('Zgłoszenia'!$B$5:$B$504,F2001,'Zgłoszenia'!$D$5:$D$504,"&gt;="&amp;A2001,'Zgłoszenia'!$D$5:$D$504,"&lt;="&amp;(A2001+1)))</f>
        <v/>
      </c>
      <c r="L2001" s="63">
        <f>IF(OR(H2001="",K2001=0),"—",IF(ISNUMBER(MATCH(H2001,'Zgłoszenia'!$S$5:$S$504,0)),RIGHT("0"&amp;DAY(A2001),2)&amp;"."&amp;RIGHT("0"&amp;MONTH(A2001),2)&amp;"."&amp;YEAR(A2001)&amp;": "&amp;INDEX('Zgłoszenia'!$H$5:$H$504,MATCH(H2001,'Zgłoszenia'!$S$5:$S$504,0)),RIGHT("0"&amp;DAY((A2001+1)),2)&amp;"."&amp;RIGHT("0"&amp;MONTH((A2001+1)),2)&amp;"."&amp;YEAR((A2001+1))&amp;": "&amp;INDEX('Zgłoszenia'!$H$5:$H$504,MATCH(F2001&amp;"|"&amp;(A2001+1),'Zgłoszenia'!$S$5:$S$504,0)))&amp;IF(K2001&gt;1," (+"&amp;(K2001-1)&amp;")",""))</f>
        <v/>
      </c>
      <c r="M2001" s="63" t="n">
        <v>25</v>
      </c>
      <c r="N2001" s="2" t="n"/>
      <c r="O2001" s="2" t="n"/>
    </row>
    <row r="2002">
      <c r="A2002" s="62">
        <f>IF('25'!$C$1="","",'25'!$C$1)</f>
        <v/>
      </c>
      <c r="B2002" s="63">
        <f>Ustawienia!$A$10&amp;""</f>
        <v/>
      </c>
      <c r="C2002" s="63">
        <f>Ustawienia!$A$14&amp;""</f>
        <v/>
      </c>
      <c r="D2002" s="63" t="n">
        <v>3</v>
      </c>
      <c r="E2002" s="63">
        <f>IF('25'!J8="","",TRIM('25'!J8&amp;""))</f>
        <v/>
      </c>
      <c r="F2002" s="63">
        <f>IF('25'!K8="","",'25'!K8)</f>
        <v/>
      </c>
      <c r="G2002" s="63">
        <f>'25'!L8&amp;""</f>
        <v/>
      </c>
      <c r="H2002" s="63">
        <f>IF(OR(A2002="",F2002=""),"",F2002&amp;"|"&amp;A2002)</f>
        <v/>
      </c>
      <c r="I2002" s="63">
        <f>IF(AND(H2002&lt;&gt;"",OR('Historia wózka'!$B$4="",F2002='Historia wózka'!$B$4),A2002&gt;='Historia wózka'!$B$5,A2002&lt;='Historia wózka'!$B$6),A2002+0.7+(5000-ROW())/10000000,0)</f>
        <v/>
      </c>
      <c r="J2002" s="63">
        <f>Ustawienia!$B$10&amp;""</f>
        <v/>
      </c>
      <c r="K2002" s="63">
        <f>IF(H2002="","",COUNTIFS('Zgłoszenia'!$B$5:$B$504,F2002,'Zgłoszenia'!$D$5:$D$504,"&gt;="&amp;A2002,'Zgłoszenia'!$D$5:$D$504,"&lt;="&amp;(A2002+1)))</f>
        <v/>
      </c>
      <c r="L2002" s="63">
        <f>IF(OR(H2002="",K2002=0),"—",IF(ISNUMBER(MATCH(H2002,'Zgłoszenia'!$S$5:$S$504,0)),RIGHT("0"&amp;DAY(A2002),2)&amp;"."&amp;RIGHT("0"&amp;MONTH(A2002),2)&amp;"."&amp;YEAR(A2002)&amp;": "&amp;INDEX('Zgłoszenia'!$H$5:$H$504,MATCH(H2002,'Zgłoszenia'!$S$5:$S$504,0)),RIGHT("0"&amp;DAY((A2002+1)),2)&amp;"."&amp;RIGHT("0"&amp;MONTH((A2002+1)),2)&amp;"."&amp;YEAR((A2002+1))&amp;": "&amp;INDEX('Zgłoszenia'!$H$5:$H$504,MATCH(F2002&amp;"|"&amp;(A2002+1),'Zgłoszenia'!$S$5:$S$504,0)))&amp;IF(K2002&gt;1," (+"&amp;(K2002-1)&amp;")",""))</f>
        <v/>
      </c>
      <c r="M2002" s="63" t="n">
        <v>25</v>
      </c>
      <c r="N2002" s="2" t="n"/>
      <c r="O2002" s="2" t="n"/>
    </row>
    <row r="2003">
      <c r="A2003" s="62">
        <f>IF('25'!$C$1="","",'25'!$C$1)</f>
        <v/>
      </c>
      <c r="B2003" s="63">
        <f>Ustawienia!$A$10&amp;""</f>
        <v/>
      </c>
      <c r="C2003" s="63">
        <f>Ustawienia!$A$14&amp;""</f>
        <v/>
      </c>
      <c r="D2003" s="63" t="n">
        <v>4</v>
      </c>
      <c r="E2003" s="63">
        <f>IF('25'!J9="","",TRIM('25'!J9&amp;""))</f>
        <v/>
      </c>
      <c r="F2003" s="63">
        <f>IF('25'!K9="","",'25'!K9)</f>
        <v/>
      </c>
      <c r="G2003" s="63">
        <f>'25'!L9&amp;""</f>
        <v/>
      </c>
      <c r="H2003" s="63">
        <f>IF(OR(A2003="",F2003=""),"",F2003&amp;"|"&amp;A2003)</f>
        <v/>
      </c>
      <c r="I2003" s="63">
        <f>IF(AND(H2003&lt;&gt;"",OR('Historia wózka'!$B$4="",F2003='Historia wózka'!$B$4),A2003&gt;='Historia wózka'!$B$5,A2003&lt;='Historia wózka'!$B$6),A2003+0.7+(5000-ROW())/10000000,0)</f>
        <v/>
      </c>
      <c r="J2003" s="63">
        <f>Ustawienia!$B$10&amp;""</f>
        <v/>
      </c>
      <c r="K2003" s="63">
        <f>IF(H2003="","",COUNTIFS('Zgłoszenia'!$B$5:$B$504,F2003,'Zgłoszenia'!$D$5:$D$504,"&gt;="&amp;A2003,'Zgłoszenia'!$D$5:$D$504,"&lt;="&amp;(A2003+1)))</f>
        <v/>
      </c>
      <c r="L2003" s="63">
        <f>IF(OR(H2003="",K2003=0),"—",IF(ISNUMBER(MATCH(H2003,'Zgłoszenia'!$S$5:$S$504,0)),RIGHT("0"&amp;DAY(A2003),2)&amp;"."&amp;RIGHT("0"&amp;MONTH(A2003),2)&amp;"."&amp;YEAR(A2003)&amp;": "&amp;INDEX('Zgłoszenia'!$H$5:$H$504,MATCH(H2003,'Zgłoszenia'!$S$5:$S$504,0)),RIGHT("0"&amp;DAY((A2003+1)),2)&amp;"."&amp;RIGHT("0"&amp;MONTH((A2003+1)),2)&amp;"."&amp;YEAR((A2003+1))&amp;": "&amp;INDEX('Zgłoszenia'!$H$5:$H$504,MATCH(F2003&amp;"|"&amp;(A2003+1),'Zgłoszenia'!$S$5:$S$504,0)))&amp;IF(K2003&gt;1," (+"&amp;(K2003-1)&amp;")",""))</f>
        <v/>
      </c>
      <c r="M2003" s="63" t="n">
        <v>25</v>
      </c>
      <c r="N2003" s="2" t="n"/>
      <c r="O2003" s="2" t="n"/>
    </row>
    <row r="2004">
      <c r="A2004" s="62">
        <f>IF('25'!$C$1="","",'25'!$C$1)</f>
        <v/>
      </c>
      <c r="B2004" s="63">
        <f>Ustawienia!$A$10&amp;""</f>
        <v/>
      </c>
      <c r="C2004" s="63">
        <f>Ustawienia!$A$14&amp;""</f>
        <v/>
      </c>
      <c r="D2004" s="63" t="n">
        <v>5</v>
      </c>
      <c r="E2004" s="63">
        <f>IF('25'!J10="","",TRIM('25'!J10&amp;""))</f>
        <v/>
      </c>
      <c r="F2004" s="63">
        <f>IF('25'!K10="","",'25'!K10)</f>
        <v/>
      </c>
      <c r="G2004" s="63">
        <f>'25'!L10&amp;""</f>
        <v/>
      </c>
      <c r="H2004" s="63">
        <f>IF(OR(A2004="",F2004=""),"",F2004&amp;"|"&amp;A2004)</f>
        <v/>
      </c>
      <c r="I2004" s="63">
        <f>IF(AND(H2004&lt;&gt;"",OR('Historia wózka'!$B$4="",F2004='Historia wózka'!$B$4),A2004&gt;='Historia wózka'!$B$5,A2004&lt;='Historia wózka'!$B$6),A2004+0.7+(5000-ROW())/10000000,0)</f>
        <v/>
      </c>
      <c r="J2004" s="63">
        <f>Ustawienia!$B$10&amp;""</f>
        <v/>
      </c>
      <c r="K2004" s="63">
        <f>IF(H2004="","",COUNTIFS('Zgłoszenia'!$B$5:$B$504,F2004,'Zgłoszenia'!$D$5:$D$504,"&gt;="&amp;A2004,'Zgłoszenia'!$D$5:$D$504,"&lt;="&amp;(A2004+1)))</f>
        <v/>
      </c>
      <c r="L2004" s="63">
        <f>IF(OR(H2004="",K2004=0),"—",IF(ISNUMBER(MATCH(H2004,'Zgłoszenia'!$S$5:$S$504,0)),RIGHT("0"&amp;DAY(A2004),2)&amp;"."&amp;RIGHT("0"&amp;MONTH(A2004),2)&amp;"."&amp;YEAR(A2004)&amp;": "&amp;INDEX('Zgłoszenia'!$H$5:$H$504,MATCH(H2004,'Zgłoszenia'!$S$5:$S$504,0)),RIGHT("0"&amp;DAY((A2004+1)),2)&amp;"."&amp;RIGHT("0"&amp;MONTH((A2004+1)),2)&amp;"."&amp;YEAR((A2004+1))&amp;": "&amp;INDEX('Zgłoszenia'!$H$5:$H$504,MATCH(F2004&amp;"|"&amp;(A2004+1),'Zgłoszenia'!$S$5:$S$504,0)))&amp;IF(K2004&gt;1," (+"&amp;(K2004-1)&amp;")",""))</f>
        <v/>
      </c>
      <c r="M2004" s="63" t="n">
        <v>25</v>
      </c>
      <c r="N2004" s="2" t="n"/>
      <c r="O2004" s="2" t="n"/>
    </row>
    <row r="2005">
      <c r="A2005" s="62">
        <f>IF('25'!$C$1="","",'25'!$C$1)</f>
        <v/>
      </c>
      <c r="B2005" s="63">
        <f>Ustawienia!$A$10&amp;""</f>
        <v/>
      </c>
      <c r="C2005" s="63">
        <f>Ustawienia!$A$14&amp;""</f>
        <v/>
      </c>
      <c r="D2005" s="63" t="n">
        <v>6</v>
      </c>
      <c r="E2005" s="63">
        <f>IF('25'!J11="","",TRIM('25'!J11&amp;""))</f>
        <v/>
      </c>
      <c r="F2005" s="63">
        <f>IF('25'!K11="","",'25'!K11)</f>
        <v/>
      </c>
      <c r="G2005" s="63">
        <f>'25'!L11&amp;""</f>
        <v/>
      </c>
      <c r="H2005" s="63">
        <f>IF(OR(A2005="",F2005=""),"",F2005&amp;"|"&amp;A2005)</f>
        <v/>
      </c>
      <c r="I2005" s="63">
        <f>IF(AND(H2005&lt;&gt;"",OR('Historia wózka'!$B$4="",F2005='Historia wózka'!$B$4),A2005&gt;='Historia wózka'!$B$5,A2005&lt;='Historia wózka'!$B$6),A2005+0.7+(5000-ROW())/10000000,0)</f>
        <v/>
      </c>
      <c r="J2005" s="63">
        <f>Ustawienia!$B$10&amp;""</f>
        <v/>
      </c>
      <c r="K2005" s="63">
        <f>IF(H2005="","",COUNTIFS('Zgłoszenia'!$B$5:$B$504,F2005,'Zgłoszenia'!$D$5:$D$504,"&gt;="&amp;A2005,'Zgłoszenia'!$D$5:$D$504,"&lt;="&amp;(A2005+1)))</f>
        <v/>
      </c>
      <c r="L2005" s="63">
        <f>IF(OR(H2005="",K2005=0),"—",IF(ISNUMBER(MATCH(H2005,'Zgłoszenia'!$S$5:$S$504,0)),RIGHT("0"&amp;DAY(A2005),2)&amp;"."&amp;RIGHT("0"&amp;MONTH(A2005),2)&amp;"."&amp;YEAR(A2005)&amp;": "&amp;INDEX('Zgłoszenia'!$H$5:$H$504,MATCH(H2005,'Zgłoszenia'!$S$5:$S$504,0)),RIGHT("0"&amp;DAY((A2005+1)),2)&amp;"."&amp;RIGHT("0"&amp;MONTH((A2005+1)),2)&amp;"."&amp;YEAR((A2005+1))&amp;": "&amp;INDEX('Zgłoszenia'!$H$5:$H$504,MATCH(F2005&amp;"|"&amp;(A2005+1),'Zgłoszenia'!$S$5:$S$504,0)))&amp;IF(K2005&gt;1," (+"&amp;(K2005-1)&amp;")",""))</f>
        <v/>
      </c>
      <c r="M2005" s="63" t="n">
        <v>25</v>
      </c>
      <c r="N2005" s="2" t="n"/>
      <c r="O2005" s="2" t="n"/>
    </row>
    <row r="2006">
      <c r="A2006" s="62">
        <f>IF('25'!$C$1="","",'25'!$C$1)</f>
        <v/>
      </c>
      <c r="B2006" s="63">
        <f>Ustawienia!$A$10&amp;""</f>
        <v/>
      </c>
      <c r="C2006" s="63">
        <f>Ustawienia!$A$15&amp;""</f>
        <v/>
      </c>
      <c r="D2006" s="63" t="n">
        <v>1</v>
      </c>
      <c r="E2006" s="63">
        <f>IF('25'!J13="","",TRIM('25'!J13&amp;""))</f>
        <v/>
      </c>
      <c r="F2006" s="63">
        <f>IF('25'!K13="","",'25'!K13)</f>
        <v/>
      </c>
      <c r="G2006" s="63">
        <f>'25'!L13&amp;""</f>
        <v/>
      </c>
      <c r="H2006" s="63">
        <f>IF(OR(A2006="",F2006=""),"",F2006&amp;"|"&amp;A2006)</f>
        <v/>
      </c>
      <c r="I2006" s="63">
        <f>IF(AND(H2006&lt;&gt;"",OR('Historia wózka'!$B$4="",F2006='Historia wózka'!$B$4),A2006&gt;='Historia wózka'!$B$5,A2006&lt;='Historia wózka'!$B$6),A2006+0.7+(5000-ROW())/10000000,0)</f>
        <v/>
      </c>
      <c r="J2006" s="63">
        <f>Ustawienia!$B$10&amp;""</f>
        <v/>
      </c>
      <c r="K2006" s="63">
        <f>IF(H2006="","",COUNTIFS('Zgłoszenia'!$B$5:$B$504,F2006,'Zgłoszenia'!$D$5:$D$504,"&gt;="&amp;A2006,'Zgłoszenia'!$D$5:$D$504,"&lt;="&amp;(A2006+1)))</f>
        <v/>
      </c>
      <c r="L2006" s="63">
        <f>IF(OR(H2006="",K2006=0),"—",IF(ISNUMBER(MATCH(H2006,'Zgłoszenia'!$S$5:$S$504,0)),RIGHT("0"&amp;DAY(A2006),2)&amp;"."&amp;RIGHT("0"&amp;MONTH(A2006),2)&amp;"."&amp;YEAR(A2006)&amp;": "&amp;INDEX('Zgłoszenia'!$H$5:$H$504,MATCH(H2006,'Zgłoszenia'!$S$5:$S$504,0)),RIGHT("0"&amp;DAY((A2006+1)),2)&amp;"."&amp;RIGHT("0"&amp;MONTH((A2006+1)),2)&amp;"."&amp;YEAR((A2006+1))&amp;": "&amp;INDEX('Zgłoszenia'!$H$5:$H$504,MATCH(F2006&amp;"|"&amp;(A2006+1),'Zgłoszenia'!$S$5:$S$504,0)))&amp;IF(K2006&gt;1," (+"&amp;(K2006-1)&amp;")",""))</f>
        <v/>
      </c>
      <c r="M2006" s="63" t="n">
        <v>25</v>
      </c>
      <c r="N2006" s="2" t="n"/>
      <c r="O2006" s="2" t="n"/>
    </row>
    <row r="2007">
      <c r="A2007" s="62">
        <f>IF('25'!$C$1="","",'25'!$C$1)</f>
        <v/>
      </c>
      <c r="B2007" s="63">
        <f>Ustawienia!$A$10&amp;""</f>
        <v/>
      </c>
      <c r="C2007" s="63">
        <f>Ustawienia!$A$15&amp;""</f>
        <v/>
      </c>
      <c r="D2007" s="63" t="n">
        <v>2</v>
      </c>
      <c r="E2007" s="63">
        <f>IF('25'!J14="","",TRIM('25'!J14&amp;""))</f>
        <v/>
      </c>
      <c r="F2007" s="63">
        <f>IF('25'!K14="","",'25'!K14)</f>
        <v/>
      </c>
      <c r="G2007" s="63">
        <f>'25'!L14&amp;""</f>
        <v/>
      </c>
      <c r="H2007" s="63">
        <f>IF(OR(A2007="",F2007=""),"",F2007&amp;"|"&amp;A2007)</f>
        <v/>
      </c>
      <c r="I2007" s="63">
        <f>IF(AND(H2007&lt;&gt;"",OR('Historia wózka'!$B$4="",F2007='Historia wózka'!$B$4),A2007&gt;='Historia wózka'!$B$5,A2007&lt;='Historia wózka'!$B$6),A2007+0.7+(5000-ROW())/10000000,0)</f>
        <v/>
      </c>
      <c r="J2007" s="63">
        <f>Ustawienia!$B$10&amp;""</f>
        <v/>
      </c>
      <c r="K2007" s="63">
        <f>IF(H2007="","",COUNTIFS('Zgłoszenia'!$B$5:$B$504,F2007,'Zgłoszenia'!$D$5:$D$504,"&gt;="&amp;A2007,'Zgłoszenia'!$D$5:$D$504,"&lt;="&amp;(A2007+1)))</f>
        <v/>
      </c>
      <c r="L2007" s="63">
        <f>IF(OR(H2007="",K2007=0),"—",IF(ISNUMBER(MATCH(H2007,'Zgłoszenia'!$S$5:$S$504,0)),RIGHT("0"&amp;DAY(A2007),2)&amp;"."&amp;RIGHT("0"&amp;MONTH(A2007),2)&amp;"."&amp;YEAR(A2007)&amp;": "&amp;INDEX('Zgłoszenia'!$H$5:$H$504,MATCH(H2007,'Zgłoszenia'!$S$5:$S$504,0)),RIGHT("0"&amp;DAY((A2007+1)),2)&amp;"."&amp;RIGHT("0"&amp;MONTH((A2007+1)),2)&amp;"."&amp;YEAR((A2007+1))&amp;": "&amp;INDEX('Zgłoszenia'!$H$5:$H$504,MATCH(F2007&amp;"|"&amp;(A2007+1),'Zgłoszenia'!$S$5:$S$504,0)))&amp;IF(K2007&gt;1," (+"&amp;(K2007-1)&amp;")",""))</f>
        <v/>
      </c>
      <c r="M2007" s="63" t="n">
        <v>25</v>
      </c>
      <c r="N2007" s="2" t="n"/>
      <c r="O2007" s="2" t="n"/>
    </row>
    <row r="2008">
      <c r="A2008" s="62">
        <f>IF('25'!$C$1="","",'25'!$C$1)</f>
        <v/>
      </c>
      <c r="B2008" s="63">
        <f>Ustawienia!$A$10&amp;""</f>
        <v/>
      </c>
      <c r="C2008" s="63">
        <f>Ustawienia!$A$15&amp;""</f>
        <v/>
      </c>
      <c r="D2008" s="63" t="n">
        <v>3</v>
      </c>
      <c r="E2008" s="63">
        <f>IF('25'!J15="","",TRIM('25'!J15&amp;""))</f>
        <v/>
      </c>
      <c r="F2008" s="63">
        <f>IF('25'!K15="","",'25'!K15)</f>
        <v/>
      </c>
      <c r="G2008" s="63">
        <f>'25'!L15&amp;""</f>
        <v/>
      </c>
      <c r="H2008" s="63">
        <f>IF(OR(A2008="",F2008=""),"",F2008&amp;"|"&amp;A2008)</f>
        <v/>
      </c>
      <c r="I2008" s="63">
        <f>IF(AND(H2008&lt;&gt;"",OR('Historia wózka'!$B$4="",F2008='Historia wózka'!$B$4),A2008&gt;='Historia wózka'!$B$5,A2008&lt;='Historia wózka'!$B$6),A2008+0.7+(5000-ROW())/10000000,0)</f>
        <v/>
      </c>
      <c r="J2008" s="63">
        <f>Ustawienia!$B$10&amp;""</f>
        <v/>
      </c>
      <c r="K2008" s="63">
        <f>IF(H2008="","",COUNTIFS('Zgłoszenia'!$B$5:$B$504,F2008,'Zgłoszenia'!$D$5:$D$504,"&gt;="&amp;A2008,'Zgłoszenia'!$D$5:$D$504,"&lt;="&amp;(A2008+1)))</f>
        <v/>
      </c>
      <c r="L2008" s="63">
        <f>IF(OR(H2008="",K2008=0),"—",IF(ISNUMBER(MATCH(H2008,'Zgłoszenia'!$S$5:$S$504,0)),RIGHT("0"&amp;DAY(A2008),2)&amp;"."&amp;RIGHT("0"&amp;MONTH(A2008),2)&amp;"."&amp;YEAR(A2008)&amp;": "&amp;INDEX('Zgłoszenia'!$H$5:$H$504,MATCH(H2008,'Zgłoszenia'!$S$5:$S$504,0)),RIGHT("0"&amp;DAY((A2008+1)),2)&amp;"."&amp;RIGHT("0"&amp;MONTH((A2008+1)),2)&amp;"."&amp;YEAR((A2008+1))&amp;": "&amp;INDEX('Zgłoszenia'!$H$5:$H$504,MATCH(F2008&amp;"|"&amp;(A2008+1),'Zgłoszenia'!$S$5:$S$504,0)))&amp;IF(K2008&gt;1," (+"&amp;(K2008-1)&amp;")",""))</f>
        <v/>
      </c>
      <c r="M2008" s="63" t="n">
        <v>25</v>
      </c>
      <c r="N2008" s="2" t="n"/>
      <c r="O2008" s="2" t="n"/>
    </row>
    <row r="2009">
      <c r="A2009" s="62">
        <f>IF('25'!$C$1="","",'25'!$C$1)</f>
        <v/>
      </c>
      <c r="B2009" s="63">
        <f>Ustawienia!$A$10&amp;""</f>
        <v/>
      </c>
      <c r="C2009" s="63">
        <f>Ustawienia!$A$15&amp;""</f>
        <v/>
      </c>
      <c r="D2009" s="63" t="n">
        <v>4</v>
      </c>
      <c r="E2009" s="63">
        <f>IF('25'!J16="","",TRIM('25'!J16&amp;""))</f>
        <v/>
      </c>
      <c r="F2009" s="63">
        <f>IF('25'!K16="","",'25'!K16)</f>
        <v/>
      </c>
      <c r="G2009" s="63">
        <f>'25'!L16&amp;""</f>
        <v/>
      </c>
      <c r="H2009" s="63">
        <f>IF(OR(A2009="",F2009=""),"",F2009&amp;"|"&amp;A2009)</f>
        <v/>
      </c>
      <c r="I2009" s="63">
        <f>IF(AND(H2009&lt;&gt;"",OR('Historia wózka'!$B$4="",F2009='Historia wózka'!$B$4),A2009&gt;='Historia wózka'!$B$5,A2009&lt;='Historia wózka'!$B$6),A2009+0.7+(5000-ROW())/10000000,0)</f>
        <v/>
      </c>
      <c r="J2009" s="63">
        <f>Ustawienia!$B$10&amp;""</f>
        <v/>
      </c>
      <c r="K2009" s="63">
        <f>IF(H2009="","",COUNTIFS('Zgłoszenia'!$B$5:$B$504,F2009,'Zgłoszenia'!$D$5:$D$504,"&gt;="&amp;A2009,'Zgłoszenia'!$D$5:$D$504,"&lt;="&amp;(A2009+1)))</f>
        <v/>
      </c>
      <c r="L2009" s="63">
        <f>IF(OR(H2009="",K2009=0),"—",IF(ISNUMBER(MATCH(H2009,'Zgłoszenia'!$S$5:$S$504,0)),RIGHT("0"&amp;DAY(A2009),2)&amp;"."&amp;RIGHT("0"&amp;MONTH(A2009),2)&amp;"."&amp;YEAR(A2009)&amp;": "&amp;INDEX('Zgłoszenia'!$H$5:$H$504,MATCH(H2009,'Zgłoszenia'!$S$5:$S$504,0)),RIGHT("0"&amp;DAY((A2009+1)),2)&amp;"."&amp;RIGHT("0"&amp;MONTH((A2009+1)),2)&amp;"."&amp;YEAR((A2009+1))&amp;": "&amp;INDEX('Zgłoszenia'!$H$5:$H$504,MATCH(F2009&amp;"|"&amp;(A2009+1),'Zgłoszenia'!$S$5:$S$504,0)))&amp;IF(K2009&gt;1," (+"&amp;(K2009-1)&amp;")",""))</f>
        <v/>
      </c>
      <c r="M2009" s="63" t="n">
        <v>25</v>
      </c>
      <c r="N2009" s="2" t="n"/>
      <c r="O2009" s="2" t="n"/>
    </row>
    <row r="2010">
      <c r="A2010" s="62">
        <f>IF('25'!$C$1="","",'25'!$C$1)</f>
        <v/>
      </c>
      <c r="B2010" s="63">
        <f>Ustawienia!$A$10&amp;""</f>
        <v/>
      </c>
      <c r="C2010" s="63">
        <f>Ustawienia!$A$15&amp;""</f>
        <v/>
      </c>
      <c r="D2010" s="63" t="n">
        <v>5</v>
      </c>
      <c r="E2010" s="63">
        <f>IF('25'!J17="","",TRIM('25'!J17&amp;""))</f>
        <v/>
      </c>
      <c r="F2010" s="63">
        <f>IF('25'!K17="","",'25'!K17)</f>
        <v/>
      </c>
      <c r="G2010" s="63">
        <f>'25'!L17&amp;""</f>
        <v/>
      </c>
      <c r="H2010" s="63">
        <f>IF(OR(A2010="",F2010=""),"",F2010&amp;"|"&amp;A2010)</f>
        <v/>
      </c>
      <c r="I2010" s="63">
        <f>IF(AND(H2010&lt;&gt;"",OR('Historia wózka'!$B$4="",F2010='Historia wózka'!$B$4),A2010&gt;='Historia wózka'!$B$5,A2010&lt;='Historia wózka'!$B$6),A2010+0.7+(5000-ROW())/10000000,0)</f>
        <v/>
      </c>
      <c r="J2010" s="63">
        <f>Ustawienia!$B$10&amp;""</f>
        <v/>
      </c>
      <c r="K2010" s="63">
        <f>IF(H2010="","",COUNTIFS('Zgłoszenia'!$B$5:$B$504,F2010,'Zgłoszenia'!$D$5:$D$504,"&gt;="&amp;A2010,'Zgłoszenia'!$D$5:$D$504,"&lt;="&amp;(A2010+1)))</f>
        <v/>
      </c>
      <c r="L2010" s="63">
        <f>IF(OR(H2010="",K2010=0),"—",IF(ISNUMBER(MATCH(H2010,'Zgłoszenia'!$S$5:$S$504,0)),RIGHT("0"&amp;DAY(A2010),2)&amp;"."&amp;RIGHT("0"&amp;MONTH(A2010),2)&amp;"."&amp;YEAR(A2010)&amp;": "&amp;INDEX('Zgłoszenia'!$H$5:$H$504,MATCH(H2010,'Zgłoszenia'!$S$5:$S$504,0)),RIGHT("0"&amp;DAY((A2010+1)),2)&amp;"."&amp;RIGHT("0"&amp;MONTH((A2010+1)),2)&amp;"."&amp;YEAR((A2010+1))&amp;": "&amp;INDEX('Zgłoszenia'!$H$5:$H$504,MATCH(F2010&amp;"|"&amp;(A2010+1),'Zgłoszenia'!$S$5:$S$504,0)))&amp;IF(K2010&gt;1," (+"&amp;(K2010-1)&amp;")",""))</f>
        <v/>
      </c>
      <c r="M2010" s="63" t="n">
        <v>25</v>
      </c>
      <c r="N2010" s="2" t="n"/>
      <c r="O2010" s="2" t="n"/>
    </row>
    <row r="2011">
      <c r="A2011" s="62">
        <f>IF('25'!$C$1="","",'25'!$C$1)</f>
        <v/>
      </c>
      <c r="B2011" s="63">
        <f>Ustawienia!$A$10&amp;""</f>
        <v/>
      </c>
      <c r="C2011" s="63">
        <f>Ustawienia!$A$15&amp;""</f>
        <v/>
      </c>
      <c r="D2011" s="63" t="n">
        <v>6</v>
      </c>
      <c r="E2011" s="63">
        <f>IF('25'!J18="","",TRIM('25'!J18&amp;""))</f>
        <v/>
      </c>
      <c r="F2011" s="63">
        <f>IF('25'!K18="","",'25'!K18)</f>
        <v/>
      </c>
      <c r="G2011" s="63">
        <f>'25'!L18&amp;""</f>
        <v/>
      </c>
      <c r="H2011" s="63">
        <f>IF(OR(A2011="",F2011=""),"",F2011&amp;"|"&amp;A2011)</f>
        <v/>
      </c>
      <c r="I2011" s="63">
        <f>IF(AND(H2011&lt;&gt;"",OR('Historia wózka'!$B$4="",F2011='Historia wózka'!$B$4),A2011&gt;='Historia wózka'!$B$5,A2011&lt;='Historia wózka'!$B$6),A2011+0.7+(5000-ROW())/10000000,0)</f>
        <v/>
      </c>
      <c r="J2011" s="63">
        <f>Ustawienia!$B$10&amp;""</f>
        <v/>
      </c>
      <c r="K2011" s="63">
        <f>IF(H2011="","",COUNTIFS('Zgłoszenia'!$B$5:$B$504,F2011,'Zgłoszenia'!$D$5:$D$504,"&gt;="&amp;A2011,'Zgłoszenia'!$D$5:$D$504,"&lt;="&amp;(A2011+1)))</f>
        <v/>
      </c>
      <c r="L2011" s="63">
        <f>IF(OR(H2011="",K2011=0),"—",IF(ISNUMBER(MATCH(H2011,'Zgłoszenia'!$S$5:$S$504,0)),RIGHT("0"&amp;DAY(A2011),2)&amp;"."&amp;RIGHT("0"&amp;MONTH(A2011),2)&amp;"."&amp;YEAR(A2011)&amp;": "&amp;INDEX('Zgłoszenia'!$H$5:$H$504,MATCH(H2011,'Zgłoszenia'!$S$5:$S$504,0)),RIGHT("0"&amp;DAY((A2011+1)),2)&amp;"."&amp;RIGHT("0"&amp;MONTH((A2011+1)),2)&amp;"."&amp;YEAR((A2011+1))&amp;": "&amp;INDEX('Zgłoszenia'!$H$5:$H$504,MATCH(F2011&amp;"|"&amp;(A2011+1),'Zgłoszenia'!$S$5:$S$504,0)))&amp;IF(K2011&gt;1," (+"&amp;(K2011-1)&amp;")",""))</f>
        <v/>
      </c>
      <c r="M2011" s="63" t="n">
        <v>25</v>
      </c>
      <c r="N2011" s="2" t="n"/>
      <c r="O2011" s="2" t="n"/>
    </row>
    <row r="2012">
      <c r="A2012" s="62">
        <f>IF('25'!$C$1="","",'25'!$C$1)</f>
        <v/>
      </c>
      <c r="B2012" s="63">
        <f>Ustawienia!$A$10&amp;""</f>
        <v/>
      </c>
      <c r="C2012" s="63">
        <f>Ustawienia!$A$15&amp;""</f>
        <v/>
      </c>
      <c r="D2012" s="63" t="n">
        <v>7</v>
      </c>
      <c r="E2012" s="63">
        <f>IF('25'!J19="","",TRIM('25'!J19&amp;""))</f>
        <v/>
      </c>
      <c r="F2012" s="63">
        <f>IF('25'!K19="","",'25'!K19)</f>
        <v/>
      </c>
      <c r="G2012" s="63">
        <f>'25'!L19&amp;""</f>
        <v/>
      </c>
      <c r="H2012" s="63">
        <f>IF(OR(A2012="",F2012=""),"",F2012&amp;"|"&amp;A2012)</f>
        <v/>
      </c>
      <c r="I2012" s="63">
        <f>IF(AND(H2012&lt;&gt;"",OR('Historia wózka'!$B$4="",F2012='Historia wózka'!$B$4),A2012&gt;='Historia wózka'!$B$5,A2012&lt;='Historia wózka'!$B$6),A2012+0.7+(5000-ROW())/10000000,0)</f>
        <v/>
      </c>
      <c r="J2012" s="63">
        <f>Ustawienia!$B$10&amp;""</f>
        <v/>
      </c>
      <c r="K2012" s="63">
        <f>IF(H2012="","",COUNTIFS('Zgłoszenia'!$B$5:$B$504,F2012,'Zgłoszenia'!$D$5:$D$504,"&gt;="&amp;A2012,'Zgłoszenia'!$D$5:$D$504,"&lt;="&amp;(A2012+1)))</f>
        <v/>
      </c>
      <c r="L2012" s="63">
        <f>IF(OR(H2012="",K2012=0),"—",IF(ISNUMBER(MATCH(H2012,'Zgłoszenia'!$S$5:$S$504,0)),RIGHT("0"&amp;DAY(A2012),2)&amp;"."&amp;RIGHT("0"&amp;MONTH(A2012),2)&amp;"."&amp;YEAR(A2012)&amp;": "&amp;INDEX('Zgłoszenia'!$H$5:$H$504,MATCH(H2012,'Zgłoszenia'!$S$5:$S$504,0)),RIGHT("0"&amp;DAY((A2012+1)),2)&amp;"."&amp;RIGHT("0"&amp;MONTH((A2012+1)),2)&amp;"."&amp;YEAR((A2012+1))&amp;": "&amp;INDEX('Zgłoszenia'!$H$5:$H$504,MATCH(F2012&amp;"|"&amp;(A2012+1),'Zgłoszenia'!$S$5:$S$504,0)))&amp;IF(K2012&gt;1," (+"&amp;(K2012-1)&amp;")",""))</f>
        <v/>
      </c>
      <c r="M2012" s="63" t="n">
        <v>25</v>
      </c>
      <c r="N2012" s="2" t="n"/>
      <c r="O2012" s="2" t="n"/>
    </row>
    <row r="2013">
      <c r="A2013" s="62">
        <f>IF('25'!$C$1="","",'25'!$C$1)</f>
        <v/>
      </c>
      <c r="B2013" s="63">
        <f>Ustawienia!$A$10&amp;""</f>
        <v/>
      </c>
      <c r="C2013" s="63">
        <f>Ustawienia!$A$15&amp;""</f>
        <v/>
      </c>
      <c r="D2013" s="63" t="n">
        <v>8</v>
      </c>
      <c r="E2013" s="63">
        <f>IF('25'!J20="","",TRIM('25'!J20&amp;""))</f>
        <v/>
      </c>
      <c r="F2013" s="63">
        <f>IF('25'!K20="","",'25'!K20)</f>
        <v/>
      </c>
      <c r="G2013" s="63">
        <f>'25'!L20&amp;""</f>
        <v/>
      </c>
      <c r="H2013" s="63">
        <f>IF(OR(A2013="",F2013=""),"",F2013&amp;"|"&amp;A2013)</f>
        <v/>
      </c>
      <c r="I2013" s="63">
        <f>IF(AND(H2013&lt;&gt;"",OR('Historia wózka'!$B$4="",F2013='Historia wózka'!$B$4),A2013&gt;='Historia wózka'!$B$5,A2013&lt;='Historia wózka'!$B$6),A2013+0.7+(5000-ROW())/10000000,0)</f>
        <v/>
      </c>
      <c r="J2013" s="63">
        <f>Ustawienia!$B$10&amp;""</f>
        <v/>
      </c>
      <c r="K2013" s="63">
        <f>IF(H2013="","",COUNTIFS('Zgłoszenia'!$B$5:$B$504,F2013,'Zgłoszenia'!$D$5:$D$504,"&gt;="&amp;A2013,'Zgłoszenia'!$D$5:$D$504,"&lt;="&amp;(A2013+1)))</f>
        <v/>
      </c>
      <c r="L2013" s="63">
        <f>IF(OR(H2013="",K2013=0),"—",IF(ISNUMBER(MATCH(H2013,'Zgłoszenia'!$S$5:$S$504,0)),RIGHT("0"&amp;DAY(A2013),2)&amp;"."&amp;RIGHT("0"&amp;MONTH(A2013),2)&amp;"."&amp;YEAR(A2013)&amp;": "&amp;INDEX('Zgłoszenia'!$H$5:$H$504,MATCH(H2013,'Zgłoszenia'!$S$5:$S$504,0)),RIGHT("0"&amp;DAY((A2013+1)),2)&amp;"."&amp;RIGHT("0"&amp;MONTH((A2013+1)),2)&amp;"."&amp;YEAR((A2013+1))&amp;": "&amp;INDEX('Zgłoszenia'!$H$5:$H$504,MATCH(F2013&amp;"|"&amp;(A2013+1),'Zgłoszenia'!$S$5:$S$504,0)))&amp;IF(K2013&gt;1," (+"&amp;(K2013-1)&amp;")",""))</f>
        <v/>
      </c>
      <c r="M2013" s="63" t="n">
        <v>25</v>
      </c>
      <c r="N2013" s="2" t="n"/>
      <c r="O2013" s="2" t="n"/>
    </row>
    <row r="2014">
      <c r="A2014" s="62">
        <f>IF('25'!$C$1="","",'25'!$C$1)</f>
        <v/>
      </c>
      <c r="B2014" s="63">
        <f>Ustawienia!$A$10&amp;""</f>
        <v/>
      </c>
      <c r="C2014" s="63">
        <f>Ustawienia!$A$16&amp;""</f>
        <v/>
      </c>
      <c r="D2014" s="63" t="n">
        <v>1</v>
      </c>
      <c r="E2014" s="63">
        <f>IF('25'!J22="","",TRIM('25'!J22&amp;""))</f>
        <v/>
      </c>
      <c r="F2014" s="63">
        <f>IF('25'!K22="","",'25'!K22)</f>
        <v/>
      </c>
      <c r="G2014" s="63">
        <f>'25'!L22&amp;""</f>
        <v/>
      </c>
      <c r="H2014" s="63">
        <f>IF(OR(A2014="",F2014=""),"",F2014&amp;"|"&amp;A2014)</f>
        <v/>
      </c>
      <c r="I2014" s="63">
        <f>IF(AND(H2014&lt;&gt;"",OR('Historia wózka'!$B$4="",F2014='Historia wózka'!$B$4),A2014&gt;='Historia wózka'!$B$5,A2014&lt;='Historia wózka'!$B$6),A2014+0.7+(5000-ROW())/10000000,0)</f>
        <v/>
      </c>
      <c r="J2014" s="63">
        <f>Ustawienia!$B$10&amp;""</f>
        <v/>
      </c>
      <c r="K2014" s="63">
        <f>IF(H2014="","",COUNTIFS('Zgłoszenia'!$B$5:$B$504,F2014,'Zgłoszenia'!$D$5:$D$504,"&gt;="&amp;A2014,'Zgłoszenia'!$D$5:$D$504,"&lt;="&amp;(A2014+1)))</f>
        <v/>
      </c>
      <c r="L2014" s="63">
        <f>IF(OR(H2014="",K2014=0),"—",IF(ISNUMBER(MATCH(H2014,'Zgłoszenia'!$S$5:$S$504,0)),RIGHT("0"&amp;DAY(A2014),2)&amp;"."&amp;RIGHT("0"&amp;MONTH(A2014),2)&amp;"."&amp;YEAR(A2014)&amp;": "&amp;INDEX('Zgłoszenia'!$H$5:$H$504,MATCH(H2014,'Zgłoszenia'!$S$5:$S$504,0)),RIGHT("0"&amp;DAY((A2014+1)),2)&amp;"."&amp;RIGHT("0"&amp;MONTH((A2014+1)),2)&amp;"."&amp;YEAR((A2014+1))&amp;": "&amp;INDEX('Zgłoszenia'!$H$5:$H$504,MATCH(F2014&amp;"|"&amp;(A2014+1),'Zgłoszenia'!$S$5:$S$504,0)))&amp;IF(K2014&gt;1," (+"&amp;(K2014-1)&amp;")",""))</f>
        <v/>
      </c>
      <c r="M2014" s="63" t="n">
        <v>25</v>
      </c>
      <c r="N2014" s="2" t="n"/>
      <c r="O2014" s="2" t="n"/>
    </row>
    <row r="2015">
      <c r="A2015" s="62">
        <f>IF('25'!$C$1="","",'25'!$C$1)</f>
        <v/>
      </c>
      <c r="B2015" s="63">
        <f>Ustawienia!$A$10&amp;""</f>
        <v/>
      </c>
      <c r="C2015" s="63">
        <f>Ustawienia!$A$16&amp;""</f>
        <v/>
      </c>
      <c r="D2015" s="63" t="n">
        <v>2</v>
      </c>
      <c r="E2015" s="63">
        <f>IF('25'!J23="","",TRIM('25'!J23&amp;""))</f>
        <v/>
      </c>
      <c r="F2015" s="63">
        <f>IF('25'!K23="","",'25'!K23)</f>
        <v/>
      </c>
      <c r="G2015" s="63">
        <f>'25'!L23&amp;""</f>
        <v/>
      </c>
      <c r="H2015" s="63">
        <f>IF(OR(A2015="",F2015=""),"",F2015&amp;"|"&amp;A2015)</f>
        <v/>
      </c>
      <c r="I2015" s="63">
        <f>IF(AND(H2015&lt;&gt;"",OR('Historia wózka'!$B$4="",F2015='Historia wózka'!$B$4),A2015&gt;='Historia wózka'!$B$5,A2015&lt;='Historia wózka'!$B$6),A2015+0.7+(5000-ROW())/10000000,0)</f>
        <v/>
      </c>
      <c r="J2015" s="63">
        <f>Ustawienia!$B$10&amp;""</f>
        <v/>
      </c>
      <c r="K2015" s="63">
        <f>IF(H2015="","",COUNTIFS('Zgłoszenia'!$B$5:$B$504,F2015,'Zgłoszenia'!$D$5:$D$504,"&gt;="&amp;A2015,'Zgłoszenia'!$D$5:$D$504,"&lt;="&amp;(A2015+1)))</f>
        <v/>
      </c>
      <c r="L2015" s="63">
        <f>IF(OR(H2015="",K2015=0),"—",IF(ISNUMBER(MATCH(H2015,'Zgłoszenia'!$S$5:$S$504,0)),RIGHT("0"&amp;DAY(A2015),2)&amp;"."&amp;RIGHT("0"&amp;MONTH(A2015),2)&amp;"."&amp;YEAR(A2015)&amp;": "&amp;INDEX('Zgłoszenia'!$H$5:$H$504,MATCH(H2015,'Zgłoszenia'!$S$5:$S$504,0)),RIGHT("0"&amp;DAY((A2015+1)),2)&amp;"."&amp;RIGHT("0"&amp;MONTH((A2015+1)),2)&amp;"."&amp;YEAR((A2015+1))&amp;": "&amp;INDEX('Zgłoszenia'!$H$5:$H$504,MATCH(F2015&amp;"|"&amp;(A2015+1),'Zgłoszenia'!$S$5:$S$504,0)))&amp;IF(K2015&gt;1," (+"&amp;(K2015-1)&amp;")",""))</f>
        <v/>
      </c>
      <c r="M2015" s="63" t="n">
        <v>25</v>
      </c>
      <c r="N2015" s="2" t="n"/>
      <c r="O2015" s="2" t="n"/>
    </row>
    <row r="2016">
      <c r="A2016" s="62">
        <f>IF('25'!$C$1="","",'25'!$C$1)</f>
        <v/>
      </c>
      <c r="B2016" s="63">
        <f>Ustawienia!$A$10&amp;""</f>
        <v/>
      </c>
      <c r="C2016" s="63">
        <f>Ustawienia!$A$16&amp;""</f>
        <v/>
      </c>
      <c r="D2016" s="63" t="n">
        <v>3</v>
      </c>
      <c r="E2016" s="63">
        <f>IF('25'!J24="","",TRIM('25'!J24&amp;""))</f>
        <v/>
      </c>
      <c r="F2016" s="63">
        <f>IF('25'!K24="","",'25'!K24)</f>
        <v/>
      </c>
      <c r="G2016" s="63">
        <f>'25'!L24&amp;""</f>
        <v/>
      </c>
      <c r="H2016" s="63">
        <f>IF(OR(A2016="",F2016=""),"",F2016&amp;"|"&amp;A2016)</f>
        <v/>
      </c>
      <c r="I2016" s="63">
        <f>IF(AND(H2016&lt;&gt;"",OR('Historia wózka'!$B$4="",F2016='Historia wózka'!$B$4),A2016&gt;='Historia wózka'!$B$5,A2016&lt;='Historia wózka'!$B$6),A2016+0.7+(5000-ROW())/10000000,0)</f>
        <v/>
      </c>
      <c r="J2016" s="63">
        <f>Ustawienia!$B$10&amp;""</f>
        <v/>
      </c>
      <c r="K2016" s="63">
        <f>IF(H2016="","",COUNTIFS('Zgłoszenia'!$B$5:$B$504,F2016,'Zgłoszenia'!$D$5:$D$504,"&gt;="&amp;A2016,'Zgłoszenia'!$D$5:$D$504,"&lt;="&amp;(A2016+1)))</f>
        <v/>
      </c>
      <c r="L2016" s="63">
        <f>IF(OR(H2016="",K2016=0),"—",IF(ISNUMBER(MATCH(H2016,'Zgłoszenia'!$S$5:$S$504,0)),RIGHT("0"&amp;DAY(A2016),2)&amp;"."&amp;RIGHT("0"&amp;MONTH(A2016),2)&amp;"."&amp;YEAR(A2016)&amp;": "&amp;INDEX('Zgłoszenia'!$H$5:$H$504,MATCH(H2016,'Zgłoszenia'!$S$5:$S$504,0)),RIGHT("0"&amp;DAY((A2016+1)),2)&amp;"."&amp;RIGHT("0"&amp;MONTH((A2016+1)),2)&amp;"."&amp;YEAR((A2016+1))&amp;": "&amp;INDEX('Zgłoszenia'!$H$5:$H$504,MATCH(F2016&amp;"|"&amp;(A2016+1),'Zgłoszenia'!$S$5:$S$504,0)))&amp;IF(K2016&gt;1," (+"&amp;(K2016-1)&amp;")",""))</f>
        <v/>
      </c>
      <c r="M2016" s="63" t="n">
        <v>25</v>
      </c>
      <c r="N2016" s="2" t="n"/>
      <c r="O2016" s="2" t="n"/>
    </row>
    <row r="2017">
      <c r="A2017" s="62">
        <f>IF('25'!$C$1="","",'25'!$C$1)</f>
        <v/>
      </c>
      <c r="B2017" s="63">
        <f>Ustawienia!$A$10&amp;""</f>
        <v/>
      </c>
      <c r="C2017" s="63">
        <f>Ustawienia!$A$16&amp;""</f>
        <v/>
      </c>
      <c r="D2017" s="63" t="n">
        <v>4</v>
      </c>
      <c r="E2017" s="63">
        <f>IF('25'!J25="","",TRIM('25'!J25&amp;""))</f>
        <v/>
      </c>
      <c r="F2017" s="63">
        <f>IF('25'!K25="","",'25'!K25)</f>
        <v/>
      </c>
      <c r="G2017" s="63">
        <f>'25'!L25&amp;""</f>
        <v/>
      </c>
      <c r="H2017" s="63">
        <f>IF(OR(A2017="",F2017=""),"",F2017&amp;"|"&amp;A2017)</f>
        <v/>
      </c>
      <c r="I2017" s="63">
        <f>IF(AND(H2017&lt;&gt;"",OR('Historia wózka'!$B$4="",F2017='Historia wózka'!$B$4),A2017&gt;='Historia wózka'!$B$5,A2017&lt;='Historia wózka'!$B$6),A2017+0.7+(5000-ROW())/10000000,0)</f>
        <v/>
      </c>
      <c r="J2017" s="63">
        <f>Ustawienia!$B$10&amp;""</f>
        <v/>
      </c>
      <c r="K2017" s="63">
        <f>IF(H2017="","",COUNTIFS('Zgłoszenia'!$B$5:$B$504,F2017,'Zgłoszenia'!$D$5:$D$504,"&gt;="&amp;A2017,'Zgłoszenia'!$D$5:$D$504,"&lt;="&amp;(A2017+1)))</f>
        <v/>
      </c>
      <c r="L2017" s="63">
        <f>IF(OR(H2017="",K2017=0),"—",IF(ISNUMBER(MATCH(H2017,'Zgłoszenia'!$S$5:$S$504,0)),RIGHT("0"&amp;DAY(A2017),2)&amp;"."&amp;RIGHT("0"&amp;MONTH(A2017),2)&amp;"."&amp;YEAR(A2017)&amp;": "&amp;INDEX('Zgłoszenia'!$H$5:$H$504,MATCH(H2017,'Zgłoszenia'!$S$5:$S$504,0)),RIGHT("0"&amp;DAY((A2017+1)),2)&amp;"."&amp;RIGHT("0"&amp;MONTH((A2017+1)),2)&amp;"."&amp;YEAR((A2017+1))&amp;": "&amp;INDEX('Zgłoszenia'!$H$5:$H$504,MATCH(F2017&amp;"|"&amp;(A2017+1),'Zgłoszenia'!$S$5:$S$504,0)))&amp;IF(K2017&gt;1," (+"&amp;(K2017-1)&amp;")",""))</f>
        <v/>
      </c>
      <c r="M2017" s="63" t="n">
        <v>25</v>
      </c>
      <c r="N2017" s="2" t="n"/>
      <c r="O2017" s="2" t="n"/>
    </row>
    <row r="2018">
      <c r="A2018" s="62">
        <f>IF('25'!$C$1="","",'25'!$C$1)</f>
        <v/>
      </c>
      <c r="B2018" s="63">
        <f>Ustawienia!$A$10&amp;""</f>
        <v/>
      </c>
      <c r="C2018" s="63">
        <f>Ustawienia!$A$17&amp;""</f>
        <v/>
      </c>
      <c r="D2018" s="63" t="n">
        <v>1</v>
      </c>
      <c r="E2018" s="63">
        <f>IF('25'!J27="","",TRIM('25'!J27&amp;""))</f>
        <v/>
      </c>
      <c r="F2018" s="63">
        <f>IF('25'!K27="","",'25'!K27)</f>
        <v/>
      </c>
      <c r="G2018" s="63">
        <f>'25'!L27&amp;""</f>
        <v/>
      </c>
      <c r="H2018" s="63">
        <f>IF(OR(A2018="",F2018=""),"",F2018&amp;"|"&amp;A2018)</f>
        <v/>
      </c>
      <c r="I2018" s="63">
        <f>IF(AND(H2018&lt;&gt;"",OR('Historia wózka'!$B$4="",F2018='Historia wózka'!$B$4),A2018&gt;='Historia wózka'!$B$5,A2018&lt;='Historia wózka'!$B$6),A2018+0.7+(5000-ROW())/10000000,0)</f>
        <v/>
      </c>
      <c r="J2018" s="63">
        <f>Ustawienia!$B$10&amp;""</f>
        <v/>
      </c>
      <c r="K2018" s="63">
        <f>IF(H2018="","",COUNTIFS('Zgłoszenia'!$B$5:$B$504,F2018,'Zgłoszenia'!$D$5:$D$504,"&gt;="&amp;A2018,'Zgłoszenia'!$D$5:$D$504,"&lt;="&amp;(A2018+1)))</f>
        <v/>
      </c>
      <c r="L2018" s="63">
        <f>IF(OR(H2018="",K2018=0),"—",IF(ISNUMBER(MATCH(H2018,'Zgłoszenia'!$S$5:$S$504,0)),RIGHT("0"&amp;DAY(A2018),2)&amp;"."&amp;RIGHT("0"&amp;MONTH(A2018),2)&amp;"."&amp;YEAR(A2018)&amp;": "&amp;INDEX('Zgłoszenia'!$H$5:$H$504,MATCH(H2018,'Zgłoszenia'!$S$5:$S$504,0)),RIGHT("0"&amp;DAY((A2018+1)),2)&amp;"."&amp;RIGHT("0"&amp;MONTH((A2018+1)),2)&amp;"."&amp;YEAR((A2018+1))&amp;": "&amp;INDEX('Zgłoszenia'!$H$5:$H$504,MATCH(F2018&amp;"|"&amp;(A2018+1),'Zgłoszenia'!$S$5:$S$504,0)))&amp;IF(K2018&gt;1," (+"&amp;(K2018-1)&amp;")",""))</f>
        <v/>
      </c>
      <c r="M2018" s="63" t="n">
        <v>25</v>
      </c>
      <c r="N2018" s="2" t="n"/>
      <c r="O2018" s="2" t="n"/>
    </row>
    <row r="2019">
      <c r="A2019" s="62">
        <f>IF('25'!$C$1="","",'25'!$C$1)</f>
        <v/>
      </c>
      <c r="B2019" s="63">
        <f>Ustawienia!$A$10&amp;""</f>
        <v/>
      </c>
      <c r="C2019" s="63">
        <f>Ustawienia!$A$17&amp;""</f>
        <v/>
      </c>
      <c r="D2019" s="63" t="n">
        <v>2</v>
      </c>
      <c r="E2019" s="63">
        <f>IF('25'!J28="","",TRIM('25'!J28&amp;""))</f>
        <v/>
      </c>
      <c r="F2019" s="63">
        <f>IF('25'!K28="","",'25'!K28)</f>
        <v/>
      </c>
      <c r="G2019" s="63">
        <f>'25'!L28&amp;""</f>
        <v/>
      </c>
      <c r="H2019" s="63">
        <f>IF(OR(A2019="",F2019=""),"",F2019&amp;"|"&amp;A2019)</f>
        <v/>
      </c>
      <c r="I2019" s="63">
        <f>IF(AND(H2019&lt;&gt;"",OR('Historia wózka'!$B$4="",F2019='Historia wózka'!$B$4),A2019&gt;='Historia wózka'!$B$5,A2019&lt;='Historia wózka'!$B$6),A2019+0.7+(5000-ROW())/10000000,0)</f>
        <v/>
      </c>
      <c r="J2019" s="63">
        <f>Ustawienia!$B$10&amp;""</f>
        <v/>
      </c>
      <c r="K2019" s="63">
        <f>IF(H2019="","",COUNTIFS('Zgłoszenia'!$B$5:$B$504,F2019,'Zgłoszenia'!$D$5:$D$504,"&gt;="&amp;A2019,'Zgłoszenia'!$D$5:$D$504,"&lt;="&amp;(A2019+1)))</f>
        <v/>
      </c>
      <c r="L2019" s="63">
        <f>IF(OR(H2019="",K2019=0),"—",IF(ISNUMBER(MATCH(H2019,'Zgłoszenia'!$S$5:$S$504,0)),RIGHT("0"&amp;DAY(A2019),2)&amp;"."&amp;RIGHT("0"&amp;MONTH(A2019),2)&amp;"."&amp;YEAR(A2019)&amp;": "&amp;INDEX('Zgłoszenia'!$H$5:$H$504,MATCH(H2019,'Zgłoszenia'!$S$5:$S$504,0)),RIGHT("0"&amp;DAY((A2019+1)),2)&amp;"."&amp;RIGHT("0"&amp;MONTH((A2019+1)),2)&amp;"."&amp;YEAR((A2019+1))&amp;": "&amp;INDEX('Zgłoszenia'!$H$5:$H$504,MATCH(F2019&amp;"|"&amp;(A2019+1),'Zgłoszenia'!$S$5:$S$504,0)))&amp;IF(K2019&gt;1," (+"&amp;(K2019-1)&amp;")",""))</f>
        <v/>
      </c>
      <c r="M2019" s="63" t="n">
        <v>25</v>
      </c>
      <c r="N2019" s="2" t="n"/>
      <c r="O2019" s="2" t="n"/>
    </row>
    <row r="2020">
      <c r="A2020" s="62">
        <f>IF('25'!$C$1="","",'25'!$C$1)</f>
        <v/>
      </c>
      <c r="B2020" s="63">
        <f>Ustawienia!$A$10&amp;""</f>
        <v/>
      </c>
      <c r="C2020" s="63">
        <f>Ustawienia!$A$17&amp;""</f>
        <v/>
      </c>
      <c r="D2020" s="63" t="n">
        <v>3</v>
      </c>
      <c r="E2020" s="63">
        <f>IF('25'!J29="","",TRIM('25'!J29&amp;""))</f>
        <v/>
      </c>
      <c r="F2020" s="63">
        <f>IF('25'!K29="","",'25'!K29)</f>
        <v/>
      </c>
      <c r="G2020" s="63">
        <f>'25'!L29&amp;""</f>
        <v/>
      </c>
      <c r="H2020" s="63">
        <f>IF(OR(A2020="",F2020=""),"",F2020&amp;"|"&amp;A2020)</f>
        <v/>
      </c>
      <c r="I2020" s="63">
        <f>IF(AND(H2020&lt;&gt;"",OR('Historia wózka'!$B$4="",F2020='Historia wózka'!$B$4),A2020&gt;='Historia wózka'!$B$5,A2020&lt;='Historia wózka'!$B$6),A2020+0.7+(5000-ROW())/10000000,0)</f>
        <v/>
      </c>
      <c r="J2020" s="63">
        <f>Ustawienia!$B$10&amp;""</f>
        <v/>
      </c>
      <c r="K2020" s="63">
        <f>IF(H2020="","",COUNTIFS('Zgłoszenia'!$B$5:$B$504,F2020,'Zgłoszenia'!$D$5:$D$504,"&gt;="&amp;A2020,'Zgłoszenia'!$D$5:$D$504,"&lt;="&amp;(A2020+1)))</f>
        <v/>
      </c>
      <c r="L2020" s="63">
        <f>IF(OR(H2020="",K2020=0),"—",IF(ISNUMBER(MATCH(H2020,'Zgłoszenia'!$S$5:$S$504,0)),RIGHT("0"&amp;DAY(A2020),2)&amp;"."&amp;RIGHT("0"&amp;MONTH(A2020),2)&amp;"."&amp;YEAR(A2020)&amp;": "&amp;INDEX('Zgłoszenia'!$H$5:$H$504,MATCH(H2020,'Zgłoszenia'!$S$5:$S$504,0)),RIGHT("0"&amp;DAY((A2020+1)),2)&amp;"."&amp;RIGHT("0"&amp;MONTH((A2020+1)),2)&amp;"."&amp;YEAR((A2020+1))&amp;": "&amp;INDEX('Zgłoszenia'!$H$5:$H$504,MATCH(F2020&amp;"|"&amp;(A2020+1),'Zgłoszenia'!$S$5:$S$504,0)))&amp;IF(K2020&gt;1," (+"&amp;(K2020-1)&amp;")",""))</f>
        <v/>
      </c>
      <c r="M2020" s="63" t="n">
        <v>25</v>
      </c>
      <c r="N2020" s="2" t="n"/>
      <c r="O2020" s="2" t="n"/>
    </row>
    <row r="2021">
      <c r="A2021" s="62">
        <f>IF('25'!$C$1="","",'25'!$C$1)</f>
        <v/>
      </c>
      <c r="B2021" s="63">
        <f>Ustawienia!$A$10&amp;""</f>
        <v/>
      </c>
      <c r="C2021" s="63">
        <f>Ustawienia!$A$17&amp;""</f>
        <v/>
      </c>
      <c r="D2021" s="63" t="n">
        <v>4</v>
      </c>
      <c r="E2021" s="63">
        <f>IF('25'!J30="","",TRIM('25'!J30&amp;""))</f>
        <v/>
      </c>
      <c r="F2021" s="63">
        <f>IF('25'!K30="","",'25'!K30)</f>
        <v/>
      </c>
      <c r="G2021" s="63">
        <f>'25'!L30&amp;""</f>
        <v/>
      </c>
      <c r="H2021" s="63">
        <f>IF(OR(A2021="",F2021=""),"",F2021&amp;"|"&amp;A2021)</f>
        <v/>
      </c>
      <c r="I2021" s="63">
        <f>IF(AND(H2021&lt;&gt;"",OR('Historia wózka'!$B$4="",F2021='Historia wózka'!$B$4),A2021&gt;='Historia wózka'!$B$5,A2021&lt;='Historia wózka'!$B$6),A2021+0.7+(5000-ROW())/10000000,0)</f>
        <v/>
      </c>
      <c r="J2021" s="63">
        <f>Ustawienia!$B$10&amp;""</f>
        <v/>
      </c>
      <c r="K2021" s="63">
        <f>IF(H2021="","",COUNTIFS('Zgłoszenia'!$B$5:$B$504,F2021,'Zgłoszenia'!$D$5:$D$504,"&gt;="&amp;A2021,'Zgłoszenia'!$D$5:$D$504,"&lt;="&amp;(A2021+1)))</f>
        <v/>
      </c>
      <c r="L2021" s="63">
        <f>IF(OR(H2021="",K2021=0),"—",IF(ISNUMBER(MATCH(H2021,'Zgłoszenia'!$S$5:$S$504,0)),RIGHT("0"&amp;DAY(A2021),2)&amp;"."&amp;RIGHT("0"&amp;MONTH(A2021),2)&amp;"."&amp;YEAR(A2021)&amp;": "&amp;INDEX('Zgłoszenia'!$H$5:$H$504,MATCH(H2021,'Zgłoszenia'!$S$5:$S$504,0)),RIGHT("0"&amp;DAY((A2021+1)),2)&amp;"."&amp;RIGHT("0"&amp;MONTH((A2021+1)),2)&amp;"."&amp;YEAR((A2021+1))&amp;": "&amp;INDEX('Zgłoszenia'!$H$5:$H$504,MATCH(F2021&amp;"|"&amp;(A2021+1),'Zgłoszenia'!$S$5:$S$504,0)))&amp;IF(K2021&gt;1," (+"&amp;(K2021-1)&amp;")",""))</f>
        <v/>
      </c>
      <c r="M2021" s="63" t="n">
        <v>25</v>
      </c>
      <c r="N2021" s="2" t="n"/>
      <c r="O2021" s="2" t="n"/>
    </row>
    <row r="2022">
      <c r="A2022" s="62">
        <f>IF('25'!$C$1="","",'25'!$C$1)</f>
        <v/>
      </c>
      <c r="B2022" s="63">
        <f>Ustawienia!$A$10&amp;""</f>
        <v/>
      </c>
      <c r="C2022" s="63">
        <f>Ustawienia!$A$18&amp;""</f>
        <v/>
      </c>
      <c r="D2022" s="63" t="n">
        <v>1</v>
      </c>
      <c r="E2022" s="63">
        <f>IF('25'!J32="","",TRIM('25'!J32&amp;""))</f>
        <v/>
      </c>
      <c r="F2022" s="63">
        <f>IF('25'!K32="","",'25'!K32)</f>
        <v/>
      </c>
      <c r="G2022" s="63">
        <f>'25'!L32&amp;""</f>
        <v/>
      </c>
      <c r="H2022" s="63">
        <f>IF(OR(A2022="",F2022=""),"",F2022&amp;"|"&amp;A2022)</f>
        <v/>
      </c>
      <c r="I2022" s="63">
        <f>IF(AND(H2022&lt;&gt;"",OR('Historia wózka'!$B$4="",F2022='Historia wózka'!$B$4),A2022&gt;='Historia wózka'!$B$5,A2022&lt;='Historia wózka'!$B$6),A2022+0.7+(5000-ROW())/10000000,0)</f>
        <v/>
      </c>
      <c r="J2022" s="63">
        <f>Ustawienia!$B$10&amp;""</f>
        <v/>
      </c>
      <c r="K2022" s="63">
        <f>IF(H2022="","",COUNTIFS('Zgłoszenia'!$B$5:$B$504,F2022,'Zgłoszenia'!$D$5:$D$504,"&gt;="&amp;A2022,'Zgłoszenia'!$D$5:$D$504,"&lt;="&amp;(A2022+1)))</f>
        <v/>
      </c>
      <c r="L2022" s="63">
        <f>IF(OR(H2022="",K2022=0),"—",IF(ISNUMBER(MATCH(H2022,'Zgłoszenia'!$S$5:$S$504,0)),RIGHT("0"&amp;DAY(A2022),2)&amp;"."&amp;RIGHT("0"&amp;MONTH(A2022),2)&amp;"."&amp;YEAR(A2022)&amp;": "&amp;INDEX('Zgłoszenia'!$H$5:$H$504,MATCH(H2022,'Zgłoszenia'!$S$5:$S$504,0)),RIGHT("0"&amp;DAY((A2022+1)),2)&amp;"."&amp;RIGHT("0"&amp;MONTH((A2022+1)),2)&amp;"."&amp;YEAR((A2022+1))&amp;": "&amp;INDEX('Zgłoszenia'!$H$5:$H$504,MATCH(F2022&amp;"|"&amp;(A2022+1),'Zgłoszenia'!$S$5:$S$504,0)))&amp;IF(K2022&gt;1," (+"&amp;(K2022-1)&amp;")",""))</f>
        <v/>
      </c>
      <c r="M2022" s="63" t="n">
        <v>25</v>
      </c>
      <c r="N2022" s="2" t="n"/>
      <c r="O2022" s="2" t="n"/>
    </row>
    <row r="2023">
      <c r="A2023" s="62">
        <f>IF('25'!$C$1="","",'25'!$C$1)</f>
        <v/>
      </c>
      <c r="B2023" s="63">
        <f>Ustawienia!$A$10&amp;""</f>
        <v/>
      </c>
      <c r="C2023" s="63">
        <f>Ustawienia!$A$18&amp;""</f>
        <v/>
      </c>
      <c r="D2023" s="63" t="n">
        <v>2</v>
      </c>
      <c r="E2023" s="63">
        <f>IF('25'!J33="","",TRIM('25'!J33&amp;""))</f>
        <v/>
      </c>
      <c r="F2023" s="63">
        <f>IF('25'!K33="","",'25'!K33)</f>
        <v/>
      </c>
      <c r="G2023" s="63">
        <f>'25'!L33&amp;""</f>
        <v/>
      </c>
      <c r="H2023" s="63">
        <f>IF(OR(A2023="",F2023=""),"",F2023&amp;"|"&amp;A2023)</f>
        <v/>
      </c>
      <c r="I2023" s="63">
        <f>IF(AND(H2023&lt;&gt;"",OR('Historia wózka'!$B$4="",F2023='Historia wózka'!$B$4),A2023&gt;='Historia wózka'!$B$5,A2023&lt;='Historia wózka'!$B$6),A2023+0.7+(5000-ROW())/10000000,0)</f>
        <v/>
      </c>
      <c r="J2023" s="63">
        <f>Ustawienia!$B$10&amp;""</f>
        <v/>
      </c>
      <c r="K2023" s="63">
        <f>IF(H2023="","",COUNTIFS('Zgłoszenia'!$B$5:$B$504,F2023,'Zgłoszenia'!$D$5:$D$504,"&gt;="&amp;A2023,'Zgłoszenia'!$D$5:$D$504,"&lt;="&amp;(A2023+1)))</f>
        <v/>
      </c>
      <c r="L2023" s="63">
        <f>IF(OR(H2023="",K2023=0),"—",IF(ISNUMBER(MATCH(H2023,'Zgłoszenia'!$S$5:$S$504,0)),RIGHT("0"&amp;DAY(A2023),2)&amp;"."&amp;RIGHT("0"&amp;MONTH(A2023),2)&amp;"."&amp;YEAR(A2023)&amp;": "&amp;INDEX('Zgłoszenia'!$H$5:$H$504,MATCH(H2023,'Zgłoszenia'!$S$5:$S$504,0)),RIGHT("0"&amp;DAY((A2023+1)),2)&amp;"."&amp;RIGHT("0"&amp;MONTH((A2023+1)),2)&amp;"."&amp;YEAR((A2023+1))&amp;": "&amp;INDEX('Zgłoszenia'!$H$5:$H$504,MATCH(F2023&amp;"|"&amp;(A2023+1),'Zgłoszenia'!$S$5:$S$504,0)))&amp;IF(K2023&gt;1," (+"&amp;(K2023-1)&amp;")",""))</f>
        <v/>
      </c>
      <c r="M2023" s="63" t="n">
        <v>25</v>
      </c>
      <c r="N2023" s="2" t="n"/>
      <c r="O2023" s="2" t="n"/>
    </row>
    <row r="2024">
      <c r="A2024" s="62">
        <f>IF('25'!$C$1="","",'25'!$C$1)</f>
        <v/>
      </c>
      <c r="B2024" s="63">
        <f>Ustawienia!$A$10&amp;""</f>
        <v/>
      </c>
      <c r="C2024" s="63">
        <f>Ustawienia!$A$18&amp;""</f>
        <v/>
      </c>
      <c r="D2024" s="63" t="n">
        <v>3</v>
      </c>
      <c r="E2024" s="63">
        <f>IF('25'!J34="","",TRIM('25'!J34&amp;""))</f>
        <v/>
      </c>
      <c r="F2024" s="63">
        <f>IF('25'!K34="","",'25'!K34)</f>
        <v/>
      </c>
      <c r="G2024" s="63">
        <f>'25'!L34&amp;""</f>
        <v/>
      </c>
      <c r="H2024" s="63">
        <f>IF(OR(A2024="",F2024=""),"",F2024&amp;"|"&amp;A2024)</f>
        <v/>
      </c>
      <c r="I2024" s="63">
        <f>IF(AND(H2024&lt;&gt;"",OR('Historia wózka'!$B$4="",F2024='Historia wózka'!$B$4),A2024&gt;='Historia wózka'!$B$5,A2024&lt;='Historia wózka'!$B$6),A2024+0.7+(5000-ROW())/10000000,0)</f>
        <v/>
      </c>
      <c r="J2024" s="63">
        <f>Ustawienia!$B$10&amp;""</f>
        <v/>
      </c>
      <c r="K2024" s="63">
        <f>IF(H2024="","",COUNTIFS('Zgłoszenia'!$B$5:$B$504,F2024,'Zgłoszenia'!$D$5:$D$504,"&gt;="&amp;A2024,'Zgłoszenia'!$D$5:$D$504,"&lt;="&amp;(A2024+1)))</f>
        <v/>
      </c>
      <c r="L2024" s="63">
        <f>IF(OR(H2024="",K2024=0),"—",IF(ISNUMBER(MATCH(H2024,'Zgłoszenia'!$S$5:$S$504,0)),RIGHT("0"&amp;DAY(A2024),2)&amp;"."&amp;RIGHT("0"&amp;MONTH(A2024),2)&amp;"."&amp;YEAR(A2024)&amp;": "&amp;INDEX('Zgłoszenia'!$H$5:$H$504,MATCH(H2024,'Zgłoszenia'!$S$5:$S$504,0)),RIGHT("0"&amp;DAY((A2024+1)),2)&amp;"."&amp;RIGHT("0"&amp;MONTH((A2024+1)),2)&amp;"."&amp;YEAR((A2024+1))&amp;": "&amp;INDEX('Zgłoszenia'!$H$5:$H$504,MATCH(F2024&amp;"|"&amp;(A2024+1),'Zgłoszenia'!$S$5:$S$504,0)))&amp;IF(K2024&gt;1," (+"&amp;(K2024-1)&amp;")",""))</f>
        <v/>
      </c>
      <c r="M2024" s="63" t="n">
        <v>25</v>
      </c>
      <c r="N2024" s="2" t="n"/>
      <c r="O2024" s="2" t="n"/>
    </row>
    <row r="2025">
      <c r="A2025" s="62">
        <f>IF('25'!$C$1="","",'25'!$C$1)</f>
        <v/>
      </c>
      <c r="B2025" s="63">
        <f>Ustawienia!$A$10&amp;""</f>
        <v/>
      </c>
      <c r="C2025" s="63">
        <f>Ustawienia!$A$18&amp;""</f>
        <v/>
      </c>
      <c r="D2025" s="63" t="n">
        <v>4</v>
      </c>
      <c r="E2025" s="63">
        <f>IF('25'!J35="","",TRIM('25'!J35&amp;""))</f>
        <v/>
      </c>
      <c r="F2025" s="63">
        <f>IF('25'!K35="","",'25'!K35)</f>
        <v/>
      </c>
      <c r="G2025" s="63">
        <f>'25'!L35&amp;""</f>
        <v/>
      </c>
      <c r="H2025" s="63">
        <f>IF(OR(A2025="",F2025=""),"",F2025&amp;"|"&amp;A2025)</f>
        <v/>
      </c>
      <c r="I2025" s="63">
        <f>IF(AND(H2025&lt;&gt;"",OR('Historia wózka'!$B$4="",F2025='Historia wózka'!$B$4),A2025&gt;='Historia wózka'!$B$5,A2025&lt;='Historia wózka'!$B$6),A2025+0.7+(5000-ROW())/10000000,0)</f>
        <v/>
      </c>
      <c r="J2025" s="63">
        <f>Ustawienia!$B$10&amp;""</f>
        <v/>
      </c>
      <c r="K2025" s="63">
        <f>IF(H2025="","",COUNTIFS('Zgłoszenia'!$B$5:$B$504,F2025,'Zgłoszenia'!$D$5:$D$504,"&gt;="&amp;A2025,'Zgłoszenia'!$D$5:$D$504,"&lt;="&amp;(A2025+1)))</f>
        <v/>
      </c>
      <c r="L2025" s="63">
        <f>IF(OR(H2025="",K2025=0),"—",IF(ISNUMBER(MATCH(H2025,'Zgłoszenia'!$S$5:$S$504,0)),RIGHT("0"&amp;DAY(A2025),2)&amp;"."&amp;RIGHT("0"&amp;MONTH(A2025),2)&amp;"."&amp;YEAR(A2025)&amp;": "&amp;INDEX('Zgłoszenia'!$H$5:$H$504,MATCH(H2025,'Zgłoszenia'!$S$5:$S$504,0)),RIGHT("0"&amp;DAY((A2025+1)),2)&amp;"."&amp;RIGHT("0"&amp;MONTH((A2025+1)),2)&amp;"."&amp;YEAR((A2025+1))&amp;": "&amp;INDEX('Zgłoszenia'!$H$5:$H$504,MATCH(F2025&amp;"|"&amp;(A2025+1),'Zgłoszenia'!$S$5:$S$504,0)))&amp;IF(K2025&gt;1," (+"&amp;(K2025-1)&amp;")",""))</f>
        <v/>
      </c>
      <c r="M2025" s="63" t="n">
        <v>25</v>
      </c>
      <c r="N2025" s="2" t="n"/>
      <c r="O2025" s="2" t="n"/>
    </row>
    <row r="2026">
      <c r="A2026" s="62">
        <f>IF('25'!$C$1="","",'25'!$C$1)</f>
        <v/>
      </c>
      <c r="B2026" s="63">
        <f>Ustawienia!$A$10&amp;""</f>
        <v/>
      </c>
      <c r="C2026" s="63">
        <f>Ustawienia!$A$18&amp;""</f>
        <v/>
      </c>
      <c r="D2026" s="63" t="n">
        <v>5</v>
      </c>
      <c r="E2026" s="63">
        <f>IF('25'!J36="","",TRIM('25'!J36&amp;""))</f>
        <v/>
      </c>
      <c r="F2026" s="63">
        <f>IF('25'!K36="","",'25'!K36)</f>
        <v/>
      </c>
      <c r="G2026" s="63">
        <f>'25'!L36&amp;""</f>
        <v/>
      </c>
      <c r="H2026" s="63">
        <f>IF(OR(A2026="",F2026=""),"",F2026&amp;"|"&amp;A2026)</f>
        <v/>
      </c>
      <c r="I2026" s="63">
        <f>IF(AND(H2026&lt;&gt;"",OR('Historia wózka'!$B$4="",F2026='Historia wózka'!$B$4),A2026&gt;='Historia wózka'!$B$5,A2026&lt;='Historia wózka'!$B$6),A2026+0.7+(5000-ROW())/10000000,0)</f>
        <v/>
      </c>
      <c r="J2026" s="63">
        <f>Ustawienia!$B$10&amp;""</f>
        <v/>
      </c>
      <c r="K2026" s="63">
        <f>IF(H2026="","",COUNTIFS('Zgłoszenia'!$B$5:$B$504,F2026,'Zgłoszenia'!$D$5:$D$504,"&gt;="&amp;A2026,'Zgłoszenia'!$D$5:$D$504,"&lt;="&amp;(A2026+1)))</f>
        <v/>
      </c>
      <c r="L2026" s="63">
        <f>IF(OR(H2026="",K2026=0),"—",IF(ISNUMBER(MATCH(H2026,'Zgłoszenia'!$S$5:$S$504,0)),RIGHT("0"&amp;DAY(A2026),2)&amp;"."&amp;RIGHT("0"&amp;MONTH(A2026),2)&amp;"."&amp;YEAR(A2026)&amp;": "&amp;INDEX('Zgłoszenia'!$H$5:$H$504,MATCH(H2026,'Zgłoszenia'!$S$5:$S$504,0)),RIGHT("0"&amp;DAY((A2026+1)),2)&amp;"."&amp;RIGHT("0"&amp;MONTH((A2026+1)),2)&amp;"."&amp;YEAR((A2026+1))&amp;": "&amp;INDEX('Zgłoszenia'!$H$5:$H$504,MATCH(F2026&amp;"|"&amp;(A2026+1),'Zgłoszenia'!$S$5:$S$504,0)))&amp;IF(K2026&gt;1," (+"&amp;(K2026-1)&amp;")",""))</f>
        <v/>
      </c>
      <c r="M2026" s="63" t="n">
        <v>25</v>
      </c>
      <c r="N2026" s="2" t="n"/>
      <c r="O2026" s="2" t="n"/>
    </row>
    <row r="2027">
      <c r="A2027" s="62">
        <f>IF('26'!$C$1="","",'26'!$C$1)</f>
        <v/>
      </c>
      <c r="B2027" s="63">
        <f>Ustawienia!$A$8&amp;""</f>
        <v/>
      </c>
      <c r="C2027" s="63">
        <f>Ustawienia!$A$14&amp;""</f>
        <v/>
      </c>
      <c r="D2027" s="63" t="n">
        <v>1</v>
      </c>
      <c r="E2027" s="63">
        <f>IF('26'!B6="","",TRIM('26'!B6&amp;""))</f>
        <v/>
      </c>
      <c r="F2027" s="63">
        <f>IF('26'!C6="","",'26'!C6)</f>
        <v/>
      </c>
      <c r="G2027" s="63">
        <f>'26'!D6&amp;""</f>
        <v/>
      </c>
      <c r="H2027" s="63">
        <f>IF(OR(A2027="",F2027=""),"",F2027&amp;"|"&amp;A2027)</f>
        <v/>
      </c>
      <c r="I2027" s="63">
        <f>IF(AND(H2027&lt;&gt;"",OR('Historia wózka'!$B$4="",F2027='Historia wózka'!$B$4),A2027&gt;='Historia wózka'!$B$5,A2027&lt;='Historia wózka'!$B$6),A2027+0.9+(5000-ROW())/10000000,0)</f>
        <v/>
      </c>
      <c r="J2027" s="63">
        <f>Ustawienia!$B$8&amp;""</f>
        <v/>
      </c>
      <c r="K2027" s="63">
        <f>IF(H2027="","",COUNTIFS('Zgłoszenia'!$B$5:$B$504,F2027,'Zgłoszenia'!$D$5:$D$504,"&gt;="&amp;A2027,'Zgłoszenia'!$D$5:$D$504,"&lt;="&amp;(A2027+1)))</f>
        <v/>
      </c>
      <c r="L2027" s="63">
        <f>IF(OR(H2027="",K2027=0),"—",IF(ISNUMBER(MATCH(H2027,'Zgłoszenia'!$S$5:$S$504,0)),RIGHT("0"&amp;DAY(A2027),2)&amp;"."&amp;RIGHT("0"&amp;MONTH(A2027),2)&amp;"."&amp;YEAR(A2027)&amp;": "&amp;INDEX('Zgłoszenia'!$H$5:$H$504,MATCH(H2027,'Zgłoszenia'!$S$5:$S$504,0)),RIGHT("0"&amp;DAY((A2027+1)),2)&amp;"."&amp;RIGHT("0"&amp;MONTH((A2027+1)),2)&amp;"."&amp;YEAR((A2027+1))&amp;": "&amp;INDEX('Zgłoszenia'!$H$5:$H$504,MATCH(F2027&amp;"|"&amp;(A2027+1),'Zgłoszenia'!$S$5:$S$504,0)))&amp;IF(K2027&gt;1," (+"&amp;(K2027-1)&amp;")",""))</f>
        <v/>
      </c>
      <c r="M2027" s="63" t="n">
        <v>26</v>
      </c>
      <c r="N2027" s="2" t="n"/>
      <c r="O2027" s="2" t="n"/>
    </row>
    <row r="2028">
      <c r="A2028" s="62">
        <f>IF('26'!$C$1="","",'26'!$C$1)</f>
        <v/>
      </c>
      <c r="B2028" s="63">
        <f>Ustawienia!$A$8&amp;""</f>
        <v/>
      </c>
      <c r="C2028" s="63">
        <f>Ustawienia!$A$14&amp;""</f>
        <v/>
      </c>
      <c r="D2028" s="63" t="n">
        <v>2</v>
      </c>
      <c r="E2028" s="63">
        <f>IF('26'!B7="","",TRIM('26'!B7&amp;""))</f>
        <v/>
      </c>
      <c r="F2028" s="63">
        <f>IF('26'!C7="","",'26'!C7)</f>
        <v/>
      </c>
      <c r="G2028" s="63">
        <f>'26'!D7&amp;""</f>
        <v/>
      </c>
      <c r="H2028" s="63">
        <f>IF(OR(A2028="",F2028=""),"",F2028&amp;"|"&amp;A2028)</f>
        <v/>
      </c>
      <c r="I2028" s="63">
        <f>IF(AND(H2028&lt;&gt;"",OR('Historia wózka'!$B$4="",F2028='Historia wózka'!$B$4),A2028&gt;='Historia wózka'!$B$5,A2028&lt;='Historia wózka'!$B$6),A2028+0.9+(5000-ROW())/10000000,0)</f>
        <v/>
      </c>
      <c r="J2028" s="63">
        <f>Ustawienia!$B$8&amp;""</f>
        <v/>
      </c>
      <c r="K2028" s="63">
        <f>IF(H2028="","",COUNTIFS('Zgłoszenia'!$B$5:$B$504,F2028,'Zgłoszenia'!$D$5:$D$504,"&gt;="&amp;A2028,'Zgłoszenia'!$D$5:$D$504,"&lt;="&amp;(A2028+1)))</f>
        <v/>
      </c>
      <c r="L2028" s="63">
        <f>IF(OR(H2028="",K2028=0),"—",IF(ISNUMBER(MATCH(H2028,'Zgłoszenia'!$S$5:$S$504,0)),RIGHT("0"&amp;DAY(A2028),2)&amp;"."&amp;RIGHT("0"&amp;MONTH(A2028),2)&amp;"."&amp;YEAR(A2028)&amp;": "&amp;INDEX('Zgłoszenia'!$H$5:$H$504,MATCH(H2028,'Zgłoszenia'!$S$5:$S$504,0)),RIGHT("0"&amp;DAY((A2028+1)),2)&amp;"."&amp;RIGHT("0"&amp;MONTH((A2028+1)),2)&amp;"."&amp;YEAR((A2028+1))&amp;": "&amp;INDEX('Zgłoszenia'!$H$5:$H$504,MATCH(F2028&amp;"|"&amp;(A2028+1),'Zgłoszenia'!$S$5:$S$504,0)))&amp;IF(K2028&gt;1," (+"&amp;(K2028-1)&amp;")",""))</f>
        <v/>
      </c>
      <c r="M2028" s="63" t="n">
        <v>26</v>
      </c>
      <c r="N2028" s="2" t="n"/>
      <c r="O2028" s="2" t="n"/>
    </row>
    <row r="2029">
      <c r="A2029" s="62">
        <f>IF('26'!$C$1="","",'26'!$C$1)</f>
        <v/>
      </c>
      <c r="B2029" s="63">
        <f>Ustawienia!$A$8&amp;""</f>
        <v/>
      </c>
      <c r="C2029" s="63">
        <f>Ustawienia!$A$14&amp;""</f>
        <v/>
      </c>
      <c r="D2029" s="63" t="n">
        <v>3</v>
      </c>
      <c r="E2029" s="63">
        <f>IF('26'!B8="","",TRIM('26'!B8&amp;""))</f>
        <v/>
      </c>
      <c r="F2029" s="63">
        <f>IF('26'!C8="","",'26'!C8)</f>
        <v/>
      </c>
      <c r="G2029" s="63">
        <f>'26'!D8&amp;""</f>
        <v/>
      </c>
      <c r="H2029" s="63">
        <f>IF(OR(A2029="",F2029=""),"",F2029&amp;"|"&amp;A2029)</f>
        <v/>
      </c>
      <c r="I2029" s="63">
        <f>IF(AND(H2029&lt;&gt;"",OR('Historia wózka'!$B$4="",F2029='Historia wózka'!$B$4),A2029&gt;='Historia wózka'!$B$5,A2029&lt;='Historia wózka'!$B$6),A2029+0.9+(5000-ROW())/10000000,0)</f>
        <v/>
      </c>
      <c r="J2029" s="63">
        <f>Ustawienia!$B$8&amp;""</f>
        <v/>
      </c>
      <c r="K2029" s="63">
        <f>IF(H2029="","",COUNTIFS('Zgłoszenia'!$B$5:$B$504,F2029,'Zgłoszenia'!$D$5:$D$504,"&gt;="&amp;A2029,'Zgłoszenia'!$D$5:$D$504,"&lt;="&amp;(A2029+1)))</f>
        <v/>
      </c>
      <c r="L2029" s="63">
        <f>IF(OR(H2029="",K2029=0),"—",IF(ISNUMBER(MATCH(H2029,'Zgłoszenia'!$S$5:$S$504,0)),RIGHT("0"&amp;DAY(A2029),2)&amp;"."&amp;RIGHT("0"&amp;MONTH(A2029),2)&amp;"."&amp;YEAR(A2029)&amp;": "&amp;INDEX('Zgłoszenia'!$H$5:$H$504,MATCH(H2029,'Zgłoszenia'!$S$5:$S$504,0)),RIGHT("0"&amp;DAY((A2029+1)),2)&amp;"."&amp;RIGHT("0"&amp;MONTH((A2029+1)),2)&amp;"."&amp;YEAR((A2029+1))&amp;": "&amp;INDEX('Zgłoszenia'!$H$5:$H$504,MATCH(F2029&amp;"|"&amp;(A2029+1),'Zgłoszenia'!$S$5:$S$504,0)))&amp;IF(K2029&gt;1," (+"&amp;(K2029-1)&amp;")",""))</f>
        <v/>
      </c>
      <c r="M2029" s="63" t="n">
        <v>26</v>
      </c>
      <c r="N2029" s="2" t="n"/>
      <c r="O2029" s="2" t="n"/>
    </row>
    <row r="2030">
      <c r="A2030" s="62">
        <f>IF('26'!$C$1="","",'26'!$C$1)</f>
        <v/>
      </c>
      <c r="B2030" s="63">
        <f>Ustawienia!$A$8&amp;""</f>
        <v/>
      </c>
      <c r="C2030" s="63">
        <f>Ustawienia!$A$14&amp;""</f>
        <v/>
      </c>
      <c r="D2030" s="63" t="n">
        <v>4</v>
      </c>
      <c r="E2030" s="63">
        <f>IF('26'!B9="","",TRIM('26'!B9&amp;""))</f>
        <v/>
      </c>
      <c r="F2030" s="63">
        <f>IF('26'!C9="","",'26'!C9)</f>
        <v/>
      </c>
      <c r="G2030" s="63">
        <f>'26'!D9&amp;""</f>
        <v/>
      </c>
      <c r="H2030" s="63">
        <f>IF(OR(A2030="",F2030=""),"",F2030&amp;"|"&amp;A2030)</f>
        <v/>
      </c>
      <c r="I2030" s="63">
        <f>IF(AND(H2030&lt;&gt;"",OR('Historia wózka'!$B$4="",F2030='Historia wózka'!$B$4),A2030&gt;='Historia wózka'!$B$5,A2030&lt;='Historia wózka'!$B$6),A2030+0.9+(5000-ROW())/10000000,0)</f>
        <v/>
      </c>
      <c r="J2030" s="63">
        <f>Ustawienia!$B$8&amp;""</f>
        <v/>
      </c>
      <c r="K2030" s="63">
        <f>IF(H2030="","",COUNTIFS('Zgłoszenia'!$B$5:$B$504,F2030,'Zgłoszenia'!$D$5:$D$504,"&gt;="&amp;A2030,'Zgłoszenia'!$D$5:$D$504,"&lt;="&amp;(A2030+1)))</f>
        <v/>
      </c>
      <c r="L2030" s="63">
        <f>IF(OR(H2030="",K2030=0),"—",IF(ISNUMBER(MATCH(H2030,'Zgłoszenia'!$S$5:$S$504,0)),RIGHT("0"&amp;DAY(A2030),2)&amp;"."&amp;RIGHT("0"&amp;MONTH(A2030),2)&amp;"."&amp;YEAR(A2030)&amp;": "&amp;INDEX('Zgłoszenia'!$H$5:$H$504,MATCH(H2030,'Zgłoszenia'!$S$5:$S$504,0)),RIGHT("0"&amp;DAY((A2030+1)),2)&amp;"."&amp;RIGHT("0"&amp;MONTH((A2030+1)),2)&amp;"."&amp;YEAR((A2030+1))&amp;": "&amp;INDEX('Zgłoszenia'!$H$5:$H$504,MATCH(F2030&amp;"|"&amp;(A2030+1),'Zgłoszenia'!$S$5:$S$504,0)))&amp;IF(K2030&gt;1," (+"&amp;(K2030-1)&amp;")",""))</f>
        <v/>
      </c>
      <c r="M2030" s="63" t="n">
        <v>26</v>
      </c>
      <c r="N2030" s="2" t="n"/>
      <c r="O2030" s="2" t="n"/>
    </row>
    <row r="2031">
      <c r="A2031" s="62">
        <f>IF('26'!$C$1="","",'26'!$C$1)</f>
        <v/>
      </c>
      <c r="B2031" s="63">
        <f>Ustawienia!$A$8&amp;""</f>
        <v/>
      </c>
      <c r="C2031" s="63">
        <f>Ustawienia!$A$14&amp;""</f>
        <v/>
      </c>
      <c r="D2031" s="63" t="n">
        <v>5</v>
      </c>
      <c r="E2031" s="63">
        <f>IF('26'!B10="","",TRIM('26'!B10&amp;""))</f>
        <v/>
      </c>
      <c r="F2031" s="63">
        <f>IF('26'!C10="","",'26'!C10)</f>
        <v/>
      </c>
      <c r="G2031" s="63">
        <f>'26'!D10&amp;""</f>
        <v/>
      </c>
      <c r="H2031" s="63">
        <f>IF(OR(A2031="",F2031=""),"",F2031&amp;"|"&amp;A2031)</f>
        <v/>
      </c>
      <c r="I2031" s="63">
        <f>IF(AND(H2031&lt;&gt;"",OR('Historia wózka'!$B$4="",F2031='Historia wózka'!$B$4),A2031&gt;='Historia wózka'!$B$5,A2031&lt;='Historia wózka'!$B$6),A2031+0.9+(5000-ROW())/10000000,0)</f>
        <v/>
      </c>
      <c r="J2031" s="63">
        <f>Ustawienia!$B$8&amp;""</f>
        <v/>
      </c>
      <c r="K2031" s="63">
        <f>IF(H2031="","",COUNTIFS('Zgłoszenia'!$B$5:$B$504,F2031,'Zgłoszenia'!$D$5:$D$504,"&gt;="&amp;A2031,'Zgłoszenia'!$D$5:$D$504,"&lt;="&amp;(A2031+1)))</f>
        <v/>
      </c>
      <c r="L2031" s="63">
        <f>IF(OR(H2031="",K2031=0),"—",IF(ISNUMBER(MATCH(H2031,'Zgłoszenia'!$S$5:$S$504,0)),RIGHT("0"&amp;DAY(A2031),2)&amp;"."&amp;RIGHT("0"&amp;MONTH(A2031),2)&amp;"."&amp;YEAR(A2031)&amp;": "&amp;INDEX('Zgłoszenia'!$H$5:$H$504,MATCH(H2031,'Zgłoszenia'!$S$5:$S$504,0)),RIGHT("0"&amp;DAY((A2031+1)),2)&amp;"."&amp;RIGHT("0"&amp;MONTH((A2031+1)),2)&amp;"."&amp;YEAR((A2031+1))&amp;": "&amp;INDEX('Zgłoszenia'!$H$5:$H$504,MATCH(F2031&amp;"|"&amp;(A2031+1),'Zgłoszenia'!$S$5:$S$504,0)))&amp;IF(K2031&gt;1," (+"&amp;(K2031-1)&amp;")",""))</f>
        <v/>
      </c>
      <c r="M2031" s="63" t="n">
        <v>26</v>
      </c>
      <c r="N2031" s="2" t="n"/>
      <c r="O2031" s="2" t="n"/>
    </row>
    <row r="2032">
      <c r="A2032" s="62">
        <f>IF('26'!$C$1="","",'26'!$C$1)</f>
        <v/>
      </c>
      <c r="B2032" s="63">
        <f>Ustawienia!$A$8&amp;""</f>
        <v/>
      </c>
      <c r="C2032" s="63">
        <f>Ustawienia!$A$14&amp;""</f>
        <v/>
      </c>
      <c r="D2032" s="63" t="n">
        <v>6</v>
      </c>
      <c r="E2032" s="63">
        <f>IF('26'!B11="","",TRIM('26'!B11&amp;""))</f>
        <v/>
      </c>
      <c r="F2032" s="63">
        <f>IF('26'!C11="","",'26'!C11)</f>
        <v/>
      </c>
      <c r="G2032" s="63">
        <f>'26'!D11&amp;""</f>
        <v/>
      </c>
      <c r="H2032" s="63">
        <f>IF(OR(A2032="",F2032=""),"",F2032&amp;"|"&amp;A2032)</f>
        <v/>
      </c>
      <c r="I2032" s="63">
        <f>IF(AND(H2032&lt;&gt;"",OR('Historia wózka'!$B$4="",F2032='Historia wózka'!$B$4),A2032&gt;='Historia wózka'!$B$5,A2032&lt;='Historia wózka'!$B$6),A2032+0.9+(5000-ROW())/10000000,0)</f>
        <v/>
      </c>
      <c r="J2032" s="63">
        <f>Ustawienia!$B$8&amp;""</f>
        <v/>
      </c>
      <c r="K2032" s="63">
        <f>IF(H2032="","",COUNTIFS('Zgłoszenia'!$B$5:$B$504,F2032,'Zgłoszenia'!$D$5:$D$504,"&gt;="&amp;A2032,'Zgłoszenia'!$D$5:$D$504,"&lt;="&amp;(A2032+1)))</f>
        <v/>
      </c>
      <c r="L2032" s="63">
        <f>IF(OR(H2032="",K2032=0),"—",IF(ISNUMBER(MATCH(H2032,'Zgłoszenia'!$S$5:$S$504,0)),RIGHT("0"&amp;DAY(A2032),2)&amp;"."&amp;RIGHT("0"&amp;MONTH(A2032),2)&amp;"."&amp;YEAR(A2032)&amp;": "&amp;INDEX('Zgłoszenia'!$H$5:$H$504,MATCH(H2032,'Zgłoszenia'!$S$5:$S$504,0)),RIGHT("0"&amp;DAY((A2032+1)),2)&amp;"."&amp;RIGHT("0"&amp;MONTH((A2032+1)),2)&amp;"."&amp;YEAR((A2032+1))&amp;": "&amp;INDEX('Zgłoszenia'!$H$5:$H$504,MATCH(F2032&amp;"|"&amp;(A2032+1),'Zgłoszenia'!$S$5:$S$504,0)))&amp;IF(K2032&gt;1," (+"&amp;(K2032-1)&amp;")",""))</f>
        <v/>
      </c>
      <c r="M2032" s="63" t="n">
        <v>26</v>
      </c>
      <c r="N2032" s="2" t="n"/>
      <c r="O2032" s="2" t="n"/>
    </row>
    <row r="2033">
      <c r="A2033" s="62">
        <f>IF('26'!$C$1="","",'26'!$C$1)</f>
        <v/>
      </c>
      <c r="B2033" s="63">
        <f>Ustawienia!$A$8&amp;""</f>
        <v/>
      </c>
      <c r="C2033" s="63">
        <f>Ustawienia!$A$15&amp;""</f>
        <v/>
      </c>
      <c r="D2033" s="63" t="n">
        <v>1</v>
      </c>
      <c r="E2033" s="63">
        <f>IF('26'!B13="","",TRIM('26'!B13&amp;""))</f>
        <v/>
      </c>
      <c r="F2033" s="63">
        <f>IF('26'!C13="","",'26'!C13)</f>
        <v/>
      </c>
      <c r="G2033" s="63">
        <f>'26'!D13&amp;""</f>
        <v/>
      </c>
      <c r="H2033" s="63">
        <f>IF(OR(A2033="",F2033=""),"",F2033&amp;"|"&amp;A2033)</f>
        <v/>
      </c>
      <c r="I2033" s="63">
        <f>IF(AND(H2033&lt;&gt;"",OR('Historia wózka'!$B$4="",F2033='Historia wózka'!$B$4),A2033&gt;='Historia wózka'!$B$5,A2033&lt;='Historia wózka'!$B$6),A2033+0.9+(5000-ROW())/10000000,0)</f>
        <v/>
      </c>
      <c r="J2033" s="63">
        <f>Ustawienia!$B$8&amp;""</f>
        <v/>
      </c>
      <c r="K2033" s="63">
        <f>IF(H2033="","",COUNTIFS('Zgłoszenia'!$B$5:$B$504,F2033,'Zgłoszenia'!$D$5:$D$504,"&gt;="&amp;A2033,'Zgłoszenia'!$D$5:$D$504,"&lt;="&amp;(A2033+1)))</f>
        <v/>
      </c>
      <c r="L2033" s="63">
        <f>IF(OR(H2033="",K2033=0),"—",IF(ISNUMBER(MATCH(H2033,'Zgłoszenia'!$S$5:$S$504,0)),RIGHT("0"&amp;DAY(A2033),2)&amp;"."&amp;RIGHT("0"&amp;MONTH(A2033),2)&amp;"."&amp;YEAR(A2033)&amp;": "&amp;INDEX('Zgłoszenia'!$H$5:$H$504,MATCH(H2033,'Zgłoszenia'!$S$5:$S$504,0)),RIGHT("0"&amp;DAY((A2033+1)),2)&amp;"."&amp;RIGHT("0"&amp;MONTH((A2033+1)),2)&amp;"."&amp;YEAR((A2033+1))&amp;": "&amp;INDEX('Zgłoszenia'!$H$5:$H$504,MATCH(F2033&amp;"|"&amp;(A2033+1),'Zgłoszenia'!$S$5:$S$504,0)))&amp;IF(K2033&gt;1," (+"&amp;(K2033-1)&amp;")",""))</f>
        <v/>
      </c>
      <c r="M2033" s="63" t="n">
        <v>26</v>
      </c>
      <c r="N2033" s="2" t="n"/>
      <c r="O2033" s="2" t="n"/>
    </row>
    <row r="2034">
      <c r="A2034" s="62">
        <f>IF('26'!$C$1="","",'26'!$C$1)</f>
        <v/>
      </c>
      <c r="B2034" s="63">
        <f>Ustawienia!$A$8&amp;""</f>
        <v/>
      </c>
      <c r="C2034" s="63">
        <f>Ustawienia!$A$15&amp;""</f>
        <v/>
      </c>
      <c r="D2034" s="63" t="n">
        <v>2</v>
      </c>
      <c r="E2034" s="63">
        <f>IF('26'!B14="","",TRIM('26'!B14&amp;""))</f>
        <v/>
      </c>
      <c r="F2034" s="63">
        <f>IF('26'!C14="","",'26'!C14)</f>
        <v/>
      </c>
      <c r="G2034" s="63">
        <f>'26'!D14&amp;""</f>
        <v/>
      </c>
      <c r="H2034" s="63">
        <f>IF(OR(A2034="",F2034=""),"",F2034&amp;"|"&amp;A2034)</f>
        <v/>
      </c>
      <c r="I2034" s="63">
        <f>IF(AND(H2034&lt;&gt;"",OR('Historia wózka'!$B$4="",F2034='Historia wózka'!$B$4),A2034&gt;='Historia wózka'!$B$5,A2034&lt;='Historia wózka'!$B$6),A2034+0.9+(5000-ROW())/10000000,0)</f>
        <v/>
      </c>
      <c r="J2034" s="63">
        <f>Ustawienia!$B$8&amp;""</f>
        <v/>
      </c>
      <c r="K2034" s="63">
        <f>IF(H2034="","",COUNTIFS('Zgłoszenia'!$B$5:$B$504,F2034,'Zgłoszenia'!$D$5:$D$504,"&gt;="&amp;A2034,'Zgłoszenia'!$D$5:$D$504,"&lt;="&amp;(A2034+1)))</f>
        <v/>
      </c>
      <c r="L2034" s="63">
        <f>IF(OR(H2034="",K2034=0),"—",IF(ISNUMBER(MATCH(H2034,'Zgłoszenia'!$S$5:$S$504,0)),RIGHT("0"&amp;DAY(A2034),2)&amp;"."&amp;RIGHT("0"&amp;MONTH(A2034),2)&amp;"."&amp;YEAR(A2034)&amp;": "&amp;INDEX('Zgłoszenia'!$H$5:$H$504,MATCH(H2034,'Zgłoszenia'!$S$5:$S$504,0)),RIGHT("0"&amp;DAY((A2034+1)),2)&amp;"."&amp;RIGHT("0"&amp;MONTH((A2034+1)),2)&amp;"."&amp;YEAR((A2034+1))&amp;": "&amp;INDEX('Zgłoszenia'!$H$5:$H$504,MATCH(F2034&amp;"|"&amp;(A2034+1),'Zgłoszenia'!$S$5:$S$504,0)))&amp;IF(K2034&gt;1," (+"&amp;(K2034-1)&amp;")",""))</f>
        <v/>
      </c>
      <c r="M2034" s="63" t="n">
        <v>26</v>
      </c>
      <c r="N2034" s="2" t="n"/>
      <c r="O2034" s="2" t="n"/>
    </row>
    <row r="2035">
      <c r="A2035" s="62">
        <f>IF('26'!$C$1="","",'26'!$C$1)</f>
        <v/>
      </c>
      <c r="B2035" s="63">
        <f>Ustawienia!$A$8&amp;""</f>
        <v/>
      </c>
      <c r="C2035" s="63">
        <f>Ustawienia!$A$15&amp;""</f>
        <v/>
      </c>
      <c r="D2035" s="63" t="n">
        <v>3</v>
      </c>
      <c r="E2035" s="63">
        <f>IF('26'!B15="","",TRIM('26'!B15&amp;""))</f>
        <v/>
      </c>
      <c r="F2035" s="63">
        <f>IF('26'!C15="","",'26'!C15)</f>
        <v/>
      </c>
      <c r="G2035" s="63">
        <f>'26'!D15&amp;""</f>
        <v/>
      </c>
      <c r="H2035" s="63">
        <f>IF(OR(A2035="",F2035=""),"",F2035&amp;"|"&amp;A2035)</f>
        <v/>
      </c>
      <c r="I2035" s="63">
        <f>IF(AND(H2035&lt;&gt;"",OR('Historia wózka'!$B$4="",F2035='Historia wózka'!$B$4),A2035&gt;='Historia wózka'!$B$5,A2035&lt;='Historia wózka'!$B$6),A2035+0.9+(5000-ROW())/10000000,0)</f>
        <v/>
      </c>
      <c r="J2035" s="63">
        <f>Ustawienia!$B$8&amp;""</f>
        <v/>
      </c>
      <c r="K2035" s="63">
        <f>IF(H2035="","",COUNTIFS('Zgłoszenia'!$B$5:$B$504,F2035,'Zgłoszenia'!$D$5:$D$504,"&gt;="&amp;A2035,'Zgłoszenia'!$D$5:$D$504,"&lt;="&amp;(A2035+1)))</f>
        <v/>
      </c>
      <c r="L2035" s="63">
        <f>IF(OR(H2035="",K2035=0),"—",IF(ISNUMBER(MATCH(H2035,'Zgłoszenia'!$S$5:$S$504,0)),RIGHT("0"&amp;DAY(A2035),2)&amp;"."&amp;RIGHT("0"&amp;MONTH(A2035),2)&amp;"."&amp;YEAR(A2035)&amp;": "&amp;INDEX('Zgłoszenia'!$H$5:$H$504,MATCH(H2035,'Zgłoszenia'!$S$5:$S$504,0)),RIGHT("0"&amp;DAY((A2035+1)),2)&amp;"."&amp;RIGHT("0"&amp;MONTH((A2035+1)),2)&amp;"."&amp;YEAR((A2035+1))&amp;": "&amp;INDEX('Zgłoszenia'!$H$5:$H$504,MATCH(F2035&amp;"|"&amp;(A2035+1),'Zgłoszenia'!$S$5:$S$504,0)))&amp;IF(K2035&gt;1," (+"&amp;(K2035-1)&amp;")",""))</f>
        <v/>
      </c>
      <c r="M2035" s="63" t="n">
        <v>26</v>
      </c>
      <c r="N2035" s="2" t="n"/>
      <c r="O2035" s="2" t="n"/>
    </row>
    <row r="2036">
      <c r="A2036" s="62">
        <f>IF('26'!$C$1="","",'26'!$C$1)</f>
        <v/>
      </c>
      <c r="B2036" s="63">
        <f>Ustawienia!$A$8&amp;""</f>
        <v/>
      </c>
      <c r="C2036" s="63">
        <f>Ustawienia!$A$15&amp;""</f>
        <v/>
      </c>
      <c r="D2036" s="63" t="n">
        <v>4</v>
      </c>
      <c r="E2036" s="63">
        <f>IF('26'!B16="","",TRIM('26'!B16&amp;""))</f>
        <v/>
      </c>
      <c r="F2036" s="63">
        <f>IF('26'!C16="","",'26'!C16)</f>
        <v/>
      </c>
      <c r="G2036" s="63">
        <f>'26'!D16&amp;""</f>
        <v/>
      </c>
      <c r="H2036" s="63">
        <f>IF(OR(A2036="",F2036=""),"",F2036&amp;"|"&amp;A2036)</f>
        <v/>
      </c>
      <c r="I2036" s="63">
        <f>IF(AND(H2036&lt;&gt;"",OR('Historia wózka'!$B$4="",F2036='Historia wózka'!$B$4),A2036&gt;='Historia wózka'!$B$5,A2036&lt;='Historia wózka'!$B$6),A2036+0.9+(5000-ROW())/10000000,0)</f>
        <v/>
      </c>
      <c r="J2036" s="63">
        <f>Ustawienia!$B$8&amp;""</f>
        <v/>
      </c>
      <c r="K2036" s="63">
        <f>IF(H2036="","",COUNTIFS('Zgłoszenia'!$B$5:$B$504,F2036,'Zgłoszenia'!$D$5:$D$504,"&gt;="&amp;A2036,'Zgłoszenia'!$D$5:$D$504,"&lt;="&amp;(A2036+1)))</f>
        <v/>
      </c>
      <c r="L2036" s="63">
        <f>IF(OR(H2036="",K2036=0),"—",IF(ISNUMBER(MATCH(H2036,'Zgłoszenia'!$S$5:$S$504,0)),RIGHT("0"&amp;DAY(A2036),2)&amp;"."&amp;RIGHT("0"&amp;MONTH(A2036),2)&amp;"."&amp;YEAR(A2036)&amp;": "&amp;INDEX('Zgłoszenia'!$H$5:$H$504,MATCH(H2036,'Zgłoszenia'!$S$5:$S$504,0)),RIGHT("0"&amp;DAY((A2036+1)),2)&amp;"."&amp;RIGHT("0"&amp;MONTH((A2036+1)),2)&amp;"."&amp;YEAR((A2036+1))&amp;": "&amp;INDEX('Zgłoszenia'!$H$5:$H$504,MATCH(F2036&amp;"|"&amp;(A2036+1),'Zgłoszenia'!$S$5:$S$504,0)))&amp;IF(K2036&gt;1," (+"&amp;(K2036-1)&amp;")",""))</f>
        <v/>
      </c>
      <c r="M2036" s="63" t="n">
        <v>26</v>
      </c>
      <c r="N2036" s="2" t="n"/>
      <c r="O2036" s="2" t="n"/>
    </row>
    <row r="2037">
      <c r="A2037" s="62">
        <f>IF('26'!$C$1="","",'26'!$C$1)</f>
        <v/>
      </c>
      <c r="B2037" s="63">
        <f>Ustawienia!$A$8&amp;""</f>
        <v/>
      </c>
      <c r="C2037" s="63">
        <f>Ustawienia!$A$15&amp;""</f>
        <v/>
      </c>
      <c r="D2037" s="63" t="n">
        <v>5</v>
      </c>
      <c r="E2037" s="63">
        <f>IF('26'!B17="","",TRIM('26'!B17&amp;""))</f>
        <v/>
      </c>
      <c r="F2037" s="63">
        <f>IF('26'!C17="","",'26'!C17)</f>
        <v/>
      </c>
      <c r="G2037" s="63">
        <f>'26'!D17&amp;""</f>
        <v/>
      </c>
      <c r="H2037" s="63">
        <f>IF(OR(A2037="",F2037=""),"",F2037&amp;"|"&amp;A2037)</f>
        <v/>
      </c>
      <c r="I2037" s="63">
        <f>IF(AND(H2037&lt;&gt;"",OR('Historia wózka'!$B$4="",F2037='Historia wózka'!$B$4),A2037&gt;='Historia wózka'!$B$5,A2037&lt;='Historia wózka'!$B$6),A2037+0.9+(5000-ROW())/10000000,0)</f>
        <v/>
      </c>
      <c r="J2037" s="63">
        <f>Ustawienia!$B$8&amp;""</f>
        <v/>
      </c>
      <c r="K2037" s="63">
        <f>IF(H2037="","",COUNTIFS('Zgłoszenia'!$B$5:$B$504,F2037,'Zgłoszenia'!$D$5:$D$504,"&gt;="&amp;A2037,'Zgłoszenia'!$D$5:$D$504,"&lt;="&amp;(A2037+1)))</f>
        <v/>
      </c>
      <c r="L2037" s="63">
        <f>IF(OR(H2037="",K2037=0),"—",IF(ISNUMBER(MATCH(H2037,'Zgłoszenia'!$S$5:$S$504,0)),RIGHT("0"&amp;DAY(A2037),2)&amp;"."&amp;RIGHT("0"&amp;MONTH(A2037),2)&amp;"."&amp;YEAR(A2037)&amp;": "&amp;INDEX('Zgłoszenia'!$H$5:$H$504,MATCH(H2037,'Zgłoszenia'!$S$5:$S$504,0)),RIGHT("0"&amp;DAY((A2037+1)),2)&amp;"."&amp;RIGHT("0"&amp;MONTH((A2037+1)),2)&amp;"."&amp;YEAR((A2037+1))&amp;": "&amp;INDEX('Zgłoszenia'!$H$5:$H$504,MATCH(F2037&amp;"|"&amp;(A2037+1),'Zgłoszenia'!$S$5:$S$504,0)))&amp;IF(K2037&gt;1," (+"&amp;(K2037-1)&amp;")",""))</f>
        <v/>
      </c>
      <c r="M2037" s="63" t="n">
        <v>26</v>
      </c>
      <c r="N2037" s="2" t="n"/>
      <c r="O2037" s="2" t="n"/>
    </row>
    <row r="2038">
      <c r="A2038" s="62">
        <f>IF('26'!$C$1="","",'26'!$C$1)</f>
        <v/>
      </c>
      <c r="B2038" s="63">
        <f>Ustawienia!$A$8&amp;""</f>
        <v/>
      </c>
      <c r="C2038" s="63">
        <f>Ustawienia!$A$15&amp;""</f>
        <v/>
      </c>
      <c r="D2038" s="63" t="n">
        <v>6</v>
      </c>
      <c r="E2038" s="63">
        <f>IF('26'!B18="","",TRIM('26'!B18&amp;""))</f>
        <v/>
      </c>
      <c r="F2038" s="63">
        <f>IF('26'!C18="","",'26'!C18)</f>
        <v/>
      </c>
      <c r="G2038" s="63">
        <f>'26'!D18&amp;""</f>
        <v/>
      </c>
      <c r="H2038" s="63">
        <f>IF(OR(A2038="",F2038=""),"",F2038&amp;"|"&amp;A2038)</f>
        <v/>
      </c>
      <c r="I2038" s="63">
        <f>IF(AND(H2038&lt;&gt;"",OR('Historia wózka'!$B$4="",F2038='Historia wózka'!$B$4),A2038&gt;='Historia wózka'!$B$5,A2038&lt;='Historia wózka'!$B$6),A2038+0.9+(5000-ROW())/10000000,0)</f>
        <v/>
      </c>
      <c r="J2038" s="63">
        <f>Ustawienia!$B$8&amp;""</f>
        <v/>
      </c>
      <c r="K2038" s="63">
        <f>IF(H2038="","",COUNTIFS('Zgłoszenia'!$B$5:$B$504,F2038,'Zgłoszenia'!$D$5:$D$504,"&gt;="&amp;A2038,'Zgłoszenia'!$D$5:$D$504,"&lt;="&amp;(A2038+1)))</f>
        <v/>
      </c>
      <c r="L2038" s="63">
        <f>IF(OR(H2038="",K2038=0),"—",IF(ISNUMBER(MATCH(H2038,'Zgłoszenia'!$S$5:$S$504,0)),RIGHT("0"&amp;DAY(A2038),2)&amp;"."&amp;RIGHT("0"&amp;MONTH(A2038),2)&amp;"."&amp;YEAR(A2038)&amp;": "&amp;INDEX('Zgłoszenia'!$H$5:$H$504,MATCH(H2038,'Zgłoszenia'!$S$5:$S$504,0)),RIGHT("0"&amp;DAY((A2038+1)),2)&amp;"."&amp;RIGHT("0"&amp;MONTH((A2038+1)),2)&amp;"."&amp;YEAR((A2038+1))&amp;": "&amp;INDEX('Zgłoszenia'!$H$5:$H$504,MATCH(F2038&amp;"|"&amp;(A2038+1),'Zgłoszenia'!$S$5:$S$504,0)))&amp;IF(K2038&gt;1," (+"&amp;(K2038-1)&amp;")",""))</f>
        <v/>
      </c>
      <c r="M2038" s="63" t="n">
        <v>26</v>
      </c>
      <c r="N2038" s="2" t="n"/>
      <c r="O2038" s="2" t="n"/>
    </row>
    <row r="2039">
      <c r="A2039" s="62">
        <f>IF('26'!$C$1="","",'26'!$C$1)</f>
        <v/>
      </c>
      <c r="B2039" s="63">
        <f>Ustawienia!$A$8&amp;""</f>
        <v/>
      </c>
      <c r="C2039" s="63">
        <f>Ustawienia!$A$15&amp;""</f>
        <v/>
      </c>
      <c r="D2039" s="63" t="n">
        <v>7</v>
      </c>
      <c r="E2039" s="63">
        <f>IF('26'!B19="","",TRIM('26'!B19&amp;""))</f>
        <v/>
      </c>
      <c r="F2039" s="63">
        <f>IF('26'!C19="","",'26'!C19)</f>
        <v/>
      </c>
      <c r="G2039" s="63">
        <f>'26'!D19&amp;""</f>
        <v/>
      </c>
      <c r="H2039" s="63">
        <f>IF(OR(A2039="",F2039=""),"",F2039&amp;"|"&amp;A2039)</f>
        <v/>
      </c>
      <c r="I2039" s="63">
        <f>IF(AND(H2039&lt;&gt;"",OR('Historia wózka'!$B$4="",F2039='Historia wózka'!$B$4),A2039&gt;='Historia wózka'!$B$5,A2039&lt;='Historia wózka'!$B$6),A2039+0.9+(5000-ROW())/10000000,0)</f>
        <v/>
      </c>
      <c r="J2039" s="63">
        <f>Ustawienia!$B$8&amp;""</f>
        <v/>
      </c>
      <c r="K2039" s="63">
        <f>IF(H2039="","",COUNTIFS('Zgłoszenia'!$B$5:$B$504,F2039,'Zgłoszenia'!$D$5:$D$504,"&gt;="&amp;A2039,'Zgłoszenia'!$D$5:$D$504,"&lt;="&amp;(A2039+1)))</f>
        <v/>
      </c>
      <c r="L2039" s="63">
        <f>IF(OR(H2039="",K2039=0),"—",IF(ISNUMBER(MATCH(H2039,'Zgłoszenia'!$S$5:$S$504,0)),RIGHT("0"&amp;DAY(A2039),2)&amp;"."&amp;RIGHT("0"&amp;MONTH(A2039),2)&amp;"."&amp;YEAR(A2039)&amp;": "&amp;INDEX('Zgłoszenia'!$H$5:$H$504,MATCH(H2039,'Zgłoszenia'!$S$5:$S$504,0)),RIGHT("0"&amp;DAY((A2039+1)),2)&amp;"."&amp;RIGHT("0"&amp;MONTH((A2039+1)),2)&amp;"."&amp;YEAR((A2039+1))&amp;": "&amp;INDEX('Zgłoszenia'!$H$5:$H$504,MATCH(F2039&amp;"|"&amp;(A2039+1),'Zgłoszenia'!$S$5:$S$504,0)))&amp;IF(K2039&gt;1," (+"&amp;(K2039-1)&amp;")",""))</f>
        <v/>
      </c>
      <c r="M2039" s="63" t="n">
        <v>26</v>
      </c>
      <c r="N2039" s="2" t="n"/>
      <c r="O2039" s="2" t="n"/>
    </row>
    <row r="2040">
      <c r="A2040" s="62">
        <f>IF('26'!$C$1="","",'26'!$C$1)</f>
        <v/>
      </c>
      <c r="B2040" s="63">
        <f>Ustawienia!$A$8&amp;""</f>
        <v/>
      </c>
      <c r="C2040" s="63">
        <f>Ustawienia!$A$15&amp;""</f>
        <v/>
      </c>
      <c r="D2040" s="63" t="n">
        <v>8</v>
      </c>
      <c r="E2040" s="63">
        <f>IF('26'!B20="","",TRIM('26'!B20&amp;""))</f>
        <v/>
      </c>
      <c r="F2040" s="63">
        <f>IF('26'!C20="","",'26'!C20)</f>
        <v/>
      </c>
      <c r="G2040" s="63">
        <f>'26'!D20&amp;""</f>
        <v/>
      </c>
      <c r="H2040" s="63">
        <f>IF(OR(A2040="",F2040=""),"",F2040&amp;"|"&amp;A2040)</f>
        <v/>
      </c>
      <c r="I2040" s="63">
        <f>IF(AND(H2040&lt;&gt;"",OR('Historia wózka'!$B$4="",F2040='Historia wózka'!$B$4),A2040&gt;='Historia wózka'!$B$5,A2040&lt;='Historia wózka'!$B$6),A2040+0.9+(5000-ROW())/10000000,0)</f>
        <v/>
      </c>
      <c r="J2040" s="63">
        <f>Ustawienia!$B$8&amp;""</f>
        <v/>
      </c>
      <c r="K2040" s="63">
        <f>IF(H2040="","",COUNTIFS('Zgłoszenia'!$B$5:$B$504,F2040,'Zgłoszenia'!$D$5:$D$504,"&gt;="&amp;A2040,'Zgłoszenia'!$D$5:$D$504,"&lt;="&amp;(A2040+1)))</f>
        <v/>
      </c>
      <c r="L2040" s="63">
        <f>IF(OR(H2040="",K2040=0),"—",IF(ISNUMBER(MATCH(H2040,'Zgłoszenia'!$S$5:$S$504,0)),RIGHT("0"&amp;DAY(A2040),2)&amp;"."&amp;RIGHT("0"&amp;MONTH(A2040),2)&amp;"."&amp;YEAR(A2040)&amp;": "&amp;INDEX('Zgłoszenia'!$H$5:$H$504,MATCH(H2040,'Zgłoszenia'!$S$5:$S$504,0)),RIGHT("0"&amp;DAY((A2040+1)),2)&amp;"."&amp;RIGHT("0"&amp;MONTH((A2040+1)),2)&amp;"."&amp;YEAR((A2040+1))&amp;": "&amp;INDEX('Zgłoszenia'!$H$5:$H$504,MATCH(F2040&amp;"|"&amp;(A2040+1),'Zgłoszenia'!$S$5:$S$504,0)))&amp;IF(K2040&gt;1," (+"&amp;(K2040-1)&amp;")",""))</f>
        <v/>
      </c>
      <c r="M2040" s="63" t="n">
        <v>26</v>
      </c>
      <c r="N2040" s="2" t="n"/>
      <c r="O2040" s="2" t="n"/>
    </row>
    <row r="2041">
      <c r="A2041" s="62">
        <f>IF('26'!$C$1="","",'26'!$C$1)</f>
        <v/>
      </c>
      <c r="B2041" s="63">
        <f>Ustawienia!$A$8&amp;""</f>
        <v/>
      </c>
      <c r="C2041" s="63">
        <f>Ustawienia!$A$16&amp;""</f>
        <v/>
      </c>
      <c r="D2041" s="63" t="n">
        <v>1</v>
      </c>
      <c r="E2041" s="63">
        <f>IF('26'!B22="","",TRIM('26'!B22&amp;""))</f>
        <v/>
      </c>
      <c r="F2041" s="63">
        <f>IF('26'!C22="","",'26'!C22)</f>
        <v/>
      </c>
      <c r="G2041" s="63">
        <f>'26'!D22&amp;""</f>
        <v/>
      </c>
      <c r="H2041" s="63">
        <f>IF(OR(A2041="",F2041=""),"",F2041&amp;"|"&amp;A2041)</f>
        <v/>
      </c>
      <c r="I2041" s="63">
        <f>IF(AND(H2041&lt;&gt;"",OR('Historia wózka'!$B$4="",F2041='Historia wózka'!$B$4),A2041&gt;='Historia wózka'!$B$5,A2041&lt;='Historia wózka'!$B$6),A2041+0.9+(5000-ROW())/10000000,0)</f>
        <v/>
      </c>
      <c r="J2041" s="63">
        <f>Ustawienia!$B$8&amp;""</f>
        <v/>
      </c>
      <c r="K2041" s="63">
        <f>IF(H2041="","",COUNTIFS('Zgłoszenia'!$B$5:$B$504,F2041,'Zgłoszenia'!$D$5:$D$504,"&gt;="&amp;A2041,'Zgłoszenia'!$D$5:$D$504,"&lt;="&amp;(A2041+1)))</f>
        <v/>
      </c>
      <c r="L2041" s="63">
        <f>IF(OR(H2041="",K2041=0),"—",IF(ISNUMBER(MATCH(H2041,'Zgłoszenia'!$S$5:$S$504,0)),RIGHT("0"&amp;DAY(A2041),2)&amp;"."&amp;RIGHT("0"&amp;MONTH(A2041),2)&amp;"."&amp;YEAR(A2041)&amp;": "&amp;INDEX('Zgłoszenia'!$H$5:$H$504,MATCH(H2041,'Zgłoszenia'!$S$5:$S$504,0)),RIGHT("0"&amp;DAY((A2041+1)),2)&amp;"."&amp;RIGHT("0"&amp;MONTH((A2041+1)),2)&amp;"."&amp;YEAR((A2041+1))&amp;": "&amp;INDEX('Zgłoszenia'!$H$5:$H$504,MATCH(F2041&amp;"|"&amp;(A2041+1),'Zgłoszenia'!$S$5:$S$504,0)))&amp;IF(K2041&gt;1," (+"&amp;(K2041-1)&amp;")",""))</f>
        <v/>
      </c>
      <c r="M2041" s="63" t="n">
        <v>26</v>
      </c>
      <c r="N2041" s="2" t="n"/>
      <c r="O2041" s="2" t="n"/>
    </row>
    <row r="2042">
      <c r="A2042" s="62">
        <f>IF('26'!$C$1="","",'26'!$C$1)</f>
        <v/>
      </c>
      <c r="B2042" s="63">
        <f>Ustawienia!$A$8&amp;""</f>
        <v/>
      </c>
      <c r="C2042" s="63">
        <f>Ustawienia!$A$16&amp;""</f>
        <v/>
      </c>
      <c r="D2042" s="63" t="n">
        <v>2</v>
      </c>
      <c r="E2042" s="63">
        <f>IF('26'!B23="","",TRIM('26'!B23&amp;""))</f>
        <v/>
      </c>
      <c r="F2042" s="63">
        <f>IF('26'!C23="","",'26'!C23)</f>
        <v/>
      </c>
      <c r="G2042" s="63">
        <f>'26'!D23&amp;""</f>
        <v/>
      </c>
      <c r="H2042" s="63">
        <f>IF(OR(A2042="",F2042=""),"",F2042&amp;"|"&amp;A2042)</f>
        <v/>
      </c>
      <c r="I2042" s="63">
        <f>IF(AND(H2042&lt;&gt;"",OR('Historia wózka'!$B$4="",F2042='Historia wózka'!$B$4),A2042&gt;='Historia wózka'!$B$5,A2042&lt;='Historia wózka'!$B$6),A2042+0.9+(5000-ROW())/10000000,0)</f>
        <v/>
      </c>
      <c r="J2042" s="63">
        <f>Ustawienia!$B$8&amp;""</f>
        <v/>
      </c>
      <c r="K2042" s="63">
        <f>IF(H2042="","",COUNTIFS('Zgłoszenia'!$B$5:$B$504,F2042,'Zgłoszenia'!$D$5:$D$504,"&gt;="&amp;A2042,'Zgłoszenia'!$D$5:$D$504,"&lt;="&amp;(A2042+1)))</f>
        <v/>
      </c>
      <c r="L2042" s="63">
        <f>IF(OR(H2042="",K2042=0),"—",IF(ISNUMBER(MATCH(H2042,'Zgłoszenia'!$S$5:$S$504,0)),RIGHT("0"&amp;DAY(A2042),2)&amp;"."&amp;RIGHT("0"&amp;MONTH(A2042),2)&amp;"."&amp;YEAR(A2042)&amp;": "&amp;INDEX('Zgłoszenia'!$H$5:$H$504,MATCH(H2042,'Zgłoszenia'!$S$5:$S$504,0)),RIGHT("0"&amp;DAY((A2042+1)),2)&amp;"."&amp;RIGHT("0"&amp;MONTH((A2042+1)),2)&amp;"."&amp;YEAR((A2042+1))&amp;": "&amp;INDEX('Zgłoszenia'!$H$5:$H$504,MATCH(F2042&amp;"|"&amp;(A2042+1),'Zgłoszenia'!$S$5:$S$504,0)))&amp;IF(K2042&gt;1," (+"&amp;(K2042-1)&amp;")",""))</f>
        <v/>
      </c>
      <c r="M2042" s="63" t="n">
        <v>26</v>
      </c>
      <c r="N2042" s="2" t="n"/>
      <c r="O2042" s="2" t="n"/>
    </row>
    <row r="2043">
      <c r="A2043" s="62">
        <f>IF('26'!$C$1="","",'26'!$C$1)</f>
        <v/>
      </c>
      <c r="B2043" s="63">
        <f>Ustawienia!$A$8&amp;""</f>
        <v/>
      </c>
      <c r="C2043" s="63">
        <f>Ustawienia!$A$16&amp;""</f>
        <v/>
      </c>
      <c r="D2043" s="63" t="n">
        <v>3</v>
      </c>
      <c r="E2043" s="63">
        <f>IF('26'!B24="","",TRIM('26'!B24&amp;""))</f>
        <v/>
      </c>
      <c r="F2043" s="63">
        <f>IF('26'!C24="","",'26'!C24)</f>
        <v/>
      </c>
      <c r="G2043" s="63">
        <f>'26'!D24&amp;""</f>
        <v/>
      </c>
      <c r="H2043" s="63">
        <f>IF(OR(A2043="",F2043=""),"",F2043&amp;"|"&amp;A2043)</f>
        <v/>
      </c>
      <c r="I2043" s="63">
        <f>IF(AND(H2043&lt;&gt;"",OR('Historia wózka'!$B$4="",F2043='Historia wózka'!$B$4),A2043&gt;='Historia wózka'!$B$5,A2043&lt;='Historia wózka'!$B$6),A2043+0.9+(5000-ROW())/10000000,0)</f>
        <v/>
      </c>
      <c r="J2043" s="63">
        <f>Ustawienia!$B$8&amp;""</f>
        <v/>
      </c>
      <c r="K2043" s="63">
        <f>IF(H2043="","",COUNTIFS('Zgłoszenia'!$B$5:$B$504,F2043,'Zgłoszenia'!$D$5:$D$504,"&gt;="&amp;A2043,'Zgłoszenia'!$D$5:$D$504,"&lt;="&amp;(A2043+1)))</f>
        <v/>
      </c>
      <c r="L2043" s="63">
        <f>IF(OR(H2043="",K2043=0),"—",IF(ISNUMBER(MATCH(H2043,'Zgłoszenia'!$S$5:$S$504,0)),RIGHT("0"&amp;DAY(A2043),2)&amp;"."&amp;RIGHT("0"&amp;MONTH(A2043),2)&amp;"."&amp;YEAR(A2043)&amp;": "&amp;INDEX('Zgłoszenia'!$H$5:$H$504,MATCH(H2043,'Zgłoszenia'!$S$5:$S$504,0)),RIGHT("0"&amp;DAY((A2043+1)),2)&amp;"."&amp;RIGHT("0"&amp;MONTH((A2043+1)),2)&amp;"."&amp;YEAR((A2043+1))&amp;": "&amp;INDEX('Zgłoszenia'!$H$5:$H$504,MATCH(F2043&amp;"|"&amp;(A2043+1),'Zgłoszenia'!$S$5:$S$504,0)))&amp;IF(K2043&gt;1," (+"&amp;(K2043-1)&amp;")",""))</f>
        <v/>
      </c>
      <c r="M2043" s="63" t="n">
        <v>26</v>
      </c>
      <c r="N2043" s="2" t="n"/>
      <c r="O2043" s="2" t="n"/>
    </row>
    <row r="2044">
      <c r="A2044" s="62">
        <f>IF('26'!$C$1="","",'26'!$C$1)</f>
        <v/>
      </c>
      <c r="B2044" s="63">
        <f>Ustawienia!$A$8&amp;""</f>
        <v/>
      </c>
      <c r="C2044" s="63">
        <f>Ustawienia!$A$16&amp;""</f>
        <v/>
      </c>
      <c r="D2044" s="63" t="n">
        <v>4</v>
      </c>
      <c r="E2044" s="63">
        <f>IF('26'!B25="","",TRIM('26'!B25&amp;""))</f>
        <v/>
      </c>
      <c r="F2044" s="63">
        <f>IF('26'!C25="","",'26'!C25)</f>
        <v/>
      </c>
      <c r="G2044" s="63">
        <f>'26'!D25&amp;""</f>
        <v/>
      </c>
      <c r="H2044" s="63">
        <f>IF(OR(A2044="",F2044=""),"",F2044&amp;"|"&amp;A2044)</f>
        <v/>
      </c>
      <c r="I2044" s="63">
        <f>IF(AND(H2044&lt;&gt;"",OR('Historia wózka'!$B$4="",F2044='Historia wózka'!$B$4),A2044&gt;='Historia wózka'!$B$5,A2044&lt;='Historia wózka'!$B$6),A2044+0.9+(5000-ROW())/10000000,0)</f>
        <v/>
      </c>
      <c r="J2044" s="63">
        <f>Ustawienia!$B$8&amp;""</f>
        <v/>
      </c>
      <c r="K2044" s="63">
        <f>IF(H2044="","",COUNTIFS('Zgłoszenia'!$B$5:$B$504,F2044,'Zgłoszenia'!$D$5:$D$504,"&gt;="&amp;A2044,'Zgłoszenia'!$D$5:$D$504,"&lt;="&amp;(A2044+1)))</f>
        <v/>
      </c>
      <c r="L2044" s="63">
        <f>IF(OR(H2044="",K2044=0),"—",IF(ISNUMBER(MATCH(H2044,'Zgłoszenia'!$S$5:$S$504,0)),RIGHT("0"&amp;DAY(A2044),2)&amp;"."&amp;RIGHT("0"&amp;MONTH(A2044),2)&amp;"."&amp;YEAR(A2044)&amp;": "&amp;INDEX('Zgłoszenia'!$H$5:$H$504,MATCH(H2044,'Zgłoszenia'!$S$5:$S$504,0)),RIGHT("0"&amp;DAY((A2044+1)),2)&amp;"."&amp;RIGHT("0"&amp;MONTH((A2044+1)),2)&amp;"."&amp;YEAR((A2044+1))&amp;": "&amp;INDEX('Zgłoszenia'!$H$5:$H$504,MATCH(F2044&amp;"|"&amp;(A2044+1),'Zgłoszenia'!$S$5:$S$504,0)))&amp;IF(K2044&gt;1," (+"&amp;(K2044-1)&amp;")",""))</f>
        <v/>
      </c>
      <c r="M2044" s="63" t="n">
        <v>26</v>
      </c>
      <c r="N2044" s="2" t="n"/>
      <c r="O2044" s="2" t="n"/>
    </row>
    <row r="2045">
      <c r="A2045" s="62">
        <f>IF('26'!$C$1="","",'26'!$C$1)</f>
        <v/>
      </c>
      <c r="B2045" s="63">
        <f>Ustawienia!$A$8&amp;""</f>
        <v/>
      </c>
      <c r="C2045" s="63">
        <f>Ustawienia!$A$17&amp;""</f>
        <v/>
      </c>
      <c r="D2045" s="63" t="n">
        <v>1</v>
      </c>
      <c r="E2045" s="63">
        <f>IF('26'!B27="","",TRIM('26'!B27&amp;""))</f>
        <v/>
      </c>
      <c r="F2045" s="63">
        <f>IF('26'!C27="","",'26'!C27)</f>
        <v/>
      </c>
      <c r="G2045" s="63">
        <f>'26'!D27&amp;""</f>
        <v/>
      </c>
      <c r="H2045" s="63">
        <f>IF(OR(A2045="",F2045=""),"",F2045&amp;"|"&amp;A2045)</f>
        <v/>
      </c>
      <c r="I2045" s="63">
        <f>IF(AND(H2045&lt;&gt;"",OR('Historia wózka'!$B$4="",F2045='Historia wózka'!$B$4),A2045&gt;='Historia wózka'!$B$5,A2045&lt;='Historia wózka'!$B$6),A2045+0.9+(5000-ROW())/10000000,0)</f>
        <v/>
      </c>
      <c r="J2045" s="63">
        <f>Ustawienia!$B$8&amp;""</f>
        <v/>
      </c>
      <c r="K2045" s="63">
        <f>IF(H2045="","",COUNTIFS('Zgłoszenia'!$B$5:$B$504,F2045,'Zgłoszenia'!$D$5:$D$504,"&gt;="&amp;A2045,'Zgłoszenia'!$D$5:$D$504,"&lt;="&amp;(A2045+1)))</f>
        <v/>
      </c>
      <c r="L2045" s="63">
        <f>IF(OR(H2045="",K2045=0),"—",IF(ISNUMBER(MATCH(H2045,'Zgłoszenia'!$S$5:$S$504,0)),RIGHT("0"&amp;DAY(A2045),2)&amp;"."&amp;RIGHT("0"&amp;MONTH(A2045),2)&amp;"."&amp;YEAR(A2045)&amp;": "&amp;INDEX('Zgłoszenia'!$H$5:$H$504,MATCH(H2045,'Zgłoszenia'!$S$5:$S$504,0)),RIGHT("0"&amp;DAY((A2045+1)),2)&amp;"."&amp;RIGHT("0"&amp;MONTH((A2045+1)),2)&amp;"."&amp;YEAR((A2045+1))&amp;": "&amp;INDEX('Zgłoszenia'!$H$5:$H$504,MATCH(F2045&amp;"|"&amp;(A2045+1),'Zgłoszenia'!$S$5:$S$504,0)))&amp;IF(K2045&gt;1," (+"&amp;(K2045-1)&amp;")",""))</f>
        <v/>
      </c>
      <c r="M2045" s="63" t="n">
        <v>26</v>
      </c>
      <c r="N2045" s="2" t="n"/>
      <c r="O2045" s="2" t="n"/>
    </row>
    <row r="2046">
      <c r="A2046" s="62">
        <f>IF('26'!$C$1="","",'26'!$C$1)</f>
        <v/>
      </c>
      <c r="B2046" s="63">
        <f>Ustawienia!$A$8&amp;""</f>
        <v/>
      </c>
      <c r="C2046" s="63">
        <f>Ustawienia!$A$17&amp;""</f>
        <v/>
      </c>
      <c r="D2046" s="63" t="n">
        <v>2</v>
      </c>
      <c r="E2046" s="63">
        <f>IF('26'!B28="","",TRIM('26'!B28&amp;""))</f>
        <v/>
      </c>
      <c r="F2046" s="63">
        <f>IF('26'!C28="","",'26'!C28)</f>
        <v/>
      </c>
      <c r="G2046" s="63">
        <f>'26'!D28&amp;""</f>
        <v/>
      </c>
      <c r="H2046" s="63">
        <f>IF(OR(A2046="",F2046=""),"",F2046&amp;"|"&amp;A2046)</f>
        <v/>
      </c>
      <c r="I2046" s="63">
        <f>IF(AND(H2046&lt;&gt;"",OR('Historia wózka'!$B$4="",F2046='Historia wózka'!$B$4),A2046&gt;='Historia wózka'!$B$5,A2046&lt;='Historia wózka'!$B$6),A2046+0.9+(5000-ROW())/10000000,0)</f>
        <v/>
      </c>
      <c r="J2046" s="63">
        <f>Ustawienia!$B$8&amp;""</f>
        <v/>
      </c>
      <c r="K2046" s="63">
        <f>IF(H2046="","",COUNTIFS('Zgłoszenia'!$B$5:$B$504,F2046,'Zgłoszenia'!$D$5:$D$504,"&gt;="&amp;A2046,'Zgłoszenia'!$D$5:$D$504,"&lt;="&amp;(A2046+1)))</f>
        <v/>
      </c>
      <c r="L2046" s="63">
        <f>IF(OR(H2046="",K2046=0),"—",IF(ISNUMBER(MATCH(H2046,'Zgłoszenia'!$S$5:$S$504,0)),RIGHT("0"&amp;DAY(A2046),2)&amp;"."&amp;RIGHT("0"&amp;MONTH(A2046),2)&amp;"."&amp;YEAR(A2046)&amp;": "&amp;INDEX('Zgłoszenia'!$H$5:$H$504,MATCH(H2046,'Zgłoszenia'!$S$5:$S$504,0)),RIGHT("0"&amp;DAY((A2046+1)),2)&amp;"."&amp;RIGHT("0"&amp;MONTH((A2046+1)),2)&amp;"."&amp;YEAR((A2046+1))&amp;": "&amp;INDEX('Zgłoszenia'!$H$5:$H$504,MATCH(F2046&amp;"|"&amp;(A2046+1),'Zgłoszenia'!$S$5:$S$504,0)))&amp;IF(K2046&gt;1," (+"&amp;(K2046-1)&amp;")",""))</f>
        <v/>
      </c>
      <c r="M2046" s="63" t="n">
        <v>26</v>
      </c>
      <c r="N2046" s="2" t="n"/>
      <c r="O2046" s="2" t="n"/>
    </row>
    <row r="2047">
      <c r="A2047" s="62">
        <f>IF('26'!$C$1="","",'26'!$C$1)</f>
        <v/>
      </c>
      <c r="B2047" s="63">
        <f>Ustawienia!$A$8&amp;""</f>
        <v/>
      </c>
      <c r="C2047" s="63">
        <f>Ustawienia!$A$17&amp;""</f>
        <v/>
      </c>
      <c r="D2047" s="63" t="n">
        <v>3</v>
      </c>
      <c r="E2047" s="63">
        <f>IF('26'!B29="","",TRIM('26'!B29&amp;""))</f>
        <v/>
      </c>
      <c r="F2047" s="63">
        <f>IF('26'!C29="","",'26'!C29)</f>
        <v/>
      </c>
      <c r="G2047" s="63">
        <f>'26'!D29&amp;""</f>
        <v/>
      </c>
      <c r="H2047" s="63">
        <f>IF(OR(A2047="",F2047=""),"",F2047&amp;"|"&amp;A2047)</f>
        <v/>
      </c>
      <c r="I2047" s="63">
        <f>IF(AND(H2047&lt;&gt;"",OR('Historia wózka'!$B$4="",F2047='Historia wózka'!$B$4),A2047&gt;='Historia wózka'!$B$5,A2047&lt;='Historia wózka'!$B$6),A2047+0.9+(5000-ROW())/10000000,0)</f>
        <v/>
      </c>
      <c r="J2047" s="63">
        <f>Ustawienia!$B$8&amp;""</f>
        <v/>
      </c>
      <c r="K2047" s="63">
        <f>IF(H2047="","",COUNTIFS('Zgłoszenia'!$B$5:$B$504,F2047,'Zgłoszenia'!$D$5:$D$504,"&gt;="&amp;A2047,'Zgłoszenia'!$D$5:$D$504,"&lt;="&amp;(A2047+1)))</f>
        <v/>
      </c>
      <c r="L2047" s="63">
        <f>IF(OR(H2047="",K2047=0),"—",IF(ISNUMBER(MATCH(H2047,'Zgłoszenia'!$S$5:$S$504,0)),RIGHT("0"&amp;DAY(A2047),2)&amp;"."&amp;RIGHT("0"&amp;MONTH(A2047),2)&amp;"."&amp;YEAR(A2047)&amp;": "&amp;INDEX('Zgłoszenia'!$H$5:$H$504,MATCH(H2047,'Zgłoszenia'!$S$5:$S$504,0)),RIGHT("0"&amp;DAY((A2047+1)),2)&amp;"."&amp;RIGHT("0"&amp;MONTH((A2047+1)),2)&amp;"."&amp;YEAR((A2047+1))&amp;": "&amp;INDEX('Zgłoszenia'!$H$5:$H$504,MATCH(F2047&amp;"|"&amp;(A2047+1),'Zgłoszenia'!$S$5:$S$504,0)))&amp;IF(K2047&gt;1," (+"&amp;(K2047-1)&amp;")",""))</f>
        <v/>
      </c>
      <c r="M2047" s="63" t="n">
        <v>26</v>
      </c>
      <c r="N2047" s="2" t="n"/>
      <c r="O2047" s="2" t="n"/>
    </row>
    <row r="2048">
      <c r="A2048" s="62">
        <f>IF('26'!$C$1="","",'26'!$C$1)</f>
        <v/>
      </c>
      <c r="B2048" s="63">
        <f>Ustawienia!$A$8&amp;""</f>
        <v/>
      </c>
      <c r="C2048" s="63">
        <f>Ustawienia!$A$17&amp;""</f>
        <v/>
      </c>
      <c r="D2048" s="63" t="n">
        <v>4</v>
      </c>
      <c r="E2048" s="63">
        <f>IF('26'!B30="","",TRIM('26'!B30&amp;""))</f>
        <v/>
      </c>
      <c r="F2048" s="63">
        <f>IF('26'!C30="","",'26'!C30)</f>
        <v/>
      </c>
      <c r="G2048" s="63">
        <f>'26'!D30&amp;""</f>
        <v/>
      </c>
      <c r="H2048" s="63">
        <f>IF(OR(A2048="",F2048=""),"",F2048&amp;"|"&amp;A2048)</f>
        <v/>
      </c>
      <c r="I2048" s="63">
        <f>IF(AND(H2048&lt;&gt;"",OR('Historia wózka'!$B$4="",F2048='Historia wózka'!$B$4),A2048&gt;='Historia wózka'!$B$5,A2048&lt;='Historia wózka'!$B$6),A2048+0.9+(5000-ROW())/10000000,0)</f>
        <v/>
      </c>
      <c r="J2048" s="63">
        <f>Ustawienia!$B$8&amp;""</f>
        <v/>
      </c>
      <c r="K2048" s="63">
        <f>IF(H2048="","",COUNTIFS('Zgłoszenia'!$B$5:$B$504,F2048,'Zgłoszenia'!$D$5:$D$504,"&gt;="&amp;A2048,'Zgłoszenia'!$D$5:$D$504,"&lt;="&amp;(A2048+1)))</f>
        <v/>
      </c>
      <c r="L2048" s="63">
        <f>IF(OR(H2048="",K2048=0),"—",IF(ISNUMBER(MATCH(H2048,'Zgłoszenia'!$S$5:$S$504,0)),RIGHT("0"&amp;DAY(A2048),2)&amp;"."&amp;RIGHT("0"&amp;MONTH(A2048),2)&amp;"."&amp;YEAR(A2048)&amp;": "&amp;INDEX('Zgłoszenia'!$H$5:$H$504,MATCH(H2048,'Zgłoszenia'!$S$5:$S$504,0)),RIGHT("0"&amp;DAY((A2048+1)),2)&amp;"."&amp;RIGHT("0"&amp;MONTH((A2048+1)),2)&amp;"."&amp;YEAR((A2048+1))&amp;": "&amp;INDEX('Zgłoszenia'!$H$5:$H$504,MATCH(F2048&amp;"|"&amp;(A2048+1),'Zgłoszenia'!$S$5:$S$504,0)))&amp;IF(K2048&gt;1," (+"&amp;(K2048-1)&amp;")",""))</f>
        <v/>
      </c>
      <c r="M2048" s="63" t="n">
        <v>26</v>
      </c>
      <c r="N2048" s="2" t="n"/>
      <c r="O2048" s="2" t="n"/>
    </row>
    <row r="2049">
      <c r="A2049" s="62">
        <f>IF('26'!$C$1="","",'26'!$C$1)</f>
        <v/>
      </c>
      <c r="B2049" s="63">
        <f>Ustawienia!$A$8&amp;""</f>
        <v/>
      </c>
      <c r="C2049" s="63">
        <f>Ustawienia!$A$18&amp;""</f>
        <v/>
      </c>
      <c r="D2049" s="63" t="n">
        <v>1</v>
      </c>
      <c r="E2049" s="63">
        <f>IF('26'!B32="","",TRIM('26'!B32&amp;""))</f>
        <v/>
      </c>
      <c r="F2049" s="63">
        <f>IF('26'!C32="","",'26'!C32)</f>
        <v/>
      </c>
      <c r="G2049" s="63">
        <f>'26'!D32&amp;""</f>
        <v/>
      </c>
      <c r="H2049" s="63">
        <f>IF(OR(A2049="",F2049=""),"",F2049&amp;"|"&amp;A2049)</f>
        <v/>
      </c>
      <c r="I2049" s="63">
        <f>IF(AND(H2049&lt;&gt;"",OR('Historia wózka'!$B$4="",F2049='Historia wózka'!$B$4),A2049&gt;='Historia wózka'!$B$5,A2049&lt;='Historia wózka'!$B$6),A2049+0.9+(5000-ROW())/10000000,0)</f>
        <v/>
      </c>
      <c r="J2049" s="63">
        <f>Ustawienia!$B$8&amp;""</f>
        <v/>
      </c>
      <c r="K2049" s="63">
        <f>IF(H2049="","",COUNTIFS('Zgłoszenia'!$B$5:$B$504,F2049,'Zgłoszenia'!$D$5:$D$504,"&gt;="&amp;A2049,'Zgłoszenia'!$D$5:$D$504,"&lt;="&amp;(A2049+1)))</f>
        <v/>
      </c>
      <c r="L2049" s="63">
        <f>IF(OR(H2049="",K2049=0),"—",IF(ISNUMBER(MATCH(H2049,'Zgłoszenia'!$S$5:$S$504,0)),RIGHT("0"&amp;DAY(A2049),2)&amp;"."&amp;RIGHT("0"&amp;MONTH(A2049),2)&amp;"."&amp;YEAR(A2049)&amp;": "&amp;INDEX('Zgłoszenia'!$H$5:$H$504,MATCH(H2049,'Zgłoszenia'!$S$5:$S$504,0)),RIGHT("0"&amp;DAY((A2049+1)),2)&amp;"."&amp;RIGHT("0"&amp;MONTH((A2049+1)),2)&amp;"."&amp;YEAR((A2049+1))&amp;": "&amp;INDEX('Zgłoszenia'!$H$5:$H$504,MATCH(F2049&amp;"|"&amp;(A2049+1),'Zgłoszenia'!$S$5:$S$504,0)))&amp;IF(K2049&gt;1," (+"&amp;(K2049-1)&amp;")",""))</f>
        <v/>
      </c>
      <c r="M2049" s="63" t="n">
        <v>26</v>
      </c>
      <c r="N2049" s="2" t="n"/>
      <c r="O2049" s="2" t="n"/>
    </row>
    <row r="2050">
      <c r="A2050" s="62">
        <f>IF('26'!$C$1="","",'26'!$C$1)</f>
        <v/>
      </c>
      <c r="B2050" s="63">
        <f>Ustawienia!$A$8&amp;""</f>
        <v/>
      </c>
      <c r="C2050" s="63">
        <f>Ustawienia!$A$18&amp;""</f>
        <v/>
      </c>
      <c r="D2050" s="63" t="n">
        <v>2</v>
      </c>
      <c r="E2050" s="63">
        <f>IF('26'!B33="","",TRIM('26'!B33&amp;""))</f>
        <v/>
      </c>
      <c r="F2050" s="63">
        <f>IF('26'!C33="","",'26'!C33)</f>
        <v/>
      </c>
      <c r="G2050" s="63">
        <f>'26'!D33&amp;""</f>
        <v/>
      </c>
      <c r="H2050" s="63">
        <f>IF(OR(A2050="",F2050=""),"",F2050&amp;"|"&amp;A2050)</f>
        <v/>
      </c>
      <c r="I2050" s="63">
        <f>IF(AND(H2050&lt;&gt;"",OR('Historia wózka'!$B$4="",F2050='Historia wózka'!$B$4),A2050&gt;='Historia wózka'!$B$5,A2050&lt;='Historia wózka'!$B$6),A2050+0.9+(5000-ROW())/10000000,0)</f>
        <v/>
      </c>
      <c r="J2050" s="63">
        <f>Ustawienia!$B$8&amp;""</f>
        <v/>
      </c>
      <c r="K2050" s="63">
        <f>IF(H2050="","",COUNTIFS('Zgłoszenia'!$B$5:$B$504,F2050,'Zgłoszenia'!$D$5:$D$504,"&gt;="&amp;A2050,'Zgłoszenia'!$D$5:$D$504,"&lt;="&amp;(A2050+1)))</f>
        <v/>
      </c>
      <c r="L2050" s="63">
        <f>IF(OR(H2050="",K2050=0),"—",IF(ISNUMBER(MATCH(H2050,'Zgłoszenia'!$S$5:$S$504,0)),RIGHT("0"&amp;DAY(A2050),2)&amp;"."&amp;RIGHT("0"&amp;MONTH(A2050),2)&amp;"."&amp;YEAR(A2050)&amp;": "&amp;INDEX('Zgłoszenia'!$H$5:$H$504,MATCH(H2050,'Zgłoszenia'!$S$5:$S$504,0)),RIGHT("0"&amp;DAY((A2050+1)),2)&amp;"."&amp;RIGHT("0"&amp;MONTH((A2050+1)),2)&amp;"."&amp;YEAR((A2050+1))&amp;": "&amp;INDEX('Zgłoszenia'!$H$5:$H$504,MATCH(F2050&amp;"|"&amp;(A2050+1),'Zgłoszenia'!$S$5:$S$504,0)))&amp;IF(K2050&gt;1," (+"&amp;(K2050-1)&amp;")",""))</f>
        <v/>
      </c>
      <c r="M2050" s="63" t="n">
        <v>26</v>
      </c>
      <c r="N2050" s="2" t="n"/>
      <c r="O2050" s="2" t="n"/>
    </row>
    <row r="2051">
      <c r="A2051" s="62">
        <f>IF('26'!$C$1="","",'26'!$C$1)</f>
        <v/>
      </c>
      <c r="B2051" s="63">
        <f>Ustawienia!$A$8&amp;""</f>
        <v/>
      </c>
      <c r="C2051" s="63">
        <f>Ustawienia!$A$18&amp;""</f>
        <v/>
      </c>
      <c r="D2051" s="63" t="n">
        <v>3</v>
      </c>
      <c r="E2051" s="63">
        <f>IF('26'!B34="","",TRIM('26'!B34&amp;""))</f>
        <v/>
      </c>
      <c r="F2051" s="63">
        <f>IF('26'!C34="","",'26'!C34)</f>
        <v/>
      </c>
      <c r="G2051" s="63">
        <f>'26'!D34&amp;""</f>
        <v/>
      </c>
      <c r="H2051" s="63">
        <f>IF(OR(A2051="",F2051=""),"",F2051&amp;"|"&amp;A2051)</f>
        <v/>
      </c>
      <c r="I2051" s="63">
        <f>IF(AND(H2051&lt;&gt;"",OR('Historia wózka'!$B$4="",F2051='Historia wózka'!$B$4),A2051&gt;='Historia wózka'!$B$5,A2051&lt;='Historia wózka'!$B$6),A2051+0.9+(5000-ROW())/10000000,0)</f>
        <v/>
      </c>
      <c r="J2051" s="63">
        <f>Ustawienia!$B$8&amp;""</f>
        <v/>
      </c>
      <c r="K2051" s="63">
        <f>IF(H2051="","",COUNTIFS('Zgłoszenia'!$B$5:$B$504,F2051,'Zgłoszenia'!$D$5:$D$504,"&gt;="&amp;A2051,'Zgłoszenia'!$D$5:$D$504,"&lt;="&amp;(A2051+1)))</f>
        <v/>
      </c>
      <c r="L2051" s="63">
        <f>IF(OR(H2051="",K2051=0),"—",IF(ISNUMBER(MATCH(H2051,'Zgłoszenia'!$S$5:$S$504,0)),RIGHT("0"&amp;DAY(A2051),2)&amp;"."&amp;RIGHT("0"&amp;MONTH(A2051),2)&amp;"."&amp;YEAR(A2051)&amp;": "&amp;INDEX('Zgłoszenia'!$H$5:$H$504,MATCH(H2051,'Zgłoszenia'!$S$5:$S$504,0)),RIGHT("0"&amp;DAY((A2051+1)),2)&amp;"."&amp;RIGHT("0"&amp;MONTH((A2051+1)),2)&amp;"."&amp;YEAR((A2051+1))&amp;": "&amp;INDEX('Zgłoszenia'!$H$5:$H$504,MATCH(F2051&amp;"|"&amp;(A2051+1),'Zgłoszenia'!$S$5:$S$504,0)))&amp;IF(K2051&gt;1," (+"&amp;(K2051-1)&amp;")",""))</f>
        <v/>
      </c>
      <c r="M2051" s="63" t="n">
        <v>26</v>
      </c>
      <c r="N2051" s="2" t="n"/>
      <c r="O2051" s="2" t="n"/>
    </row>
    <row r="2052">
      <c r="A2052" s="62">
        <f>IF('26'!$C$1="","",'26'!$C$1)</f>
        <v/>
      </c>
      <c r="B2052" s="63">
        <f>Ustawienia!$A$8&amp;""</f>
        <v/>
      </c>
      <c r="C2052" s="63">
        <f>Ustawienia!$A$18&amp;""</f>
        <v/>
      </c>
      <c r="D2052" s="63" t="n">
        <v>4</v>
      </c>
      <c r="E2052" s="63">
        <f>IF('26'!B35="","",TRIM('26'!B35&amp;""))</f>
        <v/>
      </c>
      <c r="F2052" s="63">
        <f>IF('26'!C35="","",'26'!C35)</f>
        <v/>
      </c>
      <c r="G2052" s="63">
        <f>'26'!D35&amp;""</f>
        <v/>
      </c>
      <c r="H2052" s="63">
        <f>IF(OR(A2052="",F2052=""),"",F2052&amp;"|"&amp;A2052)</f>
        <v/>
      </c>
      <c r="I2052" s="63">
        <f>IF(AND(H2052&lt;&gt;"",OR('Historia wózka'!$B$4="",F2052='Historia wózka'!$B$4),A2052&gt;='Historia wózka'!$B$5,A2052&lt;='Historia wózka'!$B$6),A2052+0.9+(5000-ROW())/10000000,0)</f>
        <v/>
      </c>
      <c r="J2052" s="63">
        <f>Ustawienia!$B$8&amp;""</f>
        <v/>
      </c>
      <c r="K2052" s="63">
        <f>IF(H2052="","",COUNTIFS('Zgłoszenia'!$B$5:$B$504,F2052,'Zgłoszenia'!$D$5:$D$504,"&gt;="&amp;A2052,'Zgłoszenia'!$D$5:$D$504,"&lt;="&amp;(A2052+1)))</f>
        <v/>
      </c>
      <c r="L2052" s="63">
        <f>IF(OR(H2052="",K2052=0),"—",IF(ISNUMBER(MATCH(H2052,'Zgłoszenia'!$S$5:$S$504,0)),RIGHT("0"&amp;DAY(A2052),2)&amp;"."&amp;RIGHT("0"&amp;MONTH(A2052),2)&amp;"."&amp;YEAR(A2052)&amp;": "&amp;INDEX('Zgłoszenia'!$H$5:$H$504,MATCH(H2052,'Zgłoszenia'!$S$5:$S$504,0)),RIGHT("0"&amp;DAY((A2052+1)),2)&amp;"."&amp;RIGHT("0"&amp;MONTH((A2052+1)),2)&amp;"."&amp;YEAR((A2052+1))&amp;": "&amp;INDEX('Zgłoszenia'!$H$5:$H$504,MATCH(F2052&amp;"|"&amp;(A2052+1),'Zgłoszenia'!$S$5:$S$504,0)))&amp;IF(K2052&gt;1," (+"&amp;(K2052-1)&amp;")",""))</f>
        <v/>
      </c>
      <c r="M2052" s="63" t="n">
        <v>26</v>
      </c>
      <c r="N2052" s="2" t="n"/>
      <c r="O2052" s="2" t="n"/>
    </row>
    <row r="2053">
      <c r="A2053" s="62">
        <f>IF('26'!$C$1="","",'26'!$C$1)</f>
        <v/>
      </c>
      <c r="B2053" s="63">
        <f>Ustawienia!$A$8&amp;""</f>
        <v/>
      </c>
      <c r="C2053" s="63">
        <f>Ustawienia!$A$18&amp;""</f>
        <v/>
      </c>
      <c r="D2053" s="63" t="n">
        <v>5</v>
      </c>
      <c r="E2053" s="63">
        <f>IF('26'!B36="","",TRIM('26'!B36&amp;""))</f>
        <v/>
      </c>
      <c r="F2053" s="63">
        <f>IF('26'!C36="","",'26'!C36)</f>
        <v/>
      </c>
      <c r="G2053" s="63">
        <f>'26'!D36&amp;""</f>
        <v/>
      </c>
      <c r="H2053" s="63">
        <f>IF(OR(A2053="",F2053=""),"",F2053&amp;"|"&amp;A2053)</f>
        <v/>
      </c>
      <c r="I2053" s="63">
        <f>IF(AND(H2053&lt;&gt;"",OR('Historia wózka'!$B$4="",F2053='Historia wózka'!$B$4),A2053&gt;='Historia wózka'!$B$5,A2053&lt;='Historia wózka'!$B$6),A2053+0.9+(5000-ROW())/10000000,0)</f>
        <v/>
      </c>
      <c r="J2053" s="63">
        <f>Ustawienia!$B$8&amp;""</f>
        <v/>
      </c>
      <c r="K2053" s="63">
        <f>IF(H2053="","",COUNTIFS('Zgłoszenia'!$B$5:$B$504,F2053,'Zgłoszenia'!$D$5:$D$504,"&gt;="&amp;A2053,'Zgłoszenia'!$D$5:$D$504,"&lt;="&amp;(A2053+1)))</f>
        <v/>
      </c>
      <c r="L2053" s="63">
        <f>IF(OR(H2053="",K2053=0),"—",IF(ISNUMBER(MATCH(H2053,'Zgłoszenia'!$S$5:$S$504,0)),RIGHT("0"&amp;DAY(A2053),2)&amp;"."&amp;RIGHT("0"&amp;MONTH(A2053),2)&amp;"."&amp;YEAR(A2053)&amp;": "&amp;INDEX('Zgłoszenia'!$H$5:$H$504,MATCH(H2053,'Zgłoszenia'!$S$5:$S$504,0)),RIGHT("0"&amp;DAY((A2053+1)),2)&amp;"."&amp;RIGHT("0"&amp;MONTH((A2053+1)),2)&amp;"."&amp;YEAR((A2053+1))&amp;": "&amp;INDEX('Zgłoszenia'!$H$5:$H$504,MATCH(F2053&amp;"|"&amp;(A2053+1),'Zgłoszenia'!$S$5:$S$504,0)))&amp;IF(K2053&gt;1," (+"&amp;(K2053-1)&amp;")",""))</f>
        <v/>
      </c>
      <c r="M2053" s="63" t="n">
        <v>26</v>
      </c>
      <c r="N2053" s="2" t="n"/>
      <c r="O2053" s="2" t="n"/>
    </row>
    <row r="2054">
      <c r="A2054" s="62">
        <f>IF('26'!$C$1="","",'26'!$C$1)</f>
        <v/>
      </c>
      <c r="B2054" s="63">
        <f>Ustawienia!$A$9&amp;""</f>
        <v/>
      </c>
      <c r="C2054" s="63">
        <f>Ustawienia!$A$14&amp;""</f>
        <v/>
      </c>
      <c r="D2054" s="63" t="n">
        <v>1</v>
      </c>
      <c r="E2054" s="63">
        <f>IF('26'!F6="","",TRIM('26'!F6&amp;""))</f>
        <v/>
      </c>
      <c r="F2054" s="63">
        <f>IF('26'!G6="","",'26'!G6)</f>
        <v/>
      </c>
      <c r="G2054" s="63">
        <f>'26'!H6&amp;""</f>
        <v/>
      </c>
      <c r="H2054" s="63">
        <f>IF(OR(A2054="",F2054=""),"",F2054&amp;"|"&amp;A2054)</f>
        <v/>
      </c>
      <c r="I2054" s="63">
        <f>IF(AND(H2054&lt;&gt;"",OR('Historia wózka'!$B$4="",F2054='Historia wózka'!$B$4),A2054&gt;='Historia wózka'!$B$5,A2054&lt;='Historia wózka'!$B$6),A2054+0.8+(5000-ROW())/10000000,0)</f>
        <v/>
      </c>
      <c r="J2054" s="63">
        <f>Ustawienia!$B$9&amp;""</f>
        <v/>
      </c>
      <c r="K2054" s="63">
        <f>IF(H2054="","",COUNTIFS('Zgłoszenia'!$B$5:$B$504,F2054,'Zgłoszenia'!$D$5:$D$504,"&gt;="&amp;A2054,'Zgłoszenia'!$D$5:$D$504,"&lt;="&amp;(A2054+1)))</f>
        <v/>
      </c>
      <c r="L2054" s="63">
        <f>IF(OR(H2054="",K2054=0),"—",IF(ISNUMBER(MATCH(H2054,'Zgłoszenia'!$S$5:$S$504,0)),RIGHT("0"&amp;DAY(A2054),2)&amp;"."&amp;RIGHT("0"&amp;MONTH(A2054),2)&amp;"."&amp;YEAR(A2054)&amp;": "&amp;INDEX('Zgłoszenia'!$H$5:$H$504,MATCH(H2054,'Zgłoszenia'!$S$5:$S$504,0)),RIGHT("0"&amp;DAY((A2054+1)),2)&amp;"."&amp;RIGHT("0"&amp;MONTH((A2054+1)),2)&amp;"."&amp;YEAR((A2054+1))&amp;": "&amp;INDEX('Zgłoszenia'!$H$5:$H$504,MATCH(F2054&amp;"|"&amp;(A2054+1),'Zgłoszenia'!$S$5:$S$504,0)))&amp;IF(K2054&gt;1," (+"&amp;(K2054-1)&amp;")",""))</f>
        <v/>
      </c>
      <c r="M2054" s="63" t="n">
        <v>26</v>
      </c>
      <c r="N2054" s="2" t="n"/>
      <c r="O2054" s="2" t="n"/>
    </row>
    <row r="2055">
      <c r="A2055" s="62">
        <f>IF('26'!$C$1="","",'26'!$C$1)</f>
        <v/>
      </c>
      <c r="B2055" s="63">
        <f>Ustawienia!$A$9&amp;""</f>
        <v/>
      </c>
      <c r="C2055" s="63">
        <f>Ustawienia!$A$14&amp;""</f>
        <v/>
      </c>
      <c r="D2055" s="63" t="n">
        <v>2</v>
      </c>
      <c r="E2055" s="63">
        <f>IF('26'!F7="","",TRIM('26'!F7&amp;""))</f>
        <v/>
      </c>
      <c r="F2055" s="63">
        <f>IF('26'!G7="","",'26'!G7)</f>
        <v/>
      </c>
      <c r="G2055" s="63">
        <f>'26'!H7&amp;""</f>
        <v/>
      </c>
      <c r="H2055" s="63">
        <f>IF(OR(A2055="",F2055=""),"",F2055&amp;"|"&amp;A2055)</f>
        <v/>
      </c>
      <c r="I2055" s="63">
        <f>IF(AND(H2055&lt;&gt;"",OR('Historia wózka'!$B$4="",F2055='Historia wózka'!$B$4),A2055&gt;='Historia wózka'!$B$5,A2055&lt;='Historia wózka'!$B$6),A2055+0.8+(5000-ROW())/10000000,0)</f>
        <v/>
      </c>
      <c r="J2055" s="63">
        <f>Ustawienia!$B$9&amp;""</f>
        <v/>
      </c>
      <c r="K2055" s="63">
        <f>IF(H2055="","",COUNTIFS('Zgłoszenia'!$B$5:$B$504,F2055,'Zgłoszenia'!$D$5:$D$504,"&gt;="&amp;A2055,'Zgłoszenia'!$D$5:$D$504,"&lt;="&amp;(A2055+1)))</f>
        <v/>
      </c>
      <c r="L2055" s="63">
        <f>IF(OR(H2055="",K2055=0),"—",IF(ISNUMBER(MATCH(H2055,'Zgłoszenia'!$S$5:$S$504,0)),RIGHT("0"&amp;DAY(A2055),2)&amp;"."&amp;RIGHT("0"&amp;MONTH(A2055),2)&amp;"."&amp;YEAR(A2055)&amp;": "&amp;INDEX('Zgłoszenia'!$H$5:$H$504,MATCH(H2055,'Zgłoszenia'!$S$5:$S$504,0)),RIGHT("0"&amp;DAY((A2055+1)),2)&amp;"."&amp;RIGHT("0"&amp;MONTH((A2055+1)),2)&amp;"."&amp;YEAR((A2055+1))&amp;": "&amp;INDEX('Zgłoszenia'!$H$5:$H$504,MATCH(F2055&amp;"|"&amp;(A2055+1),'Zgłoszenia'!$S$5:$S$504,0)))&amp;IF(K2055&gt;1," (+"&amp;(K2055-1)&amp;")",""))</f>
        <v/>
      </c>
      <c r="M2055" s="63" t="n">
        <v>26</v>
      </c>
      <c r="N2055" s="2" t="n"/>
      <c r="O2055" s="2" t="n"/>
    </row>
    <row r="2056">
      <c r="A2056" s="62">
        <f>IF('26'!$C$1="","",'26'!$C$1)</f>
        <v/>
      </c>
      <c r="B2056" s="63">
        <f>Ustawienia!$A$9&amp;""</f>
        <v/>
      </c>
      <c r="C2056" s="63">
        <f>Ustawienia!$A$14&amp;""</f>
        <v/>
      </c>
      <c r="D2056" s="63" t="n">
        <v>3</v>
      </c>
      <c r="E2056" s="63">
        <f>IF('26'!F8="","",TRIM('26'!F8&amp;""))</f>
        <v/>
      </c>
      <c r="F2056" s="63">
        <f>IF('26'!G8="","",'26'!G8)</f>
        <v/>
      </c>
      <c r="G2056" s="63">
        <f>'26'!H8&amp;""</f>
        <v/>
      </c>
      <c r="H2056" s="63">
        <f>IF(OR(A2056="",F2056=""),"",F2056&amp;"|"&amp;A2056)</f>
        <v/>
      </c>
      <c r="I2056" s="63">
        <f>IF(AND(H2056&lt;&gt;"",OR('Historia wózka'!$B$4="",F2056='Historia wózka'!$B$4),A2056&gt;='Historia wózka'!$B$5,A2056&lt;='Historia wózka'!$B$6),A2056+0.8+(5000-ROW())/10000000,0)</f>
        <v/>
      </c>
      <c r="J2056" s="63">
        <f>Ustawienia!$B$9&amp;""</f>
        <v/>
      </c>
      <c r="K2056" s="63">
        <f>IF(H2056="","",COUNTIFS('Zgłoszenia'!$B$5:$B$504,F2056,'Zgłoszenia'!$D$5:$D$504,"&gt;="&amp;A2056,'Zgłoszenia'!$D$5:$D$504,"&lt;="&amp;(A2056+1)))</f>
        <v/>
      </c>
      <c r="L2056" s="63">
        <f>IF(OR(H2056="",K2056=0),"—",IF(ISNUMBER(MATCH(H2056,'Zgłoszenia'!$S$5:$S$504,0)),RIGHT("0"&amp;DAY(A2056),2)&amp;"."&amp;RIGHT("0"&amp;MONTH(A2056),2)&amp;"."&amp;YEAR(A2056)&amp;": "&amp;INDEX('Zgłoszenia'!$H$5:$H$504,MATCH(H2056,'Zgłoszenia'!$S$5:$S$504,0)),RIGHT("0"&amp;DAY((A2056+1)),2)&amp;"."&amp;RIGHT("0"&amp;MONTH((A2056+1)),2)&amp;"."&amp;YEAR((A2056+1))&amp;": "&amp;INDEX('Zgłoszenia'!$H$5:$H$504,MATCH(F2056&amp;"|"&amp;(A2056+1),'Zgłoszenia'!$S$5:$S$504,0)))&amp;IF(K2056&gt;1," (+"&amp;(K2056-1)&amp;")",""))</f>
        <v/>
      </c>
      <c r="M2056" s="63" t="n">
        <v>26</v>
      </c>
      <c r="N2056" s="2" t="n"/>
      <c r="O2056" s="2" t="n"/>
    </row>
    <row r="2057">
      <c r="A2057" s="62">
        <f>IF('26'!$C$1="","",'26'!$C$1)</f>
        <v/>
      </c>
      <c r="B2057" s="63">
        <f>Ustawienia!$A$9&amp;""</f>
        <v/>
      </c>
      <c r="C2057" s="63">
        <f>Ustawienia!$A$14&amp;""</f>
        <v/>
      </c>
      <c r="D2057" s="63" t="n">
        <v>4</v>
      </c>
      <c r="E2057" s="63">
        <f>IF('26'!F9="","",TRIM('26'!F9&amp;""))</f>
        <v/>
      </c>
      <c r="F2057" s="63">
        <f>IF('26'!G9="","",'26'!G9)</f>
        <v/>
      </c>
      <c r="G2057" s="63">
        <f>'26'!H9&amp;""</f>
        <v/>
      </c>
      <c r="H2057" s="63">
        <f>IF(OR(A2057="",F2057=""),"",F2057&amp;"|"&amp;A2057)</f>
        <v/>
      </c>
      <c r="I2057" s="63">
        <f>IF(AND(H2057&lt;&gt;"",OR('Historia wózka'!$B$4="",F2057='Historia wózka'!$B$4),A2057&gt;='Historia wózka'!$B$5,A2057&lt;='Historia wózka'!$B$6),A2057+0.8+(5000-ROW())/10000000,0)</f>
        <v/>
      </c>
      <c r="J2057" s="63">
        <f>Ustawienia!$B$9&amp;""</f>
        <v/>
      </c>
      <c r="K2057" s="63">
        <f>IF(H2057="","",COUNTIFS('Zgłoszenia'!$B$5:$B$504,F2057,'Zgłoszenia'!$D$5:$D$504,"&gt;="&amp;A2057,'Zgłoszenia'!$D$5:$D$504,"&lt;="&amp;(A2057+1)))</f>
        <v/>
      </c>
      <c r="L2057" s="63">
        <f>IF(OR(H2057="",K2057=0),"—",IF(ISNUMBER(MATCH(H2057,'Zgłoszenia'!$S$5:$S$504,0)),RIGHT("0"&amp;DAY(A2057),2)&amp;"."&amp;RIGHT("0"&amp;MONTH(A2057),2)&amp;"."&amp;YEAR(A2057)&amp;": "&amp;INDEX('Zgłoszenia'!$H$5:$H$504,MATCH(H2057,'Zgłoszenia'!$S$5:$S$504,0)),RIGHT("0"&amp;DAY((A2057+1)),2)&amp;"."&amp;RIGHT("0"&amp;MONTH((A2057+1)),2)&amp;"."&amp;YEAR((A2057+1))&amp;": "&amp;INDEX('Zgłoszenia'!$H$5:$H$504,MATCH(F2057&amp;"|"&amp;(A2057+1),'Zgłoszenia'!$S$5:$S$504,0)))&amp;IF(K2057&gt;1," (+"&amp;(K2057-1)&amp;")",""))</f>
        <v/>
      </c>
      <c r="M2057" s="63" t="n">
        <v>26</v>
      </c>
      <c r="N2057" s="2" t="n"/>
      <c r="O2057" s="2" t="n"/>
    </row>
    <row r="2058">
      <c r="A2058" s="62">
        <f>IF('26'!$C$1="","",'26'!$C$1)</f>
        <v/>
      </c>
      <c r="B2058" s="63">
        <f>Ustawienia!$A$9&amp;""</f>
        <v/>
      </c>
      <c r="C2058" s="63">
        <f>Ustawienia!$A$14&amp;""</f>
        <v/>
      </c>
      <c r="D2058" s="63" t="n">
        <v>5</v>
      </c>
      <c r="E2058" s="63">
        <f>IF('26'!F10="","",TRIM('26'!F10&amp;""))</f>
        <v/>
      </c>
      <c r="F2058" s="63">
        <f>IF('26'!G10="","",'26'!G10)</f>
        <v/>
      </c>
      <c r="G2058" s="63">
        <f>'26'!H10&amp;""</f>
        <v/>
      </c>
      <c r="H2058" s="63">
        <f>IF(OR(A2058="",F2058=""),"",F2058&amp;"|"&amp;A2058)</f>
        <v/>
      </c>
      <c r="I2058" s="63">
        <f>IF(AND(H2058&lt;&gt;"",OR('Historia wózka'!$B$4="",F2058='Historia wózka'!$B$4),A2058&gt;='Historia wózka'!$B$5,A2058&lt;='Historia wózka'!$B$6),A2058+0.8+(5000-ROW())/10000000,0)</f>
        <v/>
      </c>
      <c r="J2058" s="63">
        <f>Ustawienia!$B$9&amp;""</f>
        <v/>
      </c>
      <c r="K2058" s="63">
        <f>IF(H2058="","",COUNTIFS('Zgłoszenia'!$B$5:$B$504,F2058,'Zgłoszenia'!$D$5:$D$504,"&gt;="&amp;A2058,'Zgłoszenia'!$D$5:$D$504,"&lt;="&amp;(A2058+1)))</f>
        <v/>
      </c>
      <c r="L2058" s="63">
        <f>IF(OR(H2058="",K2058=0),"—",IF(ISNUMBER(MATCH(H2058,'Zgłoszenia'!$S$5:$S$504,0)),RIGHT("0"&amp;DAY(A2058),2)&amp;"."&amp;RIGHT("0"&amp;MONTH(A2058),2)&amp;"."&amp;YEAR(A2058)&amp;": "&amp;INDEX('Zgłoszenia'!$H$5:$H$504,MATCH(H2058,'Zgłoszenia'!$S$5:$S$504,0)),RIGHT("0"&amp;DAY((A2058+1)),2)&amp;"."&amp;RIGHT("0"&amp;MONTH((A2058+1)),2)&amp;"."&amp;YEAR((A2058+1))&amp;": "&amp;INDEX('Zgłoszenia'!$H$5:$H$504,MATCH(F2058&amp;"|"&amp;(A2058+1),'Zgłoszenia'!$S$5:$S$504,0)))&amp;IF(K2058&gt;1," (+"&amp;(K2058-1)&amp;")",""))</f>
        <v/>
      </c>
      <c r="M2058" s="63" t="n">
        <v>26</v>
      </c>
      <c r="N2058" s="2" t="n"/>
      <c r="O2058" s="2" t="n"/>
    </row>
    <row r="2059">
      <c r="A2059" s="62">
        <f>IF('26'!$C$1="","",'26'!$C$1)</f>
        <v/>
      </c>
      <c r="B2059" s="63">
        <f>Ustawienia!$A$9&amp;""</f>
        <v/>
      </c>
      <c r="C2059" s="63">
        <f>Ustawienia!$A$14&amp;""</f>
        <v/>
      </c>
      <c r="D2059" s="63" t="n">
        <v>6</v>
      </c>
      <c r="E2059" s="63">
        <f>IF('26'!F11="","",TRIM('26'!F11&amp;""))</f>
        <v/>
      </c>
      <c r="F2059" s="63">
        <f>IF('26'!G11="","",'26'!G11)</f>
        <v/>
      </c>
      <c r="G2059" s="63">
        <f>'26'!H11&amp;""</f>
        <v/>
      </c>
      <c r="H2059" s="63">
        <f>IF(OR(A2059="",F2059=""),"",F2059&amp;"|"&amp;A2059)</f>
        <v/>
      </c>
      <c r="I2059" s="63">
        <f>IF(AND(H2059&lt;&gt;"",OR('Historia wózka'!$B$4="",F2059='Historia wózka'!$B$4),A2059&gt;='Historia wózka'!$B$5,A2059&lt;='Historia wózka'!$B$6),A2059+0.8+(5000-ROW())/10000000,0)</f>
        <v/>
      </c>
      <c r="J2059" s="63">
        <f>Ustawienia!$B$9&amp;""</f>
        <v/>
      </c>
      <c r="K2059" s="63">
        <f>IF(H2059="","",COUNTIFS('Zgłoszenia'!$B$5:$B$504,F2059,'Zgłoszenia'!$D$5:$D$504,"&gt;="&amp;A2059,'Zgłoszenia'!$D$5:$D$504,"&lt;="&amp;(A2059+1)))</f>
        <v/>
      </c>
      <c r="L2059" s="63">
        <f>IF(OR(H2059="",K2059=0),"—",IF(ISNUMBER(MATCH(H2059,'Zgłoszenia'!$S$5:$S$504,0)),RIGHT("0"&amp;DAY(A2059),2)&amp;"."&amp;RIGHT("0"&amp;MONTH(A2059),2)&amp;"."&amp;YEAR(A2059)&amp;": "&amp;INDEX('Zgłoszenia'!$H$5:$H$504,MATCH(H2059,'Zgłoszenia'!$S$5:$S$504,0)),RIGHT("0"&amp;DAY((A2059+1)),2)&amp;"."&amp;RIGHT("0"&amp;MONTH((A2059+1)),2)&amp;"."&amp;YEAR((A2059+1))&amp;": "&amp;INDEX('Zgłoszenia'!$H$5:$H$504,MATCH(F2059&amp;"|"&amp;(A2059+1),'Zgłoszenia'!$S$5:$S$504,0)))&amp;IF(K2059&gt;1," (+"&amp;(K2059-1)&amp;")",""))</f>
        <v/>
      </c>
      <c r="M2059" s="63" t="n">
        <v>26</v>
      </c>
      <c r="N2059" s="2" t="n"/>
      <c r="O2059" s="2" t="n"/>
    </row>
    <row r="2060">
      <c r="A2060" s="62">
        <f>IF('26'!$C$1="","",'26'!$C$1)</f>
        <v/>
      </c>
      <c r="B2060" s="63">
        <f>Ustawienia!$A$9&amp;""</f>
        <v/>
      </c>
      <c r="C2060" s="63">
        <f>Ustawienia!$A$15&amp;""</f>
        <v/>
      </c>
      <c r="D2060" s="63" t="n">
        <v>1</v>
      </c>
      <c r="E2060" s="63">
        <f>IF('26'!F13="","",TRIM('26'!F13&amp;""))</f>
        <v/>
      </c>
      <c r="F2060" s="63">
        <f>IF('26'!G13="","",'26'!G13)</f>
        <v/>
      </c>
      <c r="G2060" s="63">
        <f>'26'!H13&amp;""</f>
        <v/>
      </c>
      <c r="H2060" s="63">
        <f>IF(OR(A2060="",F2060=""),"",F2060&amp;"|"&amp;A2060)</f>
        <v/>
      </c>
      <c r="I2060" s="63">
        <f>IF(AND(H2060&lt;&gt;"",OR('Historia wózka'!$B$4="",F2060='Historia wózka'!$B$4),A2060&gt;='Historia wózka'!$B$5,A2060&lt;='Historia wózka'!$B$6),A2060+0.8+(5000-ROW())/10000000,0)</f>
        <v/>
      </c>
      <c r="J2060" s="63">
        <f>Ustawienia!$B$9&amp;""</f>
        <v/>
      </c>
      <c r="K2060" s="63">
        <f>IF(H2060="","",COUNTIFS('Zgłoszenia'!$B$5:$B$504,F2060,'Zgłoszenia'!$D$5:$D$504,"&gt;="&amp;A2060,'Zgłoszenia'!$D$5:$D$504,"&lt;="&amp;(A2060+1)))</f>
        <v/>
      </c>
      <c r="L2060" s="63">
        <f>IF(OR(H2060="",K2060=0),"—",IF(ISNUMBER(MATCH(H2060,'Zgłoszenia'!$S$5:$S$504,0)),RIGHT("0"&amp;DAY(A2060),2)&amp;"."&amp;RIGHT("0"&amp;MONTH(A2060),2)&amp;"."&amp;YEAR(A2060)&amp;": "&amp;INDEX('Zgłoszenia'!$H$5:$H$504,MATCH(H2060,'Zgłoszenia'!$S$5:$S$504,0)),RIGHT("0"&amp;DAY((A2060+1)),2)&amp;"."&amp;RIGHT("0"&amp;MONTH((A2060+1)),2)&amp;"."&amp;YEAR((A2060+1))&amp;": "&amp;INDEX('Zgłoszenia'!$H$5:$H$504,MATCH(F2060&amp;"|"&amp;(A2060+1),'Zgłoszenia'!$S$5:$S$504,0)))&amp;IF(K2060&gt;1," (+"&amp;(K2060-1)&amp;")",""))</f>
        <v/>
      </c>
      <c r="M2060" s="63" t="n">
        <v>26</v>
      </c>
      <c r="N2060" s="2" t="n"/>
      <c r="O2060" s="2" t="n"/>
    </row>
    <row r="2061">
      <c r="A2061" s="62">
        <f>IF('26'!$C$1="","",'26'!$C$1)</f>
        <v/>
      </c>
      <c r="B2061" s="63">
        <f>Ustawienia!$A$9&amp;""</f>
        <v/>
      </c>
      <c r="C2061" s="63">
        <f>Ustawienia!$A$15&amp;""</f>
        <v/>
      </c>
      <c r="D2061" s="63" t="n">
        <v>2</v>
      </c>
      <c r="E2061" s="63">
        <f>IF('26'!F14="","",TRIM('26'!F14&amp;""))</f>
        <v/>
      </c>
      <c r="F2061" s="63">
        <f>IF('26'!G14="","",'26'!G14)</f>
        <v/>
      </c>
      <c r="G2061" s="63">
        <f>'26'!H14&amp;""</f>
        <v/>
      </c>
      <c r="H2061" s="63">
        <f>IF(OR(A2061="",F2061=""),"",F2061&amp;"|"&amp;A2061)</f>
        <v/>
      </c>
      <c r="I2061" s="63">
        <f>IF(AND(H2061&lt;&gt;"",OR('Historia wózka'!$B$4="",F2061='Historia wózka'!$B$4),A2061&gt;='Historia wózka'!$B$5,A2061&lt;='Historia wózka'!$B$6),A2061+0.8+(5000-ROW())/10000000,0)</f>
        <v/>
      </c>
      <c r="J2061" s="63">
        <f>Ustawienia!$B$9&amp;""</f>
        <v/>
      </c>
      <c r="K2061" s="63">
        <f>IF(H2061="","",COUNTIFS('Zgłoszenia'!$B$5:$B$504,F2061,'Zgłoszenia'!$D$5:$D$504,"&gt;="&amp;A2061,'Zgłoszenia'!$D$5:$D$504,"&lt;="&amp;(A2061+1)))</f>
        <v/>
      </c>
      <c r="L2061" s="63">
        <f>IF(OR(H2061="",K2061=0),"—",IF(ISNUMBER(MATCH(H2061,'Zgłoszenia'!$S$5:$S$504,0)),RIGHT("0"&amp;DAY(A2061),2)&amp;"."&amp;RIGHT("0"&amp;MONTH(A2061),2)&amp;"."&amp;YEAR(A2061)&amp;": "&amp;INDEX('Zgłoszenia'!$H$5:$H$504,MATCH(H2061,'Zgłoszenia'!$S$5:$S$504,0)),RIGHT("0"&amp;DAY((A2061+1)),2)&amp;"."&amp;RIGHT("0"&amp;MONTH((A2061+1)),2)&amp;"."&amp;YEAR((A2061+1))&amp;": "&amp;INDEX('Zgłoszenia'!$H$5:$H$504,MATCH(F2061&amp;"|"&amp;(A2061+1),'Zgłoszenia'!$S$5:$S$504,0)))&amp;IF(K2061&gt;1," (+"&amp;(K2061-1)&amp;")",""))</f>
        <v/>
      </c>
      <c r="M2061" s="63" t="n">
        <v>26</v>
      </c>
      <c r="N2061" s="2" t="n"/>
      <c r="O2061" s="2" t="n"/>
    </row>
    <row r="2062">
      <c r="A2062" s="62">
        <f>IF('26'!$C$1="","",'26'!$C$1)</f>
        <v/>
      </c>
      <c r="B2062" s="63">
        <f>Ustawienia!$A$9&amp;""</f>
        <v/>
      </c>
      <c r="C2062" s="63">
        <f>Ustawienia!$A$15&amp;""</f>
        <v/>
      </c>
      <c r="D2062" s="63" t="n">
        <v>3</v>
      </c>
      <c r="E2062" s="63">
        <f>IF('26'!F15="","",TRIM('26'!F15&amp;""))</f>
        <v/>
      </c>
      <c r="F2062" s="63">
        <f>IF('26'!G15="","",'26'!G15)</f>
        <v/>
      </c>
      <c r="G2062" s="63">
        <f>'26'!H15&amp;""</f>
        <v/>
      </c>
      <c r="H2062" s="63">
        <f>IF(OR(A2062="",F2062=""),"",F2062&amp;"|"&amp;A2062)</f>
        <v/>
      </c>
      <c r="I2062" s="63">
        <f>IF(AND(H2062&lt;&gt;"",OR('Historia wózka'!$B$4="",F2062='Historia wózka'!$B$4),A2062&gt;='Historia wózka'!$B$5,A2062&lt;='Historia wózka'!$B$6),A2062+0.8+(5000-ROW())/10000000,0)</f>
        <v/>
      </c>
      <c r="J2062" s="63">
        <f>Ustawienia!$B$9&amp;""</f>
        <v/>
      </c>
      <c r="K2062" s="63">
        <f>IF(H2062="","",COUNTIFS('Zgłoszenia'!$B$5:$B$504,F2062,'Zgłoszenia'!$D$5:$D$504,"&gt;="&amp;A2062,'Zgłoszenia'!$D$5:$D$504,"&lt;="&amp;(A2062+1)))</f>
        <v/>
      </c>
      <c r="L2062" s="63">
        <f>IF(OR(H2062="",K2062=0),"—",IF(ISNUMBER(MATCH(H2062,'Zgłoszenia'!$S$5:$S$504,0)),RIGHT("0"&amp;DAY(A2062),2)&amp;"."&amp;RIGHT("0"&amp;MONTH(A2062),2)&amp;"."&amp;YEAR(A2062)&amp;": "&amp;INDEX('Zgłoszenia'!$H$5:$H$504,MATCH(H2062,'Zgłoszenia'!$S$5:$S$504,0)),RIGHT("0"&amp;DAY((A2062+1)),2)&amp;"."&amp;RIGHT("0"&amp;MONTH((A2062+1)),2)&amp;"."&amp;YEAR((A2062+1))&amp;": "&amp;INDEX('Zgłoszenia'!$H$5:$H$504,MATCH(F2062&amp;"|"&amp;(A2062+1),'Zgłoszenia'!$S$5:$S$504,0)))&amp;IF(K2062&gt;1," (+"&amp;(K2062-1)&amp;")",""))</f>
        <v/>
      </c>
      <c r="M2062" s="63" t="n">
        <v>26</v>
      </c>
      <c r="N2062" s="2" t="n"/>
      <c r="O2062" s="2" t="n"/>
    </row>
    <row r="2063">
      <c r="A2063" s="62">
        <f>IF('26'!$C$1="","",'26'!$C$1)</f>
        <v/>
      </c>
      <c r="B2063" s="63">
        <f>Ustawienia!$A$9&amp;""</f>
        <v/>
      </c>
      <c r="C2063" s="63">
        <f>Ustawienia!$A$15&amp;""</f>
        <v/>
      </c>
      <c r="D2063" s="63" t="n">
        <v>4</v>
      </c>
      <c r="E2063" s="63">
        <f>IF('26'!F16="","",TRIM('26'!F16&amp;""))</f>
        <v/>
      </c>
      <c r="F2063" s="63">
        <f>IF('26'!G16="","",'26'!G16)</f>
        <v/>
      </c>
      <c r="G2063" s="63">
        <f>'26'!H16&amp;""</f>
        <v/>
      </c>
      <c r="H2063" s="63">
        <f>IF(OR(A2063="",F2063=""),"",F2063&amp;"|"&amp;A2063)</f>
        <v/>
      </c>
      <c r="I2063" s="63">
        <f>IF(AND(H2063&lt;&gt;"",OR('Historia wózka'!$B$4="",F2063='Historia wózka'!$B$4),A2063&gt;='Historia wózka'!$B$5,A2063&lt;='Historia wózka'!$B$6),A2063+0.8+(5000-ROW())/10000000,0)</f>
        <v/>
      </c>
      <c r="J2063" s="63">
        <f>Ustawienia!$B$9&amp;""</f>
        <v/>
      </c>
      <c r="K2063" s="63">
        <f>IF(H2063="","",COUNTIFS('Zgłoszenia'!$B$5:$B$504,F2063,'Zgłoszenia'!$D$5:$D$504,"&gt;="&amp;A2063,'Zgłoszenia'!$D$5:$D$504,"&lt;="&amp;(A2063+1)))</f>
        <v/>
      </c>
      <c r="L2063" s="63">
        <f>IF(OR(H2063="",K2063=0),"—",IF(ISNUMBER(MATCH(H2063,'Zgłoszenia'!$S$5:$S$504,0)),RIGHT("0"&amp;DAY(A2063),2)&amp;"."&amp;RIGHT("0"&amp;MONTH(A2063),2)&amp;"."&amp;YEAR(A2063)&amp;": "&amp;INDEX('Zgłoszenia'!$H$5:$H$504,MATCH(H2063,'Zgłoszenia'!$S$5:$S$504,0)),RIGHT("0"&amp;DAY((A2063+1)),2)&amp;"."&amp;RIGHT("0"&amp;MONTH((A2063+1)),2)&amp;"."&amp;YEAR((A2063+1))&amp;": "&amp;INDEX('Zgłoszenia'!$H$5:$H$504,MATCH(F2063&amp;"|"&amp;(A2063+1),'Zgłoszenia'!$S$5:$S$504,0)))&amp;IF(K2063&gt;1," (+"&amp;(K2063-1)&amp;")",""))</f>
        <v/>
      </c>
      <c r="M2063" s="63" t="n">
        <v>26</v>
      </c>
      <c r="N2063" s="2" t="n"/>
      <c r="O2063" s="2" t="n"/>
    </row>
    <row r="2064">
      <c r="A2064" s="62">
        <f>IF('26'!$C$1="","",'26'!$C$1)</f>
        <v/>
      </c>
      <c r="B2064" s="63">
        <f>Ustawienia!$A$9&amp;""</f>
        <v/>
      </c>
      <c r="C2064" s="63">
        <f>Ustawienia!$A$15&amp;""</f>
        <v/>
      </c>
      <c r="D2064" s="63" t="n">
        <v>5</v>
      </c>
      <c r="E2064" s="63">
        <f>IF('26'!F17="","",TRIM('26'!F17&amp;""))</f>
        <v/>
      </c>
      <c r="F2064" s="63">
        <f>IF('26'!G17="","",'26'!G17)</f>
        <v/>
      </c>
      <c r="G2064" s="63">
        <f>'26'!H17&amp;""</f>
        <v/>
      </c>
      <c r="H2064" s="63">
        <f>IF(OR(A2064="",F2064=""),"",F2064&amp;"|"&amp;A2064)</f>
        <v/>
      </c>
      <c r="I2064" s="63">
        <f>IF(AND(H2064&lt;&gt;"",OR('Historia wózka'!$B$4="",F2064='Historia wózka'!$B$4),A2064&gt;='Historia wózka'!$B$5,A2064&lt;='Historia wózka'!$B$6),A2064+0.8+(5000-ROW())/10000000,0)</f>
        <v/>
      </c>
      <c r="J2064" s="63">
        <f>Ustawienia!$B$9&amp;""</f>
        <v/>
      </c>
      <c r="K2064" s="63">
        <f>IF(H2064="","",COUNTIFS('Zgłoszenia'!$B$5:$B$504,F2064,'Zgłoszenia'!$D$5:$D$504,"&gt;="&amp;A2064,'Zgłoszenia'!$D$5:$D$504,"&lt;="&amp;(A2064+1)))</f>
        <v/>
      </c>
      <c r="L2064" s="63">
        <f>IF(OR(H2064="",K2064=0),"—",IF(ISNUMBER(MATCH(H2064,'Zgłoszenia'!$S$5:$S$504,0)),RIGHT("0"&amp;DAY(A2064),2)&amp;"."&amp;RIGHT("0"&amp;MONTH(A2064),2)&amp;"."&amp;YEAR(A2064)&amp;": "&amp;INDEX('Zgłoszenia'!$H$5:$H$504,MATCH(H2064,'Zgłoszenia'!$S$5:$S$504,0)),RIGHT("0"&amp;DAY((A2064+1)),2)&amp;"."&amp;RIGHT("0"&amp;MONTH((A2064+1)),2)&amp;"."&amp;YEAR((A2064+1))&amp;": "&amp;INDEX('Zgłoszenia'!$H$5:$H$504,MATCH(F2064&amp;"|"&amp;(A2064+1),'Zgłoszenia'!$S$5:$S$504,0)))&amp;IF(K2064&gt;1," (+"&amp;(K2064-1)&amp;")",""))</f>
        <v/>
      </c>
      <c r="M2064" s="63" t="n">
        <v>26</v>
      </c>
      <c r="N2064" s="2" t="n"/>
      <c r="O2064" s="2" t="n"/>
    </row>
    <row r="2065">
      <c r="A2065" s="62">
        <f>IF('26'!$C$1="","",'26'!$C$1)</f>
        <v/>
      </c>
      <c r="B2065" s="63">
        <f>Ustawienia!$A$9&amp;""</f>
        <v/>
      </c>
      <c r="C2065" s="63">
        <f>Ustawienia!$A$15&amp;""</f>
        <v/>
      </c>
      <c r="D2065" s="63" t="n">
        <v>6</v>
      </c>
      <c r="E2065" s="63">
        <f>IF('26'!F18="","",TRIM('26'!F18&amp;""))</f>
        <v/>
      </c>
      <c r="F2065" s="63">
        <f>IF('26'!G18="","",'26'!G18)</f>
        <v/>
      </c>
      <c r="G2065" s="63">
        <f>'26'!H18&amp;""</f>
        <v/>
      </c>
      <c r="H2065" s="63">
        <f>IF(OR(A2065="",F2065=""),"",F2065&amp;"|"&amp;A2065)</f>
        <v/>
      </c>
      <c r="I2065" s="63">
        <f>IF(AND(H2065&lt;&gt;"",OR('Historia wózka'!$B$4="",F2065='Historia wózka'!$B$4),A2065&gt;='Historia wózka'!$B$5,A2065&lt;='Historia wózka'!$B$6),A2065+0.8+(5000-ROW())/10000000,0)</f>
        <v/>
      </c>
      <c r="J2065" s="63">
        <f>Ustawienia!$B$9&amp;""</f>
        <v/>
      </c>
      <c r="K2065" s="63">
        <f>IF(H2065="","",COUNTIFS('Zgłoszenia'!$B$5:$B$504,F2065,'Zgłoszenia'!$D$5:$D$504,"&gt;="&amp;A2065,'Zgłoszenia'!$D$5:$D$504,"&lt;="&amp;(A2065+1)))</f>
        <v/>
      </c>
      <c r="L2065" s="63">
        <f>IF(OR(H2065="",K2065=0),"—",IF(ISNUMBER(MATCH(H2065,'Zgłoszenia'!$S$5:$S$504,0)),RIGHT("0"&amp;DAY(A2065),2)&amp;"."&amp;RIGHT("0"&amp;MONTH(A2065),2)&amp;"."&amp;YEAR(A2065)&amp;": "&amp;INDEX('Zgłoszenia'!$H$5:$H$504,MATCH(H2065,'Zgłoszenia'!$S$5:$S$504,0)),RIGHT("0"&amp;DAY((A2065+1)),2)&amp;"."&amp;RIGHT("0"&amp;MONTH((A2065+1)),2)&amp;"."&amp;YEAR((A2065+1))&amp;": "&amp;INDEX('Zgłoszenia'!$H$5:$H$504,MATCH(F2065&amp;"|"&amp;(A2065+1),'Zgłoszenia'!$S$5:$S$504,0)))&amp;IF(K2065&gt;1," (+"&amp;(K2065-1)&amp;")",""))</f>
        <v/>
      </c>
      <c r="M2065" s="63" t="n">
        <v>26</v>
      </c>
      <c r="N2065" s="2" t="n"/>
      <c r="O2065" s="2" t="n"/>
    </row>
    <row r="2066">
      <c r="A2066" s="62">
        <f>IF('26'!$C$1="","",'26'!$C$1)</f>
        <v/>
      </c>
      <c r="B2066" s="63">
        <f>Ustawienia!$A$9&amp;""</f>
        <v/>
      </c>
      <c r="C2066" s="63">
        <f>Ustawienia!$A$15&amp;""</f>
        <v/>
      </c>
      <c r="D2066" s="63" t="n">
        <v>7</v>
      </c>
      <c r="E2066" s="63">
        <f>IF('26'!F19="","",TRIM('26'!F19&amp;""))</f>
        <v/>
      </c>
      <c r="F2066" s="63">
        <f>IF('26'!G19="","",'26'!G19)</f>
        <v/>
      </c>
      <c r="G2066" s="63">
        <f>'26'!H19&amp;""</f>
        <v/>
      </c>
      <c r="H2066" s="63">
        <f>IF(OR(A2066="",F2066=""),"",F2066&amp;"|"&amp;A2066)</f>
        <v/>
      </c>
      <c r="I2066" s="63">
        <f>IF(AND(H2066&lt;&gt;"",OR('Historia wózka'!$B$4="",F2066='Historia wózka'!$B$4),A2066&gt;='Historia wózka'!$B$5,A2066&lt;='Historia wózka'!$B$6),A2066+0.8+(5000-ROW())/10000000,0)</f>
        <v/>
      </c>
      <c r="J2066" s="63">
        <f>Ustawienia!$B$9&amp;""</f>
        <v/>
      </c>
      <c r="K2066" s="63">
        <f>IF(H2066="","",COUNTIFS('Zgłoszenia'!$B$5:$B$504,F2066,'Zgłoszenia'!$D$5:$D$504,"&gt;="&amp;A2066,'Zgłoszenia'!$D$5:$D$504,"&lt;="&amp;(A2066+1)))</f>
        <v/>
      </c>
      <c r="L2066" s="63">
        <f>IF(OR(H2066="",K2066=0),"—",IF(ISNUMBER(MATCH(H2066,'Zgłoszenia'!$S$5:$S$504,0)),RIGHT("0"&amp;DAY(A2066),2)&amp;"."&amp;RIGHT("0"&amp;MONTH(A2066),2)&amp;"."&amp;YEAR(A2066)&amp;": "&amp;INDEX('Zgłoszenia'!$H$5:$H$504,MATCH(H2066,'Zgłoszenia'!$S$5:$S$504,0)),RIGHT("0"&amp;DAY((A2066+1)),2)&amp;"."&amp;RIGHT("0"&amp;MONTH((A2066+1)),2)&amp;"."&amp;YEAR((A2066+1))&amp;": "&amp;INDEX('Zgłoszenia'!$H$5:$H$504,MATCH(F2066&amp;"|"&amp;(A2066+1),'Zgłoszenia'!$S$5:$S$504,0)))&amp;IF(K2066&gt;1," (+"&amp;(K2066-1)&amp;")",""))</f>
        <v/>
      </c>
      <c r="M2066" s="63" t="n">
        <v>26</v>
      </c>
      <c r="N2066" s="2" t="n"/>
      <c r="O2066" s="2" t="n"/>
    </row>
    <row r="2067">
      <c r="A2067" s="62">
        <f>IF('26'!$C$1="","",'26'!$C$1)</f>
        <v/>
      </c>
      <c r="B2067" s="63">
        <f>Ustawienia!$A$9&amp;""</f>
        <v/>
      </c>
      <c r="C2067" s="63">
        <f>Ustawienia!$A$15&amp;""</f>
        <v/>
      </c>
      <c r="D2067" s="63" t="n">
        <v>8</v>
      </c>
      <c r="E2067" s="63">
        <f>IF('26'!F20="","",TRIM('26'!F20&amp;""))</f>
        <v/>
      </c>
      <c r="F2067" s="63">
        <f>IF('26'!G20="","",'26'!G20)</f>
        <v/>
      </c>
      <c r="G2067" s="63">
        <f>'26'!H20&amp;""</f>
        <v/>
      </c>
      <c r="H2067" s="63">
        <f>IF(OR(A2067="",F2067=""),"",F2067&amp;"|"&amp;A2067)</f>
        <v/>
      </c>
      <c r="I2067" s="63">
        <f>IF(AND(H2067&lt;&gt;"",OR('Historia wózka'!$B$4="",F2067='Historia wózka'!$B$4),A2067&gt;='Historia wózka'!$B$5,A2067&lt;='Historia wózka'!$B$6),A2067+0.8+(5000-ROW())/10000000,0)</f>
        <v/>
      </c>
      <c r="J2067" s="63">
        <f>Ustawienia!$B$9&amp;""</f>
        <v/>
      </c>
      <c r="K2067" s="63">
        <f>IF(H2067="","",COUNTIFS('Zgłoszenia'!$B$5:$B$504,F2067,'Zgłoszenia'!$D$5:$D$504,"&gt;="&amp;A2067,'Zgłoszenia'!$D$5:$D$504,"&lt;="&amp;(A2067+1)))</f>
        <v/>
      </c>
      <c r="L2067" s="63">
        <f>IF(OR(H2067="",K2067=0),"—",IF(ISNUMBER(MATCH(H2067,'Zgłoszenia'!$S$5:$S$504,0)),RIGHT("0"&amp;DAY(A2067),2)&amp;"."&amp;RIGHT("0"&amp;MONTH(A2067),2)&amp;"."&amp;YEAR(A2067)&amp;": "&amp;INDEX('Zgłoszenia'!$H$5:$H$504,MATCH(H2067,'Zgłoszenia'!$S$5:$S$504,0)),RIGHT("0"&amp;DAY((A2067+1)),2)&amp;"."&amp;RIGHT("0"&amp;MONTH((A2067+1)),2)&amp;"."&amp;YEAR((A2067+1))&amp;": "&amp;INDEX('Zgłoszenia'!$H$5:$H$504,MATCH(F2067&amp;"|"&amp;(A2067+1),'Zgłoszenia'!$S$5:$S$504,0)))&amp;IF(K2067&gt;1," (+"&amp;(K2067-1)&amp;")",""))</f>
        <v/>
      </c>
      <c r="M2067" s="63" t="n">
        <v>26</v>
      </c>
      <c r="N2067" s="2" t="n"/>
      <c r="O2067" s="2" t="n"/>
    </row>
    <row r="2068">
      <c r="A2068" s="62">
        <f>IF('26'!$C$1="","",'26'!$C$1)</f>
        <v/>
      </c>
      <c r="B2068" s="63">
        <f>Ustawienia!$A$9&amp;""</f>
        <v/>
      </c>
      <c r="C2068" s="63">
        <f>Ustawienia!$A$16&amp;""</f>
        <v/>
      </c>
      <c r="D2068" s="63" t="n">
        <v>1</v>
      </c>
      <c r="E2068" s="63">
        <f>IF('26'!F22="","",TRIM('26'!F22&amp;""))</f>
        <v/>
      </c>
      <c r="F2068" s="63">
        <f>IF('26'!G22="","",'26'!G22)</f>
        <v/>
      </c>
      <c r="G2068" s="63">
        <f>'26'!H22&amp;""</f>
        <v/>
      </c>
      <c r="H2068" s="63">
        <f>IF(OR(A2068="",F2068=""),"",F2068&amp;"|"&amp;A2068)</f>
        <v/>
      </c>
      <c r="I2068" s="63">
        <f>IF(AND(H2068&lt;&gt;"",OR('Historia wózka'!$B$4="",F2068='Historia wózka'!$B$4),A2068&gt;='Historia wózka'!$B$5,A2068&lt;='Historia wózka'!$B$6),A2068+0.8+(5000-ROW())/10000000,0)</f>
        <v/>
      </c>
      <c r="J2068" s="63">
        <f>Ustawienia!$B$9&amp;""</f>
        <v/>
      </c>
      <c r="K2068" s="63">
        <f>IF(H2068="","",COUNTIFS('Zgłoszenia'!$B$5:$B$504,F2068,'Zgłoszenia'!$D$5:$D$504,"&gt;="&amp;A2068,'Zgłoszenia'!$D$5:$D$504,"&lt;="&amp;(A2068+1)))</f>
        <v/>
      </c>
      <c r="L2068" s="63">
        <f>IF(OR(H2068="",K2068=0),"—",IF(ISNUMBER(MATCH(H2068,'Zgłoszenia'!$S$5:$S$504,0)),RIGHT("0"&amp;DAY(A2068),2)&amp;"."&amp;RIGHT("0"&amp;MONTH(A2068),2)&amp;"."&amp;YEAR(A2068)&amp;": "&amp;INDEX('Zgłoszenia'!$H$5:$H$504,MATCH(H2068,'Zgłoszenia'!$S$5:$S$504,0)),RIGHT("0"&amp;DAY((A2068+1)),2)&amp;"."&amp;RIGHT("0"&amp;MONTH((A2068+1)),2)&amp;"."&amp;YEAR((A2068+1))&amp;": "&amp;INDEX('Zgłoszenia'!$H$5:$H$504,MATCH(F2068&amp;"|"&amp;(A2068+1),'Zgłoszenia'!$S$5:$S$504,0)))&amp;IF(K2068&gt;1," (+"&amp;(K2068-1)&amp;")",""))</f>
        <v/>
      </c>
      <c r="M2068" s="63" t="n">
        <v>26</v>
      </c>
      <c r="N2068" s="2" t="n"/>
      <c r="O2068" s="2" t="n"/>
    </row>
    <row r="2069">
      <c r="A2069" s="62">
        <f>IF('26'!$C$1="","",'26'!$C$1)</f>
        <v/>
      </c>
      <c r="B2069" s="63">
        <f>Ustawienia!$A$9&amp;""</f>
        <v/>
      </c>
      <c r="C2069" s="63">
        <f>Ustawienia!$A$16&amp;""</f>
        <v/>
      </c>
      <c r="D2069" s="63" t="n">
        <v>2</v>
      </c>
      <c r="E2069" s="63">
        <f>IF('26'!F23="","",TRIM('26'!F23&amp;""))</f>
        <v/>
      </c>
      <c r="F2069" s="63">
        <f>IF('26'!G23="","",'26'!G23)</f>
        <v/>
      </c>
      <c r="G2069" s="63">
        <f>'26'!H23&amp;""</f>
        <v/>
      </c>
      <c r="H2069" s="63">
        <f>IF(OR(A2069="",F2069=""),"",F2069&amp;"|"&amp;A2069)</f>
        <v/>
      </c>
      <c r="I2069" s="63">
        <f>IF(AND(H2069&lt;&gt;"",OR('Historia wózka'!$B$4="",F2069='Historia wózka'!$B$4),A2069&gt;='Historia wózka'!$B$5,A2069&lt;='Historia wózka'!$B$6),A2069+0.8+(5000-ROW())/10000000,0)</f>
        <v/>
      </c>
      <c r="J2069" s="63">
        <f>Ustawienia!$B$9&amp;""</f>
        <v/>
      </c>
      <c r="K2069" s="63">
        <f>IF(H2069="","",COUNTIFS('Zgłoszenia'!$B$5:$B$504,F2069,'Zgłoszenia'!$D$5:$D$504,"&gt;="&amp;A2069,'Zgłoszenia'!$D$5:$D$504,"&lt;="&amp;(A2069+1)))</f>
        <v/>
      </c>
      <c r="L2069" s="63">
        <f>IF(OR(H2069="",K2069=0),"—",IF(ISNUMBER(MATCH(H2069,'Zgłoszenia'!$S$5:$S$504,0)),RIGHT("0"&amp;DAY(A2069),2)&amp;"."&amp;RIGHT("0"&amp;MONTH(A2069),2)&amp;"."&amp;YEAR(A2069)&amp;": "&amp;INDEX('Zgłoszenia'!$H$5:$H$504,MATCH(H2069,'Zgłoszenia'!$S$5:$S$504,0)),RIGHT("0"&amp;DAY((A2069+1)),2)&amp;"."&amp;RIGHT("0"&amp;MONTH((A2069+1)),2)&amp;"."&amp;YEAR((A2069+1))&amp;": "&amp;INDEX('Zgłoszenia'!$H$5:$H$504,MATCH(F2069&amp;"|"&amp;(A2069+1),'Zgłoszenia'!$S$5:$S$504,0)))&amp;IF(K2069&gt;1," (+"&amp;(K2069-1)&amp;")",""))</f>
        <v/>
      </c>
      <c r="M2069" s="63" t="n">
        <v>26</v>
      </c>
      <c r="N2069" s="2" t="n"/>
      <c r="O2069" s="2" t="n"/>
    </row>
    <row r="2070">
      <c r="A2070" s="62">
        <f>IF('26'!$C$1="","",'26'!$C$1)</f>
        <v/>
      </c>
      <c r="B2070" s="63">
        <f>Ustawienia!$A$9&amp;""</f>
        <v/>
      </c>
      <c r="C2070" s="63">
        <f>Ustawienia!$A$16&amp;""</f>
        <v/>
      </c>
      <c r="D2070" s="63" t="n">
        <v>3</v>
      </c>
      <c r="E2070" s="63">
        <f>IF('26'!F24="","",TRIM('26'!F24&amp;""))</f>
        <v/>
      </c>
      <c r="F2070" s="63">
        <f>IF('26'!G24="","",'26'!G24)</f>
        <v/>
      </c>
      <c r="G2070" s="63">
        <f>'26'!H24&amp;""</f>
        <v/>
      </c>
      <c r="H2070" s="63">
        <f>IF(OR(A2070="",F2070=""),"",F2070&amp;"|"&amp;A2070)</f>
        <v/>
      </c>
      <c r="I2070" s="63">
        <f>IF(AND(H2070&lt;&gt;"",OR('Historia wózka'!$B$4="",F2070='Historia wózka'!$B$4),A2070&gt;='Historia wózka'!$B$5,A2070&lt;='Historia wózka'!$B$6),A2070+0.8+(5000-ROW())/10000000,0)</f>
        <v/>
      </c>
      <c r="J2070" s="63">
        <f>Ustawienia!$B$9&amp;""</f>
        <v/>
      </c>
      <c r="K2070" s="63">
        <f>IF(H2070="","",COUNTIFS('Zgłoszenia'!$B$5:$B$504,F2070,'Zgłoszenia'!$D$5:$D$504,"&gt;="&amp;A2070,'Zgłoszenia'!$D$5:$D$504,"&lt;="&amp;(A2070+1)))</f>
        <v/>
      </c>
      <c r="L2070" s="63">
        <f>IF(OR(H2070="",K2070=0),"—",IF(ISNUMBER(MATCH(H2070,'Zgłoszenia'!$S$5:$S$504,0)),RIGHT("0"&amp;DAY(A2070),2)&amp;"."&amp;RIGHT("0"&amp;MONTH(A2070),2)&amp;"."&amp;YEAR(A2070)&amp;": "&amp;INDEX('Zgłoszenia'!$H$5:$H$504,MATCH(H2070,'Zgłoszenia'!$S$5:$S$504,0)),RIGHT("0"&amp;DAY((A2070+1)),2)&amp;"."&amp;RIGHT("0"&amp;MONTH((A2070+1)),2)&amp;"."&amp;YEAR((A2070+1))&amp;": "&amp;INDEX('Zgłoszenia'!$H$5:$H$504,MATCH(F2070&amp;"|"&amp;(A2070+1),'Zgłoszenia'!$S$5:$S$504,0)))&amp;IF(K2070&gt;1," (+"&amp;(K2070-1)&amp;")",""))</f>
        <v/>
      </c>
      <c r="M2070" s="63" t="n">
        <v>26</v>
      </c>
      <c r="N2070" s="2" t="n"/>
      <c r="O2070" s="2" t="n"/>
    </row>
    <row r="2071">
      <c r="A2071" s="62">
        <f>IF('26'!$C$1="","",'26'!$C$1)</f>
        <v/>
      </c>
      <c r="B2071" s="63">
        <f>Ustawienia!$A$9&amp;""</f>
        <v/>
      </c>
      <c r="C2071" s="63">
        <f>Ustawienia!$A$16&amp;""</f>
        <v/>
      </c>
      <c r="D2071" s="63" t="n">
        <v>4</v>
      </c>
      <c r="E2071" s="63">
        <f>IF('26'!F25="","",TRIM('26'!F25&amp;""))</f>
        <v/>
      </c>
      <c r="F2071" s="63">
        <f>IF('26'!G25="","",'26'!G25)</f>
        <v/>
      </c>
      <c r="G2071" s="63">
        <f>'26'!H25&amp;""</f>
        <v/>
      </c>
      <c r="H2071" s="63">
        <f>IF(OR(A2071="",F2071=""),"",F2071&amp;"|"&amp;A2071)</f>
        <v/>
      </c>
      <c r="I2071" s="63">
        <f>IF(AND(H2071&lt;&gt;"",OR('Historia wózka'!$B$4="",F2071='Historia wózka'!$B$4),A2071&gt;='Historia wózka'!$B$5,A2071&lt;='Historia wózka'!$B$6),A2071+0.8+(5000-ROW())/10000000,0)</f>
        <v/>
      </c>
      <c r="J2071" s="63">
        <f>Ustawienia!$B$9&amp;""</f>
        <v/>
      </c>
      <c r="K2071" s="63">
        <f>IF(H2071="","",COUNTIFS('Zgłoszenia'!$B$5:$B$504,F2071,'Zgłoszenia'!$D$5:$D$504,"&gt;="&amp;A2071,'Zgłoszenia'!$D$5:$D$504,"&lt;="&amp;(A2071+1)))</f>
        <v/>
      </c>
      <c r="L2071" s="63">
        <f>IF(OR(H2071="",K2071=0),"—",IF(ISNUMBER(MATCH(H2071,'Zgłoszenia'!$S$5:$S$504,0)),RIGHT("0"&amp;DAY(A2071),2)&amp;"."&amp;RIGHT("0"&amp;MONTH(A2071),2)&amp;"."&amp;YEAR(A2071)&amp;": "&amp;INDEX('Zgłoszenia'!$H$5:$H$504,MATCH(H2071,'Zgłoszenia'!$S$5:$S$504,0)),RIGHT("0"&amp;DAY((A2071+1)),2)&amp;"."&amp;RIGHT("0"&amp;MONTH((A2071+1)),2)&amp;"."&amp;YEAR((A2071+1))&amp;": "&amp;INDEX('Zgłoszenia'!$H$5:$H$504,MATCH(F2071&amp;"|"&amp;(A2071+1),'Zgłoszenia'!$S$5:$S$504,0)))&amp;IF(K2071&gt;1," (+"&amp;(K2071-1)&amp;")",""))</f>
        <v/>
      </c>
      <c r="M2071" s="63" t="n">
        <v>26</v>
      </c>
      <c r="N2071" s="2" t="n"/>
      <c r="O2071" s="2" t="n"/>
    </row>
    <row r="2072">
      <c r="A2072" s="62">
        <f>IF('26'!$C$1="","",'26'!$C$1)</f>
        <v/>
      </c>
      <c r="B2072" s="63">
        <f>Ustawienia!$A$9&amp;""</f>
        <v/>
      </c>
      <c r="C2072" s="63">
        <f>Ustawienia!$A$17&amp;""</f>
        <v/>
      </c>
      <c r="D2072" s="63" t="n">
        <v>1</v>
      </c>
      <c r="E2072" s="63">
        <f>IF('26'!F27="","",TRIM('26'!F27&amp;""))</f>
        <v/>
      </c>
      <c r="F2072" s="63">
        <f>IF('26'!G27="","",'26'!G27)</f>
        <v/>
      </c>
      <c r="G2072" s="63">
        <f>'26'!H27&amp;""</f>
        <v/>
      </c>
      <c r="H2072" s="63">
        <f>IF(OR(A2072="",F2072=""),"",F2072&amp;"|"&amp;A2072)</f>
        <v/>
      </c>
      <c r="I2072" s="63">
        <f>IF(AND(H2072&lt;&gt;"",OR('Historia wózka'!$B$4="",F2072='Historia wózka'!$B$4),A2072&gt;='Historia wózka'!$B$5,A2072&lt;='Historia wózka'!$B$6),A2072+0.8+(5000-ROW())/10000000,0)</f>
        <v/>
      </c>
      <c r="J2072" s="63">
        <f>Ustawienia!$B$9&amp;""</f>
        <v/>
      </c>
      <c r="K2072" s="63">
        <f>IF(H2072="","",COUNTIFS('Zgłoszenia'!$B$5:$B$504,F2072,'Zgłoszenia'!$D$5:$D$504,"&gt;="&amp;A2072,'Zgłoszenia'!$D$5:$D$504,"&lt;="&amp;(A2072+1)))</f>
        <v/>
      </c>
      <c r="L2072" s="63">
        <f>IF(OR(H2072="",K2072=0),"—",IF(ISNUMBER(MATCH(H2072,'Zgłoszenia'!$S$5:$S$504,0)),RIGHT("0"&amp;DAY(A2072),2)&amp;"."&amp;RIGHT("0"&amp;MONTH(A2072),2)&amp;"."&amp;YEAR(A2072)&amp;": "&amp;INDEX('Zgłoszenia'!$H$5:$H$504,MATCH(H2072,'Zgłoszenia'!$S$5:$S$504,0)),RIGHT("0"&amp;DAY((A2072+1)),2)&amp;"."&amp;RIGHT("0"&amp;MONTH((A2072+1)),2)&amp;"."&amp;YEAR((A2072+1))&amp;": "&amp;INDEX('Zgłoszenia'!$H$5:$H$504,MATCH(F2072&amp;"|"&amp;(A2072+1),'Zgłoszenia'!$S$5:$S$504,0)))&amp;IF(K2072&gt;1," (+"&amp;(K2072-1)&amp;")",""))</f>
        <v/>
      </c>
      <c r="M2072" s="63" t="n">
        <v>26</v>
      </c>
      <c r="N2072" s="2" t="n"/>
      <c r="O2072" s="2" t="n"/>
    </row>
    <row r="2073">
      <c r="A2073" s="62">
        <f>IF('26'!$C$1="","",'26'!$C$1)</f>
        <v/>
      </c>
      <c r="B2073" s="63">
        <f>Ustawienia!$A$9&amp;""</f>
        <v/>
      </c>
      <c r="C2073" s="63">
        <f>Ustawienia!$A$17&amp;""</f>
        <v/>
      </c>
      <c r="D2073" s="63" t="n">
        <v>2</v>
      </c>
      <c r="E2073" s="63">
        <f>IF('26'!F28="","",TRIM('26'!F28&amp;""))</f>
        <v/>
      </c>
      <c r="F2073" s="63">
        <f>IF('26'!G28="","",'26'!G28)</f>
        <v/>
      </c>
      <c r="G2073" s="63">
        <f>'26'!H28&amp;""</f>
        <v/>
      </c>
      <c r="H2073" s="63">
        <f>IF(OR(A2073="",F2073=""),"",F2073&amp;"|"&amp;A2073)</f>
        <v/>
      </c>
      <c r="I2073" s="63">
        <f>IF(AND(H2073&lt;&gt;"",OR('Historia wózka'!$B$4="",F2073='Historia wózka'!$B$4),A2073&gt;='Historia wózka'!$B$5,A2073&lt;='Historia wózka'!$B$6),A2073+0.8+(5000-ROW())/10000000,0)</f>
        <v/>
      </c>
      <c r="J2073" s="63">
        <f>Ustawienia!$B$9&amp;""</f>
        <v/>
      </c>
      <c r="K2073" s="63">
        <f>IF(H2073="","",COUNTIFS('Zgłoszenia'!$B$5:$B$504,F2073,'Zgłoszenia'!$D$5:$D$504,"&gt;="&amp;A2073,'Zgłoszenia'!$D$5:$D$504,"&lt;="&amp;(A2073+1)))</f>
        <v/>
      </c>
      <c r="L2073" s="63">
        <f>IF(OR(H2073="",K2073=0),"—",IF(ISNUMBER(MATCH(H2073,'Zgłoszenia'!$S$5:$S$504,0)),RIGHT("0"&amp;DAY(A2073),2)&amp;"."&amp;RIGHT("0"&amp;MONTH(A2073),2)&amp;"."&amp;YEAR(A2073)&amp;": "&amp;INDEX('Zgłoszenia'!$H$5:$H$504,MATCH(H2073,'Zgłoszenia'!$S$5:$S$504,0)),RIGHT("0"&amp;DAY((A2073+1)),2)&amp;"."&amp;RIGHT("0"&amp;MONTH((A2073+1)),2)&amp;"."&amp;YEAR((A2073+1))&amp;": "&amp;INDEX('Zgłoszenia'!$H$5:$H$504,MATCH(F2073&amp;"|"&amp;(A2073+1),'Zgłoszenia'!$S$5:$S$504,0)))&amp;IF(K2073&gt;1," (+"&amp;(K2073-1)&amp;")",""))</f>
        <v/>
      </c>
      <c r="M2073" s="63" t="n">
        <v>26</v>
      </c>
      <c r="N2073" s="2" t="n"/>
      <c r="O2073" s="2" t="n"/>
    </row>
    <row r="2074">
      <c r="A2074" s="62">
        <f>IF('26'!$C$1="","",'26'!$C$1)</f>
        <v/>
      </c>
      <c r="B2074" s="63">
        <f>Ustawienia!$A$9&amp;""</f>
        <v/>
      </c>
      <c r="C2074" s="63">
        <f>Ustawienia!$A$17&amp;""</f>
        <v/>
      </c>
      <c r="D2074" s="63" t="n">
        <v>3</v>
      </c>
      <c r="E2074" s="63">
        <f>IF('26'!F29="","",TRIM('26'!F29&amp;""))</f>
        <v/>
      </c>
      <c r="F2074" s="63">
        <f>IF('26'!G29="","",'26'!G29)</f>
        <v/>
      </c>
      <c r="G2074" s="63">
        <f>'26'!H29&amp;""</f>
        <v/>
      </c>
      <c r="H2074" s="63">
        <f>IF(OR(A2074="",F2074=""),"",F2074&amp;"|"&amp;A2074)</f>
        <v/>
      </c>
      <c r="I2074" s="63">
        <f>IF(AND(H2074&lt;&gt;"",OR('Historia wózka'!$B$4="",F2074='Historia wózka'!$B$4),A2074&gt;='Historia wózka'!$B$5,A2074&lt;='Historia wózka'!$B$6),A2074+0.8+(5000-ROW())/10000000,0)</f>
        <v/>
      </c>
      <c r="J2074" s="63">
        <f>Ustawienia!$B$9&amp;""</f>
        <v/>
      </c>
      <c r="K2074" s="63">
        <f>IF(H2074="","",COUNTIFS('Zgłoszenia'!$B$5:$B$504,F2074,'Zgłoszenia'!$D$5:$D$504,"&gt;="&amp;A2074,'Zgłoszenia'!$D$5:$D$504,"&lt;="&amp;(A2074+1)))</f>
        <v/>
      </c>
      <c r="L2074" s="63">
        <f>IF(OR(H2074="",K2074=0),"—",IF(ISNUMBER(MATCH(H2074,'Zgłoszenia'!$S$5:$S$504,0)),RIGHT("0"&amp;DAY(A2074),2)&amp;"."&amp;RIGHT("0"&amp;MONTH(A2074),2)&amp;"."&amp;YEAR(A2074)&amp;": "&amp;INDEX('Zgłoszenia'!$H$5:$H$504,MATCH(H2074,'Zgłoszenia'!$S$5:$S$504,0)),RIGHT("0"&amp;DAY((A2074+1)),2)&amp;"."&amp;RIGHT("0"&amp;MONTH((A2074+1)),2)&amp;"."&amp;YEAR((A2074+1))&amp;": "&amp;INDEX('Zgłoszenia'!$H$5:$H$504,MATCH(F2074&amp;"|"&amp;(A2074+1),'Zgłoszenia'!$S$5:$S$504,0)))&amp;IF(K2074&gt;1," (+"&amp;(K2074-1)&amp;")",""))</f>
        <v/>
      </c>
      <c r="M2074" s="63" t="n">
        <v>26</v>
      </c>
      <c r="N2074" s="2" t="n"/>
      <c r="O2074" s="2" t="n"/>
    </row>
    <row r="2075">
      <c r="A2075" s="62">
        <f>IF('26'!$C$1="","",'26'!$C$1)</f>
        <v/>
      </c>
      <c r="B2075" s="63">
        <f>Ustawienia!$A$9&amp;""</f>
        <v/>
      </c>
      <c r="C2075" s="63">
        <f>Ustawienia!$A$17&amp;""</f>
        <v/>
      </c>
      <c r="D2075" s="63" t="n">
        <v>4</v>
      </c>
      <c r="E2075" s="63">
        <f>IF('26'!F30="","",TRIM('26'!F30&amp;""))</f>
        <v/>
      </c>
      <c r="F2075" s="63">
        <f>IF('26'!G30="","",'26'!G30)</f>
        <v/>
      </c>
      <c r="G2075" s="63">
        <f>'26'!H30&amp;""</f>
        <v/>
      </c>
      <c r="H2075" s="63">
        <f>IF(OR(A2075="",F2075=""),"",F2075&amp;"|"&amp;A2075)</f>
        <v/>
      </c>
      <c r="I2075" s="63">
        <f>IF(AND(H2075&lt;&gt;"",OR('Historia wózka'!$B$4="",F2075='Historia wózka'!$B$4),A2075&gt;='Historia wózka'!$B$5,A2075&lt;='Historia wózka'!$B$6),A2075+0.8+(5000-ROW())/10000000,0)</f>
        <v/>
      </c>
      <c r="J2075" s="63">
        <f>Ustawienia!$B$9&amp;""</f>
        <v/>
      </c>
      <c r="K2075" s="63">
        <f>IF(H2075="","",COUNTIFS('Zgłoszenia'!$B$5:$B$504,F2075,'Zgłoszenia'!$D$5:$D$504,"&gt;="&amp;A2075,'Zgłoszenia'!$D$5:$D$504,"&lt;="&amp;(A2075+1)))</f>
        <v/>
      </c>
      <c r="L2075" s="63">
        <f>IF(OR(H2075="",K2075=0),"—",IF(ISNUMBER(MATCH(H2075,'Zgłoszenia'!$S$5:$S$504,0)),RIGHT("0"&amp;DAY(A2075),2)&amp;"."&amp;RIGHT("0"&amp;MONTH(A2075),2)&amp;"."&amp;YEAR(A2075)&amp;": "&amp;INDEX('Zgłoszenia'!$H$5:$H$504,MATCH(H2075,'Zgłoszenia'!$S$5:$S$504,0)),RIGHT("0"&amp;DAY((A2075+1)),2)&amp;"."&amp;RIGHT("0"&amp;MONTH((A2075+1)),2)&amp;"."&amp;YEAR((A2075+1))&amp;": "&amp;INDEX('Zgłoszenia'!$H$5:$H$504,MATCH(F2075&amp;"|"&amp;(A2075+1),'Zgłoszenia'!$S$5:$S$504,0)))&amp;IF(K2075&gt;1," (+"&amp;(K2075-1)&amp;")",""))</f>
        <v/>
      </c>
      <c r="M2075" s="63" t="n">
        <v>26</v>
      </c>
      <c r="N2075" s="2" t="n"/>
      <c r="O2075" s="2" t="n"/>
    </row>
    <row r="2076">
      <c r="A2076" s="62">
        <f>IF('26'!$C$1="","",'26'!$C$1)</f>
        <v/>
      </c>
      <c r="B2076" s="63">
        <f>Ustawienia!$A$9&amp;""</f>
        <v/>
      </c>
      <c r="C2076" s="63">
        <f>Ustawienia!$A$18&amp;""</f>
        <v/>
      </c>
      <c r="D2076" s="63" t="n">
        <v>1</v>
      </c>
      <c r="E2076" s="63">
        <f>IF('26'!F32="","",TRIM('26'!F32&amp;""))</f>
        <v/>
      </c>
      <c r="F2076" s="63">
        <f>IF('26'!G32="","",'26'!G32)</f>
        <v/>
      </c>
      <c r="G2076" s="63">
        <f>'26'!H32&amp;""</f>
        <v/>
      </c>
      <c r="H2076" s="63">
        <f>IF(OR(A2076="",F2076=""),"",F2076&amp;"|"&amp;A2076)</f>
        <v/>
      </c>
      <c r="I2076" s="63">
        <f>IF(AND(H2076&lt;&gt;"",OR('Historia wózka'!$B$4="",F2076='Historia wózka'!$B$4),A2076&gt;='Historia wózka'!$B$5,A2076&lt;='Historia wózka'!$B$6),A2076+0.8+(5000-ROW())/10000000,0)</f>
        <v/>
      </c>
      <c r="J2076" s="63">
        <f>Ustawienia!$B$9&amp;""</f>
        <v/>
      </c>
      <c r="K2076" s="63">
        <f>IF(H2076="","",COUNTIFS('Zgłoszenia'!$B$5:$B$504,F2076,'Zgłoszenia'!$D$5:$D$504,"&gt;="&amp;A2076,'Zgłoszenia'!$D$5:$D$504,"&lt;="&amp;(A2076+1)))</f>
        <v/>
      </c>
      <c r="L2076" s="63">
        <f>IF(OR(H2076="",K2076=0),"—",IF(ISNUMBER(MATCH(H2076,'Zgłoszenia'!$S$5:$S$504,0)),RIGHT("0"&amp;DAY(A2076),2)&amp;"."&amp;RIGHT("0"&amp;MONTH(A2076),2)&amp;"."&amp;YEAR(A2076)&amp;": "&amp;INDEX('Zgłoszenia'!$H$5:$H$504,MATCH(H2076,'Zgłoszenia'!$S$5:$S$504,0)),RIGHT("0"&amp;DAY((A2076+1)),2)&amp;"."&amp;RIGHT("0"&amp;MONTH((A2076+1)),2)&amp;"."&amp;YEAR((A2076+1))&amp;": "&amp;INDEX('Zgłoszenia'!$H$5:$H$504,MATCH(F2076&amp;"|"&amp;(A2076+1),'Zgłoszenia'!$S$5:$S$504,0)))&amp;IF(K2076&gt;1," (+"&amp;(K2076-1)&amp;")",""))</f>
        <v/>
      </c>
      <c r="M2076" s="63" t="n">
        <v>26</v>
      </c>
      <c r="N2076" s="2" t="n"/>
      <c r="O2076" s="2" t="n"/>
    </row>
    <row r="2077">
      <c r="A2077" s="62">
        <f>IF('26'!$C$1="","",'26'!$C$1)</f>
        <v/>
      </c>
      <c r="B2077" s="63">
        <f>Ustawienia!$A$9&amp;""</f>
        <v/>
      </c>
      <c r="C2077" s="63">
        <f>Ustawienia!$A$18&amp;""</f>
        <v/>
      </c>
      <c r="D2077" s="63" t="n">
        <v>2</v>
      </c>
      <c r="E2077" s="63">
        <f>IF('26'!F33="","",TRIM('26'!F33&amp;""))</f>
        <v/>
      </c>
      <c r="F2077" s="63">
        <f>IF('26'!G33="","",'26'!G33)</f>
        <v/>
      </c>
      <c r="G2077" s="63">
        <f>'26'!H33&amp;""</f>
        <v/>
      </c>
      <c r="H2077" s="63">
        <f>IF(OR(A2077="",F2077=""),"",F2077&amp;"|"&amp;A2077)</f>
        <v/>
      </c>
      <c r="I2077" s="63">
        <f>IF(AND(H2077&lt;&gt;"",OR('Historia wózka'!$B$4="",F2077='Historia wózka'!$B$4),A2077&gt;='Historia wózka'!$B$5,A2077&lt;='Historia wózka'!$B$6),A2077+0.8+(5000-ROW())/10000000,0)</f>
        <v/>
      </c>
      <c r="J2077" s="63">
        <f>Ustawienia!$B$9&amp;""</f>
        <v/>
      </c>
      <c r="K2077" s="63">
        <f>IF(H2077="","",COUNTIFS('Zgłoszenia'!$B$5:$B$504,F2077,'Zgłoszenia'!$D$5:$D$504,"&gt;="&amp;A2077,'Zgłoszenia'!$D$5:$D$504,"&lt;="&amp;(A2077+1)))</f>
        <v/>
      </c>
      <c r="L2077" s="63">
        <f>IF(OR(H2077="",K2077=0),"—",IF(ISNUMBER(MATCH(H2077,'Zgłoszenia'!$S$5:$S$504,0)),RIGHT("0"&amp;DAY(A2077),2)&amp;"."&amp;RIGHT("0"&amp;MONTH(A2077),2)&amp;"."&amp;YEAR(A2077)&amp;": "&amp;INDEX('Zgłoszenia'!$H$5:$H$504,MATCH(H2077,'Zgłoszenia'!$S$5:$S$504,0)),RIGHT("0"&amp;DAY((A2077+1)),2)&amp;"."&amp;RIGHT("0"&amp;MONTH((A2077+1)),2)&amp;"."&amp;YEAR((A2077+1))&amp;": "&amp;INDEX('Zgłoszenia'!$H$5:$H$504,MATCH(F2077&amp;"|"&amp;(A2077+1),'Zgłoszenia'!$S$5:$S$504,0)))&amp;IF(K2077&gt;1," (+"&amp;(K2077-1)&amp;")",""))</f>
        <v/>
      </c>
      <c r="M2077" s="63" t="n">
        <v>26</v>
      </c>
      <c r="N2077" s="2" t="n"/>
      <c r="O2077" s="2" t="n"/>
    </row>
    <row r="2078">
      <c r="A2078" s="62">
        <f>IF('26'!$C$1="","",'26'!$C$1)</f>
        <v/>
      </c>
      <c r="B2078" s="63">
        <f>Ustawienia!$A$9&amp;""</f>
        <v/>
      </c>
      <c r="C2078" s="63">
        <f>Ustawienia!$A$18&amp;""</f>
        <v/>
      </c>
      <c r="D2078" s="63" t="n">
        <v>3</v>
      </c>
      <c r="E2078" s="63">
        <f>IF('26'!F34="","",TRIM('26'!F34&amp;""))</f>
        <v/>
      </c>
      <c r="F2078" s="63">
        <f>IF('26'!G34="","",'26'!G34)</f>
        <v/>
      </c>
      <c r="G2078" s="63">
        <f>'26'!H34&amp;""</f>
        <v/>
      </c>
      <c r="H2078" s="63">
        <f>IF(OR(A2078="",F2078=""),"",F2078&amp;"|"&amp;A2078)</f>
        <v/>
      </c>
      <c r="I2078" s="63">
        <f>IF(AND(H2078&lt;&gt;"",OR('Historia wózka'!$B$4="",F2078='Historia wózka'!$B$4),A2078&gt;='Historia wózka'!$B$5,A2078&lt;='Historia wózka'!$B$6),A2078+0.8+(5000-ROW())/10000000,0)</f>
        <v/>
      </c>
      <c r="J2078" s="63">
        <f>Ustawienia!$B$9&amp;""</f>
        <v/>
      </c>
      <c r="K2078" s="63">
        <f>IF(H2078="","",COUNTIFS('Zgłoszenia'!$B$5:$B$504,F2078,'Zgłoszenia'!$D$5:$D$504,"&gt;="&amp;A2078,'Zgłoszenia'!$D$5:$D$504,"&lt;="&amp;(A2078+1)))</f>
        <v/>
      </c>
      <c r="L2078" s="63">
        <f>IF(OR(H2078="",K2078=0),"—",IF(ISNUMBER(MATCH(H2078,'Zgłoszenia'!$S$5:$S$504,0)),RIGHT("0"&amp;DAY(A2078),2)&amp;"."&amp;RIGHT("0"&amp;MONTH(A2078),2)&amp;"."&amp;YEAR(A2078)&amp;": "&amp;INDEX('Zgłoszenia'!$H$5:$H$504,MATCH(H2078,'Zgłoszenia'!$S$5:$S$504,0)),RIGHT("0"&amp;DAY((A2078+1)),2)&amp;"."&amp;RIGHT("0"&amp;MONTH((A2078+1)),2)&amp;"."&amp;YEAR((A2078+1))&amp;": "&amp;INDEX('Zgłoszenia'!$H$5:$H$504,MATCH(F2078&amp;"|"&amp;(A2078+1),'Zgłoszenia'!$S$5:$S$504,0)))&amp;IF(K2078&gt;1," (+"&amp;(K2078-1)&amp;")",""))</f>
        <v/>
      </c>
      <c r="M2078" s="63" t="n">
        <v>26</v>
      </c>
      <c r="N2078" s="2" t="n"/>
      <c r="O2078" s="2" t="n"/>
    </row>
    <row r="2079">
      <c r="A2079" s="62">
        <f>IF('26'!$C$1="","",'26'!$C$1)</f>
        <v/>
      </c>
      <c r="B2079" s="63">
        <f>Ustawienia!$A$9&amp;""</f>
        <v/>
      </c>
      <c r="C2079" s="63">
        <f>Ustawienia!$A$18&amp;""</f>
        <v/>
      </c>
      <c r="D2079" s="63" t="n">
        <v>4</v>
      </c>
      <c r="E2079" s="63">
        <f>IF('26'!F35="","",TRIM('26'!F35&amp;""))</f>
        <v/>
      </c>
      <c r="F2079" s="63">
        <f>IF('26'!G35="","",'26'!G35)</f>
        <v/>
      </c>
      <c r="G2079" s="63">
        <f>'26'!H35&amp;""</f>
        <v/>
      </c>
      <c r="H2079" s="63">
        <f>IF(OR(A2079="",F2079=""),"",F2079&amp;"|"&amp;A2079)</f>
        <v/>
      </c>
      <c r="I2079" s="63">
        <f>IF(AND(H2079&lt;&gt;"",OR('Historia wózka'!$B$4="",F2079='Historia wózka'!$B$4),A2079&gt;='Historia wózka'!$B$5,A2079&lt;='Historia wózka'!$B$6),A2079+0.8+(5000-ROW())/10000000,0)</f>
        <v/>
      </c>
      <c r="J2079" s="63">
        <f>Ustawienia!$B$9&amp;""</f>
        <v/>
      </c>
      <c r="K2079" s="63">
        <f>IF(H2079="","",COUNTIFS('Zgłoszenia'!$B$5:$B$504,F2079,'Zgłoszenia'!$D$5:$D$504,"&gt;="&amp;A2079,'Zgłoszenia'!$D$5:$D$504,"&lt;="&amp;(A2079+1)))</f>
        <v/>
      </c>
      <c r="L2079" s="63">
        <f>IF(OR(H2079="",K2079=0),"—",IF(ISNUMBER(MATCH(H2079,'Zgłoszenia'!$S$5:$S$504,0)),RIGHT("0"&amp;DAY(A2079),2)&amp;"."&amp;RIGHT("0"&amp;MONTH(A2079),2)&amp;"."&amp;YEAR(A2079)&amp;": "&amp;INDEX('Zgłoszenia'!$H$5:$H$504,MATCH(H2079,'Zgłoszenia'!$S$5:$S$504,0)),RIGHT("0"&amp;DAY((A2079+1)),2)&amp;"."&amp;RIGHT("0"&amp;MONTH((A2079+1)),2)&amp;"."&amp;YEAR((A2079+1))&amp;": "&amp;INDEX('Zgłoszenia'!$H$5:$H$504,MATCH(F2079&amp;"|"&amp;(A2079+1),'Zgłoszenia'!$S$5:$S$504,0)))&amp;IF(K2079&gt;1," (+"&amp;(K2079-1)&amp;")",""))</f>
        <v/>
      </c>
      <c r="M2079" s="63" t="n">
        <v>26</v>
      </c>
      <c r="N2079" s="2" t="n"/>
      <c r="O2079" s="2" t="n"/>
    </row>
    <row r="2080">
      <c r="A2080" s="62">
        <f>IF('26'!$C$1="","",'26'!$C$1)</f>
        <v/>
      </c>
      <c r="B2080" s="63">
        <f>Ustawienia!$A$9&amp;""</f>
        <v/>
      </c>
      <c r="C2080" s="63">
        <f>Ustawienia!$A$18&amp;""</f>
        <v/>
      </c>
      <c r="D2080" s="63" t="n">
        <v>5</v>
      </c>
      <c r="E2080" s="63">
        <f>IF('26'!F36="","",TRIM('26'!F36&amp;""))</f>
        <v/>
      </c>
      <c r="F2080" s="63">
        <f>IF('26'!G36="","",'26'!G36)</f>
        <v/>
      </c>
      <c r="G2080" s="63">
        <f>'26'!H36&amp;""</f>
        <v/>
      </c>
      <c r="H2080" s="63">
        <f>IF(OR(A2080="",F2080=""),"",F2080&amp;"|"&amp;A2080)</f>
        <v/>
      </c>
      <c r="I2080" s="63">
        <f>IF(AND(H2080&lt;&gt;"",OR('Historia wózka'!$B$4="",F2080='Historia wózka'!$B$4),A2080&gt;='Historia wózka'!$B$5,A2080&lt;='Historia wózka'!$B$6),A2080+0.8+(5000-ROW())/10000000,0)</f>
        <v/>
      </c>
      <c r="J2080" s="63">
        <f>Ustawienia!$B$9&amp;""</f>
        <v/>
      </c>
      <c r="K2080" s="63">
        <f>IF(H2080="","",COUNTIFS('Zgłoszenia'!$B$5:$B$504,F2080,'Zgłoszenia'!$D$5:$D$504,"&gt;="&amp;A2080,'Zgłoszenia'!$D$5:$D$504,"&lt;="&amp;(A2080+1)))</f>
        <v/>
      </c>
      <c r="L2080" s="63">
        <f>IF(OR(H2080="",K2080=0),"—",IF(ISNUMBER(MATCH(H2080,'Zgłoszenia'!$S$5:$S$504,0)),RIGHT("0"&amp;DAY(A2080),2)&amp;"."&amp;RIGHT("0"&amp;MONTH(A2080),2)&amp;"."&amp;YEAR(A2080)&amp;": "&amp;INDEX('Zgłoszenia'!$H$5:$H$504,MATCH(H2080,'Zgłoszenia'!$S$5:$S$504,0)),RIGHT("0"&amp;DAY((A2080+1)),2)&amp;"."&amp;RIGHT("0"&amp;MONTH((A2080+1)),2)&amp;"."&amp;YEAR((A2080+1))&amp;": "&amp;INDEX('Zgłoszenia'!$H$5:$H$504,MATCH(F2080&amp;"|"&amp;(A2080+1),'Zgłoszenia'!$S$5:$S$504,0)))&amp;IF(K2080&gt;1," (+"&amp;(K2080-1)&amp;")",""))</f>
        <v/>
      </c>
      <c r="M2080" s="63" t="n">
        <v>26</v>
      </c>
      <c r="N2080" s="2" t="n"/>
      <c r="O2080" s="2" t="n"/>
    </row>
    <row r="2081">
      <c r="A2081" s="62">
        <f>IF('26'!$C$1="","",'26'!$C$1)</f>
        <v/>
      </c>
      <c r="B2081" s="63">
        <f>Ustawienia!$A$10&amp;""</f>
        <v/>
      </c>
      <c r="C2081" s="63">
        <f>Ustawienia!$A$14&amp;""</f>
        <v/>
      </c>
      <c r="D2081" s="63" t="n">
        <v>1</v>
      </c>
      <c r="E2081" s="63">
        <f>IF('26'!J6="","",TRIM('26'!J6&amp;""))</f>
        <v/>
      </c>
      <c r="F2081" s="63">
        <f>IF('26'!K6="","",'26'!K6)</f>
        <v/>
      </c>
      <c r="G2081" s="63">
        <f>'26'!L6&amp;""</f>
        <v/>
      </c>
      <c r="H2081" s="63">
        <f>IF(OR(A2081="",F2081=""),"",F2081&amp;"|"&amp;A2081)</f>
        <v/>
      </c>
      <c r="I2081" s="63">
        <f>IF(AND(H2081&lt;&gt;"",OR('Historia wózka'!$B$4="",F2081='Historia wózka'!$B$4),A2081&gt;='Historia wózka'!$B$5,A2081&lt;='Historia wózka'!$B$6),A2081+0.7+(5000-ROW())/10000000,0)</f>
        <v/>
      </c>
      <c r="J2081" s="63">
        <f>Ustawienia!$B$10&amp;""</f>
        <v/>
      </c>
      <c r="K2081" s="63">
        <f>IF(H2081="","",COUNTIFS('Zgłoszenia'!$B$5:$B$504,F2081,'Zgłoszenia'!$D$5:$D$504,"&gt;="&amp;A2081,'Zgłoszenia'!$D$5:$D$504,"&lt;="&amp;(A2081+1)))</f>
        <v/>
      </c>
      <c r="L2081" s="63">
        <f>IF(OR(H2081="",K2081=0),"—",IF(ISNUMBER(MATCH(H2081,'Zgłoszenia'!$S$5:$S$504,0)),RIGHT("0"&amp;DAY(A2081),2)&amp;"."&amp;RIGHT("0"&amp;MONTH(A2081),2)&amp;"."&amp;YEAR(A2081)&amp;": "&amp;INDEX('Zgłoszenia'!$H$5:$H$504,MATCH(H2081,'Zgłoszenia'!$S$5:$S$504,0)),RIGHT("0"&amp;DAY((A2081+1)),2)&amp;"."&amp;RIGHT("0"&amp;MONTH((A2081+1)),2)&amp;"."&amp;YEAR((A2081+1))&amp;": "&amp;INDEX('Zgłoszenia'!$H$5:$H$504,MATCH(F2081&amp;"|"&amp;(A2081+1),'Zgłoszenia'!$S$5:$S$504,0)))&amp;IF(K2081&gt;1," (+"&amp;(K2081-1)&amp;")",""))</f>
        <v/>
      </c>
      <c r="M2081" s="63" t="n">
        <v>26</v>
      </c>
      <c r="N2081" s="2" t="n"/>
      <c r="O2081" s="2" t="n"/>
    </row>
    <row r="2082">
      <c r="A2082" s="62">
        <f>IF('26'!$C$1="","",'26'!$C$1)</f>
        <v/>
      </c>
      <c r="B2082" s="63">
        <f>Ustawienia!$A$10&amp;""</f>
        <v/>
      </c>
      <c r="C2082" s="63">
        <f>Ustawienia!$A$14&amp;""</f>
        <v/>
      </c>
      <c r="D2082" s="63" t="n">
        <v>2</v>
      </c>
      <c r="E2082" s="63">
        <f>IF('26'!J7="","",TRIM('26'!J7&amp;""))</f>
        <v/>
      </c>
      <c r="F2082" s="63">
        <f>IF('26'!K7="","",'26'!K7)</f>
        <v/>
      </c>
      <c r="G2082" s="63">
        <f>'26'!L7&amp;""</f>
        <v/>
      </c>
      <c r="H2082" s="63">
        <f>IF(OR(A2082="",F2082=""),"",F2082&amp;"|"&amp;A2082)</f>
        <v/>
      </c>
      <c r="I2082" s="63">
        <f>IF(AND(H2082&lt;&gt;"",OR('Historia wózka'!$B$4="",F2082='Historia wózka'!$B$4),A2082&gt;='Historia wózka'!$B$5,A2082&lt;='Historia wózka'!$B$6),A2082+0.7+(5000-ROW())/10000000,0)</f>
        <v/>
      </c>
      <c r="J2082" s="63">
        <f>Ustawienia!$B$10&amp;""</f>
        <v/>
      </c>
      <c r="K2082" s="63">
        <f>IF(H2082="","",COUNTIFS('Zgłoszenia'!$B$5:$B$504,F2082,'Zgłoszenia'!$D$5:$D$504,"&gt;="&amp;A2082,'Zgłoszenia'!$D$5:$D$504,"&lt;="&amp;(A2082+1)))</f>
        <v/>
      </c>
      <c r="L2082" s="63">
        <f>IF(OR(H2082="",K2082=0),"—",IF(ISNUMBER(MATCH(H2082,'Zgłoszenia'!$S$5:$S$504,0)),RIGHT("0"&amp;DAY(A2082),2)&amp;"."&amp;RIGHT("0"&amp;MONTH(A2082),2)&amp;"."&amp;YEAR(A2082)&amp;": "&amp;INDEX('Zgłoszenia'!$H$5:$H$504,MATCH(H2082,'Zgłoszenia'!$S$5:$S$504,0)),RIGHT("0"&amp;DAY((A2082+1)),2)&amp;"."&amp;RIGHT("0"&amp;MONTH((A2082+1)),2)&amp;"."&amp;YEAR((A2082+1))&amp;": "&amp;INDEX('Zgłoszenia'!$H$5:$H$504,MATCH(F2082&amp;"|"&amp;(A2082+1),'Zgłoszenia'!$S$5:$S$504,0)))&amp;IF(K2082&gt;1," (+"&amp;(K2082-1)&amp;")",""))</f>
        <v/>
      </c>
      <c r="M2082" s="63" t="n">
        <v>26</v>
      </c>
      <c r="N2082" s="2" t="n"/>
      <c r="O2082" s="2" t="n"/>
    </row>
    <row r="2083">
      <c r="A2083" s="62">
        <f>IF('26'!$C$1="","",'26'!$C$1)</f>
        <v/>
      </c>
      <c r="B2083" s="63">
        <f>Ustawienia!$A$10&amp;""</f>
        <v/>
      </c>
      <c r="C2083" s="63">
        <f>Ustawienia!$A$14&amp;""</f>
        <v/>
      </c>
      <c r="D2083" s="63" t="n">
        <v>3</v>
      </c>
      <c r="E2083" s="63">
        <f>IF('26'!J8="","",TRIM('26'!J8&amp;""))</f>
        <v/>
      </c>
      <c r="F2083" s="63">
        <f>IF('26'!K8="","",'26'!K8)</f>
        <v/>
      </c>
      <c r="G2083" s="63">
        <f>'26'!L8&amp;""</f>
        <v/>
      </c>
      <c r="H2083" s="63">
        <f>IF(OR(A2083="",F2083=""),"",F2083&amp;"|"&amp;A2083)</f>
        <v/>
      </c>
      <c r="I2083" s="63">
        <f>IF(AND(H2083&lt;&gt;"",OR('Historia wózka'!$B$4="",F2083='Historia wózka'!$B$4),A2083&gt;='Historia wózka'!$B$5,A2083&lt;='Historia wózka'!$B$6),A2083+0.7+(5000-ROW())/10000000,0)</f>
        <v/>
      </c>
      <c r="J2083" s="63">
        <f>Ustawienia!$B$10&amp;""</f>
        <v/>
      </c>
      <c r="K2083" s="63">
        <f>IF(H2083="","",COUNTIFS('Zgłoszenia'!$B$5:$B$504,F2083,'Zgłoszenia'!$D$5:$D$504,"&gt;="&amp;A2083,'Zgłoszenia'!$D$5:$D$504,"&lt;="&amp;(A2083+1)))</f>
        <v/>
      </c>
      <c r="L2083" s="63">
        <f>IF(OR(H2083="",K2083=0),"—",IF(ISNUMBER(MATCH(H2083,'Zgłoszenia'!$S$5:$S$504,0)),RIGHT("0"&amp;DAY(A2083),2)&amp;"."&amp;RIGHT("0"&amp;MONTH(A2083),2)&amp;"."&amp;YEAR(A2083)&amp;": "&amp;INDEX('Zgłoszenia'!$H$5:$H$504,MATCH(H2083,'Zgłoszenia'!$S$5:$S$504,0)),RIGHT("0"&amp;DAY((A2083+1)),2)&amp;"."&amp;RIGHT("0"&amp;MONTH((A2083+1)),2)&amp;"."&amp;YEAR((A2083+1))&amp;": "&amp;INDEX('Zgłoszenia'!$H$5:$H$504,MATCH(F2083&amp;"|"&amp;(A2083+1),'Zgłoszenia'!$S$5:$S$504,0)))&amp;IF(K2083&gt;1," (+"&amp;(K2083-1)&amp;")",""))</f>
        <v/>
      </c>
      <c r="M2083" s="63" t="n">
        <v>26</v>
      </c>
      <c r="N2083" s="2" t="n"/>
      <c r="O2083" s="2" t="n"/>
    </row>
    <row r="2084">
      <c r="A2084" s="62">
        <f>IF('26'!$C$1="","",'26'!$C$1)</f>
        <v/>
      </c>
      <c r="B2084" s="63">
        <f>Ustawienia!$A$10&amp;""</f>
        <v/>
      </c>
      <c r="C2084" s="63">
        <f>Ustawienia!$A$14&amp;""</f>
        <v/>
      </c>
      <c r="D2084" s="63" t="n">
        <v>4</v>
      </c>
      <c r="E2084" s="63">
        <f>IF('26'!J9="","",TRIM('26'!J9&amp;""))</f>
        <v/>
      </c>
      <c r="F2084" s="63">
        <f>IF('26'!K9="","",'26'!K9)</f>
        <v/>
      </c>
      <c r="G2084" s="63">
        <f>'26'!L9&amp;""</f>
        <v/>
      </c>
      <c r="H2084" s="63">
        <f>IF(OR(A2084="",F2084=""),"",F2084&amp;"|"&amp;A2084)</f>
        <v/>
      </c>
      <c r="I2084" s="63">
        <f>IF(AND(H2084&lt;&gt;"",OR('Historia wózka'!$B$4="",F2084='Historia wózka'!$B$4),A2084&gt;='Historia wózka'!$B$5,A2084&lt;='Historia wózka'!$B$6),A2084+0.7+(5000-ROW())/10000000,0)</f>
        <v/>
      </c>
      <c r="J2084" s="63">
        <f>Ustawienia!$B$10&amp;""</f>
        <v/>
      </c>
      <c r="K2084" s="63">
        <f>IF(H2084="","",COUNTIFS('Zgłoszenia'!$B$5:$B$504,F2084,'Zgłoszenia'!$D$5:$D$504,"&gt;="&amp;A2084,'Zgłoszenia'!$D$5:$D$504,"&lt;="&amp;(A2084+1)))</f>
        <v/>
      </c>
      <c r="L2084" s="63">
        <f>IF(OR(H2084="",K2084=0),"—",IF(ISNUMBER(MATCH(H2084,'Zgłoszenia'!$S$5:$S$504,0)),RIGHT("0"&amp;DAY(A2084),2)&amp;"."&amp;RIGHT("0"&amp;MONTH(A2084),2)&amp;"."&amp;YEAR(A2084)&amp;": "&amp;INDEX('Zgłoszenia'!$H$5:$H$504,MATCH(H2084,'Zgłoszenia'!$S$5:$S$504,0)),RIGHT("0"&amp;DAY((A2084+1)),2)&amp;"."&amp;RIGHT("0"&amp;MONTH((A2084+1)),2)&amp;"."&amp;YEAR((A2084+1))&amp;": "&amp;INDEX('Zgłoszenia'!$H$5:$H$504,MATCH(F2084&amp;"|"&amp;(A2084+1),'Zgłoszenia'!$S$5:$S$504,0)))&amp;IF(K2084&gt;1," (+"&amp;(K2084-1)&amp;")",""))</f>
        <v/>
      </c>
      <c r="M2084" s="63" t="n">
        <v>26</v>
      </c>
      <c r="N2084" s="2" t="n"/>
      <c r="O2084" s="2" t="n"/>
    </row>
    <row r="2085">
      <c r="A2085" s="62">
        <f>IF('26'!$C$1="","",'26'!$C$1)</f>
        <v/>
      </c>
      <c r="B2085" s="63">
        <f>Ustawienia!$A$10&amp;""</f>
        <v/>
      </c>
      <c r="C2085" s="63">
        <f>Ustawienia!$A$14&amp;""</f>
        <v/>
      </c>
      <c r="D2085" s="63" t="n">
        <v>5</v>
      </c>
      <c r="E2085" s="63">
        <f>IF('26'!J10="","",TRIM('26'!J10&amp;""))</f>
        <v/>
      </c>
      <c r="F2085" s="63">
        <f>IF('26'!K10="","",'26'!K10)</f>
        <v/>
      </c>
      <c r="G2085" s="63">
        <f>'26'!L10&amp;""</f>
        <v/>
      </c>
      <c r="H2085" s="63">
        <f>IF(OR(A2085="",F2085=""),"",F2085&amp;"|"&amp;A2085)</f>
        <v/>
      </c>
      <c r="I2085" s="63">
        <f>IF(AND(H2085&lt;&gt;"",OR('Historia wózka'!$B$4="",F2085='Historia wózka'!$B$4),A2085&gt;='Historia wózka'!$B$5,A2085&lt;='Historia wózka'!$B$6),A2085+0.7+(5000-ROW())/10000000,0)</f>
        <v/>
      </c>
      <c r="J2085" s="63">
        <f>Ustawienia!$B$10&amp;""</f>
        <v/>
      </c>
      <c r="K2085" s="63">
        <f>IF(H2085="","",COUNTIFS('Zgłoszenia'!$B$5:$B$504,F2085,'Zgłoszenia'!$D$5:$D$504,"&gt;="&amp;A2085,'Zgłoszenia'!$D$5:$D$504,"&lt;="&amp;(A2085+1)))</f>
        <v/>
      </c>
      <c r="L2085" s="63">
        <f>IF(OR(H2085="",K2085=0),"—",IF(ISNUMBER(MATCH(H2085,'Zgłoszenia'!$S$5:$S$504,0)),RIGHT("0"&amp;DAY(A2085),2)&amp;"."&amp;RIGHT("0"&amp;MONTH(A2085),2)&amp;"."&amp;YEAR(A2085)&amp;": "&amp;INDEX('Zgłoszenia'!$H$5:$H$504,MATCH(H2085,'Zgłoszenia'!$S$5:$S$504,0)),RIGHT("0"&amp;DAY((A2085+1)),2)&amp;"."&amp;RIGHT("0"&amp;MONTH((A2085+1)),2)&amp;"."&amp;YEAR((A2085+1))&amp;": "&amp;INDEX('Zgłoszenia'!$H$5:$H$504,MATCH(F2085&amp;"|"&amp;(A2085+1),'Zgłoszenia'!$S$5:$S$504,0)))&amp;IF(K2085&gt;1," (+"&amp;(K2085-1)&amp;")",""))</f>
        <v/>
      </c>
      <c r="M2085" s="63" t="n">
        <v>26</v>
      </c>
      <c r="N2085" s="2" t="n"/>
      <c r="O2085" s="2" t="n"/>
    </row>
    <row r="2086">
      <c r="A2086" s="62">
        <f>IF('26'!$C$1="","",'26'!$C$1)</f>
        <v/>
      </c>
      <c r="B2086" s="63">
        <f>Ustawienia!$A$10&amp;""</f>
        <v/>
      </c>
      <c r="C2086" s="63">
        <f>Ustawienia!$A$14&amp;""</f>
        <v/>
      </c>
      <c r="D2086" s="63" t="n">
        <v>6</v>
      </c>
      <c r="E2086" s="63">
        <f>IF('26'!J11="","",TRIM('26'!J11&amp;""))</f>
        <v/>
      </c>
      <c r="F2086" s="63">
        <f>IF('26'!K11="","",'26'!K11)</f>
        <v/>
      </c>
      <c r="G2086" s="63">
        <f>'26'!L11&amp;""</f>
        <v/>
      </c>
      <c r="H2086" s="63">
        <f>IF(OR(A2086="",F2086=""),"",F2086&amp;"|"&amp;A2086)</f>
        <v/>
      </c>
      <c r="I2086" s="63">
        <f>IF(AND(H2086&lt;&gt;"",OR('Historia wózka'!$B$4="",F2086='Historia wózka'!$B$4),A2086&gt;='Historia wózka'!$B$5,A2086&lt;='Historia wózka'!$B$6),A2086+0.7+(5000-ROW())/10000000,0)</f>
        <v/>
      </c>
      <c r="J2086" s="63">
        <f>Ustawienia!$B$10&amp;""</f>
        <v/>
      </c>
      <c r="K2086" s="63">
        <f>IF(H2086="","",COUNTIFS('Zgłoszenia'!$B$5:$B$504,F2086,'Zgłoszenia'!$D$5:$D$504,"&gt;="&amp;A2086,'Zgłoszenia'!$D$5:$D$504,"&lt;="&amp;(A2086+1)))</f>
        <v/>
      </c>
      <c r="L2086" s="63">
        <f>IF(OR(H2086="",K2086=0),"—",IF(ISNUMBER(MATCH(H2086,'Zgłoszenia'!$S$5:$S$504,0)),RIGHT("0"&amp;DAY(A2086),2)&amp;"."&amp;RIGHT("0"&amp;MONTH(A2086),2)&amp;"."&amp;YEAR(A2086)&amp;": "&amp;INDEX('Zgłoszenia'!$H$5:$H$504,MATCH(H2086,'Zgłoszenia'!$S$5:$S$504,0)),RIGHT("0"&amp;DAY((A2086+1)),2)&amp;"."&amp;RIGHT("0"&amp;MONTH((A2086+1)),2)&amp;"."&amp;YEAR((A2086+1))&amp;": "&amp;INDEX('Zgłoszenia'!$H$5:$H$504,MATCH(F2086&amp;"|"&amp;(A2086+1),'Zgłoszenia'!$S$5:$S$504,0)))&amp;IF(K2086&gt;1," (+"&amp;(K2086-1)&amp;")",""))</f>
        <v/>
      </c>
      <c r="M2086" s="63" t="n">
        <v>26</v>
      </c>
      <c r="N2086" s="2" t="n"/>
      <c r="O2086" s="2" t="n"/>
    </row>
    <row r="2087">
      <c r="A2087" s="62">
        <f>IF('26'!$C$1="","",'26'!$C$1)</f>
        <v/>
      </c>
      <c r="B2087" s="63">
        <f>Ustawienia!$A$10&amp;""</f>
        <v/>
      </c>
      <c r="C2087" s="63">
        <f>Ustawienia!$A$15&amp;""</f>
        <v/>
      </c>
      <c r="D2087" s="63" t="n">
        <v>1</v>
      </c>
      <c r="E2087" s="63">
        <f>IF('26'!J13="","",TRIM('26'!J13&amp;""))</f>
        <v/>
      </c>
      <c r="F2087" s="63">
        <f>IF('26'!K13="","",'26'!K13)</f>
        <v/>
      </c>
      <c r="G2087" s="63">
        <f>'26'!L13&amp;""</f>
        <v/>
      </c>
      <c r="H2087" s="63">
        <f>IF(OR(A2087="",F2087=""),"",F2087&amp;"|"&amp;A2087)</f>
        <v/>
      </c>
      <c r="I2087" s="63">
        <f>IF(AND(H2087&lt;&gt;"",OR('Historia wózka'!$B$4="",F2087='Historia wózka'!$B$4),A2087&gt;='Historia wózka'!$B$5,A2087&lt;='Historia wózka'!$B$6),A2087+0.7+(5000-ROW())/10000000,0)</f>
        <v/>
      </c>
      <c r="J2087" s="63">
        <f>Ustawienia!$B$10&amp;""</f>
        <v/>
      </c>
      <c r="K2087" s="63">
        <f>IF(H2087="","",COUNTIFS('Zgłoszenia'!$B$5:$B$504,F2087,'Zgłoszenia'!$D$5:$D$504,"&gt;="&amp;A2087,'Zgłoszenia'!$D$5:$D$504,"&lt;="&amp;(A2087+1)))</f>
        <v/>
      </c>
      <c r="L2087" s="63">
        <f>IF(OR(H2087="",K2087=0),"—",IF(ISNUMBER(MATCH(H2087,'Zgłoszenia'!$S$5:$S$504,0)),RIGHT("0"&amp;DAY(A2087),2)&amp;"."&amp;RIGHT("0"&amp;MONTH(A2087),2)&amp;"."&amp;YEAR(A2087)&amp;": "&amp;INDEX('Zgłoszenia'!$H$5:$H$504,MATCH(H2087,'Zgłoszenia'!$S$5:$S$504,0)),RIGHT("0"&amp;DAY((A2087+1)),2)&amp;"."&amp;RIGHT("0"&amp;MONTH((A2087+1)),2)&amp;"."&amp;YEAR((A2087+1))&amp;": "&amp;INDEX('Zgłoszenia'!$H$5:$H$504,MATCH(F2087&amp;"|"&amp;(A2087+1),'Zgłoszenia'!$S$5:$S$504,0)))&amp;IF(K2087&gt;1," (+"&amp;(K2087-1)&amp;")",""))</f>
        <v/>
      </c>
      <c r="M2087" s="63" t="n">
        <v>26</v>
      </c>
      <c r="N2087" s="2" t="n"/>
      <c r="O2087" s="2" t="n"/>
    </row>
    <row r="2088">
      <c r="A2088" s="62">
        <f>IF('26'!$C$1="","",'26'!$C$1)</f>
        <v/>
      </c>
      <c r="B2088" s="63">
        <f>Ustawienia!$A$10&amp;""</f>
        <v/>
      </c>
      <c r="C2088" s="63">
        <f>Ustawienia!$A$15&amp;""</f>
        <v/>
      </c>
      <c r="D2088" s="63" t="n">
        <v>2</v>
      </c>
      <c r="E2088" s="63">
        <f>IF('26'!J14="","",TRIM('26'!J14&amp;""))</f>
        <v/>
      </c>
      <c r="F2088" s="63">
        <f>IF('26'!K14="","",'26'!K14)</f>
        <v/>
      </c>
      <c r="G2088" s="63">
        <f>'26'!L14&amp;""</f>
        <v/>
      </c>
      <c r="H2088" s="63">
        <f>IF(OR(A2088="",F2088=""),"",F2088&amp;"|"&amp;A2088)</f>
        <v/>
      </c>
      <c r="I2088" s="63">
        <f>IF(AND(H2088&lt;&gt;"",OR('Historia wózka'!$B$4="",F2088='Historia wózka'!$B$4),A2088&gt;='Historia wózka'!$B$5,A2088&lt;='Historia wózka'!$B$6),A2088+0.7+(5000-ROW())/10000000,0)</f>
        <v/>
      </c>
      <c r="J2088" s="63">
        <f>Ustawienia!$B$10&amp;""</f>
        <v/>
      </c>
      <c r="K2088" s="63">
        <f>IF(H2088="","",COUNTIFS('Zgłoszenia'!$B$5:$B$504,F2088,'Zgłoszenia'!$D$5:$D$504,"&gt;="&amp;A2088,'Zgłoszenia'!$D$5:$D$504,"&lt;="&amp;(A2088+1)))</f>
        <v/>
      </c>
      <c r="L2088" s="63">
        <f>IF(OR(H2088="",K2088=0),"—",IF(ISNUMBER(MATCH(H2088,'Zgłoszenia'!$S$5:$S$504,0)),RIGHT("0"&amp;DAY(A2088),2)&amp;"."&amp;RIGHT("0"&amp;MONTH(A2088),2)&amp;"."&amp;YEAR(A2088)&amp;": "&amp;INDEX('Zgłoszenia'!$H$5:$H$504,MATCH(H2088,'Zgłoszenia'!$S$5:$S$504,0)),RIGHT("0"&amp;DAY((A2088+1)),2)&amp;"."&amp;RIGHT("0"&amp;MONTH((A2088+1)),2)&amp;"."&amp;YEAR((A2088+1))&amp;": "&amp;INDEX('Zgłoszenia'!$H$5:$H$504,MATCH(F2088&amp;"|"&amp;(A2088+1),'Zgłoszenia'!$S$5:$S$504,0)))&amp;IF(K2088&gt;1," (+"&amp;(K2088-1)&amp;")",""))</f>
        <v/>
      </c>
      <c r="M2088" s="63" t="n">
        <v>26</v>
      </c>
      <c r="N2088" s="2" t="n"/>
      <c r="O2088" s="2" t="n"/>
    </row>
    <row r="2089">
      <c r="A2089" s="62">
        <f>IF('26'!$C$1="","",'26'!$C$1)</f>
        <v/>
      </c>
      <c r="B2089" s="63">
        <f>Ustawienia!$A$10&amp;""</f>
        <v/>
      </c>
      <c r="C2089" s="63">
        <f>Ustawienia!$A$15&amp;""</f>
        <v/>
      </c>
      <c r="D2089" s="63" t="n">
        <v>3</v>
      </c>
      <c r="E2089" s="63">
        <f>IF('26'!J15="","",TRIM('26'!J15&amp;""))</f>
        <v/>
      </c>
      <c r="F2089" s="63">
        <f>IF('26'!K15="","",'26'!K15)</f>
        <v/>
      </c>
      <c r="G2089" s="63">
        <f>'26'!L15&amp;""</f>
        <v/>
      </c>
      <c r="H2089" s="63">
        <f>IF(OR(A2089="",F2089=""),"",F2089&amp;"|"&amp;A2089)</f>
        <v/>
      </c>
      <c r="I2089" s="63">
        <f>IF(AND(H2089&lt;&gt;"",OR('Historia wózka'!$B$4="",F2089='Historia wózka'!$B$4),A2089&gt;='Historia wózka'!$B$5,A2089&lt;='Historia wózka'!$B$6),A2089+0.7+(5000-ROW())/10000000,0)</f>
        <v/>
      </c>
      <c r="J2089" s="63">
        <f>Ustawienia!$B$10&amp;""</f>
        <v/>
      </c>
      <c r="K2089" s="63">
        <f>IF(H2089="","",COUNTIFS('Zgłoszenia'!$B$5:$B$504,F2089,'Zgłoszenia'!$D$5:$D$504,"&gt;="&amp;A2089,'Zgłoszenia'!$D$5:$D$504,"&lt;="&amp;(A2089+1)))</f>
        <v/>
      </c>
      <c r="L2089" s="63">
        <f>IF(OR(H2089="",K2089=0),"—",IF(ISNUMBER(MATCH(H2089,'Zgłoszenia'!$S$5:$S$504,0)),RIGHT("0"&amp;DAY(A2089),2)&amp;"."&amp;RIGHT("0"&amp;MONTH(A2089),2)&amp;"."&amp;YEAR(A2089)&amp;": "&amp;INDEX('Zgłoszenia'!$H$5:$H$504,MATCH(H2089,'Zgłoszenia'!$S$5:$S$504,0)),RIGHT("0"&amp;DAY((A2089+1)),2)&amp;"."&amp;RIGHT("0"&amp;MONTH((A2089+1)),2)&amp;"."&amp;YEAR((A2089+1))&amp;": "&amp;INDEX('Zgłoszenia'!$H$5:$H$504,MATCH(F2089&amp;"|"&amp;(A2089+1),'Zgłoszenia'!$S$5:$S$504,0)))&amp;IF(K2089&gt;1," (+"&amp;(K2089-1)&amp;")",""))</f>
        <v/>
      </c>
      <c r="M2089" s="63" t="n">
        <v>26</v>
      </c>
      <c r="N2089" s="2" t="n"/>
      <c r="O2089" s="2" t="n"/>
    </row>
    <row r="2090">
      <c r="A2090" s="62">
        <f>IF('26'!$C$1="","",'26'!$C$1)</f>
        <v/>
      </c>
      <c r="B2090" s="63">
        <f>Ustawienia!$A$10&amp;""</f>
        <v/>
      </c>
      <c r="C2090" s="63">
        <f>Ustawienia!$A$15&amp;""</f>
        <v/>
      </c>
      <c r="D2090" s="63" t="n">
        <v>4</v>
      </c>
      <c r="E2090" s="63">
        <f>IF('26'!J16="","",TRIM('26'!J16&amp;""))</f>
        <v/>
      </c>
      <c r="F2090" s="63">
        <f>IF('26'!K16="","",'26'!K16)</f>
        <v/>
      </c>
      <c r="G2090" s="63">
        <f>'26'!L16&amp;""</f>
        <v/>
      </c>
      <c r="H2090" s="63">
        <f>IF(OR(A2090="",F2090=""),"",F2090&amp;"|"&amp;A2090)</f>
        <v/>
      </c>
      <c r="I2090" s="63">
        <f>IF(AND(H2090&lt;&gt;"",OR('Historia wózka'!$B$4="",F2090='Historia wózka'!$B$4),A2090&gt;='Historia wózka'!$B$5,A2090&lt;='Historia wózka'!$B$6),A2090+0.7+(5000-ROW())/10000000,0)</f>
        <v/>
      </c>
      <c r="J2090" s="63">
        <f>Ustawienia!$B$10&amp;""</f>
        <v/>
      </c>
      <c r="K2090" s="63">
        <f>IF(H2090="","",COUNTIFS('Zgłoszenia'!$B$5:$B$504,F2090,'Zgłoszenia'!$D$5:$D$504,"&gt;="&amp;A2090,'Zgłoszenia'!$D$5:$D$504,"&lt;="&amp;(A2090+1)))</f>
        <v/>
      </c>
      <c r="L2090" s="63">
        <f>IF(OR(H2090="",K2090=0),"—",IF(ISNUMBER(MATCH(H2090,'Zgłoszenia'!$S$5:$S$504,0)),RIGHT("0"&amp;DAY(A2090),2)&amp;"."&amp;RIGHT("0"&amp;MONTH(A2090),2)&amp;"."&amp;YEAR(A2090)&amp;": "&amp;INDEX('Zgłoszenia'!$H$5:$H$504,MATCH(H2090,'Zgłoszenia'!$S$5:$S$504,0)),RIGHT("0"&amp;DAY((A2090+1)),2)&amp;"."&amp;RIGHT("0"&amp;MONTH((A2090+1)),2)&amp;"."&amp;YEAR((A2090+1))&amp;": "&amp;INDEX('Zgłoszenia'!$H$5:$H$504,MATCH(F2090&amp;"|"&amp;(A2090+1),'Zgłoszenia'!$S$5:$S$504,0)))&amp;IF(K2090&gt;1," (+"&amp;(K2090-1)&amp;")",""))</f>
        <v/>
      </c>
      <c r="M2090" s="63" t="n">
        <v>26</v>
      </c>
      <c r="N2090" s="2" t="n"/>
      <c r="O2090" s="2" t="n"/>
    </row>
    <row r="2091">
      <c r="A2091" s="62">
        <f>IF('26'!$C$1="","",'26'!$C$1)</f>
        <v/>
      </c>
      <c r="B2091" s="63">
        <f>Ustawienia!$A$10&amp;""</f>
        <v/>
      </c>
      <c r="C2091" s="63">
        <f>Ustawienia!$A$15&amp;""</f>
        <v/>
      </c>
      <c r="D2091" s="63" t="n">
        <v>5</v>
      </c>
      <c r="E2091" s="63">
        <f>IF('26'!J17="","",TRIM('26'!J17&amp;""))</f>
        <v/>
      </c>
      <c r="F2091" s="63">
        <f>IF('26'!K17="","",'26'!K17)</f>
        <v/>
      </c>
      <c r="G2091" s="63">
        <f>'26'!L17&amp;""</f>
        <v/>
      </c>
      <c r="H2091" s="63">
        <f>IF(OR(A2091="",F2091=""),"",F2091&amp;"|"&amp;A2091)</f>
        <v/>
      </c>
      <c r="I2091" s="63">
        <f>IF(AND(H2091&lt;&gt;"",OR('Historia wózka'!$B$4="",F2091='Historia wózka'!$B$4),A2091&gt;='Historia wózka'!$B$5,A2091&lt;='Historia wózka'!$B$6),A2091+0.7+(5000-ROW())/10000000,0)</f>
        <v/>
      </c>
      <c r="J2091" s="63">
        <f>Ustawienia!$B$10&amp;""</f>
        <v/>
      </c>
      <c r="K2091" s="63">
        <f>IF(H2091="","",COUNTIFS('Zgłoszenia'!$B$5:$B$504,F2091,'Zgłoszenia'!$D$5:$D$504,"&gt;="&amp;A2091,'Zgłoszenia'!$D$5:$D$504,"&lt;="&amp;(A2091+1)))</f>
        <v/>
      </c>
      <c r="L2091" s="63">
        <f>IF(OR(H2091="",K2091=0),"—",IF(ISNUMBER(MATCH(H2091,'Zgłoszenia'!$S$5:$S$504,0)),RIGHT("0"&amp;DAY(A2091),2)&amp;"."&amp;RIGHT("0"&amp;MONTH(A2091),2)&amp;"."&amp;YEAR(A2091)&amp;": "&amp;INDEX('Zgłoszenia'!$H$5:$H$504,MATCH(H2091,'Zgłoszenia'!$S$5:$S$504,0)),RIGHT("0"&amp;DAY((A2091+1)),2)&amp;"."&amp;RIGHT("0"&amp;MONTH((A2091+1)),2)&amp;"."&amp;YEAR((A2091+1))&amp;": "&amp;INDEX('Zgłoszenia'!$H$5:$H$504,MATCH(F2091&amp;"|"&amp;(A2091+1),'Zgłoszenia'!$S$5:$S$504,0)))&amp;IF(K2091&gt;1," (+"&amp;(K2091-1)&amp;")",""))</f>
        <v/>
      </c>
      <c r="M2091" s="63" t="n">
        <v>26</v>
      </c>
      <c r="N2091" s="2" t="n"/>
      <c r="O2091" s="2" t="n"/>
    </row>
    <row r="2092">
      <c r="A2092" s="62">
        <f>IF('26'!$C$1="","",'26'!$C$1)</f>
        <v/>
      </c>
      <c r="B2092" s="63">
        <f>Ustawienia!$A$10&amp;""</f>
        <v/>
      </c>
      <c r="C2092" s="63">
        <f>Ustawienia!$A$15&amp;""</f>
        <v/>
      </c>
      <c r="D2092" s="63" t="n">
        <v>6</v>
      </c>
      <c r="E2092" s="63">
        <f>IF('26'!J18="","",TRIM('26'!J18&amp;""))</f>
        <v/>
      </c>
      <c r="F2092" s="63">
        <f>IF('26'!K18="","",'26'!K18)</f>
        <v/>
      </c>
      <c r="G2092" s="63">
        <f>'26'!L18&amp;""</f>
        <v/>
      </c>
      <c r="H2092" s="63">
        <f>IF(OR(A2092="",F2092=""),"",F2092&amp;"|"&amp;A2092)</f>
        <v/>
      </c>
      <c r="I2092" s="63">
        <f>IF(AND(H2092&lt;&gt;"",OR('Historia wózka'!$B$4="",F2092='Historia wózka'!$B$4),A2092&gt;='Historia wózka'!$B$5,A2092&lt;='Historia wózka'!$B$6),A2092+0.7+(5000-ROW())/10000000,0)</f>
        <v/>
      </c>
      <c r="J2092" s="63">
        <f>Ustawienia!$B$10&amp;""</f>
        <v/>
      </c>
      <c r="K2092" s="63">
        <f>IF(H2092="","",COUNTIFS('Zgłoszenia'!$B$5:$B$504,F2092,'Zgłoszenia'!$D$5:$D$504,"&gt;="&amp;A2092,'Zgłoszenia'!$D$5:$D$504,"&lt;="&amp;(A2092+1)))</f>
        <v/>
      </c>
      <c r="L2092" s="63">
        <f>IF(OR(H2092="",K2092=0),"—",IF(ISNUMBER(MATCH(H2092,'Zgłoszenia'!$S$5:$S$504,0)),RIGHT("0"&amp;DAY(A2092),2)&amp;"."&amp;RIGHT("0"&amp;MONTH(A2092),2)&amp;"."&amp;YEAR(A2092)&amp;": "&amp;INDEX('Zgłoszenia'!$H$5:$H$504,MATCH(H2092,'Zgłoszenia'!$S$5:$S$504,0)),RIGHT("0"&amp;DAY((A2092+1)),2)&amp;"."&amp;RIGHT("0"&amp;MONTH((A2092+1)),2)&amp;"."&amp;YEAR((A2092+1))&amp;": "&amp;INDEX('Zgłoszenia'!$H$5:$H$504,MATCH(F2092&amp;"|"&amp;(A2092+1),'Zgłoszenia'!$S$5:$S$504,0)))&amp;IF(K2092&gt;1," (+"&amp;(K2092-1)&amp;")",""))</f>
        <v/>
      </c>
      <c r="M2092" s="63" t="n">
        <v>26</v>
      </c>
      <c r="N2092" s="2" t="n"/>
      <c r="O2092" s="2" t="n"/>
    </row>
    <row r="2093">
      <c r="A2093" s="62">
        <f>IF('26'!$C$1="","",'26'!$C$1)</f>
        <v/>
      </c>
      <c r="B2093" s="63">
        <f>Ustawienia!$A$10&amp;""</f>
        <v/>
      </c>
      <c r="C2093" s="63">
        <f>Ustawienia!$A$15&amp;""</f>
        <v/>
      </c>
      <c r="D2093" s="63" t="n">
        <v>7</v>
      </c>
      <c r="E2093" s="63">
        <f>IF('26'!J19="","",TRIM('26'!J19&amp;""))</f>
        <v/>
      </c>
      <c r="F2093" s="63">
        <f>IF('26'!K19="","",'26'!K19)</f>
        <v/>
      </c>
      <c r="G2093" s="63">
        <f>'26'!L19&amp;""</f>
        <v/>
      </c>
      <c r="H2093" s="63">
        <f>IF(OR(A2093="",F2093=""),"",F2093&amp;"|"&amp;A2093)</f>
        <v/>
      </c>
      <c r="I2093" s="63">
        <f>IF(AND(H2093&lt;&gt;"",OR('Historia wózka'!$B$4="",F2093='Historia wózka'!$B$4),A2093&gt;='Historia wózka'!$B$5,A2093&lt;='Historia wózka'!$B$6),A2093+0.7+(5000-ROW())/10000000,0)</f>
        <v/>
      </c>
      <c r="J2093" s="63">
        <f>Ustawienia!$B$10&amp;""</f>
        <v/>
      </c>
      <c r="K2093" s="63">
        <f>IF(H2093="","",COUNTIFS('Zgłoszenia'!$B$5:$B$504,F2093,'Zgłoszenia'!$D$5:$D$504,"&gt;="&amp;A2093,'Zgłoszenia'!$D$5:$D$504,"&lt;="&amp;(A2093+1)))</f>
        <v/>
      </c>
      <c r="L2093" s="63">
        <f>IF(OR(H2093="",K2093=0),"—",IF(ISNUMBER(MATCH(H2093,'Zgłoszenia'!$S$5:$S$504,0)),RIGHT("0"&amp;DAY(A2093),2)&amp;"."&amp;RIGHT("0"&amp;MONTH(A2093),2)&amp;"."&amp;YEAR(A2093)&amp;": "&amp;INDEX('Zgłoszenia'!$H$5:$H$504,MATCH(H2093,'Zgłoszenia'!$S$5:$S$504,0)),RIGHT("0"&amp;DAY((A2093+1)),2)&amp;"."&amp;RIGHT("0"&amp;MONTH((A2093+1)),2)&amp;"."&amp;YEAR((A2093+1))&amp;": "&amp;INDEX('Zgłoszenia'!$H$5:$H$504,MATCH(F2093&amp;"|"&amp;(A2093+1),'Zgłoszenia'!$S$5:$S$504,0)))&amp;IF(K2093&gt;1," (+"&amp;(K2093-1)&amp;")",""))</f>
        <v/>
      </c>
      <c r="M2093" s="63" t="n">
        <v>26</v>
      </c>
      <c r="N2093" s="2" t="n"/>
      <c r="O2093" s="2" t="n"/>
    </row>
    <row r="2094">
      <c r="A2094" s="62">
        <f>IF('26'!$C$1="","",'26'!$C$1)</f>
        <v/>
      </c>
      <c r="B2094" s="63">
        <f>Ustawienia!$A$10&amp;""</f>
        <v/>
      </c>
      <c r="C2094" s="63">
        <f>Ustawienia!$A$15&amp;""</f>
        <v/>
      </c>
      <c r="D2094" s="63" t="n">
        <v>8</v>
      </c>
      <c r="E2094" s="63">
        <f>IF('26'!J20="","",TRIM('26'!J20&amp;""))</f>
        <v/>
      </c>
      <c r="F2094" s="63">
        <f>IF('26'!K20="","",'26'!K20)</f>
        <v/>
      </c>
      <c r="G2094" s="63">
        <f>'26'!L20&amp;""</f>
        <v/>
      </c>
      <c r="H2094" s="63">
        <f>IF(OR(A2094="",F2094=""),"",F2094&amp;"|"&amp;A2094)</f>
        <v/>
      </c>
      <c r="I2094" s="63">
        <f>IF(AND(H2094&lt;&gt;"",OR('Historia wózka'!$B$4="",F2094='Historia wózka'!$B$4),A2094&gt;='Historia wózka'!$B$5,A2094&lt;='Historia wózka'!$B$6),A2094+0.7+(5000-ROW())/10000000,0)</f>
        <v/>
      </c>
      <c r="J2094" s="63">
        <f>Ustawienia!$B$10&amp;""</f>
        <v/>
      </c>
      <c r="K2094" s="63">
        <f>IF(H2094="","",COUNTIFS('Zgłoszenia'!$B$5:$B$504,F2094,'Zgłoszenia'!$D$5:$D$504,"&gt;="&amp;A2094,'Zgłoszenia'!$D$5:$D$504,"&lt;="&amp;(A2094+1)))</f>
        <v/>
      </c>
      <c r="L2094" s="63">
        <f>IF(OR(H2094="",K2094=0),"—",IF(ISNUMBER(MATCH(H2094,'Zgłoszenia'!$S$5:$S$504,0)),RIGHT("0"&amp;DAY(A2094),2)&amp;"."&amp;RIGHT("0"&amp;MONTH(A2094),2)&amp;"."&amp;YEAR(A2094)&amp;": "&amp;INDEX('Zgłoszenia'!$H$5:$H$504,MATCH(H2094,'Zgłoszenia'!$S$5:$S$504,0)),RIGHT("0"&amp;DAY((A2094+1)),2)&amp;"."&amp;RIGHT("0"&amp;MONTH((A2094+1)),2)&amp;"."&amp;YEAR((A2094+1))&amp;": "&amp;INDEX('Zgłoszenia'!$H$5:$H$504,MATCH(F2094&amp;"|"&amp;(A2094+1),'Zgłoszenia'!$S$5:$S$504,0)))&amp;IF(K2094&gt;1," (+"&amp;(K2094-1)&amp;")",""))</f>
        <v/>
      </c>
      <c r="M2094" s="63" t="n">
        <v>26</v>
      </c>
      <c r="N2094" s="2" t="n"/>
      <c r="O2094" s="2" t="n"/>
    </row>
    <row r="2095">
      <c r="A2095" s="62">
        <f>IF('26'!$C$1="","",'26'!$C$1)</f>
        <v/>
      </c>
      <c r="B2095" s="63">
        <f>Ustawienia!$A$10&amp;""</f>
        <v/>
      </c>
      <c r="C2095" s="63">
        <f>Ustawienia!$A$16&amp;""</f>
        <v/>
      </c>
      <c r="D2095" s="63" t="n">
        <v>1</v>
      </c>
      <c r="E2095" s="63">
        <f>IF('26'!J22="","",TRIM('26'!J22&amp;""))</f>
        <v/>
      </c>
      <c r="F2095" s="63">
        <f>IF('26'!K22="","",'26'!K22)</f>
        <v/>
      </c>
      <c r="G2095" s="63">
        <f>'26'!L22&amp;""</f>
        <v/>
      </c>
      <c r="H2095" s="63">
        <f>IF(OR(A2095="",F2095=""),"",F2095&amp;"|"&amp;A2095)</f>
        <v/>
      </c>
      <c r="I2095" s="63">
        <f>IF(AND(H2095&lt;&gt;"",OR('Historia wózka'!$B$4="",F2095='Historia wózka'!$B$4),A2095&gt;='Historia wózka'!$B$5,A2095&lt;='Historia wózka'!$B$6),A2095+0.7+(5000-ROW())/10000000,0)</f>
        <v/>
      </c>
      <c r="J2095" s="63">
        <f>Ustawienia!$B$10&amp;""</f>
        <v/>
      </c>
      <c r="K2095" s="63">
        <f>IF(H2095="","",COUNTIFS('Zgłoszenia'!$B$5:$B$504,F2095,'Zgłoszenia'!$D$5:$D$504,"&gt;="&amp;A2095,'Zgłoszenia'!$D$5:$D$504,"&lt;="&amp;(A2095+1)))</f>
        <v/>
      </c>
      <c r="L2095" s="63">
        <f>IF(OR(H2095="",K2095=0),"—",IF(ISNUMBER(MATCH(H2095,'Zgłoszenia'!$S$5:$S$504,0)),RIGHT("0"&amp;DAY(A2095),2)&amp;"."&amp;RIGHT("0"&amp;MONTH(A2095),2)&amp;"."&amp;YEAR(A2095)&amp;": "&amp;INDEX('Zgłoszenia'!$H$5:$H$504,MATCH(H2095,'Zgłoszenia'!$S$5:$S$504,0)),RIGHT("0"&amp;DAY((A2095+1)),2)&amp;"."&amp;RIGHT("0"&amp;MONTH((A2095+1)),2)&amp;"."&amp;YEAR((A2095+1))&amp;": "&amp;INDEX('Zgłoszenia'!$H$5:$H$504,MATCH(F2095&amp;"|"&amp;(A2095+1),'Zgłoszenia'!$S$5:$S$504,0)))&amp;IF(K2095&gt;1," (+"&amp;(K2095-1)&amp;")",""))</f>
        <v/>
      </c>
      <c r="M2095" s="63" t="n">
        <v>26</v>
      </c>
      <c r="N2095" s="2" t="n"/>
      <c r="O2095" s="2" t="n"/>
    </row>
    <row r="2096">
      <c r="A2096" s="62">
        <f>IF('26'!$C$1="","",'26'!$C$1)</f>
        <v/>
      </c>
      <c r="B2096" s="63">
        <f>Ustawienia!$A$10&amp;""</f>
        <v/>
      </c>
      <c r="C2096" s="63">
        <f>Ustawienia!$A$16&amp;""</f>
        <v/>
      </c>
      <c r="D2096" s="63" t="n">
        <v>2</v>
      </c>
      <c r="E2096" s="63">
        <f>IF('26'!J23="","",TRIM('26'!J23&amp;""))</f>
        <v/>
      </c>
      <c r="F2096" s="63">
        <f>IF('26'!K23="","",'26'!K23)</f>
        <v/>
      </c>
      <c r="G2096" s="63">
        <f>'26'!L23&amp;""</f>
        <v/>
      </c>
      <c r="H2096" s="63">
        <f>IF(OR(A2096="",F2096=""),"",F2096&amp;"|"&amp;A2096)</f>
        <v/>
      </c>
      <c r="I2096" s="63">
        <f>IF(AND(H2096&lt;&gt;"",OR('Historia wózka'!$B$4="",F2096='Historia wózka'!$B$4),A2096&gt;='Historia wózka'!$B$5,A2096&lt;='Historia wózka'!$B$6),A2096+0.7+(5000-ROW())/10000000,0)</f>
        <v/>
      </c>
      <c r="J2096" s="63">
        <f>Ustawienia!$B$10&amp;""</f>
        <v/>
      </c>
      <c r="K2096" s="63">
        <f>IF(H2096="","",COUNTIFS('Zgłoszenia'!$B$5:$B$504,F2096,'Zgłoszenia'!$D$5:$D$504,"&gt;="&amp;A2096,'Zgłoszenia'!$D$5:$D$504,"&lt;="&amp;(A2096+1)))</f>
        <v/>
      </c>
      <c r="L2096" s="63">
        <f>IF(OR(H2096="",K2096=0),"—",IF(ISNUMBER(MATCH(H2096,'Zgłoszenia'!$S$5:$S$504,0)),RIGHT("0"&amp;DAY(A2096),2)&amp;"."&amp;RIGHT("0"&amp;MONTH(A2096),2)&amp;"."&amp;YEAR(A2096)&amp;": "&amp;INDEX('Zgłoszenia'!$H$5:$H$504,MATCH(H2096,'Zgłoszenia'!$S$5:$S$504,0)),RIGHT("0"&amp;DAY((A2096+1)),2)&amp;"."&amp;RIGHT("0"&amp;MONTH((A2096+1)),2)&amp;"."&amp;YEAR((A2096+1))&amp;": "&amp;INDEX('Zgłoszenia'!$H$5:$H$504,MATCH(F2096&amp;"|"&amp;(A2096+1),'Zgłoszenia'!$S$5:$S$504,0)))&amp;IF(K2096&gt;1," (+"&amp;(K2096-1)&amp;")",""))</f>
        <v/>
      </c>
      <c r="M2096" s="63" t="n">
        <v>26</v>
      </c>
      <c r="N2096" s="2" t="n"/>
      <c r="O2096" s="2" t="n"/>
    </row>
    <row r="2097">
      <c r="A2097" s="62">
        <f>IF('26'!$C$1="","",'26'!$C$1)</f>
        <v/>
      </c>
      <c r="B2097" s="63">
        <f>Ustawienia!$A$10&amp;""</f>
        <v/>
      </c>
      <c r="C2097" s="63">
        <f>Ustawienia!$A$16&amp;""</f>
        <v/>
      </c>
      <c r="D2097" s="63" t="n">
        <v>3</v>
      </c>
      <c r="E2097" s="63">
        <f>IF('26'!J24="","",TRIM('26'!J24&amp;""))</f>
        <v/>
      </c>
      <c r="F2097" s="63">
        <f>IF('26'!K24="","",'26'!K24)</f>
        <v/>
      </c>
      <c r="G2097" s="63">
        <f>'26'!L24&amp;""</f>
        <v/>
      </c>
      <c r="H2097" s="63">
        <f>IF(OR(A2097="",F2097=""),"",F2097&amp;"|"&amp;A2097)</f>
        <v/>
      </c>
      <c r="I2097" s="63">
        <f>IF(AND(H2097&lt;&gt;"",OR('Historia wózka'!$B$4="",F2097='Historia wózka'!$B$4),A2097&gt;='Historia wózka'!$B$5,A2097&lt;='Historia wózka'!$B$6),A2097+0.7+(5000-ROW())/10000000,0)</f>
        <v/>
      </c>
      <c r="J2097" s="63">
        <f>Ustawienia!$B$10&amp;""</f>
        <v/>
      </c>
      <c r="K2097" s="63">
        <f>IF(H2097="","",COUNTIFS('Zgłoszenia'!$B$5:$B$504,F2097,'Zgłoszenia'!$D$5:$D$504,"&gt;="&amp;A2097,'Zgłoszenia'!$D$5:$D$504,"&lt;="&amp;(A2097+1)))</f>
        <v/>
      </c>
      <c r="L2097" s="63">
        <f>IF(OR(H2097="",K2097=0),"—",IF(ISNUMBER(MATCH(H2097,'Zgłoszenia'!$S$5:$S$504,0)),RIGHT("0"&amp;DAY(A2097),2)&amp;"."&amp;RIGHT("0"&amp;MONTH(A2097),2)&amp;"."&amp;YEAR(A2097)&amp;": "&amp;INDEX('Zgłoszenia'!$H$5:$H$504,MATCH(H2097,'Zgłoszenia'!$S$5:$S$504,0)),RIGHT("0"&amp;DAY((A2097+1)),2)&amp;"."&amp;RIGHT("0"&amp;MONTH((A2097+1)),2)&amp;"."&amp;YEAR((A2097+1))&amp;": "&amp;INDEX('Zgłoszenia'!$H$5:$H$504,MATCH(F2097&amp;"|"&amp;(A2097+1),'Zgłoszenia'!$S$5:$S$504,0)))&amp;IF(K2097&gt;1," (+"&amp;(K2097-1)&amp;")",""))</f>
        <v/>
      </c>
      <c r="M2097" s="63" t="n">
        <v>26</v>
      </c>
      <c r="N2097" s="2" t="n"/>
      <c r="O2097" s="2" t="n"/>
    </row>
    <row r="2098">
      <c r="A2098" s="62">
        <f>IF('26'!$C$1="","",'26'!$C$1)</f>
        <v/>
      </c>
      <c r="B2098" s="63">
        <f>Ustawienia!$A$10&amp;""</f>
        <v/>
      </c>
      <c r="C2098" s="63">
        <f>Ustawienia!$A$16&amp;""</f>
        <v/>
      </c>
      <c r="D2098" s="63" t="n">
        <v>4</v>
      </c>
      <c r="E2098" s="63">
        <f>IF('26'!J25="","",TRIM('26'!J25&amp;""))</f>
        <v/>
      </c>
      <c r="F2098" s="63">
        <f>IF('26'!K25="","",'26'!K25)</f>
        <v/>
      </c>
      <c r="G2098" s="63">
        <f>'26'!L25&amp;""</f>
        <v/>
      </c>
      <c r="H2098" s="63">
        <f>IF(OR(A2098="",F2098=""),"",F2098&amp;"|"&amp;A2098)</f>
        <v/>
      </c>
      <c r="I2098" s="63">
        <f>IF(AND(H2098&lt;&gt;"",OR('Historia wózka'!$B$4="",F2098='Historia wózka'!$B$4),A2098&gt;='Historia wózka'!$B$5,A2098&lt;='Historia wózka'!$B$6),A2098+0.7+(5000-ROW())/10000000,0)</f>
        <v/>
      </c>
      <c r="J2098" s="63">
        <f>Ustawienia!$B$10&amp;""</f>
        <v/>
      </c>
      <c r="K2098" s="63">
        <f>IF(H2098="","",COUNTIFS('Zgłoszenia'!$B$5:$B$504,F2098,'Zgłoszenia'!$D$5:$D$504,"&gt;="&amp;A2098,'Zgłoszenia'!$D$5:$D$504,"&lt;="&amp;(A2098+1)))</f>
        <v/>
      </c>
      <c r="L2098" s="63">
        <f>IF(OR(H2098="",K2098=0),"—",IF(ISNUMBER(MATCH(H2098,'Zgłoszenia'!$S$5:$S$504,0)),RIGHT("0"&amp;DAY(A2098),2)&amp;"."&amp;RIGHT("0"&amp;MONTH(A2098),2)&amp;"."&amp;YEAR(A2098)&amp;": "&amp;INDEX('Zgłoszenia'!$H$5:$H$504,MATCH(H2098,'Zgłoszenia'!$S$5:$S$504,0)),RIGHT("0"&amp;DAY((A2098+1)),2)&amp;"."&amp;RIGHT("0"&amp;MONTH((A2098+1)),2)&amp;"."&amp;YEAR((A2098+1))&amp;": "&amp;INDEX('Zgłoszenia'!$H$5:$H$504,MATCH(F2098&amp;"|"&amp;(A2098+1),'Zgłoszenia'!$S$5:$S$504,0)))&amp;IF(K2098&gt;1," (+"&amp;(K2098-1)&amp;")",""))</f>
        <v/>
      </c>
      <c r="M2098" s="63" t="n">
        <v>26</v>
      </c>
      <c r="N2098" s="2" t="n"/>
      <c r="O2098" s="2" t="n"/>
    </row>
    <row r="2099">
      <c r="A2099" s="62">
        <f>IF('26'!$C$1="","",'26'!$C$1)</f>
        <v/>
      </c>
      <c r="B2099" s="63">
        <f>Ustawienia!$A$10&amp;""</f>
        <v/>
      </c>
      <c r="C2099" s="63">
        <f>Ustawienia!$A$17&amp;""</f>
        <v/>
      </c>
      <c r="D2099" s="63" t="n">
        <v>1</v>
      </c>
      <c r="E2099" s="63">
        <f>IF('26'!J27="","",TRIM('26'!J27&amp;""))</f>
        <v/>
      </c>
      <c r="F2099" s="63">
        <f>IF('26'!K27="","",'26'!K27)</f>
        <v/>
      </c>
      <c r="G2099" s="63">
        <f>'26'!L27&amp;""</f>
        <v/>
      </c>
      <c r="H2099" s="63">
        <f>IF(OR(A2099="",F2099=""),"",F2099&amp;"|"&amp;A2099)</f>
        <v/>
      </c>
      <c r="I2099" s="63">
        <f>IF(AND(H2099&lt;&gt;"",OR('Historia wózka'!$B$4="",F2099='Historia wózka'!$B$4),A2099&gt;='Historia wózka'!$B$5,A2099&lt;='Historia wózka'!$B$6),A2099+0.7+(5000-ROW())/10000000,0)</f>
        <v/>
      </c>
      <c r="J2099" s="63">
        <f>Ustawienia!$B$10&amp;""</f>
        <v/>
      </c>
      <c r="K2099" s="63">
        <f>IF(H2099="","",COUNTIFS('Zgłoszenia'!$B$5:$B$504,F2099,'Zgłoszenia'!$D$5:$D$504,"&gt;="&amp;A2099,'Zgłoszenia'!$D$5:$D$504,"&lt;="&amp;(A2099+1)))</f>
        <v/>
      </c>
      <c r="L2099" s="63">
        <f>IF(OR(H2099="",K2099=0),"—",IF(ISNUMBER(MATCH(H2099,'Zgłoszenia'!$S$5:$S$504,0)),RIGHT("0"&amp;DAY(A2099),2)&amp;"."&amp;RIGHT("0"&amp;MONTH(A2099),2)&amp;"."&amp;YEAR(A2099)&amp;": "&amp;INDEX('Zgłoszenia'!$H$5:$H$504,MATCH(H2099,'Zgłoszenia'!$S$5:$S$504,0)),RIGHT("0"&amp;DAY((A2099+1)),2)&amp;"."&amp;RIGHT("0"&amp;MONTH((A2099+1)),2)&amp;"."&amp;YEAR((A2099+1))&amp;": "&amp;INDEX('Zgłoszenia'!$H$5:$H$504,MATCH(F2099&amp;"|"&amp;(A2099+1),'Zgłoszenia'!$S$5:$S$504,0)))&amp;IF(K2099&gt;1," (+"&amp;(K2099-1)&amp;")",""))</f>
        <v/>
      </c>
      <c r="M2099" s="63" t="n">
        <v>26</v>
      </c>
      <c r="N2099" s="2" t="n"/>
      <c r="O2099" s="2" t="n"/>
    </row>
    <row r="2100">
      <c r="A2100" s="62">
        <f>IF('26'!$C$1="","",'26'!$C$1)</f>
        <v/>
      </c>
      <c r="B2100" s="63">
        <f>Ustawienia!$A$10&amp;""</f>
        <v/>
      </c>
      <c r="C2100" s="63">
        <f>Ustawienia!$A$17&amp;""</f>
        <v/>
      </c>
      <c r="D2100" s="63" t="n">
        <v>2</v>
      </c>
      <c r="E2100" s="63">
        <f>IF('26'!J28="","",TRIM('26'!J28&amp;""))</f>
        <v/>
      </c>
      <c r="F2100" s="63">
        <f>IF('26'!K28="","",'26'!K28)</f>
        <v/>
      </c>
      <c r="G2100" s="63">
        <f>'26'!L28&amp;""</f>
        <v/>
      </c>
      <c r="H2100" s="63">
        <f>IF(OR(A2100="",F2100=""),"",F2100&amp;"|"&amp;A2100)</f>
        <v/>
      </c>
      <c r="I2100" s="63">
        <f>IF(AND(H2100&lt;&gt;"",OR('Historia wózka'!$B$4="",F2100='Historia wózka'!$B$4),A2100&gt;='Historia wózka'!$B$5,A2100&lt;='Historia wózka'!$B$6),A2100+0.7+(5000-ROW())/10000000,0)</f>
        <v/>
      </c>
      <c r="J2100" s="63">
        <f>Ustawienia!$B$10&amp;""</f>
        <v/>
      </c>
      <c r="K2100" s="63">
        <f>IF(H2100="","",COUNTIFS('Zgłoszenia'!$B$5:$B$504,F2100,'Zgłoszenia'!$D$5:$D$504,"&gt;="&amp;A2100,'Zgłoszenia'!$D$5:$D$504,"&lt;="&amp;(A2100+1)))</f>
        <v/>
      </c>
      <c r="L2100" s="63">
        <f>IF(OR(H2100="",K2100=0),"—",IF(ISNUMBER(MATCH(H2100,'Zgłoszenia'!$S$5:$S$504,0)),RIGHT("0"&amp;DAY(A2100),2)&amp;"."&amp;RIGHT("0"&amp;MONTH(A2100),2)&amp;"."&amp;YEAR(A2100)&amp;": "&amp;INDEX('Zgłoszenia'!$H$5:$H$504,MATCH(H2100,'Zgłoszenia'!$S$5:$S$504,0)),RIGHT("0"&amp;DAY((A2100+1)),2)&amp;"."&amp;RIGHT("0"&amp;MONTH((A2100+1)),2)&amp;"."&amp;YEAR((A2100+1))&amp;": "&amp;INDEX('Zgłoszenia'!$H$5:$H$504,MATCH(F2100&amp;"|"&amp;(A2100+1),'Zgłoszenia'!$S$5:$S$504,0)))&amp;IF(K2100&gt;1," (+"&amp;(K2100-1)&amp;")",""))</f>
        <v/>
      </c>
      <c r="M2100" s="63" t="n">
        <v>26</v>
      </c>
      <c r="N2100" s="2" t="n"/>
      <c r="O2100" s="2" t="n"/>
    </row>
    <row r="2101">
      <c r="A2101" s="62">
        <f>IF('26'!$C$1="","",'26'!$C$1)</f>
        <v/>
      </c>
      <c r="B2101" s="63">
        <f>Ustawienia!$A$10&amp;""</f>
        <v/>
      </c>
      <c r="C2101" s="63">
        <f>Ustawienia!$A$17&amp;""</f>
        <v/>
      </c>
      <c r="D2101" s="63" t="n">
        <v>3</v>
      </c>
      <c r="E2101" s="63">
        <f>IF('26'!J29="","",TRIM('26'!J29&amp;""))</f>
        <v/>
      </c>
      <c r="F2101" s="63">
        <f>IF('26'!K29="","",'26'!K29)</f>
        <v/>
      </c>
      <c r="G2101" s="63">
        <f>'26'!L29&amp;""</f>
        <v/>
      </c>
      <c r="H2101" s="63">
        <f>IF(OR(A2101="",F2101=""),"",F2101&amp;"|"&amp;A2101)</f>
        <v/>
      </c>
      <c r="I2101" s="63">
        <f>IF(AND(H2101&lt;&gt;"",OR('Historia wózka'!$B$4="",F2101='Historia wózka'!$B$4),A2101&gt;='Historia wózka'!$B$5,A2101&lt;='Historia wózka'!$B$6),A2101+0.7+(5000-ROW())/10000000,0)</f>
        <v/>
      </c>
      <c r="J2101" s="63">
        <f>Ustawienia!$B$10&amp;""</f>
        <v/>
      </c>
      <c r="K2101" s="63">
        <f>IF(H2101="","",COUNTIFS('Zgłoszenia'!$B$5:$B$504,F2101,'Zgłoszenia'!$D$5:$D$504,"&gt;="&amp;A2101,'Zgłoszenia'!$D$5:$D$504,"&lt;="&amp;(A2101+1)))</f>
        <v/>
      </c>
      <c r="L2101" s="63">
        <f>IF(OR(H2101="",K2101=0),"—",IF(ISNUMBER(MATCH(H2101,'Zgłoszenia'!$S$5:$S$504,0)),RIGHT("0"&amp;DAY(A2101),2)&amp;"."&amp;RIGHT("0"&amp;MONTH(A2101),2)&amp;"."&amp;YEAR(A2101)&amp;": "&amp;INDEX('Zgłoszenia'!$H$5:$H$504,MATCH(H2101,'Zgłoszenia'!$S$5:$S$504,0)),RIGHT("0"&amp;DAY((A2101+1)),2)&amp;"."&amp;RIGHT("0"&amp;MONTH((A2101+1)),2)&amp;"."&amp;YEAR((A2101+1))&amp;": "&amp;INDEX('Zgłoszenia'!$H$5:$H$504,MATCH(F2101&amp;"|"&amp;(A2101+1),'Zgłoszenia'!$S$5:$S$504,0)))&amp;IF(K2101&gt;1," (+"&amp;(K2101-1)&amp;")",""))</f>
        <v/>
      </c>
      <c r="M2101" s="63" t="n">
        <v>26</v>
      </c>
      <c r="N2101" s="2" t="n"/>
      <c r="O2101" s="2" t="n"/>
    </row>
    <row r="2102">
      <c r="A2102" s="62">
        <f>IF('26'!$C$1="","",'26'!$C$1)</f>
        <v/>
      </c>
      <c r="B2102" s="63">
        <f>Ustawienia!$A$10&amp;""</f>
        <v/>
      </c>
      <c r="C2102" s="63">
        <f>Ustawienia!$A$17&amp;""</f>
        <v/>
      </c>
      <c r="D2102" s="63" t="n">
        <v>4</v>
      </c>
      <c r="E2102" s="63">
        <f>IF('26'!J30="","",TRIM('26'!J30&amp;""))</f>
        <v/>
      </c>
      <c r="F2102" s="63">
        <f>IF('26'!K30="","",'26'!K30)</f>
        <v/>
      </c>
      <c r="G2102" s="63">
        <f>'26'!L30&amp;""</f>
        <v/>
      </c>
      <c r="H2102" s="63">
        <f>IF(OR(A2102="",F2102=""),"",F2102&amp;"|"&amp;A2102)</f>
        <v/>
      </c>
      <c r="I2102" s="63">
        <f>IF(AND(H2102&lt;&gt;"",OR('Historia wózka'!$B$4="",F2102='Historia wózka'!$B$4),A2102&gt;='Historia wózka'!$B$5,A2102&lt;='Historia wózka'!$B$6),A2102+0.7+(5000-ROW())/10000000,0)</f>
        <v/>
      </c>
      <c r="J2102" s="63">
        <f>Ustawienia!$B$10&amp;""</f>
        <v/>
      </c>
      <c r="K2102" s="63">
        <f>IF(H2102="","",COUNTIFS('Zgłoszenia'!$B$5:$B$504,F2102,'Zgłoszenia'!$D$5:$D$504,"&gt;="&amp;A2102,'Zgłoszenia'!$D$5:$D$504,"&lt;="&amp;(A2102+1)))</f>
        <v/>
      </c>
      <c r="L2102" s="63">
        <f>IF(OR(H2102="",K2102=0),"—",IF(ISNUMBER(MATCH(H2102,'Zgłoszenia'!$S$5:$S$504,0)),RIGHT("0"&amp;DAY(A2102),2)&amp;"."&amp;RIGHT("0"&amp;MONTH(A2102),2)&amp;"."&amp;YEAR(A2102)&amp;": "&amp;INDEX('Zgłoszenia'!$H$5:$H$504,MATCH(H2102,'Zgłoszenia'!$S$5:$S$504,0)),RIGHT("0"&amp;DAY((A2102+1)),2)&amp;"."&amp;RIGHT("0"&amp;MONTH((A2102+1)),2)&amp;"."&amp;YEAR((A2102+1))&amp;": "&amp;INDEX('Zgłoszenia'!$H$5:$H$504,MATCH(F2102&amp;"|"&amp;(A2102+1),'Zgłoszenia'!$S$5:$S$504,0)))&amp;IF(K2102&gt;1," (+"&amp;(K2102-1)&amp;")",""))</f>
        <v/>
      </c>
      <c r="M2102" s="63" t="n">
        <v>26</v>
      </c>
      <c r="N2102" s="2" t="n"/>
      <c r="O2102" s="2" t="n"/>
    </row>
    <row r="2103">
      <c r="A2103" s="62">
        <f>IF('26'!$C$1="","",'26'!$C$1)</f>
        <v/>
      </c>
      <c r="B2103" s="63">
        <f>Ustawienia!$A$10&amp;""</f>
        <v/>
      </c>
      <c r="C2103" s="63">
        <f>Ustawienia!$A$18&amp;""</f>
        <v/>
      </c>
      <c r="D2103" s="63" t="n">
        <v>1</v>
      </c>
      <c r="E2103" s="63">
        <f>IF('26'!J32="","",TRIM('26'!J32&amp;""))</f>
        <v/>
      </c>
      <c r="F2103" s="63">
        <f>IF('26'!K32="","",'26'!K32)</f>
        <v/>
      </c>
      <c r="G2103" s="63">
        <f>'26'!L32&amp;""</f>
        <v/>
      </c>
      <c r="H2103" s="63">
        <f>IF(OR(A2103="",F2103=""),"",F2103&amp;"|"&amp;A2103)</f>
        <v/>
      </c>
      <c r="I2103" s="63">
        <f>IF(AND(H2103&lt;&gt;"",OR('Historia wózka'!$B$4="",F2103='Historia wózka'!$B$4),A2103&gt;='Historia wózka'!$B$5,A2103&lt;='Historia wózka'!$B$6),A2103+0.7+(5000-ROW())/10000000,0)</f>
        <v/>
      </c>
      <c r="J2103" s="63">
        <f>Ustawienia!$B$10&amp;""</f>
        <v/>
      </c>
      <c r="K2103" s="63">
        <f>IF(H2103="","",COUNTIFS('Zgłoszenia'!$B$5:$B$504,F2103,'Zgłoszenia'!$D$5:$D$504,"&gt;="&amp;A2103,'Zgłoszenia'!$D$5:$D$504,"&lt;="&amp;(A2103+1)))</f>
        <v/>
      </c>
      <c r="L2103" s="63">
        <f>IF(OR(H2103="",K2103=0),"—",IF(ISNUMBER(MATCH(H2103,'Zgłoszenia'!$S$5:$S$504,0)),RIGHT("0"&amp;DAY(A2103),2)&amp;"."&amp;RIGHT("0"&amp;MONTH(A2103),2)&amp;"."&amp;YEAR(A2103)&amp;": "&amp;INDEX('Zgłoszenia'!$H$5:$H$504,MATCH(H2103,'Zgłoszenia'!$S$5:$S$504,0)),RIGHT("0"&amp;DAY((A2103+1)),2)&amp;"."&amp;RIGHT("0"&amp;MONTH((A2103+1)),2)&amp;"."&amp;YEAR((A2103+1))&amp;": "&amp;INDEX('Zgłoszenia'!$H$5:$H$504,MATCH(F2103&amp;"|"&amp;(A2103+1),'Zgłoszenia'!$S$5:$S$504,0)))&amp;IF(K2103&gt;1," (+"&amp;(K2103-1)&amp;")",""))</f>
        <v/>
      </c>
      <c r="M2103" s="63" t="n">
        <v>26</v>
      </c>
      <c r="N2103" s="2" t="n"/>
      <c r="O2103" s="2" t="n"/>
    </row>
    <row r="2104">
      <c r="A2104" s="62">
        <f>IF('26'!$C$1="","",'26'!$C$1)</f>
        <v/>
      </c>
      <c r="B2104" s="63">
        <f>Ustawienia!$A$10&amp;""</f>
        <v/>
      </c>
      <c r="C2104" s="63">
        <f>Ustawienia!$A$18&amp;""</f>
        <v/>
      </c>
      <c r="D2104" s="63" t="n">
        <v>2</v>
      </c>
      <c r="E2104" s="63">
        <f>IF('26'!J33="","",TRIM('26'!J33&amp;""))</f>
        <v/>
      </c>
      <c r="F2104" s="63">
        <f>IF('26'!K33="","",'26'!K33)</f>
        <v/>
      </c>
      <c r="G2104" s="63">
        <f>'26'!L33&amp;""</f>
        <v/>
      </c>
      <c r="H2104" s="63">
        <f>IF(OR(A2104="",F2104=""),"",F2104&amp;"|"&amp;A2104)</f>
        <v/>
      </c>
      <c r="I2104" s="63">
        <f>IF(AND(H2104&lt;&gt;"",OR('Historia wózka'!$B$4="",F2104='Historia wózka'!$B$4),A2104&gt;='Historia wózka'!$B$5,A2104&lt;='Historia wózka'!$B$6),A2104+0.7+(5000-ROW())/10000000,0)</f>
        <v/>
      </c>
      <c r="J2104" s="63">
        <f>Ustawienia!$B$10&amp;""</f>
        <v/>
      </c>
      <c r="K2104" s="63">
        <f>IF(H2104="","",COUNTIFS('Zgłoszenia'!$B$5:$B$504,F2104,'Zgłoszenia'!$D$5:$D$504,"&gt;="&amp;A2104,'Zgłoszenia'!$D$5:$D$504,"&lt;="&amp;(A2104+1)))</f>
        <v/>
      </c>
      <c r="L2104" s="63">
        <f>IF(OR(H2104="",K2104=0),"—",IF(ISNUMBER(MATCH(H2104,'Zgłoszenia'!$S$5:$S$504,0)),RIGHT("0"&amp;DAY(A2104),2)&amp;"."&amp;RIGHT("0"&amp;MONTH(A2104),2)&amp;"."&amp;YEAR(A2104)&amp;": "&amp;INDEX('Zgłoszenia'!$H$5:$H$504,MATCH(H2104,'Zgłoszenia'!$S$5:$S$504,0)),RIGHT("0"&amp;DAY((A2104+1)),2)&amp;"."&amp;RIGHT("0"&amp;MONTH((A2104+1)),2)&amp;"."&amp;YEAR((A2104+1))&amp;": "&amp;INDEX('Zgłoszenia'!$H$5:$H$504,MATCH(F2104&amp;"|"&amp;(A2104+1),'Zgłoszenia'!$S$5:$S$504,0)))&amp;IF(K2104&gt;1," (+"&amp;(K2104-1)&amp;")",""))</f>
        <v/>
      </c>
      <c r="M2104" s="63" t="n">
        <v>26</v>
      </c>
      <c r="N2104" s="2" t="n"/>
      <c r="O2104" s="2" t="n"/>
    </row>
    <row r="2105">
      <c r="A2105" s="62">
        <f>IF('26'!$C$1="","",'26'!$C$1)</f>
        <v/>
      </c>
      <c r="B2105" s="63">
        <f>Ustawienia!$A$10&amp;""</f>
        <v/>
      </c>
      <c r="C2105" s="63">
        <f>Ustawienia!$A$18&amp;""</f>
        <v/>
      </c>
      <c r="D2105" s="63" t="n">
        <v>3</v>
      </c>
      <c r="E2105" s="63">
        <f>IF('26'!J34="","",TRIM('26'!J34&amp;""))</f>
        <v/>
      </c>
      <c r="F2105" s="63">
        <f>IF('26'!K34="","",'26'!K34)</f>
        <v/>
      </c>
      <c r="G2105" s="63">
        <f>'26'!L34&amp;""</f>
        <v/>
      </c>
      <c r="H2105" s="63">
        <f>IF(OR(A2105="",F2105=""),"",F2105&amp;"|"&amp;A2105)</f>
        <v/>
      </c>
      <c r="I2105" s="63">
        <f>IF(AND(H2105&lt;&gt;"",OR('Historia wózka'!$B$4="",F2105='Historia wózka'!$B$4),A2105&gt;='Historia wózka'!$B$5,A2105&lt;='Historia wózka'!$B$6),A2105+0.7+(5000-ROW())/10000000,0)</f>
        <v/>
      </c>
      <c r="J2105" s="63">
        <f>Ustawienia!$B$10&amp;""</f>
        <v/>
      </c>
      <c r="K2105" s="63">
        <f>IF(H2105="","",COUNTIFS('Zgłoszenia'!$B$5:$B$504,F2105,'Zgłoszenia'!$D$5:$D$504,"&gt;="&amp;A2105,'Zgłoszenia'!$D$5:$D$504,"&lt;="&amp;(A2105+1)))</f>
        <v/>
      </c>
      <c r="L2105" s="63">
        <f>IF(OR(H2105="",K2105=0),"—",IF(ISNUMBER(MATCH(H2105,'Zgłoszenia'!$S$5:$S$504,0)),RIGHT("0"&amp;DAY(A2105),2)&amp;"."&amp;RIGHT("0"&amp;MONTH(A2105),2)&amp;"."&amp;YEAR(A2105)&amp;": "&amp;INDEX('Zgłoszenia'!$H$5:$H$504,MATCH(H2105,'Zgłoszenia'!$S$5:$S$504,0)),RIGHT("0"&amp;DAY((A2105+1)),2)&amp;"."&amp;RIGHT("0"&amp;MONTH((A2105+1)),2)&amp;"."&amp;YEAR((A2105+1))&amp;": "&amp;INDEX('Zgłoszenia'!$H$5:$H$504,MATCH(F2105&amp;"|"&amp;(A2105+1),'Zgłoszenia'!$S$5:$S$504,0)))&amp;IF(K2105&gt;1," (+"&amp;(K2105-1)&amp;")",""))</f>
        <v/>
      </c>
      <c r="M2105" s="63" t="n">
        <v>26</v>
      </c>
      <c r="N2105" s="2" t="n"/>
      <c r="O2105" s="2" t="n"/>
    </row>
    <row r="2106">
      <c r="A2106" s="62">
        <f>IF('26'!$C$1="","",'26'!$C$1)</f>
        <v/>
      </c>
      <c r="B2106" s="63">
        <f>Ustawienia!$A$10&amp;""</f>
        <v/>
      </c>
      <c r="C2106" s="63">
        <f>Ustawienia!$A$18&amp;""</f>
        <v/>
      </c>
      <c r="D2106" s="63" t="n">
        <v>4</v>
      </c>
      <c r="E2106" s="63">
        <f>IF('26'!J35="","",TRIM('26'!J35&amp;""))</f>
        <v/>
      </c>
      <c r="F2106" s="63">
        <f>IF('26'!K35="","",'26'!K35)</f>
        <v/>
      </c>
      <c r="G2106" s="63">
        <f>'26'!L35&amp;""</f>
        <v/>
      </c>
      <c r="H2106" s="63">
        <f>IF(OR(A2106="",F2106=""),"",F2106&amp;"|"&amp;A2106)</f>
        <v/>
      </c>
      <c r="I2106" s="63">
        <f>IF(AND(H2106&lt;&gt;"",OR('Historia wózka'!$B$4="",F2106='Historia wózka'!$B$4),A2106&gt;='Historia wózka'!$B$5,A2106&lt;='Historia wózka'!$B$6),A2106+0.7+(5000-ROW())/10000000,0)</f>
        <v/>
      </c>
      <c r="J2106" s="63">
        <f>Ustawienia!$B$10&amp;""</f>
        <v/>
      </c>
      <c r="K2106" s="63">
        <f>IF(H2106="","",COUNTIFS('Zgłoszenia'!$B$5:$B$504,F2106,'Zgłoszenia'!$D$5:$D$504,"&gt;="&amp;A2106,'Zgłoszenia'!$D$5:$D$504,"&lt;="&amp;(A2106+1)))</f>
        <v/>
      </c>
      <c r="L2106" s="63">
        <f>IF(OR(H2106="",K2106=0),"—",IF(ISNUMBER(MATCH(H2106,'Zgłoszenia'!$S$5:$S$504,0)),RIGHT("0"&amp;DAY(A2106),2)&amp;"."&amp;RIGHT("0"&amp;MONTH(A2106),2)&amp;"."&amp;YEAR(A2106)&amp;": "&amp;INDEX('Zgłoszenia'!$H$5:$H$504,MATCH(H2106,'Zgłoszenia'!$S$5:$S$504,0)),RIGHT("0"&amp;DAY((A2106+1)),2)&amp;"."&amp;RIGHT("0"&amp;MONTH((A2106+1)),2)&amp;"."&amp;YEAR((A2106+1))&amp;": "&amp;INDEX('Zgłoszenia'!$H$5:$H$504,MATCH(F2106&amp;"|"&amp;(A2106+1),'Zgłoszenia'!$S$5:$S$504,0)))&amp;IF(K2106&gt;1," (+"&amp;(K2106-1)&amp;")",""))</f>
        <v/>
      </c>
      <c r="M2106" s="63" t="n">
        <v>26</v>
      </c>
      <c r="N2106" s="2" t="n"/>
      <c r="O2106" s="2" t="n"/>
    </row>
    <row r="2107">
      <c r="A2107" s="62">
        <f>IF('26'!$C$1="","",'26'!$C$1)</f>
        <v/>
      </c>
      <c r="B2107" s="63">
        <f>Ustawienia!$A$10&amp;""</f>
        <v/>
      </c>
      <c r="C2107" s="63">
        <f>Ustawienia!$A$18&amp;""</f>
        <v/>
      </c>
      <c r="D2107" s="63" t="n">
        <v>5</v>
      </c>
      <c r="E2107" s="63">
        <f>IF('26'!J36="","",TRIM('26'!J36&amp;""))</f>
        <v/>
      </c>
      <c r="F2107" s="63">
        <f>IF('26'!K36="","",'26'!K36)</f>
        <v/>
      </c>
      <c r="G2107" s="63">
        <f>'26'!L36&amp;""</f>
        <v/>
      </c>
      <c r="H2107" s="63">
        <f>IF(OR(A2107="",F2107=""),"",F2107&amp;"|"&amp;A2107)</f>
        <v/>
      </c>
      <c r="I2107" s="63">
        <f>IF(AND(H2107&lt;&gt;"",OR('Historia wózka'!$B$4="",F2107='Historia wózka'!$B$4),A2107&gt;='Historia wózka'!$B$5,A2107&lt;='Historia wózka'!$B$6),A2107+0.7+(5000-ROW())/10000000,0)</f>
        <v/>
      </c>
      <c r="J2107" s="63">
        <f>Ustawienia!$B$10&amp;""</f>
        <v/>
      </c>
      <c r="K2107" s="63">
        <f>IF(H2107="","",COUNTIFS('Zgłoszenia'!$B$5:$B$504,F2107,'Zgłoszenia'!$D$5:$D$504,"&gt;="&amp;A2107,'Zgłoszenia'!$D$5:$D$504,"&lt;="&amp;(A2107+1)))</f>
        <v/>
      </c>
      <c r="L2107" s="63">
        <f>IF(OR(H2107="",K2107=0),"—",IF(ISNUMBER(MATCH(H2107,'Zgłoszenia'!$S$5:$S$504,0)),RIGHT("0"&amp;DAY(A2107),2)&amp;"."&amp;RIGHT("0"&amp;MONTH(A2107),2)&amp;"."&amp;YEAR(A2107)&amp;": "&amp;INDEX('Zgłoszenia'!$H$5:$H$504,MATCH(H2107,'Zgłoszenia'!$S$5:$S$504,0)),RIGHT("0"&amp;DAY((A2107+1)),2)&amp;"."&amp;RIGHT("0"&amp;MONTH((A2107+1)),2)&amp;"."&amp;YEAR((A2107+1))&amp;": "&amp;INDEX('Zgłoszenia'!$H$5:$H$504,MATCH(F2107&amp;"|"&amp;(A2107+1),'Zgłoszenia'!$S$5:$S$504,0)))&amp;IF(K2107&gt;1," (+"&amp;(K2107-1)&amp;")",""))</f>
        <v/>
      </c>
      <c r="M2107" s="63" t="n">
        <v>26</v>
      </c>
      <c r="N2107" s="2" t="n"/>
      <c r="O2107" s="2" t="n"/>
    </row>
    <row r="2108">
      <c r="A2108" s="62">
        <f>IF('27'!$C$1="","",'27'!$C$1)</f>
        <v/>
      </c>
      <c r="B2108" s="63">
        <f>Ustawienia!$A$8&amp;""</f>
        <v/>
      </c>
      <c r="C2108" s="63">
        <f>Ustawienia!$A$14&amp;""</f>
        <v/>
      </c>
      <c r="D2108" s="63" t="n">
        <v>1</v>
      </c>
      <c r="E2108" s="63">
        <f>IF('27'!B6="","",TRIM('27'!B6&amp;""))</f>
        <v/>
      </c>
      <c r="F2108" s="63">
        <f>IF('27'!C6="","",'27'!C6)</f>
        <v/>
      </c>
      <c r="G2108" s="63">
        <f>'27'!D6&amp;""</f>
        <v/>
      </c>
      <c r="H2108" s="63">
        <f>IF(OR(A2108="",F2108=""),"",F2108&amp;"|"&amp;A2108)</f>
        <v/>
      </c>
      <c r="I2108" s="63">
        <f>IF(AND(H2108&lt;&gt;"",OR('Historia wózka'!$B$4="",F2108='Historia wózka'!$B$4),A2108&gt;='Historia wózka'!$B$5,A2108&lt;='Historia wózka'!$B$6),A2108+0.9+(5000-ROW())/10000000,0)</f>
        <v/>
      </c>
      <c r="J2108" s="63">
        <f>Ustawienia!$B$8&amp;""</f>
        <v/>
      </c>
      <c r="K2108" s="63">
        <f>IF(H2108="","",COUNTIFS('Zgłoszenia'!$B$5:$B$504,F2108,'Zgłoszenia'!$D$5:$D$504,"&gt;="&amp;A2108,'Zgłoszenia'!$D$5:$D$504,"&lt;="&amp;(A2108+1)))</f>
        <v/>
      </c>
      <c r="L2108" s="63">
        <f>IF(OR(H2108="",K2108=0),"—",IF(ISNUMBER(MATCH(H2108,'Zgłoszenia'!$S$5:$S$504,0)),RIGHT("0"&amp;DAY(A2108),2)&amp;"."&amp;RIGHT("0"&amp;MONTH(A2108),2)&amp;"."&amp;YEAR(A2108)&amp;": "&amp;INDEX('Zgłoszenia'!$H$5:$H$504,MATCH(H2108,'Zgłoszenia'!$S$5:$S$504,0)),RIGHT("0"&amp;DAY((A2108+1)),2)&amp;"."&amp;RIGHT("0"&amp;MONTH((A2108+1)),2)&amp;"."&amp;YEAR((A2108+1))&amp;": "&amp;INDEX('Zgłoszenia'!$H$5:$H$504,MATCH(F2108&amp;"|"&amp;(A2108+1),'Zgłoszenia'!$S$5:$S$504,0)))&amp;IF(K2108&gt;1," (+"&amp;(K2108-1)&amp;")",""))</f>
        <v/>
      </c>
      <c r="M2108" s="63" t="n">
        <v>27</v>
      </c>
      <c r="N2108" s="2" t="n"/>
      <c r="O2108" s="2" t="n"/>
    </row>
    <row r="2109">
      <c r="A2109" s="62">
        <f>IF('27'!$C$1="","",'27'!$C$1)</f>
        <v/>
      </c>
      <c r="B2109" s="63">
        <f>Ustawienia!$A$8&amp;""</f>
        <v/>
      </c>
      <c r="C2109" s="63">
        <f>Ustawienia!$A$14&amp;""</f>
        <v/>
      </c>
      <c r="D2109" s="63" t="n">
        <v>2</v>
      </c>
      <c r="E2109" s="63">
        <f>IF('27'!B7="","",TRIM('27'!B7&amp;""))</f>
        <v/>
      </c>
      <c r="F2109" s="63">
        <f>IF('27'!C7="","",'27'!C7)</f>
        <v/>
      </c>
      <c r="G2109" s="63">
        <f>'27'!D7&amp;""</f>
        <v/>
      </c>
      <c r="H2109" s="63">
        <f>IF(OR(A2109="",F2109=""),"",F2109&amp;"|"&amp;A2109)</f>
        <v/>
      </c>
      <c r="I2109" s="63">
        <f>IF(AND(H2109&lt;&gt;"",OR('Historia wózka'!$B$4="",F2109='Historia wózka'!$B$4),A2109&gt;='Historia wózka'!$B$5,A2109&lt;='Historia wózka'!$B$6),A2109+0.9+(5000-ROW())/10000000,0)</f>
        <v/>
      </c>
      <c r="J2109" s="63">
        <f>Ustawienia!$B$8&amp;""</f>
        <v/>
      </c>
      <c r="K2109" s="63">
        <f>IF(H2109="","",COUNTIFS('Zgłoszenia'!$B$5:$B$504,F2109,'Zgłoszenia'!$D$5:$D$504,"&gt;="&amp;A2109,'Zgłoszenia'!$D$5:$D$504,"&lt;="&amp;(A2109+1)))</f>
        <v/>
      </c>
      <c r="L2109" s="63">
        <f>IF(OR(H2109="",K2109=0),"—",IF(ISNUMBER(MATCH(H2109,'Zgłoszenia'!$S$5:$S$504,0)),RIGHT("0"&amp;DAY(A2109),2)&amp;"."&amp;RIGHT("0"&amp;MONTH(A2109),2)&amp;"."&amp;YEAR(A2109)&amp;": "&amp;INDEX('Zgłoszenia'!$H$5:$H$504,MATCH(H2109,'Zgłoszenia'!$S$5:$S$504,0)),RIGHT("0"&amp;DAY((A2109+1)),2)&amp;"."&amp;RIGHT("0"&amp;MONTH((A2109+1)),2)&amp;"."&amp;YEAR((A2109+1))&amp;": "&amp;INDEX('Zgłoszenia'!$H$5:$H$504,MATCH(F2109&amp;"|"&amp;(A2109+1),'Zgłoszenia'!$S$5:$S$504,0)))&amp;IF(K2109&gt;1," (+"&amp;(K2109-1)&amp;")",""))</f>
        <v/>
      </c>
      <c r="M2109" s="63" t="n">
        <v>27</v>
      </c>
      <c r="N2109" s="2" t="n"/>
      <c r="O2109" s="2" t="n"/>
    </row>
    <row r="2110">
      <c r="A2110" s="62">
        <f>IF('27'!$C$1="","",'27'!$C$1)</f>
        <v/>
      </c>
      <c r="B2110" s="63">
        <f>Ustawienia!$A$8&amp;""</f>
        <v/>
      </c>
      <c r="C2110" s="63">
        <f>Ustawienia!$A$14&amp;""</f>
        <v/>
      </c>
      <c r="D2110" s="63" t="n">
        <v>3</v>
      </c>
      <c r="E2110" s="63">
        <f>IF('27'!B8="","",TRIM('27'!B8&amp;""))</f>
        <v/>
      </c>
      <c r="F2110" s="63">
        <f>IF('27'!C8="","",'27'!C8)</f>
        <v/>
      </c>
      <c r="G2110" s="63">
        <f>'27'!D8&amp;""</f>
        <v/>
      </c>
      <c r="H2110" s="63">
        <f>IF(OR(A2110="",F2110=""),"",F2110&amp;"|"&amp;A2110)</f>
        <v/>
      </c>
      <c r="I2110" s="63">
        <f>IF(AND(H2110&lt;&gt;"",OR('Historia wózka'!$B$4="",F2110='Historia wózka'!$B$4),A2110&gt;='Historia wózka'!$B$5,A2110&lt;='Historia wózka'!$B$6),A2110+0.9+(5000-ROW())/10000000,0)</f>
        <v/>
      </c>
      <c r="J2110" s="63">
        <f>Ustawienia!$B$8&amp;""</f>
        <v/>
      </c>
      <c r="K2110" s="63">
        <f>IF(H2110="","",COUNTIFS('Zgłoszenia'!$B$5:$B$504,F2110,'Zgłoszenia'!$D$5:$D$504,"&gt;="&amp;A2110,'Zgłoszenia'!$D$5:$D$504,"&lt;="&amp;(A2110+1)))</f>
        <v/>
      </c>
      <c r="L2110" s="63">
        <f>IF(OR(H2110="",K2110=0),"—",IF(ISNUMBER(MATCH(H2110,'Zgłoszenia'!$S$5:$S$504,0)),RIGHT("0"&amp;DAY(A2110),2)&amp;"."&amp;RIGHT("0"&amp;MONTH(A2110),2)&amp;"."&amp;YEAR(A2110)&amp;": "&amp;INDEX('Zgłoszenia'!$H$5:$H$504,MATCH(H2110,'Zgłoszenia'!$S$5:$S$504,0)),RIGHT("0"&amp;DAY((A2110+1)),2)&amp;"."&amp;RIGHT("0"&amp;MONTH((A2110+1)),2)&amp;"."&amp;YEAR((A2110+1))&amp;": "&amp;INDEX('Zgłoszenia'!$H$5:$H$504,MATCH(F2110&amp;"|"&amp;(A2110+1),'Zgłoszenia'!$S$5:$S$504,0)))&amp;IF(K2110&gt;1," (+"&amp;(K2110-1)&amp;")",""))</f>
        <v/>
      </c>
      <c r="M2110" s="63" t="n">
        <v>27</v>
      </c>
      <c r="N2110" s="2" t="n"/>
      <c r="O2110" s="2" t="n"/>
    </row>
    <row r="2111">
      <c r="A2111" s="62">
        <f>IF('27'!$C$1="","",'27'!$C$1)</f>
        <v/>
      </c>
      <c r="B2111" s="63">
        <f>Ustawienia!$A$8&amp;""</f>
        <v/>
      </c>
      <c r="C2111" s="63">
        <f>Ustawienia!$A$14&amp;""</f>
        <v/>
      </c>
      <c r="D2111" s="63" t="n">
        <v>4</v>
      </c>
      <c r="E2111" s="63">
        <f>IF('27'!B9="","",TRIM('27'!B9&amp;""))</f>
        <v/>
      </c>
      <c r="F2111" s="63">
        <f>IF('27'!C9="","",'27'!C9)</f>
        <v/>
      </c>
      <c r="G2111" s="63">
        <f>'27'!D9&amp;""</f>
        <v/>
      </c>
      <c r="H2111" s="63">
        <f>IF(OR(A2111="",F2111=""),"",F2111&amp;"|"&amp;A2111)</f>
        <v/>
      </c>
      <c r="I2111" s="63">
        <f>IF(AND(H2111&lt;&gt;"",OR('Historia wózka'!$B$4="",F2111='Historia wózka'!$B$4),A2111&gt;='Historia wózka'!$B$5,A2111&lt;='Historia wózka'!$B$6),A2111+0.9+(5000-ROW())/10000000,0)</f>
        <v/>
      </c>
      <c r="J2111" s="63">
        <f>Ustawienia!$B$8&amp;""</f>
        <v/>
      </c>
      <c r="K2111" s="63">
        <f>IF(H2111="","",COUNTIFS('Zgłoszenia'!$B$5:$B$504,F2111,'Zgłoszenia'!$D$5:$D$504,"&gt;="&amp;A2111,'Zgłoszenia'!$D$5:$D$504,"&lt;="&amp;(A2111+1)))</f>
        <v/>
      </c>
      <c r="L2111" s="63">
        <f>IF(OR(H2111="",K2111=0),"—",IF(ISNUMBER(MATCH(H2111,'Zgłoszenia'!$S$5:$S$504,0)),RIGHT("0"&amp;DAY(A2111),2)&amp;"."&amp;RIGHT("0"&amp;MONTH(A2111),2)&amp;"."&amp;YEAR(A2111)&amp;": "&amp;INDEX('Zgłoszenia'!$H$5:$H$504,MATCH(H2111,'Zgłoszenia'!$S$5:$S$504,0)),RIGHT("0"&amp;DAY((A2111+1)),2)&amp;"."&amp;RIGHT("0"&amp;MONTH((A2111+1)),2)&amp;"."&amp;YEAR((A2111+1))&amp;": "&amp;INDEX('Zgłoszenia'!$H$5:$H$504,MATCH(F2111&amp;"|"&amp;(A2111+1),'Zgłoszenia'!$S$5:$S$504,0)))&amp;IF(K2111&gt;1," (+"&amp;(K2111-1)&amp;")",""))</f>
        <v/>
      </c>
      <c r="M2111" s="63" t="n">
        <v>27</v>
      </c>
      <c r="N2111" s="2" t="n"/>
      <c r="O2111" s="2" t="n"/>
    </row>
    <row r="2112">
      <c r="A2112" s="62">
        <f>IF('27'!$C$1="","",'27'!$C$1)</f>
        <v/>
      </c>
      <c r="B2112" s="63">
        <f>Ustawienia!$A$8&amp;""</f>
        <v/>
      </c>
      <c r="C2112" s="63">
        <f>Ustawienia!$A$14&amp;""</f>
        <v/>
      </c>
      <c r="D2112" s="63" t="n">
        <v>5</v>
      </c>
      <c r="E2112" s="63">
        <f>IF('27'!B10="","",TRIM('27'!B10&amp;""))</f>
        <v/>
      </c>
      <c r="F2112" s="63">
        <f>IF('27'!C10="","",'27'!C10)</f>
        <v/>
      </c>
      <c r="G2112" s="63">
        <f>'27'!D10&amp;""</f>
        <v/>
      </c>
      <c r="H2112" s="63">
        <f>IF(OR(A2112="",F2112=""),"",F2112&amp;"|"&amp;A2112)</f>
        <v/>
      </c>
      <c r="I2112" s="63">
        <f>IF(AND(H2112&lt;&gt;"",OR('Historia wózka'!$B$4="",F2112='Historia wózka'!$B$4),A2112&gt;='Historia wózka'!$B$5,A2112&lt;='Historia wózka'!$B$6),A2112+0.9+(5000-ROW())/10000000,0)</f>
        <v/>
      </c>
      <c r="J2112" s="63">
        <f>Ustawienia!$B$8&amp;""</f>
        <v/>
      </c>
      <c r="K2112" s="63">
        <f>IF(H2112="","",COUNTIFS('Zgłoszenia'!$B$5:$B$504,F2112,'Zgłoszenia'!$D$5:$D$504,"&gt;="&amp;A2112,'Zgłoszenia'!$D$5:$D$504,"&lt;="&amp;(A2112+1)))</f>
        <v/>
      </c>
      <c r="L2112" s="63">
        <f>IF(OR(H2112="",K2112=0),"—",IF(ISNUMBER(MATCH(H2112,'Zgłoszenia'!$S$5:$S$504,0)),RIGHT("0"&amp;DAY(A2112),2)&amp;"."&amp;RIGHT("0"&amp;MONTH(A2112),2)&amp;"."&amp;YEAR(A2112)&amp;": "&amp;INDEX('Zgłoszenia'!$H$5:$H$504,MATCH(H2112,'Zgłoszenia'!$S$5:$S$504,0)),RIGHT("0"&amp;DAY((A2112+1)),2)&amp;"."&amp;RIGHT("0"&amp;MONTH((A2112+1)),2)&amp;"."&amp;YEAR((A2112+1))&amp;": "&amp;INDEX('Zgłoszenia'!$H$5:$H$504,MATCH(F2112&amp;"|"&amp;(A2112+1),'Zgłoszenia'!$S$5:$S$504,0)))&amp;IF(K2112&gt;1," (+"&amp;(K2112-1)&amp;")",""))</f>
        <v/>
      </c>
      <c r="M2112" s="63" t="n">
        <v>27</v>
      </c>
      <c r="N2112" s="2" t="n"/>
      <c r="O2112" s="2" t="n"/>
    </row>
    <row r="2113">
      <c r="A2113" s="62">
        <f>IF('27'!$C$1="","",'27'!$C$1)</f>
        <v/>
      </c>
      <c r="B2113" s="63">
        <f>Ustawienia!$A$8&amp;""</f>
        <v/>
      </c>
      <c r="C2113" s="63">
        <f>Ustawienia!$A$14&amp;""</f>
        <v/>
      </c>
      <c r="D2113" s="63" t="n">
        <v>6</v>
      </c>
      <c r="E2113" s="63">
        <f>IF('27'!B11="","",TRIM('27'!B11&amp;""))</f>
        <v/>
      </c>
      <c r="F2113" s="63">
        <f>IF('27'!C11="","",'27'!C11)</f>
        <v/>
      </c>
      <c r="G2113" s="63">
        <f>'27'!D11&amp;""</f>
        <v/>
      </c>
      <c r="H2113" s="63">
        <f>IF(OR(A2113="",F2113=""),"",F2113&amp;"|"&amp;A2113)</f>
        <v/>
      </c>
      <c r="I2113" s="63">
        <f>IF(AND(H2113&lt;&gt;"",OR('Historia wózka'!$B$4="",F2113='Historia wózka'!$B$4),A2113&gt;='Historia wózka'!$B$5,A2113&lt;='Historia wózka'!$B$6),A2113+0.9+(5000-ROW())/10000000,0)</f>
        <v/>
      </c>
      <c r="J2113" s="63">
        <f>Ustawienia!$B$8&amp;""</f>
        <v/>
      </c>
      <c r="K2113" s="63">
        <f>IF(H2113="","",COUNTIFS('Zgłoszenia'!$B$5:$B$504,F2113,'Zgłoszenia'!$D$5:$D$504,"&gt;="&amp;A2113,'Zgłoszenia'!$D$5:$D$504,"&lt;="&amp;(A2113+1)))</f>
        <v/>
      </c>
      <c r="L2113" s="63">
        <f>IF(OR(H2113="",K2113=0),"—",IF(ISNUMBER(MATCH(H2113,'Zgłoszenia'!$S$5:$S$504,0)),RIGHT("0"&amp;DAY(A2113),2)&amp;"."&amp;RIGHT("0"&amp;MONTH(A2113),2)&amp;"."&amp;YEAR(A2113)&amp;": "&amp;INDEX('Zgłoszenia'!$H$5:$H$504,MATCH(H2113,'Zgłoszenia'!$S$5:$S$504,0)),RIGHT("0"&amp;DAY((A2113+1)),2)&amp;"."&amp;RIGHT("0"&amp;MONTH((A2113+1)),2)&amp;"."&amp;YEAR((A2113+1))&amp;": "&amp;INDEX('Zgłoszenia'!$H$5:$H$504,MATCH(F2113&amp;"|"&amp;(A2113+1),'Zgłoszenia'!$S$5:$S$504,0)))&amp;IF(K2113&gt;1," (+"&amp;(K2113-1)&amp;")",""))</f>
        <v/>
      </c>
      <c r="M2113" s="63" t="n">
        <v>27</v>
      </c>
      <c r="N2113" s="2" t="n"/>
      <c r="O2113" s="2" t="n"/>
    </row>
    <row r="2114">
      <c r="A2114" s="62">
        <f>IF('27'!$C$1="","",'27'!$C$1)</f>
        <v/>
      </c>
      <c r="B2114" s="63">
        <f>Ustawienia!$A$8&amp;""</f>
        <v/>
      </c>
      <c r="C2114" s="63">
        <f>Ustawienia!$A$15&amp;""</f>
        <v/>
      </c>
      <c r="D2114" s="63" t="n">
        <v>1</v>
      </c>
      <c r="E2114" s="63">
        <f>IF('27'!B13="","",TRIM('27'!B13&amp;""))</f>
        <v/>
      </c>
      <c r="F2114" s="63">
        <f>IF('27'!C13="","",'27'!C13)</f>
        <v/>
      </c>
      <c r="G2114" s="63">
        <f>'27'!D13&amp;""</f>
        <v/>
      </c>
      <c r="H2114" s="63">
        <f>IF(OR(A2114="",F2114=""),"",F2114&amp;"|"&amp;A2114)</f>
        <v/>
      </c>
      <c r="I2114" s="63">
        <f>IF(AND(H2114&lt;&gt;"",OR('Historia wózka'!$B$4="",F2114='Historia wózka'!$B$4),A2114&gt;='Historia wózka'!$B$5,A2114&lt;='Historia wózka'!$B$6),A2114+0.9+(5000-ROW())/10000000,0)</f>
        <v/>
      </c>
      <c r="J2114" s="63">
        <f>Ustawienia!$B$8&amp;""</f>
        <v/>
      </c>
      <c r="K2114" s="63">
        <f>IF(H2114="","",COUNTIFS('Zgłoszenia'!$B$5:$B$504,F2114,'Zgłoszenia'!$D$5:$D$504,"&gt;="&amp;A2114,'Zgłoszenia'!$D$5:$D$504,"&lt;="&amp;(A2114+1)))</f>
        <v/>
      </c>
      <c r="L2114" s="63">
        <f>IF(OR(H2114="",K2114=0),"—",IF(ISNUMBER(MATCH(H2114,'Zgłoszenia'!$S$5:$S$504,0)),RIGHT("0"&amp;DAY(A2114),2)&amp;"."&amp;RIGHT("0"&amp;MONTH(A2114),2)&amp;"."&amp;YEAR(A2114)&amp;": "&amp;INDEX('Zgłoszenia'!$H$5:$H$504,MATCH(H2114,'Zgłoszenia'!$S$5:$S$504,0)),RIGHT("0"&amp;DAY((A2114+1)),2)&amp;"."&amp;RIGHT("0"&amp;MONTH((A2114+1)),2)&amp;"."&amp;YEAR((A2114+1))&amp;": "&amp;INDEX('Zgłoszenia'!$H$5:$H$504,MATCH(F2114&amp;"|"&amp;(A2114+1),'Zgłoszenia'!$S$5:$S$504,0)))&amp;IF(K2114&gt;1," (+"&amp;(K2114-1)&amp;")",""))</f>
        <v/>
      </c>
      <c r="M2114" s="63" t="n">
        <v>27</v>
      </c>
      <c r="N2114" s="2" t="n"/>
      <c r="O2114" s="2" t="n"/>
    </row>
    <row r="2115">
      <c r="A2115" s="62">
        <f>IF('27'!$C$1="","",'27'!$C$1)</f>
        <v/>
      </c>
      <c r="B2115" s="63">
        <f>Ustawienia!$A$8&amp;""</f>
        <v/>
      </c>
      <c r="C2115" s="63">
        <f>Ustawienia!$A$15&amp;""</f>
        <v/>
      </c>
      <c r="D2115" s="63" t="n">
        <v>2</v>
      </c>
      <c r="E2115" s="63">
        <f>IF('27'!B14="","",TRIM('27'!B14&amp;""))</f>
        <v/>
      </c>
      <c r="F2115" s="63">
        <f>IF('27'!C14="","",'27'!C14)</f>
        <v/>
      </c>
      <c r="G2115" s="63">
        <f>'27'!D14&amp;""</f>
        <v/>
      </c>
      <c r="H2115" s="63">
        <f>IF(OR(A2115="",F2115=""),"",F2115&amp;"|"&amp;A2115)</f>
        <v/>
      </c>
      <c r="I2115" s="63">
        <f>IF(AND(H2115&lt;&gt;"",OR('Historia wózka'!$B$4="",F2115='Historia wózka'!$B$4),A2115&gt;='Historia wózka'!$B$5,A2115&lt;='Historia wózka'!$B$6),A2115+0.9+(5000-ROW())/10000000,0)</f>
        <v/>
      </c>
      <c r="J2115" s="63">
        <f>Ustawienia!$B$8&amp;""</f>
        <v/>
      </c>
      <c r="K2115" s="63">
        <f>IF(H2115="","",COUNTIFS('Zgłoszenia'!$B$5:$B$504,F2115,'Zgłoszenia'!$D$5:$D$504,"&gt;="&amp;A2115,'Zgłoszenia'!$D$5:$D$504,"&lt;="&amp;(A2115+1)))</f>
        <v/>
      </c>
      <c r="L2115" s="63">
        <f>IF(OR(H2115="",K2115=0),"—",IF(ISNUMBER(MATCH(H2115,'Zgłoszenia'!$S$5:$S$504,0)),RIGHT("0"&amp;DAY(A2115),2)&amp;"."&amp;RIGHT("0"&amp;MONTH(A2115),2)&amp;"."&amp;YEAR(A2115)&amp;": "&amp;INDEX('Zgłoszenia'!$H$5:$H$504,MATCH(H2115,'Zgłoszenia'!$S$5:$S$504,0)),RIGHT("0"&amp;DAY((A2115+1)),2)&amp;"."&amp;RIGHT("0"&amp;MONTH((A2115+1)),2)&amp;"."&amp;YEAR((A2115+1))&amp;": "&amp;INDEX('Zgłoszenia'!$H$5:$H$504,MATCH(F2115&amp;"|"&amp;(A2115+1),'Zgłoszenia'!$S$5:$S$504,0)))&amp;IF(K2115&gt;1," (+"&amp;(K2115-1)&amp;")",""))</f>
        <v/>
      </c>
      <c r="M2115" s="63" t="n">
        <v>27</v>
      </c>
      <c r="N2115" s="2" t="n"/>
      <c r="O2115" s="2" t="n"/>
    </row>
    <row r="2116">
      <c r="A2116" s="62">
        <f>IF('27'!$C$1="","",'27'!$C$1)</f>
        <v/>
      </c>
      <c r="B2116" s="63">
        <f>Ustawienia!$A$8&amp;""</f>
        <v/>
      </c>
      <c r="C2116" s="63">
        <f>Ustawienia!$A$15&amp;""</f>
        <v/>
      </c>
      <c r="D2116" s="63" t="n">
        <v>3</v>
      </c>
      <c r="E2116" s="63">
        <f>IF('27'!B15="","",TRIM('27'!B15&amp;""))</f>
        <v/>
      </c>
      <c r="F2116" s="63">
        <f>IF('27'!C15="","",'27'!C15)</f>
        <v/>
      </c>
      <c r="G2116" s="63">
        <f>'27'!D15&amp;""</f>
        <v/>
      </c>
      <c r="H2116" s="63">
        <f>IF(OR(A2116="",F2116=""),"",F2116&amp;"|"&amp;A2116)</f>
        <v/>
      </c>
      <c r="I2116" s="63">
        <f>IF(AND(H2116&lt;&gt;"",OR('Historia wózka'!$B$4="",F2116='Historia wózka'!$B$4),A2116&gt;='Historia wózka'!$B$5,A2116&lt;='Historia wózka'!$B$6),A2116+0.9+(5000-ROW())/10000000,0)</f>
        <v/>
      </c>
      <c r="J2116" s="63">
        <f>Ustawienia!$B$8&amp;""</f>
        <v/>
      </c>
      <c r="K2116" s="63">
        <f>IF(H2116="","",COUNTIFS('Zgłoszenia'!$B$5:$B$504,F2116,'Zgłoszenia'!$D$5:$D$504,"&gt;="&amp;A2116,'Zgłoszenia'!$D$5:$D$504,"&lt;="&amp;(A2116+1)))</f>
        <v/>
      </c>
      <c r="L2116" s="63">
        <f>IF(OR(H2116="",K2116=0),"—",IF(ISNUMBER(MATCH(H2116,'Zgłoszenia'!$S$5:$S$504,0)),RIGHT("0"&amp;DAY(A2116),2)&amp;"."&amp;RIGHT("0"&amp;MONTH(A2116),2)&amp;"."&amp;YEAR(A2116)&amp;": "&amp;INDEX('Zgłoszenia'!$H$5:$H$504,MATCH(H2116,'Zgłoszenia'!$S$5:$S$504,0)),RIGHT("0"&amp;DAY((A2116+1)),2)&amp;"."&amp;RIGHT("0"&amp;MONTH((A2116+1)),2)&amp;"."&amp;YEAR((A2116+1))&amp;": "&amp;INDEX('Zgłoszenia'!$H$5:$H$504,MATCH(F2116&amp;"|"&amp;(A2116+1),'Zgłoszenia'!$S$5:$S$504,0)))&amp;IF(K2116&gt;1," (+"&amp;(K2116-1)&amp;")",""))</f>
        <v/>
      </c>
      <c r="M2116" s="63" t="n">
        <v>27</v>
      </c>
      <c r="N2116" s="2" t="n"/>
      <c r="O2116" s="2" t="n"/>
    </row>
    <row r="2117">
      <c r="A2117" s="62">
        <f>IF('27'!$C$1="","",'27'!$C$1)</f>
        <v/>
      </c>
      <c r="B2117" s="63">
        <f>Ustawienia!$A$8&amp;""</f>
        <v/>
      </c>
      <c r="C2117" s="63">
        <f>Ustawienia!$A$15&amp;""</f>
        <v/>
      </c>
      <c r="D2117" s="63" t="n">
        <v>4</v>
      </c>
      <c r="E2117" s="63">
        <f>IF('27'!B16="","",TRIM('27'!B16&amp;""))</f>
        <v/>
      </c>
      <c r="F2117" s="63">
        <f>IF('27'!C16="","",'27'!C16)</f>
        <v/>
      </c>
      <c r="G2117" s="63">
        <f>'27'!D16&amp;""</f>
        <v/>
      </c>
      <c r="H2117" s="63">
        <f>IF(OR(A2117="",F2117=""),"",F2117&amp;"|"&amp;A2117)</f>
        <v/>
      </c>
      <c r="I2117" s="63">
        <f>IF(AND(H2117&lt;&gt;"",OR('Historia wózka'!$B$4="",F2117='Historia wózka'!$B$4),A2117&gt;='Historia wózka'!$B$5,A2117&lt;='Historia wózka'!$B$6),A2117+0.9+(5000-ROW())/10000000,0)</f>
        <v/>
      </c>
      <c r="J2117" s="63">
        <f>Ustawienia!$B$8&amp;""</f>
        <v/>
      </c>
      <c r="K2117" s="63">
        <f>IF(H2117="","",COUNTIFS('Zgłoszenia'!$B$5:$B$504,F2117,'Zgłoszenia'!$D$5:$D$504,"&gt;="&amp;A2117,'Zgłoszenia'!$D$5:$D$504,"&lt;="&amp;(A2117+1)))</f>
        <v/>
      </c>
      <c r="L2117" s="63">
        <f>IF(OR(H2117="",K2117=0),"—",IF(ISNUMBER(MATCH(H2117,'Zgłoszenia'!$S$5:$S$504,0)),RIGHT("0"&amp;DAY(A2117),2)&amp;"."&amp;RIGHT("0"&amp;MONTH(A2117),2)&amp;"."&amp;YEAR(A2117)&amp;": "&amp;INDEX('Zgłoszenia'!$H$5:$H$504,MATCH(H2117,'Zgłoszenia'!$S$5:$S$504,0)),RIGHT("0"&amp;DAY((A2117+1)),2)&amp;"."&amp;RIGHT("0"&amp;MONTH((A2117+1)),2)&amp;"."&amp;YEAR((A2117+1))&amp;": "&amp;INDEX('Zgłoszenia'!$H$5:$H$504,MATCH(F2117&amp;"|"&amp;(A2117+1),'Zgłoszenia'!$S$5:$S$504,0)))&amp;IF(K2117&gt;1," (+"&amp;(K2117-1)&amp;")",""))</f>
        <v/>
      </c>
      <c r="M2117" s="63" t="n">
        <v>27</v>
      </c>
      <c r="N2117" s="2" t="n"/>
      <c r="O2117" s="2" t="n"/>
    </row>
    <row r="2118">
      <c r="A2118" s="62">
        <f>IF('27'!$C$1="","",'27'!$C$1)</f>
        <v/>
      </c>
      <c r="B2118" s="63">
        <f>Ustawienia!$A$8&amp;""</f>
        <v/>
      </c>
      <c r="C2118" s="63">
        <f>Ustawienia!$A$15&amp;""</f>
        <v/>
      </c>
      <c r="D2118" s="63" t="n">
        <v>5</v>
      </c>
      <c r="E2118" s="63">
        <f>IF('27'!B17="","",TRIM('27'!B17&amp;""))</f>
        <v/>
      </c>
      <c r="F2118" s="63">
        <f>IF('27'!C17="","",'27'!C17)</f>
        <v/>
      </c>
      <c r="G2118" s="63">
        <f>'27'!D17&amp;""</f>
        <v/>
      </c>
      <c r="H2118" s="63">
        <f>IF(OR(A2118="",F2118=""),"",F2118&amp;"|"&amp;A2118)</f>
        <v/>
      </c>
      <c r="I2118" s="63">
        <f>IF(AND(H2118&lt;&gt;"",OR('Historia wózka'!$B$4="",F2118='Historia wózka'!$B$4),A2118&gt;='Historia wózka'!$B$5,A2118&lt;='Historia wózka'!$B$6),A2118+0.9+(5000-ROW())/10000000,0)</f>
        <v/>
      </c>
      <c r="J2118" s="63">
        <f>Ustawienia!$B$8&amp;""</f>
        <v/>
      </c>
      <c r="K2118" s="63">
        <f>IF(H2118="","",COUNTIFS('Zgłoszenia'!$B$5:$B$504,F2118,'Zgłoszenia'!$D$5:$D$504,"&gt;="&amp;A2118,'Zgłoszenia'!$D$5:$D$504,"&lt;="&amp;(A2118+1)))</f>
        <v/>
      </c>
      <c r="L2118" s="63">
        <f>IF(OR(H2118="",K2118=0),"—",IF(ISNUMBER(MATCH(H2118,'Zgłoszenia'!$S$5:$S$504,0)),RIGHT("0"&amp;DAY(A2118),2)&amp;"."&amp;RIGHT("0"&amp;MONTH(A2118),2)&amp;"."&amp;YEAR(A2118)&amp;": "&amp;INDEX('Zgłoszenia'!$H$5:$H$504,MATCH(H2118,'Zgłoszenia'!$S$5:$S$504,0)),RIGHT("0"&amp;DAY((A2118+1)),2)&amp;"."&amp;RIGHT("0"&amp;MONTH((A2118+1)),2)&amp;"."&amp;YEAR((A2118+1))&amp;": "&amp;INDEX('Zgłoszenia'!$H$5:$H$504,MATCH(F2118&amp;"|"&amp;(A2118+1),'Zgłoszenia'!$S$5:$S$504,0)))&amp;IF(K2118&gt;1," (+"&amp;(K2118-1)&amp;")",""))</f>
        <v/>
      </c>
      <c r="M2118" s="63" t="n">
        <v>27</v>
      </c>
      <c r="N2118" s="2" t="n"/>
      <c r="O2118" s="2" t="n"/>
    </row>
    <row r="2119">
      <c r="A2119" s="62">
        <f>IF('27'!$C$1="","",'27'!$C$1)</f>
        <v/>
      </c>
      <c r="B2119" s="63">
        <f>Ustawienia!$A$8&amp;""</f>
        <v/>
      </c>
      <c r="C2119" s="63">
        <f>Ustawienia!$A$15&amp;""</f>
        <v/>
      </c>
      <c r="D2119" s="63" t="n">
        <v>6</v>
      </c>
      <c r="E2119" s="63">
        <f>IF('27'!B18="","",TRIM('27'!B18&amp;""))</f>
        <v/>
      </c>
      <c r="F2119" s="63">
        <f>IF('27'!C18="","",'27'!C18)</f>
        <v/>
      </c>
      <c r="G2119" s="63">
        <f>'27'!D18&amp;""</f>
        <v/>
      </c>
      <c r="H2119" s="63">
        <f>IF(OR(A2119="",F2119=""),"",F2119&amp;"|"&amp;A2119)</f>
        <v/>
      </c>
      <c r="I2119" s="63">
        <f>IF(AND(H2119&lt;&gt;"",OR('Historia wózka'!$B$4="",F2119='Historia wózka'!$B$4),A2119&gt;='Historia wózka'!$B$5,A2119&lt;='Historia wózka'!$B$6),A2119+0.9+(5000-ROW())/10000000,0)</f>
        <v/>
      </c>
      <c r="J2119" s="63">
        <f>Ustawienia!$B$8&amp;""</f>
        <v/>
      </c>
      <c r="K2119" s="63">
        <f>IF(H2119="","",COUNTIFS('Zgłoszenia'!$B$5:$B$504,F2119,'Zgłoszenia'!$D$5:$D$504,"&gt;="&amp;A2119,'Zgłoszenia'!$D$5:$D$504,"&lt;="&amp;(A2119+1)))</f>
        <v/>
      </c>
      <c r="L2119" s="63">
        <f>IF(OR(H2119="",K2119=0),"—",IF(ISNUMBER(MATCH(H2119,'Zgłoszenia'!$S$5:$S$504,0)),RIGHT("0"&amp;DAY(A2119),2)&amp;"."&amp;RIGHT("0"&amp;MONTH(A2119),2)&amp;"."&amp;YEAR(A2119)&amp;": "&amp;INDEX('Zgłoszenia'!$H$5:$H$504,MATCH(H2119,'Zgłoszenia'!$S$5:$S$504,0)),RIGHT("0"&amp;DAY((A2119+1)),2)&amp;"."&amp;RIGHT("0"&amp;MONTH((A2119+1)),2)&amp;"."&amp;YEAR((A2119+1))&amp;": "&amp;INDEX('Zgłoszenia'!$H$5:$H$504,MATCH(F2119&amp;"|"&amp;(A2119+1),'Zgłoszenia'!$S$5:$S$504,0)))&amp;IF(K2119&gt;1," (+"&amp;(K2119-1)&amp;")",""))</f>
        <v/>
      </c>
      <c r="M2119" s="63" t="n">
        <v>27</v>
      </c>
      <c r="N2119" s="2" t="n"/>
      <c r="O2119" s="2" t="n"/>
    </row>
    <row r="2120">
      <c r="A2120" s="62">
        <f>IF('27'!$C$1="","",'27'!$C$1)</f>
        <v/>
      </c>
      <c r="B2120" s="63">
        <f>Ustawienia!$A$8&amp;""</f>
        <v/>
      </c>
      <c r="C2120" s="63">
        <f>Ustawienia!$A$15&amp;""</f>
        <v/>
      </c>
      <c r="D2120" s="63" t="n">
        <v>7</v>
      </c>
      <c r="E2120" s="63">
        <f>IF('27'!B19="","",TRIM('27'!B19&amp;""))</f>
        <v/>
      </c>
      <c r="F2120" s="63">
        <f>IF('27'!C19="","",'27'!C19)</f>
        <v/>
      </c>
      <c r="G2120" s="63">
        <f>'27'!D19&amp;""</f>
        <v/>
      </c>
      <c r="H2120" s="63">
        <f>IF(OR(A2120="",F2120=""),"",F2120&amp;"|"&amp;A2120)</f>
        <v/>
      </c>
      <c r="I2120" s="63">
        <f>IF(AND(H2120&lt;&gt;"",OR('Historia wózka'!$B$4="",F2120='Historia wózka'!$B$4),A2120&gt;='Historia wózka'!$B$5,A2120&lt;='Historia wózka'!$B$6),A2120+0.9+(5000-ROW())/10000000,0)</f>
        <v/>
      </c>
      <c r="J2120" s="63">
        <f>Ustawienia!$B$8&amp;""</f>
        <v/>
      </c>
      <c r="K2120" s="63">
        <f>IF(H2120="","",COUNTIFS('Zgłoszenia'!$B$5:$B$504,F2120,'Zgłoszenia'!$D$5:$D$504,"&gt;="&amp;A2120,'Zgłoszenia'!$D$5:$D$504,"&lt;="&amp;(A2120+1)))</f>
        <v/>
      </c>
      <c r="L2120" s="63">
        <f>IF(OR(H2120="",K2120=0),"—",IF(ISNUMBER(MATCH(H2120,'Zgłoszenia'!$S$5:$S$504,0)),RIGHT("0"&amp;DAY(A2120),2)&amp;"."&amp;RIGHT("0"&amp;MONTH(A2120),2)&amp;"."&amp;YEAR(A2120)&amp;": "&amp;INDEX('Zgłoszenia'!$H$5:$H$504,MATCH(H2120,'Zgłoszenia'!$S$5:$S$504,0)),RIGHT("0"&amp;DAY((A2120+1)),2)&amp;"."&amp;RIGHT("0"&amp;MONTH((A2120+1)),2)&amp;"."&amp;YEAR((A2120+1))&amp;": "&amp;INDEX('Zgłoszenia'!$H$5:$H$504,MATCH(F2120&amp;"|"&amp;(A2120+1),'Zgłoszenia'!$S$5:$S$504,0)))&amp;IF(K2120&gt;1," (+"&amp;(K2120-1)&amp;")",""))</f>
        <v/>
      </c>
      <c r="M2120" s="63" t="n">
        <v>27</v>
      </c>
      <c r="N2120" s="2" t="n"/>
      <c r="O2120" s="2" t="n"/>
    </row>
    <row r="2121">
      <c r="A2121" s="62">
        <f>IF('27'!$C$1="","",'27'!$C$1)</f>
        <v/>
      </c>
      <c r="B2121" s="63">
        <f>Ustawienia!$A$8&amp;""</f>
        <v/>
      </c>
      <c r="C2121" s="63">
        <f>Ustawienia!$A$15&amp;""</f>
        <v/>
      </c>
      <c r="D2121" s="63" t="n">
        <v>8</v>
      </c>
      <c r="E2121" s="63">
        <f>IF('27'!B20="","",TRIM('27'!B20&amp;""))</f>
        <v/>
      </c>
      <c r="F2121" s="63">
        <f>IF('27'!C20="","",'27'!C20)</f>
        <v/>
      </c>
      <c r="G2121" s="63">
        <f>'27'!D20&amp;""</f>
        <v/>
      </c>
      <c r="H2121" s="63">
        <f>IF(OR(A2121="",F2121=""),"",F2121&amp;"|"&amp;A2121)</f>
        <v/>
      </c>
      <c r="I2121" s="63">
        <f>IF(AND(H2121&lt;&gt;"",OR('Historia wózka'!$B$4="",F2121='Historia wózka'!$B$4),A2121&gt;='Historia wózka'!$B$5,A2121&lt;='Historia wózka'!$B$6),A2121+0.9+(5000-ROW())/10000000,0)</f>
        <v/>
      </c>
      <c r="J2121" s="63">
        <f>Ustawienia!$B$8&amp;""</f>
        <v/>
      </c>
      <c r="K2121" s="63">
        <f>IF(H2121="","",COUNTIFS('Zgłoszenia'!$B$5:$B$504,F2121,'Zgłoszenia'!$D$5:$D$504,"&gt;="&amp;A2121,'Zgłoszenia'!$D$5:$D$504,"&lt;="&amp;(A2121+1)))</f>
        <v/>
      </c>
      <c r="L2121" s="63">
        <f>IF(OR(H2121="",K2121=0),"—",IF(ISNUMBER(MATCH(H2121,'Zgłoszenia'!$S$5:$S$504,0)),RIGHT("0"&amp;DAY(A2121),2)&amp;"."&amp;RIGHT("0"&amp;MONTH(A2121),2)&amp;"."&amp;YEAR(A2121)&amp;": "&amp;INDEX('Zgłoszenia'!$H$5:$H$504,MATCH(H2121,'Zgłoszenia'!$S$5:$S$504,0)),RIGHT("0"&amp;DAY((A2121+1)),2)&amp;"."&amp;RIGHT("0"&amp;MONTH((A2121+1)),2)&amp;"."&amp;YEAR((A2121+1))&amp;": "&amp;INDEX('Zgłoszenia'!$H$5:$H$504,MATCH(F2121&amp;"|"&amp;(A2121+1),'Zgłoszenia'!$S$5:$S$504,0)))&amp;IF(K2121&gt;1," (+"&amp;(K2121-1)&amp;")",""))</f>
        <v/>
      </c>
      <c r="M2121" s="63" t="n">
        <v>27</v>
      </c>
      <c r="N2121" s="2" t="n"/>
      <c r="O2121" s="2" t="n"/>
    </row>
    <row r="2122">
      <c r="A2122" s="62">
        <f>IF('27'!$C$1="","",'27'!$C$1)</f>
        <v/>
      </c>
      <c r="B2122" s="63">
        <f>Ustawienia!$A$8&amp;""</f>
        <v/>
      </c>
      <c r="C2122" s="63">
        <f>Ustawienia!$A$16&amp;""</f>
        <v/>
      </c>
      <c r="D2122" s="63" t="n">
        <v>1</v>
      </c>
      <c r="E2122" s="63">
        <f>IF('27'!B22="","",TRIM('27'!B22&amp;""))</f>
        <v/>
      </c>
      <c r="F2122" s="63">
        <f>IF('27'!C22="","",'27'!C22)</f>
        <v/>
      </c>
      <c r="G2122" s="63">
        <f>'27'!D22&amp;""</f>
        <v/>
      </c>
      <c r="H2122" s="63">
        <f>IF(OR(A2122="",F2122=""),"",F2122&amp;"|"&amp;A2122)</f>
        <v/>
      </c>
      <c r="I2122" s="63">
        <f>IF(AND(H2122&lt;&gt;"",OR('Historia wózka'!$B$4="",F2122='Historia wózka'!$B$4),A2122&gt;='Historia wózka'!$B$5,A2122&lt;='Historia wózka'!$B$6),A2122+0.9+(5000-ROW())/10000000,0)</f>
        <v/>
      </c>
      <c r="J2122" s="63">
        <f>Ustawienia!$B$8&amp;""</f>
        <v/>
      </c>
      <c r="K2122" s="63">
        <f>IF(H2122="","",COUNTIFS('Zgłoszenia'!$B$5:$B$504,F2122,'Zgłoszenia'!$D$5:$D$504,"&gt;="&amp;A2122,'Zgłoszenia'!$D$5:$D$504,"&lt;="&amp;(A2122+1)))</f>
        <v/>
      </c>
      <c r="L2122" s="63">
        <f>IF(OR(H2122="",K2122=0),"—",IF(ISNUMBER(MATCH(H2122,'Zgłoszenia'!$S$5:$S$504,0)),RIGHT("0"&amp;DAY(A2122),2)&amp;"."&amp;RIGHT("0"&amp;MONTH(A2122),2)&amp;"."&amp;YEAR(A2122)&amp;": "&amp;INDEX('Zgłoszenia'!$H$5:$H$504,MATCH(H2122,'Zgłoszenia'!$S$5:$S$504,0)),RIGHT("0"&amp;DAY((A2122+1)),2)&amp;"."&amp;RIGHT("0"&amp;MONTH((A2122+1)),2)&amp;"."&amp;YEAR((A2122+1))&amp;": "&amp;INDEX('Zgłoszenia'!$H$5:$H$504,MATCH(F2122&amp;"|"&amp;(A2122+1),'Zgłoszenia'!$S$5:$S$504,0)))&amp;IF(K2122&gt;1," (+"&amp;(K2122-1)&amp;")",""))</f>
        <v/>
      </c>
      <c r="M2122" s="63" t="n">
        <v>27</v>
      </c>
      <c r="N2122" s="2" t="n"/>
      <c r="O2122" s="2" t="n"/>
    </row>
    <row r="2123">
      <c r="A2123" s="62">
        <f>IF('27'!$C$1="","",'27'!$C$1)</f>
        <v/>
      </c>
      <c r="B2123" s="63">
        <f>Ustawienia!$A$8&amp;""</f>
        <v/>
      </c>
      <c r="C2123" s="63">
        <f>Ustawienia!$A$16&amp;""</f>
        <v/>
      </c>
      <c r="D2123" s="63" t="n">
        <v>2</v>
      </c>
      <c r="E2123" s="63">
        <f>IF('27'!B23="","",TRIM('27'!B23&amp;""))</f>
        <v/>
      </c>
      <c r="F2123" s="63">
        <f>IF('27'!C23="","",'27'!C23)</f>
        <v/>
      </c>
      <c r="G2123" s="63">
        <f>'27'!D23&amp;""</f>
        <v/>
      </c>
      <c r="H2123" s="63">
        <f>IF(OR(A2123="",F2123=""),"",F2123&amp;"|"&amp;A2123)</f>
        <v/>
      </c>
      <c r="I2123" s="63">
        <f>IF(AND(H2123&lt;&gt;"",OR('Historia wózka'!$B$4="",F2123='Historia wózka'!$B$4),A2123&gt;='Historia wózka'!$B$5,A2123&lt;='Historia wózka'!$B$6),A2123+0.9+(5000-ROW())/10000000,0)</f>
        <v/>
      </c>
      <c r="J2123" s="63">
        <f>Ustawienia!$B$8&amp;""</f>
        <v/>
      </c>
      <c r="K2123" s="63">
        <f>IF(H2123="","",COUNTIFS('Zgłoszenia'!$B$5:$B$504,F2123,'Zgłoszenia'!$D$5:$D$504,"&gt;="&amp;A2123,'Zgłoszenia'!$D$5:$D$504,"&lt;="&amp;(A2123+1)))</f>
        <v/>
      </c>
      <c r="L2123" s="63">
        <f>IF(OR(H2123="",K2123=0),"—",IF(ISNUMBER(MATCH(H2123,'Zgłoszenia'!$S$5:$S$504,0)),RIGHT("0"&amp;DAY(A2123),2)&amp;"."&amp;RIGHT("0"&amp;MONTH(A2123),2)&amp;"."&amp;YEAR(A2123)&amp;": "&amp;INDEX('Zgłoszenia'!$H$5:$H$504,MATCH(H2123,'Zgłoszenia'!$S$5:$S$504,0)),RIGHT("0"&amp;DAY((A2123+1)),2)&amp;"."&amp;RIGHT("0"&amp;MONTH((A2123+1)),2)&amp;"."&amp;YEAR((A2123+1))&amp;": "&amp;INDEX('Zgłoszenia'!$H$5:$H$504,MATCH(F2123&amp;"|"&amp;(A2123+1),'Zgłoszenia'!$S$5:$S$504,0)))&amp;IF(K2123&gt;1," (+"&amp;(K2123-1)&amp;")",""))</f>
        <v/>
      </c>
      <c r="M2123" s="63" t="n">
        <v>27</v>
      </c>
      <c r="N2123" s="2" t="n"/>
      <c r="O2123" s="2" t="n"/>
    </row>
    <row r="2124">
      <c r="A2124" s="62">
        <f>IF('27'!$C$1="","",'27'!$C$1)</f>
        <v/>
      </c>
      <c r="B2124" s="63">
        <f>Ustawienia!$A$8&amp;""</f>
        <v/>
      </c>
      <c r="C2124" s="63">
        <f>Ustawienia!$A$16&amp;""</f>
        <v/>
      </c>
      <c r="D2124" s="63" t="n">
        <v>3</v>
      </c>
      <c r="E2124" s="63">
        <f>IF('27'!B24="","",TRIM('27'!B24&amp;""))</f>
        <v/>
      </c>
      <c r="F2124" s="63">
        <f>IF('27'!C24="","",'27'!C24)</f>
        <v/>
      </c>
      <c r="G2124" s="63">
        <f>'27'!D24&amp;""</f>
        <v/>
      </c>
      <c r="H2124" s="63">
        <f>IF(OR(A2124="",F2124=""),"",F2124&amp;"|"&amp;A2124)</f>
        <v/>
      </c>
      <c r="I2124" s="63">
        <f>IF(AND(H2124&lt;&gt;"",OR('Historia wózka'!$B$4="",F2124='Historia wózka'!$B$4),A2124&gt;='Historia wózka'!$B$5,A2124&lt;='Historia wózka'!$B$6),A2124+0.9+(5000-ROW())/10000000,0)</f>
        <v/>
      </c>
      <c r="J2124" s="63">
        <f>Ustawienia!$B$8&amp;""</f>
        <v/>
      </c>
      <c r="K2124" s="63">
        <f>IF(H2124="","",COUNTIFS('Zgłoszenia'!$B$5:$B$504,F2124,'Zgłoszenia'!$D$5:$D$504,"&gt;="&amp;A2124,'Zgłoszenia'!$D$5:$D$504,"&lt;="&amp;(A2124+1)))</f>
        <v/>
      </c>
      <c r="L2124" s="63">
        <f>IF(OR(H2124="",K2124=0),"—",IF(ISNUMBER(MATCH(H2124,'Zgłoszenia'!$S$5:$S$504,0)),RIGHT("0"&amp;DAY(A2124),2)&amp;"."&amp;RIGHT("0"&amp;MONTH(A2124),2)&amp;"."&amp;YEAR(A2124)&amp;": "&amp;INDEX('Zgłoszenia'!$H$5:$H$504,MATCH(H2124,'Zgłoszenia'!$S$5:$S$504,0)),RIGHT("0"&amp;DAY((A2124+1)),2)&amp;"."&amp;RIGHT("0"&amp;MONTH((A2124+1)),2)&amp;"."&amp;YEAR((A2124+1))&amp;": "&amp;INDEX('Zgłoszenia'!$H$5:$H$504,MATCH(F2124&amp;"|"&amp;(A2124+1),'Zgłoszenia'!$S$5:$S$504,0)))&amp;IF(K2124&gt;1," (+"&amp;(K2124-1)&amp;")",""))</f>
        <v/>
      </c>
      <c r="M2124" s="63" t="n">
        <v>27</v>
      </c>
      <c r="N2124" s="2" t="n"/>
      <c r="O2124" s="2" t="n"/>
    </row>
    <row r="2125">
      <c r="A2125" s="62">
        <f>IF('27'!$C$1="","",'27'!$C$1)</f>
        <v/>
      </c>
      <c r="B2125" s="63">
        <f>Ustawienia!$A$8&amp;""</f>
        <v/>
      </c>
      <c r="C2125" s="63">
        <f>Ustawienia!$A$16&amp;""</f>
        <v/>
      </c>
      <c r="D2125" s="63" t="n">
        <v>4</v>
      </c>
      <c r="E2125" s="63">
        <f>IF('27'!B25="","",TRIM('27'!B25&amp;""))</f>
        <v/>
      </c>
      <c r="F2125" s="63">
        <f>IF('27'!C25="","",'27'!C25)</f>
        <v/>
      </c>
      <c r="G2125" s="63">
        <f>'27'!D25&amp;""</f>
        <v/>
      </c>
      <c r="H2125" s="63">
        <f>IF(OR(A2125="",F2125=""),"",F2125&amp;"|"&amp;A2125)</f>
        <v/>
      </c>
      <c r="I2125" s="63">
        <f>IF(AND(H2125&lt;&gt;"",OR('Historia wózka'!$B$4="",F2125='Historia wózka'!$B$4),A2125&gt;='Historia wózka'!$B$5,A2125&lt;='Historia wózka'!$B$6),A2125+0.9+(5000-ROW())/10000000,0)</f>
        <v/>
      </c>
      <c r="J2125" s="63">
        <f>Ustawienia!$B$8&amp;""</f>
        <v/>
      </c>
      <c r="K2125" s="63">
        <f>IF(H2125="","",COUNTIFS('Zgłoszenia'!$B$5:$B$504,F2125,'Zgłoszenia'!$D$5:$D$504,"&gt;="&amp;A2125,'Zgłoszenia'!$D$5:$D$504,"&lt;="&amp;(A2125+1)))</f>
        <v/>
      </c>
      <c r="L2125" s="63">
        <f>IF(OR(H2125="",K2125=0),"—",IF(ISNUMBER(MATCH(H2125,'Zgłoszenia'!$S$5:$S$504,0)),RIGHT("0"&amp;DAY(A2125),2)&amp;"."&amp;RIGHT("0"&amp;MONTH(A2125),2)&amp;"."&amp;YEAR(A2125)&amp;": "&amp;INDEX('Zgłoszenia'!$H$5:$H$504,MATCH(H2125,'Zgłoszenia'!$S$5:$S$504,0)),RIGHT("0"&amp;DAY((A2125+1)),2)&amp;"."&amp;RIGHT("0"&amp;MONTH((A2125+1)),2)&amp;"."&amp;YEAR((A2125+1))&amp;": "&amp;INDEX('Zgłoszenia'!$H$5:$H$504,MATCH(F2125&amp;"|"&amp;(A2125+1),'Zgłoszenia'!$S$5:$S$504,0)))&amp;IF(K2125&gt;1," (+"&amp;(K2125-1)&amp;")",""))</f>
        <v/>
      </c>
      <c r="M2125" s="63" t="n">
        <v>27</v>
      </c>
      <c r="N2125" s="2" t="n"/>
      <c r="O2125" s="2" t="n"/>
    </row>
    <row r="2126">
      <c r="A2126" s="62">
        <f>IF('27'!$C$1="","",'27'!$C$1)</f>
        <v/>
      </c>
      <c r="B2126" s="63">
        <f>Ustawienia!$A$8&amp;""</f>
        <v/>
      </c>
      <c r="C2126" s="63">
        <f>Ustawienia!$A$17&amp;""</f>
        <v/>
      </c>
      <c r="D2126" s="63" t="n">
        <v>1</v>
      </c>
      <c r="E2126" s="63">
        <f>IF('27'!B27="","",TRIM('27'!B27&amp;""))</f>
        <v/>
      </c>
      <c r="F2126" s="63">
        <f>IF('27'!C27="","",'27'!C27)</f>
        <v/>
      </c>
      <c r="G2126" s="63">
        <f>'27'!D27&amp;""</f>
        <v/>
      </c>
      <c r="H2126" s="63">
        <f>IF(OR(A2126="",F2126=""),"",F2126&amp;"|"&amp;A2126)</f>
        <v/>
      </c>
      <c r="I2126" s="63">
        <f>IF(AND(H2126&lt;&gt;"",OR('Historia wózka'!$B$4="",F2126='Historia wózka'!$B$4),A2126&gt;='Historia wózka'!$B$5,A2126&lt;='Historia wózka'!$B$6),A2126+0.9+(5000-ROW())/10000000,0)</f>
        <v/>
      </c>
      <c r="J2126" s="63">
        <f>Ustawienia!$B$8&amp;""</f>
        <v/>
      </c>
      <c r="K2126" s="63">
        <f>IF(H2126="","",COUNTIFS('Zgłoszenia'!$B$5:$B$504,F2126,'Zgłoszenia'!$D$5:$D$504,"&gt;="&amp;A2126,'Zgłoszenia'!$D$5:$D$504,"&lt;="&amp;(A2126+1)))</f>
        <v/>
      </c>
      <c r="L2126" s="63">
        <f>IF(OR(H2126="",K2126=0),"—",IF(ISNUMBER(MATCH(H2126,'Zgłoszenia'!$S$5:$S$504,0)),RIGHT("0"&amp;DAY(A2126),2)&amp;"."&amp;RIGHT("0"&amp;MONTH(A2126),2)&amp;"."&amp;YEAR(A2126)&amp;": "&amp;INDEX('Zgłoszenia'!$H$5:$H$504,MATCH(H2126,'Zgłoszenia'!$S$5:$S$504,0)),RIGHT("0"&amp;DAY((A2126+1)),2)&amp;"."&amp;RIGHT("0"&amp;MONTH((A2126+1)),2)&amp;"."&amp;YEAR((A2126+1))&amp;": "&amp;INDEX('Zgłoszenia'!$H$5:$H$504,MATCH(F2126&amp;"|"&amp;(A2126+1),'Zgłoszenia'!$S$5:$S$504,0)))&amp;IF(K2126&gt;1," (+"&amp;(K2126-1)&amp;")",""))</f>
        <v/>
      </c>
      <c r="M2126" s="63" t="n">
        <v>27</v>
      </c>
      <c r="N2126" s="2" t="n"/>
      <c r="O2126" s="2" t="n"/>
    </row>
    <row r="2127">
      <c r="A2127" s="62">
        <f>IF('27'!$C$1="","",'27'!$C$1)</f>
        <v/>
      </c>
      <c r="B2127" s="63">
        <f>Ustawienia!$A$8&amp;""</f>
        <v/>
      </c>
      <c r="C2127" s="63">
        <f>Ustawienia!$A$17&amp;""</f>
        <v/>
      </c>
      <c r="D2127" s="63" t="n">
        <v>2</v>
      </c>
      <c r="E2127" s="63">
        <f>IF('27'!B28="","",TRIM('27'!B28&amp;""))</f>
        <v/>
      </c>
      <c r="F2127" s="63">
        <f>IF('27'!C28="","",'27'!C28)</f>
        <v/>
      </c>
      <c r="G2127" s="63">
        <f>'27'!D28&amp;""</f>
        <v/>
      </c>
      <c r="H2127" s="63">
        <f>IF(OR(A2127="",F2127=""),"",F2127&amp;"|"&amp;A2127)</f>
        <v/>
      </c>
      <c r="I2127" s="63">
        <f>IF(AND(H2127&lt;&gt;"",OR('Historia wózka'!$B$4="",F2127='Historia wózka'!$B$4),A2127&gt;='Historia wózka'!$B$5,A2127&lt;='Historia wózka'!$B$6),A2127+0.9+(5000-ROW())/10000000,0)</f>
        <v/>
      </c>
      <c r="J2127" s="63">
        <f>Ustawienia!$B$8&amp;""</f>
        <v/>
      </c>
      <c r="K2127" s="63">
        <f>IF(H2127="","",COUNTIFS('Zgłoszenia'!$B$5:$B$504,F2127,'Zgłoszenia'!$D$5:$D$504,"&gt;="&amp;A2127,'Zgłoszenia'!$D$5:$D$504,"&lt;="&amp;(A2127+1)))</f>
        <v/>
      </c>
      <c r="L2127" s="63">
        <f>IF(OR(H2127="",K2127=0),"—",IF(ISNUMBER(MATCH(H2127,'Zgłoszenia'!$S$5:$S$504,0)),RIGHT("0"&amp;DAY(A2127),2)&amp;"."&amp;RIGHT("0"&amp;MONTH(A2127),2)&amp;"."&amp;YEAR(A2127)&amp;": "&amp;INDEX('Zgłoszenia'!$H$5:$H$504,MATCH(H2127,'Zgłoszenia'!$S$5:$S$504,0)),RIGHT("0"&amp;DAY((A2127+1)),2)&amp;"."&amp;RIGHT("0"&amp;MONTH((A2127+1)),2)&amp;"."&amp;YEAR((A2127+1))&amp;": "&amp;INDEX('Zgłoszenia'!$H$5:$H$504,MATCH(F2127&amp;"|"&amp;(A2127+1),'Zgłoszenia'!$S$5:$S$504,0)))&amp;IF(K2127&gt;1," (+"&amp;(K2127-1)&amp;")",""))</f>
        <v/>
      </c>
      <c r="M2127" s="63" t="n">
        <v>27</v>
      </c>
      <c r="N2127" s="2" t="n"/>
      <c r="O2127" s="2" t="n"/>
    </row>
    <row r="2128">
      <c r="A2128" s="62">
        <f>IF('27'!$C$1="","",'27'!$C$1)</f>
        <v/>
      </c>
      <c r="B2128" s="63">
        <f>Ustawienia!$A$8&amp;""</f>
        <v/>
      </c>
      <c r="C2128" s="63">
        <f>Ustawienia!$A$17&amp;""</f>
        <v/>
      </c>
      <c r="D2128" s="63" t="n">
        <v>3</v>
      </c>
      <c r="E2128" s="63">
        <f>IF('27'!B29="","",TRIM('27'!B29&amp;""))</f>
        <v/>
      </c>
      <c r="F2128" s="63">
        <f>IF('27'!C29="","",'27'!C29)</f>
        <v/>
      </c>
      <c r="G2128" s="63">
        <f>'27'!D29&amp;""</f>
        <v/>
      </c>
      <c r="H2128" s="63">
        <f>IF(OR(A2128="",F2128=""),"",F2128&amp;"|"&amp;A2128)</f>
        <v/>
      </c>
      <c r="I2128" s="63">
        <f>IF(AND(H2128&lt;&gt;"",OR('Historia wózka'!$B$4="",F2128='Historia wózka'!$B$4),A2128&gt;='Historia wózka'!$B$5,A2128&lt;='Historia wózka'!$B$6),A2128+0.9+(5000-ROW())/10000000,0)</f>
        <v/>
      </c>
      <c r="J2128" s="63">
        <f>Ustawienia!$B$8&amp;""</f>
        <v/>
      </c>
      <c r="K2128" s="63">
        <f>IF(H2128="","",COUNTIFS('Zgłoszenia'!$B$5:$B$504,F2128,'Zgłoszenia'!$D$5:$D$504,"&gt;="&amp;A2128,'Zgłoszenia'!$D$5:$D$504,"&lt;="&amp;(A2128+1)))</f>
        <v/>
      </c>
      <c r="L2128" s="63">
        <f>IF(OR(H2128="",K2128=0),"—",IF(ISNUMBER(MATCH(H2128,'Zgłoszenia'!$S$5:$S$504,0)),RIGHT("0"&amp;DAY(A2128),2)&amp;"."&amp;RIGHT("0"&amp;MONTH(A2128),2)&amp;"."&amp;YEAR(A2128)&amp;": "&amp;INDEX('Zgłoszenia'!$H$5:$H$504,MATCH(H2128,'Zgłoszenia'!$S$5:$S$504,0)),RIGHT("0"&amp;DAY((A2128+1)),2)&amp;"."&amp;RIGHT("0"&amp;MONTH((A2128+1)),2)&amp;"."&amp;YEAR((A2128+1))&amp;": "&amp;INDEX('Zgłoszenia'!$H$5:$H$504,MATCH(F2128&amp;"|"&amp;(A2128+1),'Zgłoszenia'!$S$5:$S$504,0)))&amp;IF(K2128&gt;1," (+"&amp;(K2128-1)&amp;")",""))</f>
        <v/>
      </c>
      <c r="M2128" s="63" t="n">
        <v>27</v>
      </c>
      <c r="N2128" s="2" t="n"/>
      <c r="O2128" s="2" t="n"/>
    </row>
    <row r="2129">
      <c r="A2129" s="62">
        <f>IF('27'!$C$1="","",'27'!$C$1)</f>
        <v/>
      </c>
      <c r="B2129" s="63">
        <f>Ustawienia!$A$8&amp;""</f>
        <v/>
      </c>
      <c r="C2129" s="63">
        <f>Ustawienia!$A$17&amp;""</f>
        <v/>
      </c>
      <c r="D2129" s="63" t="n">
        <v>4</v>
      </c>
      <c r="E2129" s="63">
        <f>IF('27'!B30="","",TRIM('27'!B30&amp;""))</f>
        <v/>
      </c>
      <c r="F2129" s="63">
        <f>IF('27'!C30="","",'27'!C30)</f>
        <v/>
      </c>
      <c r="G2129" s="63">
        <f>'27'!D30&amp;""</f>
        <v/>
      </c>
      <c r="H2129" s="63">
        <f>IF(OR(A2129="",F2129=""),"",F2129&amp;"|"&amp;A2129)</f>
        <v/>
      </c>
      <c r="I2129" s="63">
        <f>IF(AND(H2129&lt;&gt;"",OR('Historia wózka'!$B$4="",F2129='Historia wózka'!$B$4),A2129&gt;='Historia wózka'!$B$5,A2129&lt;='Historia wózka'!$B$6),A2129+0.9+(5000-ROW())/10000000,0)</f>
        <v/>
      </c>
      <c r="J2129" s="63">
        <f>Ustawienia!$B$8&amp;""</f>
        <v/>
      </c>
      <c r="K2129" s="63">
        <f>IF(H2129="","",COUNTIFS('Zgłoszenia'!$B$5:$B$504,F2129,'Zgłoszenia'!$D$5:$D$504,"&gt;="&amp;A2129,'Zgłoszenia'!$D$5:$D$504,"&lt;="&amp;(A2129+1)))</f>
        <v/>
      </c>
      <c r="L2129" s="63">
        <f>IF(OR(H2129="",K2129=0),"—",IF(ISNUMBER(MATCH(H2129,'Zgłoszenia'!$S$5:$S$504,0)),RIGHT("0"&amp;DAY(A2129),2)&amp;"."&amp;RIGHT("0"&amp;MONTH(A2129),2)&amp;"."&amp;YEAR(A2129)&amp;": "&amp;INDEX('Zgłoszenia'!$H$5:$H$504,MATCH(H2129,'Zgłoszenia'!$S$5:$S$504,0)),RIGHT("0"&amp;DAY((A2129+1)),2)&amp;"."&amp;RIGHT("0"&amp;MONTH((A2129+1)),2)&amp;"."&amp;YEAR((A2129+1))&amp;": "&amp;INDEX('Zgłoszenia'!$H$5:$H$504,MATCH(F2129&amp;"|"&amp;(A2129+1),'Zgłoszenia'!$S$5:$S$504,0)))&amp;IF(K2129&gt;1," (+"&amp;(K2129-1)&amp;")",""))</f>
        <v/>
      </c>
      <c r="M2129" s="63" t="n">
        <v>27</v>
      </c>
      <c r="N2129" s="2" t="n"/>
      <c r="O2129" s="2" t="n"/>
    </row>
    <row r="2130">
      <c r="A2130" s="62">
        <f>IF('27'!$C$1="","",'27'!$C$1)</f>
        <v/>
      </c>
      <c r="B2130" s="63">
        <f>Ustawienia!$A$8&amp;""</f>
        <v/>
      </c>
      <c r="C2130" s="63">
        <f>Ustawienia!$A$18&amp;""</f>
        <v/>
      </c>
      <c r="D2130" s="63" t="n">
        <v>1</v>
      </c>
      <c r="E2130" s="63">
        <f>IF('27'!B32="","",TRIM('27'!B32&amp;""))</f>
        <v/>
      </c>
      <c r="F2130" s="63">
        <f>IF('27'!C32="","",'27'!C32)</f>
        <v/>
      </c>
      <c r="G2130" s="63">
        <f>'27'!D32&amp;""</f>
        <v/>
      </c>
      <c r="H2130" s="63">
        <f>IF(OR(A2130="",F2130=""),"",F2130&amp;"|"&amp;A2130)</f>
        <v/>
      </c>
      <c r="I2130" s="63">
        <f>IF(AND(H2130&lt;&gt;"",OR('Historia wózka'!$B$4="",F2130='Historia wózka'!$B$4),A2130&gt;='Historia wózka'!$B$5,A2130&lt;='Historia wózka'!$B$6),A2130+0.9+(5000-ROW())/10000000,0)</f>
        <v/>
      </c>
      <c r="J2130" s="63">
        <f>Ustawienia!$B$8&amp;""</f>
        <v/>
      </c>
      <c r="K2130" s="63">
        <f>IF(H2130="","",COUNTIFS('Zgłoszenia'!$B$5:$B$504,F2130,'Zgłoszenia'!$D$5:$D$504,"&gt;="&amp;A2130,'Zgłoszenia'!$D$5:$D$504,"&lt;="&amp;(A2130+1)))</f>
        <v/>
      </c>
      <c r="L2130" s="63">
        <f>IF(OR(H2130="",K2130=0),"—",IF(ISNUMBER(MATCH(H2130,'Zgłoszenia'!$S$5:$S$504,0)),RIGHT("0"&amp;DAY(A2130),2)&amp;"."&amp;RIGHT("0"&amp;MONTH(A2130),2)&amp;"."&amp;YEAR(A2130)&amp;": "&amp;INDEX('Zgłoszenia'!$H$5:$H$504,MATCH(H2130,'Zgłoszenia'!$S$5:$S$504,0)),RIGHT("0"&amp;DAY((A2130+1)),2)&amp;"."&amp;RIGHT("0"&amp;MONTH((A2130+1)),2)&amp;"."&amp;YEAR((A2130+1))&amp;": "&amp;INDEX('Zgłoszenia'!$H$5:$H$504,MATCH(F2130&amp;"|"&amp;(A2130+1),'Zgłoszenia'!$S$5:$S$504,0)))&amp;IF(K2130&gt;1," (+"&amp;(K2130-1)&amp;")",""))</f>
        <v/>
      </c>
      <c r="M2130" s="63" t="n">
        <v>27</v>
      </c>
      <c r="N2130" s="2" t="n"/>
      <c r="O2130" s="2" t="n"/>
    </row>
    <row r="2131">
      <c r="A2131" s="62">
        <f>IF('27'!$C$1="","",'27'!$C$1)</f>
        <v/>
      </c>
      <c r="B2131" s="63">
        <f>Ustawienia!$A$8&amp;""</f>
        <v/>
      </c>
      <c r="C2131" s="63">
        <f>Ustawienia!$A$18&amp;""</f>
        <v/>
      </c>
      <c r="D2131" s="63" t="n">
        <v>2</v>
      </c>
      <c r="E2131" s="63">
        <f>IF('27'!B33="","",TRIM('27'!B33&amp;""))</f>
        <v/>
      </c>
      <c r="F2131" s="63">
        <f>IF('27'!C33="","",'27'!C33)</f>
        <v/>
      </c>
      <c r="G2131" s="63">
        <f>'27'!D33&amp;""</f>
        <v/>
      </c>
      <c r="H2131" s="63">
        <f>IF(OR(A2131="",F2131=""),"",F2131&amp;"|"&amp;A2131)</f>
        <v/>
      </c>
      <c r="I2131" s="63">
        <f>IF(AND(H2131&lt;&gt;"",OR('Historia wózka'!$B$4="",F2131='Historia wózka'!$B$4),A2131&gt;='Historia wózka'!$B$5,A2131&lt;='Historia wózka'!$B$6),A2131+0.9+(5000-ROW())/10000000,0)</f>
        <v/>
      </c>
      <c r="J2131" s="63">
        <f>Ustawienia!$B$8&amp;""</f>
        <v/>
      </c>
      <c r="K2131" s="63">
        <f>IF(H2131="","",COUNTIFS('Zgłoszenia'!$B$5:$B$504,F2131,'Zgłoszenia'!$D$5:$D$504,"&gt;="&amp;A2131,'Zgłoszenia'!$D$5:$D$504,"&lt;="&amp;(A2131+1)))</f>
        <v/>
      </c>
      <c r="L2131" s="63">
        <f>IF(OR(H2131="",K2131=0),"—",IF(ISNUMBER(MATCH(H2131,'Zgłoszenia'!$S$5:$S$504,0)),RIGHT("0"&amp;DAY(A2131),2)&amp;"."&amp;RIGHT("0"&amp;MONTH(A2131),2)&amp;"."&amp;YEAR(A2131)&amp;": "&amp;INDEX('Zgłoszenia'!$H$5:$H$504,MATCH(H2131,'Zgłoszenia'!$S$5:$S$504,0)),RIGHT("0"&amp;DAY((A2131+1)),2)&amp;"."&amp;RIGHT("0"&amp;MONTH((A2131+1)),2)&amp;"."&amp;YEAR((A2131+1))&amp;": "&amp;INDEX('Zgłoszenia'!$H$5:$H$504,MATCH(F2131&amp;"|"&amp;(A2131+1),'Zgłoszenia'!$S$5:$S$504,0)))&amp;IF(K2131&gt;1," (+"&amp;(K2131-1)&amp;")",""))</f>
        <v/>
      </c>
      <c r="M2131" s="63" t="n">
        <v>27</v>
      </c>
      <c r="N2131" s="2" t="n"/>
      <c r="O2131" s="2" t="n"/>
    </row>
    <row r="2132">
      <c r="A2132" s="62">
        <f>IF('27'!$C$1="","",'27'!$C$1)</f>
        <v/>
      </c>
      <c r="B2132" s="63">
        <f>Ustawienia!$A$8&amp;""</f>
        <v/>
      </c>
      <c r="C2132" s="63">
        <f>Ustawienia!$A$18&amp;""</f>
        <v/>
      </c>
      <c r="D2132" s="63" t="n">
        <v>3</v>
      </c>
      <c r="E2132" s="63">
        <f>IF('27'!B34="","",TRIM('27'!B34&amp;""))</f>
        <v/>
      </c>
      <c r="F2132" s="63">
        <f>IF('27'!C34="","",'27'!C34)</f>
        <v/>
      </c>
      <c r="G2132" s="63">
        <f>'27'!D34&amp;""</f>
        <v/>
      </c>
      <c r="H2132" s="63">
        <f>IF(OR(A2132="",F2132=""),"",F2132&amp;"|"&amp;A2132)</f>
        <v/>
      </c>
      <c r="I2132" s="63">
        <f>IF(AND(H2132&lt;&gt;"",OR('Historia wózka'!$B$4="",F2132='Historia wózka'!$B$4),A2132&gt;='Historia wózka'!$B$5,A2132&lt;='Historia wózka'!$B$6),A2132+0.9+(5000-ROW())/10000000,0)</f>
        <v/>
      </c>
      <c r="J2132" s="63">
        <f>Ustawienia!$B$8&amp;""</f>
        <v/>
      </c>
      <c r="K2132" s="63">
        <f>IF(H2132="","",COUNTIFS('Zgłoszenia'!$B$5:$B$504,F2132,'Zgłoszenia'!$D$5:$D$504,"&gt;="&amp;A2132,'Zgłoszenia'!$D$5:$D$504,"&lt;="&amp;(A2132+1)))</f>
        <v/>
      </c>
      <c r="L2132" s="63">
        <f>IF(OR(H2132="",K2132=0),"—",IF(ISNUMBER(MATCH(H2132,'Zgłoszenia'!$S$5:$S$504,0)),RIGHT("0"&amp;DAY(A2132),2)&amp;"."&amp;RIGHT("0"&amp;MONTH(A2132),2)&amp;"."&amp;YEAR(A2132)&amp;": "&amp;INDEX('Zgłoszenia'!$H$5:$H$504,MATCH(H2132,'Zgłoszenia'!$S$5:$S$504,0)),RIGHT("0"&amp;DAY((A2132+1)),2)&amp;"."&amp;RIGHT("0"&amp;MONTH((A2132+1)),2)&amp;"."&amp;YEAR((A2132+1))&amp;": "&amp;INDEX('Zgłoszenia'!$H$5:$H$504,MATCH(F2132&amp;"|"&amp;(A2132+1),'Zgłoszenia'!$S$5:$S$504,0)))&amp;IF(K2132&gt;1," (+"&amp;(K2132-1)&amp;")",""))</f>
        <v/>
      </c>
      <c r="M2132" s="63" t="n">
        <v>27</v>
      </c>
      <c r="N2132" s="2" t="n"/>
      <c r="O2132" s="2" t="n"/>
    </row>
    <row r="2133">
      <c r="A2133" s="62">
        <f>IF('27'!$C$1="","",'27'!$C$1)</f>
        <v/>
      </c>
      <c r="B2133" s="63">
        <f>Ustawienia!$A$8&amp;""</f>
        <v/>
      </c>
      <c r="C2133" s="63">
        <f>Ustawienia!$A$18&amp;""</f>
        <v/>
      </c>
      <c r="D2133" s="63" t="n">
        <v>4</v>
      </c>
      <c r="E2133" s="63">
        <f>IF('27'!B35="","",TRIM('27'!B35&amp;""))</f>
        <v/>
      </c>
      <c r="F2133" s="63">
        <f>IF('27'!C35="","",'27'!C35)</f>
        <v/>
      </c>
      <c r="G2133" s="63">
        <f>'27'!D35&amp;""</f>
        <v/>
      </c>
      <c r="H2133" s="63">
        <f>IF(OR(A2133="",F2133=""),"",F2133&amp;"|"&amp;A2133)</f>
        <v/>
      </c>
      <c r="I2133" s="63">
        <f>IF(AND(H2133&lt;&gt;"",OR('Historia wózka'!$B$4="",F2133='Historia wózka'!$B$4),A2133&gt;='Historia wózka'!$B$5,A2133&lt;='Historia wózka'!$B$6),A2133+0.9+(5000-ROW())/10000000,0)</f>
        <v/>
      </c>
      <c r="J2133" s="63">
        <f>Ustawienia!$B$8&amp;""</f>
        <v/>
      </c>
      <c r="K2133" s="63">
        <f>IF(H2133="","",COUNTIFS('Zgłoszenia'!$B$5:$B$504,F2133,'Zgłoszenia'!$D$5:$D$504,"&gt;="&amp;A2133,'Zgłoszenia'!$D$5:$D$504,"&lt;="&amp;(A2133+1)))</f>
        <v/>
      </c>
      <c r="L2133" s="63">
        <f>IF(OR(H2133="",K2133=0),"—",IF(ISNUMBER(MATCH(H2133,'Zgłoszenia'!$S$5:$S$504,0)),RIGHT("0"&amp;DAY(A2133),2)&amp;"."&amp;RIGHT("0"&amp;MONTH(A2133),2)&amp;"."&amp;YEAR(A2133)&amp;": "&amp;INDEX('Zgłoszenia'!$H$5:$H$504,MATCH(H2133,'Zgłoszenia'!$S$5:$S$504,0)),RIGHT("0"&amp;DAY((A2133+1)),2)&amp;"."&amp;RIGHT("0"&amp;MONTH((A2133+1)),2)&amp;"."&amp;YEAR((A2133+1))&amp;": "&amp;INDEX('Zgłoszenia'!$H$5:$H$504,MATCH(F2133&amp;"|"&amp;(A2133+1),'Zgłoszenia'!$S$5:$S$504,0)))&amp;IF(K2133&gt;1," (+"&amp;(K2133-1)&amp;")",""))</f>
        <v/>
      </c>
      <c r="M2133" s="63" t="n">
        <v>27</v>
      </c>
      <c r="N2133" s="2" t="n"/>
      <c r="O2133" s="2" t="n"/>
    </row>
    <row r="2134">
      <c r="A2134" s="62">
        <f>IF('27'!$C$1="","",'27'!$C$1)</f>
        <v/>
      </c>
      <c r="B2134" s="63">
        <f>Ustawienia!$A$8&amp;""</f>
        <v/>
      </c>
      <c r="C2134" s="63">
        <f>Ustawienia!$A$18&amp;""</f>
        <v/>
      </c>
      <c r="D2134" s="63" t="n">
        <v>5</v>
      </c>
      <c r="E2134" s="63">
        <f>IF('27'!B36="","",TRIM('27'!B36&amp;""))</f>
        <v/>
      </c>
      <c r="F2134" s="63">
        <f>IF('27'!C36="","",'27'!C36)</f>
        <v/>
      </c>
      <c r="G2134" s="63">
        <f>'27'!D36&amp;""</f>
        <v/>
      </c>
      <c r="H2134" s="63">
        <f>IF(OR(A2134="",F2134=""),"",F2134&amp;"|"&amp;A2134)</f>
        <v/>
      </c>
      <c r="I2134" s="63">
        <f>IF(AND(H2134&lt;&gt;"",OR('Historia wózka'!$B$4="",F2134='Historia wózka'!$B$4),A2134&gt;='Historia wózka'!$B$5,A2134&lt;='Historia wózka'!$B$6),A2134+0.9+(5000-ROW())/10000000,0)</f>
        <v/>
      </c>
      <c r="J2134" s="63">
        <f>Ustawienia!$B$8&amp;""</f>
        <v/>
      </c>
      <c r="K2134" s="63">
        <f>IF(H2134="","",COUNTIFS('Zgłoszenia'!$B$5:$B$504,F2134,'Zgłoszenia'!$D$5:$D$504,"&gt;="&amp;A2134,'Zgłoszenia'!$D$5:$D$504,"&lt;="&amp;(A2134+1)))</f>
        <v/>
      </c>
      <c r="L2134" s="63">
        <f>IF(OR(H2134="",K2134=0),"—",IF(ISNUMBER(MATCH(H2134,'Zgłoszenia'!$S$5:$S$504,0)),RIGHT("0"&amp;DAY(A2134),2)&amp;"."&amp;RIGHT("0"&amp;MONTH(A2134),2)&amp;"."&amp;YEAR(A2134)&amp;": "&amp;INDEX('Zgłoszenia'!$H$5:$H$504,MATCH(H2134,'Zgłoszenia'!$S$5:$S$504,0)),RIGHT("0"&amp;DAY((A2134+1)),2)&amp;"."&amp;RIGHT("0"&amp;MONTH((A2134+1)),2)&amp;"."&amp;YEAR((A2134+1))&amp;": "&amp;INDEX('Zgłoszenia'!$H$5:$H$504,MATCH(F2134&amp;"|"&amp;(A2134+1),'Zgłoszenia'!$S$5:$S$504,0)))&amp;IF(K2134&gt;1," (+"&amp;(K2134-1)&amp;")",""))</f>
        <v/>
      </c>
      <c r="M2134" s="63" t="n">
        <v>27</v>
      </c>
      <c r="N2134" s="2" t="n"/>
      <c r="O2134" s="2" t="n"/>
    </row>
    <row r="2135">
      <c r="A2135" s="62">
        <f>IF('27'!$C$1="","",'27'!$C$1)</f>
        <v/>
      </c>
      <c r="B2135" s="63">
        <f>Ustawienia!$A$9&amp;""</f>
        <v/>
      </c>
      <c r="C2135" s="63">
        <f>Ustawienia!$A$14&amp;""</f>
        <v/>
      </c>
      <c r="D2135" s="63" t="n">
        <v>1</v>
      </c>
      <c r="E2135" s="63">
        <f>IF('27'!F6="","",TRIM('27'!F6&amp;""))</f>
        <v/>
      </c>
      <c r="F2135" s="63">
        <f>IF('27'!G6="","",'27'!G6)</f>
        <v/>
      </c>
      <c r="G2135" s="63">
        <f>'27'!H6&amp;""</f>
        <v/>
      </c>
      <c r="H2135" s="63">
        <f>IF(OR(A2135="",F2135=""),"",F2135&amp;"|"&amp;A2135)</f>
        <v/>
      </c>
      <c r="I2135" s="63">
        <f>IF(AND(H2135&lt;&gt;"",OR('Historia wózka'!$B$4="",F2135='Historia wózka'!$B$4),A2135&gt;='Historia wózka'!$B$5,A2135&lt;='Historia wózka'!$B$6),A2135+0.8+(5000-ROW())/10000000,0)</f>
        <v/>
      </c>
      <c r="J2135" s="63">
        <f>Ustawienia!$B$9&amp;""</f>
        <v/>
      </c>
      <c r="K2135" s="63">
        <f>IF(H2135="","",COUNTIFS('Zgłoszenia'!$B$5:$B$504,F2135,'Zgłoszenia'!$D$5:$D$504,"&gt;="&amp;A2135,'Zgłoszenia'!$D$5:$D$504,"&lt;="&amp;(A2135+1)))</f>
        <v/>
      </c>
      <c r="L2135" s="63">
        <f>IF(OR(H2135="",K2135=0),"—",IF(ISNUMBER(MATCH(H2135,'Zgłoszenia'!$S$5:$S$504,0)),RIGHT("0"&amp;DAY(A2135),2)&amp;"."&amp;RIGHT("0"&amp;MONTH(A2135),2)&amp;"."&amp;YEAR(A2135)&amp;": "&amp;INDEX('Zgłoszenia'!$H$5:$H$504,MATCH(H2135,'Zgłoszenia'!$S$5:$S$504,0)),RIGHT("0"&amp;DAY((A2135+1)),2)&amp;"."&amp;RIGHT("0"&amp;MONTH((A2135+1)),2)&amp;"."&amp;YEAR((A2135+1))&amp;": "&amp;INDEX('Zgłoszenia'!$H$5:$H$504,MATCH(F2135&amp;"|"&amp;(A2135+1),'Zgłoszenia'!$S$5:$S$504,0)))&amp;IF(K2135&gt;1," (+"&amp;(K2135-1)&amp;")",""))</f>
        <v/>
      </c>
      <c r="M2135" s="63" t="n">
        <v>27</v>
      </c>
      <c r="N2135" s="2" t="n"/>
      <c r="O2135" s="2" t="n"/>
    </row>
    <row r="2136">
      <c r="A2136" s="62">
        <f>IF('27'!$C$1="","",'27'!$C$1)</f>
        <v/>
      </c>
      <c r="B2136" s="63">
        <f>Ustawienia!$A$9&amp;""</f>
        <v/>
      </c>
      <c r="C2136" s="63">
        <f>Ustawienia!$A$14&amp;""</f>
        <v/>
      </c>
      <c r="D2136" s="63" t="n">
        <v>2</v>
      </c>
      <c r="E2136" s="63">
        <f>IF('27'!F7="","",TRIM('27'!F7&amp;""))</f>
        <v/>
      </c>
      <c r="F2136" s="63">
        <f>IF('27'!G7="","",'27'!G7)</f>
        <v/>
      </c>
      <c r="G2136" s="63">
        <f>'27'!H7&amp;""</f>
        <v/>
      </c>
      <c r="H2136" s="63">
        <f>IF(OR(A2136="",F2136=""),"",F2136&amp;"|"&amp;A2136)</f>
        <v/>
      </c>
      <c r="I2136" s="63">
        <f>IF(AND(H2136&lt;&gt;"",OR('Historia wózka'!$B$4="",F2136='Historia wózka'!$B$4),A2136&gt;='Historia wózka'!$B$5,A2136&lt;='Historia wózka'!$B$6),A2136+0.8+(5000-ROW())/10000000,0)</f>
        <v/>
      </c>
      <c r="J2136" s="63">
        <f>Ustawienia!$B$9&amp;""</f>
        <v/>
      </c>
      <c r="K2136" s="63">
        <f>IF(H2136="","",COUNTIFS('Zgłoszenia'!$B$5:$B$504,F2136,'Zgłoszenia'!$D$5:$D$504,"&gt;="&amp;A2136,'Zgłoszenia'!$D$5:$D$504,"&lt;="&amp;(A2136+1)))</f>
        <v/>
      </c>
      <c r="L2136" s="63">
        <f>IF(OR(H2136="",K2136=0),"—",IF(ISNUMBER(MATCH(H2136,'Zgłoszenia'!$S$5:$S$504,0)),RIGHT("0"&amp;DAY(A2136),2)&amp;"."&amp;RIGHT("0"&amp;MONTH(A2136),2)&amp;"."&amp;YEAR(A2136)&amp;": "&amp;INDEX('Zgłoszenia'!$H$5:$H$504,MATCH(H2136,'Zgłoszenia'!$S$5:$S$504,0)),RIGHT("0"&amp;DAY((A2136+1)),2)&amp;"."&amp;RIGHT("0"&amp;MONTH((A2136+1)),2)&amp;"."&amp;YEAR((A2136+1))&amp;": "&amp;INDEX('Zgłoszenia'!$H$5:$H$504,MATCH(F2136&amp;"|"&amp;(A2136+1),'Zgłoszenia'!$S$5:$S$504,0)))&amp;IF(K2136&gt;1," (+"&amp;(K2136-1)&amp;")",""))</f>
        <v/>
      </c>
      <c r="M2136" s="63" t="n">
        <v>27</v>
      </c>
      <c r="N2136" s="2" t="n"/>
      <c r="O2136" s="2" t="n"/>
    </row>
    <row r="2137">
      <c r="A2137" s="62">
        <f>IF('27'!$C$1="","",'27'!$C$1)</f>
        <v/>
      </c>
      <c r="B2137" s="63">
        <f>Ustawienia!$A$9&amp;""</f>
        <v/>
      </c>
      <c r="C2137" s="63">
        <f>Ustawienia!$A$14&amp;""</f>
        <v/>
      </c>
      <c r="D2137" s="63" t="n">
        <v>3</v>
      </c>
      <c r="E2137" s="63">
        <f>IF('27'!F8="","",TRIM('27'!F8&amp;""))</f>
        <v/>
      </c>
      <c r="F2137" s="63">
        <f>IF('27'!G8="","",'27'!G8)</f>
        <v/>
      </c>
      <c r="G2137" s="63">
        <f>'27'!H8&amp;""</f>
        <v/>
      </c>
      <c r="H2137" s="63">
        <f>IF(OR(A2137="",F2137=""),"",F2137&amp;"|"&amp;A2137)</f>
        <v/>
      </c>
      <c r="I2137" s="63">
        <f>IF(AND(H2137&lt;&gt;"",OR('Historia wózka'!$B$4="",F2137='Historia wózka'!$B$4),A2137&gt;='Historia wózka'!$B$5,A2137&lt;='Historia wózka'!$B$6),A2137+0.8+(5000-ROW())/10000000,0)</f>
        <v/>
      </c>
      <c r="J2137" s="63">
        <f>Ustawienia!$B$9&amp;""</f>
        <v/>
      </c>
      <c r="K2137" s="63">
        <f>IF(H2137="","",COUNTIFS('Zgłoszenia'!$B$5:$B$504,F2137,'Zgłoszenia'!$D$5:$D$504,"&gt;="&amp;A2137,'Zgłoszenia'!$D$5:$D$504,"&lt;="&amp;(A2137+1)))</f>
        <v/>
      </c>
      <c r="L2137" s="63">
        <f>IF(OR(H2137="",K2137=0),"—",IF(ISNUMBER(MATCH(H2137,'Zgłoszenia'!$S$5:$S$504,0)),RIGHT("0"&amp;DAY(A2137),2)&amp;"."&amp;RIGHT("0"&amp;MONTH(A2137),2)&amp;"."&amp;YEAR(A2137)&amp;": "&amp;INDEX('Zgłoszenia'!$H$5:$H$504,MATCH(H2137,'Zgłoszenia'!$S$5:$S$504,0)),RIGHT("0"&amp;DAY((A2137+1)),2)&amp;"."&amp;RIGHT("0"&amp;MONTH((A2137+1)),2)&amp;"."&amp;YEAR((A2137+1))&amp;": "&amp;INDEX('Zgłoszenia'!$H$5:$H$504,MATCH(F2137&amp;"|"&amp;(A2137+1),'Zgłoszenia'!$S$5:$S$504,0)))&amp;IF(K2137&gt;1," (+"&amp;(K2137-1)&amp;")",""))</f>
        <v/>
      </c>
      <c r="M2137" s="63" t="n">
        <v>27</v>
      </c>
      <c r="N2137" s="2" t="n"/>
      <c r="O2137" s="2" t="n"/>
    </row>
    <row r="2138">
      <c r="A2138" s="62">
        <f>IF('27'!$C$1="","",'27'!$C$1)</f>
        <v/>
      </c>
      <c r="B2138" s="63">
        <f>Ustawienia!$A$9&amp;""</f>
        <v/>
      </c>
      <c r="C2138" s="63">
        <f>Ustawienia!$A$14&amp;""</f>
        <v/>
      </c>
      <c r="D2138" s="63" t="n">
        <v>4</v>
      </c>
      <c r="E2138" s="63">
        <f>IF('27'!F9="","",TRIM('27'!F9&amp;""))</f>
        <v/>
      </c>
      <c r="F2138" s="63">
        <f>IF('27'!G9="","",'27'!G9)</f>
        <v/>
      </c>
      <c r="G2138" s="63">
        <f>'27'!H9&amp;""</f>
        <v/>
      </c>
      <c r="H2138" s="63">
        <f>IF(OR(A2138="",F2138=""),"",F2138&amp;"|"&amp;A2138)</f>
        <v/>
      </c>
      <c r="I2138" s="63">
        <f>IF(AND(H2138&lt;&gt;"",OR('Historia wózka'!$B$4="",F2138='Historia wózka'!$B$4),A2138&gt;='Historia wózka'!$B$5,A2138&lt;='Historia wózka'!$B$6),A2138+0.8+(5000-ROW())/10000000,0)</f>
        <v/>
      </c>
      <c r="J2138" s="63">
        <f>Ustawienia!$B$9&amp;""</f>
        <v/>
      </c>
      <c r="K2138" s="63">
        <f>IF(H2138="","",COUNTIFS('Zgłoszenia'!$B$5:$B$504,F2138,'Zgłoszenia'!$D$5:$D$504,"&gt;="&amp;A2138,'Zgłoszenia'!$D$5:$D$504,"&lt;="&amp;(A2138+1)))</f>
        <v/>
      </c>
      <c r="L2138" s="63">
        <f>IF(OR(H2138="",K2138=0),"—",IF(ISNUMBER(MATCH(H2138,'Zgłoszenia'!$S$5:$S$504,0)),RIGHT("0"&amp;DAY(A2138),2)&amp;"."&amp;RIGHT("0"&amp;MONTH(A2138),2)&amp;"."&amp;YEAR(A2138)&amp;": "&amp;INDEX('Zgłoszenia'!$H$5:$H$504,MATCH(H2138,'Zgłoszenia'!$S$5:$S$504,0)),RIGHT("0"&amp;DAY((A2138+1)),2)&amp;"."&amp;RIGHT("0"&amp;MONTH((A2138+1)),2)&amp;"."&amp;YEAR((A2138+1))&amp;": "&amp;INDEX('Zgłoszenia'!$H$5:$H$504,MATCH(F2138&amp;"|"&amp;(A2138+1),'Zgłoszenia'!$S$5:$S$504,0)))&amp;IF(K2138&gt;1," (+"&amp;(K2138-1)&amp;")",""))</f>
        <v/>
      </c>
      <c r="M2138" s="63" t="n">
        <v>27</v>
      </c>
      <c r="N2138" s="2" t="n"/>
      <c r="O2138" s="2" t="n"/>
    </row>
    <row r="2139">
      <c r="A2139" s="62">
        <f>IF('27'!$C$1="","",'27'!$C$1)</f>
        <v/>
      </c>
      <c r="B2139" s="63">
        <f>Ustawienia!$A$9&amp;""</f>
        <v/>
      </c>
      <c r="C2139" s="63">
        <f>Ustawienia!$A$14&amp;""</f>
        <v/>
      </c>
      <c r="D2139" s="63" t="n">
        <v>5</v>
      </c>
      <c r="E2139" s="63">
        <f>IF('27'!F10="","",TRIM('27'!F10&amp;""))</f>
        <v/>
      </c>
      <c r="F2139" s="63">
        <f>IF('27'!G10="","",'27'!G10)</f>
        <v/>
      </c>
      <c r="G2139" s="63">
        <f>'27'!H10&amp;""</f>
        <v/>
      </c>
      <c r="H2139" s="63">
        <f>IF(OR(A2139="",F2139=""),"",F2139&amp;"|"&amp;A2139)</f>
        <v/>
      </c>
      <c r="I2139" s="63">
        <f>IF(AND(H2139&lt;&gt;"",OR('Historia wózka'!$B$4="",F2139='Historia wózka'!$B$4),A2139&gt;='Historia wózka'!$B$5,A2139&lt;='Historia wózka'!$B$6),A2139+0.8+(5000-ROW())/10000000,0)</f>
        <v/>
      </c>
      <c r="J2139" s="63">
        <f>Ustawienia!$B$9&amp;""</f>
        <v/>
      </c>
      <c r="K2139" s="63">
        <f>IF(H2139="","",COUNTIFS('Zgłoszenia'!$B$5:$B$504,F2139,'Zgłoszenia'!$D$5:$D$504,"&gt;="&amp;A2139,'Zgłoszenia'!$D$5:$D$504,"&lt;="&amp;(A2139+1)))</f>
        <v/>
      </c>
      <c r="L2139" s="63">
        <f>IF(OR(H2139="",K2139=0),"—",IF(ISNUMBER(MATCH(H2139,'Zgłoszenia'!$S$5:$S$504,0)),RIGHT("0"&amp;DAY(A2139),2)&amp;"."&amp;RIGHT("0"&amp;MONTH(A2139),2)&amp;"."&amp;YEAR(A2139)&amp;": "&amp;INDEX('Zgłoszenia'!$H$5:$H$504,MATCH(H2139,'Zgłoszenia'!$S$5:$S$504,0)),RIGHT("0"&amp;DAY((A2139+1)),2)&amp;"."&amp;RIGHT("0"&amp;MONTH((A2139+1)),2)&amp;"."&amp;YEAR((A2139+1))&amp;": "&amp;INDEX('Zgłoszenia'!$H$5:$H$504,MATCH(F2139&amp;"|"&amp;(A2139+1),'Zgłoszenia'!$S$5:$S$504,0)))&amp;IF(K2139&gt;1," (+"&amp;(K2139-1)&amp;")",""))</f>
        <v/>
      </c>
      <c r="M2139" s="63" t="n">
        <v>27</v>
      </c>
      <c r="N2139" s="2" t="n"/>
      <c r="O2139" s="2" t="n"/>
    </row>
    <row r="2140">
      <c r="A2140" s="62">
        <f>IF('27'!$C$1="","",'27'!$C$1)</f>
        <v/>
      </c>
      <c r="B2140" s="63">
        <f>Ustawienia!$A$9&amp;""</f>
        <v/>
      </c>
      <c r="C2140" s="63">
        <f>Ustawienia!$A$14&amp;""</f>
        <v/>
      </c>
      <c r="D2140" s="63" t="n">
        <v>6</v>
      </c>
      <c r="E2140" s="63">
        <f>IF('27'!F11="","",TRIM('27'!F11&amp;""))</f>
        <v/>
      </c>
      <c r="F2140" s="63">
        <f>IF('27'!G11="","",'27'!G11)</f>
        <v/>
      </c>
      <c r="G2140" s="63">
        <f>'27'!H11&amp;""</f>
        <v/>
      </c>
      <c r="H2140" s="63">
        <f>IF(OR(A2140="",F2140=""),"",F2140&amp;"|"&amp;A2140)</f>
        <v/>
      </c>
      <c r="I2140" s="63">
        <f>IF(AND(H2140&lt;&gt;"",OR('Historia wózka'!$B$4="",F2140='Historia wózka'!$B$4),A2140&gt;='Historia wózka'!$B$5,A2140&lt;='Historia wózka'!$B$6),A2140+0.8+(5000-ROW())/10000000,0)</f>
        <v/>
      </c>
      <c r="J2140" s="63">
        <f>Ustawienia!$B$9&amp;""</f>
        <v/>
      </c>
      <c r="K2140" s="63">
        <f>IF(H2140="","",COUNTIFS('Zgłoszenia'!$B$5:$B$504,F2140,'Zgłoszenia'!$D$5:$D$504,"&gt;="&amp;A2140,'Zgłoszenia'!$D$5:$D$504,"&lt;="&amp;(A2140+1)))</f>
        <v/>
      </c>
      <c r="L2140" s="63">
        <f>IF(OR(H2140="",K2140=0),"—",IF(ISNUMBER(MATCH(H2140,'Zgłoszenia'!$S$5:$S$504,0)),RIGHT("0"&amp;DAY(A2140),2)&amp;"."&amp;RIGHT("0"&amp;MONTH(A2140),2)&amp;"."&amp;YEAR(A2140)&amp;": "&amp;INDEX('Zgłoszenia'!$H$5:$H$504,MATCH(H2140,'Zgłoszenia'!$S$5:$S$504,0)),RIGHT("0"&amp;DAY((A2140+1)),2)&amp;"."&amp;RIGHT("0"&amp;MONTH((A2140+1)),2)&amp;"."&amp;YEAR((A2140+1))&amp;": "&amp;INDEX('Zgłoszenia'!$H$5:$H$504,MATCH(F2140&amp;"|"&amp;(A2140+1),'Zgłoszenia'!$S$5:$S$504,0)))&amp;IF(K2140&gt;1," (+"&amp;(K2140-1)&amp;")",""))</f>
        <v/>
      </c>
      <c r="M2140" s="63" t="n">
        <v>27</v>
      </c>
      <c r="N2140" s="2" t="n"/>
      <c r="O2140" s="2" t="n"/>
    </row>
    <row r="2141">
      <c r="A2141" s="62">
        <f>IF('27'!$C$1="","",'27'!$C$1)</f>
        <v/>
      </c>
      <c r="B2141" s="63">
        <f>Ustawienia!$A$9&amp;""</f>
        <v/>
      </c>
      <c r="C2141" s="63">
        <f>Ustawienia!$A$15&amp;""</f>
        <v/>
      </c>
      <c r="D2141" s="63" t="n">
        <v>1</v>
      </c>
      <c r="E2141" s="63">
        <f>IF('27'!F13="","",TRIM('27'!F13&amp;""))</f>
        <v/>
      </c>
      <c r="F2141" s="63">
        <f>IF('27'!G13="","",'27'!G13)</f>
        <v/>
      </c>
      <c r="G2141" s="63">
        <f>'27'!H13&amp;""</f>
        <v/>
      </c>
      <c r="H2141" s="63">
        <f>IF(OR(A2141="",F2141=""),"",F2141&amp;"|"&amp;A2141)</f>
        <v/>
      </c>
      <c r="I2141" s="63">
        <f>IF(AND(H2141&lt;&gt;"",OR('Historia wózka'!$B$4="",F2141='Historia wózka'!$B$4),A2141&gt;='Historia wózka'!$B$5,A2141&lt;='Historia wózka'!$B$6),A2141+0.8+(5000-ROW())/10000000,0)</f>
        <v/>
      </c>
      <c r="J2141" s="63">
        <f>Ustawienia!$B$9&amp;""</f>
        <v/>
      </c>
      <c r="K2141" s="63">
        <f>IF(H2141="","",COUNTIFS('Zgłoszenia'!$B$5:$B$504,F2141,'Zgłoszenia'!$D$5:$D$504,"&gt;="&amp;A2141,'Zgłoszenia'!$D$5:$D$504,"&lt;="&amp;(A2141+1)))</f>
        <v/>
      </c>
      <c r="L2141" s="63">
        <f>IF(OR(H2141="",K2141=0),"—",IF(ISNUMBER(MATCH(H2141,'Zgłoszenia'!$S$5:$S$504,0)),RIGHT("0"&amp;DAY(A2141),2)&amp;"."&amp;RIGHT("0"&amp;MONTH(A2141),2)&amp;"."&amp;YEAR(A2141)&amp;": "&amp;INDEX('Zgłoszenia'!$H$5:$H$504,MATCH(H2141,'Zgłoszenia'!$S$5:$S$504,0)),RIGHT("0"&amp;DAY((A2141+1)),2)&amp;"."&amp;RIGHT("0"&amp;MONTH((A2141+1)),2)&amp;"."&amp;YEAR((A2141+1))&amp;": "&amp;INDEX('Zgłoszenia'!$H$5:$H$504,MATCH(F2141&amp;"|"&amp;(A2141+1),'Zgłoszenia'!$S$5:$S$504,0)))&amp;IF(K2141&gt;1," (+"&amp;(K2141-1)&amp;")",""))</f>
        <v/>
      </c>
      <c r="M2141" s="63" t="n">
        <v>27</v>
      </c>
      <c r="N2141" s="2" t="n"/>
      <c r="O2141" s="2" t="n"/>
    </row>
    <row r="2142">
      <c r="A2142" s="62">
        <f>IF('27'!$C$1="","",'27'!$C$1)</f>
        <v/>
      </c>
      <c r="B2142" s="63">
        <f>Ustawienia!$A$9&amp;""</f>
        <v/>
      </c>
      <c r="C2142" s="63">
        <f>Ustawienia!$A$15&amp;""</f>
        <v/>
      </c>
      <c r="D2142" s="63" t="n">
        <v>2</v>
      </c>
      <c r="E2142" s="63">
        <f>IF('27'!F14="","",TRIM('27'!F14&amp;""))</f>
        <v/>
      </c>
      <c r="F2142" s="63">
        <f>IF('27'!G14="","",'27'!G14)</f>
        <v/>
      </c>
      <c r="G2142" s="63">
        <f>'27'!H14&amp;""</f>
        <v/>
      </c>
      <c r="H2142" s="63">
        <f>IF(OR(A2142="",F2142=""),"",F2142&amp;"|"&amp;A2142)</f>
        <v/>
      </c>
      <c r="I2142" s="63">
        <f>IF(AND(H2142&lt;&gt;"",OR('Historia wózka'!$B$4="",F2142='Historia wózka'!$B$4),A2142&gt;='Historia wózka'!$B$5,A2142&lt;='Historia wózka'!$B$6),A2142+0.8+(5000-ROW())/10000000,0)</f>
        <v/>
      </c>
      <c r="J2142" s="63">
        <f>Ustawienia!$B$9&amp;""</f>
        <v/>
      </c>
      <c r="K2142" s="63">
        <f>IF(H2142="","",COUNTIFS('Zgłoszenia'!$B$5:$B$504,F2142,'Zgłoszenia'!$D$5:$D$504,"&gt;="&amp;A2142,'Zgłoszenia'!$D$5:$D$504,"&lt;="&amp;(A2142+1)))</f>
        <v/>
      </c>
      <c r="L2142" s="63">
        <f>IF(OR(H2142="",K2142=0),"—",IF(ISNUMBER(MATCH(H2142,'Zgłoszenia'!$S$5:$S$504,0)),RIGHT("0"&amp;DAY(A2142),2)&amp;"."&amp;RIGHT("0"&amp;MONTH(A2142),2)&amp;"."&amp;YEAR(A2142)&amp;": "&amp;INDEX('Zgłoszenia'!$H$5:$H$504,MATCH(H2142,'Zgłoszenia'!$S$5:$S$504,0)),RIGHT("0"&amp;DAY((A2142+1)),2)&amp;"."&amp;RIGHT("0"&amp;MONTH((A2142+1)),2)&amp;"."&amp;YEAR((A2142+1))&amp;": "&amp;INDEX('Zgłoszenia'!$H$5:$H$504,MATCH(F2142&amp;"|"&amp;(A2142+1),'Zgłoszenia'!$S$5:$S$504,0)))&amp;IF(K2142&gt;1," (+"&amp;(K2142-1)&amp;")",""))</f>
        <v/>
      </c>
      <c r="M2142" s="63" t="n">
        <v>27</v>
      </c>
      <c r="N2142" s="2" t="n"/>
      <c r="O2142" s="2" t="n"/>
    </row>
    <row r="2143">
      <c r="A2143" s="62">
        <f>IF('27'!$C$1="","",'27'!$C$1)</f>
        <v/>
      </c>
      <c r="B2143" s="63">
        <f>Ustawienia!$A$9&amp;""</f>
        <v/>
      </c>
      <c r="C2143" s="63">
        <f>Ustawienia!$A$15&amp;""</f>
        <v/>
      </c>
      <c r="D2143" s="63" t="n">
        <v>3</v>
      </c>
      <c r="E2143" s="63">
        <f>IF('27'!F15="","",TRIM('27'!F15&amp;""))</f>
        <v/>
      </c>
      <c r="F2143" s="63">
        <f>IF('27'!G15="","",'27'!G15)</f>
        <v/>
      </c>
      <c r="G2143" s="63">
        <f>'27'!H15&amp;""</f>
        <v/>
      </c>
      <c r="H2143" s="63">
        <f>IF(OR(A2143="",F2143=""),"",F2143&amp;"|"&amp;A2143)</f>
        <v/>
      </c>
      <c r="I2143" s="63">
        <f>IF(AND(H2143&lt;&gt;"",OR('Historia wózka'!$B$4="",F2143='Historia wózka'!$B$4),A2143&gt;='Historia wózka'!$B$5,A2143&lt;='Historia wózka'!$B$6),A2143+0.8+(5000-ROW())/10000000,0)</f>
        <v/>
      </c>
      <c r="J2143" s="63">
        <f>Ustawienia!$B$9&amp;""</f>
        <v/>
      </c>
      <c r="K2143" s="63">
        <f>IF(H2143="","",COUNTIFS('Zgłoszenia'!$B$5:$B$504,F2143,'Zgłoszenia'!$D$5:$D$504,"&gt;="&amp;A2143,'Zgłoszenia'!$D$5:$D$504,"&lt;="&amp;(A2143+1)))</f>
        <v/>
      </c>
      <c r="L2143" s="63">
        <f>IF(OR(H2143="",K2143=0),"—",IF(ISNUMBER(MATCH(H2143,'Zgłoszenia'!$S$5:$S$504,0)),RIGHT("0"&amp;DAY(A2143),2)&amp;"."&amp;RIGHT("0"&amp;MONTH(A2143),2)&amp;"."&amp;YEAR(A2143)&amp;": "&amp;INDEX('Zgłoszenia'!$H$5:$H$504,MATCH(H2143,'Zgłoszenia'!$S$5:$S$504,0)),RIGHT("0"&amp;DAY((A2143+1)),2)&amp;"."&amp;RIGHT("0"&amp;MONTH((A2143+1)),2)&amp;"."&amp;YEAR((A2143+1))&amp;": "&amp;INDEX('Zgłoszenia'!$H$5:$H$504,MATCH(F2143&amp;"|"&amp;(A2143+1),'Zgłoszenia'!$S$5:$S$504,0)))&amp;IF(K2143&gt;1," (+"&amp;(K2143-1)&amp;")",""))</f>
        <v/>
      </c>
      <c r="M2143" s="63" t="n">
        <v>27</v>
      </c>
      <c r="N2143" s="2" t="n"/>
      <c r="O2143" s="2" t="n"/>
    </row>
    <row r="2144">
      <c r="A2144" s="62">
        <f>IF('27'!$C$1="","",'27'!$C$1)</f>
        <v/>
      </c>
      <c r="B2144" s="63">
        <f>Ustawienia!$A$9&amp;""</f>
        <v/>
      </c>
      <c r="C2144" s="63">
        <f>Ustawienia!$A$15&amp;""</f>
        <v/>
      </c>
      <c r="D2144" s="63" t="n">
        <v>4</v>
      </c>
      <c r="E2144" s="63">
        <f>IF('27'!F16="","",TRIM('27'!F16&amp;""))</f>
        <v/>
      </c>
      <c r="F2144" s="63">
        <f>IF('27'!G16="","",'27'!G16)</f>
        <v/>
      </c>
      <c r="G2144" s="63">
        <f>'27'!H16&amp;""</f>
        <v/>
      </c>
      <c r="H2144" s="63">
        <f>IF(OR(A2144="",F2144=""),"",F2144&amp;"|"&amp;A2144)</f>
        <v/>
      </c>
      <c r="I2144" s="63">
        <f>IF(AND(H2144&lt;&gt;"",OR('Historia wózka'!$B$4="",F2144='Historia wózka'!$B$4),A2144&gt;='Historia wózka'!$B$5,A2144&lt;='Historia wózka'!$B$6),A2144+0.8+(5000-ROW())/10000000,0)</f>
        <v/>
      </c>
      <c r="J2144" s="63">
        <f>Ustawienia!$B$9&amp;""</f>
        <v/>
      </c>
      <c r="K2144" s="63">
        <f>IF(H2144="","",COUNTIFS('Zgłoszenia'!$B$5:$B$504,F2144,'Zgłoszenia'!$D$5:$D$504,"&gt;="&amp;A2144,'Zgłoszenia'!$D$5:$D$504,"&lt;="&amp;(A2144+1)))</f>
        <v/>
      </c>
      <c r="L2144" s="63">
        <f>IF(OR(H2144="",K2144=0),"—",IF(ISNUMBER(MATCH(H2144,'Zgłoszenia'!$S$5:$S$504,0)),RIGHT("0"&amp;DAY(A2144),2)&amp;"."&amp;RIGHT("0"&amp;MONTH(A2144),2)&amp;"."&amp;YEAR(A2144)&amp;": "&amp;INDEX('Zgłoszenia'!$H$5:$H$504,MATCH(H2144,'Zgłoszenia'!$S$5:$S$504,0)),RIGHT("0"&amp;DAY((A2144+1)),2)&amp;"."&amp;RIGHT("0"&amp;MONTH((A2144+1)),2)&amp;"."&amp;YEAR((A2144+1))&amp;": "&amp;INDEX('Zgłoszenia'!$H$5:$H$504,MATCH(F2144&amp;"|"&amp;(A2144+1),'Zgłoszenia'!$S$5:$S$504,0)))&amp;IF(K2144&gt;1," (+"&amp;(K2144-1)&amp;")",""))</f>
        <v/>
      </c>
      <c r="M2144" s="63" t="n">
        <v>27</v>
      </c>
      <c r="N2144" s="2" t="n"/>
      <c r="O2144" s="2" t="n"/>
    </row>
    <row r="2145">
      <c r="A2145" s="62">
        <f>IF('27'!$C$1="","",'27'!$C$1)</f>
        <v/>
      </c>
      <c r="B2145" s="63">
        <f>Ustawienia!$A$9&amp;""</f>
        <v/>
      </c>
      <c r="C2145" s="63">
        <f>Ustawienia!$A$15&amp;""</f>
        <v/>
      </c>
      <c r="D2145" s="63" t="n">
        <v>5</v>
      </c>
      <c r="E2145" s="63">
        <f>IF('27'!F17="","",TRIM('27'!F17&amp;""))</f>
        <v/>
      </c>
      <c r="F2145" s="63">
        <f>IF('27'!G17="","",'27'!G17)</f>
        <v/>
      </c>
      <c r="G2145" s="63">
        <f>'27'!H17&amp;""</f>
        <v/>
      </c>
      <c r="H2145" s="63">
        <f>IF(OR(A2145="",F2145=""),"",F2145&amp;"|"&amp;A2145)</f>
        <v/>
      </c>
      <c r="I2145" s="63">
        <f>IF(AND(H2145&lt;&gt;"",OR('Historia wózka'!$B$4="",F2145='Historia wózka'!$B$4),A2145&gt;='Historia wózka'!$B$5,A2145&lt;='Historia wózka'!$B$6),A2145+0.8+(5000-ROW())/10000000,0)</f>
        <v/>
      </c>
      <c r="J2145" s="63">
        <f>Ustawienia!$B$9&amp;""</f>
        <v/>
      </c>
      <c r="K2145" s="63">
        <f>IF(H2145="","",COUNTIFS('Zgłoszenia'!$B$5:$B$504,F2145,'Zgłoszenia'!$D$5:$D$504,"&gt;="&amp;A2145,'Zgłoszenia'!$D$5:$D$504,"&lt;="&amp;(A2145+1)))</f>
        <v/>
      </c>
      <c r="L2145" s="63">
        <f>IF(OR(H2145="",K2145=0),"—",IF(ISNUMBER(MATCH(H2145,'Zgłoszenia'!$S$5:$S$504,0)),RIGHT("0"&amp;DAY(A2145),2)&amp;"."&amp;RIGHT("0"&amp;MONTH(A2145),2)&amp;"."&amp;YEAR(A2145)&amp;": "&amp;INDEX('Zgłoszenia'!$H$5:$H$504,MATCH(H2145,'Zgłoszenia'!$S$5:$S$504,0)),RIGHT("0"&amp;DAY((A2145+1)),2)&amp;"."&amp;RIGHT("0"&amp;MONTH((A2145+1)),2)&amp;"."&amp;YEAR((A2145+1))&amp;": "&amp;INDEX('Zgłoszenia'!$H$5:$H$504,MATCH(F2145&amp;"|"&amp;(A2145+1),'Zgłoszenia'!$S$5:$S$504,0)))&amp;IF(K2145&gt;1," (+"&amp;(K2145-1)&amp;")",""))</f>
        <v/>
      </c>
      <c r="M2145" s="63" t="n">
        <v>27</v>
      </c>
      <c r="N2145" s="2" t="n"/>
      <c r="O2145" s="2" t="n"/>
    </row>
    <row r="2146">
      <c r="A2146" s="62">
        <f>IF('27'!$C$1="","",'27'!$C$1)</f>
        <v/>
      </c>
      <c r="B2146" s="63">
        <f>Ustawienia!$A$9&amp;""</f>
        <v/>
      </c>
      <c r="C2146" s="63">
        <f>Ustawienia!$A$15&amp;""</f>
        <v/>
      </c>
      <c r="D2146" s="63" t="n">
        <v>6</v>
      </c>
      <c r="E2146" s="63">
        <f>IF('27'!F18="","",TRIM('27'!F18&amp;""))</f>
        <v/>
      </c>
      <c r="F2146" s="63">
        <f>IF('27'!G18="","",'27'!G18)</f>
        <v/>
      </c>
      <c r="G2146" s="63">
        <f>'27'!H18&amp;""</f>
        <v/>
      </c>
      <c r="H2146" s="63">
        <f>IF(OR(A2146="",F2146=""),"",F2146&amp;"|"&amp;A2146)</f>
        <v/>
      </c>
      <c r="I2146" s="63">
        <f>IF(AND(H2146&lt;&gt;"",OR('Historia wózka'!$B$4="",F2146='Historia wózka'!$B$4),A2146&gt;='Historia wózka'!$B$5,A2146&lt;='Historia wózka'!$B$6),A2146+0.8+(5000-ROW())/10000000,0)</f>
        <v/>
      </c>
      <c r="J2146" s="63">
        <f>Ustawienia!$B$9&amp;""</f>
        <v/>
      </c>
      <c r="K2146" s="63">
        <f>IF(H2146="","",COUNTIFS('Zgłoszenia'!$B$5:$B$504,F2146,'Zgłoszenia'!$D$5:$D$504,"&gt;="&amp;A2146,'Zgłoszenia'!$D$5:$D$504,"&lt;="&amp;(A2146+1)))</f>
        <v/>
      </c>
      <c r="L2146" s="63">
        <f>IF(OR(H2146="",K2146=0),"—",IF(ISNUMBER(MATCH(H2146,'Zgłoszenia'!$S$5:$S$504,0)),RIGHT("0"&amp;DAY(A2146),2)&amp;"."&amp;RIGHT("0"&amp;MONTH(A2146),2)&amp;"."&amp;YEAR(A2146)&amp;": "&amp;INDEX('Zgłoszenia'!$H$5:$H$504,MATCH(H2146,'Zgłoszenia'!$S$5:$S$504,0)),RIGHT("0"&amp;DAY((A2146+1)),2)&amp;"."&amp;RIGHT("0"&amp;MONTH((A2146+1)),2)&amp;"."&amp;YEAR((A2146+1))&amp;": "&amp;INDEX('Zgłoszenia'!$H$5:$H$504,MATCH(F2146&amp;"|"&amp;(A2146+1),'Zgłoszenia'!$S$5:$S$504,0)))&amp;IF(K2146&gt;1," (+"&amp;(K2146-1)&amp;")",""))</f>
        <v/>
      </c>
      <c r="M2146" s="63" t="n">
        <v>27</v>
      </c>
      <c r="N2146" s="2" t="n"/>
      <c r="O2146" s="2" t="n"/>
    </row>
    <row r="2147">
      <c r="A2147" s="62">
        <f>IF('27'!$C$1="","",'27'!$C$1)</f>
        <v/>
      </c>
      <c r="B2147" s="63">
        <f>Ustawienia!$A$9&amp;""</f>
        <v/>
      </c>
      <c r="C2147" s="63">
        <f>Ustawienia!$A$15&amp;""</f>
        <v/>
      </c>
      <c r="D2147" s="63" t="n">
        <v>7</v>
      </c>
      <c r="E2147" s="63">
        <f>IF('27'!F19="","",TRIM('27'!F19&amp;""))</f>
        <v/>
      </c>
      <c r="F2147" s="63">
        <f>IF('27'!G19="","",'27'!G19)</f>
        <v/>
      </c>
      <c r="G2147" s="63">
        <f>'27'!H19&amp;""</f>
        <v/>
      </c>
      <c r="H2147" s="63">
        <f>IF(OR(A2147="",F2147=""),"",F2147&amp;"|"&amp;A2147)</f>
        <v/>
      </c>
      <c r="I2147" s="63">
        <f>IF(AND(H2147&lt;&gt;"",OR('Historia wózka'!$B$4="",F2147='Historia wózka'!$B$4),A2147&gt;='Historia wózka'!$B$5,A2147&lt;='Historia wózka'!$B$6),A2147+0.8+(5000-ROW())/10000000,0)</f>
        <v/>
      </c>
      <c r="J2147" s="63">
        <f>Ustawienia!$B$9&amp;""</f>
        <v/>
      </c>
      <c r="K2147" s="63">
        <f>IF(H2147="","",COUNTIFS('Zgłoszenia'!$B$5:$B$504,F2147,'Zgłoszenia'!$D$5:$D$504,"&gt;="&amp;A2147,'Zgłoszenia'!$D$5:$D$504,"&lt;="&amp;(A2147+1)))</f>
        <v/>
      </c>
      <c r="L2147" s="63">
        <f>IF(OR(H2147="",K2147=0),"—",IF(ISNUMBER(MATCH(H2147,'Zgłoszenia'!$S$5:$S$504,0)),RIGHT("0"&amp;DAY(A2147),2)&amp;"."&amp;RIGHT("0"&amp;MONTH(A2147),2)&amp;"."&amp;YEAR(A2147)&amp;": "&amp;INDEX('Zgłoszenia'!$H$5:$H$504,MATCH(H2147,'Zgłoszenia'!$S$5:$S$504,0)),RIGHT("0"&amp;DAY((A2147+1)),2)&amp;"."&amp;RIGHT("0"&amp;MONTH((A2147+1)),2)&amp;"."&amp;YEAR((A2147+1))&amp;": "&amp;INDEX('Zgłoszenia'!$H$5:$H$504,MATCH(F2147&amp;"|"&amp;(A2147+1),'Zgłoszenia'!$S$5:$S$504,0)))&amp;IF(K2147&gt;1," (+"&amp;(K2147-1)&amp;")",""))</f>
        <v/>
      </c>
      <c r="M2147" s="63" t="n">
        <v>27</v>
      </c>
      <c r="N2147" s="2" t="n"/>
      <c r="O2147" s="2" t="n"/>
    </row>
    <row r="2148">
      <c r="A2148" s="62">
        <f>IF('27'!$C$1="","",'27'!$C$1)</f>
        <v/>
      </c>
      <c r="B2148" s="63">
        <f>Ustawienia!$A$9&amp;""</f>
        <v/>
      </c>
      <c r="C2148" s="63">
        <f>Ustawienia!$A$15&amp;""</f>
        <v/>
      </c>
      <c r="D2148" s="63" t="n">
        <v>8</v>
      </c>
      <c r="E2148" s="63">
        <f>IF('27'!F20="","",TRIM('27'!F20&amp;""))</f>
        <v/>
      </c>
      <c r="F2148" s="63">
        <f>IF('27'!G20="","",'27'!G20)</f>
        <v/>
      </c>
      <c r="G2148" s="63">
        <f>'27'!H20&amp;""</f>
        <v/>
      </c>
      <c r="H2148" s="63">
        <f>IF(OR(A2148="",F2148=""),"",F2148&amp;"|"&amp;A2148)</f>
        <v/>
      </c>
      <c r="I2148" s="63">
        <f>IF(AND(H2148&lt;&gt;"",OR('Historia wózka'!$B$4="",F2148='Historia wózka'!$B$4),A2148&gt;='Historia wózka'!$B$5,A2148&lt;='Historia wózka'!$B$6),A2148+0.8+(5000-ROW())/10000000,0)</f>
        <v/>
      </c>
      <c r="J2148" s="63">
        <f>Ustawienia!$B$9&amp;""</f>
        <v/>
      </c>
      <c r="K2148" s="63">
        <f>IF(H2148="","",COUNTIFS('Zgłoszenia'!$B$5:$B$504,F2148,'Zgłoszenia'!$D$5:$D$504,"&gt;="&amp;A2148,'Zgłoszenia'!$D$5:$D$504,"&lt;="&amp;(A2148+1)))</f>
        <v/>
      </c>
      <c r="L2148" s="63">
        <f>IF(OR(H2148="",K2148=0),"—",IF(ISNUMBER(MATCH(H2148,'Zgłoszenia'!$S$5:$S$504,0)),RIGHT("0"&amp;DAY(A2148),2)&amp;"."&amp;RIGHT("0"&amp;MONTH(A2148),2)&amp;"."&amp;YEAR(A2148)&amp;": "&amp;INDEX('Zgłoszenia'!$H$5:$H$504,MATCH(H2148,'Zgłoszenia'!$S$5:$S$504,0)),RIGHT("0"&amp;DAY((A2148+1)),2)&amp;"."&amp;RIGHT("0"&amp;MONTH((A2148+1)),2)&amp;"."&amp;YEAR((A2148+1))&amp;": "&amp;INDEX('Zgłoszenia'!$H$5:$H$504,MATCH(F2148&amp;"|"&amp;(A2148+1),'Zgłoszenia'!$S$5:$S$504,0)))&amp;IF(K2148&gt;1," (+"&amp;(K2148-1)&amp;")",""))</f>
        <v/>
      </c>
      <c r="M2148" s="63" t="n">
        <v>27</v>
      </c>
      <c r="N2148" s="2" t="n"/>
      <c r="O2148" s="2" t="n"/>
    </row>
    <row r="2149">
      <c r="A2149" s="62">
        <f>IF('27'!$C$1="","",'27'!$C$1)</f>
        <v/>
      </c>
      <c r="B2149" s="63">
        <f>Ustawienia!$A$9&amp;""</f>
        <v/>
      </c>
      <c r="C2149" s="63">
        <f>Ustawienia!$A$16&amp;""</f>
        <v/>
      </c>
      <c r="D2149" s="63" t="n">
        <v>1</v>
      </c>
      <c r="E2149" s="63">
        <f>IF('27'!F22="","",TRIM('27'!F22&amp;""))</f>
        <v/>
      </c>
      <c r="F2149" s="63">
        <f>IF('27'!G22="","",'27'!G22)</f>
        <v/>
      </c>
      <c r="G2149" s="63">
        <f>'27'!H22&amp;""</f>
        <v/>
      </c>
      <c r="H2149" s="63">
        <f>IF(OR(A2149="",F2149=""),"",F2149&amp;"|"&amp;A2149)</f>
        <v/>
      </c>
      <c r="I2149" s="63">
        <f>IF(AND(H2149&lt;&gt;"",OR('Historia wózka'!$B$4="",F2149='Historia wózka'!$B$4),A2149&gt;='Historia wózka'!$B$5,A2149&lt;='Historia wózka'!$B$6),A2149+0.8+(5000-ROW())/10000000,0)</f>
        <v/>
      </c>
      <c r="J2149" s="63">
        <f>Ustawienia!$B$9&amp;""</f>
        <v/>
      </c>
      <c r="K2149" s="63">
        <f>IF(H2149="","",COUNTIFS('Zgłoszenia'!$B$5:$B$504,F2149,'Zgłoszenia'!$D$5:$D$504,"&gt;="&amp;A2149,'Zgłoszenia'!$D$5:$D$504,"&lt;="&amp;(A2149+1)))</f>
        <v/>
      </c>
      <c r="L2149" s="63">
        <f>IF(OR(H2149="",K2149=0),"—",IF(ISNUMBER(MATCH(H2149,'Zgłoszenia'!$S$5:$S$504,0)),RIGHT("0"&amp;DAY(A2149),2)&amp;"."&amp;RIGHT("0"&amp;MONTH(A2149),2)&amp;"."&amp;YEAR(A2149)&amp;": "&amp;INDEX('Zgłoszenia'!$H$5:$H$504,MATCH(H2149,'Zgłoszenia'!$S$5:$S$504,0)),RIGHT("0"&amp;DAY((A2149+1)),2)&amp;"."&amp;RIGHT("0"&amp;MONTH((A2149+1)),2)&amp;"."&amp;YEAR((A2149+1))&amp;": "&amp;INDEX('Zgłoszenia'!$H$5:$H$504,MATCH(F2149&amp;"|"&amp;(A2149+1),'Zgłoszenia'!$S$5:$S$504,0)))&amp;IF(K2149&gt;1," (+"&amp;(K2149-1)&amp;")",""))</f>
        <v/>
      </c>
      <c r="M2149" s="63" t="n">
        <v>27</v>
      </c>
      <c r="N2149" s="2" t="n"/>
      <c r="O2149" s="2" t="n"/>
    </row>
    <row r="2150">
      <c r="A2150" s="62">
        <f>IF('27'!$C$1="","",'27'!$C$1)</f>
        <v/>
      </c>
      <c r="B2150" s="63">
        <f>Ustawienia!$A$9&amp;""</f>
        <v/>
      </c>
      <c r="C2150" s="63">
        <f>Ustawienia!$A$16&amp;""</f>
        <v/>
      </c>
      <c r="D2150" s="63" t="n">
        <v>2</v>
      </c>
      <c r="E2150" s="63">
        <f>IF('27'!F23="","",TRIM('27'!F23&amp;""))</f>
        <v/>
      </c>
      <c r="F2150" s="63">
        <f>IF('27'!G23="","",'27'!G23)</f>
        <v/>
      </c>
      <c r="G2150" s="63">
        <f>'27'!H23&amp;""</f>
        <v/>
      </c>
      <c r="H2150" s="63">
        <f>IF(OR(A2150="",F2150=""),"",F2150&amp;"|"&amp;A2150)</f>
        <v/>
      </c>
      <c r="I2150" s="63">
        <f>IF(AND(H2150&lt;&gt;"",OR('Historia wózka'!$B$4="",F2150='Historia wózka'!$B$4),A2150&gt;='Historia wózka'!$B$5,A2150&lt;='Historia wózka'!$B$6),A2150+0.8+(5000-ROW())/10000000,0)</f>
        <v/>
      </c>
      <c r="J2150" s="63">
        <f>Ustawienia!$B$9&amp;""</f>
        <v/>
      </c>
      <c r="K2150" s="63">
        <f>IF(H2150="","",COUNTIFS('Zgłoszenia'!$B$5:$B$504,F2150,'Zgłoszenia'!$D$5:$D$504,"&gt;="&amp;A2150,'Zgłoszenia'!$D$5:$D$504,"&lt;="&amp;(A2150+1)))</f>
        <v/>
      </c>
      <c r="L2150" s="63">
        <f>IF(OR(H2150="",K2150=0),"—",IF(ISNUMBER(MATCH(H2150,'Zgłoszenia'!$S$5:$S$504,0)),RIGHT("0"&amp;DAY(A2150),2)&amp;"."&amp;RIGHT("0"&amp;MONTH(A2150),2)&amp;"."&amp;YEAR(A2150)&amp;": "&amp;INDEX('Zgłoszenia'!$H$5:$H$504,MATCH(H2150,'Zgłoszenia'!$S$5:$S$504,0)),RIGHT("0"&amp;DAY((A2150+1)),2)&amp;"."&amp;RIGHT("0"&amp;MONTH((A2150+1)),2)&amp;"."&amp;YEAR((A2150+1))&amp;": "&amp;INDEX('Zgłoszenia'!$H$5:$H$504,MATCH(F2150&amp;"|"&amp;(A2150+1),'Zgłoszenia'!$S$5:$S$504,0)))&amp;IF(K2150&gt;1," (+"&amp;(K2150-1)&amp;")",""))</f>
        <v/>
      </c>
      <c r="M2150" s="63" t="n">
        <v>27</v>
      </c>
      <c r="N2150" s="2" t="n"/>
      <c r="O2150" s="2" t="n"/>
    </row>
    <row r="2151">
      <c r="A2151" s="62">
        <f>IF('27'!$C$1="","",'27'!$C$1)</f>
        <v/>
      </c>
      <c r="B2151" s="63">
        <f>Ustawienia!$A$9&amp;""</f>
        <v/>
      </c>
      <c r="C2151" s="63">
        <f>Ustawienia!$A$16&amp;""</f>
        <v/>
      </c>
      <c r="D2151" s="63" t="n">
        <v>3</v>
      </c>
      <c r="E2151" s="63">
        <f>IF('27'!F24="","",TRIM('27'!F24&amp;""))</f>
        <v/>
      </c>
      <c r="F2151" s="63">
        <f>IF('27'!G24="","",'27'!G24)</f>
        <v/>
      </c>
      <c r="G2151" s="63">
        <f>'27'!H24&amp;""</f>
        <v/>
      </c>
      <c r="H2151" s="63">
        <f>IF(OR(A2151="",F2151=""),"",F2151&amp;"|"&amp;A2151)</f>
        <v/>
      </c>
      <c r="I2151" s="63">
        <f>IF(AND(H2151&lt;&gt;"",OR('Historia wózka'!$B$4="",F2151='Historia wózka'!$B$4),A2151&gt;='Historia wózka'!$B$5,A2151&lt;='Historia wózka'!$B$6),A2151+0.8+(5000-ROW())/10000000,0)</f>
        <v/>
      </c>
      <c r="J2151" s="63">
        <f>Ustawienia!$B$9&amp;""</f>
        <v/>
      </c>
      <c r="K2151" s="63">
        <f>IF(H2151="","",COUNTIFS('Zgłoszenia'!$B$5:$B$504,F2151,'Zgłoszenia'!$D$5:$D$504,"&gt;="&amp;A2151,'Zgłoszenia'!$D$5:$D$504,"&lt;="&amp;(A2151+1)))</f>
        <v/>
      </c>
      <c r="L2151" s="63">
        <f>IF(OR(H2151="",K2151=0),"—",IF(ISNUMBER(MATCH(H2151,'Zgłoszenia'!$S$5:$S$504,0)),RIGHT("0"&amp;DAY(A2151),2)&amp;"."&amp;RIGHT("0"&amp;MONTH(A2151),2)&amp;"."&amp;YEAR(A2151)&amp;": "&amp;INDEX('Zgłoszenia'!$H$5:$H$504,MATCH(H2151,'Zgłoszenia'!$S$5:$S$504,0)),RIGHT("0"&amp;DAY((A2151+1)),2)&amp;"."&amp;RIGHT("0"&amp;MONTH((A2151+1)),2)&amp;"."&amp;YEAR((A2151+1))&amp;": "&amp;INDEX('Zgłoszenia'!$H$5:$H$504,MATCH(F2151&amp;"|"&amp;(A2151+1),'Zgłoszenia'!$S$5:$S$504,0)))&amp;IF(K2151&gt;1," (+"&amp;(K2151-1)&amp;")",""))</f>
        <v/>
      </c>
      <c r="M2151" s="63" t="n">
        <v>27</v>
      </c>
      <c r="N2151" s="2" t="n"/>
      <c r="O2151" s="2" t="n"/>
    </row>
    <row r="2152">
      <c r="A2152" s="62">
        <f>IF('27'!$C$1="","",'27'!$C$1)</f>
        <v/>
      </c>
      <c r="B2152" s="63">
        <f>Ustawienia!$A$9&amp;""</f>
        <v/>
      </c>
      <c r="C2152" s="63">
        <f>Ustawienia!$A$16&amp;""</f>
        <v/>
      </c>
      <c r="D2152" s="63" t="n">
        <v>4</v>
      </c>
      <c r="E2152" s="63">
        <f>IF('27'!F25="","",TRIM('27'!F25&amp;""))</f>
        <v/>
      </c>
      <c r="F2152" s="63">
        <f>IF('27'!G25="","",'27'!G25)</f>
        <v/>
      </c>
      <c r="G2152" s="63">
        <f>'27'!H25&amp;""</f>
        <v/>
      </c>
      <c r="H2152" s="63">
        <f>IF(OR(A2152="",F2152=""),"",F2152&amp;"|"&amp;A2152)</f>
        <v/>
      </c>
      <c r="I2152" s="63">
        <f>IF(AND(H2152&lt;&gt;"",OR('Historia wózka'!$B$4="",F2152='Historia wózka'!$B$4),A2152&gt;='Historia wózka'!$B$5,A2152&lt;='Historia wózka'!$B$6),A2152+0.8+(5000-ROW())/10000000,0)</f>
        <v/>
      </c>
      <c r="J2152" s="63">
        <f>Ustawienia!$B$9&amp;""</f>
        <v/>
      </c>
      <c r="K2152" s="63">
        <f>IF(H2152="","",COUNTIFS('Zgłoszenia'!$B$5:$B$504,F2152,'Zgłoszenia'!$D$5:$D$504,"&gt;="&amp;A2152,'Zgłoszenia'!$D$5:$D$504,"&lt;="&amp;(A2152+1)))</f>
        <v/>
      </c>
      <c r="L2152" s="63">
        <f>IF(OR(H2152="",K2152=0),"—",IF(ISNUMBER(MATCH(H2152,'Zgłoszenia'!$S$5:$S$504,0)),RIGHT("0"&amp;DAY(A2152),2)&amp;"."&amp;RIGHT("0"&amp;MONTH(A2152),2)&amp;"."&amp;YEAR(A2152)&amp;": "&amp;INDEX('Zgłoszenia'!$H$5:$H$504,MATCH(H2152,'Zgłoszenia'!$S$5:$S$504,0)),RIGHT("0"&amp;DAY((A2152+1)),2)&amp;"."&amp;RIGHT("0"&amp;MONTH((A2152+1)),2)&amp;"."&amp;YEAR((A2152+1))&amp;": "&amp;INDEX('Zgłoszenia'!$H$5:$H$504,MATCH(F2152&amp;"|"&amp;(A2152+1),'Zgłoszenia'!$S$5:$S$504,0)))&amp;IF(K2152&gt;1," (+"&amp;(K2152-1)&amp;")",""))</f>
        <v/>
      </c>
      <c r="M2152" s="63" t="n">
        <v>27</v>
      </c>
      <c r="N2152" s="2" t="n"/>
      <c r="O2152" s="2" t="n"/>
    </row>
    <row r="2153">
      <c r="A2153" s="62">
        <f>IF('27'!$C$1="","",'27'!$C$1)</f>
        <v/>
      </c>
      <c r="B2153" s="63">
        <f>Ustawienia!$A$9&amp;""</f>
        <v/>
      </c>
      <c r="C2153" s="63">
        <f>Ustawienia!$A$17&amp;""</f>
        <v/>
      </c>
      <c r="D2153" s="63" t="n">
        <v>1</v>
      </c>
      <c r="E2153" s="63">
        <f>IF('27'!F27="","",TRIM('27'!F27&amp;""))</f>
        <v/>
      </c>
      <c r="F2153" s="63">
        <f>IF('27'!G27="","",'27'!G27)</f>
        <v/>
      </c>
      <c r="G2153" s="63">
        <f>'27'!H27&amp;""</f>
        <v/>
      </c>
      <c r="H2153" s="63">
        <f>IF(OR(A2153="",F2153=""),"",F2153&amp;"|"&amp;A2153)</f>
        <v/>
      </c>
      <c r="I2153" s="63">
        <f>IF(AND(H2153&lt;&gt;"",OR('Historia wózka'!$B$4="",F2153='Historia wózka'!$B$4),A2153&gt;='Historia wózka'!$B$5,A2153&lt;='Historia wózka'!$B$6),A2153+0.8+(5000-ROW())/10000000,0)</f>
        <v/>
      </c>
      <c r="J2153" s="63">
        <f>Ustawienia!$B$9&amp;""</f>
        <v/>
      </c>
      <c r="K2153" s="63">
        <f>IF(H2153="","",COUNTIFS('Zgłoszenia'!$B$5:$B$504,F2153,'Zgłoszenia'!$D$5:$D$504,"&gt;="&amp;A2153,'Zgłoszenia'!$D$5:$D$504,"&lt;="&amp;(A2153+1)))</f>
        <v/>
      </c>
      <c r="L2153" s="63">
        <f>IF(OR(H2153="",K2153=0),"—",IF(ISNUMBER(MATCH(H2153,'Zgłoszenia'!$S$5:$S$504,0)),RIGHT("0"&amp;DAY(A2153),2)&amp;"."&amp;RIGHT("0"&amp;MONTH(A2153),2)&amp;"."&amp;YEAR(A2153)&amp;": "&amp;INDEX('Zgłoszenia'!$H$5:$H$504,MATCH(H2153,'Zgłoszenia'!$S$5:$S$504,0)),RIGHT("0"&amp;DAY((A2153+1)),2)&amp;"."&amp;RIGHT("0"&amp;MONTH((A2153+1)),2)&amp;"."&amp;YEAR((A2153+1))&amp;": "&amp;INDEX('Zgłoszenia'!$H$5:$H$504,MATCH(F2153&amp;"|"&amp;(A2153+1),'Zgłoszenia'!$S$5:$S$504,0)))&amp;IF(K2153&gt;1," (+"&amp;(K2153-1)&amp;")",""))</f>
        <v/>
      </c>
      <c r="M2153" s="63" t="n">
        <v>27</v>
      </c>
      <c r="N2153" s="2" t="n"/>
      <c r="O2153" s="2" t="n"/>
    </row>
    <row r="2154">
      <c r="A2154" s="62">
        <f>IF('27'!$C$1="","",'27'!$C$1)</f>
        <v/>
      </c>
      <c r="B2154" s="63">
        <f>Ustawienia!$A$9&amp;""</f>
        <v/>
      </c>
      <c r="C2154" s="63">
        <f>Ustawienia!$A$17&amp;""</f>
        <v/>
      </c>
      <c r="D2154" s="63" t="n">
        <v>2</v>
      </c>
      <c r="E2154" s="63">
        <f>IF('27'!F28="","",TRIM('27'!F28&amp;""))</f>
        <v/>
      </c>
      <c r="F2154" s="63">
        <f>IF('27'!G28="","",'27'!G28)</f>
        <v/>
      </c>
      <c r="G2154" s="63">
        <f>'27'!H28&amp;""</f>
        <v/>
      </c>
      <c r="H2154" s="63">
        <f>IF(OR(A2154="",F2154=""),"",F2154&amp;"|"&amp;A2154)</f>
        <v/>
      </c>
      <c r="I2154" s="63">
        <f>IF(AND(H2154&lt;&gt;"",OR('Historia wózka'!$B$4="",F2154='Historia wózka'!$B$4),A2154&gt;='Historia wózka'!$B$5,A2154&lt;='Historia wózka'!$B$6),A2154+0.8+(5000-ROW())/10000000,0)</f>
        <v/>
      </c>
      <c r="J2154" s="63">
        <f>Ustawienia!$B$9&amp;""</f>
        <v/>
      </c>
      <c r="K2154" s="63">
        <f>IF(H2154="","",COUNTIFS('Zgłoszenia'!$B$5:$B$504,F2154,'Zgłoszenia'!$D$5:$D$504,"&gt;="&amp;A2154,'Zgłoszenia'!$D$5:$D$504,"&lt;="&amp;(A2154+1)))</f>
        <v/>
      </c>
      <c r="L2154" s="63">
        <f>IF(OR(H2154="",K2154=0),"—",IF(ISNUMBER(MATCH(H2154,'Zgłoszenia'!$S$5:$S$504,0)),RIGHT("0"&amp;DAY(A2154),2)&amp;"."&amp;RIGHT("0"&amp;MONTH(A2154),2)&amp;"."&amp;YEAR(A2154)&amp;": "&amp;INDEX('Zgłoszenia'!$H$5:$H$504,MATCH(H2154,'Zgłoszenia'!$S$5:$S$504,0)),RIGHT("0"&amp;DAY((A2154+1)),2)&amp;"."&amp;RIGHT("0"&amp;MONTH((A2154+1)),2)&amp;"."&amp;YEAR((A2154+1))&amp;": "&amp;INDEX('Zgłoszenia'!$H$5:$H$504,MATCH(F2154&amp;"|"&amp;(A2154+1),'Zgłoszenia'!$S$5:$S$504,0)))&amp;IF(K2154&gt;1," (+"&amp;(K2154-1)&amp;")",""))</f>
        <v/>
      </c>
      <c r="M2154" s="63" t="n">
        <v>27</v>
      </c>
      <c r="N2154" s="2" t="n"/>
      <c r="O2154" s="2" t="n"/>
    </row>
    <row r="2155">
      <c r="A2155" s="62">
        <f>IF('27'!$C$1="","",'27'!$C$1)</f>
        <v/>
      </c>
      <c r="B2155" s="63">
        <f>Ustawienia!$A$9&amp;""</f>
        <v/>
      </c>
      <c r="C2155" s="63">
        <f>Ustawienia!$A$17&amp;""</f>
        <v/>
      </c>
      <c r="D2155" s="63" t="n">
        <v>3</v>
      </c>
      <c r="E2155" s="63">
        <f>IF('27'!F29="","",TRIM('27'!F29&amp;""))</f>
        <v/>
      </c>
      <c r="F2155" s="63">
        <f>IF('27'!G29="","",'27'!G29)</f>
        <v/>
      </c>
      <c r="G2155" s="63">
        <f>'27'!H29&amp;""</f>
        <v/>
      </c>
      <c r="H2155" s="63">
        <f>IF(OR(A2155="",F2155=""),"",F2155&amp;"|"&amp;A2155)</f>
        <v/>
      </c>
      <c r="I2155" s="63">
        <f>IF(AND(H2155&lt;&gt;"",OR('Historia wózka'!$B$4="",F2155='Historia wózka'!$B$4),A2155&gt;='Historia wózka'!$B$5,A2155&lt;='Historia wózka'!$B$6),A2155+0.8+(5000-ROW())/10000000,0)</f>
        <v/>
      </c>
      <c r="J2155" s="63">
        <f>Ustawienia!$B$9&amp;""</f>
        <v/>
      </c>
      <c r="K2155" s="63">
        <f>IF(H2155="","",COUNTIFS('Zgłoszenia'!$B$5:$B$504,F2155,'Zgłoszenia'!$D$5:$D$504,"&gt;="&amp;A2155,'Zgłoszenia'!$D$5:$D$504,"&lt;="&amp;(A2155+1)))</f>
        <v/>
      </c>
      <c r="L2155" s="63">
        <f>IF(OR(H2155="",K2155=0),"—",IF(ISNUMBER(MATCH(H2155,'Zgłoszenia'!$S$5:$S$504,0)),RIGHT("0"&amp;DAY(A2155),2)&amp;"."&amp;RIGHT("0"&amp;MONTH(A2155),2)&amp;"."&amp;YEAR(A2155)&amp;": "&amp;INDEX('Zgłoszenia'!$H$5:$H$504,MATCH(H2155,'Zgłoszenia'!$S$5:$S$504,0)),RIGHT("0"&amp;DAY((A2155+1)),2)&amp;"."&amp;RIGHT("0"&amp;MONTH((A2155+1)),2)&amp;"."&amp;YEAR((A2155+1))&amp;": "&amp;INDEX('Zgłoszenia'!$H$5:$H$504,MATCH(F2155&amp;"|"&amp;(A2155+1),'Zgłoszenia'!$S$5:$S$504,0)))&amp;IF(K2155&gt;1," (+"&amp;(K2155-1)&amp;")",""))</f>
        <v/>
      </c>
      <c r="M2155" s="63" t="n">
        <v>27</v>
      </c>
      <c r="N2155" s="2" t="n"/>
      <c r="O2155" s="2" t="n"/>
    </row>
    <row r="2156">
      <c r="A2156" s="62">
        <f>IF('27'!$C$1="","",'27'!$C$1)</f>
        <v/>
      </c>
      <c r="B2156" s="63">
        <f>Ustawienia!$A$9&amp;""</f>
        <v/>
      </c>
      <c r="C2156" s="63">
        <f>Ustawienia!$A$17&amp;""</f>
        <v/>
      </c>
      <c r="D2156" s="63" t="n">
        <v>4</v>
      </c>
      <c r="E2156" s="63">
        <f>IF('27'!F30="","",TRIM('27'!F30&amp;""))</f>
        <v/>
      </c>
      <c r="F2156" s="63">
        <f>IF('27'!G30="","",'27'!G30)</f>
        <v/>
      </c>
      <c r="G2156" s="63">
        <f>'27'!H30&amp;""</f>
        <v/>
      </c>
      <c r="H2156" s="63">
        <f>IF(OR(A2156="",F2156=""),"",F2156&amp;"|"&amp;A2156)</f>
        <v/>
      </c>
      <c r="I2156" s="63">
        <f>IF(AND(H2156&lt;&gt;"",OR('Historia wózka'!$B$4="",F2156='Historia wózka'!$B$4),A2156&gt;='Historia wózka'!$B$5,A2156&lt;='Historia wózka'!$B$6),A2156+0.8+(5000-ROW())/10000000,0)</f>
        <v/>
      </c>
      <c r="J2156" s="63">
        <f>Ustawienia!$B$9&amp;""</f>
        <v/>
      </c>
      <c r="K2156" s="63">
        <f>IF(H2156="","",COUNTIFS('Zgłoszenia'!$B$5:$B$504,F2156,'Zgłoszenia'!$D$5:$D$504,"&gt;="&amp;A2156,'Zgłoszenia'!$D$5:$D$504,"&lt;="&amp;(A2156+1)))</f>
        <v/>
      </c>
      <c r="L2156" s="63">
        <f>IF(OR(H2156="",K2156=0),"—",IF(ISNUMBER(MATCH(H2156,'Zgłoszenia'!$S$5:$S$504,0)),RIGHT("0"&amp;DAY(A2156),2)&amp;"."&amp;RIGHT("0"&amp;MONTH(A2156),2)&amp;"."&amp;YEAR(A2156)&amp;": "&amp;INDEX('Zgłoszenia'!$H$5:$H$504,MATCH(H2156,'Zgłoszenia'!$S$5:$S$504,0)),RIGHT("0"&amp;DAY((A2156+1)),2)&amp;"."&amp;RIGHT("0"&amp;MONTH((A2156+1)),2)&amp;"."&amp;YEAR((A2156+1))&amp;": "&amp;INDEX('Zgłoszenia'!$H$5:$H$504,MATCH(F2156&amp;"|"&amp;(A2156+1),'Zgłoszenia'!$S$5:$S$504,0)))&amp;IF(K2156&gt;1," (+"&amp;(K2156-1)&amp;")",""))</f>
        <v/>
      </c>
      <c r="M2156" s="63" t="n">
        <v>27</v>
      </c>
      <c r="N2156" s="2" t="n"/>
      <c r="O2156" s="2" t="n"/>
    </row>
    <row r="2157">
      <c r="A2157" s="62">
        <f>IF('27'!$C$1="","",'27'!$C$1)</f>
        <v/>
      </c>
      <c r="B2157" s="63">
        <f>Ustawienia!$A$9&amp;""</f>
        <v/>
      </c>
      <c r="C2157" s="63">
        <f>Ustawienia!$A$18&amp;""</f>
        <v/>
      </c>
      <c r="D2157" s="63" t="n">
        <v>1</v>
      </c>
      <c r="E2157" s="63">
        <f>IF('27'!F32="","",TRIM('27'!F32&amp;""))</f>
        <v/>
      </c>
      <c r="F2157" s="63">
        <f>IF('27'!G32="","",'27'!G32)</f>
        <v/>
      </c>
      <c r="G2157" s="63">
        <f>'27'!H32&amp;""</f>
        <v/>
      </c>
      <c r="H2157" s="63">
        <f>IF(OR(A2157="",F2157=""),"",F2157&amp;"|"&amp;A2157)</f>
        <v/>
      </c>
      <c r="I2157" s="63">
        <f>IF(AND(H2157&lt;&gt;"",OR('Historia wózka'!$B$4="",F2157='Historia wózka'!$B$4),A2157&gt;='Historia wózka'!$B$5,A2157&lt;='Historia wózka'!$B$6),A2157+0.8+(5000-ROW())/10000000,0)</f>
        <v/>
      </c>
      <c r="J2157" s="63">
        <f>Ustawienia!$B$9&amp;""</f>
        <v/>
      </c>
      <c r="K2157" s="63">
        <f>IF(H2157="","",COUNTIFS('Zgłoszenia'!$B$5:$B$504,F2157,'Zgłoszenia'!$D$5:$D$504,"&gt;="&amp;A2157,'Zgłoszenia'!$D$5:$D$504,"&lt;="&amp;(A2157+1)))</f>
        <v/>
      </c>
      <c r="L2157" s="63">
        <f>IF(OR(H2157="",K2157=0),"—",IF(ISNUMBER(MATCH(H2157,'Zgłoszenia'!$S$5:$S$504,0)),RIGHT("0"&amp;DAY(A2157),2)&amp;"."&amp;RIGHT("0"&amp;MONTH(A2157),2)&amp;"."&amp;YEAR(A2157)&amp;": "&amp;INDEX('Zgłoszenia'!$H$5:$H$504,MATCH(H2157,'Zgłoszenia'!$S$5:$S$504,0)),RIGHT("0"&amp;DAY((A2157+1)),2)&amp;"."&amp;RIGHT("0"&amp;MONTH((A2157+1)),2)&amp;"."&amp;YEAR((A2157+1))&amp;": "&amp;INDEX('Zgłoszenia'!$H$5:$H$504,MATCH(F2157&amp;"|"&amp;(A2157+1),'Zgłoszenia'!$S$5:$S$504,0)))&amp;IF(K2157&gt;1," (+"&amp;(K2157-1)&amp;")",""))</f>
        <v/>
      </c>
      <c r="M2157" s="63" t="n">
        <v>27</v>
      </c>
      <c r="N2157" s="2" t="n"/>
      <c r="O2157" s="2" t="n"/>
    </row>
    <row r="2158">
      <c r="A2158" s="62">
        <f>IF('27'!$C$1="","",'27'!$C$1)</f>
        <v/>
      </c>
      <c r="B2158" s="63">
        <f>Ustawienia!$A$9&amp;""</f>
        <v/>
      </c>
      <c r="C2158" s="63">
        <f>Ustawienia!$A$18&amp;""</f>
        <v/>
      </c>
      <c r="D2158" s="63" t="n">
        <v>2</v>
      </c>
      <c r="E2158" s="63">
        <f>IF('27'!F33="","",TRIM('27'!F33&amp;""))</f>
        <v/>
      </c>
      <c r="F2158" s="63">
        <f>IF('27'!G33="","",'27'!G33)</f>
        <v/>
      </c>
      <c r="G2158" s="63">
        <f>'27'!H33&amp;""</f>
        <v/>
      </c>
      <c r="H2158" s="63">
        <f>IF(OR(A2158="",F2158=""),"",F2158&amp;"|"&amp;A2158)</f>
        <v/>
      </c>
      <c r="I2158" s="63">
        <f>IF(AND(H2158&lt;&gt;"",OR('Historia wózka'!$B$4="",F2158='Historia wózka'!$B$4),A2158&gt;='Historia wózka'!$B$5,A2158&lt;='Historia wózka'!$B$6),A2158+0.8+(5000-ROW())/10000000,0)</f>
        <v/>
      </c>
      <c r="J2158" s="63">
        <f>Ustawienia!$B$9&amp;""</f>
        <v/>
      </c>
      <c r="K2158" s="63">
        <f>IF(H2158="","",COUNTIFS('Zgłoszenia'!$B$5:$B$504,F2158,'Zgłoszenia'!$D$5:$D$504,"&gt;="&amp;A2158,'Zgłoszenia'!$D$5:$D$504,"&lt;="&amp;(A2158+1)))</f>
        <v/>
      </c>
      <c r="L2158" s="63">
        <f>IF(OR(H2158="",K2158=0),"—",IF(ISNUMBER(MATCH(H2158,'Zgłoszenia'!$S$5:$S$504,0)),RIGHT("0"&amp;DAY(A2158),2)&amp;"."&amp;RIGHT("0"&amp;MONTH(A2158),2)&amp;"."&amp;YEAR(A2158)&amp;": "&amp;INDEX('Zgłoszenia'!$H$5:$H$504,MATCH(H2158,'Zgłoszenia'!$S$5:$S$504,0)),RIGHT("0"&amp;DAY((A2158+1)),2)&amp;"."&amp;RIGHT("0"&amp;MONTH((A2158+1)),2)&amp;"."&amp;YEAR((A2158+1))&amp;": "&amp;INDEX('Zgłoszenia'!$H$5:$H$504,MATCH(F2158&amp;"|"&amp;(A2158+1),'Zgłoszenia'!$S$5:$S$504,0)))&amp;IF(K2158&gt;1," (+"&amp;(K2158-1)&amp;")",""))</f>
        <v/>
      </c>
      <c r="M2158" s="63" t="n">
        <v>27</v>
      </c>
      <c r="N2158" s="2" t="n"/>
      <c r="O2158" s="2" t="n"/>
    </row>
    <row r="2159">
      <c r="A2159" s="62">
        <f>IF('27'!$C$1="","",'27'!$C$1)</f>
        <v/>
      </c>
      <c r="B2159" s="63">
        <f>Ustawienia!$A$9&amp;""</f>
        <v/>
      </c>
      <c r="C2159" s="63">
        <f>Ustawienia!$A$18&amp;""</f>
        <v/>
      </c>
      <c r="D2159" s="63" t="n">
        <v>3</v>
      </c>
      <c r="E2159" s="63">
        <f>IF('27'!F34="","",TRIM('27'!F34&amp;""))</f>
        <v/>
      </c>
      <c r="F2159" s="63">
        <f>IF('27'!G34="","",'27'!G34)</f>
        <v/>
      </c>
      <c r="G2159" s="63">
        <f>'27'!H34&amp;""</f>
        <v/>
      </c>
      <c r="H2159" s="63">
        <f>IF(OR(A2159="",F2159=""),"",F2159&amp;"|"&amp;A2159)</f>
        <v/>
      </c>
      <c r="I2159" s="63">
        <f>IF(AND(H2159&lt;&gt;"",OR('Historia wózka'!$B$4="",F2159='Historia wózka'!$B$4),A2159&gt;='Historia wózka'!$B$5,A2159&lt;='Historia wózka'!$B$6),A2159+0.8+(5000-ROW())/10000000,0)</f>
        <v/>
      </c>
      <c r="J2159" s="63">
        <f>Ustawienia!$B$9&amp;""</f>
        <v/>
      </c>
      <c r="K2159" s="63">
        <f>IF(H2159="","",COUNTIFS('Zgłoszenia'!$B$5:$B$504,F2159,'Zgłoszenia'!$D$5:$D$504,"&gt;="&amp;A2159,'Zgłoszenia'!$D$5:$D$504,"&lt;="&amp;(A2159+1)))</f>
        <v/>
      </c>
      <c r="L2159" s="63">
        <f>IF(OR(H2159="",K2159=0),"—",IF(ISNUMBER(MATCH(H2159,'Zgłoszenia'!$S$5:$S$504,0)),RIGHT("0"&amp;DAY(A2159),2)&amp;"."&amp;RIGHT("0"&amp;MONTH(A2159),2)&amp;"."&amp;YEAR(A2159)&amp;": "&amp;INDEX('Zgłoszenia'!$H$5:$H$504,MATCH(H2159,'Zgłoszenia'!$S$5:$S$504,0)),RIGHT("0"&amp;DAY((A2159+1)),2)&amp;"."&amp;RIGHT("0"&amp;MONTH((A2159+1)),2)&amp;"."&amp;YEAR((A2159+1))&amp;": "&amp;INDEX('Zgłoszenia'!$H$5:$H$504,MATCH(F2159&amp;"|"&amp;(A2159+1),'Zgłoszenia'!$S$5:$S$504,0)))&amp;IF(K2159&gt;1," (+"&amp;(K2159-1)&amp;")",""))</f>
        <v/>
      </c>
      <c r="M2159" s="63" t="n">
        <v>27</v>
      </c>
      <c r="N2159" s="2" t="n"/>
      <c r="O2159" s="2" t="n"/>
    </row>
    <row r="2160">
      <c r="A2160" s="62">
        <f>IF('27'!$C$1="","",'27'!$C$1)</f>
        <v/>
      </c>
      <c r="B2160" s="63">
        <f>Ustawienia!$A$9&amp;""</f>
        <v/>
      </c>
      <c r="C2160" s="63">
        <f>Ustawienia!$A$18&amp;""</f>
        <v/>
      </c>
      <c r="D2160" s="63" t="n">
        <v>4</v>
      </c>
      <c r="E2160" s="63">
        <f>IF('27'!F35="","",TRIM('27'!F35&amp;""))</f>
        <v/>
      </c>
      <c r="F2160" s="63">
        <f>IF('27'!G35="","",'27'!G35)</f>
        <v/>
      </c>
      <c r="G2160" s="63">
        <f>'27'!H35&amp;""</f>
        <v/>
      </c>
      <c r="H2160" s="63">
        <f>IF(OR(A2160="",F2160=""),"",F2160&amp;"|"&amp;A2160)</f>
        <v/>
      </c>
      <c r="I2160" s="63">
        <f>IF(AND(H2160&lt;&gt;"",OR('Historia wózka'!$B$4="",F2160='Historia wózka'!$B$4),A2160&gt;='Historia wózka'!$B$5,A2160&lt;='Historia wózka'!$B$6),A2160+0.8+(5000-ROW())/10000000,0)</f>
        <v/>
      </c>
      <c r="J2160" s="63">
        <f>Ustawienia!$B$9&amp;""</f>
        <v/>
      </c>
      <c r="K2160" s="63">
        <f>IF(H2160="","",COUNTIFS('Zgłoszenia'!$B$5:$B$504,F2160,'Zgłoszenia'!$D$5:$D$504,"&gt;="&amp;A2160,'Zgłoszenia'!$D$5:$D$504,"&lt;="&amp;(A2160+1)))</f>
        <v/>
      </c>
      <c r="L2160" s="63">
        <f>IF(OR(H2160="",K2160=0),"—",IF(ISNUMBER(MATCH(H2160,'Zgłoszenia'!$S$5:$S$504,0)),RIGHT("0"&amp;DAY(A2160),2)&amp;"."&amp;RIGHT("0"&amp;MONTH(A2160),2)&amp;"."&amp;YEAR(A2160)&amp;": "&amp;INDEX('Zgłoszenia'!$H$5:$H$504,MATCH(H2160,'Zgłoszenia'!$S$5:$S$504,0)),RIGHT("0"&amp;DAY((A2160+1)),2)&amp;"."&amp;RIGHT("0"&amp;MONTH((A2160+1)),2)&amp;"."&amp;YEAR((A2160+1))&amp;": "&amp;INDEX('Zgłoszenia'!$H$5:$H$504,MATCH(F2160&amp;"|"&amp;(A2160+1),'Zgłoszenia'!$S$5:$S$504,0)))&amp;IF(K2160&gt;1," (+"&amp;(K2160-1)&amp;")",""))</f>
        <v/>
      </c>
      <c r="M2160" s="63" t="n">
        <v>27</v>
      </c>
      <c r="N2160" s="2" t="n"/>
      <c r="O2160" s="2" t="n"/>
    </row>
    <row r="2161">
      <c r="A2161" s="62">
        <f>IF('27'!$C$1="","",'27'!$C$1)</f>
        <v/>
      </c>
      <c r="B2161" s="63">
        <f>Ustawienia!$A$9&amp;""</f>
        <v/>
      </c>
      <c r="C2161" s="63">
        <f>Ustawienia!$A$18&amp;""</f>
        <v/>
      </c>
      <c r="D2161" s="63" t="n">
        <v>5</v>
      </c>
      <c r="E2161" s="63">
        <f>IF('27'!F36="","",TRIM('27'!F36&amp;""))</f>
        <v/>
      </c>
      <c r="F2161" s="63">
        <f>IF('27'!G36="","",'27'!G36)</f>
        <v/>
      </c>
      <c r="G2161" s="63">
        <f>'27'!H36&amp;""</f>
        <v/>
      </c>
      <c r="H2161" s="63">
        <f>IF(OR(A2161="",F2161=""),"",F2161&amp;"|"&amp;A2161)</f>
        <v/>
      </c>
      <c r="I2161" s="63">
        <f>IF(AND(H2161&lt;&gt;"",OR('Historia wózka'!$B$4="",F2161='Historia wózka'!$B$4),A2161&gt;='Historia wózka'!$B$5,A2161&lt;='Historia wózka'!$B$6),A2161+0.8+(5000-ROW())/10000000,0)</f>
        <v/>
      </c>
      <c r="J2161" s="63">
        <f>Ustawienia!$B$9&amp;""</f>
        <v/>
      </c>
      <c r="K2161" s="63">
        <f>IF(H2161="","",COUNTIFS('Zgłoszenia'!$B$5:$B$504,F2161,'Zgłoszenia'!$D$5:$D$504,"&gt;="&amp;A2161,'Zgłoszenia'!$D$5:$D$504,"&lt;="&amp;(A2161+1)))</f>
        <v/>
      </c>
      <c r="L2161" s="63">
        <f>IF(OR(H2161="",K2161=0),"—",IF(ISNUMBER(MATCH(H2161,'Zgłoszenia'!$S$5:$S$504,0)),RIGHT("0"&amp;DAY(A2161),2)&amp;"."&amp;RIGHT("0"&amp;MONTH(A2161),2)&amp;"."&amp;YEAR(A2161)&amp;": "&amp;INDEX('Zgłoszenia'!$H$5:$H$504,MATCH(H2161,'Zgłoszenia'!$S$5:$S$504,0)),RIGHT("0"&amp;DAY((A2161+1)),2)&amp;"."&amp;RIGHT("0"&amp;MONTH((A2161+1)),2)&amp;"."&amp;YEAR((A2161+1))&amp;": "&amp;INDEX('Zgłoszenia'!$H$5:$H$504,MATCH(F2161&amp;"|"&amp;(A2161+1),'Zgłoszenia'!$S$5:$S$504,0)))&amp;IF(K2161&gt;1," (+"&amp;(K2161-1)&amp;")",""))</f>
        <v/>
      </c>
      <c r="M2161" s="63" t="n">
        <v>27</v>
      </c>
      <c r="N2161" s="2" t="n"/>
      <c r="O2161" s="2" t="n"/>
    </row>
    <row r="2162">
      <c r="A2162" s="62">
        <f>IF('27'!$C$1="","",'27'!$C$1)</f>
        <v/>
      </c>
      <c r="B2162" s="63">
        <f>Ustawienia!$A$10&amp;""</f>
        <v/>
      </c>
      <c r="C2162" s="63">
        <f>Ustawienia!$A$14&amp;""</f>
        <v/>
      </c>
      <c r="D2162" s="63" t="n">
        <v>1</v>
      </c>
      <c r="E2162" s="63">
        <f>IF('27'!J6="","",TRIM('27'!J6&amp;""))</f>
        <v/>
      </c>
      <c r="F2162" s="63">
        <f>IF('27'!K6="","",'27'!K6)</f>
        <v/>
      </c>
      <c r="G2162" s="63">
        <f>'27'!L6&amp;""</f>
        <v/>
      </c>
      <c r="H2162" s="63">
        <f>IF(OR(A2162="",F2162=""),"",F2162&amp;"|"&amp;A2162)</f>
        <v/>
      </c>
      <c r="I2162" s="63">
        <f>IF(AND(H2162&lt;&gt;"",OR('Historia wózka'!$B$4="",F2162='Historia wózka'!$B$4),A2162&gt;='Historia wózka'!$B$5,A2162&lt;='Historia wózka'!$B$6),A2162+0.7+(5000-ROW())/10000000,0)</f>
        <v/>
      </c>
      <c r="J2162" s="63">
        <f>Ustawienia!$B$10&amp;""</f>
        <v/>
      </c>
      <c r="K2162" s="63">
        <f>IF(H2162="","",COUNTIFS('Zgłoszenia'!$B$5:$B$504,F2162,'Zgłoszenia'!$D$5:$D$504,"&gt;="&amp;A2162,'Zgłoszenia'!$D$5:$D$504,"&lt;="&amp;(A2162+1)))</f>
        <v/>
      </c>
      <c r="L2162" s="63">
        <f>IF(OR(H2162="",K2162=0),"—",IF(ISNUMBER(MATCH(H2162,'Zgłoszenia'!$S$5:$S$504,0)),RIGHT("0"&amp;DAY(A2162),2)&amp;"."&amp;RIGHT("0"&amp;MONTH(A2162),2)&amp;"."&amp;YEAR(A2162)&amp;": "&amp;INDEX('Zgłoszenia'!$H$5:$H$504,MATCH(H2162,'Zgłoszenia'!$S$5:$S$504,0)),RIGHT("0"&amp;DAY((A2162+1)),2)&amp;"."&amp;RIGHT("0"&amp;MONTH((A2162+1)),2)&amp;"."&amp;YEAR((A2162+1))&amp;": "&amp;INDEX('Zgłoszenia'!$H$5:$H$504,MATCH(F2162&amp;"|"&amp;(A2162+1),'Zgłoszenia'!$S$5:$S$504,0)))&amp;IF(K2162&gt;1," (+"&amp;(K2162-1)&amp;")",""))</f>
        <v/>
      </c>
      <c r="M2162" s="63" t="n">
        <v>27</v>
      </c>
      <c r="N2162" s="2" t="n"/>
      <c r="O2162" s="2" t="n"/>
    </row>
    <row r="2163">
      <c r="A2163" s="62">
        <f>IF('27'!$C$1="","",'27'!$C$1)</f>
        <v/>
      </c>
      <c r="B2163" s="63">
        <f>Ustawienia!$A$10&amp;""</f>
        <v/>
      </c>
      <c r="C2163" s="63">
        <f>Ustawienia!$A$14&amp;""</f>
        <v/>
      </c>
      <c r="D2163" s="63" t="n">
        <v>2</v>
      </c>
      <c r="E2163" s="63">
        <f>IF('27'!J7="","",TRIM('27'!J7&amp;""))</f>
        <v/>
      </c>
      <c r="F2163" s="63">
        <f>IF('27'!K7="","",'27'!K7)</f>
        <v/>
      </c>
      <c r="G2163" s="63">
        <f>'27'!L7&amp;""</f>
        <v/>
      </c>
      <c r="H2163" s="63">
        <f>IF(OR(A2163="",F2163=""),"",F2163&amp;"|"&amp;A2163)</f>
        <v/>
      </c>
      <c r="I2163" s="63">
        <f>IF(AND(H2163&lt;&gt;"",OR('Historia wózka'!$B$4="",F2163='Historia wózka'!$B$4),A2163&gt;='Historia wózka'!$B$5,A2163&lt;='Historia wózka'!$B$6),A2163+0.7+(5000-ROW())/10000000,0)</f>
        <v/>
      </c>
      <c r="J2163" s="63">
        <f>Ustawienia!$B$10&amp;""</f>
        <v/>
      </c>
      <c r="K2163" s="63">
        <f>IF(H2163="","",COUNTIFS('Zgłoszenia'!$B$5:$B$504,F2163,'Zgłoszenia'!$D$5:$D$504,"&gt;="&amp;A2163,'Zgłoszenia'!$D$5:$D$504,"&lt;="&amp;(A2163+1)))</f>
        <v/>
      </c>
      <c r="L2163" s="63">
        <f>IF(OR(H2163="",K2163=0),"—",IF(ISNUMBER(MATCH(H2163,'Zgłoszenia'!$S$5:$S$504,0)),RIGHT("0"&amp;DAY(A2163),2)&amp;"."&amp;RIGHT("0"&amp;MONTH(A2163),2)&amp;"."&amp;YEAR(A2163)&amp;": "&amp;INDEX('Zgłoszenia'!$H$5:$H$504,MATCH(H2163,'Zgłoszenia'!$S$5:$S$504,0)),RIGHT("0"&amp;DAY((A2163+1)),2)&amp;"."&amp;RIGHT("0"&amp;MONTH((A2163+1)),2)&amp;"."&amp;YEAR((A2163+1))&amp;": "&amp;INDEX('Zgłoszenia'!$H$5:$H$504,MATCH(F2163&amp;"|"&amp;(A2163+1),'Zgłoszenia'!$S$5:$S$504,0)))&amp;IF(K2163&gt;1," (+"&amp;(K2163-1)&amp;")",""))</f>
        <v/>
      </c>
      <c r="M2163" s="63" t="n">
        <v>27</v>
      </c>
      <c r="N2163" s="2" t="n"/>
      <c r="O2163" s="2" t="n"/>
    </row>
    <row r="2164">
      <c r="A2164" s="62">
        <f>IF('27'!$C$1="","",'27'!$C$1)</f>
        <v/>
      </c>
      <c r="B2164" s="63">
        <f>Ustawienia!$A$10&amp;""</f>
        <v/>
      </c>
      <c r="C2164" s="63">
        <f>Ustawienia!$A$14&amp;""</f>
        <v/>
      </c>
      <c r="D2164" s="63" t="n">
        <v>3</v>
      </c>
      <c r="E2164" s="63">
        <f>IF('27'!J8="","",TRIM('27'!J8&amp;""))</f>
        <v/>
      </c>
      <c r="F2164" s="63">
        <f>IF('27'!K8="","",'27'!K8)</f>
        <v/>
      </c>
      <c r="G2164" s="63">
        <f>'27'!L8&amp;""</f>
        <v/>
      </c>
      <c r="H2164" s="63">
        <f>IF(OR(A2164="",F2164=""),"",F2164&amp;"|"&amp;A2164)</f>
        <v/>
      </c>
      <c r="I2164" s="63">
        <f>IF(AND(H2164&lt;&gt;"",OR('Historia wózka'!$B$4="",F2164='Historia wózka'!$B$4),A2164&gt;='Historia wózka'!$B$5,A2164&lt;='Historia wózka'!$B$6),A2164+0.7+(5000-ROW())/10000000,0)</f>
        <v/>
      </c>
      <c r="J2164" s="63">
        <f>Ustawienia!$B$10&amp;""</f>
        <v/>
      </c>
      <c r="K2164" s="63">
        <f>IF(H2164="","",COUNTIFS('Zgłoszenia'!$B$5:$B$504,F2164,'Zgłoszenia'!$D$5:$D$504,"&gt;="&amp;A2164,'Zgłoszenia'!$D$5:$D$504,"&lt;="&amp;(A2164+1)))</f>
        <v/>
      </c>
      <c r="L2164" s="63">
        <f>IF(OR(H2164="",K2164=0),"—",IF(ISNUMBER(MATCH(H2164,'Zgłoszenia'!$S$5:$S$504,0)),RIGHT("0"&amp;DAY(A2164),2)&amp;"."&amp;RIGHT("0"&amp;MONTH(A2164),2)&amp;"."&amp;YEAR(A2164)&amp;": "&amp;INDEX('Zgłoszenia'!$H$5:$H$504,MATCH(H2164,'Zgłoszenia'!$S$5:$S$504,0)),RIGHT("0"&amp;DAY((A2164+1)),2)&amp;"."&amp;RIGHT("0"&amp;MONTH((A2164+1)),2)&amp;"."&amp;YEAR((A2164+1))&amp;": "&amp;INDEX('Zgłoszenia'!$H$5:$H$504,MATCH(F2164&amp;"|"&amp;(A2164+1),'Zgłoszenia'!$S$5:$S$504,0)))&amp;IF(K2164&gt;1," (+"&amp;(K2164-1)&amp;")",""))</f>
        <v/>
      </c>
      <c r="M2164" s="63" t="n">
        <v>27</v>
      </c>
      <c r="N2164" s="2" t="n"/>
      <c r="O2164" s="2" t="n"/>
    </row>
    <row r="2165">
      <c r="A2165" s="62">
        <f>IF('27'!$C$1="","",'27'!$C$1)</f>
        <v/>
      </c>
      <c r="B2165" s="63">
        <f>Ustawienia!$A$10&amp;""</f>
        <v/>
      </c>
      <c r="C2165" s="63">
        <f>Ustawienia!$A$14&amp;""</f>
        <v/>
      </c>
      <c r="D2165" s="63" t="n">
        <v>4</v>
      </c>
      <c r="E2165" s="63">
        <f>IF('27'!J9="","",TRIM('27'!J9&amp;""))</f>
        <v/>
      </c>
      <c r="F2165" s="63">
        <f>IF('27'!K9="","",'27'!K9)</f>
        <v/>
      </c>
      <c r="G2165" s="63">
        <f>'27'!L9&amp;""</f>
        <v/>
      </c>
      <c r="H2165" s="63">
        <f>IF(OR(A2165="",F2165=""),"",F2165&amp;"|"&amp;A2165)</f>
        <v/>
      </c>
      <c r="I2165" s="63">
        <f>IF(AND(H2165&lt;&gt;"",OR('Historia wózka'!$B$4="",F2165='Historia wózka'!$B$4),A2165&gt;='Historia wózka'!$B$5,A2165&lt;='Historia wózka'!$B$6),A2165+0.7+(5000-ROW())/10000000,0)</f>
        <v/>
      </c>
      <c r="J2165" s="63">
        <f>Ustawienia!$B$10&amp;""</f>
        <v/>
      </c>
      <c r="K2165" s="63">
        <f>IF(H2165="","",COUNTIFS('Zgłoszenia'!$B$5:$B$504,F2165,'Zgłoszenia'!$D$5:$D$504,"&gt;="&amp;A2165,'Zgłoszenia'!$D$5:$D$504,"&lt;="&amp;(A2165+1)))</f>
        <v/>
      </c>
      <c r="L2165" s="63">
        <f>IF(OR(H2165="",K2165=0),"—",IF(ISNUMBER(MATCH(H2165,'Zgłoszenia'!$S$5:$S$504,0)),RIGHT("0"&amp;DAY(A2165),2)&amp;"."&amp;RIGHT("0"&amp;MONTH(A2165),2)&amp;"."&amp;YEAR(A2165)&amp;": "&amp;INDEX('Zgłoszenia'!$H$5:$H$504,MATCH(H2165,'Zgłoszenia'!$S$5:$S$504,0)),RIGHT("0"&amp;DAY((A2165+1)),2)&amp;"."&amp;RIGHT("0"&amp;MONTH((A2165+1)),2)&amp;"."&amp;YEAR((A2165+1))&amp;": "&amp;INDEX('Zgłoszenia'!$H$5:$H$504,MATCH(F2165&amp;"|"&amp;(A2165+1),'Zgłoszenia'!$S$5:$S$504,0)))&amp;IF(K2165&gt;1," (+"&amp;(K2165-1)&amp;")",""))</f>
        <v/>
      </c>
      <c r="M2165" s="63" t="n">
        <v>27</v>
      </c>
      <c r="N2165" s="2" t="n"/>
      <c r="O2165" s="2" t="n"/>
    </row>
    <row r="2166">
      <c r="A2166" s="62">
        <f>IF('27'!$C$1="","",'27'!$C$1)</f>
        <v/>
      </c>
      <c r="B2166" s="63">
        <f>Ustawienia!$A$10&amp;""</f>
        <v/>
      </c>
      <c r="C2166" s="63">
        <f>Ustawienia!$A$14&amp;""</f>
        <v/>
      </c>
      <c r="D2166" s="63" t="n">
        <v>5</v>
      </c>
      <c r="E2166" s="63">
        <f>IF('27'!J10="","",TRIM('27'!J10&amp;""))</f>
        <v/>
      </c>
      <c r="F2166" s="63">
        <f>IF('27'!K10="","",'27'!K10)</f>
        <v/>
      </c>
      <c r="G2166" s="63">
        <f>'27'!L10&amp;""</f>
        <v/>
      </c>
      <c r="H2166" s="63">
        <f>IF(OR(A2166="",F2166=""),"",F2166&amp;"|"&amp;A2166)</f>
        <v/>
      </c>
      <c r="I2166" s="63">
        <f>IF(AND(H2166&lt;&gt;"",OR('Historia wózka'!$B$4="",F2166='Historia wózka'!$B$4),A2166&gt;='Historia wózka'!$B$5,A2166&lt;='Historia wózka'!$B$6),A2166+0.7+(5000-ROW())/10000000,0)</f>
        <v/>
      </c>
      <c r="J2166" s="63">
        <f>Ustawienia!$B$10&amp;""</f>
        <v/>
      </c>
      <c r="K2166" s="63">
        <f>IF(H2166="","",COUNTIFS('Zgłoszenia'!$B$5:$B$504,F2166,'Zgłoszenia'!$D$5:$D$504,"&gt;="&amp;A2166,'Zgłoszenia'!$D$5:$D$504,"&lt;="&amp;(A2166+1)))</f>
        <v/>
      </c>
      <c r="L2166" s="63">
        <f>IF(OR(H2166="",K2166=0),"—",IF(ISNUMBER(MATCH(H2166,'Zgłoszenia'!$S$5:$S$504,0)),RIGHT("0"&amp;DAY(A2166),2)&amp;"."&amp;RIGHT("0"&amp;MONTH(A2166),2)&amp;"."&amp;YEAR(A2166)&amp;": "&amp;INDEX('Zgłoszenia'!$H$5:$H$504,MATCH(H2166,'Zgłoszenia'!$S$5:$S$504,0)),RIGHT("0"&amp;DAY((A2166+1)),2)&amp;"."&amp;RIGHT("0"&amp;MONTH((A2166+1)),2)&amp;"."&amp;YEAR((A2166+1))&amp;": "&amp;INDEX('Zgłoszenia'!$H$5:$H$504,MATCH(F2166&amp;"|"&amp;(A2166+1),'Zgłoszenia'!$S$5:$S$504,0)))&amp;IF(K2166&gt;1," (+"&amp;(K2166-1)&amp;")",""))</f>
        <v/>
      </c>
      <c r="M2166" s="63" t="n">
        <v>27</v>
      </c>
      <c r="N2166" s="2" t="n"/>
      <c r="O2166" s="2" t="n"/>
    </row>
    <row r="2167">
      <c r="A2167" s="62">
        <f>IF('27'!$C$1="","",'27'!$C$1)</f>
        <v/>
      </c>
      <c r="B2167" s="63">
        <f>Ustawienia!$A$10&amp;""</f>
        <v/>
      </c>
      <c r="C2167" s="63">
        <f>Ustawienia!$A$14&amp;""</f>
        <v/>
      </c>
      <c r="D2167" s="63" t="n">
        <v>6</v>
      </c>
      <c r="E2167" s="63">
        <f>IF('27'!J11="","",TRIM('27'!J11&amp;""))</f>
        <v/>
      </c>
      <c r="F2167" s="63">
        <f>IF('27'!K11="","",'27'!K11)</f>
        <v/>
      </c>
      <c r="G2167" s="63">
        <f>'27'!L11&amp;""</f>
        <v/>
      </c>
      <c r="H2167" s="63">
        <f>IF(OR(A2167="",F2167=""),"",F2167&amp;"|"&amp;A2167)</f>
        <v/>
      </c>
      <c r="I2167" s="63">
        <f>IF(AND(H2167&lt;&gt;"",OR('Historia wózka'!$B$4="",F2167='Historia wózka'!$B$4),A2167&gt;='Historia wózka'!$B$5,A2167&lt;='Historia wózka'!$B$6),A2167+0.7+(5000-ROW())/10000000,0)</f>
        <v/>
      </c>
      <c r="J2167" s="63">
        <f>Ustawienia!$B$10&amp;""</f>
        <v/>
      </c>
      <c r="K2167" s="63">
        <f>IF(H2167="","",COUNTIFS('Zgłoszenia'!$B$5:$B$504,F2167,'Zgłoszenia'!$D$5:$D$504,"&gt;="&amp;A2167,'Zgłoszenia'!$D$5:$D$504,"&lt;="&amp;(A2167+1)))</f>
        <v/>
      </c>
      <c r="L2167" s="63">
        <f>IF(OR(H2167="",K2167=0),"—",IF(ISNUMBER(MATCH(H2167,'Zgłoszenia'!$S$5:$S$504,0)),RIGHT("0"&amp;DAY(A2167),2)&amp;"."&amp;RIGHT("0"&amp;MONTH(A2167),2)&amp;"."&amp;YEAR(A2167)&amp;": "&amp;INDEX('Zgłoszenia'!$H$5:$H$504,MATCH(H2167,'Zgłoszenia'!$S$5:$S$504,0)),RIGHT("0"&amp;DAY((A2167+1)),2)&amp;"."&amp;RIGHT("0"&amp;MONTH((A2167+1)),2)&amp;"."&amp;YEAR((A2167+1))&amp;": "&amp;INDEX('Zgłoszenia'!$H$5:$H$504,MATCH(F2167&amp;"|"&amp;(A2167+1),'Zgłoszenia'!$S$5:$S$504,0)))&amp;IF(K2167&gt;1," (+"&amp;(K2167-1)&amp;")",""))</f>
        <v/>
      </c>
      <c r="M2167" s="63" t="n">
        <v>27</v>
      </c>
      <c r="N2167" s="2" t="n"/>
      <c r="O2167" s="2" t="n"/>
    </row>
    <row r="2168">
      <c r="A2168" s="62">
        <f>IF('27'!$C$1="","",'27'!$C$1)</f>
        <v/>
      </c>
      <c r="B2168" s="63">
        <f>Ustawienia!$A$10&amp;""</f>
        <v/>
      </c>
      <c r="C2168" s="63">
        <f>Ustawienia!$A$15&amp;""</f>
        <v/>
      </c>
      <c r="D2168" s="63" t="n">
        <v>1</v>
      </c>
      <c r="E2168" s="63">
        <f>IF('27'!J13="","",TRIM('27'!J13&amp;""))</f>
        <v/>
      </c>
      <c r="F2168" s="63">
        <f>IF('27'!K13="","",'27'!K13)</f>
        <v/>
      </c>
      <c r="G2168" s="63">
        <f>'27'!L13&amp;""</f>
        <v/>
      </c>
      <c r="H2168" s="63">
        <f>IF(OR(A2168="",F2168=""),"",F2168&amp;"|"&amp;A2168)</f>
        <v/>
      </c>
      <c r="I2168" s="63">
        <f>IF(AND(H2168&lt;&gt;"",OR('Historia wózka'!$B$4="",F2168='Historia wózka'!$B$4),A2168&gt;='Historia wózka'!$B$5,A2168&lt;='Historia wózka'!$B$6),A2168+0.7+(5000-ROW())/10000000,0)</f>
        <v/>
      </c>
      <c r="J2168" s="63">
        <f>Ustawienia!$B$10&amp;""</f>
        <v/>
      </c>
      <c r="K2168" s="63">
        <f>IF(H2168="","",COUNTIFS('Zgłoszenia'!$B$5:$B$504,F2168,'Zgłoszenia'!$D$5:$D$504,"&gt;="&amp;A2168,'Zgłoszenia'!$D$5:$D$504,"&lt;="&amp;(A2168+1)))</f>
        <v/>
      </c>
      <c r="L2168" s="63">
        <f>IF(OR(H2168="",K2168=0),"—",IF(ISNUMBER(MATCH(H2168,'Zgłoszenia'!$S$5:$S$504,0)),RIGHT("0"&amp;DAY(A2168),2)&amp;"."&amp;RIGHT("0"&amp;MONTH(A2168),2)&amp;"."&amp;YEAR(A2168)&amp;": "&amp;INDEX('Zgłoszenia'!$H$5:$H$504,MATCH(H2168,'Zgłoszenia'!$S$5:$S$504,0)),RIGHT("0"&amp;DAY((A2168+1)),2)&amp;"."&amp;RIGHT("0"&amp;MONTH((A2168+1)),2)&amp;"."&amp;YEAR((A2168+1))&amp;": "&amp;INDEX('Zgłoszenia'!$H$5:$H$504,MATCH(F2168&amp;"|"&amp;(A2168+1),'Zgłoszenia'!$S$5:$S$504,0)))&amp;IF(K2168&gt;1," (+"&amp;(K2168-1)&amp;")",""))</f>
        <v/>
      </c>
      <c r="M2168" s="63" t="n">
        <v>27</v>
      </c>
      <c r="N2168" s="2" t="n"/>
      <c r="O2168" s="2" t="n"/>
    </row>
    <row r="2169">
      <c r="A2169" s="62">
        <f>IF('27'!$C$1="","",'27'!$C$1)</f>
        <v/>
      </c>
      <c r="B2169" s="63">
        <f>Ustawienia!$A$10&amp;""</f>
        <v/>
      </c>
      <c r="C2169" s="63">
        <f>Ustawienia!$A$15&amp;""</f>
        <v/>
      </c>
      <c r="D2169" s="63" t="n">
        <v>2</v>
      </c>
      <c r="E2169" s="63">
        <f>IF('27'!J14="","",TRIM('27'!J14&amp;""))</f>
        <v/>
      </c>
      <c r="F2169" s="63">
        <f>IF('27'!K14="","",'27'!K14)</f>
        <v/>
      </c>
      <c r="G2169" s="63">
        <f>'27'!L14&amp;""</f>
        <v/>
      </c>
      <c r="H2169" s="63">
        <f>IF(OR(A2169="",F2169=""),"",F2169&amp;"|"&amp;A2169)</f>
        <v/>
      </c>
      <c r="I2169" s="63">
        <f>IF(AND(H2169&lt;&gt;"",OR('Historia wózka'!$B$4="",F2169='Historia wózka'!$B$4),A2169&gt;='Historia wózka'!$B$5,A2169&lt;='Historia wózka'!$B$6),A2169+0.7+(5000-ROW())/10000000,0)</f>
        <v/>
      </c>
      <c r="J2169" s="63">
        <f>Ustawienia!$B$10&amp;""</f>
        <v/>
      </c>
      <c r="K2169" s="63">
        <f>IF(H2169="","",COUNTIFS('Zgłoszenia'!$B$5:$B$504,F2169,'Zgłoszenia'!$D$5:$D$504,"&gt;="&amp;A2169,'Zgłoszenia'!$D$5:$D$504,"&lt;="&amp;(A2169+1)))</f>
        <v/>
      </c>
      <c r="L2169" s="63">
        <f>IF(OR(H2169="",K2169=0),"—",IF(ISNUMBER(MATCH(H2169,'Zgłoszenia'!$S$5:$S$504,0)),RIGHT("0"&amp;DAY(A2169),2)&amp;"."&amp;RIGHT("0"&amp;MONTH(A2169),2)&amp;"."&amp;YEAR(A2169)&amp;": "&amp;INDEX('Zgłoszenia'!$H$5:$H$504,MATCH(H2169,'Zgłoszenia'!$S$5:$S$504,0)),RIGHT("0"&amp;DAY((A2169+1)),2)&amp;"."&amp;RIGHT("0"&amp;MONTH((A2169+1)),2)&amp;"."&amp;YEAR((A2169+1))&amp;": "&amp;INDEX('Zgłoszenia'!$H$5:$H$504,MATCH(F2169&amp;"|"&amp;(A2169+1),'Zgłoszenia'!$S$5:$S$504,0)))&amp;IF(K2169&gt;1," (+"&amp;(K2169-1)&amp;")",""))</f>
        <v/>
      </c>
      <c r="M2169" s="63" t="n">
        <v>27</v>
      </c>
      <c r="N2169" s="2" t="n"/>
      <c r="O2169" s="2" t="n"/>
    </row>
    <row r="2170">
      <c r="A2170" s="62">
        <f>IF('27'!$C$1="","",'27'!$C$1)</f>
        <v/>
      </c>
      <c r="B2170" s="63">
        <f>Ustawienia!$A$10&amp;""</f>
        <v/>
      </c>
      <c r="C2170" s="63">
        <f>Ustawienia!$A$15&amp;""</f>
        <v/>
      </c>
      <c r="D2170" s="63" t="n">
        <v>3</v>
      </c>
      <c r="E2170" s="63">
        <f>IF('27'!J15="","",TRIM('27'!J15&amp;""))</f>
        <v/>
      </c>
      <c r="F2170" s="63">
        <f>IF('27'!K15="","",'27'!K15)</f>
        <v/>
      </c>
      <c r="G2170" s="63">
        <f>'27'!L15&amp;""</f>
        <v/>
      </c>
      <c r="H2170" s="63">
        <f>IF(OR(A2170="",F2170=""),"",F2170&amp;"|"&amp;A2170)</f>
        <v/>
      </c>
      <c r="I2170" s="63">
        <f>IF(AND(H2170&lt;&gt;"",OR('Historia wózka'!$B$4="",F2170='Historia wózka'!$B$4),A2170&gt;='Historia wózka'!$B$5,A2170&lt;='Historia wózka'!$B$6),A2170+0.7+(5000-ROW())/10000000,0)</f>
        <v/>
      </c>
      <c r="J2170" s="63">
        <f>Ustawienia!$B$10&amp;""</f>
        <v/>
      </c>
      <c r="K2170" s="63">
        <f>IF(H2170="","",COUNTIFS('Zgłoszenia'!$B$5:$B$504,F2170,'Zgłoszenia'!$D$5:$D$504,"&gt;="&amp;A2170,'Zgłoszenia'!$D$5:$D$504,"&lt;="&amp;(A2170+1)))</f>
        <v/>
      </c>
      <c r="L2170" s="63">
        <f>IF(OR(H2170="",K2170=0),"—",IF(ISNUMBER(MATCH(H2170,'Zgłoszenia'!$S$5:$S$504,0)),RIGHT("0"&amp;DAY(A2170),2)&amp;"."&amp;RIGHT("0"&amp;MONTH(A2170),2)&amp;"."&amp;YEAR(A2170)&amp;": "&amp;INDEX('Zgłoszenia'!$H$5:$H$504,MATCH(H2170,'Zgłoszenia'!$S$5:$S$504,0)),RIGHT("0"&amp;DAY((A2170+1)),2)&amp;"."&amp;RIGHT("0"&amp;MONTH((A2170+1)),2)&amp;"."&amp;YEAR((A2170+1))&amp;": "&amp;INDEX('Zgłoszenia'!$H$5:$H$504,MATCH(F2170&amp;"|"&amp;(A2170+1),'Zgłoszenia'!$S$5:$S$504,0)))&amp;IF(K2170&gt;1," (+"&amp;(K2170-1)&amp;")",""))</f>
        <v/>
      </c>
      <c r="M2170" s="63" t="n">
        <v>27</v>
      </c>
      <c r="N2170" s="2" t="n"/>
      <c r="O2170" s="2" t="n"/>
    </row>
    <row r="2171">
      <c r="A2171" s="62">
        <f>IF('27'!$C$1="","",'27'!$C$1)</f>
        <v/>
      </c>
      <c r="B2171" s="63">
        <f>Ustawienia!$A$10&amp;""</f>
        <v/>
      </c>
      <c r="C2171" s="63">
        <f>Ustawienia!$A$15&amp;""</f>
        <v/>
      </c>
      <c r="D2171" s="63" t="n">
        <v>4</v>
      </c>
      <c r="E2171" s="63">
        <f>IF('27'!J16="","",TRIM('27'!J16&amp;""))</f>
        <v/>
      </c>
      <c r="F2171" s="63">
        <f>IF('27'!K16="","",'27'!K16)</f>
        <v/>
      </c>
      <c r="G2171" s="63">
        <f>'27'!L16&amp;""</f>
        <v/>
      </c>
      <c r="H2171" s="63">
        <f>IF(OR(A2171="",F2171=""),"",F2171&amp;"|"&amp;A2171)</f>
        <v/>
      </c>
      <c r="I2171" s="63">
        <f>IF(AND(H2171&lt;&gt;"",OR('Historia wózka'!$B$4="",F2171='Historia wózka'!$B$4),A2171&gt;='Historia wózka'!$B$5,A2171&lt;='Historia wózka'!$B$6),A2171+0.7+(5000-ROW())/10000000,0)</f>
        <v/>
      </c>
      <c r="J2171" s="63">
        <f>Ustawienia!$B$10&amp;""</f>
        <v/>
      </c>
      <c r="K2171" s="63">
        <f>IF(H2171="","",COUNTIFS('Zgłoszenia'!$B$5:$B$504,F2171,'Zgłoszenia'!$D$5:$D$504,"&gt;="&amp;A2171,'Zgłoszenia'!$D$5:$D$504,"&lt;="&amp;(A2171+1)))</f>
        <v/>
      </c>
      <c r="L2171" s="63">
        <f>IF(OR(H2171="",K2171=0),"—",IF(ISNUMBER(MATCH(H2171,'Zgłoszenia'!$S$5:$S$504,0)),RIGHT("0"&amp;DAY(A2171),2)&amp;"."&amp;RIGHT("0"&amp;MONTH(A2171),2)&amp;"."&amp;YEAR(A2171)&amp;": "&amp;INDEX('Zgłoszenia'!$H$5:$H$504,MATCH(H2171,'Zgłoszenia'!$S$5:$S$504,0)),RIGHT("0"&amp;DAY((A2171+1)),2)&amp;"."&amp;RIGHT("0"&amp;MONTH((A2171+1)),2)&amp;"."&amp;YEAR((A2171+1))&amp;": "&amp;INDEX('Zgłoszenia'!$H$5:$H$504,MATCH(F2171&amp;"|"&amp;(A2171+1),'Zgłoszenia'!$S$5:$S$504,0)))&amp;IF(K2171&gt;1," (+"&amp;(K2171-1)&amp;")",""))</f>
        <v/>
      </c>
      <c r="M2171" s="63" t="n">
        <v>27</v>
      </c>
      <c r="N2171" s="2" t="n"/>
      <c r="O2171" s="2" t="n"/>
    </row>
    <row r="2172">
      <c r="A2172" s="62">
        <f>IF('27'!$C$1="","",'27'!$C$1)</f>
        <v/>
      </c>
      <c r="B2172" s="63">
        <f>Ustawienia!$A$10&amp;""</f>
        <v/>
      </c>
      <c r="C2172" s="63">
        <f>Ustawienia!$A$15&amp;""</f>
        <v/>
      </c>
      <c r="D2172" s="63" t="n">
        <v>5</v>
      </c>
      <c r="E2172" s="63">
        <f>IF('27'!J17="","",TRIM('27'!J17&amp;""))</f>
        <v/>
      </c>
      <c r="F2172" s="63">
        <f>IF('27'!K17="","",'27'!K17)</f>
        <v/>
      </c>
      <c r="G2172" s="63">
        <f>'27'!L17&amp;""</f>
        <v/>
      </c>
      <c r="H2172" s="63">
        <f>IF(OR(A2172="",F2172=""),"",F2172&amp;"|"&amp;A2172)</f>
        <v/>
      </c>
      <c r="I2172" s="63">
        <f>IF(AND(H2172&lt;&gt;"",OR('Historia wózka'!$B$4="",F2172='Historia wózka'!$B$4),A2172&gt;='Historia wózka'!$B$5,A2172&lt;='Historia wózka'!$B$6),A2172+0.7+(5000-ROW())/10000000,0)</f>
        <v/>
      </c>
      <c r="J2172" s="63">
        <f>Ustawienia!$B$10&amp;""</f>
        <v/>
      </c>
      <c r="K2172" s="63">
        <f>IF(H2172="","",COUNTIFS('Zgłoszenia'!$B$5:$B$504,F2172,'Zgłoszenia'!$D$5:$D$504,"&gt;="&amp;A2172,'Zgłoszenia'!$D$5:$D$504,"&lt;="&amp;(A2172+1)))</f>
        <v/>
      </c>
      <c r="L2172" s="63">
        <f>IF(OR(H2172="",K2172=0),"—",IF(ISNUMBER(MATCH(H2172,'Zgłoszenia'!$S$5:$S$504,0)),RIGHT("0"&amp;DAY(A2172),2)&amp;"."&amp;RIGHT("0"&amp;MONTH(A2172),2)&amp;"."&amp;YEAR(A2172)&amp;": "&amp;INDEX('Zgłoszenia'!$H$5:$H$504,MATCH(H2172,'Zgłoszenia'!$S$5:$S$504,0)),RIGHT("0"&amp;DAY((A2172+1)),2)&amp;"."&amp;RIGHT("0"&amp;MONTH((A2172+1)),2)&amp;"."&amp;YEAR((A2172+1))&amp;": "&amp;INDEX('Zgłoszenia'!$H$5:$H$504,MATCH(F2172&amp;"|"&amp;(A2172+1),'Zgłoszenia'!$S$5:$S$504,0)))&amp;IF(K2172&gt;1," (+"&amp;(K2172-1)&amp;")",""))</f>
        <v/>
      </c>
      <c r="M2172" s="63" t="n">
        <v>27</v>
      </c>
      <c r="N2172" s="2" t="n"/>
      <c r="O2172" s="2" t="n"/>
    </row>
    <row r="2173">
      <c r="A2173" s="62">
        <f>IF('27'!$C$1="","",'27'!$C$1)</f>
        <v/>
      </c>
      <c r="B2173" s="63">
        <f>Ustawienia!$A$10&amp;""</f>
        <v/>
      </c>
      <c r="C2173" s="63">
        <f>Ustawienia!$A$15&amp;""</f>
        <v/>
      </c>
      <c r="D2173" s="63" t="n">
        <v>6</v>
      </c>
      <c r="E2173" s="63">
        <f>IF('27'!J18="","",TRIM('27'!J18&amp;""))</f>
        <v/>
      </c>
      <c r="F2173" s="63">
        <f>IF('27'!K18="","",'27'!K18)</f>
        <v/>
      </c>
      <c r="G2173" s="63">
        <f>'27'!L18&amp;""</f>
        <v/>
      </c>
      <c r="H2173" s="63">
        <f>IF(OR(A2173="",F2173=""),"",F2173&amp;"|"&amp;A2173)</f>
        <v/>
      </c>
      <c r="I2173" s="63">
        <f>IF(AND(H2173&lt;&gt;"",OR('Historia wózka'!$B$4="",F2173='Historia wózka'!$B$4),A2173&gt;='Historia wózka'!$B$5,A2173&lt;='Historia wózka'!$B$6),A2173+0.7+(5000-ROW())/10000000,0)</f>
        <v/>
      </c>
      <c r="J2173" s="63">
        <f>Ustawienia!$B$10&amp;""</f>
        <v/>
      </c>
      <c r="K2173" s="63">
        <f>IF(H2173="","",COUNTIFS('Zgłoszenia'!$B$5:$B$504,F2173,'Zgłoszenia'!$D$5:$D$504,"&gt;="&amp;A2173,'Zgłoszenia'!$D$5:$D$504,"&lt;="&amp;(A2173+1)))</f>
        <v/>
      </c>
      <c r="L2173" s="63">
        <f>IF(OR(H2173="",K2173=0),"—",IF(ISNUMBER(MATCH(H2173,'Zgłoszenia'!$S$5:$S$504,0)),RIGHT("0"&amp;DAY(A2173),2)&amp;"."&amp;RIGHT("0"&amp;MONTH(A2173),2)&amp;"."&amp;YEAR(A2173)&amp;": "&amp;INDEX('Zgłoszenia'!$H$5:$H$504,MATCH(H2173,'Zgłoszenia'!$S$5:$S$504,0)),RIGHT("0"&amp;DAY((A2173+1)),2)&amp;"."&amp;RIGHT("0"&amp;MONTH((A2173+1)),2)&amp;"."&amp;YEAR((A2173+1))&amp;": "&amp;INDEX('Zgłoszenia'!$H$5:$H$504,MATCH(F2173&amp;"|"&amp;(A2173+1),'Zgłoszenia'!$S$5:$S$504,0)))&amp;IF(K2173&gt;1," (+"&amp;(K2173-1)&amp;")",""))</f>
        <v/>
      </c>
      <c r="M2173" s="63" t="n">
        <v>27</v>
      </c>
      <c r="N2173" s="2" t="n"/>
      <c r="O2173" s="2" t="n"/>
    </row>
    <row r="2174">
      <c r="A2174" s="62">
        <f>IF('27'!$C$1="","",'27'!$C$1)</f>
        <v/>
      </c>
      <c r="B2174" s="63">
        <f>Ustawienia!$A$10&amp;""</f>
        <v/>
      </c>
      <c r="C2174" s="63">
        <f>Ustawienia!$A$15&amp;""</f>
        <v/>
      </c>
      <c r="D2174" s="63" t="n">
        <v>7</v>
      </c>
      <c r="E2174" s="63">
        <f>IF('27'!J19="","",TRIM('27'!J19&amp;""))</f>
        <v/>
      </c>
      <c r="F2174" s="63">
        <f>IF('27'!K19="","",'27'!K19)</f>
        <v/>
      </c>
      <c r="G2174" s="63">
        <f>'27'!L19&amp;""</f>
        <v/>
      </c>
      <c r="H2174" s="63">
        <f>IF(OR(A2174="",F2174=""),"",F2174&amp;"|"&amp;A2174)</f>
        <v/>
      </c>
      <c r="I2174" s="63">
        <f>IF(AND(H2174&lt;&gt;"",OR('Historia wózka'!$B$4="",F2174='Historia wózka'!$B$4),A2174&gt;='Historia wózka'!$B$5,A2174&lt;='Historia wózka'!$B$6),A2174+0.7+(5000-ROW())/10000000,0)</f>
        <v/>
      </c>
      <c r="J2174" s="63">
        <f>Ustawienia!$B$10&amp;""</f>
        <v/>
      </c>
      <c r="K2174" s="63">
        <f>IF(H2174="","",COUNTIFS('Zgłoszenia'!$B$5:$B$504,F2174,'Zgłoszenia'!$D$5:$D$504,"&gt;="&amp;A2174,'Zgłoszenia'!$D$5:$D$504,"&lt;="&amp;(A2174+1)))</f>
        <v/>
      </c>
      <c r="L2174" s="63">
        <f>IF(OR(H2174="",K2174=0),"—",IF(ISNUMBER(MATCH(H2174,'Zgłoszenia'!$S$5:$S$504,0)),RIGHT("0"&amp;DAY(A2174),2)&amp;"."&amp;RIGHT("0"&amp;MONTH(A2174),2)&amp;"."&amp;YEAR(A2174)&amp;": "&amp;INDEX('Zgłoszenia'!$H$5:$H$504,MATCH(H2174,'Zgłoszenia'!$S$5:$S$504,0)),RIGHT("0"&amp;DAY((A2174+1)),2)&amp;"."&amp;RIGHT("0"&amp;MONTH((A2174+1)),2)&amp;"."&amp;YEAR((A2174+1))&amp;": "&amp;INDEX('Zgłoszenia'!$H$5:$H$504,MATCH(F2174&amp;"|"&amp;(A2174+1),'Zgłoszenia'!$S$5:$S$504,0)))&amp;IF(K2174&gt;1," (+"&amp;(K2174-1)&amp;")",""))</f>
        <v/>
      </c>
      <c r="M2174" s="63" t="n">
        <v>27</v>
      </c>
      <c r="N2174" s="2" t="n"/>
      <c r="O2174" s="2" t="n"/>
    </row>
    <row r="2175">
      <c r="A2175" s="62">
        <f>IF('27'!$C$1="","",'27'!$C$1)</f>
        <v/>
      </c>
      <c r="B2175" s="63">
        <f>Ustawienia!$A$10&amp;""</f>
        <v/>
      </c>
      <c r="C2175" s="63">
        <f>Ustawienia!$A$15&amp;""</f>
        <v/>
      </c>
      <c r="D2175" s="63" t="n">
        <v>8</v>
      </c>
      <c r="E2175" s="63">
        <f>IF('27'!J20="","",TRIM('27'!J20&amp;""))</f>
        <v/>
      </c>
      <c r="F2175" s="63">
        <f>IF('27'!K20="","",'27'!K20)</f>
        <v/>
      </c>
      <c r="G2175" s="63">
        <f>'27'!L20&amp;""</f>
        <v/>
      </c>
      <c r="H2175" s="63">
        <f>IF(OR(A2175="",F2175=""),"",F2175&amp;"|"&amp;A2175)</f>
        <v/>
      </c>
      <c r="I2175" s="63">
        <f>IF(AND(H2175&lt;&gt;"",OR('Historia wózka'!$B$4="",F2175='Historia wózka'!$B$4),A2175&gt;='Historia wózka'!$B$5,A2175&lt;='Historia wózka'!$B$6),A2175+0.7+(5000-ROW())/10000000,0)</f>
        <v/>
      </c>
      <c r="J2175" s="63">
        <f>Ustawienia!$B$10&amp;""</f>
        <v/>
      </c>
      <c r="K2175" s="63">
        <f>IF(H2175="","",COUNTIFS('Zgłoszenia'!$B$5:$B$504,F2175,'Zgłoszenia'!$D$5:$D$504,"&gt;="&amp;A2175,'Zgłoszenia'!$D$5:$D$504,"&lt;="&amp;(A2175+1)))</f>
        <v/>
      </c>
      <c r="L2175" s="63">
        <f>IF(OR(H2175="",K2175=0),"—",IF(ISNUMBER(MATCH(H2175,'Zgłoszenia'!$S$5:$S$504,0)),RIGHT("0"&amp;DAY(A2175),2)&amp;"."&amp;RIGHT("0"&amp;MONTH(A2175),2)&amp;"."&amp;YEAR(A2175)&amp;": "&amp;INDEX('Zgłoszenia'!$H$5:$H$504,MATCH(H2175,'Zgłoszenia'!$S$5:$S$504,0)),RIGHT("0"&amp;DAY((A2175+1)),2)&amp;"."&amp;RIGHT("0"&amp;MONTH((A2175+1)),2)&amp;"."&amp;YEAR((A2175+1))&amp;": "&amp;INDEX('Zgłoszenia'!$H$5:$H$504,MATCH(F2175&amp;"|"&amp;(A2175+1),'Zgłoszenia'!$S$5:$S$504,0)))&amp;IF(K2175&gt;1," (+"&amp;(K2175-1)&amp;")",""))</f>
        <v/>
      </c>
      <c r="M2175" s="63" t="n">
        <v>27</v>
      </c>
      <c r="N2175" s="2" t="n"/>
      <c r="O2175" s="2" t="n"/>
    </row>
    <row r="2176">
      <c r="A2176" s="62">
        <f>IF('27'!$C$1="","",'27'!$C$1)</f>
        <v/>
      </c>
      <c r="B2176" s="63">
        <f>Ustawienia!$A$10&amp;""</f>
        <v/>
      </c>
      <c r="C2176" s="63">
        <f>Ustawienia!$A$16&amp;""</f>
        <v/>
      </c>
      <c r="D2176" s="63" t="n">
        <v>1</v>
      </c>
      <c r="E2176" s="63">
        <f>IF('27'!J22="","",TRIM('27'!J22&amp;""))</f>
        <v/>
      </c>
      <c r="F2176" s="63">
        <f>IF('27'!K22="","",'27'!K22)</f>
        <v/>
      </c>
      <c r="G2176" s="63">
        <f>'27'!L22&amp;""</f>
        <v/>
      </c>
      <c r="H2176" s="63">
        <f>IF(OR(A2176="",F2176=""),"",F2176&amp;"|"&amp;A2176)</f>
        <v/>
      </c>
      <c r="I2176" s="63">
        <f>IF(AND(H2176&lt;&gt;"",OR('Historia wózka'!$B$4="",F2176='Historia wózka'!$B$4),A2176&gt;='Historia wózka'!$B$5,A2176&lt;='Historia wózka'!$B$6),A2176+0.7+(5000-ROW())/10000000,0)</f>
        <v/>
      </c>
      <c r="J2176" s="63">
        <f>Ustawienia!$B$10&amp;""</f>
        <v/>
      </c>
      <c r="K2176" s="63">
        <f>IF(H2176="","",COUNTIFS('Zgłoszenia'!$B$5:$B$504,F2176,'Zgłoszenia'!$D$5:$D$504,"&gt;="&amp;A2176,'Zgłoszenia'!$D$5:$D$504,"&lt;="&amp;(A2176+1)))</f>
        <v/>
      </c>
      <c r="L2176" s="63">
        <f>IF(OR(H2176="",K2176=0),"—",IF(ISNUMBER(MATCH(H2176,'Zgłoszenia'!$S$5:$S$504,0)),RIGHT("0"&amp;DAY(A2176),2)&amp;"."&amp;RIGHT("0"&amp;MONTH(A2176),2)&amp;"."&amp;YEAR(A2176)&amp;": "&amp;INDEX('Zgłoszenia'!$H$5:$H$504,MATCH(H2176,'Zgłoszenia'!$S$5:$S$504,0)),RIGHT("0"&amp;DAY((A2176+1)),2)&amp;"."&amp;RIGHT("0"&amp;MONTH((A2176+1)),2)&amp;"."&amp;YEAR((A2176+1))&amp;": "&amp;INDEX('Zgłoszenia'!$H$5:$H$504,MATCH(F2176&amp;"|"&amp;(A2176+1),'Zgłoszenia'!$S$5:$S$504,0)))&amp;IF(K2176&gt;1," (+"&amp;(K2176-1)&amp;")",""))</f>
        <v/>
      </c>
      <c r="M2176" s="63" t="n">
        <v>27</v>
      </c>
      <c r="N2176" s="2" t="n"/>
      <c r="O2176" s="2" t="n"/>
    </row>
    <row r="2177">
      <c r="A2177" s="62">
        <f>IF('27'!$C$1="","",'27'!$C$1)</f>
        <v/>
      </c>
      <c r="B2177" s="63">
        <f>Ustawienia!$A$10&amp;""</f>
        <v/>
      </c>
      <c r="C2177" s="63">
        <f>Ustawienia!$A$16&amp;""</f>
        <v/>
      </c>
      <c r="D2177" s="63" t="n">
        <v>2</v>
      </c>
      <c r="E2177" s="63">
        <f>IF('27'!J23="","",TRIM('27'!J23&amp;""))</f>
        <v/>
      </c>
      <c r="F2177" s="63">
        <f>IF('27'!K23="","",'27'!K23)</f>
        <v/>
      </c>
      <c r="G2177" s="63">
        <f>'27'!L23&amp;""</f>
        <v/>
      </c>
      <c r="H2177" s="63">
        <f>IF(OR(A2177="",F2177=""),"",F2177&amp;"|"&amp;A2177)</f>
        <v/>
      </c>
      <c r="I2177" s="63">
        <f>IF(AND(H2177&lt;&gt;"",OR('Historia wózka'!$B$4="",F2177='Historia wózka'!$B$4),A2177&gt;='Historia wózka'!$B$5,A2177&lt;='Historia wózka'!$B$6),A2177+0.7+(5000-ROW())/10000000,0)</f>
        <v/>
      </c>
      <c r="J2177" s="63">
        <f>Ustawienia!$B$10&amp;""</f>
        <v/>
      </c>
      <c r="K2177" s="63">
        <f>IF(H2177="","",COUNTIFS('Zgłoszenia'!$B$5:$B$504,F2177,'Zgłoszenia'!$D$5:$D$504,"&gt;="&amp;A2177,'Zgłoszenia'!$D$5:$D$504,"&lt;="&amp;(A2177+1)))</f>
        <v/>
      </c>
      <c r="L2177" s="63">
        <f>IF(OR(H2177="",K2177=0),"—",IF(ISNUMBER(MATCH(H2177,'Zgłoszenia'!$S$5:$S$504,0)),RIGHT("0"&amp;DAY(A2177),2)&amp;"."&amp;RIGHT("0"&amp;MONTH(A2177),2)&amp;"."&amp;YEAR(A2177)&amp;": "&amp;INDEX('Zgłoszenia'!$H$5:$H$504,MATCH(H2177,'Zgłoszenia'!$S$5:$S$504,0)),RIGHT("0"&amp;DAY((A2177+1)),2)&amp;"."&amp;RIGHT("0"&amp;MONTH((A2177+1)),2)&amp;"."&amp;YEAR((A2177+1))&amp;": "&amp;INDEX('Zgłoszenia'!$H$5:$H$504,MATCH(F2177&amp;"|"&amp;(A2177+1),'Zgłoszenia'!$S$5:$S$504,0)))&amp;IF(K2177&gt;1," (+"&amp;(K2177-1)&amp;")",""))</f>
        <v/>
      </c>
      <c r="M2177" s="63" t="n">
        <v>27</v>
      </c>
      <c r="N2177" s="2" t="n"/>
      <c r="O2177" s="2" t="n"/>
    </row>
    <row r="2178">
      <c r="A2178" s="62">
        <f>IF('27'!$C$1="","",'27'!$C$1)</f>
        <v/>
      </c>
      <c r="B2178" s="63">
        <f>Ustawienia!$A$10&amp;""</f>
        <v/>
      </c>
      <c r="C2178" s="63">
        <f>Ustawienia!$A$16&amp;""</f>
        <v/>
      </c>
      <c r="D2178" s="63" t="n">
        <v>3</v>
      </c>
      <c r="E2178" s="63">
        <f>IF('27'!J24="","",TRIM('27'!J24&amp;""))</f>
        <v/>
      </c>
      <c r="F2178" s="63">
        <f>IF('27'!K24="","",'27'!K24)</f>
        <v/>
      </c>
      <c r="G2178" s="63">
        <f>'27'!L24&amp;""</f>
        <v/>
      </c>
      <c r="H2178" s="63">
        <f>IF(OR(A2178="",F2178=""),"",F2178&amp;"|"&amp;A2178)</f>
        <v/>
      </c>
      <c r="I2178" s="63">
        <f>IF(AND(H2178&lt;&gt;"",OR('Historia wózka'!$B$4="",F2178='Historia wózka'!$B$4),A2178&gt;='Historia wózka'!$B$5,A2178&lt;='Historia wózka'!$B$6),A2178+0.7+(5000-ROW())/10000000,0)</f>
        <v/>
      </c>
      <c r="J2178" s="63">
        <f>Ustawienia!$B$10&amp;""</f>
        <v/>
      </c>
      <c r="K2178" s="63">
        <f>IF(H2178="","",COUNTIFS('Zgłoszenia'!$B$5:$B$504,F2178,'Zgłoszenia'!$D$5:$D$504,"&gt;="&amp;A2178,'Zgłoszenia'!$D$5:$D$504,"&lt;="&amp;(A2178+1)))</f>
        <v/>
      </c>
      <c r="L2178" s="63">
        <f>IF(OR(H2178="",K2178=0),"—",IF(ISNUMBER(MATCH(H2178,'Zgłoszenia'!$S$5:$S$504,0)),RIGHT("0"&amp;DAY(A2178),2)&amp;"."&amp;RIGHT("0"&amp;MONTH(A2178),2)&amp;"."&amp;YEAR(A2178)&amp;": "&amp;INDEX('Zgłoszenia'!$H$5:$H$504,MATCH(H2178,'Zgłoszenia'!$S$5:$S$504,0)),RIGHT("0"&amp;DAY((A2178+1)),2)&amp;"."&amp;RIGHT("0"&amp;MONTH((A2178+1)),2)&amp;"."&amp;YEAR((A2178+1))&amp;": "&amp;INDEX('Zgłoszenia'!$H$5:$H$504,MATCH(F2178&amp;"|"&amp;(A2178+1),'Zgłoszenia'!$S$5:$S$504,0)))&amp;IF(K2178&gt;1," (+"&amp;(K2178-1)&amp;")",""))</f>
        <v/>
      </c>
      <c r="M2178" s="63" t="n">
        <v>27</v>
      </c>
      <c r="N2178" s="2" t="n"/>
      <c r="O2178" s="2" t="n"/>
    </row>
    <row r="2179">
      <c r="A2179" s="62">
        <f>IF('27'!$C$1="","",'27'!$C$1)</f>
        <v/>
      </c>
      <c r="B2179" s="63">
        <f>Ustawienia!$A$10&amp;""</f>
        <v/>
      </c>
      <c r="C2179" s="63">
        <f>Ustawienia!$A$16&amp;""</f>
        <v/>
      </c>
      <c r="D2179" s="63" t="n">
        <v>4</v>
      </c>
      <c r="E2179" s="63">
        <f>IF('27'!J25="","",TRIM('27'!J25&amp;""))</f>
        <v/>
      </c>
      <c r="F2179" s="63">
        <f>IF('27'!K25="","",'27'!K25)</f>
        <v/>
      </c>
      <c r="G2179" s="63">
        <f>'27'!L25&amp;""</f>
        <v/>
      </c>
      <c r="H2179" s="63">
        <f>IF(OR(A2179="",F2179=""),"",F2179&amp;"|"&amp;A2179)</f>
        <v/>
      </c>
      <c r="I2179" s="63">
        <f>IF(AND(H2179&lt;&gt;"",OR('Historia wózka'!$B$4="",F2179='Historia wózka'!$B$4),A2179&gt;='Historia wózka'!$B$5,A2179&lt;='Historia wózka'!$B$6),A2179+0.7+(5000-ROW())/10000000,0)</f>
        <v/>
      </c>
      <c r="J2179" s="63">
        <f>Ustawienia!$B$10&amp;""</f>
        <v/>
      </c>
      <c r="K2179" s="63">
        <f>IF(H2179="","",COUNTIFS('Zgłoszenia'!$B$5:$B$504,F2179,'Zgłoszenia'!$D$5:$D$504,"&gt;="&amp;A2179,'Zgłoszenia'!$D$5:$D$504,"&lt;="&amp;(A2179+1)))</f>
        <v/>
      </c>
      <c r="L2179" s="63">
        <f>IF(OR(H2179="",K2179=0),"—",IF(ISNUMBER(MATCH(H2179,'Zgłoszenia'!$S$5:$S$504,0)),RIGHT("0"&amp;DAY(A2179),2)&amp;"."&amp;RIGHT("0"&amp;MONTH(A2179),2)&amp;"."&amp;YEAR(A2179)&amp;": "&amp;INDEX('Zgłoszenia'!$H$5:$H$504,MATCH(H2179,'Zgłoszenia'!$S$5:$S$504,0)),RIGHT("0"&amp;DAY((A2179+1)),2)&amp;"."&amp;RIGHT("0"&amp;MONTH((A2179+1)),2)&amp;"."&amp;YEAR((A2179+1))&amp;": "&amp;INDEX('Zgłoszenia'!$H$5:$H$504,MATCH(F2179&amp;"|"&amp;(A2179+1),'Zgłoszenia'!$S$5:$S$504,0)))&amp;IF(K2179&gt;1," (+"&amp;(K2179-1)&amp;")",""))</f>
        <v/>
      </c>
      <c r="M2179" s="63" t="n">
        <v>27</v>
      </c>
      <c r="N2179" s="2" t="n"/>
      <c r="O2179" s="2" t="n"/>
    </row>
    <row r="2180">
      <c r="A2180" s="62">
        <f>IF('27'!$C$1="","",'27'!$C$1)</f>
        <v/>
      </c>
      <c r="B2180" s="63">
        <f>Ustawienia!$A$10&amp;""</f>
        <v/>
      </c>
      <c r="C2180" s="63">
        <f>Ustawienia!$A$17&amp;""</f>
        <v/>
      </c>
      <c r="D2180" s="63" t="n">
        <v>1</v>
      </c>
      <c r="E2180" s="63">
        <f>IF('27'!J27="","",TRIM('27'!J27&amp;""))</f>
        <v/>
      </c>
      <c r="F2180" s="63">
        <f>IF('27'!K27="","",'27'!K27)</f>
        <v/>
      </c>
      <c r="G2180" s="63">
        <f>'27'!L27&amp;""</f>
        <v/>
      </c>
      <c r="H2180" s="63">
        <f>IF(OR(A2180="",F2180=""),"",F2180&amp;"|"&amp;A2180)</f>
        <v/>
      </c>
      <c r="I2180" s="63">
        <f>IF(AND(H2180&lt;&gt;"",OR('Historia wózka'!$B$4="",F2180='Historia wózka'!$B$4),A2180&gt;='Historia wózka'!$B$5,A2180&lt;='Historia wózka'!$B$6),A2180+0.7+(5000-ROW())/10000000,0)</f>
        <v/>
      </c>
      <c r="J2180" s="63">
        <f>Ustawienia!$B$10&amp;""</f>
        <v/>
      </c>
      <c r="K2180" s="63">
        <f>IF(H2180="","",COUNTIFS('Zgłoszenia'!$B$5:$B$504,F2180,'Zgłoszenia'!$D$5:$D$504,"&gt;="&amp;A2180,'Zgłoszenia'!$D$5:$D$504,"&lt;="&amp;(A2180+1)))</f>
        <v/>
      </c>
      <c r="L2180" s="63">
        <f>IF(OR(H2180="",K2180=0),"—",IF(ISNUMBER(MATCH(H2180,'Zgłoszenia'!$S$5:$S$504,0)),RIGHT("0"&amp;DAY(A2180),2)&amp;"."&amp;RIGHT("0"&amp;MONTH(A2180),2)&amp;"."&amp;YEAR(A2180)&amp;": "&amp;INDEX('Zgłoszenia'!$H$5:$H$504,MATCH(H2180,'Zgłoszenia'!$S$5:$S$504,0)),RIGHT("0"&amp;DAY((A2180+1)),2)&amp;"."&amp;RIGHT("0"&amp;MONTH((A2180+1)),2)&amp;"."&amp;YEAR((A2180+1))&amp;": "&amp;INDEX('Zgłoszenia'!$H$5:$H$504,MATCH(F2180&amp;"|"&amp;(A2180+1),'Zgłoszenia'!$S$5:$S$504,0)))&amp;IF(K2180&gt;1," (+"&amp;(K2180-1)&amp;")",""))</f>
        <v/>
      </c>
      <c r="M2180" s="63" t="n">
        <v>27</v>
      </c>
      <c r="N2180" s="2" t="n"/>
      <c r="O2180" s="2" t="n"/>
    </row>
    <row r="2181">
      <c r="A2181" s="62">
        <f>IF('27'!$C$1="","",'27'!$C$1)</f>
        <v/>
      </c>
      <c r="B2181" s="63">
        <f>Ustawienia!$A$10&amp;""</f>
        <v/>
      </c>
      <c r="C2181" s="63">
        <f>Ustawienia!$A$17&amp;""</f>
        <v/>
      </c>
      <c r="D2181" s="63" t="n">
        <v>2</v>
      </c>
      <c r="E2181" s="63">
        <f>IF('27'!J28="","",TRIM('27'!J28&amp;""))</f>
        <v/>
      </c>
      <c r="F2181" s="63">
        <f>IF('27'!K28="","",'27'!K28)</f>
        <v/>
      </c>
      <c r="G2181" s="63">
        <f>'27'!L28&amp;""</f>
        <v/>
      </c>
      <c r="H2181" s="63">
        <f>IF(OR(A2181="",F2181=""),"",F2181&amp;"|"&amp;A2181)</f>
        <v/>
      </c>
      <c r="I2181" s="63">
        <f>IF(AND(H2181&lt;&gt;"",OR('Historia wózka'!$B$4="",F2181='Historia wózka'!$B$4),A2181&gt;='Historia wózka'!$B$5,A2181&lt;='Historia wózka'!$B$6),A2181+0.7+(5000-ROW())/10000000,0)</f>
        <v/>
      </c>
      <c r="J2181" s="63">
        <f>Ustawienia!$B$10&amp;""</f>
        <v/>
      </c>
      <c r="K2181" s="63">
        <f>IF(H2181="","",COUNTIFS('Zgłoszenia'!$B$5:$B$504,F2181,'Zgłoszenia'!$D$5:$D$504,"&gt;="&amp;A2181,'Zgłoszenia'!$D$5:$D$504,"&lt;="&amp;(A2181+1)))</f>
        <v/>
      </c>
      <c r="L2181" s="63">
        <f>IF(OR(H2181="",K2181=0),"—",IF(ISNUMBER(MATCH(H2181,'Zgłoszenia'!$S$5:$S$504,0)),RIGHT("0"&amp;DAY(A2181),2)&amp;"."&amp;RIGHT("0"&amp;MONTH(A2181),2)&amp;"."&amp;YEAR(A2181)&amp;": "&amp;INDEX('Zgłoszenia'!$H$5:$H$504,MATCH(H2181,'Zgłoszenia'!$S$5:$S$504,0)),RIGHT("0"&amp;DAY((A2181+1)),2)&amp;"."&amp;RIGHT("0"&amp;MONTH((A2181+1)),2)&amp;"."&amp;YEAR((A2181+1))&amp;": "&amp;INDEX('Zgłoszenia'!$H$5:$H$504,MATCH(F2181&amp;"|"&amp;(A2181+1),'Zgłoszenia'!$S$5:$S$504,0)))&amp;IF(K2181&gt;1," (+"&amp;(K2181-1)&amp;")",""))</f>
        <v/>
      </c>
      <c r="M2181" s="63" t="n">
        <v>27</v>
      </c>
      <c r="N2181" s="2" t="n"/>
      <c r="O2181" s="2" t="n"/>
    </row>
    <row r="2182">
      <c r="A2182" s="62">
        <f>IF('27'!$C$1="","",'27'!$C$1)</f>
        <v/>
      </c>
      <c r="B2182" s="63">
        <f>Ustawienia!$A$10&amp;""</f>
        <v/>
      </c>
      <c r="C2182" s="63">
        <f>Ustawienia!$A$17&amp;""</f>
        <v/>
      </c>
      <c r="D2182" s="63" t="n">
        <v>3</v>
      </c>
      <c r="E2182" s="63">
        <f>IF('27'!J29="","",TRIM('27'!J29&amp;""))</f>
        <v/>
      </c>
      <c r="F2182" s="63">
        <f>IF('27'!K29="","",'27'!K29)</f>
        <v/>
      </c>
      <c r="G2182" s="63">
        <f>'27'!L29&amp;""</f>
        <v/>
      </c>
      <c r="H2182" s="63">
        <f>IF(OR(A2182="",F2182=""),"",F2182&amp;"|"&amp;A2182)</f>
        <v/>
      </c>
      <c r="I2182" s="63">
        <f>IF(AND(H2182&lt;&gt;"",OR('Historia wózka'!$B$4="",F2182='Historia wózka'!$B$4),A2182&gt;='Historia wózka'!$B$5,A2182&lt;='Historia wózka'!$B$6),A2182+0.7+(5000-ROW())/10000000,0)</f>
        <v/>
      </c>
      <c r="J2182" s="63">
        <f>Ustawienia!$B$10&amp;""</f>
        <v/>
      </c>
      <c r="K2182" s="63">
        <f>IF(H2182="","",COUNTIFS('Zgłoszenia'!$B$5:$B$504,F2182,'Zgłoszenia'!$D$5:$D$504,"&gt;="&amp;A2182,'Zgłoszenia'!$D$5:$D$504,"&lt;="&amp;(A2182+1)))</f>
        <v/>
      </c>
      <c r="L2182" s="63">
        <f>IF(OR(H2182="",K2182=0),"—",IF(ISNUMBER(MATCH(H2182,'Zgłoszenia'!$S$5:$S$504,0)),RIGHT("0"&amp;DAY(A2182),2)&amp;"."&amp;RIGHT("0"&amp;MONTH(A2182),2)&amp;"."&amp;YEAR(A2182)&amp;": "&amp;INDEX('Zgłoszenia'!$H$5:$H$504,MATCH(H2182,'Zgłoszenia'!$S$5:$S$504,0)),RIGHT("0"&amp;DAY((A2182+1)),2)&amp;"."&amp;RIGHT("0"&amp;MONTH((A2182+1)),2)&amp;"."&amp;YEAR((A2182+1))&amp;": "&amp;INDEX('Zgłoszenia'!$H$5:$H$504,MATCH(F2182&amp;"|"&amp;(A2182+1),'Zgłoszenia'!$S$5:$S$504,0)))&amp;IF(K2182&gt;1," (+"&amp;(K2182-1)&amp;")",""))</f>
        <v/>
      </c>
      <c r="M2182" s="63" t="n">
        <v>27</v>
      </c>
      <c r="N2182" s="2" t="n"/>
      <c r="O2182" s="2" t="n"/>
    </row>
    <row r="2183">
      <c r="A2183" s="62">
        <f>IF('27'!$C$1="","",'27'!$C$1)</f>
        <v/>
      </c>
      <c r="B2183" s="63">
        <f>Ustawienia!$A$10&amp;""</f>
        <v/>
      </c>
      <c r="C2183" s="63">
        <f>Ustawienia!$A$17&amp;""</f>
        <v/>
      </c>
      <c r="D2183" s="63" t="n">
        <v>4</v>
      </c>
      <c r="E2183" s="63">
        <f>IF('27'!J30="","",TRIM('27'!J30&amp;""))</f>
        <v/>
      </c>
      <c r="F2183" s="63">
        <f>IF('27'!K30="","",'27'!K30)</f>
        <v/>
      </c>
      <c r="G2183" s="63">
        <f>'27'!L30&amp;""</f>
        <v/>
      </c>
      <c r="H2183" s="63">
        <f>IF(OR(A2183="",F2183=""),"",F2183&amp;"|"&amp;A2183)</f>
        <v/>
      </c>
      <c r="I2183" s="63">
        <f>IF(AND(H2183&lt;&gt;"",OR('Historia wózka'!$B$4="",F2183='Historia wózka'!$B$4),A2183&gt;='Historia wózka'!$B$5,A2183&lt;='Historia wózka'!$B$6),A2183+0.7+(5000-ROW())/10000000,0)</f>
        <v/>
      </c>
      <c r="J2183" s="63">
        <f>Ustawienia!$B$10&amp;""</f>
        <v/>
      </c>
      <c r="K2183" s="63">
        <f>IF(H2183="","",COUNTIFS('Zgłoszenia'!$B$5:$B$504,F2183,'Zgłoszenia'!$D$5:$D$504,"&gt;="&amp;A2183,'Zgłoszenia'!$D$5:$D$504,"&lt;="&amp;(A2183+1)))</f>
        <v/>
      </c>
      <c r="L2183" s="63">
        <f>IF(OR(H2183="",K2183=0),"—",IF(ISNUMBER(MATCH(H2183,'Zgłoszenia'!$S$5:$S$504,0)),RIGHT("0"&amp;DAY(A2183),2)&amp;"."&amp;RIGHT("0"&amp;MONTH(A2183),2)&amp;"."&amp;YEAR(A2183)&amp;": "&amp;INDEX('Zgłoszenia'!$H$5:$H$504,MATCH(H2183,'Zgłoszenia'!$S$5:$S$504,0)),RIGHT("0"&amp;DAY((A2183+1)),2)&amp;"."&amp;RIGHT("0"&amp;MONTH((A2183+1)),2)&amp;"."&amp;YEAR((A2183+1))&amp;": "&amp;INDEX('Zgłoszenia'!$H$5:$H$504,MATCH(F2183&amp;"|"&amp;(A2183+1),'Zgłoszenia'!$S$5:$S$504,0)))&amp;IF(K2183&gt;1," (+"&amp;(K2183-1)&amp;")",""))</f>
        <v/>
      </c>
      <c r="M2183" s="63" t="n">
        <v>27</v>
      </c>
      <c r="N2183" s="2" t="n"/>
      <c r="O2183" s="2" t="n"/>
    </row>
    <row r="2184">
      <c r="A2184" s="62">
        <f>IF('27'!$C$1="","",'27'!$C$1)</f>
        <v/>
      </c>
      <c r="B2184" s="63">
        <f>Ustawienia!$A$10&amp;""</f>
        <v/>
      </c>
      <c r="C2184" s="63">
        <f>Ustawienia!$A$18&amp;""</f>
        <v/>
      </c>
      <c r="D2184" s="63" t="n">
        <v>1</v>
      </c>
      <c r="E2184" s="63">
        <f>IF('27'!J32="","",TRIM('27'!J32&amp;""))</f>
        <v/>
      </c>
      <c r="F2184" s="63">
        <f>IF('27'!K32="","",'27'!K32)</f>
        <v/>
      </c>
      <c r="G2184" s="63">
        <f>'27'!L32&amp;""</f>
        <v/>
      </c>
      <c r="H2184" s="63">
        <f>IF(OR(A2184="",F2184=""),"",F2184&amp;"|"&amp;A2184)</f>
        <v/>
      </c>
      <c r="I2184" s="63">
        <f>IF(AND(H2184&lt;&gt;"",OR('Historia wózka'!$B$4="",F2184='Historia wózka'!$B$4),A2184&gt;='Historia wózka'!$B$5,A2184&lt;='Historia wózka'!$B$6),A2184+0.7+(5000-ROW())/10000000,0)</f>
        <v/>
      </c>
      <c r="J2184" s="63">
        <f>Ustawienia!$B$10&amp;""</f>
        <v/>
      </c>
      <c r="K2184" s="63">
        <f>IF(H2184="","",COUNTIFS('Zgłoszenia'!$B$5:$B$504,F2184,'Zgłoszenia'!$D$5:$D$504,"&gt;="&amp;A2184,'Zgłoszenia'!$D$5:$D$504,"&lt;="&amp;(A2184+1)))</f>
        <v/>
      </c>
      <c r="L2184" s="63">
        <f>IF(OR(H2184="",K2184=0),"—",IF(ISNUMBER(MATCH(H2184,'Zgłoszenia'!$S$5:$S$504,0)),RIGHT("0"&amp;DAY(A2184),2)&amp;"."&amp;RIGHT("0"&amp;MONTH(A2184),2)&amp;"."&amp;YEAR(A2184)&amp;": "&amp;INDEX('Zgłoszenia'!$H$5:$H$504,MATCH(H2184,'Zgłoszenia'!$S$5:$S$504,0)),RIGHT("0"&amp;DAY((A2184+1)),2)&amp;"."&amp;RIGHT("0"&amp;MONTH((A2184+1)),2)&amp;"."&amp;YEAR((A2184+1))&amp;": "&amp;INDEX('Zgłoszenia'!$H$5:$H$504,MATCH(F2184&amp;"|"&amp;(A2184+1),'Zgłoszenia'!$S$5:$S$504,0)))&amp;IF(K2184&gt;1," (+"&amp;(K2184-1)&amp;")",""))</f>
        <v/>
      </c>
      <c r="M2184" s="63" t="n">
        <v>27</v>
      </c>
      <c r="N2184" s="2" t="n"/>
      <c r="O2184" s="2" t="n"/>
    </row>
    <row r="2185">
      <c r="A2185" s="62">
        <f>IF('27'!$C$1="","",'27'!$C$1)</f>
        <v/>
      </c>
      <c r="B2185" s="63">
        <f>Ustawienia!$A$10&amp;""</f>
        <v/>
      </c>
      <c r="C2185" s="63">
        <f>Ustawienia!$A$18&amp;""</f>
        <v/>
      </c>
      <c r="D2185" s="63" t="n">
        <v>2</v>
      </c>
      <c r="E2185" s="63">
        <f>IF('27'!J33="","",TRIM('27'!J33&amp;""))</f>
        <v/>
      </c>
      <c r="F2185" s="63">
        <f>IF('27'!K33="","",'27'!K33)</f>
        <v/>
      </c>
      <c r="G2185" s="63">
        <f>'27'!L33&amp;""</f>
        <v/>
      </c>
      <c r="H2185" s="63">
        <f>IF(OR(A2185="",F2185=""),"",F2185&amp;"|"&amp;A2185)</f>
        <v/>
      </c>
      <c r="I2185" s="63">
        <f>IF(AND(H2185&lt;&gt;"",OR('Historia wózka'!$B$4="",F2185='Historia wózka'!$B$4),A2185&gt;='Historia wózka'!$B$5,A2185&lt;='Historia wózka'!$B$6),A2185+0.7+(5000-ROW())/10000000,0)</f>
        <v/>
      </c>
      <c r="J2185" s="63">
        <f>Ustawienia!$B$10&amp;""</f>
        <v/>
      </c>
      <c r="K2185" s="63">
        <f>IF(H2185="","",COUNTIFS('Zgłoszenia'!$B$5:$B$504,F2185,'Zgłoszenia'!$D$5:$D$504,"&gt;="&amp;A2185,'Zgłoszenia'!$D$5:$D$504,"&lt;="&amp;(A2185+1)))</f>
        <v/>
      </c>
      <c r="L2185" s="63">
        <f>IF(OR(H2185="",K2185=0),"—",IF(ISNUMBER(MATCH(H2185,'Zgłoszenia'!$S$5:$S$504,0)),RIGHT("0"&amp;DAY(A2185),2)&amp;"."&amp;RIGHT("0"&amp;MONTH(A2185),2)&amp;"."&amp;YEAR(A2185)&amp;": "&amp;INDEX('Zgłoszenia'!$H$5:$H$504,MATCH(H2185,'Zgłoszenia'!$S$5:$S$504,0)),RIGHT("0"&amp;DAY((A2185+1)),2)&amp;"."&amp;RIGHT("0"&amp;MONTH((A2185+1)),2)&amp;"."&amp;YEAR((A2185+1))&amp;": "&amp;INDEX('Zgłoszenia'!$H$5:$H$504,MATCH(F2185&amp;"|"&amp;(A2185+1),'Zgłoszenia'!$S$5:$S$504,0)))&amp;IF(K2185&gt;1," (+"&amp;(K2185-1)&amp;")",""))</f>
        <v/>
      </c>
      <c r="M2185" s="63" t="n">
        <v>27</v>
      </c>
      <c r="N2185" s="2" t="n"/>
      <c r="O2185" s="2" t="n"/>
    </row>
    <row r="2186">
      <c r="A2186" s="62">
        <f>IF('27'!$C$1="","",'27'!$C$1)</f>
        <v/>
      </c>
      <c r="B2186" s="63">
        <f>Ustawienia!$A$10&amp;""</f>
        <v/>
      </c>
      <c r="C2186" s="63">
        <f>Ustawienia!$A$18&amp;""</f>
        <v/>
      </c>
      <c r="D2186" s="63" t="n">
        <v>3</v>
      </c>
      <c r="E2186" s="63">
        <f>IF('27'!J34="","",TRIM('27'!J34&amp;""))</f>
        <v/>
      </c>
      <c r="F2186" s="63">
        <f>IF('27'!K34="","",'27'!K34)</f>
        <v/>
      </c>
      <c r="G2186" s="63">
        <f>'27'!L34&amp;""</f>
        <v/>
      </c>
      <c r="H2186" s="63">
        <f>IF(OR(A2186="",F2186=""),"",F2186&amp;"|"&amp;A2186)</f>
        <v/>
      </c>
      <c r="I2186" s="63">
        <f>IF(AND(H2186&lt;&gt;"",OR('Historia wózka'!$B$4="",F2186='Historia wózka'!$B$4),A2186&gt;='Historia wózka'!$B$5,A2186&lt;='Historia wózka'!$B$6),A2186+0.7+(5000-ROW())/10000000,0)</f>
        <v/>
      </c>
      <c r="J2186" s="63">
        <f>Ustawienia!$B$10&amp;""</f>
        <v/>
      </c>
      <c r="K2186" s="63">
        <f>IF(H2186="","",COUNTIFS('Zgłoszenia'!$B$5:$B$504,F2186,'Zgłoszenia'!$D$5:$D$504,"&gt;="&amp;A2186,'Zgłoszenia'!$D$5:$D$504,"&lt;="&amp;(A2186+1)))</f>
        <v/>
      </c>
      <c r="L2186" s="63">
        <f>IF(OR(H2186="",K2186=0),"—",IF(ISNUMBER(MATCH(H2186,'Zgłoszenia'!$S$5:$S$504,0)),RIGHT("0"&amp;DAY(A2186),2)&amp;"."&amp;RIGHT("0"&amp;MONTH(A2186),2)&amp;"."&amp;YEAR(A2186)&amp;": "&amp;INDEX('Zgłoszenia'!$H$5:$H$504,MATCH(H2186,'Zgłoszenia'!$S$5:$S$504,0)),RIGHT("0"&amp;DAY((A2186+1)),2)&amp;"."&amp;RIGHT("0"&amp;MONTH((A2186+1)),2)&amp;"."&amp;YEAR((A2186+1))&amp;": "&amp;INDEX('Zgłoszenia'!$H$5:$H$504,MATCH(F2186&amp;"|"&amp;(A2186+1),'Zgłoszenia'!$S$5:$S$504,0)))&amp;IF(K2186&gt;1," (+"&amp;(K2186-1)&amp;")",""))</f>
        <v/>
      </c>
      <c r="M2186" s="63" t="n">
        <v>27</v>
      </c>
      <c r="N2186" s="2" t="n"/>
      <c r="O2186" s="2" t="n"/>
    </row>
    <row r="2187">
      <c r="A2187" s="62">
        <f>IF('27'!$C$1="","",'27'!$C$1)</f>
        <v/>
      </c>
      <c r="B2187" s="63">
        <f>Ustawienia!$A$10&amp;""</f>
        <v/>
      </c>
      <c r="C2187" s="63">
        <f>Ustawienia!$A$18&amp;""</f>
        <v/>
      </c>
      <c r="D2187" s="63" t="n">
        <v>4</v>
      </c>
      <c r="E2187" s="63">
        <f>IF('27'!J35="","",TRIM('27'!J35&amp;""))</f>
        <v/>
      </c>
      <c r="F2187" s="63">
        <f>IF('27'!K35="","",'27'!K35)</f>
        <v/>
      </c>
      <c r="G2187" s="63">
        <f>'27'!L35&amp;""</f>
        <v/>
      </c>
      <c r="H2187" s="63">
        <f>IF(OR(A2187="",F2187=""),"",F2187&amp;"|"&amp;A2187)</f>
        <v/>
      </c>
      <c r="I2187" s="63">
        <f>IF(AND(H2187&lt;&gt;"",OR('Historia wózka'!$B$4="",F2187='Historia wózka'!$B$4),A2187&gt;='Historia wózka'!$B$5,A2187&lt;='Historia wózka'!$B$6),A2187+0.7+(5000-ROW())/10000000,0)</f>
        <v/>
      </c>
      <c r="J2187" s="63">
        <f>Ustawienia!$B$10&amp;""</f>
        <v/>
      </c>
      <c r="K2187" s="63">
        <f>IF(H2187="","",COUNTIFS('Zgłoszenia'!$B$5:$B$504,F2187,'Zgłoszenia'!$D$5:$D$504,"&gt;="&amp;A2187,'Zgłoszenia'!$D$5:$D$504,"&lt;="&amp;(A2187+1)))</f>
        <v/>
      </c>
      <c r="L2187" s="63">
        <f>IF(OR(H2187="",K2187=0),"—",IF(ISNUMBER(MATCH(H2187,'Zgłoszenia'!$S$5:$S$504,0)),RIGHT("0"&amp;DAY(A2187),2)&amp;"."&amp;RIGHT("0"&amp;MONTH(A2187),2)&amp;"."&amp;YEAR(A2187)&amp;": "&amp;INDEX('Zgłoszenia'!$H$5:$H$504,MATCH(H2187,'Zgłoszenia'!$S$5:$S$504,0)),RIGHT("0"&amp;DAY((A2187+1)),2)&amp;"."&amp;RIGHT("0"&amp;MONTH((A2187+1)),2)&amp;"."&amp;YEAR((A2187+1))&amp;": "&amp;INDEX('Zgłoszenia'!$H$5:$H$504,MATCH(F2187&amp;"|"&amp;(A2187+1),'Zgłoszenia'!$S$5:$S$504,0)))&amp;IF(K2187&gt;1," (+"&amp;(K2187-1)&amp;")",""))</f>
        <v/>
      </c>
      <c r="M2187" s="63" t="n">
        <v>27</v>
      </c>
      <c r="N2187" s="2" t="n"/>
      <c r="O2187" s="2" t="n"/>
    </row>
    <row r="2188">
      <c r="A2188" s="62">
        <f>IF('27'!$C$1="","",'27'!$C$1)</f>
        <v/>
      </c>
      <c r="B2188" s="63">
        <f>Ustawienia!$A$10&amp;""</f>
        <v/>
      </c>
      <c r="C2188" s="63">
        <f>Ustawienia!$A$18&amp;""</f>
        <v/>
      </c>
      <c r="D2188" s="63" t="n">
        <v>5</v>
      </c>
      <c r="E2188" s="63">
        <f>IF('27'!J36="","",TRIM('27'!J36&amp;""))</f>
        <v/>
      </c>
      <c r="F2188" s="63">
        <f>IF('27'!K36="","",'27'!K36)</f>
        <v/>
      </c>
      <c r="G2188" s="63">
        <f>'27'!L36&amp;""</f>
        <v/>
      </c>
      <c r="H2188" s="63">
        <f>IF(OR(A2188="",F2188=""),"",F2188&amp;"|"&amp;A2188)</f>
        <v/>
      </c>
      <c r="I2188" s="63">
        <f>IF(AND(H2188&lt;&gt;"",OR('Historia wózka'!$B$4="",F2188='Historia wózka'!$B$4),A2188&gt;='Historia wózka'!$B$5,A2188&lt;='Historia wózka'!$B$6),A2188+0.7+(5000-ROW())/10000000,0)</f>
        <v/>
      </c>
      <c r="J2188" s="63">
        <f>Ustawienia!$B$10&amp;""</f>
        <v/>
      </c>
      <c r="K2188" s="63">
        <f>IF(H2188="","",COUNTIFS('Zgłoszenia'!$B$5:$B$504,F2188,'Zgłoszenia'!$D$5:$D$504,"&gt;="&amp;A2188,'Zgłoszenia'!$D$5:$D$504,"&lt;="&amp;(A2188+1)))</f>
        <v/>
      </c>
      <c r="L2188" s="63">
        <f>IF(OR(H2188="",K2188=0),"—",IF(ISNUMBER(MATCH(H2188,'Zgłoszenia'!$S$5:$S$504,0)),RIGHT("0"&amp;DAY(A2188),2)&amp;"."&amp;RIGHT("0"&amp;MONTH(A2188),2)&amp;"."&amp;YEAR(A2188)&amp;": "&amp;INDEX('Zgłoszenia'!$H$5:$H$504,MATCH(H2188,'Zgłoszenia'!$S$5:$S$504,0)),RIGHT("0"&amp;DAY((A2188+1)),2)&amp;"."&amp;RIGHT("0"&amp;MONTH((A2188+1)),2)&amp;"."&amp;YEAR((A2188+1))&amp;": "&amp;INDEX('Zgłoszenia'!$H$5:$H$504,MATCH(F2188&amp;"|"&amp;(A2188+1),'Zgłoszenia'!$S$5:$S$504,0)))&amp;IF(K2188&gt;1," (+"&amp;(K2188-1)&amp;")",""))</f>
        <v/>
      </c>
      <c r="M2188" s="63" t="n">
        <v>27</v>
      </c>
      <c r="N2188" s="2" t="n"/>
      <c r="O2188" s="2" t="n"/>
    </row>
    <row r="2189">
      <c r="A2189" s="62">
        <f>IF('28'!$C$1="","",'28'!$C$1)</f>
        <v/>
      </c>
      <c r="B2189" s="63">
        <f>Ustawienia!$A$8&amp;""</f>
        <v/>
      </c>
      <c r="C2189" s="63">
        <f>Ustawienia!$A$14&amp;""</f>
        <v/>
      </c>
      <c r="D2189" s="63" t="n">
        <v>1</v>
      </c>
      <c r="E2189" s="63">
        <f>IF('28'!B6="","",TRIM('28'!B6&amp;""))</f>
        <v/>
      </c>
      <c r="F2189" s="63">
        <f>IF('28'!C6="","",'28'!C6)</f>
        <v/>
      </c>
      <c r="G2189" s="63">
        <f>'28'!D6&amp;""</f>
        <v/>
      </c>
      <c r="H2189" s="63">
        <f>IF(OR(A2189="",F2189=""),"",F2189&amp;"|"&amp;A2189)</f>
        <v/>
      </c>
      <c r="I2189" s="63">
        <f>IF(AND(H2189&lt;&gt;"",OR('Historia wózka'!$B$4="",F2189='Historia wózka'!$B$4),A2189&gt;='Historia wózka'!$B$5,A2189&lt;='Historia wózka'!$B$6),A2189+0.9+(5000-ROW())/10000000,0)</f>
        <v/>
      </c>
      <c r="J2189" s="63">
        <f>Ustawienia!$B$8&amp;""</f>
        <v/>
      </c>
      <c r="K2189" s="63">
        <f>IF(H2189="","",COUNTIFS('Zgłoszenia'!$B$5:$B$504,F2189,'Zgłoszenia'!$D$5:$D$504,"&gt;="&amp;A2189,'Zgłoszenia'!$D$5:$D$504,"&lt;="&amp;(A2189+1)))</f>
        <v/>
      </c>
      <c r="L2189" s="63">
        <f>IF(OR(H2189="",K2189=0),"—",IF(ISNUMBER(MATCH(H2189,'Zgłoszenia'!$S$5:$S$504,0)),RIGHT("0"&amp;DAY(A2189),2)&amp;"."&amp;RIGHT("0"&amp;MONTH(A2189),2)&amp;"."&amp;YEAR(A2189)&amp;": "&amp;INDEX('Zgłoszenia'!$H$5:$H$504,MATCH(H2189,'Zgłoszenia'!$S$5:$S$504,0)),RIGHT("0"&amp;DAY((A2189+1)),2)&amp;"."&amp;RIGHT("0"&amp;MONTH((A2189+1)),2)&amp;"."&amp;YEAR((A2189+1))&amp;": "&amp;INDEX('Zgłoszenia'!$H$5:$H$504,MATCH(F2189&amp;"|"&amp;(A2189+1),'Zgłoszenia'!$S$5:$S$504,0)))&amp;IF(K2189&gt;1," (+"&amp;(K2189-1)&amp;")",""))</f>
        <v/>
      </c>
      <c r="M2189" s="63" t="n">
        <v>28</v>
      </c>
      <c r="N2189" s="2" t="n"/>
      <c r="O2189" s="2" t="n"/>
    </row>
    <row r="2190">
      <c r="A2190" s="62">
        <f>IF('28'!$C$1="","",'28'!$C$1)</f>
        <v/>
      </c>
      <c r="B2190" s="63">
        <f>Ustawienia!$A$8&amp;""</f>
        <v/>
      </c>
      <c r="C2190" s="63">
        <f>Ustawienia!$A$14&amp;""</f>
        <v/>
      </c>
      <c r="D2190" s="63" t="n">
        <v>2</v>
      </c>
      <c r="E2190" s="63">
        <f>IF('28'!B7="","",TRIM('28'!B7&amp;""))</f>
        <v/>
      </c>
      <c r="F2190" s="63">
        <f>IF('28'!C7="","",'28'!C7)</f>
        <v/>
      </c>
      <c r="G2190" s="63">
        <f>'28'!D7&amp;""</f>
        <v/>
      </c>
      <c r="H2190" s="63">
        <f>IF(OR(A2190="",F2190=""),"",F2190&amp;"|"&amp;A2190)</f>
        <v/>
      </c>
      <c r="I2190" s="63">
        <f>IF(AND(H2190&lt;&gt;"",OR('Historia wózka'!$B$4="",F2190='Historia wózka'!$B$4),A2190&gt;='Historia wózka'!$B$5,A2190&lt;='Historia wózka'!$B$6),A2190+0.9+(5000-ROW())/10000000,0)</f>
        <v/>
      </c>
      <c r="J2190" s="63">
        <f>Ustawienia!$B$8&amp;""</f>
        <v/>
      </c>
      <c r="K2190" s="63">
        <f>IF(H2190="","",COUNTIFS('Zgłoszenia'!$B$5:$B$504,F2190,'Zgłoszenia'!$D$5:$D$504,"&gt;="&amp;A2190,'Zgłoszenia'!$D$5:$D$504,"&lt;="&amp;(A2190+1)))</f>
        <v/>
      </c>
      <c r="L2190" s="63">
        <f>IF(OR(H2190="",K2190=0),"—",IF(ISNUMBER(MATCH(H2190,'Zgłoszenia'!$S$5:$S$504,0)),RIGHT("0"&amp;DAY(A2190),2)&amp;"."&amp;RIGHT("0"&amp;MONTH(A2190),2)&amp;"."&amp;YEAR(A2190)&amp;": "&amp;INDEX('Zgłoszenia'!$H$5:$H$504,MATCH(H2190,'Zgłoszenia'!$S$5:$S$504,0)),RIGHT("0"&amp;DAY((A2190+1)),2)&amp;"."&amp;RIGHT("0"&amp;MONTH((A2190+1)),2)&amp;"."&amp;YEAR((A2190+1))&amp;": "&amp;INDEX('Zgłoszenia'!$H$5:$H$504,MATCH(F2190&amp;"|"&amp;(A2190+1),'Zgłoszenia'!$S$5:$S$504,0)))&amp;IF(K2190&gt;1," (+"&amp;(K2190-1)&amp;")",""))</f>
        <v/>
      </c>
      <c r="M2190" s="63" t="n">
        <v>28</v>
      </c>
      <c r="N2190" s="2" t="n"/>
      <c r="O2190" s="2" t="n"/>
    </row>
    <row r="2191">
      <c r="A2191" s="62">
        <f>IF('28'!$C$1="","",'28'!$C$1)</f>
        <v/>
      </c>
      <c r="B2191" s="63">
        <f>Ustawienia!$A$8&amp;""</f>
        <v/>
      </c>
      <c r="C2191" s="63">
        <f>Ustawienia!$A$14&amp;""</f>
        <v/>
      </c>
      <c r="D2191" s="63" t="n">
        <v>3</v>
      </c>
      <c r="E2191" s="63">
        <f>IF('28'!B8="","",TRIM('28'!B8&amp;""))</f>
        <v/>
      </c>
      <c r="F2191" s="63">
        <f>IF('28'!C8="","",'28'!C8)</f>
        <v/>
      </c>
      <c r="G2191" s="63">
        <f>'28'!D8&amp;""</f>
        <v/>
      </c>
      <c r="H2191" s="63">
        <f>IF(OR(A2191="",F2191=""),"",F2191&amp;"|"&amp;A2191)</f>
        <v/>
      </c>
      <c r="I2191" s="63">
        <f>IF(AND(H2191&lt;&gt;"",OR('Historia wózka'!$B$4="",F2191='Historia wózka'!$B$4),A2191&gt;='Historia wózka'!$B$5,A2191&lt;='Historia wózka'!$B$6),A2191+0.9+(5000-ROW())/10000000,0)</f>
        <v/>
      </c>
      <c r="J2191" s="63">
        <f>Ustawienia!$B$8&amp;""</f>
        <v/>
      </c>
      <c r="K2191" s="63">
        <f>IF(H2191="","",COUNTIFS('Zgłoszenia'!$B$5:$B$504,F2191,'Zgłoszenia'!$D$5:$D$504,"&gt;="&amp;A2191,'Zgłoszenia'!$D$5:$D$504,"&lt;="&amp;(A2191+1)))</f>
        <v/>
      </c>
      <c r="L2191" s="63">
        <f>IF(OR(H2191="",K2191=0),"—",IF(ISNUMBER(MATCH(H2191,'Zgłoszenia'!$S$5:$S$504,0)),RIGHT("0"&amp;DAY(A2191),2)&amp;"."&amp;RIGHT("0"&amp;MONTH(A2191),2)&amp;"."&amp;YEAR(A2191)&amp;": "&amp;INDEX('Zgłoszenia'!$H$5:$H$504,MATCH(H2191,'Zgłoszenia'!$S$5:$S$504,0)),RIGHT("0"&amp;DAY((A2191+1)),2)&amp;"."&amp;RIGHT("0"&amp;MONTH((A2191+1)),2)&amp;"."&amp;YEAR((A2191+1))&amp;": "&amp;INDEX('Zgłoszenia'!$H$5:$H$504,MATCH(F2191&amp;"|"&amp;(A2191+1),'Zgłoszenia'!$S$5:$S$504,0)))&amp;IF(K2191&gt;1," (+"&amp;(K2191-1)&amp;")",""))</f>
        <v/>
      </c>
      <c r="M2191" s="63" t="n">
        <v>28</v>
      </c>
      <c r="N2191" s="2" t="n"/>
      <c r="O2191" s="2" t="n"/>
    </row>
    <row r="2192">
      <c r="A2192" s="62">
        <f>IF('28'!$C$1="","",'28'!$C$1)</f>
        <v/>
      </c>
      <c r="B2192" s="63">
        <f>Ustawienia!$A$8&amp;""</f>
        <v/>
      </c>
      <c r="C2192" s="63">
        <f>Ustawienia!$A$14&amp;""</f>
        <v/>
      </c>
      <c r="D2192" s="63" t="n">
        <v>4</v>
      </c>
      <c r="E2192" s="63">
        <f>IF('28'!B9="","",TRIM('28'!B9&amp;""))</f>
        <v/>
      </c>
      <c r="F2192" s="63">
        <f>IF('28'!C9="","",'28'!C9)</f>
        <v/>
      </c>
      <c r="G2192" s="63">
        <f>'28'!D9&amp;""</f>
        <v/>
      </c>
      <c r="H2192" s="63">
        <f>IF(OR(A2192="",F2192=""),"",F2192&amp;"|"&amp;A2192)</f>
        <v/>
      </c>
      <c r="I2192" s="63">
        <f>IF(AND(H2192&lt;&gt;"",OR('Historia wózka'!$B$4="",F2192='Historia wózka'!$B$4),A2192&gt;='Historia wózka'!$B$5,A2192&lt;='Historia wózka'!$B$6),A2192+0.9+(5000-ROW())/10000000,0)</f>
        <v/>
      </c>
      <c r="J2192" s="63">
        <f>Ustawienia!$B$8&amp;""</f>
        <v/>
      </c>
      <c r="K2192" s="63">
        <f>IF(H2192="","",COUNTIFS('Zgłoszenia'!$B$5:$B$504,F2192,'Zgłoszenia'!$D$5:$D$504,"&gt;="&amp;A2192,'Zgłoszenia'!$D$5:$D$504,"&lt;="&amp;(A2192+1)))</f>
        <v/>
      </c>
      <c r="L2192" s="63">
        <f>IF(OR(H2192="",K2192=0),"—",IF(ISNUMBER(MATCH(H2192,'Zgłoszenia'!$S$5:$S$504,0)),RIGHT("0"&amp;DAY(A2192),2)&amp;"."&amp;RIGHT("0"&amp;MONTH(A2192),2)&amp;"."&amp;YEAR(A2192)&amp;": "&amp;INDEX('Zgłoszenia'!$H$5:$H$504,MATCH(H2192,'Zgłoszenia'!$S$5:$S$504,0)),RIGHT("0"&amp;DAY((A2192+1)),2)&amp;"."&amp;RIGHT("0"&amp;MONTH((A2192+1)),2)&amp;"."&amp;YEAR((A2192+1))&amp;": "&amp;INDEX('Zgłoszenia'!$H$5:$H$504,MATCH(F2192&amp;"|"&amp;(A2192+1),'Zgłoszenia'!$S$5:$S$504,0)))&amp;IF(K2192&gt;1," (+"&amp;(K2192-1)&amp;")",""))</f>
        <v/>
      </c>
      <c r="M2192" s="63" t="n">
        <v>28</v>
      </c>
      <c r="N2192" s="2" t="n"/>
      <c r="O2192" s="2" t="n"/>
    </row>
    <row r="2193">
      <c r="A2193" s="62">
        <f>IF('28'!$C$1="","",'28'!$C$1)</f>
        <v/>
      </c>
      <c r="B2193" s="63">
        <f>Ustawienia!$A$8&amp;""</f>
        <v/>
      </c>
      <c r="C2193" s="63">
        <f>Ustawienia!$A$14&amp;""</f>
        <v/>
      </c>
      <c r="D2193" s="63" t="n">
        <v>5</v>
      </c>
      <c r="E2193" s="63">
        <f>IF('28'!B10="","",TRIM('28'!B10&amp;""))</f>
        <v/>
      </c>
      <c r="F2193" s="63">
        <f>IF('28'!C10="","",'28'!C10)</f>
        <v/>
      </c>
      <c r="G2193" s="63">
        <f>'28'!D10&amp;""</f>
        <v/>
      </c>
      <c r="H2193" s="63">
        <f>IF(OR(A2193="",F2193=""),"",F2193&amp;"|"&amp;A2193)</f>
        <v/>
      </c>
      <c r="I2193" s="63">
        <f>IF(AND(H2193&lt;&gt;"",OR('Historia wózka'!$B$4="",F2193='Historia wózka'!$B$4),A2193&gt;='Historia wózka'!$B$5,A2193&lt;='Historia wózka'!$B$6),A2193+0.9+(5000-ROW())/10000000,0)</f>
        <v/>
      </c>
      <c r="J2193" s="63">
        <f>Ustawienia!$B$8&amp;""</f>
        <v/>
      </c>
      <c r="K2193" s="63">
        <f>IF(H2193="","",COUNTIFS('Zgłoszenia'!$B$5:$B$504,F2193,'Zgłoszenia'!$D$5:$D$504,"&gt;="&amp;A2193,'Zgłoszenia'!$D$5:$D$504,"&lt;="&amp;(A2193+1)))</f>
        <v/>
      </c>
      <c r="L2193" s="63">
        <f>IF(OR(H2193="",K2193=0),"—",IF(ISNUMBER(MATCH(H2193,'Zgłoszenia'!$S$5:$S$504,0)),RIGHT("0"&amp;DAY(A2193),2)&amp;"."&amp;RIGHT("0"&amp;MONTH(A2193),2)&amp;"."&amp;YEAR(A2193)&amp;": "&amp;INDEX('Zgłoszenia'!$H$5:$H$504,MATCH(H2193,'Zgłoszenia'!$S$5:$S$504,0)),RIGHT("0"&amp;DAY((A2193+1)),2)&amp;"."&amp;RIGHT("0"&amp;MONTH((A2193+1)),2)&amp;"."&amp;YEAR((A2193+1))&amp;": "&amp;INDEX('Zgłoszenia'!$H$5:$H$504,MATCH(F2193&amp;"|"&amp;(A2193+1),'Zgłoszenia'!$S$5:$S$504,0)))&amp;IF(K2193&gt;1," (+"&amp;(K2193-1)&amp;")",""))</f>
        <v/>
      </c>
      <c r="M2193" s="63" t="n">
        <v>28</v>
      </c>
      <c r="N2193" s="2" t="n"/>
      <c r="O2193" s="2" t="n"/>
    </row>
    <row r="2194">
      <c r="A2194" s="62">
        <f>IF('28'!$C$1="","",'28'!$C$1)</f>
        <v/>
      </c>
      <c r="B2194" s="63">
        <f>Ustawienia!$A$8&amp;""</f>
        <v/>
      </c>
      <c r="C2194" s="63">
        <f>Ustawienia!$A$14&amp;""</f>
        <v/>
      </c>
      <c r="D2194" s="63" t="n">
        <v>6</v>
      </c>
      <c r="E2194" s="63">
        <f>IF('28'!B11="","",TRIM('28'!B11&amp;""))</f>
        <v/>
      </c>
      <c r="F2194" s="63">
        <f>IF('28'!C11="","",'28'!C11)</f>
        <v/>
      </c>
      <c r="G2194" s="63">
        <f>'28'!D11&amp;""</f>
        <v/>
      </c>
      <c r="H2194" s="63">
        <f>IF(OR(A2194="",F2194=""),"",F2194&amp;"|"&amp;A2194)</f>
        <v/>
      </c>
      <c r="I2194" s="63">
        <f>IF(AND(H2194&lt;&gt;"",OR('Historia wózka'!$B$4="",F2194='Historia wózka'!$B$4),A2194&gt;='Historia wózka'!$B$5,A2194&lt;='Historia wózka'!$B$6),A2194+0.9+(5000-ROW())/10000000,0)</f>
        <v/>
      </c>
      <c r="J2194" s="63">
        <f>Ustawienia!$B$8&amp;""</f>
        <v/>
      </c>
      <c r="K2194" s="63">
        <f>IF(H2194="","",COUNTIFS('Zgłoszenia'!$B$5:$B$504,F2194,'Zgłoszenia'!$D$5:$D$504,"&gt;="&amp;A2194,'Zgłoszenia'!$D$5:$D$504,"&lt;="&amp;(A2194+1)))</f>
        <v/>
      </c>
      <c r="L2194" s="63">
        <f>IF(OR(H2194="",K2194=0),"—",IF(ISNUMBER(MATCH(H2194,'Zgłoszenia'!$S$5:$S$504,0)),RIGHT("0"&amp;DAY(A2194),2)&amp;"."&amp;RIGHT("0"&amp;MONTH(A2194),2)&amp;"."&amp;YEAR(A2194)&amp;": "&amp;INDEX('Zgłoszenia'!$H$5:$H$504,MATCH(H2194,'Zgłoszenia'!$S$5:$S$504,0)),RIGHT("0"&amp;DAY((A2194+1)),2)&amp;"."&amp;RIGHT("0"&amp;MONTH((A2194+1)),2)&amp;"."&amp;YEAR((A2194+1))&amp;": "&amp;INDEX('Zgłoszenia'!$H$5:$H$504,MATCH(F2194&amp;"|"&amp;(A2194+1),'Zgłoszenia'!$S$5:$S$504,0)))&amp;IF(K2194&gt;1," (+"&amp;(K2194-1)&amp;")",""))</f>
        <v/>
      </c>
      <c r="M2194" s="63" t="n">
        <v>28</v>
      </c>
      <c r="N2194" s="2" t="n"/>
      <c r="O2194" s="2" t="n"/>
    </row>
    <row r="2195">
      <c r="A2195" s="62">
        <f>IF('28'!$C$1="","",'28'!$C$1)</f>
        <v/>
      </c>
      <c r="B2195" s="63">
        <f>Ustawienia!$A$8&amp;""</f>
        <v/>
      </c>
      <c r="C2195" s="63">
        <f>Ustawienia!$A$15&amp;""</f>
        <v/>
      </c>
      <c r="D2195" s="63" t="n">
        <v>1</v>
      </c>
      <c r="E2195" s="63">
        <f>IF('28'!B13="","",TRIM('28'!B13&amp;""))</f>
        <v/>
      </c>
      <c r="F2195" s="63">
        <f>IF('28'!C13="","",'28'!C13)</f>
        <v/>
      </c>
      <c r="G2195" s="63">
        <f>'28'!D13&amp;""</f>
        <v/>
      </c>
      <c r="H2195" s="63">
        <f>IF(OR(A2195="",F2195=""),"",F2195&amp;"|"&amp;A2195)</f>
        <v/>
      </c>
      <c r="I2195" s="63">
        <f>IF(AND(H2195&lt;&gt;"",OR('Historia wózka'!$B$4="",F2195='Historia wózka'!$B$4),A2195&gt;='Historia wózka'!$B$5,A2195&lt;='Historia wózka'!$B$6),A2195+0.9+(5000-ROW())/10000000,0)</f>
        <v/>
      </c>
      <c r="J2195" s="63">
        <f>Ustawienia!$B$8&amp;""</f>
        <v/>
      </c>
      <c r="K2195" s="63">
        <f>IF(H2195="","",COUNTIFS('Zgłoszenia'!$B$5:$B$504,F2195,'Zgłoszenia'!$D$5:$D$504,"&gt;="&amp;A2195,'Zgłoszenia'!$D$5:$D$504,"&lt;="&amp;(A2195+1)))</f>
        <v/>
      </c>
      <c r="L2195" s="63">
        <f>IF(OR(H2195="",K2195=0),"—",IF(ISNUMBER(MATCH(H2195,'Zgłoszenia'!$S$5:$S$504,0)),RIGHT("0"&amp;DAY(A2195),2)&amp;"."&amp;RIGHT("0"&amp;MONTH(A2195),2)&amp;"."&amp;YEAR(A2195)&amp;": "&amp;INDEX('Zgłoszenia'!$H$5:$H$504,MATCH(H2195,'Zgłoszenia'!$S$5:$S$504,0)),RIGHT("0"&amp;DAY((A2195+1)),2)&amp;"."&amp;RIGHT("0"&amp;MONTH((A2195+1)),2)&amp;"."&amp;YEAR((A2195+1))&amp;": "&amp;INDEX('Zgłoszenia'!$H$5:$H$504,MATCH(F2195&amp;"|"&amp;(A2195+1),'Zgłoszenia'!$S$5:$S$504,0)))&amp;IF(K2195&gt;1," (+"&amp;(K2195-1)&amp;")",""))</f>
        <v/>
      </c>
      <c r="M2195" s="63" t="n">
        <v>28</v>
      </c>
      <c r="N2195" s="2" t="n"/>
      <c r="O2195" s="2" t="n"/>
    </row>
    <row r="2196">
      <c r="A2196" s="62">
        <f>IF('28'!$C$1="","",'28'!$C$1)</f>
        <v/>
      </c>
      <c r="B2196" s="63">
        <f>Ustawienia!$A$8&amp;""</f>
        <v/>
      </c>
      <c r="C2196" s="63">
        <f>Ustawienia!$A$15&amp;""</f>
        <v/>
      </c>
      <c r="D2196" s="63" t="n">
        <v>2</v>
      </c>
      <c r="E2196" s="63">
        <f>IF('28'!B14="","",TRIM('28'!B14&amp;""))</f>
        <v/>
      </c>
      <c r="F2196" s="63">
        <f>IF('28'!C14="","",'28'!C14)</f>
        <v/>
      </c>
      <c r="G2196" s="63">
        <f>'28'!D14&amp;""</f>
        <v/>
      </c>
      <c r="H2196" s="63">
        <f>IF(OR(A2196="",F2196=""),"",F2196&amp;"|"&amp;A2196)</f>
        <v/>
      </c>
      <c r="I2196" s="63">
        <f>IF(AND(H2196&lt;&gt;"",OR('Historia wózka'!$B$4="",F2196='Historia wózka'!$B$4),A2196&gt;='Historia wózka'!$B$5,A2196&lt;='Historia wózka'!$B$6),A2196+0.9+(5000-ROW())/10000000,0)</f>
        <v/>
      </c>
      <c r="J2196" s="63">
        <f>Ustawienia!$B$8&amp;""</f>
        <v/>
      </c>
      <c r="K2196" s="63">
        <f>IF(H2196="","",COUNTIFS('Zgłoszenia'!$B$5:$B$504,F2196,'Zgłoszenia'!$D$5:$D$504,"&gt;="&amp;A2196,'Zgłoszenia'!$D$5:$D$504,"&lt;="&amp;(A2196+1)))</f>
        <v/>
      </c>
      <c r="L2196" s="63">
        <f>IF(OR(H2196="",K2196=0),"—",IF(ISNUMBER(MATCH(H2196,'Zgłoszenia'!$S$5:$S$504,0)),RIGHT("0"&amp;DAY(A2196),2)&amp;"."&amp;RIGHT("0"&amp;MONTH(A2196),2)&amp;"."&amp;YEAR(A2196)&amp;": "&amp;INDEX('Zgłoszenia'!$H$5:$H$504,MATCH(H2196,'Zgłoszenia'!$S$5:$S$504,0)),RIGHT("0"&amp;DAY((A2196+1)),2)&amp;"."&amp;RIGHT("0"&amp;MONTH((A2196+1)),2)&amp;"."&amp;YEAR((A2196+1))&amp;": "&amp;INDEX('Zgłoszenia'!$H$5:$H$504,MATCH(F2196&amp;"|"&amp;(A2196+1),'Zgłoszenia'!$S$5:$S$504,0)))&amp;IF(K2196&gt;1," (+"&amp;(K2196-1)&amp;")",""))</f>
        <v/>
      </c>
      <c r="M2196" s="63" t="n">
        <v>28</v>
      </c>
      <c r="N2196" s="2" t="n"/>
      <c r="O2196" s="2" t="n"/>
    </row>
    <row r="2197">
      <c r="A2197" s="62">
        <f>IF('28'!$C$1="","",'28'!$C$1)</f>
        <v/>
      </c>
      <c r="B2197" s="63">
        <f>Ustawienia!$A$8&amp;""</f>
        <v/>
      </c>
      <c r="C2197" s="63">
        <f>Ustawienia!$A$15&amp;""</f>
        <v/>
      </c>
      <c r="D2197" s="63" t="n">
        <v>3</v>
      </c>
      <c r="E2197" s="63">
        <f>IF('28'!B15="","",TRIM('28'!B15&amp;""))</f>
        <v/>
      </c>
      <c r="F2197" s="63">
        <f>IF('28'!C15="","",'28'!C15)</f>
        <v/>
      </c>
      <c r="G2197" s="63">
        <f>'28'!D15&amp;""</f>
        <v/>
      </c>
      <c r="H2197" s="63">
        <f>IF(OR(A2197="",F2197=""),"",F2197&amp;"|"&amp;A2197)</f>
        <v/>
      </c>
      <c r="I2197" s="63">
        <f>IF(AND(H2197&lt;&gt;"",OR('Historia wózka'!$B$4="",F2197='Historia wózka'!$B$4),A2197&gt;='Historia wózka'!$B$5,A2197&lt;='Historia wózka'!$B$6),A2197+0.9+(5000-ROW())/10000000,0)</f>
        <v/>
      </c>
      <c r="J2197" s="63">
        <f>Ustawienia!$B$8&amp;""</f>
        <v/>
      </c>
      <c r="K2197" s="63">
        <f>IF(H2197="","",COUNTIFS('Zgłoszenia'!$B$5:$B$504,F2197,'Zgłoszenia'!$D$5:$D$504,"&gt;="&amp;A2197,'Zgłoszenia'!$D$5:$D$504,"&lt;="&amp;(A2197+1)))</f>
        <v/>
      </c>
      <c r="L2197" s="63">
        <f>IF(OR(H2197="",K2197=0),"—",IF(ISNUMBER(MATCH(H2197,'Zgłoszenia'!$S$5:$S$504,0)),RIGHT("0"&amp;DAY(A2197),2)&amp;"."&amp;RIGHT("0"&amp;MONTH(A2197),2)&amp;"."&amp;YEAR(A2197)&amp;": "&amp;INDEX('Zgłoszenia'!$H$5:$H$504,MATCH(H2197,'Zgłoszenia'!$S$5:$S$504,0)),RIGHT("0"&amp;DAY((A2197+1)),2)&amp;"."&amp;RIGHT("0"&amp;MONTH((A2197+1)),2)&amp;"."&amp;YEAR((A2197+1))&amp;": "&amp;INDEX('Zgłoszenia'!$H$5:$H$504,MATCH(F2197&amp;"|"&amp;(A2197+1),'Zgłoszenia'!$S$5:$S$504,0)))&amp;IF(K2197&gt;1," (+"&amp;(K2197-1)&amp;")",""))</f>
        <v/>
      </c>
      <c r="M2197" s="63" t="n">
        <v>28</v>
      </c>
      <c r="N2197" s="2" t="n"/>
      <c r="O2197" s="2" t="n"/>
    </row>
    <row r="2198">
      <c r="A2198" s="62">
        <f>IF('28'!$C$1="","",'28'!$C$1)</f>
        <v/>
      </c>
      <c r="B2198" s="63">
        <f>Ustawienia!$A$8&amp;""</f>
        <v/>
      </c>
      <c r="C2198" s="63">
        <f>Ustawienia!$A$15&amp;""</f>
        <v/>
      </c>
      <c r="D2198" s="63" t="n">
        <v>4</v>
      </c>
      <c r="E2198" s="63">
        <f>IF('28'!B16="","",TRIM('28'!B16&amp;""))</f>
        <v/>
      </c>
      <c r="F2198" s="63">
        <f>IF('28'!C16="","",'28'!C16)</f>
        <v/>
      </c>
      <c r="G2198" s="63">
        <f>'28'!D16&amp;""</f>
        <v/>
      </c>
      <c r="H2198" s="63">
        <f>IF(OR(A2198="",F2198=""),"",F2198&amp;"|"&amp;A2198)</f>
        <v/>
      </c>
      <c r="I2198" s="63">
        <f>IF(AND(H2198&lt;&gt;"",OR('Historia wózka'!$B$4="",F2198='Historia wózka'!$B$4),A2198&gt;='Historia wózka'!$B$5,A2198&lt;='Historia wózka'!$B$6),A2198+0.9+(5000-ROW())/10000000,0)</f>
        <v/>
      </c>
      <c r="J2198" s="63">
        <f>Ustawienia!$B$8&amp;""</f>
        <v/>
      </c>
      <c r="K2198" s="63">
        <f>IF(H2198="","",COUNTIFS('Zgłoszenia'!$B$5:$B$504,F2198,'Zgłoszenia'!$D$5:$D$504,"&gt;="&amp;A2198,'Zgłoszenia'!$D$5:$D$504,"&lt;="&amp;(A2198+1)))</f>
        <v/>
      </c>
      <c r="L2198" s="63">
        <f>IF(OR(H2198="",K2198=0),"—",IF(ISNUMBER(MATCH(H2198,'Zgłoszenia'!$S$5:$S$504,0)),RIGHT("0"&amp;DAY(A2198),2)&amp;"."&amp;RIGHT("0"&amp;MONTH(A2198),2)&amp;"."&amp;YEAR(A2198)&amp;": "&amp;INDEX('Zgłoszenia'!$H$5:$H$504,MATCH(H2198,'Zgłoszenia'!$S$5:$S$504,0)),RIGHT("0"&amp;DAY((A2198+1)),2)&amp;"."&amp;RIGHT("0"&amp;MONTH((A2198+1)),2)&amp;"."&amp;YEAR((A2198+1))&amp;": "&amp;INDEX('Zgłoszenia'!$H$5:$H$504,MATCH(F2198&amp;"|"&amp;(A2198+1),'Zgłoszenia'!$S$5:$S$504,0)))&amp;IF(K2198&gt;1," (+"&amp;(K2198-1)&amp;")",""))</f>
        <v/>
      </c>
      <c r="M2198" s="63" t="n">
        <v>28</v>
      </c>
      <c r="N2198" s="2" t="n"/>
      <c r="O2198" s="2" t="n"/>
    </row>
    <row r="2199">
      <c r="A2199" s="62">
        <f>IF('28'!$C$1="","",'28'!$C$1)</f>
        <v/>
      </c>
      <c r="B2199" s="63">
        <f>Ustawienia!$A$8&amp;""</f>
        <v/>
      </c>
      <c r="C2199" s="63">
        <f>Ustawienia!$A$15&amp;""</f>
        <v/>
      </c>
      <c r="D2199" s="63" t="n">
        <v>5</v>
      </c>
      <c r="E2199" s="63">
        <f>IF('28'!B17="","",TRIM('28'!B17&amp;""))</f>
        <v/>
      </c>
      <c r="F2199" s="63">
        <f>IF('28'!C17="","",'28'!C17)</f>
        <v/>
      </c>
      <c r="G2199" s="63">
        <f>'28'!D17&amp;""</f>
        <v/>
      </c>
      <c r="H2199" s="63">
        <f>IF(OR(A2199="",F2199=""),"",F2199&amp;"|"&amp;A2199)</f>
        <v/>
      </c>
      <c r="I2199" s="63">
        <f>IF(AND(H2199&lt;&gt;"",OR('Historia wózka'!$B$4="",F2199='Historia wózka'!$B$4),A2199&gt;='Historia wózka'!$B$5,A2199&lt;='Historia wózka'!$B$6),A2199+0.9+(5000-ROW())/10000000,0)</f>
        <v/>
      </c>
      <c r="J2199" s="63">
        <f>Ustawienia!$B$8&amp;""</f>
        <v/>
      </c>
      <c r="K2199" s="63">
        <f>IF(H2199="","",COUNTIFS('Zgłoszenia'!$B$5:$B$504,F2199,'Zgłoszenia'!$D$5:$D$504,"&gt;="&amp;A2199,'Zgłoszenia'!$D$5:$D$504,"&lt;="&amp;(A2199+1)))</f>
        <v/>
      </c>
      <c r="L2199" s="63">
        <f>IF(OR(H2199="",K2199=0),"—",IF(ISNUMBER(MATCH(H2199,'Zgłoszenia'!$S$5:$S$504,0)),RIGHT("0"&amp;DAY(A2199),2)&amp;"."&amp;RIGHT("0"&amp;MONTH(A2199),2)&amp;"."&amp;YEAR(A2199)&amp;": "&amp;INDEX('Zgłoszenia'!$H$5:$H$504,MATCH(H2199,'Zgłoszenia'!$S$5:$S$504,0)),RIGHT("0"&amp;DAY((A2199+1)),2)&amp;"."&amp;RIGHT("0"&amp;MONTH((A2199+1)),2)&amp;"."&amp;YEAR((A2199+1))&amp;": "&amp;INDEX('Zgłoszenia'!$H$5:$H$504,MATCH(F2199&amp;"|"&amp;(A2199+1),'Zgłoszenia'!$S$5:$S$504,0)))&amp;IF(K2199&gt;1," (+"&amp;(K2199-1)&amp;")",""))</f>
        <v/>
      </c>
      <c r="M2199" s="63" t="n">
        <v>28</v>
      </c>
      <c r="N2199" s="2" t="n"/>
      <c r="O2199" s="2" t="n"/>
    </row>
    <row r="2200">
      <c r="A2200" s="62">
        <f>IF('28'!$C$1="","",'28'!$C$1)</f>
        <v/>
      </c>
      <c r="B2200" s="63">
        <f>Ustawienia!$A$8&amp;""</f>
        <v/>
      </c>
      <c r="C2200" s="63">
        <f>Ustawienia!$A$15&amp;""</f>
        <v/>
      </c>
      <c r="D2200" s="63" t="n">
        <v>6</v>
      </c>
      <c r="E2200" s="63">
        <f>IF('28'!B18="","",TRIM('28'!B18&amp;""))</f>
        <v/>
      </c>
      <c r="F2200" s="63">
        <f>IF('28'!C18="","",'28'!C18)</f>
        <v/>
      </c>
      <c r="G2200" s="63">
        <f>'28'!D18&amp;""</f>
        <v/>
      </c>
      <c r="H2200" s="63">
        <f>IF(OR(A2200="",F2200=""),"",F2200&amp;"|"&amp;A2200)</f>
        <v/>
      </c>
      <c r="I2200" s="63">
        <f>IF(AND(H2200&lt;&gt;"",OR('Historia wózka'!$B$4="",F2200='Historia wózka'!$B$4),A2200&gt;='Historia wózka'!$B$5,A2200&lt;='Historia wózka'!$B$6),A2200+0.9+(5000-ROW())/10000000,0)</f>
        <v/>
      </c>
      <c r="J2200" s="63">
        <f>Ustawienia!$B$8&amp;""</f>
        <v/>
      </c>
      <c r="K2200" s="63">
        <f>IF(H2200="","",COUNTIFS('Zgłoszenia'!$B$5:$B$504,F2200,'Zgłoszenia'!$D$5:$D$504,"&gt;="&amp;A2200,'Zgłoszenia'!$D$5:$D$504,"&lt;="&amp;(A2200+1)))</f>
        <v/>
      </c>
      <c r="L2200" s="63">
        <f>IF(OR(H2200="",K2200=0),"—",IF(ISNUMBER(MATCH(H2200,'Zgłoszenia'!$S$5:$S$504,0)),RIGHT("0"&amp;DAY(A2200),2)&amp;"."&amp;RIGHT("0"&amp;MONTH(A2200),2)&amp;"."&amp;YEAR(A2200)&amp;": "&amp;INDEX('Zgłoszenia'!$H$5:$H$504,MATCH(H2200,'Zgłoszenia'!$S$5:$S$504,0)),RIGHT("0"&amp;DAY((A2200+1)),2)&amp;"."&amp;RIGHT("0"&amp;MONTH((A2200+1)),2)&amp;"."&amp;YEAR((A2200+1))&amp;": "&amp;INDEX('Zgłoszenia'!$H$5:$H$504,MATCH(F2200&amp;"|"&amp;(A2200+1),'Zgłoszenia'!$S$5:$S$504,0)))&amp;IF(K2200&gt;1," (+"&amp;(K2200-1)&amp;")",""))</f>
        <v/>
      </c>
      <c r="M2200" s="63" t="n">
        <v>28</v>
      </c>
      <c r="N2200" s="2" t="n"/>
      <c r="O2200" s="2" t="n"/>
    </row>
    <row r="2201">
      <c r="A2201" s="62">
        <f>IF('28'!$C$1="","",'28'!$C$1)</f>
        <v/>
      </c>
      <c r="B2201" s="63">
        <f>Ustawienia!$A$8&amp;""</f>
        <v/>
      </c>
      <c r="C2201" s="63">
        <f>Ustawienia!$A$15&amp;""</f>
        <v/>
      </c>
      <c r="D2201" s="63" t="n">
        <v>7</v>
      </c>
      <c r="E2201" s="63">
        <f>IF('28'!B19="","",TRIM('28'!B19&amp;""))</f>
        <v/>
      </c>
      <c r="F2201" s="63">
        <f>IF('28'!C19="","",'28'!C19)</f>
        <v/>
      </c>
      <c r="G2201" s="63">
        <f>'28'!D19&amp;""</f>
        <v/>
      </c>
      <c r="H2201" s="63">
        <f>IF(OR(A2201="",F2201=""),"",F2201&amp;"|"&amp;A2201)</f>
        <v/>
      </c>
      <c r="I2201" s="63">
        <f>IF(AND(H2201&lt;&gt;"",OR('Historia wózka'!$B$4="",F2201='Historia wózka'!$B$4),A2201&gt;='Historia wózka'!$B$5,A2201&lt;='Historia wózka'!$B$6),A2201+0.9+(5000-ROW())/10000000,0)</f>
        <v/>
      </c>
      <c r="J2201" s="63">
        <f>Ustawienia!$B$8&amp;""</f>
        <v/>
      </c>
      <c r="K2201" s="63">
        <f>IF(H2201="","",COUNTIFS('Zgłoszenia'!$B$5:$B$504,F2201,'Zgłoszenia'!$D$5:$D$504,"&gt;="&amp;A2201,'Zgłoszenia'!$D$5:$D$504,"&lt;="&amp;(A2201+1)))</f>
        <v/>
      </c>
      <c r="L2201" s="63">
        <f>IF(OR(H2201="",K2201=0),"—",IF(ISNUMBER(MATCH(H2201,'Zgłoszenia'!$S$5:$S$504,0)),RIGHT("0"&amp;DAY(A2201),2)&amp;"."&amp;RIGHT("0"&amp;MONTH(A2201),2)&amp;"."&amp;YEAR(A2201)&amp;": "&amp;INDEX('Zgłoszenia'!$H$5:$H$504,MATCH(H2201,'Zgłoszenia'!$S$5:$S$504,0)),RIGHT("0"&amp;DAY((A2201+1)),2)&amp;"."&amp;RIGHT("0"&amp;MONTH((A2201+1)),2)&amp;"."&amp;YEAR((A2201+1))&amp;": "&amp;INDEX('Zgłoszenia'!$H$5:$H$504,MATCH(F2201&amp;"|"&amp;(A2201+1),'Zgłoszenia'!$S$5:$S$504,0)))&amp;IF(K2201&gt;1," (+"&amp;(K2201-1)&amp;")",""))</f>
        <v/>
      </c>
      <c r="M2201" s="63" t="n">
        <v>28</v>
      </c>
      <c r="N2201" s="2" t="n"/>
      <c r="O2201" s="2" t="n"/>
    </row>
    <row r="2202">
      <c r="A2202" s="62">
        <f>IF('28'!$C$1="","",'28'!$C$1)</f>
        <v/>
      </c>
      <c r="B2202" s="63">
        <f>Ustawienia!$A$8&amp;""</f>
        <v/>
      </c>
      <c r="C2202" s="63">
        <f>Ustawienia!$A$15&amp;""</f>
        <v/>
      </c>
      <c r="D2202" s="63" t="n">
        <v>8</v>
      </c>
      <c r="E2202" s="63">
        <f>IF('28'!B20="","",TRIM('28'!B20&amp;""))</f>
        <v/>
      </c>
      <c r="F2202" s="63">
        <f>IF('28'!C20="","",'28'!C20)</f>
        <v/>
      </c>
      <c r="G2202" s="63">
        <f>'28'!D20&amp;""</f>
        <v/>
      </c>
      <c r="H2202" s="63">
        <f>IF(OR(A2202="",F2202=""),"",F2202&amp;"|"&amp;A2202)</f>
        <v/>
      </c>
      <c r="I2202" s="63">
        <f>IF(AND(H2202&lt;&gt;"",OR('Historia wózka'!$B$4="",F2202='Historia wózka'!$B$4),A2202&gt;='Historia wózka'!$B$5,A2202&lt;='Historia wózka'!$B$6),A2202+0.9+(5000-ROW())/10000000,0)</f>
        <v/>
      </c>
      <c r="J2202" s="63">
        <f>Ustawienia!$B$8&amp;""</f>
        <v/>
      </c>
      <c r="K2202" s="63">
        <f>IF(H2202="","",COUNTIFS('Zgłoszenia'!$B$5:$B$504,F2202,'Zgłoszenia'!$D$5:$D$504,"&gt;="&amp;A2202,'Zgłoszenia'!$D$5:$D$504,"&lt;="&amp;(A2202+1)))</f>
        <v/>
      </c>
      <c r="L2202" s="63">
        <f>IF(OR(H2202="",K2202=0),"—",IF(ISNUMBER(MATCH(H2202,'Zgłoszenia'!$S$5:$S$504,0)),RIGHT("0"&amp;DAY(A2202),2)&amp;"."&amp;RIGHT("0"&amp;MONTH(A2202),2)&amp;"."&amp;YEAR(A2202)&amp;": "&amp;INDEX('Zgłoszenia'!$H$5:$H$504,MATCH(H2202,'Zgłoszenia'!$S$5:$S$504,0)),RIGHT("0"&amp;DAY((A2202+1)),2)&amp;"."&amp;RIGHT("0"&amp;MONTH((A2202+1)),2)&amp;"."&amp;YEAR((A2202+1))&amp;": "&amp;INDEX('Zgłoszenia'!$H$5:$H$504,MATCH(F2202&amp;"|"&amp;(A2202+1),'Zgłoszenia'!$S$5:$S$504,0)))&amp;IF(K2202&gt;1," (+"&amp;(K2202-1)&amp;")",""))</f>
        <v/>
      </c>
      <c r="M2202" s="63" t="n">
        <v>28</v>
      </c>
      <c r="N2202" s="2" t="n"/>
      <c r="O2202" s="2" t="n"/>
    </row>
    <row r="2203">
      <c r="A2203" s="62">
        <f>IF('28'!$C$1="","",'28'!$C$1)</f>
        <v/>
      </c>
      <c r="B2203" s="63">
        <f>Ustawienia!$A$8&amp;""</f>
        <v/>
      </c>
      <c r="C2203" s="63">
        <f>Ustawienia!$A$16&amp;""</f>
        <v/>
      </c>
      <c r="D2203" s="63" t="n">
        <v>1</v>
      </c>
      <c r="E2203" s="63">
        <f>IF('28'!B22="","",TRIM('28'!B22&amp;""))</f>
        <v/>
      </c>
      <c r="F2203" s="63">
        <f>IF('28'!C22="","",'28'!C22)</f>
        <v/>
      </c>
      <c r="G2203" s="63">
        <f>'28'!D22&amp;""</f>
        <v/>
      </c>
      <c r="H2203" s="63">
        <f>IF(OR(A2203="",F2203=""),"",F2203&amp;"|"&amp;A2203)</f>
        <v/>
      </c>
      <c r="I2203" s="63">
        <f>IF(AND(H2203&lt;&gt;"",OR('Historia wózka'!$B$4="",F2203='Historia wózka'!$B$4),A2203&gt;='Historia wózka'!$B$5,A2203&lt;='Historia wózka'!$B$6),A2203+0.9+(5000-ROW())/10000000,0)</f>
        <v/>
      </c>
      <c r="J2203" s="63">
        <f>Ustawienia!$B$8&amp;""</f>
        <v/>
      </c>
      <c r="K2203" s="63">
        <f>IF(H2203="","",COUNTIFS('Zgłoszenia'!$B$5:$B$504,F2203,'Zgłoszenia'!$D$5:$D$504,"&gt;="&amp;A2203,'Zgłoszenia'!$D$5:$D$504,"&lt;="&amp;(A2203+1)))</f>
        <v/>
      </c>
      <c r="L2203" s="63">
        <f>IF(OR(H2203="",K2203=0),"—",IF(ISNUMBER(MATCH(H2203,'Zgłoszenia'!$S$5:$S$504,0)),RIGHT("0"&amp;DAY(A2203),2)&amp;"."&amp;RIGHT("0"&amp;MONTH(A2203),2)&amp;"."&amp;YEAR(A2203)&amp;": "&amp;INDEX('Zgłoszenia'!$H$5:$H$504,MATCH(H2203,'Zgłoszenia'!$S$5:$S$504,0)),RIGHT("0"&amp;DAY((A2203+1)),2)&amp;"."&amp;RIGHT("0"&amp;MONTH((A2203+1)),2)&amp;"."&amp;YEAR((A2203+1))&amp;": "&amp;INDEX('Zgłoszenia'!$H$5:$H$504,MATCH(F2203&amp;"|"&amp;(A2203+1),'Zgłoszenia'!$S$5:$S$504,0)))&amp;IF(K2203&gt;1," (+"&amp;(K2203-1)&amp;")",""))</f>
        <v/>
      </c>
      <c r="M2203" s="63" t="n">
        <v>28</v>
      </c>
      <c r="N2203" s="2" t="n"/>
      <c r="O2203" s="2" t="n"/>
    </row>
    <row r="2204">
      <c r="A2204" s="62">
        <f>IF('28'!$C$1="","",'28'!$C$1)</f>
        <v/>
      </c>
      <c r="B2204" s="63">
        <f>Ustawienia!$A$8&amp;""</f>
        <v/>
      </c>
      <c r="C2204" s="63">
        <f>Ustawienia!$A$16&amp;""</f>
        <v/>
      </c>
      <c r="D2204" s="63" t="n">
        <v>2</v>
      </c>
      <c r="E2204" s="63">
        <f>IF('28'!B23="","",TRIM('28'!B23&amp;""))</f>
        <v/>
      </c>
      <c r="F2204" s="63">
        <f>IF('28'!C23="","",'28'!C23)</f>
        <v/>
      </c>
      <c r="G2204" s="63">
        <f>'28'!D23&amp;""</f>
        <v/>
      </c>
      <c r="H2204" s="63">
        <f>IF(OR(A2204="",F2204=""),"",F2204&amp;"|"&amp;A2204)</f>
        <v/>
      </c>
      <c r="I2204" s="63">
        <f>IF(AND(H2204&lt;&gt;"",OR('Historia wózka'!$B$4="",F2204='Historia wózka'!$B$4),A2204&gt;='Historia wózka'!$B$5,A2204&lt;='Historia wózka'!$B$6),A2204+0.9+(5000-ROW())/10000000,0)</f>
        <v/>
      </c>
      <c r="J2204" s="63">
        <f>Ustawienia!$B$8&amp;""</f>
        <v/>
      </c>
      <c r="K2204" s="63">
        <f>IF(H2204="","",COUNTIFS('Zgłoszenia'!$B$5:$B$504,F2204,'Zgłoszenia'!$D$5:$D$504,"&gt;="&amp;A2204,'Zgłoszenia'!$D$5:$D$504,"&lt;="&amp;(A2204+1)))</f>
        <v/>
      </c>
      <c r="L2204" s="63">
        <f>IF(OR(H2204="",K2204=0),"—",IF(ISNUMBER(MATCH(H2204,'Zgłoszenia'!$S$5:$S$504,0)),RIGHT("0"&amp;DAY(A2204),2)&amp;"."&amp;RIGHT("0"&amp;MONTH(A2204),2)&amp;"."&amp;YEAR(A2204)&amp;": "&amp;INDEX('Zgłoszenia'!$H$5:$H$504,MATCH(H2204,'Zgłoszenia'!$S$5:$S$504,0)),RIGHT("0"&amp;DAY((A2204+1)),2)&amp;"."&amp;RIGHT("0"&amp;MONTH((A2204+1)),2)&amp;"."&amp;YEAR((A2204+1))&amp;": "&amp;INDEX('Zgłoszenia'!$H$5:$H$504,MATCH(F2204&amp;"|"&amp;(A2204+1),'Zgłoszenia'!$S$5:$S$504,0)))&amp;IF(K2204&gt;1," (+"&amp;(K2204-1)&amp;")",""))</f>
        <v/>
      </c>
      <c r="M2204" s="63" t="n">
        <v>28</v>
      </c>
      <c r="N2204" s="2" t="n"/>
      <c r="O2204" s="2" t="n"/>
    </row>
    <row r="2205">
      <c r="A2205" s="62">
        <f>IF('28'!$C$1="","",'28'!$C$1)</f>
        <v/>
      </c>
      <c r="B2205" s="63">
        <f>Ustawienia!$A$8&amp;""</f>
        <v/>
      </c>
      <c r="C2205" s="63">
        <f>Ustawienia!$A$16&amp;""</f>
        <v/>
      </c>
      <c r="D2205" s="63" t="n">
        <v>3</v>
      </c>
      <c r="E2205" s="63">
        <f>IF('28'!B24="","",TRIM('28'!B24&amp;""))</f>
        <v/>
      </c>
      <c r="F2205" s="63">
        <f>IF('28'!C24="","",'28'!C24)</f>
        <v/>
      </c>
      <c r="G2205" s="63">
        <f>'28'!D24&amp;""</f>
        <v/>
      </c>
      <c r="H2205" s="63">
        <f>IF(OR(A2205="",F2205=""),"",F2205&amp;"|"&amp;A2205)</f>
        <v/>
      </c>
      <c r="I2205" s="63">
        <f>IF(AND(H2205&lt;&gt;"",OR('Historia wózka'!$B$4="",F2205='Historia wózka'!$B$4),A2205&gt;='Historia wózka'!$B$5,A2205&lt;='Historia wózka'!$B$6),A2205+0.9+(5000-ROW())/10000000,0)</f>
        <v/>
      </c>
      <c r="J2205" s="63">
        <f>Ustawienia!$B$8&amp;""</f>
        <v/>
      </c>
      <c r="K2205" s="63">
        <f>IF(H2205="","",COUNTIFS('Zgłoszenia'!$B$5:$B$504,F2205,'Zgłoszenia'!$D$5:$D$504,"&gt;="&amp;A2205,'Zgłoszenia'!$D$5:$D$504,"&lt;="&amp;(A2205+1)))</f>
        <v/>
      </c>
      <c r="L2205" s="63">
        <f>IF(OR(H2205="",K2205=0),"—",IF(ISNUMBER(MATCH(H2205,'Zgłoszenia'!$S$5:$S$504,0)),RIGHT("0"&amp;DAY(A2205),2)&amp;"."&amp;RIGHT("0"&amp;MONTH(A2205),2)&amp;"."&amp;YEAR(A2205)&amp;": "&amp;INDEX('Zgłoszenia'!$H$5:$H$504,MATCH(H2205,'Zgłoszenia'!$S$5:$S$504,0)),RIGHT("0"&amp;DAY((A2205+1)),2)&amp;"."&amp;RIGHT("0"&amp;MONTH((A2205+1)),2)&amp;"."&amp;YEAR((A2205+1))&amp;": "&amp;INDEX('Zgłoszenia'!$H$5:$H$504,MATCH(F2205&amp;"|"&amp;(A2205+1),'Zgłoszenia'!$S$5:$S$504,0)))&amp;IF(K2205&gt;1," (+"&amp;(K2205-1)&amp;")",""))</f>
        <v/>
      </c>
      <c r="M2205" s="63" t="n">
        <v>28</v>
      </c>
      <c r="N2205" s="2" t="n"/>
      <c r="O2205" s="2" t="n"/>
    </row>
    <row r="2206">
      <c r="A2206" s="62">
        <f>IF('28'!$C$1="","",'28'!$C$1)</f>
        <v/>
      </c>
      <c r="B2206" s="63">
        <f>Ustawienia!$A$8&amp;""</f>
        <v/>
      </c>
      <c r="C2206" s="63">
        <f>Ustawienia!$A$16&amp;""</f>
        <v/>
      </c>
      <c r="D2206" s="63" t="n">
        <v>4</v>
      </c>
      <c r="E2206" s="63">
        <f>IF('28'!B25="","",TRIM('28'!B25&amp;""))</f>
        <v/>
      </c>
      <c r="F2206" s="63">
        <f>IF('28'!C25="","",'28'!C25)</f>
        <v/>
      </c>
      <c r="G2206" s="63">
        <f>'28'!D25&amp;""</f>
        <v/>
      </c>
      <c r="H2206" s="63">
        <f>IF(OR(A2206="",F2206=""),"",F2206&amp;"|"&amp;A2206)</f>
        <v/>
      </c>
      <c r="I2206" s="63">
        <f>IF(AND(H2206&lt;&gt;"",OR('Historia wózka'!$B$4="",F2206='Historia wózka'!$B$4),A2206&gt;='Historia wózka'!$B$5,A2206&lt;='Historia wózka'!$B$6),A2206+0.9+(5000-ROW())/10000000,0)</f>
        <v/>
      </c>
      <c r="J2206" s="63">
        <f>Ustawienia!$B$8&amp;""</f>
        <v/>
      </c>
      <c r="K2206" s="63">
        <f>IF(H2206="","",COUNTIFS('Zgłoszenia'!$B$5:$B$504,F2206,'Zgłoszenia'!$D$5:$D$504,"&gt;="&amp;A2206,'Zgłoszenia'!$D$5:$D$504,"&lt;="&amp;(A2206+1)))</f>
        <v/>
      </c>
      <c r="L2206" s="63">
        <f>IF(OR(H2206="",K2206=0),"—",IF(ISNUMBER(MATCH(H2206,'Zgłoszenia'!$S$5:$S$504,0)),RIGHT("0"&amp;DAY(A2206),2)&amp;"."&amp;RIGHT("0"&amp;MONTH(A2206),2)&amp;"."&amp;YEAR(A2206)&amp;": "&amp;INDEX('Zgłoszenia'!$H$5:$H$504,MATCH(H2206,'Zgłoszenia'!$S$5:$S$504,0)),RIGHT("0"&amp;DAY((A2206+1)),2)&amp;"."&amp;RIGHT("0"&amp;MONTH((A2206+1)),2)&amp;"."&amp;YEAR((A2206+1))&amp;": "&amp;INDEX('Zgłoszenia'!$H$5:$H$504,MATCH(F2206&amp;"|"&amp;(A2206+1),'Zgłoszenia'!$S$5:$S$504,0)))&amp;IF(K2206&gt;1," (+"&amp;(K2206-1)&amp;")",""))</f>
        <v/>
      </c>
      <c r="M2206" s="63" t="n">
        <v>28</v>
      </c>
      <c r="N2206" s="2" t="n"/>
      <c r="O2206" s="2" t="n"/>
    </row>
    <row r="2207">
      <c r="A2207" s="62">
        <f>IF('28'!$C$1="","",'28'!$C$1)</f>
        <v/>
      </c>
      <c r="B2207" s="63">
        <f>Ustawienia!$A$8&amp;""</f>
        <v/>
      </c>
      <c r="C2207" s="63">
        <f>Ustawienia!$A$17&amp;""</f>
        <v/>
      </c>
      <c r="D2207" s="63" t="n">
        <v>1</v>
      </c>
      <c r="E2207" s="63">
        <f>IF('28'!B27="","",TRIM('28'!B27&amp;""))</f>
        <v/>
      </c>
      <c r="F2207" s="63">
        <f>IF('28'!C27="","",'28'!C27)</f>
        <v/>
      </c>
      <c r="G2207" s="63">
        <f>'28'!D27&amp;""</f>
        <v/>
      </c>
      <c r="H2207" s="63">
        <f>IF(OR(A2207="",F2207=""),"",F2207&amp;"|"&amp;A2207)</f>
        <v/>
      </c>
      <c r="I2207" s="63">
        <f>IF(AND(H2207&lt;&gt;"",OR('Historia wózka'!$B$4="",F2207='Historia wózka'!$B$4),A2207&gt;='Historia wózka'!$B$5,A2207&lt;='Historia wózka'!$B$6),A2207+0.9+(5000-ROW())/10000000,0)</f>
        <v/>
      </c>
      <c r="J2207" s="63">
        <f>Ustawienia!$B$8&amp;""</f>
        <v/>
      </c>
      <c r="K2207" s="63">
        <f>IF(H2207="","",COUNTIFS('Zgłoszenia'!$B$5:$B$504,F2207,'Zgłoszenia'!$D$5:$D$504,"&gt;="&amp;A2207,'Zgłoszenia'!$D$5:$D$504,"&lt;="&amp;(A2207+1)))</f>
        <v/>
      </c>
      <c r="L2207" s="63">
        <f>IF(OR(H2207="",K2207=0),"—",IF(ISNUMBER(MATCH(H2207,'Zgłoszenia'!$S$5:$S$504,0)),RIGHT("0"&amp;DAY(A2207),2)&amp;"."&amp;RIGHT("0"&amp;MONTH(A2207),2)&amp;"."&amp;YEAR(A2207)&amp;": "&amp;INDEX('Zgłoszenia'!$H$5:$H$504,MATCH(H2207,'Zgłoszenia'!$S$5:$S$504,0)),RIGHT("0"&amp;DAY((A2207+1)),2)&amp;"."&amp;RIGHT("0"&amp;MONTH((A2207+1)),2)&amp;"."&amp;YEAR((A2207+1))&amp;": "&amp;INDEX('Zgłoszenia'!$H$5:$H$504,MATCH(F2207&amp;"|"&amp;(A2207+1),'Zgłoszenia'!$S$5:$S$504,0)))&amp;IF(K2207&gt;1," (+"&amp;(K2207-1)&amp;")",""))</f>
        <v/>
      </c>
      <c r="M2207" s="63" t="n">
        <v>28</v>
      </c>
      <c r="N2207" s="2" t="n"/>
      <c r="O2207" s="2" t="n"/>
    </row>
    <row r="2208">
      <c r="A2208" s="62">
        <f>IF('28'!$C$1="","",'28'!$C$1)</f>
        <v/>
      </c>
      <c r="B2208" s="63">
        <f>Ustawienia!$A$8&amp;""</f>
        <v/>
      </c>
      <c r="C2208" s="63">
        <f>Ustawienia!$A$17&amp;""</f>
        <v/>
      </c>
      <c r="D2208" s="63" t="n">
        <v>2</v>
      </c>
      <c r="E2208" s="63">
        <f>IF('28'!B28="","",TRIM('28'!B28&amp;""))</f>
        <v/>
      </c>
      <c r="F2208" s="63">
        <f>IF('28'!C28="","",'28'!C28)</f>
        <v/>
      </c>
      <c r="G2208" s="63">
        <f>'28'!D28&amp;""</f>
        <v/>
      </c>
      <c r="H2208" s="63">
        <f>IF(OR(A2208="",F2208=""),"",F2208&amp;"|"&amp;A2208)</f>
        <v/>
      </c>
      <c r="I2208" s="63">
        <f>IF(AND(H2208&lt;&gt;"",OR('Historia wózka'!$B$4="",F2208='Historia wózka'!$B$4),A2208&gt;='Historia wózka'!$B$5,A2208&lt;='Historia wózka'!$B$6),A2208+0.9+(5000-ROW())/10000000,0)</f>
        <v/>
      </c>
      <c r="J2208" s="63">
        <f>Ustawienia!$B$8&amp;""</f>
        <v/>
      </c>
      <c r="K2208" s="63">
        <f>IF(H2208="","",COUNTIFS('Zgłoszenia'!$B$5:$B$504,F2208,'Zgłoszenia'!$D$5:$D$504,"&gt;="&amp;A2208,'Zgłoszenia'!$D$5:$D$504,"&lt;="&amp;(A2208+1)))</f>
        <v/>
      </c>
      <c r="L2208" s="63">
        <f>IF(OR(H2208="",K2208=0),"—",IF(ISNUMBER(MATCH(H2208,'Zgłoszenia'!$S$5:$S$504,0)),RIGHT("0"&amp;DAY(A2208),2)&amp;"."&amp;RIGHT("0"&amp;MONTH(A2208),2)&amp;"."&amp;YEAR(A2208)&amp;": "&amp;INDEX('Zgłoszenia'!$H$5:$H$504,MATCH(H2208,'Zgłoszenia'!$S$5:$S$504,0)),RIGHT("0"&amp;DAY((A2208+1)),2)&amp;"."&amp;RIGHT("0"&amp;MONTH((A2208+1)),2)&amp;"."&amp;YEAR((A2208+1))&amp;": "&amp;INDEX('Zgłoszenia'!$H$5:$H$504,MATCH(F2208&amp;"|"&amp;(A2208+1),'Zgłoszenia'!$S$5:$S$504,0)))&amp;IF(K2208&gt;1," (+"&amp;(K2208-1)&amp;")",""))</f>
        <v/>
      </c>
      <c r="M2208" s="63" t="n">
        <v>28</v>
      </c>
      <c r="N2208" s="2" t="n"/>
      <c r="O2208" s="2" t="n"/>
    </row>
    <row r="2209">
      <c r="A2209" s="62">
        <f>IF('28'!$C$1="","",'28'!$C$1)</f>
        <v/>
      </c>
      <c r="B2209" s="63">
        <f>Ustawienia!$A$8&amp;""</f>
        <v/>
      </c>
      <c r="C2209" s="63">
        <f>Ustawienia!$A$17&amp;""</f>
        <v/>
      </c>
      <c r="D2209" s="63" t="n">
        <v>3</v>
      </c>
      <c r="E2209" s="63">
        <f>IF('28'!B29="","",TRIM('28'!B29&amp;""))</f>
        <v/>
      </c>
      <c r="F2209" s="63">
        <f>IF('28'!C29="","",'28'!C29)</f>
        <v/>
      </c>
      <c r="G2209" s="63">
        <f>'28'!D29&amp;""</f>
        <v/>
      </c>
      <c r="H2209" s="63">
        <f>IF(OR(A2209="",F2209=""),"",F2209&amp;"|"&amp;A2209)</f>
        <v/>
      </c>
      <c r="I2209" s="63">
        <f>IF(AND(H2209&lt;&gt;"",OR('Historia wózka'!$B$4="",F2209='Historia wózka'!$B$4),A2209&gt;='Historia wózka'!$B$5,A2209&lt;='Historia wózka'!$B$6),A2209+0.9+(5000-ROW())/10000000,0)</f>
        <v/>
      </c>
      <c r="J2209" s="63">
        <f>Ustawienia!$B$8&amp;""</f>
        <v/>
      </c>
      <c r="K2209" s="63">
        <f>IF(H2209="","",COUNTIFS('Zgłoszenia'!$B$5:$B$504,F2209,'Zgłoszenia'!$D$5:$D$504,"&gt;="&amp;A2209,'Zgłoszenia'!$D$5:$D$504,"&lt;="&amp;(A2209+1)))</f>
        <v/>
      </c>
      <c r="L2209" s="63">
        <f>IF(OR(H2209="",K2209=0),"—",IF(ISNUMBER(MATCH(H2209,'Zgłoszenia'!$S$5:$S$504,0)),RIGHT("0"&amp;DAY(A2209),2)&amp;"."&amp;RIGHT("0"&amp;MONTH(A2209),2)&amp;"."&amp;YEAR(A2209)&amp;": "&amp;INDEX('Zgłoszenia'!$H$5:$H$504,MATCH(H2209,'Zgłoszenia'!$S$5:$S$504,0)),RIGHT("0"&amp;DAY((A2209+1)),2)&amp;"."&amp;RIGHT("0"&amp;MONTH((A2209+1)),2)&amp;"."&amp;YEAR((A2209+1))&amp;": "&amp;INDEX('Zgłoszenia'!$H$5:$H$504,MATCH(F2209&amp;"|"&amp;(A2209+1),'Zgłoszenia'!$S$5:$S$504,0)))&amp;IF(K2209&gt;1," (+"&amp;(K2209-1)&amp;")",""))</f>
        <v/>
      </c>
      <c r="M2209" s="63" t="n">
        <v>28</v>
      </c>
      <c r="N2209" s="2" t="n"/>
      <c r="O2209" s="2" t="n"/>
    </row>
    <row r="2210">
      <c r="A2210" s="62">
        <f>IF('28'!$C$1="","",'28'!$C$1)</f>
        <v/>
      </c>
      <c r="B2210" s="63">
        <f>Ustawienia!$A$8&amp;""</f>
        <v/>
      </c>
      <c r="C2210" s="63">
        <f>Ustawienia!$A$17&amp;""</f>
        <v/>
      </c>
      <c r="D2210" s="63" t="n">
        <v>4</v>
      </c>
      <c r="E2210" s="63">
        <f>IF('28'!B30="","",TRIM('28'!B30&amp;""))</f>
        <v/>
      </c>
      <c r="F2210" s="63">
        <f>IF('28'!C30="","",'28'!C30)</f>
        <v/>
      </c>
      <c r="G2210" s="63">
        <f>'28'!D30&amp;""</f>
        <v/>
      </c>
      <c r="H2210" s="63">
        <f>IF(OR(A2210="",F2210=""),"",F2210&amp;"|"&amp;A2210)</f>
        <v/>
      </c>
      <c r="I2210" s="63">
        <f>IF(AND(H2210&lt;&gt;"",OR('Historia wózka'!$B$4="",F2210='Historia wózka'!$B$4),A2210&gt;='Historia wózka'!$B$5,A2210&lt;='Historia wózka'!$B$6),A2210+0.9+(5000-ROW())/10000000,0)</f>
        <v/>
      </c>
      <c r="J2210" s="63">
        <f>Ustawienia!$B$8&amp;""</f>
        <v/>
      </c>
      <c r="K2210" s="63">
        <f>IF(H2210="","",COUNTIFS('Zgłoszenia'!$B$5:$B$504,F2210,'Zgłoszenia'!$D$5:$D$504,"&gt;="&amp;A2210,'Zgłoszenia'!$D$5:$D$504,"&lt;="&amp;(A2210+1)))</f>
        <v/>
      </c>
      <c r="L2210" s="63">
        <f>IF(OR(H2210="",K2210=0),"—",IF(ISNUMBER(MATCH(H2210,'Zgłoszenia'!$S$5:$S$504,0)),RIGHT("0"&amp;DAY(A2210),2)&amp;"."&amp;RIGHT("0"&amp;MONTH(A2210),2)&amp;"."&amp;YEAR(A2210)&amp;": "&amp;INDEX('Zgłoszenia'!$H$5:$H$504,MATCH(H2210,'Zgłoszenia'!$S$5:$S$504,0)),RIGHT("0"&amp;DAY((A2210+1)),2)&amp;"."&amp;RIGHT("0"&amp;MONTH((A2210+1)),2)&amp;"."&amp;YEAR((A2210+1))&amp;": "&amp;INDEX('Zgłoszenia'!$H$5:$H$504,MATCH(F2210&amp;"|"&amp;(A2210+1),'Zgłoszenia'!$S$5:$S$504,0)))&amp;IF(K2210&gt;1," (+"&amp;(K2210-1)&amp;")",""))</f>
        <v/>
      </c>
      <c r="M2210" s="63" t="n">
        <v>28</v>
      </c>
      <c r="N2210" s="2" t="n"/>
      <c r="O2210" s="2" t="n"/>
    </row>
    <row r="2211">
      <c r="A2211" s="62">
        <f>IF('28'!$C$1="","",'28'!$C$1)</f>
        <v/>
      </c>
      <c r="B2211" s="63">
        <f>Ustawienia!$A$8&amp;""</f>
        <v/>
      </c>
      <c r="C2211" s="63">
        <f>Ustawienia!$A$18&amp;""</f>
        <v/>
      </c>
      <c r="D2211" s="63" t="n">
        <v>1</v>
      </c>
      <c r="E2211" s="63">
        <f>IF('28'!B32="","",TRIM('28'!B32&amp;""))</f>
        <v/>
      </c>
      <c r="F2211" s="63">
        <f>IF('28'!C32="","",'28'!C32)</f>
        <v/>
      </c>
      <c r="G2211" s="63">
        <f>'28'!D32&amp;""</f>
        <v/>
      </c>
      <c r="H2211" s="63">
        <f>IF(OR(A2211="",F2211=""),"",F2211&amp;"|"&amp;A2211)</f>
        <v/>
      </c>
      <c r="I2211" s="63">
        <f>IF(AND(H2211&lt;&gt;"",OR('Historia wózka'!$B$4="",F2211='Historia wózka'!$B$4),A2211&gt;='Historia wózka'!$B$5,A2211&lt;='Historia wózka'!$B$6),A2211+0.9+(5000-ROW())/10000000,0)</f>
        <v/>
      </c>
      <c r="J2211" s="63">
        <f>Ustawienia!$B$8&amp;""</f>
        <v/>
      </c>
      <c r="K2211" s="63">
        <f>IF(H2211="","",COUNTIFS('Zgłoszenia'!$B$5:$B$504,F2211,'Zgłoszenia'!$D$5:$D$504,"&gt;="&amp;A2211,'Zgłoszenia'!$D$5:$D$504,"&lt;="&amp;(A2211+1)))</f>
        <v/>
      </c>
      <c r="L2211" s="63">
        <f>IF(OR(H2211="",K2211=0),"—",IF(ISNUMBER(MATCH(H2211,'Zgłoszenia'!$S$5:$S$504,0)),RIGHT("0"&amp;DAY(A2211),2)&amp;"."&amp;RIGHT("0"&amp;MONTH(A2211),2)&amp;"."&amp;YEAR(A2211)&amp;": "&amp;INDEX('Zgłoszenia'!$H$5:$H$504,MATCH(H2211,'Zgłoszenia'!$S$5:$S$504,0)),RIGHT("0"&amp;DAY((A2211+1)),2)&amp;"."&amp;RIGHT("0"&amp;MONTH((A2211+1)),2)&amp;"."&amp;YEAR((A2211+1))&amp;": "&amp;INDEX('Zgłoszenia'!$H$5:$H$504,MATCH(F2211&amp;"|"&amp;(A2211+1),'Zgłoszenia'!$S$5:$S$504,0)))&amp;IF(K2211&gt;1," (+"&amp;(K2211-1)&amp;")",""))</f>
        <v/>
      </c>
      <c r="M2211" s="63" t="n">
        <v>28</v>
      </c>
      <c r="N2211" s="2" t="n"/>
      <c r="O2211" s="2" t="n"/>
    </row>
    <row r="2212">
      <c r="A2212" s="62">
        <f>IF('28'!$C$1="","",'28'!$C$1)</f>
        <v/>
      </c>
      <c r="B2212" s="63">
        <f>Ustawienia!$A$8&amp;""</f>
        <v/>
      </c>
      <c r="C2212" s="63">
        <f>Ustawienia!$A$18&amp;""</f>
        <v/>
      </c>
      <c r="D2212" s="63" t="n">
        <v>2</v>
      </c>
      <c r="E2212" s="63">
        <f>IF('28'!B33="","",TRIM('28'!B33&amp;""))</f>
        <v/>
      </c>
      <c r="F2212" s="63">
        <f>IF('28'!C33="","",'28'!C33)</f>
        <v/>
      </c>
      <c r="G2212" s="63">
        <f>'28'!D33&amp;""</f>
        <v/>
      </c>
      <c r="H2212" s="63">
        <f>IF(OR(A2212="",F2212=""),"",F2212&amp;"|"&amp;A2212)</f>
        <v/>
      </c>
      <c r="I2212" s="63">
        <f>IF(AND(H2212&lt;&gt;"",OR('Historia wózka'!$B$4="",F2212='Historia wózka'!$B$4),A2212&gt;='Historia wózka'!$B$5,A2212&lt;='Historia wózka'!$B$6),A2212+0.9+(5000-ROW())/10000000,0)</f>
        <v/>
      </c>
      <c r="J2212" s="63">
        <f>Ustawienia!$B$8&amp;""</f>
        <v/>
      </c>
      <c r="K2212" s="63">
        <f>IF(H2212="","",COUNTIFS('Zgłoszenia'!$B$5:$B$504,F2212,'Zgłoszenia'!$D$5:$D$504,"&gt;="&amp;A2212,'Zgłoszenia'!$D$5:$D$504,"&lt;="&amp;(A2212+1)))</f>
        <v/>
      </c>
      <c r="L2212" s="63">
        <f>IF(OR(H2212="",K2212=0),"—",IF(ISNUMBER(MATCH(H2212,'Zgłoszenia'!$S$5:$S$504,0)),RIGHT("0"&amp;DAY(A2212),2)&amp;"."&amp;RIGHT("0"&amp;MONTH(A2212),2)&amp;"."&amp;YEAR(A2212)&amp;": "&amp;INDEX('Zgłoszenia'!$H$5:$H$504,MATCH(H2212,'Zgłoszenia'!$S$5:$S$504,0)),RIGHT("0"&amp;DAY((A2212+1)),2)&amp;"."&amp;RIGHT("0"&amp;MONTH((A2212+1)),2)&amp;"."&amp;YEAR((A2212+1))&amp;": "&amp;INDEX('Zgłoszenia'!$H$5:$H$504,MATCH(F2212&amp;"|"&amp;(A2212+1),'Zgłoszenia'!$S$5:$S$504,0)))&amp;IF(K2212&gt;1," (+"&amp;(K2212-1)&amp;")",""))</f>
        <v/>
      </c>
      <c r="M2212" s="63" t="n">
        <v>28</v>
      </c>
      <c r="N2212" s="2" t="n"/>
      <c r="O2212" s="2" t="n"/>
    </row>
    <row r="2213">
      <c r="A2213" s="62">
        <f>IF('28'!$C$1="","",'28'!$C$1)</f>
        <v/>
      </c>
      <c r="B2213" s="63">
        <f>Ustawienia!$A$8&amp;""</f>
        <v/>
      </c>
      <c r="C2213" s="63">
        <f>Ustawienia!$A$18&amp;""</f>
        <v/>
      </c>
      <c r="D2213" s="63" t="n">
        <v>3</v>
      </c>
      <c r="E2213" s="63">
        <f>IF('28'!B34="","",TRIM('28'!B34&amp;""))</f>
        <v/>
      </c>
      <c r="F2213" s="63">
        <f>IF('28'!C34="","",'28'!C34)</f>
        <v/>
      </c>
      <c r="G2213" s="63">
        <f>'28'!D34&amp;""</f>
        <v/>
      </c>
      <c r="H2213" s="63">
        <f>IF(OR(A2213="",F2213=""),"",F2213&amp;"|"&amp;A2213)</f>
        <v/>
      </c>
      <c r="I2213" s="63">
        <f>IF(AND(H2213&lt;&gt;"",OR('Historia wózka'!$B$4="",F2213='Historia wózka'!$B$4),A2213&gt;='Historia wózka'!$B$5,A2213&lt;='Historia wózka'!$B$6),A2213+0.9+(5000-ROW())/10000000,0)</f>
        <v/>
      </c>
      <c r="J2213" s="63">
        <f>Ustawienia!$B$8&amp;""</f>
        <v/>
      </c>
      <c r="K2213" s="63">
        <f>IF(H2213="","",COUNTIFS('Zgłoszenia'!$B$5:$B$504,F2213,'Zgłoszenia'!$D$5:$D$504,"&gt;="&amp;A2213,'Zgłoszenia'!$D$5:$D$504,"&lt;="&amp;(A2213+1)))</f>
        <v/>
      </c>
      <c r="L2213" s="63">
        <f>IF(OR(H2213="",K2213=0),"—",IF(ISNUMBER(MATCH(H2213,'Zgłoszenia'!$S$5:$S$504,0)),RIGHT("0"&amp;DAY(A2213),2)&amp;"."&amp;RIGHT("0"&amp;MONTH(A2213),2)&amp;"."&amp;YEAR(A2213)&amp;": "&amp;INDEX('Zgłoszenia'!$H$5:$H$504,MATCH(H2213,'Zgłoszenia'!$S$5:$S$504,0)),RIGHT("0"&amp;DAY((A2213+1)),2)&amp;"."&amp;RIGHT("0"&amp;MONTH((A2213+1)),2)&amp;"."&amp;YEAR((A2213+1))&amp;": "&amp;INDEX('Zgłoszenia'!$H$5:$H$504,MATCH(F2213&amp;"|"&amp;(A2213+1),'Zgłoszenia'!$S$5:$S$504,0)))&amp;IF(K2213&gt;1," (+"&amp;(K2213-1)&amp;")",""))</f>
        <v/>
      </c>
      <c r="M2213" s="63" t="n">
        <v>28</v>
      </c>
      <c r="N2213" s="2" t="n"/>
      <c r="O2213" s="2" t="n"/>
    </row>
    <row r="2214">
      <c r="A2214" s="62">
        <f>IF('28'!$C$1="","",'28'!$C$1)</f>
        <v/>
      </c>
      <c r="B2214" s="63">
        <f>Ustawienia!$A$8&amp;""</f>
        <v/>
      </c>
      <c r="C2214" s="63">
        <f>Ustawienia!$A$18&amp;""</f>
        <v/>
      </c>
      <c r="D2214" s="63" t="n">
        <v>4</v>
      </c>
      <c r="E2214" s="63">
        <f>IF('28'!B35="","",TRIM('28'!B35&amp;""))</f>
        <v/>
      </c>
      <c r="F2214" s="63">
        <f>IF('28'!C35="","",'28'!C35)</f>
        <v/>
      </c>
      <c r="G2214" s="63">
        <f>'28'!D35&amp;""</f>
        <v/>
      </c>
      <c r="H2214" s="63">
        <f>IF(OR(A2214="",F2214=""),"",F2214&amp;"|"&amp;A2214)</f>
        <v/>
      </c>
      <c r="I2214" s="63">
        <f>IF(AND(H2214&lt;&gt;"",OR('Historia wózka'!$B$4="",F2214='Historia wózka'!$B$4),A2214&gt;='Historia wózka'!$B$5,A2214&lt;='Historia wózka'!$B$6),A2214+0.9+(5000-ROW())/10000000,0)</f>
        <v/>
      </c>
      <c r="J2214" s="63">
        <f>Ustawienia!$B$8&amp;""</f>
        <v/>
      </c>
      <c r="K2214" s="63">
        <f>IF(H2214="","",COUNTIFS('Zgłoszenia'!$B$5:$B$504,F2214,'Zgłoszenia'!$D$5:$D$504,"&gt;="&amp;A2214,'Zgłoszenia'!$D$5:$D$504,"&lt;="&amp;(A2214+1)))</f>
        <v/>
      </c>
      <c r="L2214" s="63">
        <f>IF(OR(H2214="",K2214=0),"—",IF(ISNUMBER(MATCH(H2214,'Zgłoszenia'!$S$5:$S$504,0)),RIGHT("0"&amp;DAY(A2214),2)&amp;"."&amp;RIGHT("0"&amp;MONTH(A2214),2)&amp;"."&amp;YEAR(A2214)&amp;": "&amp;INDEX('Zgłoszenia'!$H$5:$H$504,MATCH(H2214,'Zgłoszenia'!$S$5:$S$504,0)),RIGHT("0"&amp;DAY((A2214+1)),2)&amp;"."&amp;RIGHT("0"&amp;MONTH((A2214+1)),2)&amp;"."&amp;YEAR((A2214+1))&amp;": "&amp;INDEX('Zgłoszenia'!$H$5:$H$504,MATCH(F2214&amp;"|"&amp;(A2214+1),'Zgłoszenia'!$S$5:$S$504,0)))&amp;IF(K2214&gt;1," (+"&amp;(K2214-1)&amp;")",""))</f>
        <v/>
      </c>
      <c r="M2214" s="63" t="n">
        <v>28</v>
      </c>
      <c r="N2214" s="2" t="n"/>
      <c r="O2214" s="2" t="n"/>
    </row>
    <row r="2215">
      <c r="A2215" s="62">
        <f>IF('28'!$C$1="","",'28'!$C$1)</f>
        <v/>
      </c>
      <c r="B2215" s="63">
        <f>Ustawienia!$A$8&amp;""</f>
        <v/>
      </c>
      <c r="C2215" s="63">
        <f>Ustawienia!$A$18&amp;""</f>
        <v/>
      </c>
      <c r="D2215" s="63" t="n">
        <v>5</v>
      </c>
      <c r="E2215" s="63">
        <f>IF('28'!B36="","",TRIM('28'!B36&amp;""))</f>
        <v/>
      </c>
      <c r="F2215" s="63">
        <f>IF('28'!C36="","",'28'!C36)</f>
        <v/>
      </c>
      <c r="G2215" s="63">
        <f>'28'!D36&amp;""</f>
        <v/>
      </c>
      <c r="H2215" s="63">
        <f>IF(OR(A2215="",F2215=""),"",F2215&amp;"|"&amp;A2215)</f>
        <v/>
      </c>
      <c r="I2215" s="63">
        <f>IF(AND(H2215&lt;&gt;"",OR('Historia wózka'!$B$4="",F2215='Historia wózka'!$B$4),A2215&gt;='Historia wózka'!$B$5,A2215&lt;='Historia wózka'!$B$6),A2215+0.9+(5000-ROW())/10000000,0)</f>
        <v/>
      </c>
      <c r="J2215" s="63">
        <f>Ustawienia!$B$8&amp;""</f>
        <v/>
      </c>
      <c r="K2215" s="63">
        <f>IF(H2215="","",COUNTIFS('Zgłoszenia'!$B$5:$B$504,F2215,'Zgłoszenia'!$D$5:$D$504,"&gt;="&amp;A2215,'Zgłoszenia'!$D$5:$D$504,"&lt;="&amp;(A2215+1)))</f>
        <v/>
      </c>
      <c r="L2215" s="63">
        <f>IF(OR(H2215="",K2215=0),"—",IF(ISNUMBER(MATCH(H2215,'Zgłoszenia'!$S$5:$S$504,0)),RIGHT("0"&amp;DAY(A2215),2)&amp;"."&amp;RIGHT("0"&amp;MONTH(A2215),2)&amp;"."&amp;YEAR(A2215)&amp;": "&amp;INDEX('Zgłoszenia'!$H$5:$H$504,MATCH(H2215,'Zgłoszenia'!$S$5:$S$504,0)),RIGHT("0"&amp;DAY((A2215+1)),2)&amp;"."&amp;RIGHT("0"&amp;MONTH((A2215+1)),2)&amp;"."&amp;YEAR((A2215+1))&amp;": "&amp;INDEX('Zgłoszenia'!$H$5:$H$504,MATCH(F2215&amp;"|"&amp;(A2215+1),'Zgłoszenia'!$S$5:$S$504,0)))&amp;IF(K2215&gt;1," (+"&amp;(K2215-1)&amp;")",""))</f>
        <v/>
      </c>
      <c r="M2215" s="63" t="n">
        <v>28</v>
      </c>
      <c r="N2215" s="2" t="n"/>
      <c r="O2215" s="2" t="n"/>
    </row>
    <row r="2216">
      <c r="A2216" s="62">
        <f>IF('28'!$C$1="","",'28'!$C$1)</f>
        <v/>
      </c>
      <c r="B2216" s="63">
        <f>Ustawienia!$A$9&amp;""</f>
        <v/>
      </c>
      <c r="C2216" s="63">
        <f>Ustawienia!$A$14&amp;""</f>
        <v/>
      </c>
      <c r="D2216" s="63" t="n">
        <v>1</v>
      </c>
      <c r="E2216" s="63">
        <f>IF('28'!F6="","",TRIM('28'!F6&amp;""))</f>
        <v/>
      </c>
      <c r="F2216" s="63">
        <f>IF('28'!G6="","",'28'!G6)</f>
        <v/>
      </c>
      <c r="G2216" s="63">
        <f>'28'!H6&amp;""</f>
        <v/>
      </c>
      <c r="H2216" s="63">
        <f>IF(OR(A2216="",F2216=""),"",F2216&amp;"|"&amp;A2216)</f>
        <v/>
      </c>
      <c r="I2216" s="63">
        <f>IF(AND(H2216&lt;&gt;"",OR('Historia wózka'!$B$4="",F2216='Historia wózka'!$B$4),A2216&gt;='Historia wózka'!$B$5,A2216&lt;='Historia wózka'!$B$6),A2216+0.8+(5000-ROW())/10000000,0)</f>
        <v/>
      </c>
      <c r="J2216" s="63">
        <f>Ustawienia!$B$9&amp;""</f>
        <v/>
      </c>
      <c r="K2216" s="63">
        <f>IF(H2216="","",COUNTIFS('Zgłoszenia'!$B$5:$B$504,F2216,'Zgłoszenia'!$D$5:$D$504,"&gt;="&amp;A2216,'Zgłoszenia'!$D$5:$D$504,"&lt;="&amp;(A2216+1)))</f>
        <v/>
      </c>
      <c r="L2216" s="63">
        <f>IF(OR(H2216="",K2216=0),"—",IF(ISNUMBER(MATCH(H2216,'Zgłoszenia'!$S$5:$S$504,0)),RIGHT("0"&amp;DAY(A2216),2)&amp;"."&amp;RIGHT("0"&amp;MONTH(A2216),2)&amp;"."&amp;YEAR(A2216)&amp;": "&amp;INDEX('Zgłoszenia'!$H$5:$H$504,MATCH(H2216,'Zgłoszenia'!$S$5:$S$504,0)),RIGHT("0"&amp;DAY((A2216+1)),2)&amp;"."&amp;RIGHT("0"&amp;MONTH((A2216+1)),2)&amp;"."&amp;YEAR((A2216+1))&amp;": "&amp;INDEX('Zgłoszenia'!$H$5:$H$504,MATCH(F2216&amp;"|"&amp;(A2216+1),'Zgłoszenia'!$S$5:$S$504,0)))&amp;IF(K2216&gt;1," (+"&amp;(K2216-1)&amp;")",""))</f>
        <v/>
      </c>
      <c r="M2216" s="63" t="n">
        <v>28</v>
      </c>
      <c r="N2216" s="2" t="n"/>
      <c r="O2216" s="2" t="n"/>
    </row>
    <row r="2217">
      <c r="A2217" s="62">
        <f>IF('28'!$C$1="","",'28'!$C$1)</f>
        <v/>
      </c>
      <c r="B2217" s="63">
        <f>Ustawienia!$A$9&amp;""</f>
        <v/>
      </c>
      <c r="C2217" s="63">
        <f>Ustawienia!$A$14&amp;""</f>
        <v/>
      </c>
      <c r="D2217" s="63" t="n">
        <v>2</v>
      </c>
      <c r="E2217" s="63">
        <f>IF('28'!F7="","",TRIM('28'!F7&amp;""))</f>
        <v/>
      </c>
      <c r="F2217" s="63">
        <f>IF('28'!G7="","",'28'!G7)</f>
        <v/>
      </c>
      <c r="G2217" s="63">
        <f>'28'!H7&amp;""</f>
        <v/>
      </c>
      <c r="H2217" s="63">
        <f>IF(OR(A2217="",F2217=""),"",F2217&amp;"|"&amp;A2217)</f>
        <v/>
      </c>
      <c r="I2217" s="63">
        <f>IF(AND(H2217&lt;&gt;"",OR('Historia wózka'!$B$4="",F2217='Historia wózka'!$B$4),A2217&gt;='Historia wózka'!$B$5,A2217&lt;='Historia wózka'!$B$6),A2217+0.8+(5000-ROW())/10000000,0)</f>
        <v/>
      </c>
      <c r="J2217" s="63">
        <f>Ustawienia!$B$9&amp;""</f>
        <v/>
      </c>
      <c r="K2217" s="63">
        <f>IF(H2217="","",COUNTIFS('Zgłoszenia'!$B$5:$B$504,F2217,'Zgłoszenia'!$D$5:$D$504,"&gt;="&amp;A2217,'Zgłoszenia'!$D$5:$D$504,"&lt;="&amp;(A2217+1)))</f>
        <v/>
      </c>
      <c r="L2217" s="63">
        <f>IF(OR(H2217="",K2217=0),"—",IF(ISNUMBER(MATCH(H2217,'Zgłoszenia'!$S$5:$S$504,0)),RIGHT("0"&amp;DAY(A2217),2)&amp;"."&amp;RIGHT("0"&amp;MONTH(A2217),2)&amp;"."&amp;YEAR(A2217)&amp;": "&amp;INDEX('Zgłoszenia'!$H$5:$H$504,MATCH(H2217,'Zgłoszenia'!$S$5:$S$504,0)),RIGHT("0"&amp;DAY((A2217+1)),2)&amp;"."&amp;RIGHT("0"&amp;MONTH((A2217+1)),2)&amp;"."&amp;YEAR((A2217+1))&amp;": "&amp;INDEX('Zgłoszenia'!$H$5:$H$504,MATCH(F2217&amp;"|"&amp;(A2217+1),'Zgłoszenia'!$S$5:$S$504,0)))&amp;IF(K2217&gt;1," (+"&amp;(K2217-1)&amp;")",""))</f>
        <v/>
      </c>
      <c r="M2217" s="63" t="n">
        <v>28</v>
      </c>
      <c r="N2217" s="2" t="n"/>
      <c r="O2217" s="2" t="n"/>
    </row>
    <row r="2218">
      <c r="A2218" s="62">
        <f>IF('28'!$C$1="","",'28'!$C$1)</f>
        <v/>
      </c>
      <c r="B2218" s="63">
        <f>Ustawienia!$A$9&amp;""</f>
        <v/>
      </c>
      <c r="C2218" s="63">
        <f>Ustawienia!$A$14&amp;""</f>
        <v/>
      </c>
      <c r="D2218" s="63" t="n">
        <v>3</v>
      </c>
      <c r="E2218" s="63">
        <f>IF('28'!F8="","",TRIM('28'!F8&amp;""))</f>
        <v/>
      </c>
      <c r="F2218" s="63">
        <f>IF('28'!G8="","",'28'!G8)</f>
        <v/>
      </c>
      <c r="G2218" s="63">
        <f>'28'!H8&amp;""</f>
        <v/>
      </c>
      <c r="H2218" s="63">
        <f>IF(OR(A2218="",F2218=""),"",F2218&amp;"|"&amp;A2218)</f>
        <v/>
      </c>
      <c r="I2218" s="63">
        <f>IF(AND(H2218&lt;&gt;"",OR('Historia wózka'!$B$4="",F2218='Historia wózka'!$B$4),A2218&gt;='Historia wózka'!$B$5,A2218&lt;='Historia wózka'!$B$6),A2218+0.8+(5000-ROW())/10000000,0)</f>
        <v/>
      </c>
      <c r="J2218" s="63">
        <f>Ustawienia!$B$9&amp;""</f>
        <v/>
      </c>
      <c r="K2218" s="63">
        <f>IF(H2218="","",COUNTIFS('Zgłoszenia'!$B$5:$B$504,F2218,'Zgłoszenia'!$D$5:$D$504,"&gt;="&amp;A2218,'Zgłoszenia'!$D$5:$D$504,"&lt;="&amp;(A2218+1)))</f>
        <v/>
      </c>
      <c r="L2218" s="63">
        <f>IF(OR(H2218="",K2218=0),"—",IF(ISNUMBER(MATCH(H2218,'Zgłoszenia'!$S$5:$S$504,0)),RIGHT("0"&amp;DAY(A2218),2)&amp;"."&amp;RIGHT("0"&amp;MONTH(A2218),2)&amp;"."&amp;YEAR(A2218)&amp;": "&amp;INDEX('Zgłoszenia'!$H$5:$H$504,MATCH(H2218,'Zgłoszenia'!$S$5:$S$504,0)),RIGHT("0"&amp;DAY((A2218+1)),2)&amp;"."&amp;RIGHT("0"&amp;MONTH((A2218+1)),2)&amp;"."&amp;YEAR((A2218+1))&amp;": "&amp;INDEX('Zgłoszenia'!$H$5:$H$504,MATCH(F2218&amp;"|"&amp;(A2218+1),'Zgłoszenia'!$S$5:$S$504,0)))&amp;IF(K2218&gt;1," (+"&amp;(K2218-1)&amp;")",""))</f>
        <v/>
      </c>
      <c r="M2218" s="63" t="n">
        <v>28</v>
      </c>
      <c r="N2218" s="2" t="n"/>
      <c r="O2218" s="2" t="n"/>
    </row>
    <row r="2219">
      <c r="A2219" s="62">
        <f>IF('28'!$C$1="","",'28'!$C$1)</f>
        <v/>
      </c>
      <c r="B2219" s="63">
        <f>Ustawienia!$A$9&amp;""</f>
        <v/>
      </c>
      <c r="C2219" s="63">
        <f>Ustawienia!$A$14&amp;""</f>
        <v/>
      </c>
      <c r="D2219" s="63" t="n">
        <v>4</v>
      </c>
      <c r="E2219" s="63">
        <f>IF('28'!F9="","",TRIM('28'!F9&amp;""))</f>
        <v/>
      </c>
      <c r="F2219" s="63">
        <f>IF('28'!G9="","",'28'!G9)</f>
        <v/>
      </c>
      <c r="G2219" s="63">
        <f>'28'!H9&amp;""</f>
        <v/>
      </c>
      <c r="H2219" s="63">
        <f>IF(OR(A2219="",F2219=""),"",F2219&amp;"|"&amp;A2219)</f>
        <v/>
      </c>
      <c r="I2219" s="63">
        <f>IF(AND(H2219&lt;&gt;"",OR('Historia wózka'!$B$4="",F2219='Historia wózka'!$B$4),A2219&gt;='Historia wózka'!$B$5,A2219&lt;='Historia wózka'!$B$6),A2219+0.8+(5000-ROW())/10000000,0)</f>
        <v/>
      </c>
      <c r="J2219" s="63">
        <f>Ustawienia!$B$9&amp;""</f>
        <v/>
      </c>
      <c r="K2219" s="63">
        <f>IF(H2219="","",COUNTIFS('Zgłoszenia'!$B$5:$B$504,F2219,'Zgłoszenia'!$D$5:$D$504,"&gt;="&amp;A2219,'Zgłoszenia'!$D$5:$D$504,"&lt;="&amp;(A2219+1)))</f>
        <v/>
      </c>
      <c r="L2219" s="63">
        <f>IF(OR(H2219="",K2219=0),"—",IF(ISNUMBER(MATCH(H2219,'Zgłoszenia'!$S$5:$S$504,0)),RIGHT("0"&amp;DAY(A2219),2)&amp;"."&amp;RIGHT("0"&amp;MONTH(A2219),2)&amp;"."&amp;YEAR(A2219)&amp;": "&amp;INDEX('Zgłoszenia'!$H$5:$H$504,MATCH(H2219,'Zgłoszenia'!$S$5:$S$504,0)),RIGHT("0"&amp;DAY((A2219+1)),2)&amp;"."&amp;RIGHT("0"&amp;MONTH((A2219+1)),2)&amp;"."&amp;YEAR((A2219+1))&amp;": "&amp;INDEX('Zgłoszenia'!$H$5:$H$504,MATCH(F2219&amp;"|"&amp;(A2219+1),'Zgłoszenia'!$S$5:$S$504,0)))&amp;IF(K2219&gt;1," (+"&amp;(K2219-1)&amp;")",""))</f>
        <v/>
      </c>
      <c r="M2219" s="63" t="n">
        <v>28</v>
      </c>
      <c r="N2219" s="2" t="n"/>
      <c r="O2219" s="2" t="n"/>
    </row>
    <row r="2220">
      <c r="A2220" s="62">
        <f>IF('28'!$C$1="","",'28'!$C$1)</f>
        <v/>
      </c>
      <c r="B2220" s="63">
        <f>Ustawienia!$A$9&amp;""</f>
        <v/>
      </c>
      <c r="C2220" s="63">
        <f>Ustawienia!$A$14&amp;""</f>
        <v/>
      </c>
      <c r="D2220" s="63" t="n">
        <v>5</v>
      </c>
      <c r="E2220" s="63">
        <f>IF('28'!F10="","",TRIM('28'!F10&amp;""))</f>
        <v/>
      </c>
      <c r="F2220" s="63">
        <f>IF('28'!G10="","",'28'!G10)</f>
        <v/>
      </c>
      <c r="G2220" s="63">
        <f>'28'!H10&amp;""</f>
        <v/>
      </c>
      <c r="H2220" s="63">
        <f>IF(OR(A2220="",F2220=""),"",F2220&amp;"|"&amp;A2220)</f>
        <v/>
      </c>
      <c r="I2220" s="63">
        <f>IF(AND(H2220&lt;&gt;"",OR('Historia wózka'!$B$4="",F2220='Historia wózka'!$B$4),A2220&gt;='Historia wózka'!$B$5,A2220&lt;='Historia wózka'!$B$6),A2220+0.8+(5000-ROW())/10000000,0)</f>
        <v/>
      </c>
      <c r="J2220" s="63">
        <f>Ustawienia!$B$9&amp;""</f>
        <v/>
      </c>
      <c r="K2220" s="63">
        <f>IF(H2220="","",COUNTIFS('Zgłoszenia'!$B$5:$B$504,F2220,'Zgłoszenia'!$D$5:$D$504,"&gt;="&amp;A2220,'Zgłoszenia'!$D$5:$D$504,"&lt;="&amp;(A2220+1)))</f>
        <v/>
      </c>
      <c r="L2220" s="63">
        <f>IF(OR(H2220="",K2220=0),"—",IF(ISNUMBER(MATCH(H2220,'Zgłoszenia'!$S$5:$S$504,0)),RIGHT("0"&amp;DAY(A2220),2)&amp;"."&amp;RIGHT("0"&amp;MONTH(A2220),2)&amp;"."&amp;YEAR(A2220)&amp;": "&amp;INDEX('Zgłoszenia'!$H$5:$H$504,MATCH(H2220,'Zgłoszenia'!$S$5:$S$504,0)),RIGHT("0"&amp;DAY((A2220+1)),2)&amp;"."&amp;RIGHT("0"&amp;MONTH((A2220+1)),2)&amp;"."&amp;YEAR((A2220+1))&amp;": "&amp;INDEX('Zgłoszenia'!$H$5:$H$504,MATCH(F2220&amp;"|"&amp;(A2220+1),'Zgłoszenia'!$S$5:$S$504,0)))&amp;IF(K2220&gt;1," (+"&amp;(K2220-1)&amp;")",""))</f>
        <v/>
      </c>
      <c r="M2220" s="63" t="n">
        <v>28</v>
      </c>
      <c r="N2220" s="2" t="n"/>
      <c r="O2220" s="2" t="n"/>
    </row>
    <row r="2221">
      <c r="A2221" s="62">
        <f>IF('28'!$C$1="","",'28'!$C$1)</f>
        <v/>
      </c>
      <c r="B2221" s="63">
        <f>Ustawienia!$A$9&amp;""</f>
        <v/>
      </c>
      <c r="C2221" s="63">
        <f>Ustawienia!$A$14&amp;""</f>
        <v/>
      </c>
      <c r="D2221" s="63" t="n">
        <v>6</v>
      </c>
      <c r="E2221" s="63">
        <f>IF('28'!F11="","",TRIM('28'!F11&amp;""))</f>
        <v/>
      </c>
      <c r="F2221" s="63">
        <f>IF('28'!G11="","",'28'!G11)</f>
        <v/>
      </c>
      <c r="G2221" s="63">
        <f>'28'!H11&amp;""</f>
        <v/>
      </c>
      <c r="H2221" s="63">
        <f>IF(OR(A2221="",F2221=""),"",F2221&amp;"|"&amp;A2221)</f>
        <v/>
      </c>
      <c r="I2221" s="63">
        <f>IF(AND(H2221&lt;&gt;"",OR('Historia wózka'!$B$4="",F2221='Historia wózka'!$B$4),A2221&gt;='Historia wózka'!$B$5,A2221&lt;='Historia wózka'!$B$6),A2221+0.8+(5000-ROW())/10000000,0)</f>
        <v/>
      </c>
      <c r="J2221" s="63">
        <f>Ustawienia!$B$9&amp;""</f>
        <v/>
      </c>
      <c r="K2221" s="63">
        <f>IF(H2221="","",COUNTIFS('Zgłoszenia'!$B$5:$B$504,F2221,'Zgłoszenia'!$D$5:$D$504,"&gt;="&amp;A2221,'Zgłoszenia'!$D$5:$D$504,"&lt;="&amp;(A2221+1)))</f>
        <v/>
      </c>
      <c r="L2221" s="63">
        <f>IF(OR(H2221="",K2221=0),"—",IF(ISNUMBER(MATCH(H2221,'Zgłoszenia'!$S$5:$S$504,0)),RIGHT("0"&amp;DAY(A2221),2)&amp;"."&amp;RIGHT("0"&amp;MONTH(A2221),2)&amp;"."&amp;YEAR(A2221)&amp;": "&amp;INDEX('Zgłoszenia'!$H$5:$H$504,MATCH(H2221,'Zgłoszenia'!$S$5:$S$504,0)),RIGHT("0"&amp;DAY((A2221+1)),2)&amp;"."&amp;RIGHT("0"&amp;MONTH((A2221+1)),2)&amp;"."&amp;YEAR((A2221+1))&amp;": "&amp;INDEX('Zgłoszenia'!$H$5:$H$504,MATCH(F2221&amp;"|"&amp;(A2221+1),'Zgłoszenia'!$S$5:$S$504,0)))&amp;IF(K2221&gt;1," (+"&amp;(K2221-1)&amp;")",""))</f>
        <v/>
      </c>
      <c r="M2221" s="63" t="n">
        <v>28</v>
      </c>
      <c r="N2221" s="2" t="n"/>
      <c r="O2221" s="2" t="n"/>
    </row>
    <row r="2222">
      <c r="A2222" s="62">
        <f>IF('28'!$C$1="","",'28'!$C$1)</f>
        <v/>
      </c>
      <c r="B2222" s="63">
        <f>Ustawienia!$A$9&amp;""</f>
        <v/>
      </c>
      <c r="C2222" s="63">
        <f>Ustawienia!$A$15&amp;""</f>
        <v/>
      </c>
      <c r="D2222" s="63" t="n">
        <v>1</v>
      </c>
      <c r="E2222" s="63">
        <f>IF('28'!F13="","",TRIM('28'!F13&amp;""))</f>
        <v/>
      </c>
      <c r="F2222" s="63">
        <f>IF('28'!G13="","",'28'!G13)</f>
        <v/>
      </c>
      <c r="G2222" s="63">
        <f>'28'!H13&amp;""</f>
        <v/>
      </c>
      <c r="H2222" s="63">
        <f>IF(OR(A2222="",F2222=""),"",F2222&amp;"|"&amp;A2222)</f>
        <v/>
      </c>
      <c r="I2222" s="63">
        <f>IF(AND(H2222&lt;&gt;"",OR('Historia wózka'!$B$4="",F2222='Historia wózka'!$B$4),A2222&gt;='Historia wózka'!$B$5,A2222&lt;='Historia wózka'!$B$6),A2222+0.8+(5000-ROW())/10000000,0)</f>
        <v/>
      </c>
      <c r="J2222" s="63">
        <f>Ustawienia!$B$9&amp;""</f>
        <v/>
      </c>
      <c r="K2222" s="63">
        <f>IF(H2222="","",COUNTIFS('Zgłoszenia'!$B$5:$B$504,F2222,'Zgłoszenia'!$D$5:$D$504,"&gt;="&amp;A2222,'Zgłoszenia'!$D$5:$D$504,"&lt;="&amp;(A2222+1)))</f>
        <v/>
      </c>
      <c r="L2222" s="63">
        <f>IF(OR(H2222="",K2222=0),"—",IF(ISNUMBER(MATCH(H2222,'Zgłoszenia'!$S$5:$S$504,0)),RIGHT("0"&amp;DAY(A2222),2)&amp;"."&amp;RIGHT("0"&amp;MONTH(A2222),2)&amp;"."&amp;YEAR(A2222)&amp;": "&amp;INDEX('Zgłoszenia'!$H$5:$H$504,MATCH(H2222,'Zgłoszenia'!$S$5:$S$504,0)),RIGHT("0"&amp;DAY((A2222+1)),2)&amp;"."&amp;RIGHT("0"&amp;MONTH((A2222+1)),2)&amp;"."&amp;YEAR((A2222+1))&amp;": "&amp;INDEX('Zgłoszenia'!$H$5:$H$504,MATCH(F2222&amp;"|"&amp;(A2222+1),'Zgłoszenia'!$S$5:$S$504,0)))&amp;IF(K2222&gt;1," (+"&amp;(K2222-1)&amp;")",""))</f>
        <v/>
      </c>
      <c r="M2222" s="63" t="n">
        <v>28</v>
      </c>
      <c r="N2222" s="2" t="n"/>
      <c r="O2222" s="2" t="n"/>
    </row>
    <row r="2223">
      <c r="A2223" s="62">
        <f>IF('28'!$C$1="","",'28'!$C$1)</f>
        <v/>
      </c>
      <c r="B2223" s="63">
        <f>Ustawienia!$A$9&amp;""</f>
        <v/>
      </c>
      <c r="C2223" s="63">
        <f>Ustawienia!$A$15&amp;""</f>
        <v/>
      </c>
      <c r="D2223" s="63" t="n">
        <v>2</v>
      </c>
      <c r="E2223" s="63">
        <f>IF('28'!F14="","",TRIM('28'!F14&amp;""))</f>
        <v/>
      </c>
      <c r="F2223" s="63">
        <f>IF('28'!G14="","",'28'!G14)</f>
        <v/>
      </c>
      <c r="G2223" s="63">
        <f>'28'!H14&amp;""</f>
        <v/>
      </c>
      <c r="H2223" s="63">
        <f>IF(OR(A2223="",F2223=""),"",F2223&amp;"|"&amp;A2223)</f>
        <v/>
      </c>
      <c r="I2223" s="63">
        <f>IF(AND(H2223&lt;&gt;"",OR('Historia wózka'!$B$4="",F2223='Historia wózka'!$B$4),A2223&gt;='Historia wózka'!$B$5,A2223&lt;='Historia wózka'!$B$6),A2223+0.8+(5000-ROW())/10000000,0)</f>
        <v/>
      </c>
      <c r="J2223" s="63">
        <f>Ustawienia!$B$9&amp;""</f>
        <v/>
      </c>
      <c r="K2223" s="63">
        <f>IF(H2223="","",COUNTIFS('Zgłoszenia'!$B$5:$B$504,F2223,'Zgłoszenia'!$D$5:$D$504,"&gt;="&amp;A2223,'Zgłoszenia'!$D$5:$D$504,"&lt;="&amp;(A2223+1)))</f>
        <v/>
      </c>
      <c r="L2223" s="63">
        <f>IF(OR(H2223="",K2223=0),"—",IF(ISNUMBER(MATCH(H2223,'Zgłoszenia'!$S$5:$S$504,0)),RIGHT("0"&amp;DAY(A2223),2)&amp;"."&amp;RIGHT("0"&amp;MONTH(A2223),2)&amp;"."&amp;YEAR(A2223)&amp;": "&amp;INDEX('Zgłoszenia'!$H$5:$H$504,MATCH(H2223,'Zgłoszenia'!$S$5:$S$504,0)),RIGHT("0"&amp;DAY((A2223+1)),2)&amp;"."&amp;RIGHT("0"&amp;MONTH((A2223+1)),2)&amp;"."&amp;YEAR((A2223+1))&amp;": "&amp;INDEX('Zgłoszenia'!$H$5:$H$504,MATCH(F2223&amp;"|"&amp;(A2223+1),'Zgłoszenia'!$S$5:$S$504,0)))&amp;IF(K2223&gt;1," (+"&amp;(K2223-1)&amp;")",""))</f>
        <v/>
      </c>
      <c r="M2223" s="63" t="n">
        <v>28</v>
      </c>
      <c r="N2223" s="2" t="n"/>
      <c r="O2223" s="2" t="n"/>
    </row>
    <row r="2224">
      <c r="A2224" s="62">
        <f>IF('28'!$C$1="","",'28'!$C$1)</f>
        <v/>
      </c>
      <c r="B2224" s="63">
        <f>Ustawienia!$A$9&amp;""</f>
        <v/>
      </c>
      <c r="C2224" s="63">
        <f>Ustawienia!$A$15&amp;""</f>
        <v/>
      </c>
      <c r="D2224" s="63" t="n">
        <v>3</v>
      </c>
      <c r="E2224" s="63">
        <f>IF('28'!F15="","",TRIM('28'!F15&amp;""))</f>
        <v/>
      </c>
      <c r="F2224" s="63">
        <f>IF('28'!G15="","",'28'!G15)</f>
        <v/>
      </c>
      <c r="G2224" s="63">
        <f>'28'!H15&amp;""</f>
        <v/>
      </c>
      <c r="H2224" s="63">
        <f>IF(OR(A2224="",F2224=""),"",F2224&amp;"|"&amp;A2224)</f>
        <v/>
      </c>
      <c r="I2224" s="63">
        <f>IF(AND(H2224&lt;&gt;"",OR('Historia wózka'!$B$4="",F2224='Historia wózka'!$B$4),A2224&gt;='Historia wózka'!$B$5,A2224&lt;='Historia wózka'!$B$6),A2224+0.8+(5000-ROW())/10000000,0)</f>
        <v/>
      </c>
      <c r="J2224" s="63">
        <f>Ustawienia!$B$9&amp;""</f>
        <v/>
      </c>
      <c r="K2224" s="63">
        <f>IF(H2224="","",COUNTIFS('Zgłoszenia'!$B$5:$B$504,F2224,'Zgłoszenia'!$D$5:$D$504,"&gt;="&amp;A2224,'Zgłoszenia'!$D$5:$D$504,"&lt;="&amp;(A2224+1)))</f>
        <v/>
      </c>
      <c r="L2224" s="63">
        <f>IF(OR(H2224="",K2224=0),"—",IF(ISNUMBER(MATCH(H2224,'Zgłoszenia'!$S$5:$S$504,0)),RIGHT("0"&amp;DAY(A2224),2)&amp;"."&amp;RIGHT("0"&amp;MONTH(A2224),2)&amp;"."&amp;YEAR(A2224)&amp;": "&amp;INDEX('Zgłoszenia'!$H$5:$H$504,MATCH(H2224,'Zgłoszenia'!$S$5:$S$504,0)),RIGHT("0"&amp;DAY((A2224+1)),2)&amp;"."&amp;RIGHT("0"&amp;MONTH((A2224+1)),2)&amp;"."&amp;YEAR((A2224+1))&amp;": "&amp;INDEX('Zgłoszenia'!$H$5:$H$504,MATCH(F2224&amp;"|"&amp;(A2224+1),'Zgłoszenia'!$S$5:$S$504,0)))&amp;IF(K2224&gt;1," (+"&amp;(K2224-1)&amp;")",""))</f>
        <v/>
      </c>
      <c r="M2224" s="63" t="n">
        <v>28</v>
      </c>
      <c r="N2224" s="2" t="n"/>
      <c r="O2224" s="2" t="n"/>
    </row>
    <row r="2225">
      <c r="A2225" s="62">
        <f>IF('28'!$C$1="","",'28'!$C$1)</f>
        <v/>
      </c>
      <c r="B2225" s="63">
        <f>Ustawienia!$A$9&amp;""</f>
        <v/>
      </c>
      <c r="C2225" s="63">
        <f>Ustawienia!$A$15&amp;""</f>
        <v/>
      </c>
      <c r="D2225" s="63" t="n">
        <v>4</v>
      </c>
      <c r="E2225" s="63">
        <f>IF('28'!F16="","",TRIM('28'!F16&amp;""))</f>
        <v/>
      </c>
      <c r="F2225" s="63">
        <f>IF('28'!G16="","",'28'!G16)</f>
        <v/>
      </c>
      <c r="G2225" s="63">
        <f>'28'!H16&amp;""</f>
        <v/>
      </c>
      <c r="H2225" s="63">
        <f>IF(OR(A2225="",F2225=""),"",F2225&amp;"|"&amp;A2225)</f>
        <v/>
      </c>
      <c r="I2225" s="63">
        <f>IF(AND(H2225&lt;&gt;"",OR('Historia wózka'!$B$4="",F2225='Historia wózka'!$B$4),A2225&gt;='Historia wózka'!$B$5,A2225&lt;='Historia wózka'!$B$6),A2225+0.8+(5000-ROW())/10000000,0)</f>
        <v/>
      </c>
      <c r="J2225" s="63">
        <f>Ustawienia!$B$9&amp;""</f>
        <v/>
      </c>
      <c r="K2225" s="63">
        <f>IF(H2225="","",COUNTIFS('Zgłoszenia'!$B$5:$B$504,F2225,'Zgłoszenia'!$D$5:$D$504,"&gt;="&amp;A2225,'Zgłoszenia'!$D$5:$D$504,"&lt;="&amp;(A2225+1)))</f>
        <v/>
      </c>
      <c r="L2225" s="63">
        <f>IF(OR(H2225="",K2225=0),"—",IF(ISNUMBER(MATCH(H2225,'Zgłoszenia'!$S$5:$S$504,0)),RIGHT("0"&amp;DAY(A2225),2)&amp;"."&amp;RIGHT("0"&amp;MONTH(A2225),2)&amp;"."&amp;YEAR(A2225)&amp;": "&amp;INDEX('Zgłoszenia'!$H$5:$H$504,MATCH(H2225,'Zgłoszenia'!$S$5:$S$504,0)),RIGHT("0"&amp;DAY((A2225+1)),2)&amp;"."&amp;RIGHT("0"&amp;MONTH((A2225+1)),2)&amp;"."&amp;YEAR((A2225+1))&amp;": "&amp;INDEX('Zgłoszenia'!$H$5:$H$504,MATCH(F2225&amp;"|"&amp;(A2225+1),'Zgłoszenia'!$S$5:$S$504,0)))&amp;IF(K2225&gt;1," (+"&amp;(K2225-1)&amp;")",""))</f>
        <v/>
      </c>
      <c r="M2225" s="63" t="n">
        <v>28</v>
      </c>
      <c r="N2225" s="2" t="n"/>
      <c r="O2225" s="2" t="n"/>
    </row>
    <row r="2226">
      <c r="A2226" s="62">
        <f>IF('28'!$C$1="","",'28'!$C$1)</f>
        <v/>
      </c>
      <c r="B2226" s="63">
        <f>Ustawienia!$A$9&amp;""</f>
        <v/>
      </c>
      <c r="C2226" s="63">
        <f>Ustawienia!$A$15&amp;""</f>
        <v/>
      </c>
      <c r="D2226" s="63" t="n">
        <v>5</v>
      </c>
      <c r="E2226" s="63">
        <f>IF('28'!F17="","",TRIM('28'!F17&amp;""))</f>
        <v/>
      </c>
      <c r="F2226" s="63">
        <f>IF('28'!G17="","",'28'!G17)</f>
        <v/>
      </c>
      <c r="G2226" s="63">
        <f>'28'!H17&amp;""</f>
        <v/>
      </c>
      <c r="H2226" s="63">
        <f>IF(OR(A2226="",F2226=""),"",F2226&amp;"|"&amp;A2226)</f>
        <v/>
      </c>
      <c r="I2226" s="63">
        <f>IF(AND(H2226&lt;&gt;"",OR('Historia wózka'!$B$4="",F2226='Historia wózka'!$B$4),A2226&gt;='Historia wózka'!$B$5,A2226&lt;='Historia wózka'!$B$6),A2226+0.8+(5000-ROW())/10000000,0)</f>
        <v/>
      </c>
      <c r="J2226" s="63">
        <f>Ustawienia!$B$9&amp;""</f>
        <v/>
      </c>
      <c r="K2226" s="63">
        <f>IF(H2226="","",COUNTIFS('Zgłoszenia'!$B$5:$B$504,F2226,'Zgłoszenia'!$D$5:$D$504,"&gt;="&amp;A2226,'Zgłoszenia'!$D$5:$D$504,"&lt;="&amp;(A2226+1)))</f>
        <v/>
      </c>
      <c r="L2226" s="63">
        <f>IF(OR(H2226="",K2226=0),"—",IF(ISNUMBER(MATCH(H2226,'Zgłoszenia'!$S$5:$S$504,0)),RIGHT("0"&amp;DAY(A2226),2)&amp;"."&amp;RIGHT("0"&amp;MONTH(A2226),2)&amp;"."&amp;YEAR(A2226)&amp;": "&amp;INDEX('Zgłoszenia'!$H$5:$H$504,MATCH(H2226,'Zgłoszenia'!$S$5:$S$504,0)),RIGHT("0"&amp;DAY((A2226+1)),2)&amp;"."&amp;RIGHT("0"&amp;MONTH((A2226+1)),2)&amp;"."&amp;YEAR((A2226+1))&amp;": "&amp;INDEX('Zgłoszenia'!$H$5:$H$504,MATCH(F2226&amp;"|"&amp;(A2226+1),'Zgłoszenia'!$S$5:$S$504,0)))&amp;IF(K2226&gt;1," (+"&amp;(K2226-1)&amp;")",""))</f>
        <v/>
      </c>
      <c r="M2226" s="63" t="n">
        <v>28</v>
      </c>
      <c r="N2226" s="2" t="n"/>
      <c r="O2226" s="2" t="n"/>
    </row>
    <row r="2227">
      <c r="A2227" s="62">
        <f>IF('28'!$C$1="","",'28'!$C$1)</f>
        <v/>
      </c>
      <c r="B2227" s="63">
        <f>Ustawienia!$A$9&amp;""</f>
        <v/>
      </c>
      <c r="C2227" s="63">
        <f>Ustawienia!$A$15&amp;""</f>
        <v/>
      </c>
      <c r="D2227" s="63" t="n">
        <v>6</v>
      </c>
      <c r="E2227" s="63">
        <f>IF('28'!F18="","",TRIM('28'!F18&amp;""))</f>
        <v/>
      </c>
      <c r="F2227" s="63">
        <f>IF('28'!G18="","",'28'!G18)</f>
        <v/>
      </c>
      <c r="G2227" s="63">
        <f>'28'!H18&amp;""</f>
        <v/>
      </c>
      <c r="H2227" s="63">
        <f>IF(OR(A2227="",F2227=""),"",F2227&amp;"|"&amp;A2227)</f>
        <v/>
      </c>
      <c r="I2227" s="63">
        <f>IF(AND(H2227&lt;&gt;"",OR('Historia wózka'!$B$4="",F2227='Historia wózka'!$B$4),A2227&gt;='Historia wózka'!$B$5,A2227&lt;='Historia wózka'!$B$6),A2227+0.8+(5000-ROW())/10000000,0)</f>
        <v/>
      </c>
      <c r="J2227" s="63">
        <f>Ustawienia!$B$9&amp;""</f>
        <v/>
      </c>
      <c r="K2227" s="63">
        <f>IF(H2227="","",COUNTIFS('Zgłoszenia'!$B$5:$B$504,F2227,'Zgłoszenia'!$D$5:$D$504,"&gt;="&amp;A2227,'Zgłoszenia'!$D$5:$D$504,"&lt;="&amp;(A2227+1)))</f>
        <v/>
      </c>
      <c r="L2227" s="63">
        <f>IF(OR(H2227="",K2227=0),"—",IF(ISNUMBER(MATCH(H2227,'Zgłoszenia'!$S$5:$S$504,0)),RIGHT("0"&amp;DAY(A2227),2)&amp;"."&amp;RIGHT("0"&amp;MONTH(A2227),2)&amp;"."&amp;YEAR(A2227)&amp;": "&amp;INDEX('Zgłoszenia'!$H$5:$H$504,MATCH(H2227,'Zgłoszenia'!$S$5:$S$504,0)),RIGHT("0"&amp;DAY((A2227+1)),2)&amp;"."&amp;RIGHT("0"&amp;MONTH((A2227+1)),2)&amp;"."&amp;YEAR((A2227+1))&amp;": "&amp;INDEX('Zgłoszenia'!$H$5:$H$504,MATCH(F2227&amp;"|"&amp;(A2227+1),'Zgłoszenia'!$S$5:$S$504,0)))&amp;IF(K2227&gt;1," (+"&amp;(K2227-1)&amp;")",""))</f>
        <v/>
      </c>
      <c r="M2227" s="63" t="n">
        <v>28</v>
      </c>
      <c r="N2227" s="2" t="n"/>
      <c r="O2227" s="2" t="n"/>
    </row>
    <row r="2228">
      <c r="A2228" s="62">
        <f>IF('28'!$C$1="","",'28'!$C$1)</f>
        <v/>
      </c>
      <c r="B2228" s="63">
        <f>Ustawienia!$A$9&amp;""</f>
        <v/>
      </c>
      <c r="C2228" s="63">
        <f>Ustawienia!$A$15&amp;""</f>
        <v/>
      </c>
      <c r="D2228" s="63" t="n">
        <v>7</v>
      </c>
      <c r="E2228" s="63">
        <f>IF('28'!F19="","",TRIM('28'!F19&amp;""))</f>
        <v/>
      </c>
      <c r="F2228" s="63">
        <f>IF('28'!G19="","",'28'!G19)</f>
        <v/>
      </c>
      <c r="G2228" s="63">
        <f>'28'!H19&amp;""</f>
        <v/>
      </c>
      <c r="H2228" s="63">
        <f>IF(OR(A2228="",F2228=""),"",F2228&amp;"|"&amp;A2228)</f>
        <v/>
      </c>
      <c r="I2228" s="63">
        <f>IF(AND(H2228&lt;&gt;"",OR('Historia wózka'!$B$4="",F2228='Historia wózka'!$B$4),A2228&gt;='Historia wózka'!$B$5,A2228&lt;='Historia wózka'!$B$6),A2228+0.8+(5000-ROW())/10000000,0)</f>
        <v/>
      </c>
      <c r="J2228" s="63">
        <f>Ustawienia!$B$9&amp;""</f>
        <v/>
      </c>
      <c r="K2228" s="63">
        <f>IF(H2228="","",COUNTIFS('Zgłoszenia'!$B$5:$B$504,F2228,'Zgłoszenia'!$D$5:$D$504,"&gt;="&amp;A2228,'Zgłoszenia'!$D$5:$D$504,"&lt;="&amp;(A2228+1)))</f>
        <v/>
      </c>
      <c r="L2228" s="63">
        <f>IF(OR(H2228="",K2228=0),"—",IF(ISNUMBER(MATCH(H2228,'Zgłoszenia'!$S$5:$S$504,0)),RIGHT("0"&amp;DAY(A2228),2)&amp;"."&amp;RIGHT("0"&amp;MONTH(A2228),2)&amp;"."&amp;YEAR(A2228)&amp;": "&amp;INDEX('Zgłoszenia'!$H$5:$H$504,MATCH(H2228,'Zgłoszenia'!$S$5:$S$504,0)),RIGHT("0"&amp;DAY((A2228+1)),2)&amp;"."&amp;RIGHT("0"&amp;MONTH((A2228+1)),2)&amp;"."&amp;YEAR((A2228+1))&amp;": "&amp;INDEX('Zgłoszenia'!$H$5:$H$504,MATCH(F2228&amp;"|"&amp;(A2228+1),'Zgłoszenia'!$S$5:$S$504,0)))&amp;IF(K2228&gt;1," (+"&amp;(K2228-1)&amp;")",""))</f>
        <v/>
      </c>
      <c r="M2228" s="63" t="n">
        <v>28</v>
      </c>
      <c r="N2228" s="2" t="n"/>
      <c r="O2228" s="2" t="n"/>
    </row>
    <row r="2229">
      <c r="A2229" s="62">
        <f>IF('28'!$C$1="","",'28'!$C$1)</f>
        <v/>
      </c>
      <c r="B2229" s="63">
        <f>Ustawienia!$A$9&amp;""</f>
        <v/>
      </c>
      <c r="C2229" s="63">
        <f>Ustawienia!$A$15&amp;""</f>
        <v/>
      </c>
      <c r="D2229" s="63" t="n">
        <v>8</v>
      </c>
      <c r="E2229" s="63">
        <f>IF('28'!F20="","",TRIM('28'!F20&amp;""))</f>
        <v/>
      </c>
      <c r="F2229" s="63">
        <f>IF('28'!G20="","",'28'!G20)</f>
        <v/>
      </c>
      <c r="G2229" s="63">
        <f>'28'!H20&amp;""</f>
        <v/>
      </c>
      <c r="H2229" s="63">
        <f>IF(OR(A2229="",F2229=""),"",F2229&amp;"|"&amp;A2229)</f>
        <v/>
      </c>
      <c r="I2229" s="63">
        <f>IF(AND(H2229&lt;&gt;"",OR('Historia wózka'!$B$4="",F2229='Historia wózka'!$B$4),A2229&gt;='Historia wózka'!$B$5,A2229&lt;='Historia wózka'!$B$6),A2229+0.8+(5000-ROW())/10000000,0)</f>
        <v/>
      </c>
      <c r="J2229" s="63">
        <f>Ustawienia!$B$9&amp;""</f>
        <v/>
      </c>
      <c r="K2229" s="63">
        <f>IF(H2229="","",COUNTIFS('Zgłoszenia'!$B$5:$B$504,F2229,'Zgłoszenia'!$D$5:$D$504,"&gt;="&amp;A2229,'Zgłoszenia'!$D$5:$D$504,"&lt;="&amp;(A2229+1)))</f>
        <v/>
      </c>
      <c r="L2229" s="63">
        <f>IF(OR(H2229="",K2229=0),"—",IF(ISNUMBER(MATCH(H2229,'Zgłoszenia'!$S$5:$S$504,0)),RIGHT("0"&amp;DAY(A2229),2)&amp;"."&amp;RIGHT("0"&amp;MONTH(A2229),2)&amp;"."&amp;YEAR(A2229)&amp;": "&amp;INDEX('Zgłoszenia'!$H$5:$H$504,MATCH(H2229,'Zgłoszenia'!$S$5:$S$504,0)),RIGHT("0"&amp;DAY((A2229+1)),2)&amp;"."&amp;RIGHT("0"&amp;MONTH((A2229+1)),2)&amp;"."&amp;YEAR((A2229+1))&amp;": "&amp;INDEX('Zgłoszenia'!$H$5:$H$504,MATCH(F2229&amp;"|"&amp;(A2229+1),'Zgłoszenia'!$S$5:$S$504,0)))&amp;IF(K2229&gt;1," (+"&amp;(K2229-1)&amp;")",""))</f>
        <v/>
      </c>
      <c r="M2229" s="63" t="n">
        <v>28</v>
      </c>
      <c r="N2229" s="2" t="n"/>
      <c r="O2229" s="2" t="n"/>
    </row>
    <row r="2230">
      <c r="A2230" s="62">
        <f>IF('28'!$C$1="","",'28'!$C$1)</f>
        <v/>
      </c>
      <c r="B2230" s="63">
        <f>Ustawienia!$A$9&amp;""</f>
        <v/>
      </c>
      <c r="C2230" s="63">
        <f>Ustawienia!$A$16&amp;""</f>
        <v/>
      </c>
      <c r="D2230" s="63" t="n">
        <v>1</v>
      </c>
      <c r="E2230" s="63">
        <f>IF('28'!F22="","",TRIM('28'!F22&amp;""))</f>
        <v/>
      </c>
      <c r="F2230" s="63">
        <f>IF('28'!G22="","",'28'!G22)</f>
        <v/>
      </c>
      <c r="G2230" s="63">
        <f>'28'!H22&amp;""</f>
        <v/>
      </c>
      <c r="H2230" s="63">
        <f>IF(OR(A2230="",F2230=""),"",F2230&amp;"|"&amp;A2230)</f>
        <v/>
      </c>
      <c r="I2230" s="63">
        <f>IF(AND(H2230&lt;&gt;"",OR('Historia wózka'!$B$4="",F2230='Historia wózka'!$B$4),A2230&gt;='Historia wózka'!$B$5,A2230&lt;='Historia wózka'!$B$6),A2230+0.8+(5000-ROW())/10000000,0)</f>
        <v/>
      </c>
      <c r="J2230" s="63">
        <f>Ustawienia!$B$9&amp;""</f>
        <v/>
      </c>
      <c r="K2230" s="63">
        <f>IF(H2230="","",COUNTIFS('Zgłoszenia'!$B$5:$B$504,F2230,'Zgłoszenia'!$D$5:$D$504,"&gt;="&amp;A2230,'Zgłoszenia'!$D$5:$D$504,"&lt;="&amp;(A2230+1)))</f>
        <v/>
      </c>
      <c r="L2230" s="63">
        <f>IF(OR(H2230="",K2230=0),"—",IF(ISNUMBER(MATCH(H2230,'Zgłoszenia'!$S$5:$S$504,0)),RIGHT("0"&amp;DAY(A2230),2)&amp;"."&amp;RIGHT("0"&amp;MONTH(A2230),2)&amp;"."&amp;YEAR(A2230)&amp;": "&amp;INDEX('Zgłoszenia'!$H$5:$H$504,MATCH(H2230,'Zgłoszenia'!$S$5:$S$504,0)),RIGHT("0"&amp;DAY((A2230+1)),2)&amp;"."&amp;RIGHT("0"&amp;MONTH((A2230+1)),2)&amp;"."&amp;YEAR((A2230+1))&amp;": "&amp;INDEX('Zgłoszenia'!$H$5:$H$504,MATCH(F2230&amp;"|"&amp;(A2230+1),'Zgłoszenia'!$S$5:$S$504,0)))&amp;IF(K2230&gt;1," (+"&amp;(K2230-1)&amp;")",""))</f>
        <v/>
      </c>
      <c r="M2230" s="63" t="n">
        <v>28</v>
      </c>
      <c r="N2230" s="2" t="n"/>
      <c r="O2230" s="2" t="n"/>
    </row>
    <row r="2231">
      <c r="A2231" s="62">
        <f>IF('28'!$C$1="","",'28'!$C$1)</f>
        <v/>
      </c>
      <c r="B2231" s="63">
        <f>Ustawienia!$A$9&amp;""</f>
        <v/>
      </c>
      <c r="C2231" s="63">
        <f>Ustawienia!$A$16&amp;""</f>
        <v/>
      </c>
      <c r="D2231" s="63" t="n">
        <v>2</v>
      </c>
      <c r="E2231" s="63">
        <f>IF('28'!F23="","",TRIM('28'!F23&amp;""))</f>
        <v/>
      </c>
      <c r="F2231" s="63">
        <f>IF('28'!G23="","",'28'!G23)</f>
        <v/>
      </c>
      <c r="G2231" s="63">
        <f>'28'!H23&amp;""</f>
        <v/>
      </c>
      <c r="H2231" s="63">
        <f>IF(OR(A2231="",F2231=""),"",F2231&amp;"|"&amp;A2231)</f>
        <v/>
      </c>
      <c r="I2231" s="63">
        <f>IF(AND(H2231&lt;&gt;"",OR('Historia wózka'!$B$4="",F2231='Historia wózka'!$B$4),A2231&gt;='Historia wózka'!$B$5,A2231&lt;='Historia wózka'!$B$6),A2231+0.8+(5000-ROW())/10000000,0)</f>
        <v/>
      </c>
      <c r="J2231" s="63">
        <f>Ustawienia!$B$9&amp;""</f>
        <v/>
      </c>
      <c r="K2231" s="63">
        <f>IF(H2231="","",COUNTIFS('Zgłoszenia'!$B$5:$B$504,F2231,'Zgłoszenia'!$D$5:$D$504,"&gt;="&amp;A2231,'Zgłoszenia'!$D$5:$D$504,"&lt;="&amp;(A2231+1)))</f>
        <v/>
      </c>
      <c r="L2231" s="63">
        <f>IF(OR(H2231="",K2231=0),"—",IF(ISNUMBER(MATCH(H2231,'Zgłoszenia'!$S$5:$S$504,0)),RIGHT("0"&amp;DAY(A2231),2)&amp;"."&amp;RIGHT("0"&amp;MONTH(A2231),2)&amp;"."&amp;YEAR(A2231)&amp;": "&amp;INDEX('Zgłoszenia'!$H$5:$H$504,MATCH(H2231,'Zgłoszenia'!$S$5:$S$504,0)),RIGHT("0"&amp;DAY((A2231+1)),2)&amp;"."&amp;RIGHT("0"&amp;MONTH((A2231+1)),2)&amp;"."&amp;YEAR((A2231+1))&amp;": "&amp;INDEX('Zgłoszenia'!$H$5:$H$504,MATCH(F2231&amp;"|"&amp;(A2231+1),'Zgłoszenia'!$S$5:$S$504,0)))&amp;IF(K2231&gt;1," (+"&amp;(K2231-1)&amp;")",""))</f>
        <v/>
      </c>
      <c r="M2231" s="63" t="n">
        <v>28</v>
      </c>
      <c r="N2231" s="2" t="n"/>
      <c r="O2231" s="2" t="n"/>
    </row>
    <row r="2232">
      <c r="A2232" s="62">
        <f>IF('28'!$C$1="","",'28'!$C$1)</f>
        <v/>
      </c>
      <c r="B2232" s="63">
        <f>Ustawienia!$A$9&amp;""</f>
        <v/>
      </c>
      <c r="C2232" s="63">
        <f>Ustawienia!$A$16&amp;""</f>
        <v/>
      </c>
      <c r="D2232" s="63" t="n">
        <v>3</v>
      </c>
      <c r="E2232" s="63">
        <f>IF('28'!F24="","",TRIM('28'!F24&amp;""))</f>
        <v/>
      </c>
      <c r="F2232" s="63">
        <f>IF('28'!G24="","",'28'!G24)</f>
        <v/>
      </c>
      <c r="G2232" s="63">
        <f>'28'!H24&amp;""</f>
        <v/>
      </c>
      <c r="H2232" s="63">
        <f>IF(OR(A2232="",F2232=""),"",F2232&amp;"|"&amp;A2232)</f>
        <v/>
      </c>
      <c r="I2232" s="63">
        <f>IF(AND(H2232&lt;&gt;"",OR('Historia wózka'!$B$4="",F2232='Historia wózka'!$B$4),A2232&gt;='Historia wózka'!$B$5,A2232&lt;='Historia wózka'!$B$6),A2232+0.8+(5000-ROW())/10000000,0)</f>
        <v/>
      </c>
      <c r="J2232" s="63">
        <f>Ustawienia!$B$9&amp;""</f>
        <v/>
      </c>
      <c r="K2232" s="63">
        <f>IF(H2232="","",COUNTIFS('Zgłoszenia'!$B$5:$B$504,F2232,'Zgłoszenia'!$D$5:$D$504,"&gt;="&amp;A2232,'Zgłoszenia'!$D$5:$D$504,"&lt;="&amp;(A2232+1)))</f>
        <v/>
      </c>
      <c r="L2232" s="63">
        <f>IF(OR(H2232="",K2232=0),"—",IF(ISNUMBER(MATCH(H2232,'Zgłoszenia'!$S$5:$S$504,0)),RIGHT("0"&amp;DAY(A2232),2)&amp;"."&amp;RIGHT("0"&amp;MONTH(A2232),2)&amp;"."&amp;YEAR(A2232)&amp;": "&amp;INDEX('Zgłoszenia'!$H$5:$H$504,MATCH(H2232,'Zgłoszenia'!$S$5:$S$504,0)),RIGHT("0"&amp;DAY((A2232+1)),2)&amp;"."&amp;RIGHT("0"&amp;MONTH((A2232+1)),2)&amp;"."&amp;YEAR((A2232+1))&amp;": "&amp;INDEX('Zgłoszenia'!$H$5:$H$504,MATCH(F2232&amp;"|"&amp;(A2232+1),'Zgłoszenia'!$S$5:$S$504,0)))&amp;IF(K2232&gt;1," (+"&amp;(K2232-1)&amp;")",""))</f>
        <v/>
      </c>
      <c r="M2232" s="63" t="n">
        <v>28</v>
      </c>
      <c r="N2232" s="2" t="n"/>
      <c r="O2232" s="2" t="n"/>
    </row>
    <row r="2233">
      <c r="A2233" s="62">
        <f>IF('28'!$C$1="","",'28'!$C$1)</f>
        <v/>
      </c>
      <c r="B2233" s="63">
        <f>Ustawienia!$A$9&amp;""</f>
        <v/>
      </c>
      <c r="C2233" s="63">
        <f>Ustawienia!$A$16&amp;""</f>
        <v/>
      </c>
      <c r="D2233" s="63" t="n">
        <v>4</v>
      </c>
      <c r="E2233" s="63">
        <f>IF('28'!F25="","",TRIM('28'!F25&amp;""))</f>
        <v/>
      </c>
      <c r="F2233" s="63">
        <f>IF('28'!G25="","",'28'!G25)</f>
        <v/>
      </c>
      <c r="G2233" s="63">
        <f>'28'!H25&amp;""</f>
        <v/>
      </c>
      <c r="H2233" s="63">
        <f>IF(OR(A2233="",F2233=""),"",F2233&amp;"|"&amp;A2233)</f>
        <v/>
      </c>
      <c r="I2233" s="63">
        <f>IF(AND(H2233&lt;&gt;"",OR('Historia wózka'!$B$4="",F2233='Historia wózka'!$B$4),A2233&gt;='Historia wózka'!$B$5,A2233&lt;='Historia wózka'!$B$6),A2233+0.8+(5000-ROW())/10000000,0)</f>
        <v/>
      </c>
      <c r="J2233" s="63">
        <f>Ustawienia!$B$9&amp;""</f>
        <v/>
      </c>
      <c r="K2233" s="63">
        <f>IF(H2233="","",COUNTIFS('Zgłoszenia'!$B$5:$B$504,F2233,'Zgłoszenia'!$D$5:$D$504,"&gt;="&amp;A2233,'Zgłoszenia'!$D$5:$D$504,"&lt;="&amp;(A2233+1)))</f>
        <v/>
      </c>
      <c r="L2233" s="63">
        <f>IF(OR(H2233="",K2233=0),"—",IF(ISNUMBER(MATCH(H2233,'Zgłoszenia'!$S$5:$S$504,0)),RIGHT("0"&amp;DAY(A2233),2)&amp;"."&amp;RIGHT("0"&amp;MONTH(A2233),2)&amp;"."&amp;YEAR(A2233)&amp;": "&amp;INDEX('Zgłoszenia'!$H$5:$H$504,MATCH(H2233,'Zgłoszenia'!$S$5:$S$504,0)),RIGHT("0"&amp;DAY((A2233+1)),2)&amp;"."&amp;RIGHT("0"&amp;MONTH((A2233+1)),2)&amp;"."&amp;YEAR((A2233+1))&amp;": "&amp;INDEX('Zgłoszenia'!$H$5:$H$504,MATCH(F2233&amp;"|"&amp;(A2233+1),'Zgłoszenia'!$S$5:$S$504,0)))&amp;IF(K2233&gt;1," (+"&amp;(K2233-1)&amp;")",""))</f>
        <v/>
      </c>
      <c r="M2233" s="63" t="n">
        <v>28</v>
      </c>
      <c r="N2233" s="2" t="n"/>
      <c r="O2233" s="2" t="n"/>
    </row>
    <row r="2234">
      <c r="A2234" s="62">
        <f>IF('28'!$C$1="","",'28'!$C$1)</f>
        <v/>
      </c>
      <c r="B2234" s="63">
        <f>Ustawienia!$A$9&amp;""</f>
        <v/>
      </c>
      <c r="C2234" s="63">
        <f>Ustawienia!$A$17&amp;""</f>
        <v/>
      </c>
      <c r="D2234" s="63" t="n">
        <v>1</v>
      </c>
      <c r="E2234" s="63">
        <f>IF('28'!F27="","",TRIM('28'!F27&amp;""))</f>
        <v/>
      </c>
      <c r="F2234" s="63">
        <f>IF('28'!G27="","",'28'!G27)</f>
        <v/>
      </c>
      <c r="G2234" s="63">
        <f>'28'!H27&amp;""</f>
        <v/>
      </c>
      <c r="H2234" s="63">
        <f>IF(OR(A2234="",F2234=""),"",F2234&amp;"|"&amp;A2234)</f>
        <v/>
      </c>
      <c r="I2234" s="63">
        <f>IF(AND(H2234&lt;&gt;"",OR('Historia wózka'!$B$4="",F2234='Historia wózka'!$B$4),A2234&gt;='Historia wózka'!$B$5,A2234&lt;='Historia wózka'!$B$6),A2234+0.8+(5000-ROW())/10000000,0)</f>
        <v/>
      </c>
      <c r="J2234" s="63">
        <f>Ustawienia!$B$9&amp;""</f>
        <v/>
      </c>
      <c r="K2234" s="63">
        <f>IF(H2234="","",COUNTIFS('Zgłoszenia'!$B$5:$B$504,F2234,'Zgłoszenia'!$D$5:$D$504,"&gt;="&amp;A2234,'Zgłoszenia'!$D$5:$D$504,"&lt;="&amp;(A2234+1)))</f>
        <v/>
      </c>
      <c r="L2234" s="63">
        <f>IF(OR(H2234="",K2234=0),"—",IF(ISNUMBER(MATCH(H2234,'Zgłoszenia'!$S$5:$S$504,0)),RIGHT("0"&amp;DAY(A2234),2)&amp;"."&amp;RIGHT("0"&amp;MONTH(A2234),2)&amp;"."&amp;YEAR(A2234)&amp;": "&amp;INDEX('Zgłoszenia'!$H$5:$H$504,MATCH(H2234,'Zgłoszenia'!$S$5:$S$504,0)),RIGHT("0"&amp;DAY((A2234+1)),2)&amp;"."&amp;RIGHT("0"&amp;MONTH((A2234+1)),2)&amp;"."&amp;YEAR((A2234+1))&amp;": "&amp;INDEX('Zgłoszenia'!$H$5:$H$504,MATCH(F2234&amp;"|"&amp;(A2234+1),'Zgłoszenia'!$S$5:$S$504,0)))&amp;IF(K2234&gt;1," (+"&amp;(K2234-1)&amp;")",""))</f>
        <v/>
      </c>
      <c r="M2234" s="63" t="n">
        <v>28</v>
      </c>
      <c r="N2234" s="2" t="n"/>
      <c r="O2234" s="2" t="n"/>
    </row>
    <row r="2235">
      <c r="A2235" s="62">
        <f>IF('28'!$C$1="","",'28'!$C$1)</f>
        <v/>
      </c>
      <c r="B2235" s="63">
        <f>Ustawienia!$A$9&amp;""</f>
        <v/>
      </c>
      <c r="C2235" s="63">
        <f>Ustawienia!$A$17&amp;""</f>
        <v/>
      </c>
      <c r="D2235" s="63" t="n">
        <v>2</v>
      </c>
      <c r="E2235" s="63">
        <f>IF('28'!F28="","",TRIM('28'!F28&amp;""))</f>
        <v/>
      </c>
      <c r="F2235" s="63">
        <f>IF('28'!G28="","",'28'!G28)</f>
        <v/>
      </c>
      <c r="G2235" s="63">
        <f>'28'!H28&amp;""</f>
        <v/>
      </c>
      <c r="H2235" s="63">
        <f>IF(OR(A2235="",F2235=""),"",F2235&amp;"|"&amp;A2235)</f>
        <v/>
      </c>
      <c r="I2235" s="63">
        <f>IF(AND(H2235&lt;&gt;"",OR('Historia wózka'!$B$4="",F2235='Historia wózka'!$B$4),A2235&gt;='Historia wózka'!$B$5,A2235&lt;='Historia wózka'!$B$6),A2235+0.8+(5000-ROW())/10000000,0)</f>
        <v/>
      </c>
      <c r="J2235" s="63">
        <f>Ustawienia!$B$9&amp;""</f>
        <v/>
      </c>
      <c r="K2235" s="63">
        <f>IF(H2235="","",COUNTIFS('Zgłoszenia'!$B$5:$B$504,F2235,'Zgłoszenia'!$D$5:$D$504,"&gt;="&amp;A2235,'Zgłoszenia'!$D$5:$D$504,"&lt;="&amp;(A2235+1)))</f>
        <v/>
      </c>
      <c r="L2235" s="63">
        <f>IF(OR(H2235="",K2235=0),"—",IF(ISNUMBER(MATCH(H2235,'Zgłoszenia'!$S$5:$S$504,0)),RIGHT("0"&amp;DAY(A2235),2)&amp;"."&amp;RIGHT("0"&amp;MONTH(A2235),2)&amp;"."&amp;YEAR(A2235)&amp;": "&amp;INDEX('Zgłoszenia'!$H$5:$H$504,MATCH(H2235,'Zgłoszenia'!$S$5:$S$504,0)),RIGHT("0"&amp;DAY((A2235+1)),2)&amp;"."&amp;RIGHT("0"&amp;MONTH((A2235+1)),2)&amp;"."&amp;YEAR((A2235+1))&amp;": "&amp;INDEX('Zgłoszenia'!$H$5:$H$504,MATCH(F2235&amp;"|"&amp;(A2235+1),'Zgłoszenia'!$S$5:$S$504,0)))&amp;IF(K2235&gt;1," (+"&amp;(K2235-1)&amp;")",""))</f>
        <v/>
      </c>
      <c r="M2235" s="63" t="n">
        <v>28</v>
      </c>
      <c r="N2235" s="2" t="n"/>
      <c r="O2235" s="2" t="n"/>
    </row>
    <row r="2236">
      <c r="A2236" s="62">
        <f>IF('28'!$C$1="","",'28'!$C$1)</f>
        <v/>
      </c>
      <c r="B2236" s="63">
        <f>Ustawienia!$A$9&amp;""</f>
        <v/>
      </c>
      <c r="C2236" s="63">
        <f>Ustawienia!$A$17&amp;""</f>
        <v/>
      </c>
      <c r="D2236" s="63" t="n">
        <v>3</v>
      </c>
      <c r="E2236" s="63">
        <f>IF('28'!F29="","",TRIM('28'!F29&amp;""))</f>
        <v/>
      </c>
      <c r="F2236" s="63">
        <f>IF('28'!G29="","",'28'!G29)</f>
        <v/>
      </c>
      <c r="G2236" s="63">
        <f>'28'!H29&amp;""</f>
        <v/>
      </c>
      <c r="H2236" s="63">
        <f>IF(OR(A2236="",F2236=""),"",F2236&amp;"|"&amp;A2236)</f>
        <v/>
      </c>
      <c r="I2236" s="63">
        <f>IF(AND(H2236&lt;&gt;"",OR('Historia wózka'!$B$4="",F2236='Historia wózka'!$B$4),A2236&gt;='Historia wózka'!$B$5,A2236&lt;='Historia wózka'!$B$6),A2236+0.8+(5000-ROW())/10000000,0)</f>
        <v/>
      </c>
      <c r="J2236" s="63">
        <f>Ustawienia!$B$9&amp;""</f>
        <v/>
      </c>
      <c r="K2236" s="63">
        <f>IF(H2236="","",COUNTIFS('Zgłoszenia'!$B$5:$B$504,F2236,'Zgłoszenia'!$D$5:$D$504,"&gt;="&amp;A2236,'Zgłoszenia'!$D$5:$D$504,"&lt;="&amp;(A2236+1)))</f>
        <v/>
      </c>
      <c r="L2236" s="63">
        <f>IF(OR(H2236="",K2236=0),"—",IF(ISNUMBER(MATCH(H2236,'Zgłoszenia'!$S$5:$S$504,0)),RIGHT("0"&amp;DAY(A2236),2)&amp;"."&amp;RIGHT("0"&amp;MONTH(A2236),2)&amp;"."&amp;YEAR(A2236)&amp;": "&amp;INDEX('Zgłoszenia'!$H$5:$H$504,MATCH(H2236,'Zgłoszenia'!$S$5:$S$504,0)),RIGHT("0"&amp;DAY((A2236+1)),2)&amp;"."&amp;RIGHT("0"&amp;MONTH((A2236+1)),2)&amp;"."&amp;YEAR((A2236+1))&amp;": "&amp;INDEX('Zgłoszenia'!$H$5:$H$504,MATCH(F2236&amp;"|"&amp;(A2236+1),'Zgłoszenia'!$S$5:$S$504,0)))&amp;IF(K2236&gt;1," (+"&amp;(K2236-1)&amp;")",""))</f>
        <v/>
      </c>
      <c r="M2236" s="63" t="n">
        <v>28</v>
      </c>
      <c r="N2236" s="2" t="n"/>
      <c r="O2236" s="2" t="n"/>
    </row>
    <row r="2237">
      <c r="A2237" s="62">
        <f>IF('28'!$C$1="","",'28'!$C$1)</f>
        <v/>
      </c>
      <c r="B2237" s="63">
        <f>Ustawienia!$A$9&amp;""</f>
        <v/>
      </c>
      <c r="C2237" s="63">
        <f>Ustawienia!$A$17&amp;""</f>
        <v/>
      </c>
      <c r="D2237" s="63" t="n">
        <v>4</v>
      </c>
      <c r="E2237" s="63">
        <f>IF('28'!F30="","",TRIM('28'!F30&amp;""))</f>
        <v/>
      </c>
      <c r="F2237" s="63">
        <f>IF('28'!G30="","",'28'!G30)</f>
        <v/>
      </c>
      <c r="G2237" s="63">
        <f>'28'!H30&amp;""</f>
        <v/>
      </c>
      <c r="H2237" s="63">
        <f>IF(OR(A2237="",F2237=""),"",F2237&amp;"|"&amp;A2237)</f>
        <v/>
      </c>
      <c r="I2237" s="63">
        <f>IF(AND(H2237&lt;&gt;"",OR('Historia wózka'!$B$4="",F2237='Historia wózka'!$B$4),A2237&gt;='Historia wózka'!$B$5,A2237&lt;='Historia wózka'!$B$6),A2237+0.8+(5000-ROW())/10000000,0)</f>
        <v/>
      </c>
      <c r="J2237" s="63">
        <f>Ustawienia!$B$9&amp;""</f>
        <v/>
      </c>
      <c r="K2237" s="63">
        <f>IF(H2237="","",COUNTIFS('Zgłoszenia'!$B$5:$B$504,F2237,'Zgłoszenia'!$D$5:$D$504,"&gt;="&amp;A2237,'Zgłoszenia'!$D$5:$D$504,"&lt;="&amp;(A2237+1)))</f>
        <v/>
      </c>
      <c r="L2237" s="63">
        <f>IF(OR(H2237="",K2237=0),"—",IF(ISNUMBER(MATCH(H2237,'Zgłoszenia'!$S$5:$S$504,0)),RIGHT("0"&amp;DAY(A2237),2)&amp;"."&amp;RIGHT("0"&amp;MONTH(A2237),2)&amp;"."&amp;YEAR(A2237)&amp;": "&amp;INDEX('Zgłoszenia'!$H$5:$H$504,MATCH(H2237,'Zgłoszenia'!$S$5:$S$504,0)),RIGHT("0"&amp;DAY((A2237+1)),2)&amp;"."&amp;RIGHT("0"&amp;MONTH((A2237+1)),2)&amp;"."&amp;YEAR((A2237+1))&amp;": "&amp;INDEX('Zgłoszenia'!$H$5:$H$504,MATCH(F2237&amp;"|"&amp;(A2237+1),'Zgłoszenia'!$S$5:$S$504,0)))&amp;IF(K2237&gt;1," (+"&amp;(K2237-1)&amp;")",""))</f>
        <v/>
      </c>
      <c r="M2237" s="63" t="n">
        <v>28</v>
      </c>
      <c r="N2237" s="2" t="n"/>
      <c r="O2237" s="2" t="n"/>
    </row>
    <row r="2238">
      <c r="A2238" s="62">
        <f>IF('28'!$C$1="","",'28'!$C$1)</f>
        <v/>
      </c>
      <c r="B2238" s="63">
        <f>Ustawienia!$A$9&amp;""</f>
        <v/>
      </c>
      <c r="C2238" s="63">
        <f>Ustawienia!$A$18&amp;""</f>
        <v/>
      </c>
      <c r="D2238" s="63" t="n">
        <v>1</v>
      </c>
      <c r="E2238" s="63">
        <f>IF('28'!F32="","",TRIM('28'!F32&amp;""))</f>
        <v/>
      </c>
      <c r="F2238" s="63">
        <f>IF('28'!G32="","",'28'!G32)</f>
        <v/>
      </c>
      <c r="G2238" s="63">
        <f>'28'!H32&amp;""</f>
        <v/>
      </c>
      <c r="H2238" s="63">
        <f>IF(OR(A2238="",F2238=""),"",F2238&amp;"|"&amp;A2238)</f>
        <v/>
      </c>
      <c r="I2238" s="63">
        <f>IF(AND(H2238&lt;&gt;"",OR('Historia wózka'!$B$4="",F2238='Historia wózka'!$B$4),A2238&gt;='Historia wózka'!$B$5,A2238&lt;='Historia wózka'!$B$6),A2238+0.8+(5000-ROW())/10000000,0)</f>
        <v/>
      </c>
      <c r="J2238" s="63">
        <f>Ustawienia!$B$9&amp;""</f>
        <v/>
      </c>
      <c r="K2238" s="63">
        <f>IF(H2238="","",COUNTIFS('Zgłoszenia'!$B$5:$B$504,F2238,'Zgłoszenia'!$D$5:$D$504,"&gt;="&amp;A2238,'Zgłoszenia'!$D$5:$D$504,"&lt;="&amp;(A2238+1)))</f>
        <v/>
      </c>
      <c r="L2238" s="63">
        <f>IF(OR(H2238="",K2238=0),"—",IF(ISNUMBER(MATCH(H2238,'Zgłoszenia'!$S$5:$S$504,0)),RIGHT("0"&amp;DAY(A2238),2)&amp;"."&amp;RIGHT("0"&amp;MONTH(A2238),2)&amp;"."&amp;YEAR(A2238)&amp;": "&amp;INDEX('Zgłoszenia'!$H$5:$H$504,MATCH(H2238,'Zgłoszenia'!$S$5:$S$504,0)),RIGHT("0"&amp;DAY((A2238+1)),2)&amp;"."&amp;RIGHT("0"&amp;MONTH((A2238+1)),2)&amp;"."&amp;YEAR((A2238+1))&amp;": "&amp;INDEX('Zgłoszenia'!$H$5:$H$504,MATCH(F2238&amp;"|"&amp;(A2238+1),'Zgłoszenia'!$S$5:$S$504,0)))&amp;IF(K2238&gt;1," (+"&amp;(K2238-1)&amp;")",""))</f>
        <v/>
      </c>
      <c r="M2238" s="63" t="n">
        <v>28</v>
      </c>
      <c r="N2238" s="2" t="n"/>
      <c r="O2238" s="2" t="n"/>
    </row>
    <row r="2239">
      <c r="A2239" s="62">
        <f>IF('28'!$C$1="","",'28'!$C$1)</f>
        <v/>
      </c>
      <c r="B2239" s="63">
        <f>Ustawienia!$A$9&amp;""</f>
        <v/>
      </c>
      <c r="C2239" s="63">
        <f>Ustawienia!$A$18&amp;""</f>
        <v/>
      </c>
      <c r="D2239" s="63" t="n">
        <v>2</v>
      </c>
      <c r="E2239" s="63">
        <f>IF('28'!F33="","",TRIM('28'!F33&amp;""))</f>
        <v/>
      </c>
      <c r="F2239" s="63">
        <f>IF('28'!G33="","",'28'!G33)</f>
        <v/>
      </c>
      <c r="G2239" s="63">
        <f>'28'!H33&amp;""</f>
        <v/>
      </c>
      <c r="H2239" s="63">
        <f>IF(OR(A2239="",F2239=""),"",F2239&amp;"|"&amp;A2239)</f>
        <v/>
      </c>
      <c r="I2239" s="63">
        <f>IF(AND(H2239&lt;&gt;"",OR('Historia wózka'!$B$4="",F2239='Historia wózka'!$B$4),A2239&gt;='Historia wózka'!$B$5,A2239&lt;='Historia wózka'!$B$6),A2239+0.8+(5000-ROW())/10000000,0)</f>
        <v/>
      </c>
      <c r="J2239" s="63">
        <f>Ustawienia!$B$9&amp;""</f>
        <v/>
      </c>
      <c r="K2239" s="63">
        <f>IF(H2239="","",COUNTIFS('Zgłoszenia'!$B$5:$B$504,F2239,'Zgłoszenia'!$D$5:$D$504,"&gt;="&amp;A2239,'Zgłoszenia'!$D$5:$D$504,"&lt;="&amp;(A2239+1)))</f>
        <v/>
      </c>
      <c r="L2239" s="63">
        <f>IF(OR(H2239="",K2239=0),"—",IF(ISNUMBER(MATCH(H2239,'Zgłoszenia'!$S$5:$S$504,0)),RIGHT("0"&amp;DAY(A2239),2)&amp;"."&amp;RIGHT("0"&amp;MONTH(A2239),2)&amp;"."&amp;YEAR(A2239)&amp;": "&amp;INDEX('Zgłoszenia'!$H$5:$H$504,MATCH(H2239,'Zgłoszenia'!$S$5:$S$504,0)),RIGHT("0"&amp;DAY((A2239+1)),2)&amp;"."&amp;RIGHT("0"&amp;MONTH((A2239+1)),2)&amp;"."&amp;YEAR((A2239+1))&amp;": "&amp;INDEX('Zgłoszenia'!$H$5:$H$504,MATCH(F2239&amp;"|"&amp;(A2239+1),'Zgłoszenia'!$S$5:$S$504,0)))&amp;IF(K2239&gt;1," (+"&amp;(K2239-1)&amp;")",""))</f>
        <v/>
      </c>
      <c r="M2239" s="63" t="n">
        <v>28</v>
      </c>
      <c r="N2239" s="2" t="n"/>
      <c r="O2239" s="2" t="n"/>
    </row>
    <row r="2240">
      <c r="A2240" s="62">
        <f>IF('28'!$C$1="","",'28'!$C$1)</f>
        <v/>
      </c>
      <c r="B2240" s="63">
        <f>Ustawienia!$A$9&amp;""</f>
        <v/>
      </c>
      <c r="C2240" s="63">
        <f>Ustawienia!$A$18&amp;""</f>
        <v/>
      </c>
      <c r="D2240" s="63" t="n">
        <v>3</v>
      </c>
      <c r="E2240" s="63">
        <f>IF('28'!F34="","",TRIM('28'!F34&amp;""))</f>
        <v/>
      </c>
      <c r="F2240" s="63">
        <f>IF('28'!G34="","",'28'!G34)</f>
        <v/>
      </c>
      <c r="G2240" s="63">
        <f>'28'!H34&amp;""</f>
        <v/>
      </c>
      <c r="H2240" s="63">
        <f>IF(OR(A2240="",F2240=""),"",F2240&amp;"|"&amp;A2240)</f>
        <v/>
      </c>
      <c r="I2240" s="63">
        <f>IF(AND(H2240&lt;&gt;"",OR('Historia wózka'!$B$4="",F2240='Historia wózka'!$B$4),A2240&gt;='Historia wózka'!$B$5,A2240&lt;='Historia wózka'!$B$6),A2240+0.8+(5000-ROW())/10000000,0)</f>
        <v/>
      </c>
      <c r="J2240" s="63">
        <f>Ustawienia!$B$9&amp;""</f>
        <v/>
      </c>
      <c r="K2240" s="63">
        <f>IF(H2240="","",COUNTIFS('Zgłoszenia'!$B$5:$B$504,F2240,'Zgłoszenia'!$D$5:$D$504,"&gt;="&amp;A2240,'Zgłoszenia'!$D$5:$D$504,"&lt;="&amp;(A2240+1)))</f>
        <v/>
      </c>
      <c r="L2240" s="63">
        <f>IF(OR(H2240="",K2240=0),"—",IF(ISNUMBER(MATCH(H2240,'Zgłoszenia'!$S$5:$S$504,0)),RIGHT("0"&amp;DAY(A2240),2)&amp;"."&amp;RIGHT("0"&amp;MONTH(A2240),2)&amp;"."&amp;YEAR(A2240)&amp;": "&amp;INDEX('Zgłoszenia'!$H$5:$H$504,MATCH(H2240,'Zgłoszenia'!$S$5:$S$504,0)),RIGHT("0"&amp;DAY((A2240+1)),2)&amp;"."&amp;RIGHT("0"&amp;MONTH((A2240+1)),2)&amp;"."&amp;YEAR((A2240+1))&amp;": "&amp;INDEX('Zgłoszenia'!$H$5:$H$504,MATCH(F2240&amp;"|"&amp;(A2240+1),'Zgłoszenia'!$S$5:$S$504,0)))&amp;IF(K2240&gt;1," (+"&amp;(K2240-1)&amp;")",""))</f>
        <v/>
      </c>
      <c r="M2240" s="63" t="n">
        <v>28</v>
      </c>
      <c r="N2240" s="2" t="n"/>
      <c r="O2240" s="2" t="n"/>
    </row>
    <row r="2241">
      <c r="A2241" s="62">
        <f>IF('28'!$C$1="","",'28'!$C$1)</f>
        <v/>
      </c>
      <c r="B2241" s="63">
        <f>Ustawienia!$A$9&amp;""</f>
        <v/>
      </c>
      <c r="C2241" s="63">
        <f>Ustawienia!$A$18&amp;""</f>
        <v/>
      </c>
      <c r="D2241" s="63" t="n">
        <v>4</v>
      </c>
      <c r="E2241" s="63">
        <f>IF('28'!F35="","",TRIM('28'!F35&amp;""))</f>
        <v/>
      </c>
      <c r="F2241" s="63">
        <f>IF('28'!G35="","",'28'!G35)</f>
        <v/>
      </c>
      <c r="G2241" s="63">
        <f>'28'!H35&amp;""</f>
        <v/>
      </c>
      <c r="H2241" s="63">
        <f>IF(OR(A2241="",F2241=""),"",F2241&amp;"|"&amp;A2241)</f>
        <v/>
      </c>
      <c r="I2241" s="63">
        <f>IF(AND(H2241&lt;&gt;"",OR('Historia wózka'!$B$4="",F2241='Historia wózka'!$B$4),A2241&gt;='Historia wózka'!$B$5,A2241&lt;='Historia wózka'!$B$6),A2241+0.8+(5000-ROW())/10000000,0)</f>
        <v/>
      </c>
      <c r="J2241" s="63">
        <f>Ustawienia!$B$9&amp;""</f>
        <v/>
      </c>
      <c r="K2241" s="63">
        <f>IF(H2241="","",COUNTIFS('Zgłoszenia'!$B$5:$B$504,F2241,'Zgłoszenia'!$D$5:$D$504,"&gt;="&amp;A2241,'Zgłoszenia'!$D$5:$D$504,"&lt;="&amp;(A2241+1)))</f>
        <v/>
      </c>
      <c r="L2241" s="63">
        <f>IF(OR(H2241="",K2241=0),"—",IF(ISNUMBER(MATCH(H2241,'Zgłoszenia'!$S$5:$S$504,0)),RIGHT("0"&amp;DAY(A2241),2)&amp;"."&amp;RIGHT("0"&amp;MONTH(A2241),2)&amp;"."&amp;YEAR(A2241)&amp;": "&amp;INDEX('Zgłoszenia'!$H$5:$H$504,MATCH(H2241,'Zgłoszenia'!$S$5:$S$504,0)),RIGHT("0"&amp;DAY((A2241+1)),2)&amp;"."&amp;RIGHT("0"&amp;MONTH((A2241+1)),2)&amp;"."&amp;YEAR((A2241+1))&amp;": "&amp;INDEX('Zgłoszenia'!$H$5:$H$504,MATCH(F2241&amp;"|"&amp;(A2241+1),'Zgłoszenia'!$S$5:$S$504,0)))&amp;IF(K2241&gt;1," (+"&amp;(K2241-1)&amp;")",""))</f>
        <v/>
      </c>
      <c r="M2241" s="63" t="n">
        <v>28</v>
      </c>
      <c r="N2241" s="2" t="n"/>
      <c r="O2241" s="2" t="n"/>
    </row>
    <row r="2242">
      <c r="A2242" s="62">
        <f>IF('28'!$C$1="","",'28'!$C$1)</f>
        <v/>
      </c>
      <c r="B2242" s="63">
        <f>Ustawienia!$A$9&amp;""</f>
        <v/>
      </c>
      <c r="C2242" s="63">
        <f>Ustawienia!$A$18&amp;""</f>
        <v/>
      </c>
      <c r="D2242" s="63" t="n">
        <v>5</v>
      </c>
      <c r="E2242" s="63">
        <f>IF('28'!F36="","",TRIM('28'!F36&amp;""))</f>
        <v/>
      </c>
      <c r="F2242" s="63">
        <f>IF('28'!G36="","",'28'!G36)</f>
        <v/>
      </c>
      <c r="G2242" s="63">
        <f>'28'!H36&amp;""</f>
        <v/>
      </c>
      <c r="H2242" s="63">
        <f>IF(OR(A2242="",F2242=""),"",F2242&amp;"|"&amp;A2242)</f>
        <v/>
      </c>
      <c r="I2242" s="63">
        <f>IF(AND(H2242&lt;&gt;"",OR('Historia wózka'!$B$4="",F2242='Historia wózka'!$B$4),A2242&gt;='Historia wózka'!$B$5,A2242&lt;='Historia wózka'!$B$6),A2242+0.8+(5000-ROW())/10000000,0)</f>
        <v/>
      </c>
      <c r="J2242" s="63">
        <f>Ustawienia!$B$9&amp;""</f>
        <v/>
      </c>
      <c r="K2242" s="63">
        <f>IF(H2242="","",COUNTIFS('Zgłoszenia'!$B$5:$B$504,F2242,'Zgłoszenia'!$D$5:$D$504,"&gt;="&amp;A2242,'Zgłoszenia'!$D$5:$D$504,"&lt;="&amp;(A2242+1)))</f>
        <v/>
      </c>
      <c r="L2242" s="63">
        <f>IF(OR(H2242="",K2242=0),"—",IF(ISNUMBER(MATCH(H2242,'Zgłoszenia'!$S$5:$S$504,0)),RIGHT("0"&amp;DAY(A2242),2)&amp;"."&amp;RIGHT("0"&amp;MONTH(A2242),2)&amp;"."&amp;YEAR(A2242)&amp;": "&amp;INDEX('Zgłoszenia'!$H$5:$H$504,MATCH(H2242,'Zgłoszenia'!$S$5:$S$504,0)),RIGHT("0"&amp;DAY((A2242+1)),2)&amp;"."&amp;RIGHT("0"&amp;MONTH((A2242+1)),2)&amp;"."&amp;YEAR((A2242+1))&amp;": "&amp;INDEX('Zgłoszenia'!$H$5:$H$504,MATCH(F2242&amp;"|"&amp;(A2242+1),'Zgłoszenia'!$S$5:$S$504,0)))&amp;IF(K2242&gt;1," (+"&amp;(K2242-1)&amp;")",""))</f>
        <v/>
      </c>
      <c r="M2242" s="63" t="n">
        <v>28</v>
      </c>
      <c r="N2242" s="2" t="n"/>
      <c r="O2242" s="2" t="n"/>
    </row>
    <row r="2243">
      <c r="A2243" s="62">
        <f>IF('28'!$C$1="","",'28'!$C$1)</f>
        <v/>
      </c>
      <c r="B2243" s="63">
        <f>Ustawienia!$A$10&amp;""</f>
        <v/>
      </c>
      <c r="C2243" s="63">
        <f>Ustawienia!$A$14&amp;""</f>
        <v/>
      </c>
      <c r="D2243" s="63" t="n">
        <v>1</v>
      </c>
      <c r="E2243" s="63">
        <f>IF('28'!J6="","",TRIM('28'!J6&amp;""))</f>
        <v/>
      </c>
      <c r="F2243" s="63">
        <f>IF('28'!K6="","",'28'!K6)</f>
        <v/>
      </c>
      <c r="G2243" s="63">
        <f>'28'!L6&amp;""</f>
        <v/>
      </c>
      <c r="H2243" s="63">
        <f>IF(OR(A2243="",F2243=""),"",F2243&amp;"|"&amp;A2243)</f>
        <v/>
      </c>
      <c r="I2243" s="63">
        <f>IF(AND(H2243&lt;&gt;"",OR('Historia wózka'!$B$4="",F2243='Historia wózka'!$B$4),A2243&gt;='Historia wózka'!$B$5,A2243&lt;='Historia wózka'!$B$6),A2243+0.7+(5000-ROW())/10000000,0)</f>
        <v/>
      </c>
      <c r="J2243" s="63">
        <f>Ustawienia!$B$10&amp;""</f>
        <v/>
      </c>
      <c r="K2243" s="63">
        <f>IF(H2243="","",COUNTIFS('Zgłoszenia'!$B$5:$B$504,F2243,'Zgłoszenia'!$D$5:$D$504,"&gt;="&amp;A2243,'Zgłoszenia'!$D$5:$D$504,"&lt;="&amp;(A2243+1)))</f>
        <v/>
      </c>
      <c r="L2243" s="63">
        <f>IF(OR(H2243="",K2243=0),"—",IF(ISNUMBER(MATCH(H2243,'Zgłoszenia'!$S$5:$S$504,0)),RIGHT("0"&amp;DAY(A2243),2)&amp;"."&amp;RIGHT("0"&amp;MONTH(A2243),2)&amp;"."&amp;YEAR(A2243)&amp;": "&amp;INDEX('Zgłoszenia'!$H$5:$H$504,MATCH(H2243,'Zgłoszenia'!$S$5:$S$504,0)),RIGHT("0"&amp;DAY((A2243+1)),2)&amp;"."&amp;RIGHT("0"&amp;MONTH((A2243+1)),2)&amp;"."&amp;YEAR((A2243+1))&amp;": "&amp;INDEX('Zgłoszenia'!$H$5:$H$504,MATCH(F2243&amp;"|"&amp;(A2243+1),'Zgłoszenia'!$S$5:$S$504,0)))&amp;IF(K2243&gt;1," (+"&amp;(K2243-1)&amp;")",""))</f>
        <v/>
      </c>
      <c r="M2243" s="63" t="n">
        <v>28</v>
      </c>
      <c r="N2243" s="2" t="n"/>
      <c r="O2243" s="2" t="n"/>
    </row>
    <row r="2244">
      <c r="A2244" s="62">
        <f>IF('28'!$C$1="","",'28'!$C$1)</f>
        <v/>
      </c>
      <c r="B2244" s="63">
        <f>Ustawienia!$A$10&amp;""</f>
        <v/>
      </c>
      <c r="C2244" s="63">
        <f>Ustawienia!$A$14&amp;""</f>
        <v/>
      </c>
      <c r="D2244" s="63" t="n">
        <v>2</v>
      </c>
      <c r="E2244" s="63">
        <f>IF('28'!J7="","",TRIM('28'!J7&amp;""))</f>
        <v/>
      </c>
      <c r="F2244" s="63">
        <f>IF('28'!K7="","",'28'!K7)</f>
        <v/>
      </c>
      <c r="G2244" s="63">
        <f>'28'!L7&amp;""</f>
        <v/>
      </c>
      <c r="H2244" s="63">
        <f>IF(OR(A2244="",F2244=""),"",F2244&amp;"|"&amp;A2244)</f>
        <v/>
      </c>
      <c r="I2244" s="63">
        <f>IF(AND(H2244&lt;&gt;"",OR('Historia wózka'!$B$4="",F2244='Historia wózka'!$B$4),A2244&gt;='Historia wózka'!$B$5,A2244&lt;='Historia wózka'!$B$6),A2244+0.7+(5000-ROW())/10000000,0)</f>
        <v/>
      </c>
      <c r="J2244" s="63">
        <f>Ustawienia!$B$10&amp;""</f>
        <v/>
      </c>
      <c r="K2244" s="63">
        <f>IF(H2244="","",COUNTIFS('Zgłoszenia'!$B$5:$B$504,F2244,'Zgłoszenia'!$D$5:$D$504,"&gt;="&amp;A2244,'Zgłoszenia'!$D$5:$D$504,"&lt;="&amp;(A2244+1)))</f>
        <v/>
      </c>
      <c r="L2244" s="63">
        <f>IF(OR(H2244="",K2244=0),"—",IF(ISNUMBER(MATCH(H2244,'Zgłoszenia'!$S$5:$S$504,0)),RIGHT("0"&amp;DAY(A2244),2)&amp;"."&amp;RIGHT("0"&amp;MONTH(A2244),2)&amp;"."&amp;YEAR(A2244)&amp;": "&amp;INDEX('Zgłoszenia'!$H$5:$H$504,MATCH(H2244,'Zgłoszenia'!$S$5:$S$504,0)),RIGHT("0"&amp;DAY((A2244+1)),2)&amp;"."&amp;RIGHT("0"&amp;MONTH((A2244+1)),2)&amp;"."&amp;YEAR((A2244+1))&amp;": "&amp;INDEX('Zgłoszenia'!$H$5:$H$504,MATCH(F2244&amp;"|"&amp;(A2244+1),'Zgłoszenia'!$S$5:$S$504,0)))&amp;IF(K2244&gt;1," (+"&amp;(K2244-1)&amp;")",""))</f>
        <v/>
      </c>
      <c r="M2244" s="63" t="n">
        <v>28</v>
      </c>
      <c r="N2244" s="2" t="n"/>
      <c r="O2244" s="2" t="n"/>
    </row>
    <row r="2245">
      <c r="A2245" s="62">
        <f>IF('28'!$C$1="","",'28'!$C$1)</f>
        <v/>
      </c>
      <c r="B2245" s="63">
        <f>Ustawienia!$A$10&amp;""</f>
        <v/>
      </c>
      <c r="C2245" s="63">
        <f>Ustawienia!$A$14&amp;""</f>
        <v/>
      </c>
      <c r="D2245" s="63" t="n">
        <v>3</v>
      </c>
      <c r="E2245" s="63">
        <f>IF('28'!J8="","",TRIM('28'!J8&amp;""))</f>
        <v/>
      </c>
      <c r="F2245" s="63">
        <f>IF('28'!K8="","",'28'!K8)</f>
        <v/>
      </c>
      <c r="G2245" s="63">
        <f>'28'!L8&amp;""</f>
        <v/>
      </c>
      <c r="H2245" s="63">
        <f>IF(OR(A2245="",F2245=""),"",F2245&amp;"|"&amp;A2245)</f>
        <v/>
      </c>
      <c r="I2245" s="63">
        <f>IF(AND(H2245&lt;&gt;"",OR('Historia wózka'!$B$4="",F2245='Historia wózka'!$B$4),A2245&gt;='Historia wózka'!$B$5,A2245&lt;='Historia wózka'!$B$6),A2245+0.7+(5000-ROW())/10000000,0)</f>
        <v/>
      </c>
      <c r="J2245" s="63">
        <f>Ustawienia!$B$10&amp;""</f>
        <v/>
      </c>
      <c r="K2245" s="63">
        <f>IF(H2245="","",COUNTIFS('Zgłoszenia'!$B$5:$B$504,F2245,'Zgłoszenia'!$D$5:$D$504,"&gt;="&amp;A2245,'Zgłoszenia'!$D$5:$D$504,"&lt;="&amp;(A2245+1)))</f>
        <v/>
      </c>
      <c r="L2245" s="63">
        <f>IF(OR(H2245="",K2245=0),"—",IF(ISNUMBER(MATCH(H2245,'Zgłoszenia'!$S$5:$S$504,0)),RIGHT("0"&amp;DAY(A2245),2)&amp;"."&amp;RIGHT("0"&amp;MONTH(A2245),2)&amp;"."&amp;YEAR(A2245)&amp;": "&amp;INDEX('Zgłoszenia'!$H$5:$H$504,MATCH(H2245,'Zgłoszenia'!$S$5:$S$504,0)),RIGHT("0"&amp;DAY((A2245+1)),2)&amp;"."&amp;RIGHT("0"&amp;MONTH((A2245+1)),2)&amp;"."&amp;YEAR((A2245+1))&amp;": "&amp;INDEX('Zgłoszenia'!$H$5:$H$504,MATCH(F2245&amp;"|"&amp;(A2245+1),'Zgłoszenia'!$S$5:$S$504,0)))&amp;IF(K2245&gt;1," (+"&amp;(K2245-1)&amp;")",""))</f>
        <v/>
      </c>
      <c r="M2245" s="63" t="n">
        <v>28</v>
      </c>
      <c r="N2245" s="2" t="n"/>
      <c r="O2245" s="2" t="n"/>
    </row>
    <row r="2246">
      <c r="A2246" s="62">
        <f>IF('28'!$C$1="","",'28'!$C$1)</f>
        <v/>
      </c>
      <c r="B2246" s="63">
        <f>Ustawienia!$A$10&amp;""</f>
        <v/>
      </c>
      <c r="C2246" s="63">
        <f>Ustawienia!$A$14&amp;""</f>
        <v/>
      </c>
      <c r="D2246" s="63" t="n">
        <v>4</v>
      </c>
      <c r="E2246" s="63">
        <f>IF('28'!J9="","",TRIM('28'!J9&amp;""))</f>
        <v/>
      </c>
      <c r="F2246" s="63">
        <f>IF('28'!K9="","",'28'!K9)</f>
        <v/>
      </c>
      <c r="G2246" s="63">
        <f>'28'!L9&amp;""</f>
        <v/>
      </c>
      <c r="H2246" s="63">
        <f>IF(OR(A2246="",F2246=""),"",F2246&amp;"|"&amp;A2246)</f>
        <v/>
      </c>
      <c r="I2246" s="63">
        <f>IF(AND(H2246&lt;&gt;"",OR('Historia wózka'!$B$4="",F2246='Historia wózka'!$B$4),A2246&gt;='Historia wózka'!$B$5,A2246&lt;='Historia wózka'!$B$6),A2246+0.7+(5000-ROW())/10000000,0)</f>
        <v/>
      </c>
      <c r="J2246" s="63">
        <f>Ustawienia!$B$10&amp;""</f>
        <v/>
      </c>
      <c r="K2246" s="63">
        <f>IF(H2246="","",COUNTIFS('Zgłoszenia'!$B$5:$B$504,F2246,'Zgłoszenia'!$D$5:$D$504,"&gt;="&amp;A2246,'Zgłoszenia'!$D$5:$D$504,"&lt;="&amp;(A2246+1)))</f>
        <v/>
      </c>
      <c r="L2246" s="63">
        <f>IF(OR(H2246="",K2246=0),"—",IF(ISNUMBER(MATCH(H2246,'Zgłoszenia'!$S$5:$S$504,0)),RIGHT("0"&amp;DAY(A2246),2)&amp;"."&amp;RIGHT("0"&amp;MONTH(A2246),2)&amp;"."&amp;YEAR(A2246)&amp;": "&amp;INDEX('Zgłoszenia'!$H$5:$H$504,MATCH(H2246,'Zgłoszenia'!$S$5:$S$504,0)),RIGHT("0"&amp;DAY((A2246+1)),2)&amp;"."&amp;RIGHT("0"&amp;MONTH((A2246+1)),2)&amp;"."&amp;YEAR((A2246+1))&amp;": "&amp;INDEX('Zgłoszenia'!$H$5:$H$504,MATCH(F2246&amp;"|"&amp;(A2246+1),'Zgłoszenia'!$S$5:$S$504,0)))&amp;IF(K2246&gt;1," (+"&amp;(K2246-1)&amp;")",""))</f>
        <v/>
      </c>
      <c r="M2246" s="63" t="n">
        <v>28</v>
      </c>
      <c r="N2246" s="2" t="n"/>
      <c r="O2246" s="2" t="n"/>
    </row>
    <row r="2247">
      <c r="A2247" s="62">
        <f>IF('28'!$C$1="","",'28'!$C$1)</f>
        <v/>
      </c>
      <c r="B2247" s="63">
        <f>Ustawienia!$A$10&amp;""</f>
        <v/>
      </c>
      <c r="C2247" s="63">
        <f>Ustawienia!$A$14&amp;""</f>
        <v/>
      </c>
      <c r="D2247" s="63" t="n">
        <v>5</v>
      </c>
      <c r="E2247" s="63">
        <f>IF('28'!J10="","",TRIM('28'!J10&amp;""))</f>
        <v/>
      </c>
      <c r="F2247" s="63">
        <f>IF('28'!K10="","",'28'!K10)</f>
        <v/>
      </c>
      <c r="G2247" s="63">
        <f>'28'!L10&amp;""</f>
        <v/>
      </c>
      <c r="H2247" s="63">
        <f>IF(OR(A2247="",F2247=""),"",F2247&amp;"|"&amp;A2247)</f>
        <v/>
      </c>
      <c r="I2247" s="63">
        <f>IF(AND(H2247&lt;&gt;"",OR('Historia wózka'!$B$4="",F2247='Historia wózka'!$B$4),A2247&gt;='Historia wózka'!$B$5,A2247&lt;='Historia wózka'!$B$6),A2247+0.7+(5000-ROW())/10000000,0)</f>
        <v/>
      </c>
      <c r="J2247" s="63">
        <f>Ustawienia!$B$10&amp;""</f>
        <v/>
      </c>
      <c r="K2247" s="63">
        <f>IF(H2247="","",COUNTIFS('Zgłoszenia'!$B$5:$B$504,F2247,'Zgłoszenia'!$D$5:$D$504,"&gt;="&amp;A2247,'Zgłoszenia'!$D$5:$D$504,"&lt;="&amp;(A2247+1)))</f>
        <v/>
      </c>
      <c r="L2247" s="63">
        <f>IF(OR(H2247="",K2247=0),"—",IF(ISNUMBER(MATCH(H2247,'Zgłoszenia'!$S$5:$S$504,0)),RIGHT("0"&amp;DAY(A2247),2)&amp;"."&amp;RIGHT("0"&amp;MONTH(A2247),2)&amp;"."&amp;YEAR(A2247)&amp;": "&amp;INDEX('Zgłoszenia'!$H$5:$H$504,MATCH(H2247,'Zgłoszenia'!$S$5:$S$504,0)),RIGHT("0"&amp;DAY((A2247+1)),2)&amp;"."&amp;RIGHT("0"&amp;MONTH((A2247+1)),2)&amp;"."&amp;YEAR((A2247+1))&amp;": "&amp;INDEX('Zgłoszenia'!$H$5:$H$504,MATCH(F2247&amp;"|"&amp;(A2247+1),'Zgłoszenia'!$S$5:$S$504,0)))&amp;IF(K2247&gt;1," (+"&amp;(K2247-1)&amp;")",""))</f>
        <v/>
      </c>
      <c r="M2247" s="63" t="n">
        <v>28</v>
      </c>
      <c r="N2247" s="2" t="n"/>
      <c r="O2247" s="2" t="n"/>
    </row>
    <row r="2248">
      <c r="A2248" s="62">
        <f>IF('28'!$C$1="","",'28'!$C$1)</f>
        <v/>
      </c>
      <c r="B2248" s="63">
        <f>Ustawienia!$A$10&amp;""</f>
        <v/>
      </c>
      <c r="C2248" s="63">
        <f>Ustawienia!$A$14&amp;""</f>
        <v/>
      </c>
      <c r="D2248" s="63" t="n">
        <v>6</v>
      </c>
      <c r="E2248" s="63">
        <f>IF('28'!J11="","",TRIM('28'!J11&amp;""))</f>
        <v/>
      </c>
      <c r="F2248" s="63">
        <f>IF('28'!K11="","",'28'!K11)</f>
        <v/>
      </c>
      <c r="G2248" s="63">
        <f>'28'!L11&amp;""</f>
        <v/>
      </c>
      <c r="H2248" s="63">
        <f>IF(OR(A2248="",F2248=""),"",F2248&amp;"|"&amp;A2248)</f>
        <v/>
      </c>
      <c r="I2248" s="63">
        <f>IF(AND(H2248&lt;&gt;"",OR('Historia wózka'!$B$4="",F2248='Historia wózka'!$B$4),A2248&gt;='Historia wózka'!$B$5,A2248&lt;='Historia wózka'!$B$6),A2248+0.7+(5000-ROW())/10000000,0)</f>
        <v/>
      </c>
      <c r="J2248" s="63">
        <f>Ustawienia!$B$10&amp;""</f>
        <v/>
      </c>
      <c r="K2248" s="63">
        <f>IF(H2248="","",COUNTIFS('Zgłoszenia'!$B$5:$B$504,F2248,'Zgłoszenia'!$D$5:$D$504,"&gt;="&amp;A2248,'Zgłoszenia'!$D$5:$D$504,"&lt;="&amp;(A2248+1)))</f>
        <v/>
      </c>
      <c r="L2248" s="63">
        <f>IF(OR(H2248="",K2248=0),"—",IF(ISNUMBER(MATCH(H2248,'Zgłoszenia'!$S$5:$S$504,0)),RIGHT("0"&amp;DAY(A2248),2)&amp;"."&amp;RIGHT("0"&amp;MONTH(A2248),2)&amp;"."&amp;YEAR(A2248)&amp;": "&amp;INDEX('Zgłoszenia'!$H$5:$H$504,MATCH(H2248,'Zgłoszenia'!$S$5:$S$504,0)),RIGHT("0"&amp;DAY((A2248+1)),2)&amp;"."&amp;RIGHT("0"&amp;MONTH((A2248+1)),2)&amp;"."&amp;YEAR((A2248+1))&amp;": "&amp;INDEX('Zgłoszenia'!$H$5:$H$504,MATCH(F2248&amp;"|"&amp;(A2248+1),'Zgłoszenia'!$S$5:$S$504,0)))&amp;IF(K2248&gt;1," (+"&amp;(K2248-1)&amp;")",""))</f>
        <v/>
      </c>
      <c r="M2248" s="63" t="n">
        <v>28</v>
      </c>
      <c r="N2248" s="2" t="n"/>
      <c r="O2248" s="2" t="n"/>
    </row>
    <row r="2249">
      <c r="A2249" s="62">
        <f>IF('28'!$C$1="","",'28'!$C$1)</f>
        <v/>
      </c>
      <c r="B2249" s="63">
        <f>Ustawienia!$A$10&amp;""</f>
        <v/>
      </c>
      <c r="C2249" s="63">
        <f>Ustawienia!$A$15&amp;""</f>
        <v/>
      </c>
      <c r="D2249" s="63" t="n">
        <v>1</v>
      </c>
      <c r="E2249" s="63">
        <f>IF('28'!J13="","",TRIM('28'!J13&amp;""))</f>
        <v/>
      </c>
      <c r="F2249" s="63">
        <f>IF('28'!K13="","",'28'!K13)</f>
        <v/>
      </c>
      <c r="G2249" s="63">
        <f>'28'!L13&amp;""</f>
        <v/>
      </c>
      <c r="H2249" s="63">
        <f>IF(OR(A2249="",F2249=""),"",F2249&amp;"|"&amp;A2249)</f>
        <v/>
      </c>
      <c r="I2249" s="63">
        <f>IF(AND(H2249&lt;&gt;"",OR('Historia wózka'!$B$4="",F2249='Historia wózka'!$B$4),A2249&gt;='Historia wózka'!$B$5,A2249&lt;='Historia wózka'!$B$6),A2249+0.7+(5000-ROW())/10000000,0)</f>
        <v/>
      </c>
      <c r="J2249" s="63">
        <f>Ustawienia!$B$10&amp;""</f>
        <v/>
      </c>
      <c r="K2249" s="63">
        <f>IF(H2249="","",COUNTIFS('Zgłoszenia'!$B$5:$B$504,F2249,'Zgłoszenia'!$D$5:$D$504,"&gt;="&amp;A2249,'Zgłoszenia'!$D$5:$D$504,"&lt;="&amp;(A2249+1)))</f>
        <v/>
      </c>
      <c r="L2249" s="63">
        <f>IF(OR(H2249="",K2249=0),"—",IF(ISNUMBER(MATCH(H2249,'Zgłoszenia'!$S$5:$S$504,0)),RIGHT("0"&amp;DAY(A2249),2)&amp;"."&amp;RIGHT("0"&amp;MONTH(A2249),2)&amp;"."&amp;YEAR(A2249)&amp;": "&amp;INDEX('Zgłoszenia'!$H$5:$H$504,MATCH(H2249,'Zgłoszenia'!$S$5:$S$504,0)),RIGHT("0"&amp;DAY((A2249+1)),2)&amp;"."&amp;RIGHT("0"&amp;MONTH((A2249+1)),2)&amp;"."&amp;YEAR((A2249+1))&amp;": "&amp;INDEX('Zgłoszenia'!$H$5:$H$504,MATCH(F2249&amp;"|"&amp;(A2249+1),'Zgłoszenia'!$S$5:$S$504,0)))&amp;IF(K2249&gt;1," (+"&amp;(K2249-1)&amp;")",""))</f>
        <v/>
      </c>
      <c r="M2249" s="63" t="n">
        <v>28</v>
      </c>
      <c r="N2249" s="2" t="n"/>
      <c r="O2249" s="2" t="n"/>
    </row>
    <row r="2250">
      <c r="A2250" s="62">
        <f>IF('28'!$C$1="","",'28'!$C$1)</f>
        <v/>
      </c>
      <c r="B2250" s="63">
        <f>Ustawienia!$A$10&amp;""</f>
        <v/>
      </c>
      <c r="C2250" s="63">
        <f>Ustawienia!$A$15&amp;""</f>
        <v/>
      </c>
      <c r="D2250" s="63" t="n">
        <v>2</v>
      </c>
      <c r="E2250" s="63">
        <f>IF('28'!J14="","",TRIM('28'!J14&amp;""))</f>
        <v/>
      </c>
      <c r="F2250" s="63">
        <f>IF('28'!K14="","",'28'!K14)</f>
        <v/>
      </c>
      <c r="G2250" s="63">
        <f>'28'!L14&amp;""</f>
        <v/>
      </c>
      <c r="H2250" s="63">
        <f>IF(OR(A2250="",F2250=""),"",F2250&amp;"|"&amp;A2250)</f>
        <v/>
      </c>
      <c r="I2250" s="63">
        <f>IF(AND(H2250&lt;&gt;"",OR('Historia wózka'!$B$4="",F2250='Historia wózka'!$B$4),A2250&gt;='Historia wózka'!$B$5,A2250&lt;='Historia wózka'!$B$6),A2250+0.7+(5000-ROW())/10000000,0)</f>
        <v/>
      </c>
      <c r="J2250" s="63">
        <f>Ustawienia!$B$10&amp;""</f>
        <v/>
      </c>
      <c r="K2250" s="63">
        <f>IF(H2250="","",COUNTIFS('Zgłoszenia'!$B$5:$B$504,F2250,'Zgłoszenia'!$D$5:$D$504,"&gt;="&amp;A2250,'Zgłoszenia'!$D$5:$D$504,"&lt;="&amp;(A2250+1)))</f>
        <v/>
      </c>
      <c r="L2250" s="63">
        <f>IF(OR(H2250="",K2250=0),"—",IF(ISNUMBER(MATCH(H2250,'Zgłoszenia'!$S$5:$S$504,0)),RIGHT("0"&amp;DAY(A2250),2)&amp;"."&amp;RIGHT("0"&amp;MONTH(A2250),2)&amp;"."&amp;YEAR(A2250)&amp;": "&amp;INDEX('Zgłoszenia'!$H$5:$H$504,MATCH(H2250,'Zgłoszenia'!$S$5:$S$504,0)),RIGHT("0"&amp;DAY((A2250+1)),2)&amp;"."&amp;RIGHT("0"&amp;MONTH((A2250+1)),2)&amp;"."&amp;YEAR((A2250+1))&amp;": "&amp;INDEX('Zgłoszenia'!$H$5:$H$504,MATCH(F2250&amp;"|"&amp;(A2250+1),'Zgłoszenia'!$S$5:$S$504,0)))&amp;IF(K2250&gt;1," (+"&amp;(K2250-1)&amp;")",""))</f>
        <v/>
      </c>
      <c r="M2250" s="63" t="n">
        <v>28</v>
      </c>
      <c r="N2250" s="2" t="n"/>
      <c r="O2250" s="2" t="n"/>
    </row>
    <row r="2251">
      <c r="A2251" s="62">
        <f>IF('28'!$C$1="","",'28'!$C$1)</f>
        <v/>
      </c>
      <c r="B2251" s="63">
        <f>Ustawienia!$A$10&amp;""</f>
        <v/>
      </c>
      <c r="C2251" s="63">
        <f>Ustawienia!$A$15&amp;""</f>
        <v/>
      </c>
      <c r="D2251" s="63" t="n">
        <v>3</v>
      </c>
      <c r="E2251" s="63">
        <f>IF('28'!J15="","",TRIM('28'!J15&amp;""))</f>
        <v/>
      </c>
      <c r="F2251" s="63">
        <f>IF('28'!K15="","",'28'!K15)</f>
        <v/>
      </c>
      <c r="G2251" s="63">
        <f>'28'!L15&amp;""</f>
        <v/>
      </c>
      <c r="H2251" s="63">
        <f>IF(OR(A2251="",F2251=""),"",F2251&amp;"|"&amp;A2251)</f>
        <v/>
      </c>
      <c r="I2251" s="63">
        <f>IF(AND(H2251&lt;&gt;"",OR('Historia wózka'!$B$4="",F2251='Historia wózka'!$B$4),A2251&gt;='Historia wózka'!$B$5,A2251&lt;='Historia wózka'!$B$6),A2251+0.7+(5000-ROW())/10000000,0)</f>
        <v/>
      </c>
      <c r="J2251" s="63">
        <f>Ustawienia!$B$10&amp;""</f>
        <v/>
      </c>
      <c r="K2251" s="63">
        <f>IF(H2251="","",COUNTIFS('Zgłoszenia'!$B$5:$B$504,F2251,'Zgłoszenia'!$D$5:$D$504,"&gt;="&amp;A2251,'Zgłoszenia'!$D$5:$D$504,"&lt;="&amp;(A2251+1)))</f>
        <v/>
      </c>
      <c r="L2251" s="63">
        <f>IF(OR(H2251="",K2251=0),"—",IF(ISNUMBER(MATCH(H2251,'Zgłoszenia'!$S$5:$S$504,0)),RIGHT("0"&amp;DAY(A2251),2)&amp;"."&amp;RIGHT("0"&amp;MONTH(A2251),2)&amp;"."&amp;YEAR(A2251)&amp;": "&amp;INDEX('Zgłoszenia'!$H$5:$H$504,MATCH(H2251,'Zgłoszenia'!$S$5:$S$504,0)),RIGHT("0"&amp;DAY((A2251+1)),2)&amp;"."&amp;RIGHT("0"&amp;MONTH((A2251+1)),2)&amp;"."&amp;YEAR((A2251+1))&amp;": "&amp;INDEX('Zgłoszenia'!$H$5:$H$504,MATCH(F2251&amp;"|"&amp;(A2251+1),'Zgłoszenia'!$S$5:$S$504,0)))&amp;IF(K2251&gt;1," (+"&amp;(K2251-1)&amp;")",""))</f>
        <v/>
      </c>
      <c r="M2251" s="63" t="n">
        <v>28</v>
      </c>
      <c r="N2251" s="2" t="n"/>
      <c r="O2251" s="2" t="n"/>
    </row>
    <row r="2252">
      <c r="A2252" s="62">
        <f>IF('28'!$C$1="","",'28'!$C$1)</f>
        <v/>
      </c>
      <c r="B2252" s="63">
        <f>Ustawienia!$A$10&amp;""</f>
        <v/>
      </c>
      <c r="C2252" s="63">
        <f>Ustawienia!$A$15&amp;""</f>
        <v/>
      </c>
      <c r="D2252" s="63" t="n">
        <v>4</v>
      </c>
      <c r="E2252" s="63">
        <f>IF('28'!J16="","",TRIM('28'!J16&amp;""))</f>
        <v/>
      </c>
      <c r="F2252" s="63">
        <f>IF('28'!K16="","",'28'!K16)</f>
        <v/>
      </c>
      <c r="G2252" s="63">
        <f>'28'!L16&amp;""</f>
        <v/>
      </c>
      <c r="H2252" s="63">
        <f>IF(OR(A2252="",F2252=""),"",F2252&amp;"|"&amp;A2252)</f>
        <v/>
      </c>
      <c r="I2252" s="63">
        <f>IF(AND(H2252&lt;&gt;"",OR('Historia wózka'!$B$4="",F2252='Historia wózka'!$B$4),A2252&gt;='Historia wózka'!$B$5,A2252&lt;='Historia wózka'!$B$6),A2252+0.7+(5000-ROW())/10000000,0)</f>
        <v/>
      </c>
      <c r="J2252" s="63">
        <f>Ustawienia!$B$10&amp;""</f>
        <v/>
      </c>
      <c r="K2252" s="63">
        <f>IF(H2252="","",COUNTIFS('Zgłoszenia'!$B$5:$B$504,F2252,'Zgłoszenia'!$D$5:$D$504,"&gt;="&amp;A2252,'Zgłoszenia'!$D$5:$D$504,"&lt;="&amp;(A2252+1)))</f>
        <v/>
      </c>
      <c r="L2252" s="63">
        <f>IF(OR(H2252="",K2252=0),"—",IF(ISNUMBER(MATCH(H2252,'Zgłoszenia'!$S$5:$S$504,0)),RIGHT("0"&amp;DAY(A2252),2)&amp;"."&amp;RIGHT("0"&amp;MONTH(A2252),2)&amp;"."&amp;YEAR(A2252)&amp;": "&amp;INDEX('Zgłoszenia'!$H$5:$H$504,MATCH(H2252,'Zgłoszenia'!$S$5:$S$504,0)),RIGHT("0"&amp;DAY((A2252+1)),2)&amp;"."&amp;RIGHT("0"&amp;MONTH((A2252+1)),2)&amp;"."&amp;YEAR((A2252+1))&amp;": "&amp;INDEX('Zgłoszenia'!$H$5:$H$504,MATCH(F2252&amp;"|"&amp;(A2252+1),'Zgłoszenia'!$S$5:$S$504,0)))&amp;IF(K2252&gt;1," (+"&amp;(K2252-1)&amp;")",""))</f>
        <v/>
      </c>
      <c r="M2252" s="63" t="n">
        <v>28</v>
      </c>
      <c r="N2252" s="2" t="n"/>
      <c r="O2252" s="2" t="n"/>
    </row>
    <row r="2253">
      <c r="A2253" s="62">
        <f>IF('28'!$C$1="","",'28'!$C$1)</f>
        <v/>
      </c>
      <c r="B2253" s="63">
        <f>Ustawienia!$A$10&amp;""</f>
        <v/>
      </c>
      <c r="C2253" s="63">
        <f>Ustawienia!$A$15&amp;""</f>
        <v/>
      </c>
      <c r="D2253" s="63" t="n">
        <v>5</v>
      </c>
      <c r="E2253" s="63">
        <f>IF('28'!J17="","",TRIM('28'!J17&amp;""))</f>
        <v/>
      </c>
      <c r="F2253" s="63">
        <f>IF('28'!K17="","",'28'!K17)</f>
        <v/>
      </c>
      <c r="G2253" s="63">
        <f>'28'!L17&amp;""</f>
        <v/>
      </c>
      <c r="H2253" s="63">
        <f>IF(OR(A2253="",F2253=""),"",F2253&amp;"|"&amp;A2253)</f>
        <v/>
      </c>
      <c r="I2253" s="63">
        <f>IF(AND(H2253&lt;&gt;"",OR('Historia wózka'!$B$4="",F2253='Historia wózka'!$B$4),A2253&gt;='Historia wózka'!$B$5,A2253&lt;='Historia wózka'!$B$6),A2253+0.7+(5000-ROW())/10000000,0)</f>
        <v/>
      </c>
      <c r="J2253" s="63">
        <f>Ustawienia!$B$10&amp;""</f>
        <v/>
      </c>
      <c r="K2253" s="63">
        <f>IF(H2253="","",COUNTIFS('Zgłoszenia'!$B$5:$B$504,F2253,'Zgłoszenia'!$D$5:$D$504,"&gt;="&amp;A2253,'Zgłoszenia'!$D$5:$D$504,"&lt;="&amp;(A2253+1)))</f>
        <v/>
      </c>
      <c r="L2253" s="63">
        <f>IF(OR(H2253="",K2253=0),"—",IF(ISNUMBER(MATCH(H2253,'Zgłoszenia'!$S$5:$S$504,0)),RIGHT("0"&amp;DAY(A2253),2)&amp;"."&amp;RIGHT("0"&amp;MONTH(A2253),2)&amp;"."&amp;YEAR(A2253)&amp;": "&amp;INDEX('Zgłoszenia'!$H$5:$H$504,MATCH(H2253,'Zgłoszenia'!$S$5:$S$504,0)),RIGHT("0"&amp;DAY((A2253+1)),2)&amp;"."&amp;RIGHT("0"&amp;MONTH((A2253+1)),2)&amp;"."&amp;YEAR((A2253+1))&amp;": "&amp;INDEX('Zgłoszenia'!$H$5:$H$504,MATCH(F2253&amp;"|"&amp;(A2253+1),'Zgłoszenia'!$S$5:$S$504,0)))&amp;IF(K2253&gt;1," (+"&amp;(K2253-1)&amp;")",""))</f>
        <v/>
      </c>
      <c r="M2253" s="63" t="n">
        <v>28</v>
      </c>
      <c r="N2253" s="2" t="n"/>
      <c r="O2253" s="2" t="n"/>
    </row>
    <row r="2254">
      <c r="A2254" s="62">
        <f>IF('28'!$C$1="","",'28'!$C$1)</f>
        <v/>
      </c>
      <c r="B2254" s="63">
        <f>Ustawienia!$A$10&amp;""</f>
        <v/>
      </c>
      <c r="C2254" s="63">
        <f>Ustawienia!$A$15&amp;""</f>
        <v/>
      </c>
      <c r="D2254" s="63" t="n">
        <v>6</v>
      </c>
      <c r="E2254" s="63">
        <f>IF('28'!J18="","",TRIM('28'!J18&amp;""))</f>
        <v/>
      </c>
      <c r="F2254" s="63">
        <f>IF('28'!K18="","",'28'!K18)</f>
        <v/>
      </c>
      <c r="G2254" s="63">
        <f>'28'!L18&amp;""</f>
        <v/>
      </c>
      <c r="H2254" s="63">
        <f>IF(OR(A2254="",F2254=""),"",F2254&amp;"|"&amp;A2254)</f>
        <v/>
      </c>
      <c r="I2254" s="63">
        <f>IF(AND(H2254&lt;&gt;"",OR('Historia wózka'!$B$4="",F2254='Historia wózka'!$B$4),A2254&gt;='Historia wózka'!$B$5,A2254&lt;='Historia wózka'!$B$6),A2254+0.7+(5000-ROW())/10000000,0)</f>
        <v/>
      </c>
      <c r="J2254" s="63">
        <f>Ustawienia!$B$10&amp;""</f>
        <v/>
      </c>
      <c r="K2254" s="63">
        <f>IF(H2254="","",COUNTIFS('Zgłoszenia'!$B$5:$B$504,F2254,'Zgłoszenia'!$D$5:$D$504,"&gt;="&amp;A2254,'Zgłoszenia'!$D$5:$D$504,"&lt;="&amp;(A2254+1)))</f>
        <v/>
      </c>
      <c r="L2254" s="63">
        <f>IF(OR(H2254="",K2254=0),"—",IF(ISNUMBER(MATCH(H2254,'Zgłoszenia'!$S$5:$S$504,0)),RIGHT("0"&amp;DAY(A2254),2)&amp;"."&amp;RIGHT("0"&amp;MONTH(A2254),2)&amp;"."&amp;YEAR(A2254)&amp;": "&amp;INDEX('Zgłoszenia'!$H$5:$H$504,MATCH(H2254,'Zgłoszenia'!$S$5:$S$504,0)),RIGHT("0"&amp;DAY((A2254+1)),2)&amp;"."&amp;RIGHT("0"&amp;MONTH((A2254+1)),2)&amp;"."&amp;YEAR((A2254+1))&amp;": "&amp;INDEX('Zgłoszenia'!$H$5:$H$504,MATCH(F2254&amp;"|"&amp;(A2254+1),'Zgłoszenia'!$S$5:$S$504,0)))&amp;IF(K2254&gt;1," (+"&amp;(K2254-1)&amp;")",""))</f>
        <v/>
      </c>
      <c r="M2254" s="63" t="n">
        <v>28</v>
      </c>
      <c r="N2254" s="2" t="n"/>
      <c r="O2254" s="2" t="n"/>
    </row>
    <row r="2255">
      <c r="A2255" s="62">
        <f>IF('28'!$C$1="","",'28'!$C$1)</f>
        <v/>
      </c>
      <c r="B2255" s="63">
        <f>Ustawienia!$A$10&amp;""</f>
        <v/>
      </c>
      <c r="C2255" s="63">
        <f>Ustawienia!$A$15&amp;""</f>
        <v/>
      </c>
      <c r="D2255" s="63" t="n">
        <v>7</v>
      </c>
      <c r="E2255" s="63">
        <f>IF('28'!J19="","",TRIM('28'!J19&amp;""))</f>
        <v/>
      </c>
      <c r="F2255" s="63">
        <f>IF('28'!K19="","",'28'!K19)</f>
        <v/>
      </c>
      <c r="G2255" s="63">
        <f>'28'!L19&amp;""</f>
        <v/>
      </c>
      <c r="H2255" s="63">
        <f>IF(OR(A2255="",F2255=""),"",F2255&amp;"|"&amp;A2255)</f>
        <v/>
      </c>
      <c r="I2255" s="63">
        <f>IF(AND(H2255&lt;&gt;"",OR('Historia wózka'!$B$4="",F2255='Historia wózka'!$B$4),A2255&gt;='Historia wózka'!$B$5,A2255&lt;='Historia wózka'!$B$6),A2255+0.7+(5000-ROW())/10000000,0)</f>
        <v/>
      </c>
      <c r="J2255" s="63">
        <f>Ustawienia!$B$10&amp;""</f>
        <v/>
      </c>
      <c r="K2255" s="63">
        <f>IF(H2255="","",COUNTIFS('Zgłoszenia'!$B$5:$B$504,F2255,'Zgłoszenia'!$D$5:$D$504,"&gt;="&amp;A2255,'Zgłoszenia'!$D$5:$D$504,"&lt;="&amp;(A2255+1)))</f>
        <v/>
      </c>
      <c r="L2255" s="63">
        <f>IF(OR(H2255="",K2255=0),"—",IF(ISNUMBER(MATCH(H2255,'Zgłoszenia'!$S$5:$S$504,0)),RIGHT("0"&amp;DAY(A2255),2)&amp;"."&amp;RIGHT("0"&amp;MONTH(A2255),2)&amp;"."&amp;YEAR(A2255)&amp;": "&amp;INDEX('Zgłoszenia'!$H$5:$H$504,MATCH(H2255,'Zgłoszenia'!$S$5:$S$504,0)),RIGHT("0"&amp;DAY((A2255+1)),2)&amp;"."&amp;RIGHT("0"&amp;MONTH((A2255+1)),2)&amp;"."&amp;YEAR((A2255+1))&amp;": "&amp;INDEX('Zgłoszenia'!$H$5:$H$504,MATCH(F2255&amp;"|"&amp;(A2255+1),'Zgłoszenia'!$S$5:$S$504,0)))&amp;IF(K2255&gt;1," (+"&amp;(K2255-1)&amp;")",""))</f>
        <v/>
      </c>
      <c r="M2255" s="63" t="n">
        <v>28</v>
      </c>
      <c r="N2255" s="2" t="n"/>
      <c r="O2255" s="2" t="n"/>
    </row>
    <row r="2256">
      <c r="A2256" s="62">
        <f>IF('28'!$C$1="","",'28'!$C$1)</f>
        <v/>
      </c>
      <c r="B2256" s="63">
        <f>Ustawienia!$A$10&amp;""</f>
        <v/>
      </c>
      <c r="C2256" s="63">
        <f>Ustawienia!$A$15&amp;""</f>
        <v/>
      </c>
      <c r="D2256" s="63" t="n">
        <v>8</v>
      </c>
      <c r="E2256" s="63">
        <f>IF('28'!J20="","",TRIM('28'!J20&amp;""))</f>
        <v/>
      </c>
      <c r="F2256" s="63">
        <f>IF('28'!K20="","",'28'!K20)</f>
        <v/>
      </c>
      <c r="G2256" s="63">
        <f>'28'!L20&amp;""</f>
        <v/>
      </c>
      <c r="H2256" s="63">
        <f>IF(OR(A2256="",F2256=""),"",F2256&amp;"|"&amp;A2256)</f>
        <v/>
      </c>
      <c r="I2256" s="63">
        <f>IF(AND(H2256&lt;&gt;"",OR('Historia wózka'!$B$4="",F2256='Historia wózka'!$B$4),A2256&gt;='Historia wózka'!$B$5,A2256&lt;='Historia wózka'!$B$6),A2256+0.7+(5000-ROW())/10000000,0)</f>
        <v/>
      </c>
      <c r="J2256" s="63">
        <f>Ustawienia!$B$10&amp;""</f>
        <v/>
      </c>
      <c r="K2256" s="63">
        <f>IF(H2256="","",COUNTIFS('Zgłoszenia'!$B$5:$B$504,F2256,'Zgłoszenia'!$D$5:$D$504,"&gt;="&amp;A2256,'Zgłoszenia'!$D$5:$D$504,"&lt;="&amp;(A2256+1)))</f>
        <v/>
      </c>
      <c r="L2256" s="63">
        <f>IF(OR(H2256="",K2256=0),"—",IF(ISNUMBER(MATCH(H2256,'Zgłoszenia'!$S$5:$S$504,0)),RIGHT("0"&amp;DAY(A2256),2)&amp;"."&amp;RIGHT("0"&amp;MONTH(A2256),2)&amp;"."&amp;YEAR(A2256)&amp;": "&amp;INDEX('Zgłoszenia'!$H$5:$H$504,MATCH(H2256,'Zgłoszenia'!$S$5:$S$504,0)),RIGHT("0"&amp;DAY((A2256+1)),2)&amp;"."&amp;RIGHT("0"&amp;MONTH((A2256+1)),2)&amp;"."&amp;YEAR((A2256+1))&amp;": "&amp;INDEX('Zgłoszenia'!$H$5:$H$504,MATCH(F2256&amp;"|"&amp;(A2256+1),'Zgłoszenia'!$S$5:$S$504,0)))&amp;IF(K2256&gt;1," (+"&amp;(K2256-1)&amp;")",""))</f>
        <v/>
      </c>
      <c r="M2256" s="63" t="n">
        <v>28</v>
      </c>
      <c r="N2256" s="2" t="n"/>
      <c r="O2256" s="2" t="n"/>
    </row>
    <row r="2257">
      <c r="A2257" s="62">
        <f>IF('28'!$C$1="","",'28'!$C$1)</f>
        <v/>
      </c>
      <c r="B2257" s="63">
        <f>Ustawienia!$A$10&amp;""</f>
        <v/>
      </c>
      <c r="C2257" s="63">
        <f>Ustawienia!$A$16&amp;""</f>
        <v/>
      </c>
      <c r="D2257" s="63" t="n">
        <v>1</v>
      </c>
      <c r="E2257" s="63">
        <f>IF('28'!J22="","",TRIM('28'!J22&amp;""))</f>
        <v/>
      </c>
      <c r="F2257" s="63">
        <f>IF('28'!K22="","",'28'!K22)</f>
        <v/>
      </c>
      <c r="G2257" s="63">
        <f>'28'!L22&amp;""</f>
        <v/>
      </c>
      <c r="H2257" s="63">
        <f>IF(OR(A2257="",F2257=""),"",F2257&amp;"|"&amp;A2257)</f>
        <v/>
      </c>
      <c r="I2257" s="63">
        <f>IF(AND(H2257&lt;&gt;"",OR('Historia wózka'!$B$4="",F2257='Historia wózka'!$B$4),A2257&gt;='Historia wózka'!$B$5,A2257&lt;='Historia wózka'!$B$6),A2257+0.7+(5000-ROW())/10000000,0)</f>
        <v/>
      </c>
      <c r="J2257" s="63">
        <f>Ustawienia!$B$10&amp;""</f>
        <v/>
      </c>
      <c r="K2257" s="63">
        <f>IF(H2257="","",COUNTIFS('Zgłoszenia'!$B$5:$B$504,F2257,'Zgłoszenia'!$D$5:$D$504,"&gt;="&amp;A2257,'Zgłoszenia'!$D$5:$D$504,"&lt;="&amp;(A2257+1)))</f>
        <v/>
      </c>
      <c r="L2257" s="63">
        <f>IF(OR(H2257="",K2257=0),"—",IF(ISNUMBER(MATCH(H2257,'Zgłoszenia'!$S$5:$S$504,0)),RIGHT("0"&amp;DAY(A2257),2)&amp;"."&amp;RIGHT("0"&amp;MONTH(A2257),2)&amp;"."&amp;YEAR(A2257)&amp;": "&amp;INDEX('Zgłoszenia'!$H$5:$H$504,MATCH(H2257,'Zgłoszenia'!$S$5:$S$504,0)),RIGHT("0"&amp;DAY((A2257+1)),2)&amp;"."&amp;RIGHT("0"&amp;MONTH((A2257+1)),2)&amp;"."&amp;YEAR((A2257+1))&amp;": "&amp;INDEX('Zgłoszenia'!$H$5:$H$504,MATCH(F2257&amp;"|"&amp;(A2257+1),'Zgłoszenia'!$S$5:$S$504,0)))&amp;IF(K2257&gt;1," (+"&amp;(K2257-1)&amp;")",""))</f>
        <v/>
      </c>
      <c r="M2257" s="63" t="n">
        <v>28</v>
      </c>
      <c r="N2257" s="2" t="n"/>
      <c r="O2257" s="2" t="n"/>
    </row>
    <row r="2258">
      <c r="A2258" s="62">
        <f>IF('28'!$C$1="","",'28'!$C$1)</f>
        <v/>
      </c>
      <c r="B2258" s="63">
        <f>Ustawienia!$A$10&amp;""</f>
        <v/>
      </c>
      <c r="C2258" s="63">
        <f>Ustawienia!$A$16&amp;""</f>
        <v/>
      </c>
      <c r="D2258" s="63" t="n">
        <v>2</v>
      </c>
      <c r="E2258" s="63">
        <f>IF('28'!J23="","",TRIM('28'!J23&amp;""))</f>
        <v/>
      </c>
      <c r="F2258" s="63">
        <f>IF('28'!K23="","",'28'!K23)</f>
        <v/>
      </c>
      <c r="G2258" s="63">
        <f>'28'!L23&amp;""</f>
        <v/>
      </c>
      <c r="H2258" s="63">
        <f>IF(OR(A2258="",F2258=""),"",F2258&amp;"|"&amp;A2258)</f>
        <v/>
      </c>
      <c r="I2258" s="63">
        <f>IF(AND(H2258&lt;&gt;"",OR('Historia wózka'!$B$4="",F2258='Historia wózka'!$B$4),A2258&gt;='Historia wózka'!$B$5,A2258&lt;='Historia wózka'!$B$6),A2258+0.7+(5000-ROW())/10000000,0)</f>
        <v/>
      </c>
      <c r="J2258" s="63">
        <f>Ustawienia!$B$10&amp;""</f>
        <v/>
      </c>
      <c r="K2258" s="63">
        <f>IF(H2258="","",COUNTIFS('Zgłoszenia'!$B$5:$B$504,F2258,'Zgłoszenia'!$D$5:$D$504,"&gt;="&amp;A2258,'Zgłoszenia'!$D$5:$D$504,"&lt;="&amp;(A2258+1)))</f>
        <v/>
      </c>
      <c r="L2258" s="63">
        <f>IF(OR(H2258="",K2258=0),"—",IF(ISNUMBER(MATCH(H2258,'Zgłoszenia'!$S$5:$S$504,0)),RIGHT("0"&amp;DAY(A2258),2)&amp;"."&amp;RIGHT("0"&amp;MONTH(A2258),2)&amp;"."&amp;YEAR(A2258)&amp;": "&amp;INDEX('Zgłoszenia'!$H$5:$H$504,MATCH(H2258,'Zgłoszenia'!$S$5:$S$504,0)),RIGHT("0"&amp;DAY((A2258+1)),2)&amp;"."&amp;RIGHT("0"&amp;MONTH((A2258+1)),2)&amp;"."&amp;YEAR((A2258+1))&amp;": "&amp;INDEX('Zgłoszenia'!$H$5:$H$504,MATCH(F2258&amp;"|"&amp;(A2258+1),'Zgłoszenia'!$S$5:$S$504,0)))&amp;IF(K2258&gt;1," (+"&amp;(K2258-1)&amp;")",""))</f>
        <v/>
      </c>
      <c r="M2258" s="63" t="n">
        <v>28</v>
      </c>
      <c r="N2258" s="2" t="n"/>
      <c r="O2258" s="2" t="n"/>
    </row>
    <row r="2259">
      <c r="A2259" s="62">
        <f>IF('28'!$C$1="","",'28'!$C$1)</f>
        <v/>
      </c>
      <c r="B2259" s="63">
        <f>Ustawienia!$A$10&amp;""</f>
        <v/>
      </c>
      <c r="C2259" s="63">
        <f>Ustawienia!$A$16&amp;""</f>
        <v/>
      </c>
      <c r="D2259" s="63" t="n">
        <v>3</v>
      </c>
      <c r="E2259" s="63">
        <f>IF('28'!J24="","",TRIM('28'!J24&amp;""))</f>
        <v/>
      </c>
      <c r="F2259" s="63">
        <f>IF('28'!K24="","",'28'!K24)</f>
        <v/>
      </c>
      <c r="G2259" s="63">
        <f>'28'!L24&amp;""</f>
        <v/>
      </c>
      <c r="H2259" s="63">
        <f>IF(OR(A2259="",F2259=""),"",F2259&amp;"|"&amp;A2259)</f>
        <v/>
      </c>
      <c r="I2259" s="63">
        <f>IF(AND(H2259&lt;&gt;"",OR('Historia wózka'!$B$4="",F2259='Historia wózka'!$B$4),A2259&gt;='Historia wózka'!$B$5,A2259&lt;='Historia wózka'!$B$6),A2259+0.7+(5000-ROW())/10000000,0)</f>
        <v/>
      </c>
      <c r="J2259" s="63">
        <f>Ustawienia!$B$10&amp;""</f>
        <v/>
      </c>
      <c r="K2259" s="63">
        <f>IF(H2259="","",COUNTIFS('Zgłoszenia'!$B$5:$B$504,F2259,'Zgłoszenia'!$D$5:$D$504,"&gt;="&amp;A2259,'Zgłoszenia'!$D$5:$D$504,"&lt;="&amp;(A2259+1)))</f>
        <v/>
      </c>
      <c r="L2259" s="63">
        <f>IF(OR(H2259="",K2259=0),"—",IF(ISNUMBER(MATCH(H2259,'Zgłoszenia'!$S$5:$S$504,0)),RIGHT("0"&amp;DAY(A2259),2)&amp;"."&amp;RIGHT("0"&amp;MONTH(A2259),2)&amp;"."&amp;YEAR(A2259)&amp;": "&amp;INDEX('Zgłoszenia'!$H$5:$H$504,MATCH(H2259,'Zgłoszenia'!$S$5:$S$504,0)),RIGHT("0"&amp;DAY((A2259+1)),2)&amp;"."&amp;RIGHT("0"&amp;MONTH((A2259+1)),2)&amp;"."&amp;YEAR((A2259+1))&amp;": "&amp;INDEX('Zgłoszenia'!$H$5:$H$504,MATCH(F2259&amp;"|"&amp;(A2259+1),'Zgłoszenia'!$S$5:$S$504,0)))&amp;IF(K2259&gt;1," (+"&amp;(K2259-1)&amp;")",""))</f>
        <v/>
      </c>
      <c r="M2259" s="63" t="n">
        <v>28</v>
      </c>
      <c r="N2259" s="2" t="n"/>
      <c r="O2259" s="2" t="n"/>
    </row>
    <row r="2260">
      <c r="A2260" s="62">
        <f>IF('28'!$C$1="","",'28'!$C$1)</f>
        <v/>
      </c>
      <c r="B2260" s="63">
        <f>Ustawienia!$A$10&amp;""</f>
        <v/>
      </c>
      <c r="C2260" s="63">
        <f>Ustawienia!$A$16&amp;""</f>
        <v/>
      </c>
      <c r="D2260" s="63" t="n">
        <v>4</v>
      </c>
      <c r="E2260" s="63">
        <f>IF('28'!J25="","",TRIM('28'!J25&amp;""))</f>
        <v/>
      </c>
      <c r="F2260" s="63">
        <f>IF('28'!K25="","",'28'!K25)</f>
        <v/>
      </c>
      <c r="G2260" s="63">
        <f>'28'!L25&amp;""</f>
        <v/>
      </c>
      <c r="H2260" s="63">
        <f>IF(OR(A2260="",F2260=""),"",F2260&amp;"|"&amp;A2260)</f>
        <v/>
      </c>
      <c r="I2260" s="63">
        <f>IF(AND(H2260&lt;&gt;"",OR('Historia wózka'!$B$4="",F2260='Historia wózka'!$B$4),A2260&gt;='Historia wózka'!$B$5,A2260&lt;='Historia wózka'!$B$6),A2260+0.7+(5000-ROW())/10000000,0)</f>
        <v/>
      </c>
      <c r="J2260" s="63">
        <f>Ustawienia!$B$10&amp;""</f>
        <v/>
      </c>
      <c r="K2260" s="63">
        <f>IF(H2260="","",COUNTIFS('Zgłoszenia'!$B$5:$B$504,F2260,'Zgłoszenia'!$D$5:$D$504,"&gt;="&amp;A2260,'Zgłoszenia'!$D$5:$D$504,"&lt;="&amp;(A2260+1)))</f>
        <v/>
      </c>
      <c r="L2260" s="63">
        <f>IF(OR(H2260="",K2260=0),"—",IF(ISNUMBER(MATCH(H2260,'Zgłoszenia'!$S$5:$S$504,0)),RIGHT("0"&amp;DAY(A2260),2)&amp;"."&amp;RIGHT("0"&amp;MONTH(A2260),2)&amp;"."&amp;YEAR(A2260)&amp;": "&amp;INDEX('Zgłoszenia'!$H$5:$H$504,MATCH(H2260,'Zgłoszenia'!$S$5:$S$504,0)),RIGHT("0"&amp;DAY((A2260+1)),2)&amp;"."&amp;RIGHT("0"&amp;MONTH((A2260+1)),2)&amp;"."&amp;YEAR((A2260+1))&amp;": "&amp;INDEX('Zgłoszenia'!$H$5:$H$504,MATCH(F2260&amp;"|"&amp;(A2260+1),'Zgłoszenia'!$S$5:$S$504,0)))&amp;IF(K2260&gt;1," (+"&amp;(K2260-1)&amp;")",""))</f>
        <v/>
      </c>
      <c r="M2260" s="63" t="n">
        <v>28</v>
      </c>
      <c r="N2260" s="2" t="n"/>
      <c r="O2260" s="2" t="n"/>
    </row>
    <row r="2261">
      <c r="A2261" s="62">
        <f>IF('28'!$C$1="","",'28'!$C$1)</f>
        <v/>
      </c>
      <c r="B2261" s="63">
        <f>Ustawienia!$A$10&amp;""</f>
        <v/>
      </c>
      <c r="C2261" s="63">
        <f>Ustawienia!$A$17&amp;""</f>
        <v/>
      </c>
      <c r="D2261" s="63" t="n">
        <v>1</v>
      </c>
      <c r="E2261" s="63">
        <f>IF('28'!J27="","",TRIM('28'!J27&amp;""))</f>
        <v/>
      </c>
      <c r="F2261" s="63">
        <f>IF('28'!K27="","",'28'!K27)</f>
        <v/>
      </c>
      <c r="G2261" s="63">
        <f>'28'!L27&amp;""</f>
        <v/>
      </c>
      <c r="H2261" s="63">
        <f>IF(OR(A2261="",F2261=""),"",F2261&amp;"|"&amp;A2261)</f>
        <v/>
      </c>
      <c r="I2261" s="63">
        <f>IF(AND(H2261&lt;&gt;"",OR('Historia wózka'!$B$4="",F2261='Historia wózka'!$B$4),A2261&gt;='Historia wózka'!$B$5,A2261&lt;='Historia wózka'!$B$6),A2261+0.7+(5000-ROW())/10000000,0)</f>
        <v/>
      </c>
      <c r="J2261" s="63">
        <f>Ustawienia!$B$10&amp;""</f>
        <v/>
      </c>
      <c r="K2261" s="63">
        <f>IF(H2261="","",COUNTIFS('Zgłoszenia'!$B$5:$B$504,F2261,'Zgłoszenia'!$D$5:$D$504,"&gt;="&amp;A2261,'Zgłoszenia'!$D$5:$D$504,"&lt;="&amp;(A2261+1)))</f>
        <v/>
      </c>
      <c r="L2261" s="63">
        <f>IF(OR(H2261="",K2261=0),"—",IF(ISNUMBER(MATCH(H2261,'Zgłoszenia'!$S$5:$S$504,0)),RIGHT("0"&amp;DAY(A2261),2)&amp;"."&amp;RIGHT("0"&amp;MONTH(A2261),2)&amp;"."&amp;YEAR(A2261)&amp;": "&amp;INDEX('Zgłoszenia'!$H$5:$H$504,MATCH(H2261,'Zgłoszenia'!$S$5:$S$504,0)),RIGHT("0"&amp;DAY((A2261+1)),2)&amp;"."&amp;RIGHT("0"&amp;MONTH((A2261+1)),2)&amp;"."&amp;YEAR((A2261+1))&amp;": "&amp;INDEX('Zgłoszenia'!$H$5:$H$504,MATCH(F2261&amp;"|"&amp;(A2261+1),'Zgłoszenia'!$S$5:$S$504,0)))&amp;IF(K2261&gt;1," (+"&amp;(K2261-1)&amp;")",""))</f>
        <v/>
      </c>
      <c r="M2261" s="63" t="n">
        <v>28</v>
      </c>
      <c r="N2261" s="2" t="n"/>
      <c r="O2261" s="2" t="n"/>
    </row>
    <row r="2262">
      <c r="A2262" s="62">
        <f>IF('28'!$C$1="","",'28'!$C$1)</f>
        <v/>
      </c>
      <c r="B2262" s="63">
        <f>Ustawienia!$A$10&amp;""</f>
        <v/>
      </c>
      <c r="C2262" s="63">
        <f>Ustawienia!$A$17&amp;""</f>
        <v/>
      </c>
      <c r="D2262" s="63" t="n">
        <v>2</v>
      </c>
      <c r="E2262" s="63">
        <f>IF('28'!J28="","",TRIM('28'!J28&amp;""))</f>
        <v/>
      </c>
      <c r="F2262" s="63">
        <f>IF('28'!K28="","",'28'!K28)</f>
        <v/>
      </c>
      <c r="G2262" s="63">
        <f>'28'!L28&amp;""</f>
        <v/>
      </c>
      <c r="H2262" s="63">
        <f>IF(OR(A2262="",F2262=""),"",F2262&amp;"|"&amp;A2262)</f>
        <v/>
      </c>
      <c r="I2262" s="63">
        <f>IF(AND(H2262&lt;&gt;"",OR('Historia wózka'!$B$4="",F2262='Historia wózka'!$B$4),A2262&gt;='Historia wózka'!$B$5,A2262&lt;='Historia wózka'!$B$6),A2262+0.7+(5000-ROW())/10000000,0)</f>
        <v/>
      </c>
      <c r="J2262" s="63">
        <f>Ustawienia!$B$10&amp;""</f>
        <v/>
      </c>
      <c r="K2262" s="63">
        <f>IF(H2262="","",COUNTIFS('Zgłoszenia'!$B$5:$B$504,F2262,'Zgłoszenia'!$D$5:$D$504,"&gt;="&amp;A2262,'Zgłoszenia'!$D$5:$D$504,"&lt;="&amp;(A2262+1)))</f>
        <v/>
      </c>
      <c r="L2262" s="63">
        <f>IF(OR(H2262="",K2262=0),"—",IF(ISNUMBER(MATCH(H2262,'Zgłoszenia'!$S$5:$S$504,0)),RIGHT("0"&amp;DAY(A2262),2)&amp;"."&amp;RIGHT("0"&amp;MONTH(A2262),2)&amp;"."&amp;YEAR(A2262)&amp;": "&amp;INDEX('Zgłoszenia'!$H$5:$H$504,MATCH(H2262,'Zgłoszenia'!$S$5:$S$504,0)),RIGHT("0"&amp;DAY((A2262+1)),2)&amp;"."&amp;RIGHT("0"&amp;MONTH((A2262+1)),2)&amp;"."&amp;YEAR((A2262+1))&amp;": "&amp;INDEX('Zgłoszenia'!$H$5:$H$504,MATCH(F2262&amp;"|"&amp;(A2262+1),'Zgłoszenia'!$S$5:$S$504,0)))&amp;IF(K2262&gt;1," (+"&amp;(K2262-1)&amp;")",""))</f>
        <v/>
      </c>
      <c r="M2262" s="63" t="n">
        <v>28</v>
      </c>
      <c r="N2262" s="2" t="n"/>
      <c r="O2262" s="2" t="n"/>
    </row>
    <row r="2263">
      <c r="A2263" s="62">
        <f>IF('28'!$C$1="","",'28'!$C$1)</f>
        <v/>
      </c>
      <c r="B2263" s="63">
        <f>Ustawienia!$A$10&amp;""</f>
        <v/>
      </c>
      <c r="C2263" s="63">
        <f>Ustawienia!$A$17&amp;""</f>
        <v/>
      </c>
      <c r="D2263" s="63" t="n">
        <v>3</v>
      </c>
      <c r="E2263" s="63">
        <f>IF('28'!J29="","",TRIM('28'!J29&amp;""))</f>
        <v/>
      </c>
      <c r="F2263" s="63">
        <f>IF('28'!K29="","",'28'!K29)</f>
        <v/>
      </c>
      <c r="G2263" s="63">
        <f>'28'!L29&amp;""</f>
        <v/>
      </c>
      <c r="H2263" s="63">
        <f>IF(OR(A2263="",F2263=""),"",F2263&amp;"|"&amp;A2263)</f>
        <v/>
      </c>
      <c r="I2263" s="63">
        <f>IF(AND(H2263&lt;&gt;"",OR('Historia wózka'!$B$4="",F2263='Historia wózka'!$B$4),A2263&gt;='Historia wózka'!$B$5,A2263&lt;='Historia wózka'!$B$6),A2263+0.7+(5000-ROW())/10000000,0)</f>
        <v/>
      </c>
      <c r="J2263" s="63">
        <f>Ustawienia!$B$10&amp;""</f>
        <v/>
      </c>
      <c r="K2263" s="63">
        <f>IF(H2263="","",COUNTIFS('Zgłoszenia'!$B$5:$B$504,F2263,'Zgłoszenia'!$D$5:$D$504,"&gt;="&amp;A2263,'Zgłoszenia'!$D$5:$D$504,"&lt;="&amp;(A2263+1)))</f>
        <v/>
      </c>
      <c r="L2263" s="63">
        <f>IF(OR(H2263="",K2263=0),"—",IF(ISNUMBER(MATCH(H2263,'Zgłoszenia'!$S$5:$S$504,0)),RIGHT("0"&amp;DAY(A2263),2)&amp;"."&amp;RIGHT("0"&amp;MONTH(A2263),2)&amp;"."&amp;YEAR(A2263)&amp;": "&amp;INDEX('Zgłoszenia'!$H$5:$H$504,MATCH(H2263,'Zgłoszenia'!$S$5:$S$504,0)),RIGHT("0"&amp;DAY((A2263+1)),2)&amp;"."&amp;RIGHT("0"&amp;MONTH((A2263+1)),2)&amp;"."&amp;YEAR((A2263+1))&amp;": "&amp;INDEX('Zgłoszenia'!$H$5:$H$504,MATCH(F2263&amp;"|"&amp;(A2263+1),'Zgłoszenia'!$S$5:$S$504,0)))&amp;IF(K2263&gt;1," (+"&amp;(K2263-1)&amp;")",""))</f>
        <v/>
      </c>
      <c r="M2263" s="63" t="n">
        <v>28</v>
      </c>
      <c r="N2263" s="2" t="n"/>
      <c r="O2263" s="2" t="n"/>
    </row>
    <row r="2264">
      <c r="A2264" s="62">
        <f>IF('28'!$C$1="","",'28'!$C$1)</f>
        <v/>
      </c>
      <c r="B2264" s="63">
        <f>Ustawienia!$A$10&amp;""</f>
        <v/>
      </c>
      <c r="C2264" s="63">
        <f>Ustawienia!$A$17&amp;""</f>
        <v/>
      </c>
      <c r="D2264" s="63" t="n">
        <v>4</v>
      </c>
      <c r="E2264" s="63">
        <f>IF('28'!J30="","",TRIM('28'!J30&amp;""))</f>
        <v/>
      </c>
      <c r="F2264" s="63">
        <f>IF('28'!K30="","",'28'!K30)</f>
        <v/>
      </c>
      <c r="G2264" s="63">
        <f>'28'!L30&amp;""</f>
        <v/>
      </c>
      <c r="H2264" s="63">
        <f>IF(OR(A2264="",F2264=""),"",F2264&amp;"|"&amp;A2264)</f>
        <v/>
      </c>
      <c r="I2264" s="63">
        <f>IF(AND(H2264&lt;&gt;"",OR('Historia wózka'!$B$4="",F2264='Historia wózka'!$B$4),A2264&gt;='Historia wózka'!$B$5,A2264&lt;='Historia wózka'!$B$6),A2264+0.7+(5000-ROW())/10000000,0)</f>
        <v/>
      </c>
      <c r="J2264" s="63">
        <f>Ustawienia!$B$10&amp;""</f>
        <v/>
      </c>
      <c r="K2264" s="63">
        <f>IF(H2264="","",COUNTIFS('Zgłoszenia'!$B$5:$B$504,F2264,'Zgłoszenia'!$D$5:$D$504,"&gt;="&amp;A2264,'Zgłoszenia'!$D$5:$D$504,"&lt;="&amp;(A2264+1)))</f>
        <v/>
      </c>
      <c r="L2264" s="63">
        <f>IF(OR(H2264="",K2264=0),"—",IF(ISNUMBER(MATCH(H2264,'Zgłoszenia'!$S$5:$S$504,0)),RIGHT("0"&amp;DAY(A2264),2)&amp;"."&amp;RIGHT("0"&amp;MONTH(A2264),2)&amp;"."&amp;YEAR(A2264)&amp;": "&amp;INDEX('Zgłoszenia'!$H$5:$H$504,MATCH(H2264,'Zgłoszenia'!$S$5:$S$504,0)),RIGHT("0"&amp;DAY((A2264+1)),2)&amp;"."&amp;RIGHT("0"&amp;MONTH((A2264+1)),2)&amp;"."&amp;YEAR((A2264+1))&amp;": "&amp;INDEX('Zgłoszenia'!$H$5:$H$504,MATCH(F2264&amp;"|"&amp;(A2264+1),'Zgłoszenia'!$S$5:$S$504,0)))&amp;IF(K2264&gt;1," (+"&amp;(K2264-1)&amp;")",""))</f>
        <v/>
      </c>
      <c r="M2264" s="63" t="n">
        <v>28</v>
      </c>
      <c r="N2264" s="2" t="n"/>
      <c r="O2264" s="2" t="n"/>
    </row>
    <row r="2265">
      <c r="A2265" s="62">
        <f>IF('28'!$C$1="","",'28'!$C$1)</f>
        <v/>
      </c>
      <c r="B2265" s="63">
        <f>Ustawienia!$A$10&amp;""</f>
        <v/>
      </c>
      <c r="C2265" s="63">
        <f>Ustawienia!$A$18&amp;""</f>
        <v/>
      </c>
      <c r="D2265" s="63" t="n">
        <v>1</v>
      </c>
      <c r="E2265" s="63">
        <f>IF('28'!J32="","",TRIM('28'!J32&amp;""))</f>
        <v/>
      </c>
      <c r="F2265" s="63">
        <f>IF('28'!K32="","",'28'!K32)</f>
        <v/>
      </c>
      <c r="G2265" s="63">
        <f>'28'!L32&amp;""</f>
        <v/>
      </c>
      <c r="H2265" s="63">
        <f>IF(OR(A2265="",F2265=""),"",F2265&amp;"|"&amp;A2265)</f>
        <v/>
      </c>
      <c r="I2265" s="63">
        <f>IF(AND(H2265&lt;&gt;"",OR('Historia wózka'!$B$4="",F2265='Historia wózka'!$B$4),A2265&gt;='Historia wózka'!$B$5,A2265&lt;='Historia wózka'!$B$6),A2265+0.7+(5000-ROW())/10000000,0)</f>
        <v/>
      </c>
      <c r="J2265" s="63">
        <f>Ustawienia!$B$10&amp;""</f>
        <v/>
      </c>
      <c r="K2265" s="63">
        <f>IF(H2265="","",COUNTIFS('Zgłoszenia'!$B$5:$B$504,F2265,'Zgłoszenia'!$D$5:$D$504,"&gt;="&amp;A2265,'Zgłoszenia'!$D$5:$D$504,"&lt;="&amp;(A2265+1)))</f>
        <v/>
      </c>
      <c r="L2265" s="63">
        <f>IF(OR(H2265="",K2265=0),"—",IF(ISNUMBER(MATCH(H2265,'Zgłoszenia'!$S$5:$S$504,0)),RIGHT("0"&amp;DAY(A2265),2)&amp;"."&amp;RIGHT("0"&amp;MONTH(A2265),2)&amp;"."&amp;YEAR(A2265)&amp;": "&amp;INDEX('Zgłoszenia'!$H$5:$H$504,MATCH(H2265,'Zgłoszenia'!$S$5:$S$504,0)),RIGHT("0"&amp;DAY((A2265+1)),2)&amp;"."&amp;RIGHT("0"&amp;MONTH((A2265+1)),2)&amp;"."&amp;YEAR((A2265+1))&amp;": "&amp;INDEX('Zgłoszenia'!$H$5:$H$504,MATCH(F2265&amp;"|"&amp;(A2265+1),'Zgłoszenia'!$S$5:$S$504,0)))&amp;IF(K2265&gt;1," (+"&amp;(K2265-1)&amp;")",""))</f>
        <v/>
      </c>
      <c r="M2265" s="63" t="n">
        <v>28</v>
      </c>
      <c r="N2265" s="2" t="n"/>
      <c r="O2265" s="2" t="n"/>
    </row>
    <row r="2266">
      <c r="A2266" s="62">
        <f>IF('28'!$C$1="","",'28'!$C$1)</f>
        <v/>
      </c>
      <c r="B2266" s="63">
        <f>Ustawienia!$A$10&amp;""</f>
        <v/>
      </c>
      <c r="C2266" s="63">
        <f>Ustawienia!$A$18&amp;""</f>
        <v/>
      </c>
      <c r="D2266" s="63" t="n">
        <v>2</v>
      </c>
      <c r="E2266" s="63">
        <f>IF('28'!J33="","",TRIM('28'!J33&amp;""))</f>
        <v/>
      </c>
      <c r="F2266" s="63">
        <f>IF('28'!K33="","",'28'!K33)</f>
        <v/>
      </c>
      <c r="G2266" s="63">
        <f>'28'!L33&amp;""</f>
        <v/>
      </c>
      <c r="H2266" s="63">
        <f>IF(OR(A2266="",F2266=""),"",F2266&amp;"|"&amp;A2266)</f>
        <v/>
      </c>
      <c r="I2266" s="63">
        <f>IF(AND(H2266&lt;&gt;"",OR('Historia wózka'!$B$4="",F2266='Historia wózka'!$B$4),A2266&gt;='Historia wózka'!$B$5,A2266&lt;='Historia wózka'!$B$6),A2266+0.7+(5000-ROW())/10000000,0)</f>
        <v/>
      </c>
      <c r="J2266" s="63">
        <f>Ustawienia!$B$10&amp;""</f>
        <v/>
      </c>
      <c r="K2266" s="63">
        <f>IF(H2266="","",COUNTIFS('Zgłoszenia'!$B$5:$B$504,F2266,'Zgłoszenia'!$D$5:$D$504,"&gt;="&amp;A2266,'Zgłoszenia'!$D$5:$D$504,"&lt;="&amp;(A2266+1)))</f>
        <v/>
      </c>
      <c r="L2266" s="63">
        <f>IF(OR(H2266="",K2266=0),"—",IF(ISNUMBER(MATCH(H2266,'Zgłoszenia'!$S$5:$S$504,0)),RIGHT("0"&amp;DAY(A2266),2)&amp;"."&amp;RIGHT("0"&amp;MONTH(A2266),2)&amp;"."&amp;YEAR(A2266)&amp;": "&amp;INDEX('Zgłoszenia'!$H$5:$H$504,MATCH(H2266,'Zgłoszenia'!$S$5:$S$504,0)),RIGHT("0"&amp;DAY((A2266+1)),2)&amp;"."&amp;RIGHT("0"&amp;MONTH((A2266+1)),2)&amp;"."&amp;YEAR((A2266+1))&amp;": "&amp;INDEX('Zgłoszenia'!$H$5:$H$504,MATCH(F2266&amp;"|"&amp;(A2266+1),'Zgłoszenia'!$S$5:$S$504,0)))&amp;IF(K2266&gt;1," (+"&amp;(K2266-1)&amp;")",""))</f>
        <v/>
      </c>
      <c r="M2266" s="63" t="n">
        <v>28</v>
      </c>
      <c r="N2266" s="2" t="n"/>
      <c r="O2266" s="2" t="n"/>
    </row>
    <row r="2267">
      <c r="A2267" s="62">
        <f>IF('28'!$C$1="","",'28'!$C$1)</f>
        <v/>
      </c>
      <c r="B2267" s="63">
        <f>Ustawienia!$A$10&amp;""</f>
        <v/>
      </c>
      <c r="C2267" s="63">
        <f>Ustawienia!$A$18&amp;""</f>
        <v/>
      </c>
      <c r="D2267" s="63" t="n">
        <v>3</v>
      </c>
      <c r="E2267" s="63">
        <f>IF('28'!J34="","",TRIM('28'!J34&amp;""))</f>
        <v/>
      </c>
      <c r="F2267" s="63">
        <f>IF('28'!K34="","",'28'!K34)</f>
        <v/>
      </c>
      <c r="G2267" s="63">
        <f>'28'!L34&amp;""</f>
        <v/>
      </c>
      <c r="H2267" s="63">
        <f>IF(OR(A2267="",F2267=""),"",F2267&amp;"|"&amp;A2267)</f>
        <v/>
      </c>
      <c r="I2267" s="63">
        <f>IF(AND(H2267&lt;&gt;"",OR('Historia wózka'!$B$4="",F2267='Historia wózka'!$B$4),A2267&gt;='Historia wózka'!$B$5,A2267&lt;='Historia wózka'!$B$6),A2267+0.7+(5000-ROW())/10000000,0)</f>
        <v/>
      </c>
      <c r="J2267" s="63">
        <f>Ustawienia!$B$10&amp;""</f>
        <v/>
      </c>
      <c r="K2267" s="63">
        <f>IF(H2267="","",COUNTIFS('Zgłoszenia'!$B$5:$B$504,F2267,'Zgłoszenia'!$D$5:$D$504,"&gt;="&amp;A2267,'Zgłoszenia'!$D$5:$D$504,"&lt;="&amp;(A2267+1)))</f>
        <v/>
      </c>
      <c r="L2267" s="63">
        <f>IF(OR(H2267="",K2267=0),"—",IF(ISNUMBER(MATCH(H2267,'Zgłoszenia'!$S$5:$S$504,0)),RIGHT("0"&amp;DAY(A2267),2)&amp;"."&amp;RIGHT("0"&amp;MONTH(A2267),2)&amp;"."&amp;YEAR(A2267)&amp;": "&amp;INDEX('Zgłoszenia'!$H$5:$H$504,MATCH(H2267,'Zgłoszenia'!$S$5:$S$504,0)),RIGHT("0"&amp;DAY((A2267+1)),2)&amp;"."&amp;RIGHT("0"&amp;MONTH((A2267+1)),2)&amp;"."&amp;YEAR((A2267+1))&amp;": "&amp;INDEX('Zgłoszenia'!$H$5:$H$504,MATCH(F2267&amp;"|"&amp;(A2267+1),'Zgłoszenia'!$S$5:$S$504,0)))&amp;IF(K2267&gt;1," (+"&amp;(K2267-1)&amp;")",""))</f>
        <v/>
      </c>
      <c r="M2267" s="63" t="n">
        <v>28</v>
      </c>
      <c r="N2267" s="2" t="n"/>
      <c r="O2267" s="2" t="n"/>
    </row>
    <row r="2268">
      <c r="A2268" s="62">
        <f>IF('28'!$C$1="","",'28'!$C$1)</f>
        <v/>
      </c>
      <c r="B2268" s="63">
        <f>Ustawienia!$A$10&amp;""</f>
        <v/>
      </c>
      <c r="C2268" s="63">
        <f>Ustawienia!$A$18&amp;""</f>
        <v/>
      </c>
      <c r="D2268" s="63" t="n">
        <v>4</v>
      </c>
      <c r="E2268" s="63">
        <f>IF('28'!J35="","",TRIM('28'!J35&amp;""))</f>
        <v/>
      </c>
      <c r="F2268" s="63">
        <f>IF('28'!K35="","",'28'!K35)</f>
        <v/>
      </c>
      <c r="G2268" s="63">
        <f>'28'!L35&amp;""</f>
        <v/>
      </c>
      <c r="H2268" s="63">
        <f>IF(OR(A2268="",F2268=""),"",F2268&amp;"|"&amp;A2268)</f>
        <v/>
      </c>
      <c r="I2268" s="63">
        <f>IF(AND(H2268&lt;&gt;"",OR('Historia wózka'!$B$4="",F2268='Historia wózka'!$B$4),A2268&gt;='Historia wózka'!$B$5,A2268&lt;='Historia wózka'!$B$6),A2268+0.7+(5000-ROW())/10000000,0)</f>
        <v/>
      </c>
      <c r="J2268" s="63">
        <f>Ustawienia!$B$10&amp;""</f>
        <v/>
      </c>
      <c r="K2268" s="63">
        <f>IF(H2268="","",COUNTIFS('Zgłoszenia'!$B$5:$B$504,F2268,'Zgłoszenia'!$D$5:$D$504,"&gt;="&amp;A2268,'Zgłoszenia'!$D$5:$D$504,"&lt;="&amp;(A2268+1)))</f>
        <v/>
      </c>
      <c r="L2268" s="63">
        <f>IF(OR(H2268="",K2268=0),"—",IF(ISNUMBER(MATCH(H2268,'Zgłoszenia'!$S$5:$S$504,0)),RIGHT("0"&amp;DAY(A2268),2)&amp;"."&amp;RIGHT("0"&amp;MONTH(A2268),2)&amp;"."&amp;YEAR(A2268)&amp;": "&amp;INDEX('Zgłoszenia'!$H$5:$H$504,MATCH(H2268,'Zgłoszenia'!$S$5:$S$504,0)),RIGHT("0"&amp;DAY((A2268+1)),2)&amp;"."&amp;RIGHT("0"&amp;MONTH((A2268+1)),2)&amp;"."&amp;YEAR((A2268+1))&amp;": "&amp;INDEX('Zgłoszenia'!$H$5:$H$504,MATCH(F2268&amp;"|"&amp;(A2268+1),'Zgłoszenia'!$S$5:$S$504,0)))&amp;IF(K2268&gt;1," (+"&amp;(K2268-1)&amp;")",""))</f>
        <v/>
      </c>
      <c r="M2268" s="63" t="n">
        <v>28</v>
      </c>
      <c r="N2268" s="2" t="n"/>
      <c r="O2268" s="2" t="n"/>
    </row>
    <row r="2269">
      <c r="A2269" s="62">
        <f>IF('28'!$C$1="","",'28'!$C$1)</f>
        <v/>
      </c>
      <c r="B2269" s="63">
        <f>Ustawienia!$A$10&amp;""</f>
        <v/>
      </c>
      <c r="C2269" s="63">
        <f>Ustawienia!$A$18&amp;""</f>
        <v/>
      </c>
      <c r="D2269" s="63" t="n">
        <v>5</v>
      </c>
      <c r="E2269" s="63">
        <f>IF('28'!J36="","",TRIM('28'!J36&amp;""))</f>
        <v/>
      </c>
      <c r="F2269" s="63">
        <f>IF('28'!K36="","",'28'!K36)</f>
        <v/>
      </c>
      <c r="G2269" s="63">
        <f>'28'!L36&amp;""</f>
        <v/>
      </c>
      <c r="H2269" s="63">
        <f>IF(OR(A2269="",F2269=""),"",F2269&amp;"|"&amp;A2269)</f>
        <v/>
      </c>
      <c r="I2269" s="63">
        <f>IF(AND(H2269&lt;&gt;"",OR('Historia wózka'!$B$4="",F2269='Historia wózka'!$B$4),A2269&gt;='Historia wózka'!$B$5,A2269&lt;='Historia wózka'!$B$6),A2269+0.7+(5000-ROW())/10000000,0)</f>
        <v/>
      </c>
      <c r="J2269" s="63">
        <f>Ustawienia!$B$10&amp;""</f>
        <v/>
      </c>
      <c r="K2269" s="63">
        <f>IF(H2269="","",COUNTIFS('Zgłoszenia'!$B$5:$B$504,F2269,'Zgłoszenia'!$D$5:$D$504,"&gt;="&amp;A2269,'Zgłoszenia'!$D$5:$D$504,"&lt;="&amp;(A2269+1)))</f>
        <v/>
      </c>
      <c r="L2269" s="63">
        <f>IF(OR(H2269="",K2269=0),"—",IF(ISNUMBER(MATCH(H2269,'Zgłoszenia'!$S$5:$S$504,0)),RIGHT("0"&amp;DAY(A2269),2)&amp;"."&amp;RIGHT("0"&amp;MONTH(A2269),2)&amp;"."&amp;YEAR(A2269)&amp;": "&amp;INDEX('Zgłoszenia'!$H$5:$H$504,MATCH(H2269,'Zgłoszenia'!$S$5:$S$504,0)),RIGHT("0"&amp;DAY((A2269+1)),2)&amp;"."&amp;RIGHT("0"&amp;MONTH((A2269+1)),2)&amp;"."&amp;YEAR((A2269+1))&amp;": "&amp;INDEX('Zgłoszenia'!$H$5:$H$504,MATCH(F2269&amp;"|"&amp;(A2269+1),'Zgłoszenia'!$S$5:$S$504,0)))&amp;IF(K2269&gt;1," (+"&amp;(K2269-1)&amp;")",""))</f>
        <v/>
      </c>
      <c r="M2269" s="63" t="n">
        <v>28</v>
      </c>
      <c r="N2269" s="2" t="n"/>
      <c r="O2269" s="2" t="n"/>
    </row>
    <row r="2270">
      <c r="A2270" s="62">
        <f>IF('29'!$C$1="","",'29'!$C$1)</f>
        <v/>
      </c>
      <c r="B2270" s="63">
        <f>Ustawienia!$A$8&amp;""</f>
        <v/>
      </c>
      <c r="C2270" s="63">
        <f>Ustawienia!$A$14&amp;""</f>
        <v/>
      </c>
      <c r="D2270" s="63" t="n">
        <v>1</v>
      </c>
      <c r="E2270" s="63">
        <f>IF('29'!B6="","",TRIM('29'!B6&amp;""))</f>
        <v/>
      </c>
      <c r="F2270" s="63">
        <f>IF('29'!C6="","",'29'!C6)</f>
        <v/>
      </c>
      <c r="G2270" s="63">
        <f>'29'!D6&amp;""</f>
        <v/>
      </c>
      <c r="H2270" s="63">
        <f>IF(OR(A2270="",F2270=""),"",F2270&amp;"|"&amp;A2270)</f>
        <v/>
      </c>
      <c r="I2270" s="63">
        <f>IF(AND(H2270&lt;&gt;"",OR('Historia wózka'!$B$4="",F2270='Historia wózka'!$B$4),A2270&gt;='Historia wózka'!$B$5,A2270&lt;='Historia wózka'!$B$6),A2270+0.9+(5000-ROW())/10000000,0)</f>
        <v/>
      </c>
      <c r="J2270" s="63">
        <f>Ustawienia!$B$8&amp;""</f>
        <v/>
      </c>
      <c r="K2270" s="63">
        <f>IF(H2270="","",COUNTIFS('Zgłoszenia'!$B$5:$B$504,F2270,'Zgłoszenia'!$D$5:$D$504,"&gt;="&amp;A2270,'Zgłoszenia'!$D$5:$D$504,"&lt;="&amp;(A2270+1)))</f>
        <v/>
      </c>
      <c r="L2270" s="63">
        <f>IF(OR(H2270="",K2270=0),"—",IF(ISNUMBER(MATCH(H2270,'Zgłoszenia'!$S$5:$S$504,0)),RIGHT("0"&amp;DAY(A2270),2)&amp;"."&amp;RIGHT("0"&amp;MONTH(A2270),2)&amp;"."&amp;YEAR(A2270)&amp;": "&amp;INDEX('Zgłoszenia'!$H$5:$H$504,MATCH(H2270,'Zgłoszenia'!$S$5:$S$504,0)),RIGHT("0"&amp;DAY((A2270+1)),2)&amp;"."&amp;RIGHT("0"&amp;MONTH((A2270+1)),2)&amp;"."&amp;YEAR((A2270+1))&amp;": "&amp;INDEX('Zgłoszenia'!$H$5:$H$504,MATCH(F2270&amp;"|"&amp;(A2270+1),'Zgłoszenia'!$S$5:$S$504,0)))&amp;IF(K2270&gt;1," (+"&amp;(K2270-1)&amp;")",""))</f>
        <v/>
      </c>
      <c r="M2270" s="63" t="n">
        <v>29</v>
      </c>
      <c r="N2270" s="2" t="n"/>
      <c r="O2270" s="2" t="n"/>
    </row>
    <row r="2271">
      <c r="A2271" s="62">
        <f>IF('29'!$C$1="","",'29'!$C$1)</f>
        <v/>
      </c>
      <c r="B2271" s="63">
        <f>Ustawienia!$A$8&amp;""</f>
        <v/>
      </c>
      <c r="C2271" s="63">
        <f>Ustawienia!$A$14&amp;""</f>
        <v/>
      </c>
      <c r="D2271" s="63" t="n">
        <v>2</v>
      </c>
      <c r="E2271" s="63">
        <f>IF('29'!B7="","",TRIM('29'!B7&amp;""))</f>
        <v/>
      </c>
      <c r="F2271" s="63">
        <f>IF('29'!C7="","",'29'!C7)</f>
        <v/>
      </c>
      <c r="G2271" s="63">
        <f>'29'!D7&amp;""</f>
        <v/>
      </c>
      <c r="H2271" s="63">
        <f>IF(OR(A2271="",F2271=""),"",F2271&amp;"|"&amp;A2271)</f>
        <v/>
      </c>
      <c r="I2271" s="63">
        <f>IF(AND(H2271&lt;&gt;"",OR('Historia wózka'!$B$4="",F2271='Historia wózka'!$B$4),A2271&gt;='Historia wózka'!$B$5,A2271&lt;='Historia wózka'!$B$6),A2271+0.9+(5000-ROW())/10000000,0)</f>
        <v/>
      </c>
      <c r="J2271" s="63">
        <f>Ustawienia!$B$8&amp;""</f>
        <v/>
      </c>
      <c r="K2271" s="63">
        <f>IF(H2271="","",COUNTIFS('Zgłoszenia'!$B$5:$B$504,F2271,'Zgłoszenia'!$D$5:$D$504,"&gt;="&amp;A2271,'Zgłoszenia'!$D$5:$D$504,"&lt;="&amp;(A2271+1)))</f>
        <v/>
      </c>
      <c r="L2271" s="63">
        <f>IF(OR(H2271="",K2271=0),"—",IF(ISNUMBER(MATCH(H2271,'Zgłoszenia'!$S$5:$S$504,0)),RIGHT("0"&amp;DAY(A2271),2)&amp;"."&amp;RIGHT("0"&amp;MONTH(A2271),2)&amp;"."&amp;YEAR(A2271)&amp;": "&amp;INDEX('Zgłoszenia'!$H$5:$H$504,MATCH(H2271,'Zgłoszenia'!$S$5:$S$504,0)),RIGHT("0"&amp;DAY((A2271+1)),2)&amp;"."&amp;RIGHT("0"&amp;MONTH((A2271+1)),2)&amp;"."&amp;YEAR((A2271+1))&amp;": "&amp;INDEX('Zgłoszenia'!$H$5:$H$504,MATCH(F2271&amp;"|"&amp;(A2271+1),'Zgłoszenia'!$S$5:$S$504,0)))&amp;IF(K2271&gt;1," (+"&amp;(K2271-1)&amp;")",""))</f>
        <v/>
      </c>
      <c r="M2271" s="63" t="n">
        <v>29</v>
      </c>
      <c r="N2271" s="2" t="n"/>
      <c r="O2271" s="2" t="n"/>
    </row>
    <row r="2272">
      <c r="A2272" s="62">
        <f>IF('29'!$C$1="","",'29'!$C$1)</f>
        <v/>
      </c>
      <c r="B2272" s="63">
        <f>Ustawienia!$A$8&amp;""</f>
        <v/>
      </c>
      <c r="C2272" s="63">
        <f>Ustawienia!$A$14&amp;""</f>
        <v/>
      </c>
      <c r="D2272" s="63" t="n">
        <v>3</v>
      </c>
      <c r="E2272" s="63">
        <f>IF('29'!B8="","",TRIM('29'!B8&amp;""))</f>
        <v/>
      </c>
      <c r="F2272" s="63">
        <f>IF('29'!C8="","",'29'!C8)</f>
        <v/>
      </c>
      <c r="G2272" s="63">
        <f>'29'!D8&amp;""</f>
        <v/>
      </c>
      <c r="H2272" s="63">
        <f>IF(OR(A2272="",F2272=""),"",F2272&amp;"|"&amp;A2272)</f>
        <v/>
      </c>
      <c r="I2272" s="63">
        <f>IF(AND(H2272&lt;&gt;"",OR('Historia wózka'!$B$4="",F2272='Historia wózka'!$B$4),A2272&gt;='Historia wózka'!$B$5,A2272&lt;='Historia wózka'!$B$6),A2272+0.9+(5000-ROW())/10000000,0)</f>
        <v/>
      </c>
      <c r="J2272" s="63">
        <f>Ustawienia!$B$8&amp;""</f>
        <v/>
      </c>
      <c r="K2272" s="63">
        <f>IF(H2272="","",COUNTIFS('Zgłoszenia'!$B$5:$B$504,F2272,'Zgłoszenia'!$D$5:$D$504,"&gt;="&amp;A2272,'Zgłoszenia'!$D$5:$D$504,"&lt;="&amp;(A2272+1)))</f>
        <v/>
      </c>
      <c r="L2272" s="63">
        <f>IF(OR(H2272="",K2272=0),"—",IF(ISNUMBER(MATCH(H2272,'Zgłoszenia'!$S$5:$S$504,0)),RIGHT("0"&amp;DAY(A2272),2)&amp;"."&amp;RIGHT("0"&amp;MONTH(A2272),2)&amp;"."&amp;YEAR(A2272)&amp;": "&amp;INDEX('Zgłoszenia'!$H$5:$H$504,MATCH(H2272,'Zgłoszenia'!$S$5:$S$504,0)),RIGHT("0"&amp;DAY((A2272+1)),2)&amp;"."&amp;RIGHT("0"&amp;MONTH((A2272+1)),2)&amp;"."&amp;YEAR((A2272+1))&amp;": "&amp;INDEX('Zgłoszenia'!$H$5:$H$504,MATCH(F2272&amp;"|"&amp;(A2272+1),'Zgłoszenia'!$S$5:$S$504,0)))&amp;IF(K2272&gt;1," (+"&amp;(K2272-1)&amp;")",""))</f>
        <v/>
      </c>
      <c r="M2272" s="63" t="n">
        <v>29</v>
      </c>
      <c r="N2272" s="2" t="n"/>
      <c r="O2272" s="2" t="n"/>
    </row>
    <row r="2273">
      <c r="A2273" s="62">
        <f>IF('29'!$C$1="","",'29'!$C$1)</f>
        <v/>
      </c>
      <c r="B2273" s="63">
        <f>Ustawienia!$A$8&amp;""</f>
        <v/>
      </c>
      <c r="C2273" s="63">
        <f>Ustawienia!$A$14&amp;""</f>
        <v/>
      </c>
      <c r="D2273" s="63" t="n">
        <v>4</v>
      </c>
      <c r="E2273" s="63">
        <f>IF('29'!B9="","",TRIM('29'!B9&amp;""))</f>
        <v/>
      </c>
      <c r="F2273" s="63">
        <f>IF('29'!C9="","",'29'!C9)</f>
        <v/>
      </c>
      <c r="G2273" s="63">
        <f>'29'!D9&amp;""</f>
        <v/>
      </c>
      <c r="H2273" s="63">
        <f>IF(OR(A2273="",F2273=""),"",F2273&amp;"|"&amp;A2273)</f>
        <v/>
      </c>
      <c r="I2273" s="63">
        <f>IF(AND(H2273&lt;&gt;"",OR('Historia wózka'!$B$4="",F2273='Historia wózka'!$B$4),A2273&gt;='Historia wózka'!$B$5,A2273&lt;='Historia wózka'!$B$6),A2273+0.9+(5000-ROW())/10000000,0)</f>
        <v/>
      </c>
      <c r="J2273" s="63">
        <f>Ustawienia!$B$8&amp;""</f>
        <v/>
      </c>
      <c r="K2273" s="63">
        <f>IF(H2273="","",COUNTIFS('Zgłoszenia'!$B$5:$B$504,F2273,'Zgłoszenia'!$D$5:$D$504,"&gt;="&amp;A2273,'Zgłoszenia'!$D$5:$D$504,"&lt;="&amp;(A2273+1)))</f>
        <v/>
      </c>
      <c r="L2273" s="63">
        <f>IF(OR(H2273="",K2273=0),"—",IF(ISNUMBER(MATCH(H2273,'Zgłoszenia'!$S$5:$S$504,0)),RIGHT("0"&amp;DAY(A2273),2)&amp;"."&amp;RIGHT("0"&amp;MONTH(A2273),2)&amp;"."&amp;YEAR(A2273)&amp;": "&amp;INDEX('Zgłoszenia'!$H$5:$H$504,MATCH(H2273,'Zgłoszenia'!$S$5:$S$504,0)),RIGHT("0"&amp;DAY((A2273+1)),2)&amp;"."&amp;RIGHT("0"&amp;MONTH((A2273+1)),2)&amp;"."&amp;YEAR((A2273+1))&amp;": "&amp;INDEX('Zgłoszenia'!$H$5:$H$504,MATCH(F2273&amp;"|"&amp;(A2273+1),'Zgłoszenia'!$S$5:$S$504,0)))&amp;IF(K2273&gt;1," (+"&amp;(K2273-1)&amp;")",""))</f>
        <v/>
      </c>
      <c r="M2273" s="63" t="n">
        <v>29</v>
      </c>
      <c r="N2273" s="2" t="n"/>
      <c r="O2273" s="2" t="n"/>
    </row>
    <row r="2274">
      <c r="A2274" s="62">
        <f>IF('29'!$C$1="","",'29'!$C$1)</f>
        <v/>
      </c>
      <c r="B2274" s="63">
        <f>Ustawienia!$A$8&amp;""</f>
        <v/>
      </c>
      <c r="C2274" s="63">
        <f>Ustawienia!$A$14&amp;""</f>
        <v/>
      </c>
      <c r="D2274" s="63" t="n">
        <v>5</v>
      </c>
      <c r="E2274" s="63">
        <f>IF('29'!B10="","",TRIM('29'!B10&amp;""))</f>
        <v/>
      </c>
      <c r="F2274" s="63">
        <f>IF('29'!C10="","",'29'!C10)</f>
        <v/>
      </c>
      <c r="G2274" s="63">
        <f>'29'!D10&amp;""</f>
        <v/>
      </c>
      <c r="H2274" s="63">
        <f>IF(OR(A2274="",F2274=""),"",F2274&amp;"|"&amp;A2274)</f>
        <v/>
      </c>
      <c r="I2274" s="63">
        <f>IF(AND(H2274&lt;&gt;"",OR('Historia wózka'!$B$4="",F2274='Historia wózka'!$B$4),A2274&gt;='Historia wózka'!$B$5,A2274&lt;='Historia wózka'!$B$6),A2274+0.9+(5000-ROW())/10000000,0)</f>
        <v/>
      </c>
      <c r="J2274" s="63">
        <f>Ustawienia!$B$8&amp;""</f>
        <v/>
      </c>
      <c r="K2274" s="63">
        <f>IF(H2274="","",COUNTIFS('Zgłoszenia'!$B$5:$B$504,F2274,'Zgłoszenia'!$D$5:$D$504,"&gt;="&amp;A2274,'Zgłoszenia'!$D$5:$D$504,"&lt;="&amp;(A2274+1)))</f>
        <v/>
      </c>
      <c r="L2274" s="63">
        <f>IF(OR(H2274="",K2274=0),"—",IF(ISNUMBER(MATCH(H2274,'Zgłoszenia'!$S$5:$S$504,0)),RIGHT("0"&amp;DAY(A2274),2)&amp;"."&amp;RIGHT("0"&amp;MONTH(A2274),2)&amp;"."&amp;YEAR(A2274)&amp;": "&amp;INDEX('Zgłoszenia'!$H$5:$H$504,MATCH(H2274,'Zgłoszenia'!$S$5:$S$504,0)),RIGHT("0"&amp;DAY((A2274+1)),2)&amp;"."&amp;RIGHT("0"&amp;MONTH((A2274+1)),2)&amp;"."&amp;YEAR((A2274+1))&amp;": "&amp;INDEX('Zgłoszenia'!$H$5:$H$504,MATCH(F2274&amp;"|"&amp;(A2274+1),'Zgłoszenia'!$S$5:$S$504,0)))&amp;IF(K2274&gt;1," (+"&amp;(K2274-1)&amp;")",""))</f>
        <v/>
      </c>
      <c r="M2274" s="63" t="n">
        <v>29</v>
      </c>
      <c r="N2274" s="2" t="n"/>
      <c r="O2274" s="2" t="n"/>
    </row>
    <row r="2275">
      <c r="A2275" s="62">
        <f>IF('29'!$C$1="","",'29'!$C$1)</f>
        <v/>
      </c>
      <c r="B2275" s="63">
        <f>Ustawienia!$A$8&amp;""</f>
        <v/>
      </c>
      <c r="C2275" s="63">
        <f>Ustawienia!$A$14&amp;""</f>
        <v/>
      </c>
      <c r="D2275" s="63" t="n">
        <v>6</v>
      </c>
      <c r="E2275" s="63">
        <f>IF('29'!B11="","",TRIM('29'!B11&amp;""))</f>
        <v/>
      </c>
      <c r="F2275" s="63">
        <f>IF('29'!C11="","",'29'!C11)</f>
        <v/>
      </c>
      <c r="G2275" s="63">
        <f>'29'!D11&amp;""</f>
        <v/>
      </c>
      <c r="H2275" s="63">
        <f>IF(OR(A2275="",F2275=""),"",F2275&amp;"|"&amp;A2275)</f>
        <v/>
      </c>
      <c r="I2275" s="63">
        <f>IF(AND(H2275&lt;&gt;"",OR('Historia wózka'!$B$4="",F2275='Historia wózka'!$B$4),A2275&gt;='Historia wózka'!$B$5,A2275&lt;='Historia wózka'!$B$6),A2275+0.9+(5000-ROW())/10000000,0)</f>
        <v/>
      </c>
      <c r="J2275" s="63">
        <f>Ustawienia!$B$8&amp;""</f>
        <v/>
      </c>
      <c r="K2275" s="63">
        <f>IF(H2275="","",COUNTIFS('Zgłoszenia'!$B$5:$B$504,F2275,'Zgłoszenia'!$D$5:$D$504,"&gt;="&amp;A2275,'Zgłoszenia'!$D$5:$D$504,"&lt;="&amp;(A2275+1)))</f>
        <v/>
      </c>
      <c r="L2275" s="63">
        <f>IF(OR(H2275="",K2275=0),"—",IF(ISNUMBER(MATCH(H2275,'Zgłoszenia'!$S$5:$S$504,0)),RIGHT("0"&amp;DAY(A2275),2)&amp;"."&amp;RIGHT("0"&amp;MONTH(A2275),2)&amp;"."&amp;YEAR(A2275)&amp;": "&amp;INDEX('Zgłoszenia'!$H$5:$H$504,MATCH(H2275,'Zgłoszenia'!$S$5:$S$504,0)),RIGHT("0"&amp;DAY((A2275+1)),2)&amp;"."&amp;RIGHT("0"&amp;MONTH((A2275+1)),2)&amp;"."&amp;YEAR((A2275+1))&amp;": "&amp;INDEX('Zgłoszenia'!$H$5:$H$504,MATCH(F2275&amp;"|"&amp;(A2275+1),'Zgłoszenia'!$S$5:$S$504,0)))&amp;IF(K2275&gt;1," (+"&amp;(K2275-1)&amp;")",""))</f>
        <v/>
      </c>
      <c r="M2275" s="63" t="n">
        <v>29</v>
      </c>
      <c r="N2275" s="2" t="n"/>
      <c r="O2275" s="2" t="n"/>
    </row>
    <row r="2276">
      <c r="A2276" s="62">
        <f>IF('29'!$C$1="","",'29'!$C$1)</f>
        <v/>
      </c>
      <c r="B2276" s="63">
        <f>Ustawienia!$A$8&amp;""</f>
        <v/>
      </c>
      <c r="C2276" s="63">
        <f>Ustawienia!$A$15&amp;""</f>
        <v/>
      </c>
      <c r="D2276" s="63" t="n">
        <v>1</v>
      </c>
      <c r="E2276" s="63">
        <f>IF('29'!B13="","",TRIM('29'!B13&amp;""))</f>
        <v/>
      </c>
      <c r="F2276" s="63">
        <f>IF('29'!C13="","",'29'!C13)</f>
        <v/>
      </c>
      <c r="G2276" s="63">
        <f>'29'!D13&amp;""</f>
        <v/>
      </c>
      <c r="H2276" s="63">
        <f>IF(OR(A2276="",F2276=""),"",F2276&amp;"|"&amp;A2276)</f>
        <v/>
      </c>
      <c r="I2276" s="63">
        <f>IF(AND(H2276&lt;&gt;"",OR('Historia wózka'!$B$4="",F2276='Historia wózka'!$B$4),A2276&gt;='Historia wózka'!$B$5,A2276&lt;='Historia wózka'!$B$6),A2276+0.9+(5000-ROW())/10000000,0)</f>
        <v/>
      </c>
      <c r="J2276" s="63">
        <f>Ustawienia!$B$8&amp;""</f>
        <v/>
      </c>
      <c r="K2276" s="63">
        <f>IF(H2276="","",COUNTIFS('Zgłoszenia'!$B$5:$B$504,F2276,'Zgłoszenia'!$D$5:$D$504,"&gt;="&amp;A2276,'Zgłoszenia'!$D$5:$D$504,"&lt;="&amp;(A2276+1)))</f>
        <v/>
      </c>
      <c r="L2276" s="63">
        <f>IF(OR(H2276="",K2276=0),"—",IF(ISNUMBER(MATCH(H2276,'Zgłoszenia'!$S$5:$S$504,0)),RIGHT("0"&amp;DAY(A2276),2)&amp;"."&amp;RIGHT("0"&amp;MONTH(A2276),2)&amp;"."&amp;YEAR(A2276)&amp;": "&amp;INDEX('Zgłoszenia'!$H$5:$H$504,MATCH(H2276,'Zgłoszenia'!$S$5:$S$504,0)),RIGHT("0"&amp;DAY((A2276+1)),2)&amp;"."&amp;RIGHT("0"&amp;MONTH((A2276+1)),2)&amp;"."&amp;YEAR((A2276+1))&amp;": "&amp;INDEX('Zgłoszenia'!$H$5:$H$504,MATCH(F2276&amp;"|"&amp;(A2276+1),'Zgłoszenia'!$S$5:$S$504,0)))&amp;IF(K2276&gt;1," (+"&amp;(K2276-1)&amp;")",""))</f>
        <v/>
      </c>
      <c r="M2276" s="63" t="n">
        <v>29</v>
      </c>
      <c r="N2276" s="2" t="n"/>
      <c r="O2276" s="2" t="n"/>
    </row>
    <row r="2277">
      <c r="A2277" s="62">
        <f>IF('29'!$C$1="","",'29'!$C$1)</f>
        <v/>
      </c>
      <c r="B2277" s="63">
        <f>Ustawienia!$A$8&amp;""</f>
        <v/>
      </c>
      <c r="C2277" s="63">
        <f>Ustawienia!$A$15&amp;""</f>
        <v/>
      </c>
      <c r="D2277" s="63" t="n">
        <v>2</v>
      </c>
      <c r="E2277" s="63">
        <f>IF('29'!B14="","",TRIM('29'!B14&amp;""))</f>
        <v/>
      </c>
      <c r="F2277" s="63">
        <f>IF('29'!C14="","",'29'!C14)</f>
        <v/>
      </c>
      <c r="G2277" s="63">
        <f>'29'!D14&amp;""</f>
        <v/>
      </c>
      <c r="H2277" s="63">
        <f>IF(OR(A2277="",F2277=""),"",F2277&amp;"|"&amp;A2277)</f>
        <v/>
      </c>
      <c r="I2277" s="63">
        <f>IF(AND(H2277&lt;&gt;"",OR('Historia wózka'!$B$4="",F2277='Historia wózka'!$B$4),A2277&gt;='Historia wózka'!$B$5,A2277&lt;='Historia wózka'!$B$6),A2277+0.9+(5000-ROW())/10000000,0)</f>
        <v/>
      </c>
      <c r="J2277" s="63">
        <f>Ustawienia!$B$8&amp;""</f>
        <v/>
      </c>
      <c r="K2277" s="63">
        <f>IF(H2277="","",COUNTIFS('Zgłoszenia'!$B$5:$B$504,F2277,'Zgłoszenia'!$D$5:$D$504,"&gt;="&amp;A2277,'Zgłoszenia'!$D$5:$D$504,"&lt;="&amp;(A2277+1)))</f>
        <v/>
      </c>
      <c r="L2277" s="63">
        <f>IF(OR(H2277="",K2277=0),"—",IF(ISNUMBER(MATCH(H2277,'Zgłoszenia'!$S$5:$S$504,0)),RIGHT("0"&amp;DAY(A2277),2)&amp;"."&amp;RIGHT("0"&amp;MONTH(A2277),2)&amp;"."&amp;YEAR(A2277)&amp;": "&amp;INDEX('Zgłoszenia'!$H$5:$H$504,MATCH(H2277,'Zgłoszenia'!$S$5:$S$504,0)),RIGHT("0"&amp;DAY((A2277+1)),2)&amp;"."&amp;RIGHT("0"&amp;MONTH((A2277+1)),2)&amp;"."&amp;YEAR((A2277+1))&amp;": "&amp;INDEX('Zgłoszenia'!$H$5:$H$504,MATCH(F2277&amp;"|"&amp;(A2277+1),'Zgłoszenia'!$S$5:$S$504,0)))&amp;IF(K2277&gt;1," (+"&amp;(K2277-1)&amp;")",""))</f>
        <v/>
      </c>
      <c r="M2277" s="63" t="n">
        <v>29</v>
      </c>
      <c r="N2277" s="2" t="n"/>
      <c r="O2277" s="2" t="n"/>
    </row>
    <row r="2278">
      <c r="A2278" s="62">
        <f>IF('29'!$C$1="","",'29'!$C$1)</f>
        <v/>
      </c>
      <c r="B2278" s="63">
        <f>Ustawienia!$A$8&amp;""</f>
        <v/>
      </c>
      <c r="C2278" s="63">
        <f>Ustawienia!$A$15&amp;""</f>
        <v/>
      </c>
      <c r="D2278" s="63" t="n">
        <v>3</v>
      </c>
      <c r="E2278" s="63">
        <f>IF('29'!B15="","",TRIM('29'!B15&amp;""))</f>
        <v/>
      </c>
      <c r="F2278" s="63">
        <f>IF('29'!C15="","",'29'!C15)</f>
        <v/>
      </c>
      <c r="G2278" s="63">
        <f>'29'!D15&amp;""</f>
        <v/>
      </c>
      <c r="H2278" s="63">
        <f>IF(OR(A2278="",F2278=""),"",F2278&amp;"|"&amp;A2278)</f>
        <v/>
      </c>
      <c r="I2278" s="63">
        <f>IF(AND(H2278&lt;&gt;"",OR('Historia wózka'!$B$4="",F2278='Historia wózka'!$B$4),A2278&gt;='Historia wózka'!$B$5,A2278&lt;='Historia wózka'!$B$6),A2278+0.9+(5000-ROW())/10000000,0)</f>
        <v/>
      </c>
      <c r="J2278" s="63">
        <f>Ustawienia!$B$8&amp;""</f>
        <v/>
      </c>
      <c r="K2278" s="63">
        <f>IF(H2278="","",COUNTIFS('Zgłoszenia'!$B$5:$B$504,F2278,'Zgłoszenia'!$D$5:$D$504,"&gt;="&amp;A2278,'Zgłoszenia'!$D$5:$D$504,"&lt;="&amp;(A2278+1)))</f>
        <v/>
      </c>
      <c r="L2278" s="63">
        <f>IF(OR(H2278="",K2278=0),"—",IF(ISNUMBER(MATCH(H2278,'Zgłoszenia'!$S$5:$S$504,0)),RIGHT("0"&amp;DAY(A2278),2)&amp;"."&amp;RIGHT("0"&amp;MONTH(A2278),2)&amp;"."&amp;YEAR(A2278)&amp;": "&amp;INDEX('Zgłoszenia'!$H$5:$H$504,MATCH(H2278,'Zgłoszenia'!$S$5:$S$504,0)),RIGHT("0"&amp;DAY((A2278+1)),2)&amp;"."&amp;RIGHT("0"&amp;MONTH((A2278+1)),2)&amp;"."&amp;YEAR((A2278+1))&amp;": "&amp;INDEX('Zgłoszenia'!$H$5:$H$504,MATCH(F2278&amp;"|"&amp;(A2278+1),'Zgłoszenia'!$S$5:$S$504,0)))&amp;IF(K2278&gt;1," (+"&amp;(K2278-1)&amp;")",""))</f>
        <v/>
      </c>
      <c r="M2278" s="63" t="n">
        <v>29</v>
      </c>
      <c r="N2278" s="2" t="n"/>
      <c r="O2278" s="2" t="n"/>
    </row>
    <row r="2279">
      <c r="A2279" s="62">
        <f>IF('29'!$C$1="","",'29'!$C$1)</f>
        <v/>
      </c>
      <c r="B2279" s="63">
        <f>Ustawienia!$A$8&amp;""</f>
        <v/>
      </c>
      <c r="C2279" s="63">
        <f>Ustawienia!$A$15&amp;""</f>
        <v/>
      </c>
      <c r="D2279" s="63" t="n">
        <v>4</v>
      </c>
      <c r="E2279" s="63">
        <f>IF('29'!B16="","",TRIM('29'!B16&amp;""))</f>
        <v/>
      </c>
      <c r="F2279" s="63">
        <f>IF('29'!C16="","",'29'!C16)</f>
        <v/>
      </c>
      <c r="G2279" s="63">
        <f>'29'!D16&amp;""</f>
        <v/>
      </c>
      <c r="H2279" s="63">
        <f>IF(OR(A2279="",F2279=""),"",F2279&amp;"|"&amp;A2279)</f>
        <v/>
      </c>
      <c r="I2279" s="63">
        <f>IF(AND(H2279&lt;&gt;"",OR('Historia wózka'!$B$4="",F2279='Historia wózka'!$B$4),A2279&gt;='Historia wózka'!$B$5,A2279&lt;='Historia wózka'!$B$6),A2279+0.9+(5000-ROW())/10000000,0)</f>
        <v/>
      </c>
      <c r="J2279" s="63">
        <f>Ustawienia!$B$8&amp;""</f>
        <v/>
      </c>
      <c r="K2279" s="63">
        <f>IF(H2279="","",COUNTIFS('Zgłoszenia'!$B$5:$B$504,F2279,'Zgłoszenia'!$D$5:$D$504,"&gt;="&amp;A2279,'Zgłoszenia'!$D$5:$D$504,"&lt;="&amp;(A2279+1)))</f>
        <v/>
      </c>
      <c r="L2279" s="63">
        <f>IF(OR(H2279="",K2279=0),"—",IF(ISNUMBER(MATCH(H2279,'Zgłoszenia'!$S$5:$S$504,0)),RIGHT("0"&amp;DAY(A2279),2)&amp;"."&amp;RIGHT("0"&amp;MONTH(A2279),2)&amp;"."&amp;YEAR(A2279)&amp;": "&amp;INDEX('Zgłoszenia'!$H$5:$H$504,MATCH(H2279,'Zgłoszenia'!$S$5:$S$504,0)),RIGHT("0"&amp;DAY((A2279+1)),2)&amp;"."&amp;RIGHT("0"&amp;MONTH((A2279+1)),2)&amp;"."&amp;YEAR((A2279+1))&amp;": "&amp;INDEX('Zgłoszenia'!$H$5:$H$504,MATCH(F2279&amp;"|"&amp;(A2279+1),'Zgłoszenia'!$S$5:$S$504,0)))&amp;IF(K2279&gt;1," (+"&amp;(K2279-1)&amp;")",""))</f>
        <v/>
      </c>
      <c r="M2279" s="63" t="n">
        <v>29</v>
      </c>
      <c r="N2279" s="2" t="n"/>
      <c r="O2279" s="2" t="n"/>
    </row>
    <row r="2280">
      <c r="A2280" s="62">
        <f>IF('29'!$C$1="","",'29'!$C$1)</f>
        <v/>
      </c>
      <c r="B2280" s="63">
        <f>Ustawienia!$A$8&amp;""</f>
        <v/>
      </c>
      <c r="C2280" s="63">
        <f>Ustawienia!$A$15&amp;""</f>
        <v/>
      </c>
      <c r="D2280" s="63" t="n">
        <v>5</v>
      </c>
      <c r="E2280" s="63">
        <f>IF('29'!B17="","",TRIM('29'!B17&amp;""))</f>
        <v/>
      </c>
      <c r="F2280" s="63">
        <f>IF('29'!C17="","",'29'!C17)</f>
        <v/>
      </c>
      <c r="G2280" s="63">
        <f>'29'!D17&amp;""</f>
        <v/>
      </c>
      <c r="H2280" s="63">
        <f>IF(OR(A2280="",F2280=""),"",F2280&amp;"|"&amp;A2280)</f>
        <v/>
      </c>
      <c r="I2280" s="63">
        <f>IF(AND(H2280&lt;&gt;"",OR('Historia wózka'!$B$4="",F2280='Historia wózka'!$B$4),A2280&gt;='Historia wózka'!$B$5,A2280&lt;='Historia wózka'!$B$6),A2280+0.9+(5000-ROW())/10000000,0)</f>
        <v/>
      </c>
      <c r="J2280" s="63">
        <f>Ustawienia!$B$8&amp;""</f>
        <v/>
      </c>
      <c r="K2280" s="63">
        <f>IF(H2280="","",COUNTIFS('Zgłoszenia'!$B$5:$B$504,F2280,'Zgłoszenia'!$D$5:$D$504,"&gt;="&amp;A2280,'Zgłoszenia'!$D$5:$D$504,"&lt;="&amp;(A2280+1)))</f>
        <v/>
      </c>
      <c r="L2280" s="63">
        <f>IF(OR(H2280="",K2280=0),"—",IF(ISNUMBER(MATCH(H2280,'Zgłoszenia'!$S$5:$S$504,0)),RIGHT("0"&amp;DAY(A2280),2)&amp;"."&amp;RIGHT("0"&amp;MONTH(A2280),2)&amp;"."&amp;YEAR(A2280)&amp;": "&amp;INDEX('Zgłoszenia'!$H$5:$H$504,MATCH(H2280,'Zgłoszenia'!$S$5:$S$504,0)),RIGHT("0"&amp;DAY((A2280+1)),2)&amp;"."&amp;RIGHT("0"&amp;MONTH((A2280+1)),2)&amp;"."&amp;YEAR((A2280+1))&amp;": "&amp;INDEX('Zgłoszenia'!$H$5:$H$504,MATCH(F2280&amp;"|"&amp;(A2280+1),'Zgłoszenia'!$S$5:$S$504,0)))&amp;IF(K2280&gt;1," (+"&amp;(K2280-1)&amp;")",""))</f>
        <v/>
      </c>
      <c r="M2280" s="63" t="n">
        <v>29</v>
      </c>
      <c r="N2280" s="2" t="n"/>
      <c r="O2280" s="2" t="n"/>
    </row>
    <row r="2281">
      <c r="A2281" s="62">
        <f>IF('29'!$C$1="","",'29'!$C$1)</f>
        <v/>
      </c>
      <c r="B2281" s="63">
        <f>Ustawienia!$A$8&amp;""</f>
        <v/>
      </c>
      <c r="C2281" s="63">
        <f>Ustawienia!$A$15&amp;""</f>
        <v/>
      </c>
      <c r="D2281" s="63" t="n">
        <v>6</v>
      </c>
      <c r="E2281" s="63">
        <f>IF('29'!B18="","",TRIM('29'!B18&amp;""))</f>
        <v/>
      </c>
      <c r="F2281" s="63">
        <f>IF('29'!C18="","",'29'!C18)</f>
        <v/>
      </c>
      <c r="G2281" s="63">
        <f>'29'!D18&amp;""</f>
        <v/>
      </c>
      <c r="H2281" s="63">
        <f>IF(OR(A2281="",F2281=""),"",F2281&amp;"|"&amp;A2281)</f>
        <v/>
      </c>
      <c r="I2281" s="63">
        <f>IF(AND(H2281&lt;&gt;"",OR('Historia wózka'!$B$4="",F2281='Historia wózka'!$B$4),A2281&gt;='Historia wózka'!$B$5,A2281&lt;='Historia wózka'!$B$6),A2281+0.9+(5000-ROW())/10000000,0)</f>
        <v/>
      </c>
      <c r="J2281" s="63">
        <f>Ustawienia!$B$8&amp;""</f>
        <v/>
      </c>
      <c r="K2281" s="63">
        <f>IF(H2281="","",COUNTIFS('Zgłoszenia'!$B$5:$B$504,F2281,'Zgłoszenia'!$D$5:$D$504,"&gt;="&amp;A2281,'Zgłoszenia'!$D$5:$D$504,"&lt;="&amp;(A2281+1)))</f>
        <v/>
      </c>
      <c r="L2281" s="63">
        <f>IF(OR(H2281="",K2281=0),"—",IF(ISNUMBER(MATCH(H2281,'Zgłoszenia'!$S$5:$S$504,0)),RIGHT("0"&amp;DAY(A2281),2)&amp;"."&amp;RIGHT("0"&amp;MONTH(A2281),2)&amp;"."&amp;YEAR(A2281)&amp;": "&amp;INDEX('Zgłoszenia'!$H$5:$H$504,MATCH(H2281,'Zgłoszenia'!$S$5:$S$504,0)),RIGHT("0"&amp;DAY((A2281+1)),2)&amp;"."&amp;RIGHT("0"&amp;MONTH((A2281+1)),2)&amp;"."&amp;YEAR((A2281+1))&amp;": "&amp;INDEX('Zgłoszenia'!$H$5:$H$504,MATCH(F2281&amp;"|"&amp;(A2281+1),'Zgłoszenia'!$S$5:$S$504,0)))&amp;IF(K2281&gt;1," (+"&amp;(K2281-1)&amp;")",""))</f>
        <v/>
      </c>
      <c r="M2281" s="63" t="n">
        <v>29</v>
      </c>
      <c r="N2281" s="2" t="n"/>
      <c r="O2281" s="2" t="n"/>
    </row>
    <row r="2282">
      <c r="A2282" s="62">
        <f>IF('29'!$C$1="","",'29'!$C$1)</f>
        <v/>
      </c>
      <c r="B2282" s="63">
        <f>Ustawienia!$A$8&amp;""</f>
        <v/>
      </c>
      <c r="C2282" s="63">
        <f>Ustawienia!$A$15&amp;""</f>
        <v/>
      </c>
      <c r="D2282" s="63" t="n">
        <v>7</v>
      </c>
      <c r="E2282" s="63">
        <f>IF('29'!B19="","",TRIM('29'!B19&amp;""))</f>
        <v/>
      </c>
      <c r="F2282" s="63">
        <f>IF('29'!C19="","",'29'!C19)</f>
        <v/>
      </c>
      <c r="G2282" s="63">
        <f>'29'!D19&amp;""</f>
        <v/>
      </c>
      <c r="H2282" s="63">
        <f>IF(OR(A2282="",F2282=""),"",F2282&amp;"|"&amp;A2282)</f>
        <v/>
      </c>
      <c r="I2282" s="63">
        <f>IF(AND(H2282&lt;&gt;"",OR('Historia wózka'!$B$4="",F2282='Historia wózka'!$B$4),A2282&gt;='Historia wózka'!$B$5,A2282&lt;='Historia wózka'!$B$6),A2282+0.9+(5000-ROW())/10000000,0)</f>
        <v/>
      </c>
      <c r="J2282" s="63">
        <f>Ustawienia!$B$8&amp;""</f>
        <v/>
      </c>
      <c r="K2282" s="63">
        <f>IF(H2282="","",COUNTIFS('Zgłoszenia'!$B$5:$B$504,F2282,'Zgłoszenia'!$D$5:$D$504,"&gt;="&amp;A2282,'Zgłoszenia'!$D$5:$D$504,"&lt;="&amp;(A2282+1)))</f>
        <v/>
      </c>
      <c r="L2282" s="63">
        <f>IF(OR(H2282="",K2282=0),"—",IF(ISNUMBER(MATCH(H2282,'Zgłoszenia'!$S$5:$S$504,0)),RIGHT("0"&amp;DAY(A2282),2)&amp;"."&amp;RIGHT("0"&amp;MONTH(A2282),2)&amp;"."&amp;YEAR(A2282)&amp;": "&amp;INDEX('Zgłoszenia'!$H$5:$H$504,MATCH(H2282,'Zgłoszenia'!$S$5:$S$504,0)),RIGHT("0"&amp;DAY((A2282+1)),2)&amp;"."&amp;RIGHT("0"&amp;MONTH((A2282+1)),2)&amp;"."&amp;YEAR((A2282+1))&amp;": "&amp;INDEX('Zgłoszenia'!$H$5:$H$504,MATCH(F2282&amp;"|"&amp;(A2282+1),'Zgłoszenia'!$S$5:$S$504,0)))&amp;IF(K2282&gt;1," (+"&amp;(K2282-1)&amp;")",""))</f>
        <v/>
      </c>
      <c r="M2282" s="63" t="n">
        <v>29</v>
      </c>
      <c r="N2282" s="2" t="n"/>
      <c r="O2282" s="2" t="n"/>
    </row>
    <row r="2283">
      <c r="A2283" s="62">
        <f>IF('29'!$C$1="","",'29'!$C$1)</f>
        <v/>
      </c>
      <c r="B2283" s="63">
        <f>Ustawienia!$A$8&amp;""</f>
        <v/>
      </c>
      <c r="C2283" s="63">
        <f>Ustawienia!$A$15&amp;""</f>
        <v/>
      </c>
      <c r="D2283" s="63" t="n">
        <v>8</v>
      </c>
      <c r="E2283" s="63">
        <f>IF('29'!B20="","",TRIM('29'!B20&amp;""))</f>
        <v/>
      </c>
      <c r="F2283" s="63">
        <f>IF('29'!C20="","",'29'!C20)</f>
        <v/>
      </c>
      <c r="G2283" s="63">
        <f>'29'!D20&amp;""</f>
        <v/>
      </c>
      <c r="H2283" s="63">
        <f>IF(OR(A2283="",F2283=""),"",F2283&amp;"|"&amp;A2283)</f>
        <v/>
      </c>
      <c r="I2283" s="63">
        <f>IF(AND(H2283&lt;&gt;"",OR('Historia wózka'!$B$4="",F2283='Historia wózka'!$B$4),A2283&gt;='Historia wózka'!$B$5,A2283&lt;='Historia wózka'!$B$6),A2283+0.9+(5000-ROW())/10000000,0)</f>
        <v/>
      </c>
      <c r="J2283" s="63">
        <f>Ustawienia!$B$8&amp;""</f>
        <v/>
      </c>
      <c r="K2283" s="63">
        <f>IF(H2283="","",COUNTIFS('Zgłoszenia'!$B$5:$B$504,F2283,'Zgłoszenia'!$D$5:$D$504,"&gt;="&amp;A2283,'Zgłoszenia'!$D$5:$D$504,"&lt;="&amp;(A2283+1)))</f>
        <v/>
      </c>
      <c r="L2283" s="63">
        <f>IF(OR(H2283="",K2283=0),"—",IF(ISNUMBER(MATCH(H2283,'Zgłoszenia'!$S$5:$S$504,0)),RIGHT("0"&amp;DAY(A2283),2)&amp;"."&amp;RIGHT("0"&amp;MONTH(A2283),2)&amp;"."&amp;YEAR(A2283)&amp;": "&amp;INDEX('Zgłoszenia'!$H$5:$H$504,MATCH(H2283,'Zgłoszenia'!$S$5:$S$504,0)),RIGHT("0"&amp;DAY((A2283+1)),2)&amp;"."&amp;RIGHT("0"&amp;MONTH((A2283+1)),2)&amp;"."&amp;YEAR((A2283+1))&amp;": "&amp;INDEX('Zgłoszenia'!$H$5:$H$504,MATCH(F2283&amp;"|"&amp;(A2283+1),'Zgłoszenia'!$S$5:$S$504,0)))&amp;IF(K2283&gt;1," (+"&amp;(K2283-1)&amp;")",""))</f>
        <v/>
      </c>
      <c r="M2283" s="63" t="n">
        <v>29</v>
      </c>
      <c r="N2283" s="2" t="n"/>
      <c r="O2283" s="2" t="n"/>
    </row>
    <row r="2284">
      <c r="A2284" s="62">
        <f>IF('29'!$C$1="","",'29'!$C$1)</f>
        <v/>
      </c>
      <c r="B2284" s="63">
        <f>Ustawienia!$A$8&amp;""</f>
        <v/>
      </c>
      <c r="C2284" s="63">
        <f>Ustawienia!$A$16&amp;""</f>
        <v/>
      </c>
      <c r="D2284" s="63" t="n">
        <v>1</v>
      </c>
      <c r="E2284" s="63">
        <f>IF('29'!B22="","",TRIM('29'!B22&amp;""))</f>
        <v/>
      </c>
      <c r="F2284" s="63">
        <f>IF('29'!C22="","",'29'!C22)</f>
        <v/>
      </c>
      <c r="G2284" s="63">
        <f>'29'!D22&amp;""</f>
        <v/>
      </c>
      <c r="H2284" s="63">
        <f>IF(OR(A2284="",F2284=""),"",F2284&amp;"|"&amp;A2284)</f>
        <v/>
      </c>
      <c r="I2284" s="63">
        <f>IF(AND(H2284&lt;&gt;"",OR('Historia wózka'!$B$4="",F2284='Historia wózka'!$B$4),A2284&gt;='Historia wózka'!$B$5,A2284&lt;='Historia wózka'!$B$6),A2284+0.9+(5000-ROW())/10000000,0)</f>
        <v/>
      </c>
      <c r="J2284" s="63">
        <f>Ustawienia!$B$8&amp;""</f>
        <v/>
      </c>
      <c r="K2284" s="63">
        <f>IF(H2284="","",COUNTIFS('Zgłoszenia'!$B$5:$B$504,F2284,'Zgłoszenia'!$D$5:$D$504,"&gt;="&amp;A2284,'Zgłoszenia'!$D$5:$D$504,"&lt;="&amp;(A2284+1)))</f>
        <v/>
      </c>
      <c r="L2284" s="63">
        <f>IF(OR(H2284="",K2284=0),"—",IF(ISNUMBER(MATCH(H2284,'Zgłoszenia'!$S$5:$S$504,0)),RIGHT("0"&amp;DAY(A2284),2)&amp;"."&amp;RIGHT("0"&amp;MONTH(A2284),2)&amp;"."&amp;YEAR(A2284)&amp;": "&amp;INDEX('Zgłoszenia'!$H$5:$H$504,MATCH(H2284,'Zgłoszenia'!$S$5:$S$504,0)),RIGHT("0"&amp;DAY((A2284+1)),2)&amp;"."&amp;RIGHT("0"&amp;MONTH((A2284+1)),2)&amp;"."&amp;YEAR((A2284+1))&amp;": "&amp;INDEX('Zgłoszenia'!$H$5:$H$504,MATCH(F2284&amp;"|"&amp;(A2284+1),'Zgłoszenia'!$S$5:$S$504,0)))&amp;IF(K2284&gt;1," (+"&amp;(K2284-1)&amp;")",""))</f>
        <v/>
      </c>
      <c r="M2284" s="63" t="n">
        <v>29</v>
      </c>
      <c r="N2284" s="2" t="n"/>
      <c r="O2284" s="2" t="n"/>
    </row>
    <row r="2285">
      <c r="A2285" s="62">
        <f>IF('29'!$C$1="","",'29'!$C$1)</f>
        <v/>
      </c>
      <c r="B2285" s="63">
        <f>Ustawienia!$A$8&amp;""</f>
        <v/>
      </c>
      <c r="C2285" s="63">
        <f>Ustawienia!$A$16&amp;""</f>
        <v/>
      </c>
      <c r="D2285" s="63" t="n">
        <v>2</v>
      </c>
      <c r="E2285" s="63">
        <f>IF('29'!B23="","",TRIM('29'!B23&amp;""))</f>
        <v/>
      </c>
      <c r="F2285" s="63">
        <f>IF('29'!C23="","",'29'!C23)</f>
        <v/>
      </c>
      <c r="G2285" s="63">
        <f>'29'!D23&amp;""</f>
        <v/>
      </c>
      <c r="H2285" s="63">
        <f>IF(OR(A2285="",F2285=""),"",F2285&amp;"|"&amp;A2285)</f>
        <v/>
      </c>
      <c r="I2285" s="63">
        <f>IF(AND(H2285&lt;&gt;"",OR('Historia wózka'!$B$4="",F2285='Historia wózka'!$B$4),A2285&gt;='Historia wózka'!$B$5,A2285&lt;='Historia wózka'!$B$6),A2285+0.9+(5000-ROW())/10000000,0)</f>
        <v/>
      </c>
      <c r="J2285" s="63">
        <f>Ustawienia!$B$8&amp;""</f>
        <v/>
      </c>
      <c r="K2285" s="63">
        <f>IF(H2285="","",COUNTIFS('Zgłoszenia'!$B$5:$B$504,F2285,'Zgłoszenia'!$D$5:$D$504,"&gt;="&amp;A2285,'Zgłoszenia'!$D$5:$D$504,"&lt;="&amp;(A2285+1)))</f>
        <v/>
      </c>
      <c r="L2285" s="63">
        <f>IF(OR(H2285="",K2285=0),"—",IF(ISNUMBER(MATCH(H2285,'Zgłoszenia'!$S$5:$S$504,0)),RIGHT("0"&amp;DAY(A2285),2)&amp;"."&amp;RIGHT("0"&amp;MONTH(A2285),2)&amp;"."&amp;YEAR(A2285)&amp;": "&amp;INDEX('Zgłoszenia'!$H$5:$H$504,MATCH(H2285,'Zgłoszenia'!$S$5:$S$504,0)),RIGHT("0"&amp;DAY((A2285+1)),2)&amp;"."&amp;RIGHT("0"&amp;MONTH((A2285+1)),2)&amp;"."&amp;YEAR((A2285+1))&amp;": "&amp;INDEX('Zgłoszenia'!$H$5:$H$504,MATCH(F2285&amp;"|"&amp;(A2285+1),'Zgłoszenia'!$S$5:$S$504,0)))&amp;IF(K2285&gt;1," (+"&amp;(K2285-1)&amp;")",""))</f>
        <v/>
      </c>
      <c r="M2285" s="63" t="n">
        <v>29</v>
      </c>
      <c r="N2285" s="2" t="n"/>
      <c r="O2285" s="2" t="n"/>
    </row>
    <row r="2286">
      <c r="A2286" s="62">
        <f>IF('29'!$C$1="","",'29'!$C$1)</f>
        <v/>
      </c>
      <c r="B2286" s="63">
        <f>Ustawienia!$A$8&amp;""</f>
        <v/>
      </c>
      <c r="C2286" s="63">
        <f>Ustawienia!$A$16&amp;""</f>
        <v/>
      </c>
      <c r="D2286" s="63" t="n">
        <v>3</v>
      </c>
      <c r="E2286" s="63">
        <f>IF('29'!B24="","",TRIM('29'!B24&amp;""))</f>
        <v/>
      </c>
      <c r="F2286" s="63">
        <f>IF('29'!C24="","",'29'!C24)</f>
        <v/>
      </c>
      <c r="G2286" s="63">
        <f>'29'!D24&amp;""</f>
        <v/>
      </c>
      <c r="H2286" s="63">
        <f>IF(OR(A2286="",F2286=""),"",F2286&amp;"|"&amp;A2286)</f>
        <v/>
      </c>
      <c r="I2286" s="63">
        <f>IF(AND(H2286&lt;&gt;"",OR('Historia wózka'!$B$4="",F2286='Historia wózka'!$B$4),A2286&gt;='Historia wózka'!$B$5,A2286&lt;='Historia wózka'!$B$6),A2286+0.9+(5000-ROW())/10000000,0)</f>
        <v/>
      </c>
      <c r="J2286" s="63">
        <f>Ustawienia!$B$8&amp;""</f>
        <v/>
      </c>
      <c r="K2286" s="63">
        <f>IF(H2286="","",COUNTIFS('Zgłoszenia'!$B$5:$B$504,F2286,'Zgłoszenia'!$D$5:$D$504,"&gt;="&amp;A2286,'Zgłoszenia'!$D$5:$D$504,"&lt;="&amp;(A2286+1)))</f>
        <v/>
      </c>
      <c r="L2286" s="63">
        <f>IF(OR(H2286="",K2286=0),"—",IF(ISNUMBER(MATCH(H2286,'Zgłoszenia'!$S$5:$S$504,0)),RIGHT("0"&amp;DAY(A2286),2)&amp;"."&amp;RIGHT("0"&amp;MONTH(A2286),2)&amp;"."&amp;YEAR(A2286)&amp;": "&amp;INDEX('Zgłoszenia'!$H$5:$H$504,MATCH(H2286,'Zgłoszenia'!$S$5:$S$504,0)),RIGHT("0"&amp;DAY((A2286+1)),2)&amp;"."&amp;RIGHT("0"&amp;MONTH((A2286+1)),2)&amp;"."&amp;YEAR((A2286+1))&amp;": "&amp;INDEX('Zgłoszenia'!$H$5:$H$504,MATCH(F2286&amp;"|"&amp;(A2286+1),'Zgłoszenia'!$S$5:$S$504,0)))&amp;IF(K2286&gt;1," (+"&amp;(K2286-1)&amp;")",""))</f>
        <v/>
      </c>
      <c r="M2286" s="63" t="n">
        <v>29</v>
      </c>
      <c r="N2286" s="2" t="n"/>
      <c r="O2286" s="2" t="n"/>
    </row>
    <row r="2287">
      <c r="A2287" s="62">
        <f>IF('29'!$C$1="","",'29'!$C$1)</f>
        <v/>
      </c>
      <c r="B2287" s="63">
        <f>Ustawienia!$A$8&amp;""</f>
        <v/>
      </c>
      <c r="C2287" s="63">
        <f>Ustawienia!$A$16&amp;""</f>
        <v/>
      </c>
      <c r="D2287" s="63" t="n">
        <v>4</v>
      </c>
      <c r="E2287" s="63">
        <f>IF('29'!B25="","",TRIM('29'!B25&amp;""))</f>
        <v/>
      </c>
      <c r="F2287" s="63">
        <f>IF('29'!C25="","",'29'!C25)</f>
        <v/>
      </c>
      <c r="G2287" s="63">
        <f>'29'!D25&amp;""</f>
        <v/>
      </c>
      <c r="H2287" s="63">
        <f>IF(OR(A2287="",F2287=""),"",F2287&amp;"|"&amp;A2287)</f>
        <v/>
      </c>
      <c r="I2287" s="63">
        <f>IF(AND(H2287&lt;&gt;"",OR('Historia wózka'!$B$4="",F2287='Historia wózka'!$B$4),A2287&gt;='Historia wózka'!$B$5,A2287&lt;='Historia wózka'!$B$6),A2287+0.9+(5000-ROW())/10000000,0)</f>
        <v/>
      </c>
      <c r="J2287" s="63">
        <f>Ustawienia!$B$8&amp;""</f>
        <v/>
      </c>
      <c r="K2287" s="63">
        <f>IF(H2287="","",COUNTIFS('Zgłoszenia'!$B$5:$B$504,F2287,'Zgłoszenia'!$D$5:$D$504,"&gt;="&amp;A2287,'Zgłoszenia'!$D$5:$D$504,"&lt;="&amp;(A2287+1)))</f>
        <v/>
      </c>
      <c r="L2287" s="63">
        <f>IF(OR(H2287="",K2287=0),"—",IF(ISNUMBER(MATCH(H2287,'Zgłoszenia'!$S$5:$S$504,0)),RIGHT("0"&amp;DAY(A2287),2)&amp;"."&amp;RIGHT("0"&amp;MONTH(A2287),2)&amp;"."&amp;YEAR(A2287)&amp;": "&amp;INDEX('Zgłoszenia'!$H$5:$H$504,MATCH(H2287,'Zgłoszenia'!$S$5:$S$504,0)),RIGHT("0"&amp;DAY((A2287+1)),2)&amp;"."&amp;RIGHT("0"&amp;MONTH((A2287+1)),2)&amp;"."&amp;YEAR((A2287+1))&amp;": "&amp;INDEX('Zgłoszenia'!$H$5:$H$504,MATCH(F2287&amp;"|"&amp;(A2287+1),'Zgłoszenia'!$S$5:$S$504,0)))&amp;IF(K2287&gt;1," (+"&amp;(K2287-1)&amp;")",""))</f>
        <v/>
      </c>
      <c r="M2287" s="63" t="n">
        <v>29</v>
      </c>
      <c r="N2287" s="2" t="n"/>
      <c r="O2287" s="2" t="n"/>
    </row>
    <row r="2288">
      <c r="A2288" s="62">
        <f>IF('29'!$C$1="","",'29'!$C$1)</f>
        <v/>
      </c>
      <c r="B2288" s="63">
        <f>Ustawienia!$A$8&amp;""</f>
        <v/>
      </c>
      <c r="C2288" s="63">
        <f>Ustawienia!$A$17&amp;""</f>
        <v/>
      </c>
      <c r="D2288" s="63" t="n">
        <v>1</v>
      </c>
      <c r="E2288" s="63">
        <f>IF('29'!B27="","",TRIM('29'!B27&amp;""))</f>
        <v/>
      </c>
      <c r="F2288" s="63">
        <f>IF('29'!C27="","",'29'!C27)</f>
        <v/>
      </c>
      <c r="G2288" s="63">
        <f>'29'!D27&amp;""</f>
        <v/>
      </c>
      <c r="H2288" s="63">
        <f>IF(OR(A2288="",F2288=""),"",F2288&amp;"|"&amp;A2288)</f>
        <v/>
      </c>
      <c r="I2288" s="63">
        <f>IF(AND(H2288&lt;&gt;"",OR('Historia wózka'!$B$4="",F2288='Historia wózka'!$B$4),A2288&gt;='Historia wózka'!$B$5,A2288&lt;='Historia wózka'!$B$6),A2288+0.9+(5000-ROW())/10000000,0)</f>
        <v/>
      </c>
      <c r="J2288" s="63">
        <f>Ustawienia!$B$8&amp;""</f>
        <v/>
      </c>
      <c r="K2288" s="63">
        <f>IF(H2288="","",COUNTIFS('Zgłoszenia'!$B$5:$B$504,F2288,'Zgłoszenia'!$D$5:$D$504,"&gt;="&amp;A2288,'Zgłoszenia'!$D$5:$D$504,"&lt;="&amp;(A2288+1)))</f>
        <v/>
      </c>
      <c r="L2288" s="63">
        <f>IF(OR(H2288="",K2288=0),"—",IF(ISNUMBER(MATCH(H2288,'Zgłoszenia'!$S$5:$S$504,0)),RIGHT("0"&amp;DAY(A2288),2)&amp;"."&amp;RIGHT("0"&amp;MONTH(A2288),2)&amp;"."&amp;YEAR(A2288)&amp;": "&amp;INDEX('Zgłoszenia'!$H$5:$H$504,MATCH(H2288,'Zgłoszenia'!$S$5:$S$504,0)),RIGHT("0"&amp;DAY((A2288+1)),2)&amp;"."&amp;RIGHT("0"&amp;MONTH((A2288+1)),2)&amp;"."&amp;YEAR((A2288+1))&amp;": "&amp;INDEX('Zgłoszenia'!$H$5:$H$504,MATCH(F2288&amp;"|"&amp;(A2288+1),'Zgłoszenia'!$S$5:$S$504,0)))&amp;IF(K2288&gt;1," (+"&amp;(K2288-1)&amp;")",""))</f>
        <v/>
      </c>
      <c r="M2288" s="63" t="n">
        <v>29</v>
      </c>
      <c r="N2288" s="2" t="n"/>
      <c r="O2288" s="2" t="n"/>
    </row>
    <row r="2289">
      <c r="A2289" s="62">
        <f>IF('29'!$C$1="","",'29'!$C$1)</f>
        <v/>
      </c>
      <c r="B2289" s="63">
        <f>Ustawienia!$A$8&amp;""</f>
        <v/>
      </c>
      <c r="C2289" s="63">
        <f>Ustawienia!$A$17&amp;""</f>
        <v/>
      </c>
      <c r="D2289" s="63" t="n">
        <v>2</v>
      </c>
      <c r="E2289" s="63">
        <f>IF('29'!B28="","",TRIM('29'!B28&amp;""))</f>
        <v/>
      </c>
      <c r="F2289" s="63">
        <f>IF('29'!C28="","",'29'!C28)</f>
        <v/>
      </c>
      <c r="G2289" s="63">
        <f>'29'!D28&amp;""</f>
        <v/>
      </c>
      <c r="H2289" s="63">
        <f>IF(OR(A2289="",F2289=""),"",F2289&amp;"|"&amp;A2289)</f>
        <v/>
      </c>
      <c r="I2289" s="63">
        <f>IF(AND(H2289&lt;&gt;"",OR('Historia wózka'!$B$4="",F2289='Historia wózka'!$B$4),A2289&gt;='Historia wózka'!$B$5,A2289&lt;='Historia wózka'!$B$6),A2289+0.9+(5000-ROW())/10000000,0)</f>
        <v/>
      </c>
      <c r="J2289" s="63">
        <f>Ustawienia!$B$8&amp;""</f>
        <v/>
      </c>
      <c r="K2289" s="63">
        <f>IF(H2289="","",COUNTIFS('Zgłoszenia'!$B$5:$B$504,F2289,'Zgłoszenia'!$D$5:$D$504,"&gt;="&amp;A2289,'Zgłoszenia'!$D$5:$D$504,"&lt;="&amp;(A2289+1)))</f>
        <v/>
      </c>
      <c r="L2289" s="63">
        <f>IF(OR(H2289="",K2289=0),"—",IF(ISNUMBER(MATCH(H2289,'Zgłoszenia'!$S$5:$S$504,0)),RIGHT("0"&amp;DAY(A2289),2)&amp;"."&amp;RIGHT("0"&amp;MONTH(A2289),2)&amp;"."&amp;YEAR(A2289)&amp;": "&amp;INDEX('Zgłoszenia'!$H$5:$H$504,MATCH(H2289,'Zgłoszenia'!$S$5:$S$504,0)),RIGHT("0"&amp;DAY((A2289+1)),2)&amp;"."&amp;RIGHT("0"&amp;MONTH((A2289+1)),2)&amp;"."&amp;YEAR((A2289+1))&amp;": "&amp;INDEX('Zgłoszenia'!$H$5:$H$504,MATCH(F2289&amp;"|"&amp;(A2289+1),'Zgłoszenia'!$S$5:$S$504,0)))&amp;IF(K2289&gt;1," (+"&amp;(K2289-1)&amp;")",""))</f>
        <v/>
      </c>
      <c r="M2289" s="63" t="n">
        <v>29</v>
      </c>
      <c r="N2289" s="2" t="n"/>
      <c r="O2289" s="2" t="n"/>
    </row>
    <row r="2290">
      <c r="A2290" s="62">
        <f>IF('29'!$C$1="","",'29'!$C$1)</f>
        <v/>
      </c>
      <c r="B2290" s="63">
        <f>Ustawienia!$A$8&amp;""</f>
        <v/>
      </c>
      <c r="C2290" s="63">
        <f>Ustawienia!$A$17&amp;""</f>
        <v/>
      </c>
      <c r="D2290" s="63" t="n">
        <v>3</v>
      </c>
      <c r="E2290" s="63">
        <f>IF('29'!B29="","",TRIM('29'!B29&amp;""))</f>
        <v/>
      </c>
      <c r="F2290" s="63">
        <f>IF('29'!C29="","",'29'!C29)</f>
        <v/>
      </c>
      <c r="G2290" s="63">
        <f>'29'!D29&amp;""</f>
        <v/>
      </c>
      <c r="H2290" s="63">
        <f>IF(OR(A2290="",F2290=""),"",F2290&amp;"|"&amp;A2290)</f>
        <v/>
      </c>
      <c r="I2290" s="63">
        <f>IF(AND(H2290&lt;&gt;"",OR('Historia wózka'!$B$4="",F2290='Historia wózka'!$B$4),A2290&gt;='Historia wózka'!$B$5,A2290&lt;='Historia wózka'!$B$6),A2290+0.9+(5000-ROW())/10000000,0)</f>
        <v/>
      </c>
      <c r="J2290" s="63">
        <f>Ustawienia!$B$8&amp;""</f>
        <v/>
      </c>
      <c r="K2290" s="63">
        <f>IF(H2290="","",COUNTIFS('Zgłoszenia'!$B$5:$B$504,F2290,'Zgłoszenia'!$D$5:$D$504,"&gt;="&amp;A2290,'Zgłoszenia'!$D$5:$D$504,"&lt;="&amp;(A2290+1)))</f>
        <v/>
      </c>
      <c r="L2290" s="63">
        <f>IF(OR(H2290="",K2290=0),"—",IF(ISNUMBER(MATCH(H2290,'Zgłoszenia'!$S$5:$S$504,0)),RIGHT("0"&amp;DAY(A2290),2)&amp;"."&amp;RIGHT("0"&amp;MONTH(A2290),2)&amp;"."&amp;YEAR(A2290)&amp;": "&amp;INDEX('Zgłoszenia'!$H$5:$H$504,MATCH(H2290,'Zgłoszenia'!$S$5:$S$504,0)),RIGHT("0"&amp;DAY((A2290+1)),2)&amp;"."&amp;RIGHT("0"&amp;MONTH((A2290+1)),2)&amp;"."&amp;YEAR((A2290+1))&amp;": "&amp;INDEX('Zgłoszenia'!$H$5:$H$504,MATCH(F2290&amp;"|"&amp;(A2290+1),'Zgłoszenia'!$S$5:$S$504,0)))&amp;IF(K2290&gt;1," (+"&amp;(K2290-1)&amp;")",""))</f>
        <v/>
      </c>
      <c r="M2290" s="63" t="n">
        <v>29</v>
      </c>
      <c r="N2290" s="2" t="n"/>
      <c r="O2290" s="2" t="n"/>
    </row>
    <row r="2291">
      <c r="A2291" s="62">
        <f>IF('29'!$C$1="","",'29'!$C$1)</f>
        <v/>
      </c>
      <c r="B2291" s="63">
        <f>Ustawienia!$A$8&amp;""</f>
        <v/>
      </c>
      <c r="C2291" s="63">
        <f>Ustawienia!$A$17&amp;""</f>
        <v/>
      </c>
      <c r="D2291" s="63" t="n">
        <v>4</v>
      </c>
      <c r="E2291" s="63">
        <f>IF('29'!B30="","",TRIM('29'!B30&amp;""))</f>
        <v/>
      </c>
      <c r="F2291" s="63">
        <f>IF('29'!C30="","",'29'!C30)</f>
        <v/>
      </c>
      <c r="G2291" s="63">
        <f>'29'!D30&amp;""</f>
        <v/>
      </c>
      <c r="H2291" s="63">
        <f>IF(OR(A2291="",F2291=""),"",F2291&amp;"|"&amp;A2291)</f>
        <v/>
      </c>
      <c r="I2291" s="63">
        <f>IF(AND(H2291&lt;&gt;"",OR('Historia wózka'!$B$4="",F2291='Historia wózka'!$B$4),A2291&gt;='Historia wózka'!$B$5,A2291&lt;='Historia wózka'!$B$6),A2291+0.9+(5000-ROW())/10000000,0)</f>
        <v/>
      </c>
      <c r="J2291" s="63">
        <f>Ustawienia!$B$8&amp;""</f>
        <v/>
      </c>
      <c r="K2291" s="63">
        <f>IF(H2291="","",COUNTIFS('Zgłoszenia'!$B$5:$B$504,F2291,'Zgłoszenia'!$D$5:$D$504,"&gt;="&amp;A2291,'Zgłoszenia'!$D$5:$D$504,"&lt;="&amp;(A2291+1)))</f>
        <v/>
      </c>
      <c r="L2291" s="63">
        <f>IF(OR(H2291="",K2291=0),"—",IF(ISNUMBER(MATCH(H2291,'Zgłoszenia'!$S$5:$S$504,0)),RIGHT("0"&amp;DAY(A2291),2)&amp;"."&amp;RIGHT("0"&amp;MONTH(A2291),2)&amp;"."&amp;YEAR(A2291)&amp;": "&amp;INDEX('Zgłoszenia'!$H$5:$H$504,MATCH(H2291,'Zgłoszenia'!$S$5:$S$504,0)),RIGHT("0"&amp;DAY((A2291+1)),2)&amp;"."&amp;RIGHT("0"&amp;MONTH((A2291+1)),2)&amp;"."&amp;YEAR((A2291+1))&amp;": "&amp;INDEX('Zgłoszenia'!$H$5:$H$504,MATCH(F2291&amp;"|"&amp;(A2291+1),'Zgłoszenia'!$S$5:$S$504,0)))&amp;IF(K2291&gt;1," (+"&amp;(K2291-1)&amp;")",""))</f>
        <v/>
      </c>
      <c r="M2291" s="63" t="n">
        <v>29</v>
      </c>
      <c r="N2291" s="2" t="n"/>
      <c r="O2291" s="2" t="n"/>
    </row>
    <row r="2292">
      <c r="A2292" s="62">
        <f>IF('29'!$C$1="","",'29'!$C$1)</f>
        <v/>
      </c>
      <c r="B2292" s="63">
        <f>Ustawienia!$A$8&amp;""</f>
        <v/>
      </c>
      <c r="C2292" s="63">
        <f>Ustawienia!$A$18&amp;""</f>
        <v/>
      </c>
      <c r="D2292" s="63" t="n">
        <v>1</v>
      </c>
      <c r="E2292" s="63">
        <f>IF('29'!B32="","",TRIM('29'!B32&amp;""))</f>
        <v/>
      </c>
      <c r="F2292" s="63">
        <f>IF('29'!C32="","",'29'!C32)</f>
        <v/>
      </c>
      <c r="G2292" s="63">
        <f>'29'!D32&amp;""</f>
        <v/>
      </c>
      <c r="H2292" s="63">
        <f>IF(OR(A2292="",F2292=""),"",F2292&amp;"|"&amp;A2292)</f>
        <v/>
      </c>
      <c r="I2292" s="63">
        <f>IF(AND(H2292&lt;&gt;"",OR('Historia wózka'!$B$4="",F2292='Historia wózka'!$B$4),A2292&gt;='Historia wózka'!$B$5,A2292&lt;='Historia wózka'!$B$6),A2292+0.9+(5000-ROW())/10000000,0)</f>
        <v/>
      </c>
      <c r="J2292" s="63">
        <f>Ustawienia!$B$8&amp;""</f>
        <v/>
      </c>
      <c r="K2292" s="63">
        <f>IF(H2292="","",COUNTIFS('Zgłoszenia'!$B$5:$B$504,F2292,'Zgłoszenia'!$D$5:$D$504,"&gt;="&amp;A2292,'Zgłoszenia'!$D$5:$D$504,"&lt;="&amp;(A2292+1)))</f>
        <v/>
      </c>
      <c r="L2292" s="63">
        <f>IF(OR(H2292="",K2292=0),"—",IF(ISNUMBER(MATCH(H2292,'Zgłoszenia'!$S$5:$S$504,0)),RIGHT("0"&amp;DAY(A2292),2)&amp;"."&amp;RIGHT("0"&amp;MONTH(A2292),2)&amp;"."&amp;YEAR(A2292)&amp;": "&amp;INDEX('Zgłoszenia'!$H$5:$H$504,MATCH(H2292,'Zgłoszenia'!$S$5:$S$504,0)),RIGHT("0"&amp;DAY((A2292+1)),2)&amp;"."&amp;RIGHT("0"&amp;MONTH((A2292+1)),2)&amp;"."&amp;YEAR((A2292+1))&amp;": "&amp;INDEX('Zgłoszenia'!$H$5:$H$504,MATCH(F2292&amp;"|"&amp;(A2292+1),'Zgłoszenia'!$S$5:$S$504,0)))&amp;IF(K2292&gt;1," (+"&amp;(K2292-1)&amp;")",""))</f>
        <v/>
      </c>
      <c r="M2292" s="63" t="n">
        <v>29</v>
      </c>
      <c r="N2292" s="2" t="n"/>
      <c r="O2292" s="2" t="n"/>
    </row>
    <row r="2293">
      <c r="A2293" s="62">
        <f>IF('29'!$C$1="","",'29'!$C$1)</f>
        <v/>
      </c>
      <c r="B2293" s="63">
        <f>Ustawienia!$A$8&amp;""</f>
        <v/>
      </c>
      <c r="C2293" s="63">
        <f>Ustawienia!$A$18&amp;""</f>
        <v/>
      </c>
      <c r="D2293" s="63" t="n">
        <v>2</v>
      </c>
      <c r="E2293" s="63">
        <f>IF('29'!B33="","",TRIM('29'!B33&amp;""))</f>
        <v/>
      </c>
      <c r="F2293" s="63">
        <f>IF('29'!C33="","",'29'!C33)</f>
        <v/>
      </c>
      <c r="G2293" s="63">
        <f>'29'!D33&amp;""</f>
        <v/>
      </c>
      <c r="H2293" s="63">
        <f>IF(OR(A2293="",F2293=""),"",F2293&amp;"|"&amp;A2293)</f>
        <v/>
      </c>
      <c r="I2293" s="63">
        <f>IF(AND(H2293&lt;&gt;"",OR('Historia wózka'!$B$4="",F2293='Historia wózka'!$B$4),A2293&gt;='Historia wózka'!$B$5,A2293&lt;='Historia wózka'!$B$6),A2293+0.9+(5000-ROW())/10000000,0)</f>
        <v/>
      </c>
      <c r="J2293" s="63">
        <f>Ustawienia!$B$8&amp;""</f>
        <v/>
      </c>
      <c r="K2293" s="63">
        <f>IF(H2293="","",COUNTIFS('Zgłoszenia'!$B$5:$B$504,F2293,'Zgłoszenia'!$D$5:$D$504,"&gt;="&amp;A2293,'Zgłoszenia'!$D$5:$D$504,"&lt;="&amp;(A2293+1)))</f>
        <v/>
      </c>
      <c r="L2293" s="63">
        <f>IF(OR(H2293="",K2293=0),"—",IF(ISNUMBER(MATCH(H2293,'Zgłoszenia'!$S$5:$S$504,0)),RIGHT("0"&amp;DAY(A2293),2)&amp;"."&amp;RIGHT("0"&amp;MONTH(A2293),2)&amp;"."&amp;YEAR(A2293)&amp;": "&amp;INDEX('Zgłoszenia'!$H$5:$H$504,MATCH(H2293,'Zgłoszenia'!$S$5:$S$504,0)),RIGHT("0"&amp;DAY((A2293+1)),2)&amp;"."&amp;RIGHT("0"&amp;MONTH((A2293+1)),2)&amp;"."&amp;YEAR((A2293+1))&amp;": "&amp;INDEX('Zgłoszenia'!$H$5:$H$504,MATCH(F2293&amp;"|"&amp;(A2293+1),'Zgłoszenia'!$S$5:$S$504,0)))&amp;IF(K2293&gt;1," (+"&amp;(K2293-1)&amp;")",""))</f>
        <v/>
      </c>
      <c r="M2293" s="63" t="n">
        <v>29</v>
      </c>
      <c r="N2293" s="2" t="n"/>
      <c r="O2293" s="2" t="n"/>
    </row>
    <row r="2294">
      <c r="A2294" s="62">
        <f>IF('29'!$C$1="","",'29'!$C$1)</f>
        <v/>
      </c>
      <c r="B2294" s="63">
        <f>Ustawienia!$A$8&amp;""</f>
        <v/>
      </c>
      <c r="C2294" s="63">
        <f>Ustawienia!$A$18&amp;""</f>
        <v/>
      </c>
      <c r="D2294" s="63" t="n">
        <v>3</v>
      </c>
      <c r="E2294" s="63">
        <f>IF('29'!B34="","",TRIM('29'!B34&amp;""))</f>
        <v/>
      </c>
      <c r="F2294" s="63">
        <f>IF('29'!C34="","",'29'!C34)</f>
        <v/>
      </c>
      <c r="G2294" s="63">
        <f>'29'!D34&amp;""</f>
        <v/>
      </c>
      <c r="H2294" s="63">
        <f>IF(OR(A2294="",F2294=""),"",F2294&amp;"|"&amp;A2294)</f>
        <v/>
      </c>
      <c r="I2294" s="63">
        <f>IF(AND(H2294&lt;&gt;"",OR('Historia wózka'!$B$4="",F2294='Historia wózka'!$B$4),A2294&gt;='Historia wózka'!$B$5,A2294&lt;='Historia wózka'!$B$6),A2294+0.9+(5000-ROW())/10000000,0)</f>
        <v/>
      </c>
      <c r="J2294" s="63">
        <f>Ustawienia!$B$8&amp;""</f>
        <v/>
      </c>
      <c r="K2294" s="63">
        <f>IF(H2294="","",COUNTIFS('Zgłoszenia'!$B$5:$B$504,F2294,'Zgłoszenia'!$D$5:$D$504,"&gt;="&amp;A2294,'Zgłoszenia'!$D$5:$D$504,"&lt;="&amp;(A2294+1)))</f>
        <v/>
      </c>
      <c r="L2294" s="63">
        <f>IF(OR(H2294="",K2294=0),"—",IF(ISNUMBER(MATCH(H2294,'Zgłoszenia'!$S$5:$S$504,0)),RIGHT("0"&amp;DAY(A2294),2)&amp;"."&amp;RIGHT("0"&amp;MONTH(A2294),2)&amp;"."&amp;YEAR(A2294)&amp;": "&amp;INDEX('Zgłoszenia'!$H$5:$H$504,MATCH(H2294,'Zgłoszenia'!$S$5:$S$504,0)),RIGHT("0"&amp;DAY((A2294+1)),2)&amp;"."&amp;RIGHT("0"&amp;MONTH((A2294+1)),2)&amp;"."&amp;YEAR((A2294+1))&amp;": "&amp;INDEX('Zgłoszenia'!$H$5:$H$504,MATCH(F2294&amp;"|"&amp;(A2294+1),'Zgłoszenia'!$S$5:$S$504,0)))&amp;IF(K2294&gt;1," (+"&amp;(K2294-1)&amp;")",""))</f>
        <v/>
      </c>
      <c r="M2294" s="63" t="n">
        <v>29</v>
      </c>
      <c r="N2294" s="2" t="n"/>
      <c r="O2294" s="2" t="n"/>
    </row>
    <row r="2295">
      <c r="A2295" s="62">
        <f>IF('29'!$C$1="","",'29'!$C$1)</f>
        <v/>
      </c>
      <c r="B2295" s="63">
        <f>Ustawienia!$A$8&amp;""</f>
        <v/>
      </c>
      <c r="C2295" s="63">
        <f>Ustawienia!$A$18&amp;""</f>
        <v/>
      </c>
      <c r="D2295" s="63" t="n">
        <v>4</v>
      </c>
      <c r="E2295" s="63">
        <f>IF('29'!B35="","",TRIM('29'!B35&amp;""))</f>
        <v/>
      </c>
      <c r="F2295" s="63">
        <f>IF('29'!C35="","",'29'!C35)</f>
        <v/>
      </c>
      <c r="G2295" s="63">
        <f>'29'!D35&amp;""</f>
        <v/>
      </c>
      <c r="H2295" s="63">
        <f>IF(OR(A2295="",F2295=""),"",F2295&amp;"|"&amp;A2295)</f>
        <v/>
      </c>
      <c r="I2295" s="63">
        <f>IF(AND(H2295&lt;&gt;"",OR('Historia wózka'!$B$4="",F2295='Historia wózka'!$B$4),A2295&gt;='Historia wózka'!$B$5,A2295&lt;='Historia wózka'!$B$6),A2295+0.9+(5000-ROW())/10000000,0)</f>
        <v/>
      </c>
      <c r="J2295" s="63">
        <f>Ustawienia!$B$8&amp;""</f>
        <v/>
      </c>
      <c r="K2295" s="63">
        <f>IF(H2295="","",COUNTIFS('Zgłoszenia'!$B$5:$B$504,F2295,'Zgłoszenia'!$D$5:$D$504,"&gt;="&amp;A2295,'Zgłoszenia'!$D$5:$D$504,"&lt;="&amp;(A2295+1)))</f>
        <v/>
      </c>
      <c r="L2295" s="63">
        <f>IF(OR(H2295="",K2295=0),"—",IF(ISNUMBER(MATCH(H2295,'Zgłoszenia'!$S$5:$S$504,0)),RIGHT("0"&amp;DAY(A2295),2)&amp;"."&amp;RIGHT("0"&amp;MONTH(A2295),2)&amp;"."&amp;YEAR(A2295)&amp;": "&amp;INDEX('Zgłoszenia'!$H$5:$H$504,MATCH(H2295,'Zgłoszenia'!$S$5:$S$504,0)),RIGHT("0"&amp;DAY((A2295+1)),2)&amp;"."&amp;RIGHT("0"&amp;MONTH((A2295+1)),2)&amp;"."&amp;YEAR((A2295+1))&amp;": "&amp;INDEX('Zgłoszenia'!$H$5:$H$504,MATCH(F2295&amp;"|"&amp;(A2295+1),'Zgłoszenia'!$S$5:$S$504,0)))&amp;IF(K2295&gt;1," (+"&amp;(K2295-1)&amp;")",""))</f>
        <v/>
      </c>
      <c r="M2295" s="63" t="n">
        <v>29</v>
      </c>
      <c r="N2295" s="2" t="n"/>
      <c r="O2295" s="2" t="n"/>
    </row>
    <row r="2296">
      <c r="A2296" s="62">
        <f>IF('29'!$C$1="","",'29'!$C$1)</f>
        <v/>
      </c>
      <c r="B2296" s="63">
        <f>Ustawienia!$A$8&amp;""</f>
        <v/>
      </c>
      <c r="C2296" s="63">
        <f>Ustawienia!$A$18&amp;""</f>
        <v/>
      </c>
      <c r="D2296" s="63" t="n">
        <v>5</v>
      </c>
      <c r="E2296" s="63">
        <f>IF('29'!B36="","",TRIM('29'!B36&amp;""))</f>
        <v/>
      </c>
      <c r="F2296" s="63">
        <f>IF('29'!C36="","",'29'!C36)</f>
        <v/>
      </c>
      <c r="G2296" s="63">
        <f>'29'!D36&amp;""</f>
        <v/>
      </c>
      <c r="H2296" s="63">
        <f>IF(OR(A2296="",F2296=""),"",F2296&amp;"|"&amp;A2296)</f>
        <v/>
      </c>
      <c r="I2296" s="63">
        <f>IF(AND(H2296&lt;&gt;"",OR('Historia wózka'!$B$4="",F2296='Historia wózka'!$B$4),A2296&gt;='Historia wózka'!$B$5,A2296&lt;='Historia wózka'!$B$6),A2296+0.9+(5000-ROW())/10000000,0)</f>
        <v/>
      </c>
      <c r="J2296" s="63">
        <f>Ustawienia!$B$8&amp;""</f>
        <v/>
      </c>
      <c r="K2296" s="63">
        <f>IF(H2296="","",COUNTIFS('Zgłoszenia'!$B$5:$B$504,F2296,'Zgłoszenia'!$D$5:$D$504,"&gt;="&amp;A2296,'Zgłoszenia'!$D$5:$D$504,"&lt;="&amp;(A2296+1)))</f>
        <v/>
      </c>
      <c r="L2296" s="63">
        <f>IF(OR(H2296="",K2296=0),"—",IF(ISNUMBER(MATCH(H2296,'Zgłoszenia'!$S$5:$S$504,0)),RIGHT("0"&amp;DAY(A2296),2)&amp;"."&amp;RIGHT("0"&amp;MONTH(A2296),2)&amp;"."&amp;YEAR(A2296)&amp;": "&amp;INDEX('Zgłoszenia'!$H$5:$H$504,MATCH(H2296,'Zgłoszenia'!$S$5:$S$504,0)),RIGHT("0"&amp;DAY((A2296+1)),2)&amp;"."&amp;RIGHT("0"&amp;MONTH((A2296+1)),2)&amp;"."&amp;YEAR((A2296+1))&amp;": "&amp;INDEX('Zgłoszenia'!$H$5:$H$504,MATCH(F2296&amp;"|"&amp;(A2296+1),'Zgłoszenia'!$S$5:$S$504,0)))&amp;IF(K2296&gt;1," (+"&amp;(K2296-1)&amp;")",""))</f>
        <v/>
      </c>
      <c r="M2296" s="63" t="n">
        <v>29</v>
      </c>
      <c r="N2296" s="2" t="n"/>
      <c r="O2296" s="2" t="n"/>
    </row>
    <row r="2297">
      <c r="A2297" s="62">
        <f>IF('29'!$C$1="","",'29'!$C$1)</f>
        <v/>
      </c>
      <c r="B2297" s="63">
        <f>Ustawienia!$A$9&amp;""</f>
        <v/>
      </c>
      <c r="C2297" s="63">
        <f>Ustawienia!$A$14&amp;""</f>
        <v/>
      </c>
      <c r="D2297" s="63" t="n">
        <v>1</v>
      </c>
      <c r="E2297" s="63">
        <f>IF('29'!F6="","",TRIM('29'!F6&amp;""))</f>
        <v/>
      </c>
      <c r="F2297" s="63">
        <f>IF('29'!G6="","",'29'!G6)</f>
        <v/>
      </c>
      <c r="G2297" s="63">
        <f>'29'!H6&amp;""</f>
        <v/>
      </c>
      <c r="H2297" s="63">
        <f>IF(OR(A2297="",F2297=""),"",F2297&amp;"|"&amp;A2297)</f>
        <v/>
      </c>
      <c r="I2297" s="63">
        <f>IF(AND(H2297&lt;&gt;"",OR('Historia wózka'!$B$4="",F2297='Historia wózka'!$B$4),A2297&gt;='Historia wózka'!$B$5,A2297&lt;='Historia wózka'!$B$6),A2297+0.8+(5000-ROW())/10000000,0)</f>
        <v/>
      </c>
      <c r="J2297" s="63">
        <f>Ustawienia!$B$9&amp;""</f>
        <v/>
      </c>
      <c r="K2297" s="63">
        <f>IF(H2297="","",COUNTIFS('Zgłoszenia'!$B$5:$B$504,F2297,'Zgłoszenia'!$D$5:$D$504,"&gt;="&amp;A2297,'Zgłoszenia'!$D$5:$D$504,"&lt;="&amp;(A2297+1)))</f>
        <v/>
      </c>
      <c r="L2297" s="63">
        <f>IF(OR(H2297="",K2297=0),"—",IF(ISNUMBER(MATCH(H2297,'Zgłoszenia'!$S$5:$S$504,0)),RIGHT("0"&amp;DAY(A2297),2)&amp;"."&amp;RIGHT("0"&amp;MONTH(A2297),2)&amp;"."&amp;YEAR(A2297)&amp;": "&amp;INDEX('Zgłoszenia'!$H$5:$H$504,MATCH(H2297,'Zgłoszenia'!$S$5:$S$504,0)),RIGHT("0"&amp;DAY((A2297+1)),2)&amp;"."&amp;RIGHT("0"&amp;MONTH((A2297+1)),2)&amp;"."&amp;YEAR((A2297+1))&amp;": "&amp;INDEX('Zgłoszenia'!$H$5:$H$504,MATCH(F2297&amp;"|"&amp;(A2297+1),'Zgłoszenia'!$S$5:$S$504,0)))&amp;IF(K2297&gt;1," (+"&amp;(K2297-1)&amp;")",""))</f>
        <v/>
      </c>
      <c r="M2297" s="63" t="n">
        <v>29</v>
      </c>
      <c r="N2297" s="2" t="n"/>
      <c r="O2297" s="2" t="n"/>
    </row>
    <row r="2298">
      <c r="A2298" s="62">
        <f>IF('29'!$C$1="","",'29'!$C$1)</f>
        <v/>
      </c>
      <c r="B2298" s="63">
        <f>Ustawienia!$A$9&amp;""</f>
        <v/>
      </c>
      <c r="C2298" s="63">
        <f>Ustawienia!$A$14&amp;""</f>
        <v/>
      </c>
      <c r="D2298" s="63" t="n">
        <v>2</v>
      </c>
      <c r="E2298" s="63">
        <f>IF('29'!F7="","",TRIM('29'!F7&amp;""))</f>
        <v/>
      </c>
      <c r="F2298" s="63">
        <f>IF('29'!G7="","",'29'!G7)</f>
        <v/>
      </c>
      <c r="G2298" s="63">
        <f>'29'!H7&amp;""</f>
        <v/>
      </c>
      <c r="H2298" s="63">
        <f>IF(OR(A2298="",F2298=""),"",F2298&amp;"|"&amp;A2298)</f>
        <v/>
      </c>
      <c r="I2298" s="63">
        <f>IF(AND(H2298&lt;&gt;"",OR('Historia wózka'!$B$4="",F2298='Historia wózka'!$B$4),A2298&gt;='Historia wózka'!$B$5,A2298&lt;='Historia wózka'!$B$6),A2298+0.8+(5000-ROW())/10000000,0)</f>
        <v/>
      </c>
      <c r="J2298" s="63">
        <f>Ustawienia!$B$9&amp;""</f>
        <v/>
      </c>
      <c r="K2298" s="63">
        <f>IF(H2298="","",COUNTIFS('Zgłoszenia'!$B$5:$B$504,F2298,'Zgłoszenia'!$D$5:$D$504,"&gt;="&amp;A2298,'Zgłoszenia'!$D$5:$D$504,"&lt;="&amp;(A2298+1)))</f>
        <v/>
      </c>
      <c r="L2298" s="63">
        <f>IF(OR(H2298="",K2298=0),"—",IF(ISNUMBER(MATCH(H2298,'Zgłoszenia'!$S$5:$S$504,0)),RIGHT("0"&amp;DAY(A2298),2)&amp;"."&amp;RIGHT("0"&amp;MONTH(A2298),2)&amp;"."&amp;YEAR(A2298)&amp;": "&amp;INDEX('Zgłoszenia'!$H$5:$H$504,MATCH(H2298,'Zgłoszenia'!$S$5:$S$504,0)),RIGHT("0"&amp;DAY((A2298+1)),2)&amp;"."&amp;RIGHT("0"&amp;MONTH((A2298+1)),2)&amp;"."&amp;YEAR((A2298+1))&amp;": "&amp;INDEX('Zgłoszenia'!$H$5:$H$504,MATCH(F2298&amp;"|"&amp;(A2298+1),'Zgłoszenia'!$S$5:$S$504,0)))&amp;IF(K2298&gt;1," (+"&amp;(K2298-1)&amp;")",""))</f>
        <v/>
      </c>
      <c r="M2298" s="63" t="n">
        <v>29</v>
      </c>
      <c r="N2298" s="2" t="n"/>
      <c r="O2298" s="2" t="n"/>
    </row>
    <row r="2299">
      <c r="A2299" s="62">
        <f>IF('29'!$C$1="","",'29'!$C$1)</f>
        <v/>
      </c>
      <c r="B2299" s="63">
        <f>Ustawienia!$A$9&amp;""</f>
        <v/>
      </c>
      <c r="C2299" s="63">
        <f>Ustawienia!$A$14&amp;""</f>
        <v/>
      </c>
      <c r="D2299" s="63" t="n">
        <v>3</v>
      </c>
      <c r="E2299" s="63">
        <f>IF('29'!F8="","",TRIM('29'!F8&amp;""))</f>
        <v/>
      </c>
      <c r="F2299" s="63">
        <f>IF('29'!G8="","",'29'!G8)</f>
        <v/>
      </c>
      <c r="G2299" s="63">
        <f>'29'!H8&amp;""</f>
        <v/>
      </c>
      <c r="H2299" s="63">
        <f>IF(OR(A2299="",F2299=""),"",F2299&amp;"|"&amp;A2299)</f>
        <v/>
      </c>
      <c r="I2299" s="63">
        <f>IF(AND(H2299&lt;&gt;"",OR('Historia wózka'!$B$4="",F2299='Historia wózka'!$B$4),A2299&gt;='Historia wózka'!$B$5,A2299&lt;='Historia wózka'!$B$6),A2299+0.8+(5000-ROW())/10000000,0)</f>
        <v/>
      </c>
      <c r="J2299" s="63">
        <f>Ustawienia!$B$9&amp;""</f>
        <v/>
      </c>
      <c r="K2299" s="63">
        <f>IF(H2299="","",COUNTIFS('Zgłoszenia'!$B$5:$B$504,F2299,'Zgłoszenia'!$D$5:$D$504,"&gt;="&amp;A2299,'Zgłoszenia'!$D$5:$D$504,"&lt;="&amp;(A2299+1)))</f>
        <v/>
      </c>
      <c r="L2299" s="63">
        <f>IF(OR(H2299="",K2299=0),"—",IF(ISNUMBER(MATCH(H2299,'Zgłoszenia'!$S$5:$S$504,0)),RIGHT("0"&amp;DAY(A2299),2)&amp;"."&amp;RIGHT("0"&amp;MONTH(A2299),2)&amp;"."&amp;YEAR(A2299)&amp;": "&amp;INDEX('Zgłoszenia'!$H$5:$H$504,MATCH(H2299,'Zgłoszenia'!$S$5:$S$504,0)),RIGHT("0"&amp;DAY((A2299+1)),2)&amp;"."&amp;RIGHT("0"&amp;MONTH((A2299+1)),2)&amp;"."&amp;YEAR((A2299+1))&amp;": "&amp;INDEX('Zgłoszenia'!$H$5:$H$504,MATCH(F2299&amp;"|"&amp;(A2299+1),'Zgłoszenia'!$S$5:$S$504,0)))&amp;IF(K2299&gt;1," (+"&amp;(K2299-1)&amp;")",""))</f>
        <v/>
      </c>
      <c r="M2299" s="63" t="n">
        <v>29</v>
      </c>
      <c r="N2299" s="2" t="n"/>
      <c r="O2299" s="2" t="n"/>
    </row>
    <row r="2300">
      <c r="A2300" s="62">
        <f>IF('29'!$C$1="","",'29'!$C$1)</f>
        <v/>
      </c>
      <c r="B2300" s="63">
        <f>Ustawienia!$A$9&amp;""</f>
        <v/>
      </c>
      <c r="C2300" s="63">
        <f>Ustawienia!$A$14&amp;""</f>
        <v/>
      </c>
      <c r="D2300" s="63" t="n">
        <v>4</v>
      </c>
      <c r="E2300" s="63">
        <f>IF('29'!F9="","",TRIM('29'!F9&amp;""))</f>
        <v/>
      </c>
      <c r="F2300" s="63">
        <f>IF('29'!G9="","",'29'!G9)</f>
        <v/>
      </c>
      <c r="G2300" s="63">
        <f>'29'!H9&amp;""</f>
        <v/>
      </c>
      <c r="H2300" s="63">
        <f>IF(OR(A2300="",F2300=""),"",F2300&amp;"|"&amp;A2300)</f>
        <v/>
      </c>
      <c r="I2300" s="63">
        <f>IF(AND(H2300&lt;&gt;"",OR('Historia wózka'!$B$4="",F2300='Historia wózka'!$B$4),A2300&gt;='Historia wózka'!$B$5,A2300&lt;='Historia wózka'!$B$6),A2300+0.8+(5000-ROW())/10000000,0)</f>
        <v/>
      </c>
      <c r="J2300" s="63">
        <f>Ustawienia!$B$9&amp;""</f>
        <v/>
      </c>
      <c r="K2300" s="63">
        <f>IF(H2300="","",COUNTIFS('Zgłoszenia'!$B$5:$B$504,F2300,'Zgłoszenia'!$D$5:$D$504,"&gt;="&amp;A2300,'Zgłoszenia'!$D$5:$D$504,"&lt;="&amp;(A2300+1)))</f>
        <v/>
      </c>
      <c r="L2300" s="63">
        <f>IF(OR(H2300="",K2300=0),"—",IF(ISNUMBER(MATCH(H2300,'Zgłoszenia'!$S$5:$S$504,0)),RIGHT("0"&amp;DAY(A2300),2)&amp;"."&amp;RIGHT("0"&amp;MONTH(A2300),2)&amp;"."&amp;YEAR(A2300)&amp;": "&amp;INDEX('Zgłoszenia'!$H$5:$H$504,MATCH(H2300,'Zgłoszenia'!$S$5:$S$504,0)),RIGHT("0"&amp;DAY((A2300+1)),2)&amp;"."&amp;RIGHT("0"&amp;MONTH((A2300+1)),2)&amp;"."&amp;YEAR((A2300+1))&amp;": "&amp;INDEX('Zgłoszenia'!$H$5:$H$504,MATCH(F2300&amp;"|"&amp;(A2300+1),'Zgłoszenia'!$S$5:$S$504,0)))&amp;IF(K2300&gt;1," (+"&amp;(K2300-1)&amp;")",""))</f>
        <v/>
      </c>
      <c r="M2300" s="63" t="n">
        <v>29</v>
      </c>
      <c r="N2300" s="2" t="n"/>
      <c r="O2300" s="2" t="n"/>
    </row>
    <row r="2301">
      <c r="A2301" s="62">
        <f>IF('29'!$C$1="","",'29'!$C$1)</f>
        <v/>
      </c>
      <c r="B2301" s="63">
        <f>Ustawienia!$A$9&amp;""</f>
        <v/>
      </c>
      <c r="C2301" s="63">
        <f>Ustawienia!$A$14&amp;""</f>
        <v/>
      </c>
      <c r="D2301" s="63" t="n">
        <v>5</v>
      </c>
      <c r="E2301" s="63">
        <f>IF('29'!F10="","",TRIM('29'!F10&amp;""))</f>
        <v/>
      </c>
      <c r="F2301" s="63">
        <f>IF('29'!G10="","",'29'!G10)</f>
        <v/>
      </c>
      <c r="G2301" s="63">
        <f>'29'!H10&amp;""</f>
        <v/>
      </c>
      <c r="H2301" s="63">
        <f>IF(OR(A2301="",F2301=""),"",F2301&amp;"|"&amp;A2301)</f>
        <v/>
      </c>
      <c r="I2301" s="63">
        <f>IF(AND(H2301&lt;&gt;"",OR('Historia wózka'!$B$4="",F2301='Historia wózka'!$B$4),A2301&gt;='Historia wózka'!$B$5,A2301&lt;='Historia wózka'!$B$6),A2301+0.8+(5000-ROW())/10000000,0)</f>
        <v/>
      </c>
      <c r="J2301" s="63">
        <f>Ustawienia!$B$9&amp;""</f>
        <v/>
      </c>
      <c r="K2301" s="63">
        <f>IF(H2301="","",COUNTIFS('Zgłoszenia'!$B$5:$B$504,F2301,'Zgłoszenia'!$D$5:$D$504,"&gt;="&amp;A2301,'Zgłoszenia'!$D$5:$D$504,"&lt;="&amp;(A2301+1)))</f>
        <v/>
      </c>
      <c r="L2301" s="63">
        <f>IF(OR(H2301="",K2301=0),"—",IF(ISNUMBER(MATCH(H2301,'Zgłoszenia'!$S$5:$S$504,0)),RIGHT("0"&amp;DAY(A2301),2)&amp;"."&amp;RIGHT("0"&amp;MONTH(A2301),2)&amp;"."&amp;YEAR(A2301)&amp;": "&amp;INDEX('Zgłoszenia'!$H$5:$H$504,MATCH(H2301,'Zgłoszenia'!$S$5:$S$504,0)),RIGHT("0"&amp;DAY((A2301+1)),2)&amp;"."&amp;RIGHT("0"&amp;MONTH((A2301+1)),2)&amp;"."&amp;YEAR((A2301+1))&amp;": "&amp;INDEX('Zgłoszenia'!$H$5:$H$504,MATCH(F2301&amp;"|"&amp;(A2301+1),'Zgłoszenia'!$S$5:$S$504,0)))&amp;IF(K2301&gt;1," (+"&amp;(K2301-1)&amp;")",""))</f>
        <v/>
      </c>
      <c r="M2301" s="63" t="n">
        <v>29</v>
      </c>
      <c r="N2301" s="2" t="n"/>
      <c r="O2301" s="2" t="n"/>
    </row>
    <row r="2302">
      <c r="A2302" s="62">
        <f>IF('29'!$C$1="","",'29'!$C$1)</f>
        <v/>
      </c>
      <c r="B2302" s="63">
        <f>Ustawienia!$A$9&amp;""</f>
        <v/>
      </c>
      <c r="C2302" s="63">
        <f>Ustawienia!$A$14&amp;""</f>
        <v/>
      </c>
      <c r="D2302" s="63" t="n">
        <v>6</v>
      </c>
      <c r="E2302" s="63">
        <f>IF('29'!F11="","",TRIM('29'!F11&amp;""))</f>
        <v/>
      </c>
      <c r="F2302" s="63">
        <f>IF('29'!G11="","",'29'!G11)</f>
        <v/>
      </c>
      <c r="G2302" s="63">
        <f>'29'!H11&amp;""</f>
        <v/>
      </c>
      <c r="H2302" s="63">
        <f>IF(OR(A2302="",F2302=""),"",F2302&amp;"|"&amp;A2302)</f>
        <v/>
      </c>
      <c r="I2302" s="63">
        <f>IF(AND(H2302&lt;&gt;"",OR('Historia wózka'!$B$4="",F2302='Historia wózka'!$B$4),A2302&gt;='Historia wózka'!$B$5,A2302&lt;='Historia wózka'!$B$6),A2302+0.8+(5000-ROW())/10000000,0)</f>
        <v/>
      </c>
      <c r="J2302" s="63">
        <f>Ustawienia!$B$9&amp;""</f>
        <v/>
      </c>
      <c r="K2302" s="63">
        <f>IF(H2302="","",COUNTIFS('Zgłoszenia'!$B$5:$B$504,F2302,'Zgłoszenia'!$D$5:$D$504,"&gt;="&amp;A2302,'Zgłoszenia'!$D$5:$D$504,"&lt;="&amp;(A2302+1)))</f>
        <v/>
      </c>
      <c r="L2302" s="63">
        <f>IF(OR(H2302="",K2302=0),"—",IF(ISNUMBER(MATCH(H2302,'Zgłoszenia'!$S$5:$S$504,0)),RIGHT("0"&amp;DAY(A2302),2)&amp;"."&amp;RIGHT("0"&amp;MONTH(A2302),2)&amp;"."&amp;YEAR(A2302)&amp;": "&amp;INDEX('Zgłoszenia'!$H$5:$H$504,MATCH(H2302,'Zgłoszenia'!$S$5:$S$504,0)),RIGHT("0"&amp;DAY((A2302+1)),2)&amp;"."&amp;RIGHT("0"&amp;MONTH((A2302+1)),2)&amp;"."&amp;YEAR((A2302+1))&amp;": "&amp;INDEX('Zgłoszenia'!$H$5:$H$504,MATCH(F2302&amp;"|"&amp;(A2302+1),'Zgłoszenia'!$S$5:$S$504,0)))&amp;IF(K2302&gt;1," (+"&amp;(K2302-1)&amp;")",""))</f>
        <v/>
      </c>
      <c r="M2302" s="63" t="n">
        <v>29</v>
      </c>
      <c r="N2302" s="2" t="n"/>
      <c r="O2302" s="2" t="n"/>
    </row>
    <row r="2303">
      <c r="A2303" s="62">
        <f>IF('29'!$C$1="","",'29'!$C$1)</f>
        <v/>
      </c>
      <c r="B2303" s="63">
        <f>Ustawienia!$A$9&amp;""</f>
        <v/>
      </c>
      <c r="C2303" s="63">
        <f>Ustawienia!$A$15&amp;""</f>
        <v/>
      </c>
      <c r="D2303" s="63" t="n">
        <v>1</v>
      </c>
      <c r="E2303" s="63">
        <f>IF('29'!F13="","",TRIM('29'!F13&amp;""))</f>
        <v/>
      </c>
      <c r="F2303" s="63">
        <f>IF('29'!G13="","",'29'!G13)</f>
        <v/>
      </c>
      <c r="G2303" s="63">
        <f>'29'!H13&amp;""</f>
        <v/>
      </c>
      <c r="H2303" s="63">
        <f>IF(OR(A2303="",F2303=""),"",F2303&amp;"|"&amp;A2303)</f>
        <v/>
      </c>
      <c r="I2303" s="63">
        <f>IF(AND(H2303&lt;&gt;"",OR('Historia wózka'!$B$4="",F2303='Historia wózka'!$B$4),A2303&gt;='Historia wózka'!$B$5,A2303&lt;='Historia wózka'!$B$6),A2303+0.8+(5000-ROW())/10000000,0)</f>
        <v/>
      </c>
      <c r="J2303" s="63">
        <f>Ustawienia!$B$9&amp;""</f>
        <v/>
      </c>
      <c r="K2303" s="63">
        <f>IF(H2303="","",COUNTIFS('Zgłoszenia'!$B$5:$B$504,F2303,'Zgłoszenia'!$D$5:$D$504,"&gt;="&amp;A2303,'Zgłoszenia'!$D$5:$D$504,"&lt;="&amp;(A2303+1)))</f>
        <v/>
      </c>
      <c r="L2303" s="63">
        <f>IF(OR(H2303="",K2303=0),"—",IF(ISNUMBER(MATCH(H2303,'Zgłoszenia'!$S$5:$S$504,0)),RIGHT("0"&amp;DAY(A2303),2)&amp;"."&amp;RIGHT("0"&amp;MONTH(A2303),2)&amp;"."&amp;YEAR(A2303)&amp;": "&amp;INDEX('Zgłoszenia'!$H$5:$H$504,MATCH(H2303,'Zgłoszenia'!$S$5:$S$504,0)),RIGHT("0"&amp;DAY((A2303+1)),2)&amp;"."&amp;RIGHT("0"&amp;MONTH((A2303+1)),2)&amp;"."&amp;YEAR((A2303+1))&amp;": "&amp;INDEX('Zgłoszenia'!$H$5:$H$504,MATCH(F2303&amp;"|"&amp;(A2303+1),'Zgłoszenia'!$S$5:$S$504,0)))&amp;IF(K2303&gt;1," (+"&amp;(K2303-1)&amp;")",""))</f>
        <v/>
      </c>
      <c r="M2303" s="63" t="n">
        <v>29</v>
      </c>
      <c r="N2303" s="2" t="n"/>
      <c r="O2303" s="2" t="n"/>
    </row>
    <row r="2304">
      <c r="A2304" s="62">
        <f>IF('29'!$C$1="","",'29'!$C$1)</f>
        <v/>
      </c>
      <c r="B2304" s="63">
        <f>Ustawienia!$A$9&amp;""</f>
        <v/>
      </c>
      <c r="C2304" s="63">
        <f>Ustawienia!$A$15&amp;""</f>
        <v/>
      </c>
      <c r="D2304" s="63" t="n">
        <v>2</v>
      </c>
      <c r="E2304" s="63">
        <f>IF('29'!F14="","",TRIM('29'!F14&amp;""))</f>
        <v/>
      </c>
      <c r="F2304" s="63">
        <f>IF('29'!G14="","",'29'!G14)</f>
        <v/>
      </c>
      <c r="G2304" s="63">
        <f>'29'!H14&amp;""</f>
        <v/>
      </c>
      <c r="H2304" s="63">
        <f>IF(OR(A2304="",F2304=""),"",F2304&amp;"|"&amp;A2304)</f>
        <v/>
      </c>
      <c r="I2304" s="63">
        <f>IF(AND(H2304&lt;&gt;"",OR('Historia wózka'!$B$4="",F2304='Historia wózka'!$B$4),A2304&gt;='Historia wózka'!$B$5,A2304&lt;='Historia wózka'!$B$6),A2304+0.8+(5000-ROW())/10000000,0)</f>
        <v/>
      </c>
      <c r="J2304" s="63">
        <f>Ustawienia!$B$9&amp;""</f>
        <v/>
      </c>
      <c r="K2304" s="63">
        <f>IF(H2304="","",COUNTIFS('Zgłoszenia'!$B$5:$B$504,F2304,'Zgłoszenia'!$D$5:$D$504,"&gt;="&amp;A2304,'Zgłoszenia'!$D$5:$D$504,"&lt;="&amp;(A2304+1)))</f>
        <v/>
      </c>
      <c r="L2304" s="63">
        <f>IF(OR(H2304="",K2304=0),"—",IF(ISNUMBER(MATCH(H2304,'Zgłoszenia'!$S$5:$S$504,0)),RIGHT("0"&amp;DAY(A2304),2)&amp;"."&amp;RIGHT("0"&amp;MONTH(A2304),2)&amp;"."&amp;YEAR(A2304)&amp;": "&amp;INDEX('Zgłoszenia'!$H$5:$H$504,MATCH(H2304,'Zgłoszenia'!$S$5:$S$504,0)),RIGHT("0"&amp;DAY((A2304+1)),2)&amp;"."&amp;RIGHT("0"&amp;MONTH((A2304+1)),2)&amp;"."&amp;YEAR((A2304+1))&amp;": "&amp;INDEX('Zgłoszenia'!$H$5:$H$504,MATCH(F2304&amp;"|"&amp;(A2304+1),'Zgłoszenia'!$S$5:$S$504,0)))&amp;IF(K2304&gt;1," (+"&amp;(K2304-1)&amp;")",""))</f>
        <v/>
      </c>
      <c r="M2304" s="63" t="n">
        <v>29</v>
      </c>
      <c r="N2304" s="2" t="n"/>
      <c r="O2304" s="2" t="n"/>
    </row>
    <row r="2305">
      <c r="A2305" s="62">
        <f>IF('29'!$C$1="","",'29'!$C$1)</f>
        <v/>
      </c>
      <c r="B2305" s="63">
        <f>Ustawienia!$A$9&amp;""</f>
        <v/>
      </c>
      <c r="C2305" s="63">
        <f>Ustawienia!$A$15&amp;""</f>
        <v/>
      </c>
      <c r="D2305" s="63" t="n">
        <v>3</v>
      </c>
      <c r="E2305" s="63">
        <f>IF('29'!F15="","",TRIM('29'!F15&amp;""))</f>
        <v/>
      </c>
      <c r="F2305" s="63">
        <f>IF('29'!G15="","",'29'!G15)</f>
        <v/>
      </c>
      <c r="G2305" s="63">
        <f>'29'!H15&amp;""</f>
        <v/>
      </c>
      <c r="H2305" s="63">
        <f>IF(OR(A2305="",F2305=""),"",F2305&amp;"|"&amp;A2305)</f>
        <v/>
      </c>
      <c r="I2305" s="63">
        <f>IF(AND(H2305&lt;&gt;"",OR('Historia wózka'!$B$4="",F2305='Historia wózka'!$B$4),A2305&gt;='Historia wózka'!$B$5,A2305&lt;='Historia wózka'!$B$6),A2305+0.8+(5000-ROW())/10000000,0)</f>
        <v/>
      </c>
      <c r="J2305" s="63">
        <f>Ustawienia!$B$9&amp;""</f>
        <v/>
      </c>
      <c r="K2305" s="63">
        <f>IF(H2305="","",COUNTIFS('Zgłoszenia'!$B$5:$B$504,F2305,'Zgłoszenia'!$D$5:$D$504,"&gt;="&amp;A2305,'Zgłoszenia'!$D$5:$D$504,"&lt;="&amp;(A2305+1)))</f>
        <v/>
      </c>
      <c r="L2305" s="63">
        <f>IF(OR(H2305="",K2305=0),"—",IF(ISNUMBER(MATCH(H2305,'Zgłoszenia'!$S$5:$S$504,0)),RIGHT("0"&amp;DAY(A2305),2)&amp;"."&amp;RIGHT("0"&amp;MONTH(A2305),2)&amp;"."&amp;YEAR(A2305)&amp;": "&amp;INDEX('Zgłoszenia'!$H$5:$H$504,MATCH(H2305,'Zgłoszenia'!$S$5:$S$504,0)),RIGHT("0"&amp;DAY((A2305+1)),2)&amp;"."&amp;RIGHT("0"&amp;MONTH((A2305+1)),2)&amp;"."&amp;YEAR((A2305+1))&amp;": "&amp;INDEX('Zgłoszenia'!$H$5:$H$504,MATCH(F2305&amp;"|"&amp;(A2305+1),'Zgłoszenia'!$S$5:$S$504,0)))&amp;IF(K2305&gt;1," (+"&amp;(K2305-1)&amp;")",""))</f>
        <v/>
      </c>
      <c r="M2305" s="63" t="n">
        <v>29</v>
      </c>
      <c r="N2305" s="2" t="n"/>
      <c r="O2305" s="2" t="n"/>
    </row>
    <row r="2306">
      <c r="A2306" s="62">
        <f>IF('29'!$C$1="","",'29'!$C$1)</f>
        <v/>
      </c>
      <c r="B2306" s="63">
        <f>Ustawienia!$A$9&amp;""</f>
        <v/>
      </c>
      <c r="C2306" s="63">
        <f>Ustawienia!$A$15&amp;""</f>
        <v/>
      </c>
      <c r="D2306" s="63" t="n">
        <v>4</v>
      </c>
      <c r="E2306" s="63">
        <f>IF('29'!F16="","",TRIM('29'!F16&amp;""))</f>
        <v/>
      </c>
      <c r="F2306" s="63">
        <f>IF('29'!G16="","",'29'!G16)</f>
        <v/>
      </c>
      <c r="G2306" s="63">
        <f>'29'!H16&amp;""</f>
        <v/>
      </c>
      <c r="H2306" s="63">
        <f>IF(OR(A2306="",F2306=""),"",F2306&amp;"|"&amp;A2306)</f>
        <v/>
      </c>
      <c r="I2306" s="63">
        <f>IF(AND(H2306&lt;&gt;"",OR('Historia wózka'!$B$4="",F2306='Historia wózka'!$B$4),A2306&gt;='Historia wózka'!$B$5,A2306&lt;='Historia wózka'!$B$6),A2306+0.8+(5000-ROW())/10000000,0)</f>
        <v/>
      </c>
      <c r="J2306" s="63">
        <f>Ustawienia!$B$9&amp;""</f>
        <v/>
      </c>
      <c r="K2306" s="63">
        <f>IF(H2306="","",COUNTIFS('Zgłoszenia'!$B$5:$B$504,F2306,'Zgłoszenia'!$D$5:$D$504,"&gt;="&amp;A2306,'Zgłoszenia'!$D$5:$D$504,"&lt;="&amp;(A2306+1)))</f>
        <v/>
      </c>
      <c r="L2306" s="63">
        <f>IF(OR(H2306="",K2306=0),"—",IF(ISNUMBER(MATCH(H2306,'Zgłoszenia'!$S$5:$S$504,0)),RIGHT("0"&amp;DAY(A2306),2)&amp;"."&amp;RIGHT("0"&amp;MONTH(A2306),2)&amp;"."&amp;YEAR(A2306)&amp;": "&amp;INDEX('Zgłoszenia'!$H$5:$H$504,MATCH(H2306,'Zgłoszenia'!$S$5:$S$504,0)),RIGHT("0"&amp;DAY((A2306+1)),2)&amp;"."&amp;RIGHT("0"&amp;MONTH((A2306+1)),2)&amp;"."&amp;YEAR((A2306+1))&amp;": "&amp;INDEX('Zgłoszenia'!$H$5:$H$504,MATCH(F2306&amp;"|"&amp;(A2306+1),'Zgłoszenia'!$S$5:$S$504,0)))&amp;IF(K2306&gt;1," (+"&amp;(K2306-1)&amp;")",""))</f>
        <v/>
      </c>
      <c r="M2306" s="63" t="n">
        <v>29</v>
      </c>
      <c r="N2306" s="2" t="n"/>
      <c r="O2306" s="2" t="n"/>
    </row>
    <row r="2307">
      <c r="A2307" s="62">
        <f>IF('29'!$C$1="","",'29'!$C$1)</f>
        <v/>
      </c>
      <c r="B2307" s="63">
        <f>Ustawienia!$A$9&amp;""</f>
        <v/>
      </c>
      <c r="C2307" s="63">
        <f>Ustawienia!$A$15&amp;""</f>
        <v/>
      </c>
      <c r="D2307" s="63" t="n">
        <v>5</v>
      </c>
      <c r="E2307" s="63">
        <f>IF('29'!F17="","",TRIM('29'!F17&amp;""))</f>
        <v/>
      </c>
      <c r="F2307" s="63">
        <f>IF('29'!G17="","",'29'!G17)</f>
        <v/>
      </c>
      <c r="G2307" s="63">
        <f>'29'!H17&amp;""</f>
        <v/>
      </c>
      <c r="H2307" s="63">
        <f>IF(OR(A2307="",F2307=""),"",F2307&amp;"|"&amp;A2307)</f>
        <v/>
      </c>
      <c r="I2307" s="63">
        <f>IF(AND(H2307&lt;&gt;"",OR('Historia wózka'!$B$4="",F2307='Historia wózka'!$B$4),A2307&gt;='Historia wózka'!$B$5,A2307&lt;='Historia wózka'!$B$6),A2307+0.8+(5000-ROW())/10000000,0)</f>
        <v/>
      </c>
      <c r="J2307" s="63">
        <f>Ustawienia!$B$9&amp;""</f>
        <v/>
      </c>
      <c r="K2307" s="63">
        <f>IF(H2307="","",COUNTIFS('Zgłoszenia'!$B$5:$B$504,F2307,'Zgłoszenia'!$D$5:$D$504,"&gt;="&amp;A2307,'Zgłoszenia'!$D$5:$D$504,"&lt;="&amp;(A2307+1)))</f>
        <v/>
      </c>
      <c r="L2307" s="63">
        <f>IF(OR(H2307="",K2307=0),"—",IF(ISNUMBER(MATCH(H2307,'Zgłoszenia'!$S$5:$S$504,0)),RIGHT("0"&amp;DAY(A2307),2)&amp;"."&amp;RIGHT("0"&amp;MONTH(A2307),2)&amp;"."&amp;YEAR(A2307)&amp;": "&amp;INDEX('Zgłoszenia'!$H$5:$H$504,MATCH(H2307,'Zgłoszenia'!$S$5:$S$504,0)),RIGHT("0"&amp;DAY((A2307+1)),2)&amp;"."&amp;RIGHT("0"&amp;MONTH((A2307+1)),2)&amp;"."&amp;YEAR((A2307+1))&amp;": "&amp;INDEX('Zgłoszenia'!$H$5:$H$504,MATCH(F2307&amp;"|"&amp;(A2307+1),'Zgłoszenia'!$S$5:$S$504,0)))&amp;IF(K2307&gt;1," (+"&amp;(K2307-1)&amp;")",""))</f>
        <v/>
      </c>
      <c r="M2307" s="63" t="n">
        <v>29</v>
      </c>
      <c r="N2307" s="2" t="n"/>
      <c r="O2307" s="2" t="n"/>
    </row>
    <row r="2308">
      <c r="A2308" s="62">
        <f>IF('29'!$C$1="","",'29'!$C$1)</f>
        <v/>
      </c>
      <c r="B2308" s="63">
        <f>Ustawienia!$A$9&amp;""</f>
        <v/>
      </c>
      <c r="C2308" s="63">
        <f>Ustawienia!$A$15&amp;""</f>
        <v/>
      </c>
      <c r="D2308" s="63" t="n">
        <v>6</v>
      </c>
      <c r="E2308" s="63">
        <f>IF('29'!F18="","",TRIM('29'!F18&amp;""))</f>
        <v/>
      </c>
      <c r="F2308" s="63">
        <f>IF('29'!G18="","",'29'!G18)</f>
        <v/>
      </c>
      <c r="G2308" s="63">
        <f>'29'!H18&amp;""</f>
        <v/>
      </c>
      <c r="H2308" s="63">
        <f>IF(OR(A2308="",F2308=""),"",F2308&amp;"|"&amp;A2308)</f>
        <v/>
      </c>
      <c r="I2308" s="63">
        <f>IF(AND(H2308&lt;&gt;"",OR('Historia wózka'!$B$4="",F2308='Historia wózka'!$B$4),A2308&gt;='Historia wózka'!$B$5,A2308&lt;='Historia wózka'!$B$6),A2308+0.8+(5000-ROW())/10000000,0)</f>
        <v/>
      </c>
      <c r="J2308" s="63">
        <f>Ustawienia!$B$9&amp;""</f>
        <v/>
      </c>
      <c r="K2308" s="63">
        <f>IF(H2308="","",COUNTIFS('Zgłoszenia'!$B$5:$B$504,F2308,'Zgłoszenia'!$D$5:$D$504,"&gt;="&amp;A2308,'Zgłoszenia'!$D$5:$D$504,"&lt;="&amp;(A2308+1)))</f>
        <v/>
      </c>
      <c r="L2308" s="63">
        <f>IF(OR(H2308="",K2308=0),"—",IF(ISNUMBER(MATCH(H2308,'Zgłoszenia'!$S$5:$S$504,0)),RIGHT("0"&amp;DAY(A2308),2)&amp;"."&amp;RIGHT("0"&amp;MONTH(A2308),2)&amp;"."&amp;YEAR(A2308)&amp;": "&amp;INDEX('Zgłoszenia'!$H$5:$H$504,MATCH(H2308,'Zgłoszenia'!$S$5:$S$504,0)),RIGHT("0"&amp;DAY((A2308+1)),2)&amp;"."&amp;RIGHT("0"&amp;MONTH((A2308+1)),2)&amp;"."&amp;YEAR((A2308+1))&amp;": "&amp;INDEX('Zgłoszenia'!$H$5:$H$504,MATCH(F2308&amp;"|"&amp;(A2308+1),'Zgłoszenia'!$S$5:$S$504,0)))&amp;IF(K2308&gt;1," (+"&amp;(K2308-1)&amp;")",""))</f>
        <v/>
      </c>
      <c r="M2308" s="63" t="n">
        <v>29</v>
      </c>
      <c r="N2308" s="2" t="n"/>
      <c r="O2308" s="2" t="n"/>
    </row>
    <row r="2309">
      <c r="A2309" s="62">
        <f>IF('29'!$C$1="","",'29'!$C$1)</f>
        <v/>
      </c>
      <c r="B2309" s="63">
        <f>Ustawienia!$A$9&amp;""</f>
        <v/>
      </c>
      <c r="C2309" s="63">
        <f>Ustawienia!$A$15&amp;""</f>
        <v/>
      </c>
      <c r="D2309" s="63" t="n">
        <v>7</v>
      </c>
      <c r="E2309" s="63">
        <f>IF('29'!F19="","",TRIM('29'!F19&amp;""))</f>
        <v/>
      </c>
      <c r="F2309" s="63">
        <f>IF('29'!G19="","",'29'!G19)</f>
        <v/>
      </c>
      <c r="G2309" s="63">
        <f>'29'!H19&amp;""</f>
        <v/>
      </c>
      <c r="H2309" s="63">
        <f>IF(OR(A2309="",F2309=""),"",F2309&amp;"|"&amp;A2309)</f>
        <v/>
      </c>
      <c r="I2309" s="63">
        <f>IF(AND(H2309&lt;&gt;"",OR('Historia wózka'!$B$4="",F2309='Historia wózka'!$B$4),A2309&gt;='Historia wózka'!$B$5,A2309&lt;='Historia wózka'!$B$6),A2309+0.8+(5000-ROW())/10000000,0)</f>
        <v/>
      </c>
      <c r="J2309" s="63">
        <f>Ustawienia!$B$9&amp;""</f>
        <v/>
      </c>
      <c r="K2309" s="63">
        <f>IF(H2309="","",COUNTIFS('Zgłoszenia'!$B$5:$B$504,F2309,'Zgłoszenia'!$D$5:$D$504,"&gt;="&amp;A2309,'Zgłoszenia'!$D$5:$D$504,"&lt;="&amp;(A2309+1)))</f>
        <v/>
      </c>
      <c r="L2309" s="63">
        <f>IF(OR(H2309="",K2309=0),"—",IF(ISNUMBER(MATCH(H2309,'Zgłoszenia'!$S$5:$S$504,0)),RIGHT("0"&amp;DAY(A2309),2)&amp;"."&amp;RIGHT("0"&amp;MONTH(A2309),2)&amp;"."&amp;YEAR(A2309)&amp;": "&amp;INDEX('Zgłoszenia'!$H$5:$H$504,MATCH(H2309,'Zgłoszenia'!$S$5:$S$504,0)),RIGHT("0"&amp;DAY((A2309+1)),2)&amp;"."&amp;RIGHT("0"&amp;MONTH((A2309+1)),2)&amp;"."&amp;YEAR((A2309+1))&amp;": "&amp;INDEX('Zgłoszenia'!$H$5:$H$504,MATCH(F2309&amp;"|"&amp;(A2309+1),'Zgłoszenia'!$S$5:$S$504,0)))&amp;IF(K2309&gt;1," (+"&amp;(K2309-1)&amp;")",""))</f>
        <v/>
      </c>
      <c r="M2309" s="63" t="n">
        <v>29</v>
      </c>
      <c r="N2309" s="2" t="n"/>
      <c r="O2309" s="2" t="n"/>
    </row>
    <row r="2310">
      <c r="A2310" s="62">
        <f>IF('29'!$C$1="","",'29'!$C$1)</f>
        <v/>
      </c>
      <c r="B2310" s="63">
        <f>Ustawienia!$A$9&amp;""</f>
        <v/>
      </c>
      <c r="C2310" s="63">
        <f>Ustawienia!$A$15&amp;""</f>
        <v/>
      </c>
      <c r="D2310" s="63" t="n">
        <v>8</v>
      </c>
      <c r="E2310" s="63">
        <f>IF('29'!F20="","",TRIM('29'!F20&amp;""))</f>
        <v/>
      </c>
      <c r="F2310" s="63">
        <f>IF('29'!G20="","",'29'!G20)</f>
        <v/>
      </c>
      <c r="G2310" s="63">
        <f>'29'!H20&amp;""</f>
        <v/>
      </c>
      <c r="H2310" s="63">
        <f>IF(OR(A2310="",F2310=""),"",F2310&amp;"|"&amp;A2310)</f>
        <v/>
      </c>
      <c r="I2310" s="63">
        <f>IF(AND(H2310&lt;&gt;"",OR('Historia wózka'!$B$4="",F2310='Historia wózka'!$B$4),A2310&gt;='Historia wózka'!$B$5,A2310&lt;='Historia wózka'!$B$6),A2310+0.8+(5000-ROW())/10000000,0)</f>
        <v/>
      </c>
      <c r="J2310" s="63">
        <f>Ustawienia!$B$9&amp;""</f>
        <v/>
      </c>
      <c r="K2310" s="63">
        <f>IF(H2310="","",COUNTIFS('Zgłoszenia'!$B$5:$B$504,F2310,'Zgłoszenia'!$D$5:$D$504,"&gt;="&amp;A2310,'Zgłoszenia'!$D$5:$D$504,"&lt;="&amp;(A2310+1)))</f>
        <v/>
      </c>
      <c r="L2310" s="63">
        <f>IF(OR(H2310="",K2310=0),"—",IF(ISNUMBER(MATCH(H2310,'Zgłoszenia'!$S$5:$S$504,0)),RIGHT("0"&amp;DAY(A2310),2)&amp;"."&amp;RIGHT("0"&amp;MONTH(A2310),2)&amp;"."&amp;YEAR(A2310)&amp;": "&amp;INDEX('Zgłoszenia'!$H$5:$H$504,MATCH(H2310,'Zgłoszenia'!$S$5:$S$504,0)),RIGHT("0"&amp;DAY((A2310+1)),2)&amp;"."&amp;RIGHT("0"&amp;MONTH((A2310+1)),2)&amp;"."&amp;YEAR((A2310+1))&amp;": "&amp;INDEX('Zgłoszenia'!$H$5:$H$504,MATCH(F2310&amp;"|"&amp;(A2310+1),'Zgłoszenia'!$S$5:$S$504,0)))&amp;IF(K2310&gt;1," (+"&amp;(K2310-1)&amp;")",""))</f>
        <v/>
      </c>
      <c r="M2310" s="63" t="n">
        <v>29</v>
      </c>
      <c r="N2310" s="2" t="n"/>
      <c r="O2310" s="2" t="n"/>
    </row>
    <row r="2311">
      <c r="A2311" s="62">
        <f>IF('29'!$C$1="","",'29'!$C$1)</f>
        <v/>
      </c>
      <c r="B2311" s="63">
        <f>Ustawienia!$A$9&amp;""</f>
        <v/>
      </c>
      <c r="C2311" s="63">
        <f>Ustawienia!$A$16&amp;""</f>
        <v/>
      </c>
      <c r="D2311" s="63" t="n">
        <v>1</v>
      </c>
      <c r="E2311" s="63">
        <f>IF('29'!F22="","",TRIM('29'!F22&amp;""))</f>
        <v/>
      </c>
      <c r="F2311" s="63">
        <f>IF('29'!G22="","",'29'!G22)</f>
        <v/>
      </c>
      <c r="G2311" s="63">
        <f>'29'!H22&amp;""</f>
        <v/>
      </c>
      <c r="H2311" s="63">
        <f>IF(OR(A2311="",F2311=""),"",F2311&amp;"|"&amp;A2311)</f>
        <v/>
      </c>
      <c r="I2311" s="63">
        <f>IF(AND(H2311&lt;&gt;"",OR('Historia wózka'!$B$4="",F2311='Historia wózka'!$B$4),A2311&gt;='Historia wózka'!$B$5,A2311&lt;='Historia wózka'!$B$6),A2311+0.8+(5000-ROW())/10000000,0)</f>
        <v/>
      </c>
      <c r="J2311" s="63">
        <f>Ustawienia!$B$9&amp;""</f>
        <v/>
      </c>
      <c r="K2311" s="63">
        <f>IF(H2311="","",COUNTIFS('Zgłoszenia'!$B$5:$B$504,F2311,'Zgłoszenia'!$D$5:$D$504,"&gt;="&amp;A2311,'Zgłoszenia'!$D$5:$D$504,"&lt;="&amp;(A2311+1)))</f>
        <v/>
      </c>
      <c r="L2311" s="63">
        <f>IF(OR(H2311="",K2311=0),"—",IF(ISNUMBER(MATCH(H2311,'Zgłoszenia'!$S$5:$S$504,0)),RIGHT("0"&amp;DAY(A2311),2)&amp;"."&amp;RIGHT("0"&amp;MONTH(A2311),2)&amp;"."&amp;YEAR(A2311)&amp;": "&amp;INDEX('Zgłoszenia'!$H$5:$H$504,MATCH(H2311,'Zgłoszenia'!$S$5:$S$504,0)),RIGHT("0"&amp;DAY((A2311+1)),2)&amp;"."&amp;RIGHT("0"&amp;MONTH((A2311+1)),2)&amp;"."&amp;YEAR((A2311+1))&amp;": "&amp;INDEX('Zgłoszenia'!$H$5:$H$504,MATCH(F2311&amp;"|"&amp;(A2311+1),'Zgłoszenia'!$S$5:$S$504,0)))&amp;IF(K2311&gt;1," (+"&amp;(K2311-1)&amp;")",""))</f>
        <v/>
      </c>
      <c r="M2311" s="63" t="n">
        <v>29</v>
      </c>
      <c r="N2311" s="2" t="n"/>
      <c r="O2311" s="2" t="n"/>
    </row>
    <row r="2312">
      <c r="A2312" s="62">
        <f>IF('29'!$C$1="","",'29'!$C$1)</f>
        <v/>
      </c>
      <c r="B2312" s="63">
        <f>Ustawienia!$A$9&amp;""</f>
        <v/>
      </c>
      <c r="C2312" s="63">
        <f>Ustawienia!$A$16&amp;""</f>
        <v/>
      </c>
      <c r="D2312" s="63" t="n">
        <v>2</v>
      </c>
      <c r="E2312" s="63">
        <f>IF('29'!F23="","",TRIM('29'!F23&amp;""))</f>
        <v/>
      </c>
      <c r="F2312" s="63">
        <f>IF('29'!G23="","",'29'!G23)</f>
        <v/>
      </c>
      <c r="G2312" s="63">
        <f>'29'!H23&amp;""</f>
        <v/>
      </c>
      <c r="H2312" s="63">
        <f>IF(OR(A2312="",F2312=""),"",F2312&amp;"|"&amp;A2312)</f>
        <v/>
      </c>
      <c r="I2312" s="63">
        <f>IF(AND(H2312&lt;&gt;"",OR('Historia wózka'!$B$4="",F2312='Historia wózka'!$B$4),A2312&gt;='Historia wózka'!$B$5,A2312&lt;='Historia wózka'!$B$6),A2312+0.8+(5000-ROW())/10000000,0)</f>
        <v/>
      </c>
      <c r="J2312" s="63">
        <f>Ustawienia!$B$9&amp;""</f>
        <v/>
      </c>
      <c r="K2312" s="63">
        <f>IF(H2312="","",COUNTIFS('Zgłoszenia'!$B$5:$B$504,F2312,'Zgłoszenia'!$D$5:$D$504,"&gt;="&amp;A2312,'Zgłoszenia'!$D$5:$D$504,"&lt;="&amp;(A2312+1)))</f>
        <v/>
      </c>
      <c r="L2312" s="63">
        <f>IF(OR(H2312="",K2312=0),"—",IF(ISNUMBER(MATCH(H2312,'Zgłoszenia'!$S$5:$S$504,0)),RIGHT("0"&amp;DAY(A2312),2)&amp;"."&amp;RIGHT("0"&amp;MONTH(A2312),2)&amp;"."&amp;YEAR(A2312)&amp;": "&amp;INDEX('Zgłoszenia'!$H$5:$H$504,MATCH(H2312,'Zgłoszenia'!$S$5:$S$504,0)),RIGHT("0"&amp;DAY((A2312+1)),2)&amp;"."&amp;RIGHT("0"&amp;MONTH((A2312+1)),2)&amp;"."&amp;YEAR((A2312+1))&amp;": "&amp;INDEX('Zgłoszenia'!$H$5:$H$504,MATCH(F2312&amp;"|"&amp;(A2312+1),'Zgłoszenia'!$S$5:$S$504,0)))&amp;IF(K2312&gt;1," (+"&amp;(K2312-1)&amp;")",""))</f>
        <v/>
      </c>
      <c r="M2312" s="63" t="n">
        <v>29</v>
      </c>
      <c r="N2312" s="2" t="n"/>
      <c r="O2312" s="2" t="n"/>
    </row>
    <row r="2313">
      <c r="A2313" s="62">
        <f>IF('29'!$C$1="","",'29'!$C$1)</f>
        <v/>
      </c>
      <c r="B2313" s="63">
        <f>Ustawienia!$A$9&amp;""</f>
        <v/>
      </c>
      <c r="C2313" s="63">
        <f>Ustawienia!$A$16&amp;""</f>
        <v/>
      </c>
      <c r="D2313" s="63" t="n">
        <v>3</v>
      </c>
      <c r="E2313" s="63">
        <f>IF('29'!F24="","",TRIM('29'!F24&amp;""))</f>
        <v/>
      </c>
      <c r="F2313" s="63">
        <f>IF('29'!G24="","",'29'!G24)</f>
        <v/>
      </c>
      <c r="G2313" s="63">
        <f>'29'!H24&amp;""</f>
        <v/>
      </c>
      <c r="H2313" s="63">
        <f>IF(OR(A2313="",F2313=""),"",F2313&amp;"|"&amp;A2313)</f>
        <v/>
      </c>
      <c r="I2313" s="63">
        <f>IF(AND(H2313&lt;&gt;"",OR('Historia wózka'!$B$4="",F2313='Historia wózka'!$B$4),A2313&gt;='Historia wózka'!$B$5,A2313&lt;='Historia wózka'!$B$6),A2313+0.8+(5000-ROW())/10000000,0)</f>
        <v/>
      </c>
      <c r="J2313" s="63">
        <f>Ustawienia!$B$9&amp;""</f>
        <v/>
      </c>
      <c r="K2313" s="63">
        <f>IF(H2313="","",COUNTIFS('Zgłoszenia'!$B$5:$B$504,F2313,'Zgłoszenia'!$D$5:$D$504,"&gt;="&amp;A2313,'Zgłoszenia'!$D$5:$D$504,"&lt;="&amp;(A2313+1)))</f>
        <v/>
      </c>
      <c r="L2313" s="63">
        <f>IF(OR(H2313="",K2313=0),"—",IF(ISNUMBER(MATCH(H2313,'Zgłoszenia'!$S$5:$S$504,0)),RIGHT("0"&amp;DAY(A2313),2)&amp;"."&amp;RIGHT("0"&amp;MONTH(A2313),2)&amp;"."&amp;YEAR(A2313)&amp;": "&amp;INDEX('Zgłoszenia'!$H$5:$H$504,MATCH(H2313,'Zgłoszenia'!$S$5:$S$504,0)),RIGHT("0"&amp;DAY((A2313+1)),2)&amp;"."&amp;RIGHT("0"&amp;MONTH((A2313+1)),2)&amp;"."&amp;YEAR((A2313+1))&amp;": "&amp;INDEX('Zgłoszenia'!$H$5:$H$504,MATCH(F2313&amp;"|"&amp;(A2313+1),'Zgłoszenia'!$S$5:$S$504,0)))&amp;IF(K2313&gt;1," (+"&amp;(K2313-1)&amp;")",""))</f>
        <v/>
      </c>
      <c r="M2313" s="63" t="n">
        <v>29</v>
      </c>
      <c r="N2313" s="2" t="n"/>
      <c r="O2313" s="2" t="n"/>
    </row>
    <row r="2314">
      <c r="A2314" s="62">
        <f>IF('29'!$C$1="","",'29'!$C$1)</f>
        <v/>
      </c>
      <c r="B2314" s="63">
        <f>Ustawienia!$A$9&amp;""</f>
        <v/>
      </c>
      <c r="C2314" s="63">
        <f>Ustawienia!$A$16&amp;""</f>
        <v/>
      </c>
      <c r="D2314" s="63" t="n">
        <v>4</v>
      </c>
      <c r="E2314" s="63">
        <f>IF('29'!F25="","",TRIM('29'!F25&amp;""))</f>
        <v/>
      </c>
      <c r="F2314" s="63">
        <f>IF('29'!G25="","",'29'!G25)</f>
        <v/>
      </c>
      <c r="G2314" s="63">
        <f>'29'!H25&amp;""</f>
        <v/>
      </c>
      <c r="H2314" s="63">
        <f>IF(OR(A2314="",F2314=""),"",F2314&amp;"|"&amp;A2314)</f>
        <v/>
      </c>
      <c r="I2314" s="63">
        <f>IF(AND(H2314&lt;&gt;"",OR('Historia wózka'!$B$4="",F2314='Historia wózka'!$B$4),A2314&gt;='Historia wózka'!$B$5,A2314&lt;='Historia wózka'!$B$6),A2314+0.8+(5000-ROW())/10000000,0)</f>
        <v/>
      </c>
      <c r="J2314" s="63">
        <f>Ustawienia!$B$9&amp;""</f>
        <v/>
      </c>
      <c r="K2314" s="63">
        <f>IF(H2314="","",COUNTIFS('Zgłoszenia'!$B$5:$B$504,F2314,'Zgłoszenia'!$D$5:$D$504,"&gt;="&amp;A2314,'Zgłoszenia'!$D$5:$D$504,"&lt;="&amp;(A2314+1)))</f>
        <v/>
      </c>
      <c r="L2314" s="63">
        <f>IF(OR(H2314="",K2314=0),"—",IF(ISNUMBER(MATCH(H2314,'Zgłoszenia'!$S$5:$S$504,0)),RIGHT("0"&amp;DAY(A2314),2)&amp;"."&amp;RIGHT("0"&amp;MONTH(A2314),2)&amp;"."&amp;YEAR(A2314)&amp;": "&amp;INDEX('Zgłoszenia'!$H$5:$H$504,MATCH(H2314,'Zgłoszenia'!$S$5:$S$504,0)),RIGHT("0"&amp;DAY((A2314+1)),2)&amp;"."&amp;RIGHT("0"&amp;MONTH((A2314+1)),2)&amp;"."&amp;YEAR((A2314+1))&amp;": "&amp;INDEX('Zgłoszenia'!$H$5:$H$504,MATCH(F2314&amp;"|"&amp;(A2314+1),'Zgłoszenia'!$S$5:$S$504,0)))&amp;IF(K2314&gt;1," (+"&amp;(K2314-1)&amp;")",""))</f>
        <v/>
      </c>
      <c r="M2314" s="63" t="n">
        <v>29</v>
      </c>
      <c r="N2314" s="2" t="n"/>
      <c r="O2314" s="2" t="n"/>
    </row>
    <row r="2315">
      <c r="A2315" s="62">
        <f>IF('29'!$C$1="","",'29'!$C$1)</f>
        <v/>
      </c>
      <c r="B2315" s="63">
        <f>Ustawienia!$A$9&amp;""</f>
        <v/>
      </c>
      <c r="C2315" s="63">
        <f>Ustawienia!$A$17&amp;""</f>
        <v/>
      </c>
      <c r="D2315" s="63" t="n">
        <v>1</v>
      </c>
      <c r="E2315" s="63">
        <f>IF('29'!F27="","",TRIM('29'!F27&amp;""))</f>
        <v/>
      </c>
      <c r="F2315" s="63">
        <f>IF('29'!G27="","",'29'!G27)</f>
        <v/>
      </c>
      <c r="G2315" s="63">
        <f>'29'!H27&amp;""</f>
        <v/>
      </c>
      <c r="H2315" s="63">
        <f>IF(OR(A2315="",F2315=""),"",F2315&amp;"|"&amp;A2315)</f>
        <v/>
      </c>
      <c r="I2315" s="63">
        <f>IF(AND(H2315&lt;&gt;"",OR('Historia wózka'!$B$4="",F2315='Historia wózka'!$B$4),A2315&gt;='Historia wózka'!$B$5,A2315&lt;='Historia wózka'!$B$6),A2315+0.8+(5000-ROW())/10000000,0)</f>
        <v/>
      </c>
      <c r="J2315" s="63">
        <f>Ustawienia!$B$9&amp;""</f>
        <v/>
      </c>
      <c r="K2315" s="63">
        <f>IF(H2315="","",COUNTIFS('Zgłoszenia'!$B$5:$B$504,F2315,'Zgłoszenia'!$D$5:$D$504,"&gt;="&amp;A2315,'Zgłoszenia'!$D$5:$D$504,"&lt;="&amp;(A2315+1)))</f>
        <v/>
      </c>
      <c r="L2315" s="63">
        <f>IF(OR(H2315="",K2315=0),"—",IF(ISNUMBER(MATCH(H2315,'Zgłoszenia'!$S$5:$S$504,0)),RIGHT("0"&amp;DAY(A2315),2)&amp;"."&amp;RIGHT("0"&amp;MONTH(A2315),2)&amp;"."&amp;YEAR(A2315)&amp;": "&amp;INDEX('Zgłoszenia'!$H$5:$H$504,MATCH(H2315,'Zgłoszenia'!$S$5:$S$504,0)),RIGHT("0"&amp;DAY((A2315+1)),2)&amp;"."&amp;RIGHT("0"&amp;MONTH((A2315+1)),2)&amp;"."&amp;YEAR((A2315+1))&amp;": "&amp;INDEX('Zgłoszenia'!$H$5:$H$504,MATCH(F2315&amp;"|"&amp;(A2315+1),'Zgłoszenia'!$S$5:$S$504,0)))&amp;IF(K2315&gt;1," (+"&amp;(K2315-1)&amp;")",""))</f>
        <v/>
      </c>
      <c r="M2315" s="63" t="n">
        <v>29</v>
      </c>
      <c r="N2315" s="2" t="n"/>
      <c r="O2315" s="2" t="n"/>
    </row>
    <row r="2316">
      <c r="A2316" s="62">
        <f>IF('29'!$C$1="","",'29'!$C$1)</f>
        <v/>
      </c>
      <c r="B2316" s="63">
        <f>Ustawienia!$A$9&amp;""</f>
        <v/>
      </c>
      <c r="C2316" s="63">
        <f>Ustawienia!$A$17&amp;""</f>
        <v/>
      </c>
      <c r="D2316" s="63" t="n">
        <v>2</v>
      </c>
      <c r="E2316" s="63">
        <f>IF('29'!F28="","",TRIM('29'!F28&amp;""))</f>
        <v/>
      </c>
      <c r="F2316" s="63">
        <f>IF('29'!G28="","",'29'!G28)</f>
        <v/>
      </c>
      <c r="G2316" s="63">
        <f>'29'!H28&amp;""</f>
        <v/>
      </c>
      <c r="H2316" s="63">
        <f>IF(OR(A2316="",F2316=""),"",F2316&amp;"|"&amp;A2316)</f>
        <v/>
      </c>
      <c r="I2316" s="63">
        <f>IF(AND(H2316&lt;&gt;"",OR('Historia wózka'!$B$4="",F2316='Historia wózka'!$B$4),A2316&gt;='Historia wózka'!$B$5,A2316&lt;='Historia wózka'!$B$6),A2316+0.8+(5000-ROW())/10000000,0)</f>
        <v/>
      </c>
      <c r="J2316" s="63">
        <f>Ustawienia!$B$9&amp;""</f>
        <v/>
      </c>
      <c r="K2316" s="63">
        <f>IF(H2316="","",COUNTIFS('Zgłoszenia'!$B$5:$B$504,F2316,'Zgłoszenia'!$D$5:$D$504,"&gt;="&amp;A2316,'Zgłoszenia'!$D$5:$D$504,"&lt;="&amp;(A2316+1)))</f>
        <v/>
      </c>
      <c r="L2316" s="63">
        <f>IF(OR(H2316="",K2316=0),"—",IF(ISNUMBER(MATCH(H2316,'Zgłoszenia'!$S$5:$S$504,0)),RIGHT("0"&amp;DAY(A2316),2)&amp;"."&amp;RIGHT("0"&amp;MONTH(A2316),2)&amp;"."&amp;YEAR(A2316)&amp;": "&amp;INDEX('Zgłoszenia'!$H$5:$H$504,MATCH(H2316,'Zgłoszenia'!$S$5:$S$504,0)),RIGHT("0"&amp;DAY((A2316+1)),2)&amp;"."&amp;RIGHT("0"&amp;MONTH((A2316+1)),2)&amp;"."&amp;YEAR((A2316+1))&amp;": "&amp;INDEX('Zgłoszenia'!$H$5:$H$504,MATCH(F2316&amp;"|"&amp;(A2316+1),'Zgłoszenia'!$S$5:$S$504,0)))&amp;IF(K2316&gt;1," (+"&amp;(K2316-1)&amp;")",""))</f>
        <v/>
      </c>
      <c r="M2316" s="63" t="n">
        <v>29</v>
      </c>
      <c r="N2316" s="2" t="n"/>
      <c r="O2316" s="2" t="n"/>
    </row>
    <row r="2317">
      <c r="A2317" s="62">
        <f>IF('29'!$C$1="","",'29'!$C$1)</f>
        <v/>
      </c>
      <c r="B2317" s="63">
        <f>Ustawienia!$A$9&amp;""</f>
        <v/>
      </c>
      <c r="C2317" s="63">
        <f>Ustawienia!$A$17&amp;""</f>
        <v/>
      </c>
      <c r="D2317" s="63" t="n">
        <v>3</v>
      </c>
      <c r="E2317" s="63">
        <f>IF('29'!F29="","",TRIM('29'!F29&amp;""))</f>
        <v/>
      </c>
      <c r="F2317" s="63">
        <f>IF('29'!G29="","",'29'!G29)</f>
        <v/>
      </c>
      <c r="G2317" s="63">
        <f>'29'!H29&amp;""</f>
        <v/>
      </c>
      <c r="H2317" s="63">
        <f>IF(OR(A2317="",F2317=""),"",F2317&amp;"|"&amp;A2317)</f>
        <v/>
      </c>
      <c r="I2317" s="63">
        <f>IF(AND(H2317&lt;&gt;"",OR('Historia wózka'!$B$4="",F2317='Historia wózka'!$B$4),A2317&gt;='Historia wózka'!$B$5,A2317&lt;='Historia wózka'!$B$6),A2317+0.8+(5000-ROW())/10000000,0)</f>
        <v/>
      </c>
      <c r="J2317" s="63">
        <f>Ustawienia!$B$9&amp;""</f>
        <v/>
      </c>
      <c r="K2317" s="63">
        <f>IF(H2317="","",COUNTIFS('Zgłoszenia'!$B$5:$B$504,F2317,'Zgłoszenia'!$D$5:$D$504,"&gt;="&amp;A2317,'Zgłoszenia'!$D$5:$D$504,"&lt;="&amp;(A2317+1)))</f>
        <v/>
      </c>
      <c r="L2317" s="63">
        <f>IF(OR(H2317="",K2317=0),"—",IF(ISNUMBER(MATCH(H2317,'Zgłoszenia'!$S$5:$S$504,0)),RIGHT("0"&amp;DAY(A2317),2)&amp;"."&amp;RIGHT("0"&amp;MONTH(A2317),2)&amp;"."&amp;YEAR(A2317)&amp;": "&amp;INDEX('Zgłoszenia'!$H$5:$H$504,MATCH(H2317,'Zgłoszenia'!$S$5:$S$504,0)),RIGHT("0"&amp;DAY((A2317+1)),2)&amp;"."&amp;RIGHT("0"&amp;MONTH((A2317+1)),2)&amp;"."&amp;YEAR((A2317+1))&amp;": "&amp;INDEX('Zgłoszenia'!$H$5:$H$504,MATCH(F2317&amp;"|"&amp;(A2317+1),'Zgłoszenia'!$S$5:$S$504,0)))&amp;IF(K2317&gt;1," (+"&amp;(K2317-1)&amp;")",""))</f>
        <v/>
      </c>
      <c r="M2317" s="63" t="n">
        <v>29</v>
      </c>
      <c r="N2317" s="2" t="n"/>
      <c r="O2317" s="2" t="n"/>
    </row>
    <row r="2318">
      <c r="A2318" s="62">
        <f>IF('29'!$C$1="","",'29'!$C$1)</f>
        <v/>
      </c>
      <c r="B2318" s="63">
        <f>Ustawienia!$A$9&amp;""</f>
        <v/>
      </c>
      <c r="C2318" s="63">
        <f>Ustawienia!$A$17&amp;""</f>
        <v/>
      </c>
      <c r="D2318" s="63" t="n">
        <v>4</v>
      </c>
      <c r="E2318" s="63">
        <f>IF('29'!F30="","",TRIM('29'!F30&amp;""))</f>
        <v/>
      </c>
      <c r="F2318" s="63">
        <f>IF('29'!G30="","",'29'!G30)</f>
        <v/>
      </c>
      <c r="G2318" s="63">
        <f>'29'!H30&amp;""</f>
        <v/>
      </c>
      <c r="H2318" s="63">
        <f>IF(OR(A2318="",F2318=""),"",F2318&amp;"|"&amp;A2318)</f>
        <v/>
      </c>
      <c r="I2318" s="63">
        <f>IF(AND(H2318&lt;&gt;"",OR('Historia wózka'!$B$4="",F2318='Historia wózka'!$B$4),A2318&gt;='Historia wózka'!$B$5,A2318&lt;='Historia wózka'!$B$6),A2318+0.8+(5000-ROW())/10000000,0)</f>
        <v/>
      </c>
      <c r="J2318" s="63">
        <f>Ustawienia!$B$9&amp;""</f>
        <v/>
      </c>
      <c r="K2318" s="63">
        <f>IF(H2318="","",COUNTIFS('Zgłoszenia'!$B$5:$B$504,F2318,'Zgłoszenia'!$D$5:$D$504,"&gt;="&amp;A2318,'Zgłoszenia'!$D$5:$D$504,"&lt;="&amp;(A2318+1)))</f>
        <v/>
      </c>
      <c r="L2318" s="63">
        <f>IF(OR(H2318="",K2318=0),"—",IF(ISNUMBER(MATCH(H2318,'Zgłoszenia'!$S$5:$S$504,0)),RIGHT("0"&amp;DAY(A2318),2)&amp;"."&amp;RIGHT("0"&amp;MONTH(A2318),2)&amp;"."&amp;YEAR(A2318)&amp;": "&amp;INDEX('Zgłoszenia'!$H$5:$H$504,MATCH(H2318,'Zgłoszenia'!$S$5:$S$504,0)),RIGHT("0"&amp;DAY((A2318+1)),2)&amp;"."&amp;RIGHT("0"&amp;MONTH((A2318+1)),2)&amp;"."&amp;YEAR((A2318+1))&amp;": "&amp;INDEX('Zgłoszenia'!$H$5:$H$504,MATCH(F2318&amp;"|"&amp;(A2318+1),'Zgłoszenia'!$S$5:$S$504,0)))&amp;IF(K2318&gt;1," (+"&amp;(K2318-1)&amp;")",""))</f>
        <v/>
      </c>
      <c r="M2318" s="63" t="n">
        <v>29</v>
      </c>
      <c r="N2318" s="2" t="n"/>
      <c r="O2318" s="2" t="n"/>
    </row>
    <row r="2319">
      <c r="A2319" s="62">
        <f>IF('29'!$C$1="","",'29'!$C$1)</f>
        <v/>
      </c>
      <c r="B2319" s="63">
        <f>Ustawienia!$A$9&amp;""</f>
        <v/>
      </c>
      <c r="C2319" s="63">
        <f>Ustawienia!$A$18&amp;""</f>
        <v/>
      </c>
      <c r="D2319" s="63" t="n">
        <v>1</v>
      </c>
      <c r="E2319" s="63">
        <f>IF('29'!F32="","",TRIM('29'!F32&amp;""))</f>
        <v/>
      </c>
      <c r="F2319" s="63">
        <f>IF('29'!G32="","",'29'!G32)</f>
        <v/>
      </c>
      <c r="G2319" s="63">
        <f>'29'!H32&amp;""</f>
        <v/>
      </c>
      <c r="H2319" s="63">
        <f>IF(OR(A2319="",F2319=""),"",F2319&amp;"|"&amp;A2319)</f>
        <v/>
      </c>
      <c r="I2319" s="63">
        <f>IF(AND(H2319&lt;&gt;"",OR('Historia wózka'!$B$4="",F2319='Historia wózka'!$B$4),A2319&gt;='Historia wózka'!$B$5,A2319&lt;='Historia wózka'!$B$6),A2319+0.8+(5000-ROW())/10000000,0)</f>
        <v/>
      </c>
      <c r="J2319" s="63">
        <f>Ustawienia!$B$9&amp;""</f>
        <v/>
      </c>
      <c r="K2319" s="63">
        <f>IF(H2319="","",COUNTIFS('Zgłoszenia'!$B$5:$B$504,F2319,'Zgłoszenia'!$D$5:$D$504,"&gt;="&amp;A2319,'Zgłoszenia'!$D$5:$D$504,"&lt;="&amp;(A2319+1)))</f>
        <v/>
      </c>
      <c r="L2319" s="63">
        <f>IF(OR(H2319="",K2319=0),"—",IF(ISNUMBER(MATCH(H2319,'Zgłoszenia'!$S$5:$S$504,0)),RIGHT("0"&amp;DAY(A2319),2)&amp;"."&amp;RIGHT("0"&amp;MONTH(A2319),2)&amp;"."&amp;YEAR(A2319)&amp;": "&amp;INDEX('Zgłoszenia'!$H$5:$H$504,MATCH(H2319,'Zgłoszenia'!$S$5:$S$504,0)),RIGHT("0"&amp;DAY((A2319+1)),2)&amp;"."&amp;RIGHT("0"&amp;MONTH((A2319+1)),2)&amp;"."&amp;YEAR((A2319+1))&amp;": "&amp;INDEX('Zgłoszenia'!$H$5:$H$504,MATCH(F2319&amp;"|"&amp;(A2319+1),'Zgłoszenia'!$S$5:$S$504,0)))&amp;IF(K2319&gt;1," (+"&amp;(K2319-1)&amp;")",""))</f>
        <v/>
      </c>
      <c r="M2319" s="63" t="n">
        <v>29</v>
      </c>
      <c r="N2319" s="2" t="n"/>
      <c r="O2319" s="2" t="n"/>
    </row>
    <row r="2320">
      <c r="A2320" s="62">
        <f>IF('29'!$C$1="","",'29'!$C$1)</f>
        <v/>
      </c>
      <c r="B2320" s="63">
        <f>Ustawienia!$A$9&amp;""</f>
        <v/>
      </c>
      <c r="C2320" s="63">
        <f>Ustawienia!$A$18&amp;""</f>
        <v/>
      </c>
      <c r="D2320" s="63" t="n">
        <v>2</v>
      </c>
      <c r="E2320" s="63">
        <f>IF('29'!F33="","",TRIM('29'!F33&amp;""))</f>
        <v/>
      </c>
      <c r="F2320" s="63">
        <f>IF('29'!G33="","",'29'!G33)</f>
        <v/>
      </c>
      <c r="G2320" s="63">
        <f>'29'!H33&amp;""</f>
        <v/>
      </c>
      <c r="H2320" s="63">
        <f>IF(OR(A2320="",F2320=""),"",F2320&amp;"|"&amp;A2320)</f>
        <v/>
      </c>
      <c r="I2320" s="63">
        <f>IF(AND(H2320&lt;&gt;"",OR('Historia wózka'!$B$4="",F2320='Historia wózka'!$B$4),A2320&gt;='Historia wózka'!$B$5,A2320&lt;='Historia wózka'!$B$6),A2320+0.8+(5000-ROW())/10000000,0)</f>
        <v/>
      </c>
      <c r="J2320" s="63">
        <f>Ustawienia!$B$9&amp;""</f>
        <v/>
      </c>
      <c r="K2320" s="63">
        <f>IF(H2320="","",COUNTIFS('Zgłoszenia'!$B$5:$B$504,F2320,'Zgłoszenia'!$D$5:$D$504,"&gt;="&amp;A2320,'Zgłoszenia'!$D$5:$D$504,"&lt;="&amp;(A2320+1)))</f>
        <v/>
      </c>
      <c r="L2320" s="63">
        <f>IF(OR(H2320="",K2320=0),"—",IF(ISNUMBER(MATCH(H2320,'Zgłoszenia'!$S$5:$S$504,0)),RIGHT("0"&amp;DAY(A2320),2)&amp;"."&amp;RIGHT("0"&amp;MONTH(A2320),2)&amp;"."&amp;YEAR(A2320)&amp;": "&amp;INDEX('Zgłoszenia'!$H$5:$H$504,MATCH(H2320,'Zgłoszenia'!$S$5:$S$504,0)),RIGHT("0"&amp;DAY((A2320+1)),2)&amp;"."&amp;RIGHT("0"&amp;MONTH((A2320+1)),2)&amp;"."&amp;YEAR((A2320+1))&amp;": "&amp;INDEX('Zgłoszenia'!$H$5:$H$504,MATCH(F2320&amp;"|"&amp;(A2320+1),'Zgłoszenia'!$S$5:$S$504,0)))&amp;IF(K2320&gt;1," (+"&amp;(K2320-1)&amp;")",""))</f>
        <v/>
      </c>
      <c r="M2320" s="63" t="n">
        <v>29</v>
      </c>
      <c r="N2320" s="2" t="n"/>
      <c r="O2320" s="2" t="n"/>
    </row>
    <row r="2321">
      <c r="A2321" s="62">
        <f>IF('29'!$C$1="","",'29'!$C$1)</f>
        <v/>
      </c>
      <c r="B2321" s="63">
        <f>Ustawienia!$A$9&amp;""</f>
        <v/>
      </c>
      <c r="C2321" s="63">
        <f>Ustawienia!$A$18&amp;""</f>
        <v/>
      </c>
      <c r="D2321" s="63" t="n">
        <v>3</v>
      </c>
      <c r="E2321" s="63">
        <f>IF('29'!F34="","",TRIM('29'!F34&amp;""))</f>
        <v/>
      </c>
      <c r="F2321" s="63">
        <f>IF('29'!G34="","",'29'!G34)</f>
        <v/>
      </c>
      <c r="G2321" s="63">
        <f>'29'!H34&amp;""</f>
        <v/>
      </c>
      <c r="H2321" s="63">
        <f>IF(OR(A2321="",F2321=""),"",F2321&amp;"|"&amp;A2321)</f>
        <v/>
      </c>
      <c r="I2321" s="63">
        <f>IF(AND(H2321&lt;&gt;"",OR('Historia wózka'!$B$4="",F2321='Historia wózka'!$B$4),A2321&gt;='Historia wózka'!$B$5,A2321&lt;='Historia wózka'!$B$6),A2321+0.8+(5000-ROW())/10000000,0)</f>
        <v/>
      </c>
      <c r="J2321" s="63">
        <f>Ustawienia!$B$9&amp;""</f>
        <v/>
      </c>
      <c r="K2321" s="63">
        <f>IF(H2321="","",COUNTIFS('Zgłoszenia'!$B$5:$B$504,F2321,'Zgłoszenia'!$D$5:$D$504,"&gt;="&amp;A2321,'Zgłoszenia'!$D$5:$D$504,"&lt;="&amp;(A2321+1)))</f>
        <v/>
      </c>
      <c r="L2321" s="63">
        <f>IF(OR(H2321="",K2321=0),"—",IF(ISNUMBER(MATCH(H2321,'Zgłoszenia'!$S$5:$S$504,0)),RIGHT("0"&amp;DAY(A2321),2)&amp;"."&amp;RIGHT("0"&amp;MONTH(A2321),2)&amp;"."&amp;YEAR(A2321)&amp;": "&amp;INDEX('Zgłoszenia'!$H$5:$H$504,MATCH(H2321,'Zgłoszenia'!$S$5:$S$504,0)),RIGHT("0"&amp;DAY((A2321+1)),2)&amp;"."&amp;RIGHT("0"&amp;MONTH((A2321+1)),2)&amp;"."&amp;YEAR((A2321+1))&amp;": "&amp;INDEX('Zgłoszenia'!$H$5:$H$504,MATCH(F2321&amp;"|"&amp;(A2321+1),'Zgłoszenia'!$S$5:$S$504,0)))&amp;IF(K2321&gt;1," (+"&amp;(K2321-1)&amp;")",""))</f>
        <v/>
      </c>
      <c r="M2321" s="63" t="n">
        <v>29</v>
      </c>
      <c r="N2321" s="2" t="n"/>
      <c r="O2321" s="2" t="n"/>
    </row>
    <row r="2322">
      <c r="A2322" s="62">
        <f>IF('29'!$C$1="","",'29'!$C$1)</f>
        <v/>
      </c>
      <c r="B2322" s="63">
        <f>Ustawienia!$A$9&amp;""</f>
        <v/>
      </c>
      <c r="C2322" s="63">
        <f>Ustawienia!$A$18&amp;""</f>
        <v/>
      </c>
      <c r="D2322" s="63" t="n">
        <v>4</v>
      </c>
      <c r="E2322" s="63">
        <f>IF('29'!F35="","",TRIM('29'!F35&amp;""))</f>
        <v/>
      </c>
      <c r="F2322" s="63">
        <f>IF('29'!G35="","",'29'!G35)</f>
        <v/>
      </c>
      <c r="G2322" s="63">
        <f>'29'!H35&amp;""</f>
        <v/>
      </c>
      <c r="H2322" s="63">
        <f>IF(OR(A2322="",F2322=""),"",F2322&amp;"|"&amp;A2322)</f>
        <v/>
      </c>
      <c r="I2322" s="63">
        <f>IF(AND(H2322&lt;&gt;"",OR('Historia wózka'!$B$4="",F2322='Historia wózka'!$B$4),A2322&gt;='Historia wózka'!$B$5,A2322&lt;='Historia wózka'!$B$6),A2322+0.8+(5000-ROW())/10000000,0)</f>
        <v/>
      </c>
      <c r="J2322" s="63">
        <f>Ustawienia!$B$9&amp;""</f>
        <v/>
      </c>
      <c r="K2322" s="63">
        <f>IF(H2322="","",COUNTIFS('Zgłoszenia'!$B$5:$B$504,F2322,'Zgłoszenia'!$D$5:$D$504,"&gt;="&amp;A2322,'Zgłoszenia'!$D$5:$D$504,"&lt;="&amp;(A2322+1)))</f>
        <v/>
      </c>
      <c r="L2322" s="63">
        <f>IF(OR(H2322="",K2322=0),"—",IF(ISNUMBER(MATCH(H2322,'Zgłoszenia'!$S$5:$S$504,0)),RIGHT("0"&amp;DAY(A2322),2)&amp;"."&amp;RIGHT("0"&amp;MONTH(A2322),2)&amp;"."&amp;YEAR(A2322)&amp;": "&amp;INDEX('Zgłoszenia'!$H$5:$H$504,MATCH(H2322,'Zgłoszenia'!$S$5:$S$504,0)),RIGHT("0"&amp;DAY((A2322+1)),2)&amp;"."&amp;RIGHT("0"&amp;MONTH((A2322+1)),2)&amp;"."&amp;YEAR((A2322+1))&amp;": "&amp;INDEX('Zgłoszenia'!$H$5:$H$504,MATCH(F2322&amp;"|"&amp;(A2322+1),'Zgłoszenia'!$S$5:$S$504,0)))&amp;IF(K2322&gt;1," (+"&amp;(K2322-1)&amp;")",""))</f>
        <v/>
      </c>
      <c r="M2322" s="63" t="n">
        <v>29</v>
      </c>
      <c r="N2322" s="2" t="n"/>
      <c r="O2322" s="2" t="n"/>
    </row>
    <row r="2323">
      <c r="A2323" s="62">
        <f>IF('29'!$C$1="","",'29'!$C$1)</f>
        <v/>
      </c>
      <c r="B2323" s="63">
        <f>Ustawienia!$A$9&amp;""</f>
        <v/>
      </c>
      <c r="C2323" s="63">
        <f>Ustawienia!$A$18&amp;""</f>
        <v/>
      </c>
      <c r="D2323" s="63" t="n">
        <v>5</v>
      </c>
      <c r="E2323" s="63">
        <f>IF('29'!F36="","",TRIM('29'!F36&amp;""))</f>
        <v/>
      </c>
      <c r="F2323" s="63">
        <f>IF('29'!G36="","",'29'!G36)</f>
        <v/>
      </c>
      <c r="G2323" s="63">
        <f>'29'!H36&amp;""</f>
        <v/>
      </c>
      <c r="H2323" s="63">
        <f>IF(OR(A2323="",F2323=""),"",F2323&amp;"|"&amp;A2323)</f>
        <v/>
      </c>
      <c r="I2323" s="63">
        <f>IF(AND(H2323&lt;&gt;"",OR('Historia wózka'!$B$4="",F2323='Historia wózka'!$B$4),A2323&gt;='Historia wózka'!$B$5,A2323&lt;='Historia wózka'!$B$6),A2323+0.8+(5000-ROW())/10000000,0)</f>
        <v/>
      </c>
      <c r="J2323" s="63">
        <f>Ustawienia!$B$9&amp;""</f>
        <v/>
      </c>
      <c r="K2323" s="63">
        <f>IF(H2323="","",COUNTIFS('Zgłoszenia'!$B$5:$B$504,F2323,'Zgłoszenia'!$D$5:$D$504,"&gt;="&amp;A2323,'Zgłoszenia'!$D$5:$D$504,"&lt;="&amp;(A2323+1)))</f>
        <v/>
      </c>
      <c r="L2323" s="63">
        <f>IF(OR(H2323="",K2323=0),"—",IF(ISNUMBER(MATCH(H2323,'Zgłoszenia'!$S$5:$S$504,0)),RIGHT("0"&amp;DAY(A2323),2)&amp;"."&amp;RIGHT("0"&amp;MONTH(A2323),2)&amp;"."&amp;YEAR(A2323)&amp;": "&amp;INDEX('Zgłoszenia'!$H$5:$H$504,MATCH(H2323,'Zgłoszenia'!$S$5:$S$504,0)),RIGHT("0"&amp;DAY((A2323+1)),2)&amp;"."&amp;RIGHT("0"&amp;MONTH((A2323+1)),2)&amp;"."&amp;YEAR((A2323+1))&amp;": "&amp;INDEX('Zgłoszenia'!$H$5:$H$504,MATCH(F2323&amp;"|"&amp;(A2323+1),'Zgłoszenia'!$S$5:$S$504,0)))&amp;IF(K2323&gt;1," (+"&amp;(K2323-1)&amp;")",""))</f>
        <v/>
      </c>
      <c r="M2323" s="63" t="n">
        <v>29</v>
      </c>
      <c r="N2323" s="2" t="n"/>
      <c r="O2323" s="2" t="n"/>
    </row>
    <row r="2324">
      <c r="A2324" s="62">
        <f>IF('29'!$C$1="","",'29'!$C$1)</f>
        <v/>
      </c>
      <c r="B2324" s="63">
        <f>Ustawienia!$A$10&amp;""</f>
        <v/>
      </c>
      <c r="C2324" s="63">
        <f>Ustawienia!$A$14&amp;""</f>
        <v/>
      </c>
      <c r="D2324" s="63" t="n">
        <v>1</v>
      </c>
      <c r="E2324" s="63">
        <f>IF('29'!J6="","",TRIM('29'!J6&amp;""))</f>
        <v/>
      </c>
      <c r="F2324" s="63">
        <f>IF('29'!K6="","",'29'!K6)</f>
        <v/>
      </c>
      <c r="G2324" s="63">
        <f>'29'!L6&amp;""</f>
        <v/>
      </c>
      <c r="H2324" s="63">
        <f>IF(OR(A2324="",F2324=""),"",F2324&amp;"|"&amp;A2324)</f>
        <v/>
      </c>
      <c r="I2324" s="63">
        <f>IF(AND(H2324&lt;&gt;"",OR('Historia wózka'!$B$4="",F2324='Historia wózka'!$B$4),A2324&gt;='Historia wózka'!$B$5,A2324&lt;='Historia wózka'!$B$6),A2324+0.7+(5000-ROW())/10000000,0)</f>
        <v/>
      </c>
      <c r="J2324" s="63">
        <f>Ustawienia!$B$10&amp;""</f>
        <v/>
      </c>
      <c r="K2324" s="63">
        <f>IF(H2324="","",COUNTIFS('Zgłoszenia'!$B$5:$B$504,F2324,'Zgłoszenia'!$D$5:$D$504,"&gt;="&amp;A2324,'Zgłoszenia'!$D$5:$D$504,"&lt;="&amp;(A2324+1)))</f>
        <v/>
      </c>
      <c r="L2324" s="63">
        <f>IF(OR(H2324="",K2324=0),"—",IF(ISNUMBER(MATCH(H2324,'Zgłoszenia'!$S$5:$S$504,0)),RIGHT("0"&amp;DAY(A2324),2)&amp;"."&amp;RIGHT("0"&amp;MONTH(A2324),2)&amp;"."&amp;YEAR(A2324)&amp;": "&amp;INDEX('Zgłoszenia'!$H$5:$H$504,MATCH(H2324,'Zgłoszenia'!$S$5:$S$504,0)),RIGHT("0"&amp;DAY((A2324+1)),2)&amp;"."&amp;RIGHT("0"&amp;MONTH((A2324+1)),2)&amp;"."&amp;YEAR((A2324+1))&amp;": "&amp;INDEX('Zgłoszenia'!$H$5:$H$504,MATCH(F2324&amp;"|"&amp;(A2324+1),'Zgłoszenia'!$S$5:$S$504,0)))&amp;IF(K2324&gt;1," (+"&amp;(K2324-1)&amp;")",""))</f>
        <v/>
      </c>
      <c r="M2324" s="63" t="n">
        <v>29</v>
      </c>
      <c r="N2324" s="2" t="n"/>
      <c r="O2324" s="2" t="n"/>
    </row>
    <row r="2325">
      <c r="A2325" s="62">
        <f>IF('29'!$C$1="","",'29'!$C$1)</f>
        <v/>
      </c>
      <c r="B2325" s="63">
        <f>Ustawienia!$A$10&amp;""</f>
        <v/>
      </c>
      <c r="C2325" s="63">
        <f>Ustawienia!$A$14&amp;""</f>
        <v/>
      </c>
      <c r="D2325" s="63" t="n">
        <v>2</v>
      </c>
      <c r="E2325" s="63">
        <f>IF('29'!J7="","",TRIM('29'!J7&amp;""))</f>
        <v/>
      </c>
      <c r="F2325" s="63">
        <f>IF('29'!K7="","",'29'!K7)</f>
        <v/>
      </c>
      <c r="G2325" s="63">
        <f>'29'!L7&amp;""</f>
        <v/>
      </c>
      <c r="H2325" s="63">
        <f>IF(OR(A2325="",F2325=""),"",F2325&amp;"|"&amp;A2325)</f>
        <v/>
      </c>
      <c r="I2325" s="63">
        <f>IF(AND(H2325&lt;&gt;"",OR('Historia wózka'!$B$4="",F2325='Historia wózka'!$B$4),A2325&gt;='Historia wózka'!$B$5,A2325&lt;='Historia wózka'!$B$6),A2325+0.7+(5000-ROW())/10000000,0)</f>
        <v/>
      </c>
      <c r="J2325" s="63">
        <f>Ustawienia!$B$10&amp;""</f>
        <v/>
      </c>
      <c r="K2325" s="63">
        <f>IF(H2325="","",COUNTIFS('Zgłoszenia'!$B$5:$B$504,F2325,'Zgłoszenia'!$D$5:$D$504,"&gt;="&amp;A2325,'Zgłoszenia'!$D$5:$D$504,"&lt;="&amp;(A2325+1)))</f>
        <v/>
      </c>
      <c r="L2325" s="63">
        <f>IF(OR(H2325="",K2325=0),"—",IF(ISNUMBER(MATCH(H2325,'Zgłoszenia'!$S$5:$S$504,0)),RIGHT("0"&amp;DAY(A2325),2)&amp;"."&amp;RIGHT("0"&amp;MONTH(A2325),2)&amp;"."&amp;YEAR(A2325)&amp;": "&amp;INDEX('Zgłoszenia'!$H$5:$H$504,MATCH(H2325,'Zgłoszenia'!$S$5:$S$504,0)),RIGHT("0"&amp;DAY((A2325+1)),2)&amp;"."&amp;RIGHT("0"&amp;MONTH((A2325+1)),2)&amp;"."&amp;YEAR((A2325+1))&amp;": "&amp;INDEX('Zgłoszenia'!$H$5:$H$504,MATCH(F2325&amp;"|"&amp;(A2325+1),'Zgłoszenia'!$S$5:$S$504,0)))&amp;IF(K2325&gt;1," (+"&amp;(K2325-1)&amp;")",""))</f>
        <v/>
      </c>
      <c r="M2325" s="63" t="n">
        <v>29</v>
      </c>
      <c r="N2325" s="2" t="n"/>
      <c r="O2325" s="2" t="n"/>
    </row>
    <row r="2326">
      <c r="A2326" s="62">
        <f>IF('29'!$C$1="","",'29'!$C$1)</f>
        <v/>
      </c>
      <c r="B2326" s="63">
        <f>Ustawienia!$A$10&amp;""</f>
        <v/>
      </c>
      <c r="C2326" s="63">
        <f>Ustawienia!$A$14&amp;""</f>
        <v/>
      </c>
      <c r="D2326" s="63" t="n">
        <v>3</v>
      </c>
      <c r="E2326" s="63">
        <f>IF('29'!J8="","",TRIM('29'!J8&amp;""))</f>
        <v/>
      </c>
      <c r="F2326" s="63">
        <f>IF('29'!K8="","",'29'!K8)</f>
        <v/>
      </c>
      <c r="G2326" s="63">
        <f>'29'!L8&amp;""</f>
        <v/>
      </c>
      <c r="H2326" s="63">
        <f>IF(OR(A2326="",F2326=""),"",F2326&amp;"|"&amp;A2326)</f>
        <v/>
      </c>
      <c r="I2326" s="63">
        <f>IF(AND(H2326&lt;&gt;"",OR('Historia wózka'!$B$4="",F2326='Historia wózka'!$B$4),A2326&gt;='Historia wózka'!$B$5,A2326&lt;='Historia wózka'!$B$6),A2326+0.7+(5000-ROW())/10000000,0)</f>
        <v/>
      </c>
      <c r="J2326" s="63">
        <f>Ustawienia!$B$10&amp;""</f>
        <v/>
      </c>
      <c r="K2326" s="63">
        <f>IF(H2326="","",COUNTIFS('Zgłoszenia'!$B$5:$B$504,F2326,'Zgłoszenia'!$D$5:$D$504,"&gt;="&amp;A2326,'Zgłoszenia'!$D$5:$D$504,"&lt;="&amp;(A2326+1)))</f>
        <v/>
      </c>
      <c r="L2326" s="63">
        <f>IF(OR(H2326="",K2326=0),"—",IF(ISNUMBER(MATCH(H2326,'Zgłoszenia'!$S$5:$S$504,0)),RIGHT("0"&amp;DAY(A2326),2)&amp;"."&amp;RIGHT("0"&amp;MONTH(A2326),2)&amp;"."&amp;YEAR(A2326)&amp;": "&amp;INDEX('Zgłoszenia'!$H$5:$H$504,MATCH(H2326,'Zgłoszenia'!$S$5:$S$504,0)),RIGHT("0"&amp;DAY((A2326+1)),2)&amp;"."&amp;RIGHT("0"&amp;MONTH((A2326+1)),2)&amp;"."&amp;YEAR((A2326+1))&amp;": "&amp;INDEX('Zgłoszenia'!$H$5:$H$504,MATCH(F2326&amp;"|"&amp;(A2326+1),'Zgłoszenia'!$S$5:$S$504,0)))&amp;IF(K2326&gt;1," (+"&amp;(K2326-1)&amp;")",""))</f>
        <v/>
      </c>
      <c r="M2326" s="63" t="n">
        <v>29</v>
      </c>
      <c r="N2326" s="2" t="n"/>
      <c r="O2326" s="2" t="n"/>
    </row>
    <row r="2327">
      <c r="A2327" s="62">
        <f>IF('29'!$C$1="","",'29'!$C$1)</f>
        <v/>
      </c>
      <c r="B2327" s="63">
        <f>Ustawienia!$A$10&amp;""</f>
        <v/>
      </c>
      <c r="C2327" s="63">
        <f>Ustawienia!$A$14&amp;""</f>
        <v/>
      </c>
      <c r="D2327" s="63" t="n">
        <v>4</v>
      </c>
      <c r="E2327" s="63">
        <f>IF('29'!J9="","",TRIM('29'!J9&amp;""))</f>
        <v/>
      </c>
      <c r="F2327" s="63">
        <f>IF('29'!K9="","",'29'!K9)</f>
        <v/>
      </c>
      <c r="G2327" s="63">
        <f>'29'!L9&amp;""</f>
        <v/>
      </c>
      <c r="H2327" s="63">
        <f>IF(OR(A2327="",F2327=""),"",F2327&amp;"|"&amp;A2327)</f>
        <v/>
      </c>
      <c r="I2327" s="63">
        <f>IF(AND(H2327&lt;&gt;"",OR('Historia wózka'!$B$4="",F2327='Historia wózka'!$B$4),A2327&gt;='Historia wózka'!$B$5,A2327&lt;='Historia wózka'!$B$6),A2327+0.7+(5000-ROW())/10000000,0)</f>
        <v/>
      </c>
      <c r="J2327" s="63">
        <f>Ustawienia!$B$10&amp;""</f>
        <v/>
      </c>
      <c r="K2327" s="63">
        <f>IF(H2327="","",COUNTIFS('Zgłoszenia'!$B$5:$B$504,F2327,'Zgłoszenia'!$D$5:$D$504,"&gt;="&amp;A2327,'Zgłoszenia'!$D$5:$D$504,"&lt;="&amp;(A2327+1)))</f>
        <v/>
      </c>
      <c r="L2327" s="63">
        <f>IF(OR(H2327="",K2327=0),"—",IF(ISNUMBER(MATCH(H2327,'Zgłoszenia'!$S$5:$S$504,0)),RIGHT("0"&amp;DAY(A2327),2)&amp;"."&amp;RIGHT("0"&amp;MONTH(A2327),2)&amp;"."&amp;YEAR(A2327)&amp;": "&amp;INDEX('Zgłoszenia'!$H$5:$H$504,MATCH(H2327,'Zgłoszenia'!$S$5:$S$504,0)),RIGHT("0"&amp;DAY((A2327+1)),2)&amp;"."&amp;RIGHT("0"&amp;MONTH((A2327+1)),2)&amp;"."&amp;YEAR((A2327+1))&amp;": "&amp;INDEX('Zgłoszenia'!$H$5:$H$504,MATCH(F2327&amp;"|"&amp;(A2327+1),'Zgłoszenia'!$S$5:$S$504,0)))&amp;IF(K2327&gt;1," (+"&amp;(K2327-1)&amp;")",""))</f>
        <v/>
      </c>
      <c r="M2327" s="63" t="n">
        <v>29</v>
      </c>
      <c r="N2327" s="2" t="n"/>
      <c r="O2327" s="2" t="n"/>
    </row>
    <row r="2328">
      <c r="A2328" s="62">
        <f>IF('29'!$C$1="","",'29'!$C$1)</f>
        <v/>
      </c>
      <c r="B2328" s="63">
        <f>Ustawienia!$A$10&amp;""</f>
        <v/>
      </c>
      <c r="C2328" s="63">
        <f>Ustawienia!$A$14&amp;""</f>
        <v/>
      </c>
      <c r="D2328" s="63" t="n">
        <v>5</v>
      </c>
      <c r="E2328" s="63">
        <f>IF('29'!J10="","",TRIM('29'!J10&amp;""))</f>
        <v/>
      </c>
      <c r="F2328" s="63">
        <f>IF('29'!K10="","",'29'!K10)</f>
        <v/>
      </c>
      <c r="G2328" s="63">
        <f>'29'!L10&amp;""</f>
        <v/>
      </c>
      <c r="H2328" s="63">
        <f>IF(OR(A2328="",F2328=""),"",F2328&amp;"|"&amp;A2328)</f>
        <v/>
      </c>
      <c r="I2328" s="63">
        <f>IF(AND(H2328&lt;&gt;"",OR('Historia wózka'!$B$4="",F2328='Historia wózka'!$B$4),A2328&gt;='Historia wózka'!$B$5,A2328&lt;='Historia wózka'!$B$6),A2328+0.7+(5000-ROW())/10000000,0)</f>
        <v/>
      </c>
      <c r="J2328" s="63">
        <f>Ustawienia!$B$10&amp;""</f>
        <v/>
      </c>
      <c r="K2328" s="63">
        <f>IF(H2328="","",COUNTIFS('Zgłoszenia'!$B$5:$B$504,F2328,'Zgłoszenia'!$D$5:$D$504,"&gt;="&amp;A2328,'Zgłoszenia'!$D$5:$D$504,"&lt;="&amp;(A2328+1)))</f>
        <v/>
      </c>
      <c r="L2328" s="63">
        <f>IF(OR(H2328="",K2328=0),"—",IF(ISNUMBER(MATCH(H2328,'Zgłoszenia'!$S$5:$S$504,0)),RIGHT("0"&amp;DAY(A2328),2)&amp;"."&amp;RIGHT("0"&amp;MONTH(A2328),2)&amp;"."&amp;YEAR(A2328)&amp;": "&amp;INDEX('Zgłoszenia'!$H$5:$H$504,MATCH(H2328,'Zgłoszenia'!$S$5:$S$504,0)),RIGHT("0"&amp;DAY((A2328+1)),2)&amp;"."&amp;RIGHT("0"&amp;MONTH((A2328+1)),2)&amp;"."&amp;YEAR((A2328+1))&amp;": "&amp;INDEX('Zgłoszenia'!$H$5:$H$504,MATCH(F2328&amp;"|"&amp;(A2328+1),'Zgłoszenia'!$S$5:$S$504,0)))&amp;IF(K2328&gt;1," (+"&amp;(K2328-1)&amp;")",""))</f>
        <v/>
      </c>
      <c r="M2328" s="63" t="n">
        <v>29</v>
      </c>
      <c r="N2328" s="2" t="n"/>
      <c r="O2328" s="2" t="n"/>
    </row>
    <row r="2329">
      <c r="A2329" s="62">
        <f>IF('29'!$C$1="","",'29'!$C$1)</f>
        <v/>
      </c>
      <c r="B2329" s="63">
        <f>Ustawienia!$A$10&amp;""</f>
        <v/>
      </c>
      <c r="C2329" s="63">
        <f>Ustawienia!$A$14&amp;""</f>
        <v/>
      </c>
      <c r="D2329" s="63" t="n">
        <v>6</v>
      </c>
      <c r="E2329" s="63">
        <f>IF('29'!J11="","",TRIM('29'!J11&amp;""))</f>
        <v/>
      </c>
      <c r="F2329" s="63">
        <f>IF('29'!K11="","",'29'!K11)</f>
        <v/>
      </c>
      <c r="G2329" s="63">
        <f>'29'!L11&amp;""</f>
        <v/>
      </c>
      <c r="H2329" s="63">
        <f>IF(OR(A2329="",F2329=""),"",F2329&amp;"|"&amp;A2329)</f>
        <v/>
      </c>
      <c r="I2329" s="63">
        <f>IF(AND(H2329&lt;&gt;"",OR('Historia wózka'!$B$4="",F2329='Historia wózka'!$B$4),A2329&gt;='Historia wózka'!$B$5,A2329&lt;='Historia wózka'!$B$6),A2329+0.7+(5000-ROW())/10000000,0)</f>
        <v/>
      </c>
      <c r="J2329" s="63">
        <f>Ustawienia!$B$10&amp;""</f>
        <v/>
      </c>
      <c r="K2329" s="63">
        <f>IF(H2329="","",COUNTIFS('Zgłoszenia'!$B$5:$B$504,F2329,'Zgłoszenia'!$D$5:$D$504,"&gt;="&amp;A2329,'Zgłoszenia'!$D$5:$D$504,"&lt;="&amp;(A2329+1)))</f>
        <v/>
      </c>
      <c r="L2329" s="63">
        <f>IF(OR(H2329="",K2329=0),"—",IF(ISNUMBER(MATCH(H2329,'Zgłoszenia'!$S$5:$S$504,0)),RIGHT("0"&amp;DAY(A2329),2)&amp;"."&amp;RIGHT("0"&amp;MONTH(A2329),2)&amp;"."&amp;YEAR(A2329)&amp;": "&amp;INDEX('Zgłoszenia'!$H$5:$H$504,MATCH(H2329,'Zgłoszenia'!$S$5:$S$504,0)),RIGHT("0"&amp;DAY((A2329+1)),2)&amp;"."&amp;RIGHT("0"&amp;MONTH((A2329+1)),2)&amp;"."&amp;YEAR((A2329+1))&amp;": "&amp;INDEX('Zgłoszenia'!$H$5:$H$504,MATCH(F2329&amp;"|"&amp;(A2329+1),'Zgłoszenia'!$S$5:$S$504,0)))&amp;IF(K2329&gt;1," (+"&amp;(K2329-1)&amp;")",""))</f>
        <v/>
      </c>
      <c r="M2329" s="63" t="n">
        <v>29</v>
      </c>
      <c r="N2329" s="2" t="n"/>
      <c r="O2329" s="2" t="n"/>
    </row>
    <row r="2330">
      <c r="A2330" s="62">
        <f>IF('29'!$C$1="","",'29'!$C$1)</f>
        <v/>
      </c>
      <c r="B2330" s="63">
        <f>Ustawienia!$A$10&amp;""</f>
        <v/>
      </c>
      <c r="C2330" s="63">
        <f>Ustawienia!$A$15&amp;""</f>
        <v/>
      </c>
      <c r="D2330" s="63" t="n">
        <v>1</v>
      </c>
      <c r="E2330" s="63">
        <f>IF('29'!J13="","",TRIM('29'!J13&amp;""))</f>
        <v/>
      </c>
      <c r="F2330" s="63">
        <f>IF('29'!K13="","",'29'!K13)</f>
        <v/>
      </c>
      <c r="G2330" s="63">
        <f>'29'!L13&amp;""</f>
        <v/>
      </c>
      <c r="H2330" s="63">
        <f>IF(OR(A2330="",F2330=""),"",F2330&amp;"|"&amp;A2330)</f>
        <v/>
      </c>
      <c r="I2330" s="63">
        <f>IF(AND(H2330&lt;&gt;"",OR('Historia wózka'!$B$4="",F2330='Historia wózka'!$B$4),A2330&gt;='Historia wózka'!$B$5,A2330&lt;='Historia wózka'!$B$6),A2330+0.7+(5000-ROW())/10000000,0)</f>
        <v/>
      </c>
      <c r="J2330" s="63">
        <f>Ustawienia!$B$10&amp;""</f>
        <v/>
      </c>
      <c r="K2330" s="63">
        <f>IF(H2330="","",COUNTIFS('Zgłoszenia'!$B$5:$B$504,F2330,'Zgłoszenia'!$D$5:$D$504,"&gt;="&amp;A2330,'Zgłoszenia'!$D$5:$D$504,"&lt;="&amp;(A2330+1)))</f>
        <v/>
      </c>
      <c r="L2330" s="63">
        <f>IF(OR(H2330="",K2330=0),"—",IF(ISNUMBER(MATCH(H2330,'Zgłoszenia'!$S$5:$S$504,0)),RIGHT("0"&amp;DAY(A2330),2)&amp;"."&amp;RIGHT("0"&amp;MONTH(A2330),2)&amp;"."&amp;YEAR(A2330)&amp;": "&amp;INDEX('Zgłoszenia'!$H$5:$H$504,MATCH(H2330,'Zgłoszenia'!$S$5:$S$504,0)),RIGHT("0"&amp;DAY((A2330+1)),2)&amp;"."&amp;RIGHT("0"&amp;MONTH((A2330+1)),2)&amp;"."&amp;YEAR((A2330+1))&amp;": "&amp;INDEX('Zgłoszenia'!$H$5:$H$504,MATCH(F2330&amp;"|"&amp;(A2330+1),'Zgłoszenia'!$S$5:$S$504,0)))&amp;IF(K2330&gt;1," (+"&amp;(K2330-1)&amp;")",""))</f>
        <v/>
      </c>
      <c r="M2330" s="63" t="n">
        <v>29</v>
      </c>
      <c r="N2330" s="2" t="n"/>
      <c r="O2330" s="2" t="n"/>
    </row>
    <row r="2331">
      <c r="A2331" s="62">
        <f>IF('29'!$C$1="","",'29'!$C$1)</f>
        <v/>
      </c>
      <c r="B2331" s="63">
        <f>Ustawienia!$A$10&amp;""</f>
        <v/>
      </c>
      <c r="C2331" s="63">
        <f>Ustawienia!$A$15&amp;""</f>
        <v/>
      </c>
      <c r="D2331" s="63" t="n">
        <v>2</v>
      </c>
      <c r="E2331" s="63">
        <f>IF('29'!J14="","",TRIM('29'!J14&amp;""))</f>
        <v/>
      </c>
      <c r="F2331" s="63">
        <f>IF('29'!K14="","",'29'!K14)</f>
        <v/>
      </c>
      <c r="G2331" s="63">
        <f>'29'!L14&amp;""</f>
        <v/>
      </c>
      <c r="H2331" s="63">
        <f>IF(OR(A2331="",F2331=""),"",F2331&amp;"|"&amp;A2331)</f>
        <v/>
      </c>
      <c r="I2331" s="63">
        <f>IF(AND(H2331&lt;&gt;"",OR('Historia wózka'!$B$4="",F2331='Historia wózka'!$B$4),A2331&gt;='Historia wózka'!$B$5,A2331&lt;='Historia wózka'!$B$6),A2331+0.7+(5000-ROW())/10000000,0)</f>
        <v/>
      </c>
      <c r="J2331" s="63">
        <f>Ustawienia!$B$10&amp;""</f>
        <v/>
      </c>
      <c r="K2331" s="63">
        <f>IF(H2331="","",COUNTIFS('Zgłoszenia'!$B$5:$B$504,F2331,'Zgłoszenia'!$D$5:$D$504,"&gt;="&amp;A2331,'Zgłoszenia'!$D$5:$D$504,"&lt;="&amp;(A2331+1)))</f>
        <v/>
      </c>
      <c r="L2331" s="63">
        <f>IF(OR(H2331="",K2331=0),"—",IF(ISNUMBER(MATCH(H2331,'Zgłoszenia'!$S$5:$S$504,0)),RIGHT("0"&amp;DAY(A2331),2)&amp;"."&amp;RIGHT("0"&amp;MONTH(A2331),2)&amp;"."&amp;YEAR(A2331)&amp;": "&amp;INDEX('Zgłoszenia'!$H$5:$H$504,MATCH(H2331,'Zgłoszenia'!$S$5:$S$504,0)),RIGHT("0"&amp;DAY((A2331+1)),2)&amp;"."&amp;RIGHT("0"&amp;MONTH((A2331+1)),2)&amp;"."&amp;YEAR((A2331+1))&amp;": "&amp;INDEX('Zgłoszenia'!$H$5:$H$504,MATCH(F2331&amp;"|"&amp;(A2331+1),'Zgłoszenia'!$S$5:$S$504,0)))&amp;IF(K2331&gt;1," (+"&amp;(K2331-1)&amp;")",""))</f>
        <v/>
      </c>
      <c r="M2331" s="63" t="n">
        <v>29</v>
      </c>
      <c r="N2331" s="2" t="n"/>
      <c r="O2331" s="2" t="n"/>
    </row>
    <row r="2332">
      <c r="A2332" s="62">
        <f>IF('29'!$C$1="","",'29'!$C$1)</f>
        <v/>
      </c>
      <c r="B2332" s="63">
        <f>Ustawienia!$A$10&amp;""</f>
        <v/>
      </c>
      <c r="C2332" s="63">
        <f>Ustawienia!$A$15&amp;""</f>
        <v/>
      </c>
      <c r="D2332" s="63" t="n">
        <v>3</v>
      </c>
      <c r="E2332" s="63">
        <f>IF('29'!J15="","",TRIM('29'!J15&amp;""))</f>
        <v/>
      </c>
      <c r="F2332" s="63">
        <f>IF('29'!K15="","",'29'!K15)</f>
        <v/>
      </c>
      <c r="G2332" s="63">
        <f>'29'!L15&amp;""</f>
        <v/>
      </c>
      <c r="H2332" s="63">
        <f>IF(OR(A2332="",F2332=""),"",F2332&amp;"|"&amp;A2332)</f>
        <v/>
      </c>
      <c r="I2332" s="63">
        <f>IF(AND(H2332&lt;&gt;"",OR('Historia wózka'!$B$4="",F2332='Historia wózka'!$B$4),A2332&gt;='Historia wózka'!$B$5,A2332&lt;='Historia wózka'!$B$6),A2332+0.7+(5000-ROW())/10000000,0)</f>
        <v/>
      </c>
      <c r="J2332" s="63">
        <f>Ustawienia!$B$10&amp;""</f>
        <v/>
      </c>
      <c r="K2332" s="63">
        <f>IF(H2332="","",COUNTIFS('Zgłoszenia'!$B$5:$B$504,F2332,'Zgłoszenia'!$D$5:$D$504,"&gt;="&amp;A2332,'Zgłoszenia'!$D$5:$D$504,"&lt;="&amp;(A2332+1)))</f>
        <v/>
      </c>
      <c r="L2332" s="63">
        <f>IF(OR(H2332="",K2332=0),"—",IF(ISNUMBER(MATCH(H2332,'Zgłoszenia'!$S$5:$S$504,0)),RIGHT("0"&amp;DAY(A2332),2)&amp;"."&amp;RIGHT("0"&amp;MONTH(A2332),2)&amp;"."&amp;YEAR(A2332)&amp;": "&amp;INDEX('Zgłoszenia'!$H$5:$H$504,MATCH(H2332,'Zgłoszenia'!$S$5:$S$504,0)),RIGHT("0"&amp;DAY((A2332+1)),2)&amp;"."&amp;RIGHT("0"&amp;MONTH((A2332+1)),2)&amp;"."&amp;YEAR((A2332+1))&amp;": "&amp;INDEX('Zgłoszenia'!$H$5:$H$504,MATCH(F2332&amp;"|"&amp;(A2332+1),'Zgłoszenia'!$S$5:$S$504,0)))&amp;IF(K2332&gt;1," (+"&amp;(K2332-1)&amp;")",""))</f>
        <v/>
      </c>
      <c r="M2332" s="63" t="n">
        <v>29</v>
      </c>
      <c r="N2332" s="2" t="n"/>
      <c r="O2332" s="2" t="n"/>
    </row>
    <row r="2333">
      <c r="A2333" s="62">
        <f>IF('29'!$C$1="","",'29'!$C$1)</f>
        <v/>
      </c>
      <c r="B2333" s="63">
        <f>Ustawienia!$A$10&amp;""</f>
        <v/>
      </c>
      <c r="C2333" s="63">
        <f>Ustawienia!$A$15&amp;""</f>
        <v/>
      </c>
      <c r="D2333" s="63" t="n">
        <v>4</v>
      </c>
      <c r="E2333" s="63">
        <f>IF('29'!J16="","",TRIM('29'!J16&amp;""))</f>
        <v/>
      </c>
      <c r="F2333" s="63">
        <f>IF('29'!K16="","",'29'!K16)</f>
        <v/>
      </c>
      <c r="G2333" s="63">
        <f>'29'!L16&amp;""</f>
        <v/>
      </c>
      <c r="H2333" s="63">
        <f>IF(OR(A2333="",F2333=""),"",F2333&amp;"|"&amp;A2333)</f>
        <v/>
      </c>
      <c r="I2333" s="63">
        <f>IF(AND(H2333&lt;&gt;"",OR('Historia wózka'!$B$4="",F2333='Historia wózka'!$B$4),A2333&gt;='Historia wózka'!$B$5,A2333&lt;='Historia wózka'!$B$6),A2333+0.7+(5000-ROW())/10000000,0)</f>
        <v/>
      </c>
      <c r="J2333" s="63">
        <f>Ustawienia!$B$10&amp;""</f>
        <v/>
      </c>
      <c r="K2333" s="63">
        <f>IF(H2333="","",COUNTIFS('Zgłoszenia'!$B$5:$B$504,F2333,'Zgłoszenia'!$D$5:$D$504,"&gt;="&amp;A2333,'Zgłoszenia'!$D$5:$D$504,"&lt;="&amp;(A2333+1)))</f>
        <v/>
      </c>
      <c r="L2333" s="63">
        <f>IF(OR(H2333="",K2333=0),"—",IF(ISNUMBER(MATCH(H2333,'Zgłoszenia'!$S$5:$S$504,0)),RIGHT("0"&amp;DAY(A2333),2)&amp;"."&amp;RIGHT("0"&amp;MONTH(A2333),2)&amp;"."&amp;YEAR(A2333)&amp;": "&amp;INDEX('Zgłoszenia'!$H$5:$H$504,MATCH(H2333,'Zgłoszenia'!$S$5:$S$504,0)),RIGHT("0"&amp;DAY((A2333+1)),2)&amp;"."&amp;RIGHT("0"&amp;MONTH((A2333+1)),2)&amp;"."&amp;YEAR((A2333+1))&amp;": "&amp;INDEX('Zgłoszenia'!$H$5:$H$504,MATCH(F2333&amp;"|"&amp;(A2333+1),'Zgłoszenia'!$S$5:$S$504,0)))&amp;IF(K2333&gt;1," (+"&amp;(K2333-1)&amp;")",""))</f>
        <v/>
      </c>
      <c r="M2333" s="63" t="n">
        <v>29</v>
      </c>
      <c r="N2333" s="2" t="n"/>
      <c r="O2333" s="2" t="n"/>
    </row>
    <row r="2334">
      <c r="A2334" s="62">
        <f>IF('29'!$C$1="","",'29'!$C$1)</f>
        <v/>
      </c>
      <c r="B2334" s="63">
        <f>Ustawienia!$A$10&amp;""</f>
        <v/>
      </c>
      <c r="C2334" s="63">
        <f>Ustawienia!$A$15&amp;""</f>
        <v/>
      </c>
      <c r="D2334" s="63" t="n">
        <v>5</v>
      </c>
      <c r="E2334" s="63">
        <f>IF('29'!J17="","",TRIM('29'!J17&amp;""))</f>
        <v/>
      </c>
      <c r="F2334" s="63">
        <f>IF('29'!K17="","",'29'!K17)</f>
        <v/>
      </c>
      <c r="G2334" s="63">
        <f>'29'!L17&amp;""</f>
        <v/>
      </c>
      <c r="H2334" s="63">
        <f>IF(OR(A2334="",F2334=""),"",F2334&amp;"|"&amp;A2334)</f>
        <v/>
      </c>
      <c r="I2334" s="63">
        <f>IF(AND(H2334&lt;&gt;"",OR('Historia wózka'!$B$4="",F2334='Historia wózka'!$B$4),A2334&gt;='Historia wózka'!$B$5,A2334&lt;='Historia wózka'!$B$6),A2334+0.7+(5000-ROW())/10000000,0)</f>
        <v/>
      </c>
      <c r="J2334" s="63">
        <f>Ustawienia!$B$10&amp;""</f>
        <v/>
      </c>
      <c r="K2334" s="63">
        <f>IF(H2334="","",COUNTIFS('Zgłoszenia'!$B$5:$B$504,F2334,'Zgłoszenia'!$D$5:$D$504,"&gt;="&amp;A2334,'Zgłoszenia'!$D$5:$D$504,"&lt;="&amp;(A2334+1)))</f>
        <v/>
      </c>
      <c r="L2334" s="63">
        <f>IF(OR(H2334="",K2334=0),"—",IF(ISNUMBER(MATCH(H2334,'Zgłoszenia'!$S$5:$S$504,0)),RIGHT("0"&amp;DAY(A2334),2)&amp;"."&amp;RIGHT("0"&amp;MONTH(A2334),2)&amp;"."&amp;YEAR(A2334)&amp;": "&amp;INDEX('Zgłoszenia'!$H$5:$H$504,MATCH(H2334,'Zgłoszenia'!$S$5:$S$504,0)),RIGHT("0"&amp;DAY((A2334+1)),2)&amp;"."&amp;RIGHT("0"&amp;MONTH((A2334+1)),2)&amp;"."&amp;YEAR((A2334+1))&amp;": "&amp;INDEX('Zgłoszenia'!$H$5:$H$504,MATCH(F2334&amp;"|"&amp;(A2334+1),'Zgłoszenia'!$S$5:$S$504,0)))&amp;IF(K2334&gt;1," (+"&amp;(K2334-1)&amp;")",""))</f>
        <v/>
      </c>
      <c r="M2334" s="63" t="n">
        <v>29</v>
      </c>
      <c r="N2334" s="2" t="n"/>
      <c r="O2334" s="2" t="n"/>
    </row>
    <row r="2335">
      <c r="A2335" s="62">
        <f>IF('29'!$C$1="","",'29'!$C$1)</f>
        <v/>
      </c>
      <c r="B2335" s="63">
        <f>Ustawienia!$A$10&amp;""</f>
        <v/>
      </c>
      <c r="C2335" s="63">
        <f>Ustawienia!$A$15&amp;""</f>
        <v/>
      </c>
      <c r="D2335" s="63" t="n">
        <v>6</v>
      </c>
      <c r="E2335" s="63">
        <f>IF('29'!J18="","",TRIM('29'!J18&amp;""))</f>
        <v/>
      </c>
      <c r="F2335" s="63">
        <f>IF('29'!K18="","",'29'!K18)</f>
        <v/>
      </c>
      <c r="G2335" s="63">
        <f>'29'!L18&amp;""</f>
        <v/>
      </c>
      <c r="H2335" s="63">
        <f>IF(OR(A2335="",F2335=""),"",F2335&amp;"|"&amp;A2335)</f>
        <v/>
      </c>
      <c r="I2335" s="63">
        <f>IF(AND(H2335&lt;&gt;"",OR('Historia wózka'!$B$4="",F2335='Historia wózka'!$B$4),A2335&gt;='Historia wózka'!$B$5,A2335&lt;='Historia wózka'!$B$6),A2335+0.7+(5000-ROW())/10000000,0)</f>
        <v/>
      </c>
      <c r="J2335" s="63">
        <f>Ustawienia!$B$10&amp;""</f>
        <v/>
      </c>
      <c r="K2335" s="63">
        <f>IF(H2335="","",COUNTIFS('Zgłoszenia'!$B$5:$B$504,F2335,'Zgłoszenia'!$D$5:$D$504,"&gt;="&amp;A2335,'Zgłoszenia'!$D$5:$D$504,"&lt;="&amp;(A2335+1)))</f>
        <v/>
      </c>
      <c r="L2335" s="63">
        <f>IF(OR(H2335="",K2335=0),"—",IF(ISNUMBER(MATCH(H2335,'Zgłoszenia'!$S$5:$S$504,0)),RIGHT("0"&amp;DAY(A2335),2)&amp;"."&amp;RIGHT("0"&amp;MONTH(A2335),2)&amp;"."&amp;YEAR(A2335)&amp;": "&amp;INDEX('Zgłoszenia'!$H$5:$H$504,MATCH(H2335,'Zgłoszenia'!$S$5:$S$504,0)),RIGHT("0"&amp;DAY((A2335+1)),2)&amp;"."&amp;RIGHT("0"&amp;MONTH((A2335+1)),2)&amp;"."&amp;YEAR((A2335+1))&amp;": "&amp;INDEX('Zgłoszenia'!$H$5:$H$504,MATCH(F2335&amp;"|"&amp;(A2335+1),'Zgłoszenia'!$S$5:$S$504,0)))&amp;IF(K2335&gt;1," (+"&amp;(K2335-1)&amp;")",""))</f>
        <v/>
      </c>
      <c r="M2335" s="63" t="n">
        <v>29</v>
      </c>
      <c r="N2335" s="2" t="n"/>
      <c r="O2335" s="2" t="n"/>
    </row>
    <row r="2336">
      <c r="A2336" s="62">
        <f>IF('29'!$C$1="","",'29'!$C$1)</f>
        <v/>
      </c>
      <c r="B2336" s="63">
        <f>Ustawienia!$A$10&amp;""</f>
        <v/>
      </c>
      <c r="C2336" s="63">
        <f>Ustawienia!$A$15&amp;""</f>
        <v/>
      </c>
      <c r="D2336" s="63" t="n">
        <v>7</v>
      </c>
      <c r="E2336" s="63">
        <f>IF('29'!J19="","",TRIM('29'!J19&amp;""))</f>
        <v/>
      </c>
      <c r="F2336" s="63">
        <f>IF('29'!K19="","",'29'!K19)</f>
        <v/>
      </c>
      <c r="G2336" s="63">
        <f>'29'!L19&amp;""</f>
        <v/>
      </c>
      <c r="H2336" s="63">
        <f>IF(OR(A2336="",F2336=""),"",F2336&amp;"|"&amp;A2336)</f>
        <v/>
      </c>
      <c r="I2336" s="63">
        <f>IF(AND(H2336&lt;&gt;"",OR('Historia wózka'!$B$4="",F2336='Historia wózka'!$B$4),A2336&gt;='Historia wózka'!$B$5,A2336&lt;='Historia wózka'!$B$6),A2336+0.7+(5000-ROW())/10000000,0)</f>
        <v/>
      </c>
      <c r="J2336" s="63">
        <f>Ustawienia!$B$10&amp;""</f>
        <v/>
      </c>
      <c r="K2336" s="63">
        <f>IF(H2336="","",COUNTIFS('Zgłoszenia'!$B$5:$B$504,F2336,'Zgłoszenia'!$D$5:$D$504,"&gt;="&amp;A2336,'Zgłoszenia'!$D$5:$D$504,"&lt;="&amp;(A2336+1)))</f>
        <v/>
      </c>
      <c r="L2336" s="63">
        <f>IF(OR(H2336="",K2336=0),"—",IF(ISNUMBER(MATCH(H2336,'Zgłoszenia'!$S$5:$S$504,0)),RIGHT("0"&amp;DAY(A2336),2)&amp;"."&amp;RIGHT("0"&amp;MONTH(A2336),2)&amp;"."&amp;YEAR(A2336)&amp;": "&amp;INDEX('Zgłoszenia'!$H$5:$H$504,MATCH(H2336,'Zgłoszenia'!$S$5:$S$504,0)),RIGHT("0"&amp;DAY((A2336+1)),2)&amp;"."&amp;RIGHT("0"&amp;MONTH((A2336+1)),2)&amp;"."&amp;YEAR((A2336+1))&amp;": "&amp;INDEX('Zgłoszenia'!$H$5:$H$504,MATCH(F2336&amp;"|"&amp;(A2336+1),'Zgłoszenia'!$S$5:$S$504,0)))&amp;IF(K2336&gt;1," (+"&amp;(K2336-1)&amp;")",""))</f>
        <v/>
      </c>
      <c r="M2336" s="63" t="n">
        <v>29</v>
      </c>
      <c r="N2336" s="2" t="n"/>
      <c r="O2336" s="2" t="n"/>
    </row>
    <row r="2337">
      <c r="A2337" s="62">
        <f>IF('29'!$C$1="","",'29'!$C$1)</f>
        <v/>
      </c>
      <c r="B2337" s="63">
        <f>Ustawienia!$A$10&amp;""</f>
        <v/>
      </c>
      <c r="C2337" s="63">
        <f>Ustawienia!$A$15&amp;""</f>
        <v/>
      </c>
      <c r="D2337" s="63" t="n">
        <v>8</v>
      </c>
      <c r="E2337" s="63">
        <f>IF('29'!J20="","",TRIM('29'!J20&amp;""))</f>
        <v/>
      </c>
      <c r="F2337" s="63">
        <f>IF('29'!K20="","",'29'!K20)</f>
        <v/>
      </c>
      <c r="G2337" s="63">
        <f>'29'!L20&amp;""</f>
        <v/>
      </c>
      <c r="H2337" s="63">
        <f>IF(OR(A2337="",F2337=""),"",F2337&amp;"|"&amp;A2337)</f>
        <v/>
      </c>
      <c r="I2337" s="63">
        <f>IF(AND(H2337&lt;&gt;"",OR('Historia wózka'!$B$4="",F2337='Historia wózka'!$B$4),A2337&gt;='Historia wózka'!$B$5,A2337&lt;='Historia wózka'!$B$6),A2337+0.7+(5000-ROW())/10000000,0)</f>
        <v/>
      </c>
      <c r="J2337" s="63">
        <f>Ustawienia!$B$10&amp;""</f>
        <v/>
      </c>
      <c r="K2337" s="63">
        <f>IF(H2337="","",COUNTIFS('Zgłoszenia'!$B$5:$B$504,F2337,'Zgłoszenia'!$D$5:$D$504,"&gt;="&amp;A2337,'Zgłoszenia'!$D$5:$D$504,"&lt;="&amp;(A2337+1)))</f>
        <v/>
      </c>
      <c r="L2337" s="63">
        <f>IF(OR(H2337="",K2337=0),"—",IF(ISNUMBER(MATCH(H2337,'Zgłoszenia'!$S$5:$S$504,0)),RIGHT("0"&amp;DAY(A2337),2)&amp;"."&amp;RIGHT("0"&amp;MONTH(A2337),2)&amp;"."&amp;YEAR(A2337)&amp;": "&amp;INDEX('Zgłoszenia'!$H$5:$H$504,MATCH(H2337,'Zgłoszenia'!$S$5:$S$504,0)),RIGHT("0"&amp;DAY((A2337+1)),2)&amp;"."&amp;RIGHT("0"&amp;MONTH((A2337+1)),2)&amp;"."&amp;YEAR((A2337+1))&amp;": "&amp;INDEX('Zgłoszenia'!$H$5:$H$504,MATCH(F2337&amp;"|"&amp;(A2337+1),'Zgłoszenia'!$S$5:$S$504,0)))&amp;IF(K2337&gt;1," (+"&amp;(K2337-1)&amp;")",""))</f>
        <v/>
      </c>
      <c r="M2337" s="63" t="n">
        <v>29</v>
      </c>
      <c r="N2337" s="2" t="n"/>
      <c r="O2337" s="2" t="n"/>
    </row>
    <row r="2338">
      <c r="A2338" s="62">
        <f>IF('29'!$C$1="","",'29'!$C$1)</f>
        <v/>
      </c>
      <c r="B2338" s="63">
        <f>Ustawienia!$A$10&amp;""</f>
        <v/>
      </c>
      <c r="C2338" s="63">
        <f>Ustawienia!$A$16&amp;""</f>
        <v/>
      </c>
      <c r="D2338" s="63" t="n">
        <v>1</v>
      </c>
      <c r="E2338" s="63">
        <f>IF('29'!J22="","",TRIM('29'!J22&amp;""))</f>
        <v/>
      </c>
      <c r="F2338" s="63">
        <f>IF('29'!K22="","",'29'!K22)</f>
        <v/>
      </c>
      <c r="G2338" s="63">
        <f>'29'!L22&amp;""</f>
        <v/>
      </c>
      <c r="H2338" s="63">
        <f>IF(OR(A2338="",F2338=""),"",F2338&amp;"|"&amp;A2338)</f>
        <v/>
      </c>
      <c r="I2338" s="63">
        <f>IF(AND(H2338&lt;&gt;"",OR('Historia wózka'!$B$4="",F2338='Historia wózka'!$B$4),A2338&gt;='Historia wózka'!$B$5,A2338&lt;='Historia wózka'!$B$6),A2338+0.7+(5000-ROW())/10000000,0)</f>
        <v/>
      </c>
      <c r="J2338" s="63">
        <f>Ustawienia!$B$10&amp;""</f>
        <v/>
      </c>
      <c r="K2338" s="63">
        <f>IF(H2338="","",COUNTIFS('Zgłoszenia'!$B$5:$B$504,F2338,'Zgłoszenia'!$D$5:$D$504,"&gt;="&amp;A2338,'Zgłoszenia'!$D$5:$D$504,"&lt;="&amp;(A2338+1)))</f>
        <v/>
      </c>
      <c r="L2338" s="63">
        <f>IF(OR(H2338="",K2338=0),"—",IF(ISNUMBER(MATCH(H2338,'Zgłoszenia'!$S$5:$S$504,0)),RIGHT("0"&amp;DAY(A2338),2)&amp;"."&amp;RIGHT("0"&amp;MONTH(A2338),2)&amp;"."&amp;YEAR(A2338)&amp;": "&amp;INDEX('Zgłoszenia'!$H$5:$H$504,MATCH(H2338,'Zgłoszenia'!$S$5:$S$504,0)),RIGHT("0"&amp;DAY((A2338+1)),2)&amp;"."&amp;RIGHT("0"&amp;MONTH((A2338+1)),2)&amp;"."&amp;YEAR((A2338+1))&amp;": "&amp;INDEX('Zgłoszenia'!$H$5:$H$504,MATCH(F2338&amp;"|"&amp;(A2338+1),'Zgłoszenia'!$S$5:$S$504,0)))&amp;IF(K2338&gt;1," (+"&amp;(K2338-1)&amp;")",""))</f>
        <v/>
      </c>
      <c r="M2338" s="63" t="n">
        <v>29</v>
      </c>
      <c r="N2338" s="2" t="n"/>
      <c r="O2338" s="2" t="n"/>
    </row>
    <row r="2339">
      <c r="A2339" s="62">
        <f>IF('29'!$C$1="","",'29'!$C$1)</f>
        <v/>
      </c>
      <c r="B2339" s="63">
        <f>Ustawienia!$A$10&amp;""</f>
        <v/>
      </c>
      <c r="C2339" s="63">
        <f>Ustawienia!$A$16&amp;""</f>
        <v/>
      </c>
      <c r="D2339" s="63" t="n">
        <v>2</v>
      </c>
      <c r="E2339" s="63">
        <f>IF('29'!J23="","",TRIM('29'!J23&amp;""))</f>
        <v/>
      </c>
      <c r="F2339" s="63">
        <f>IF('29'!K23="","",'29'!K23)</f>
        <v/>
      </c>
      <c r="G2339" s="63">
        <f>'29'!L23&amp;""</f>
        <v/>
      </c>
      <c r="H2339" s="63">
        <f>IF(OR(A2339="",F2339=""),"",F2339&amp;"|"&amp;A2339)</f>
        <v/>
      </c>
      <c r="I2339" s="63">
        <f>IF(AND(H2339&lt;&gt;"",OR('Historia wózka'!$B$4="",F2339='Historia wózka'!$B$4),A2339&gt;='Historia wózka'!$B$5,A2339&lt;='Historia wózka'!$B$6),A2339+0.7+(5000-ROW())/10000000,0)</f>
        <v/>
      </c>
      <c r="J2339" s="63">
        <f>Ustawienia!$B$10&amp;""</f>
        <v/>
      </c>
      <c r="K2339" s="63">
        <f>IF(H2339="","",COUNTIFS('Zgłoszenia'!$B$5:$B$504,F2339,'Zgłoszenia'!$D$5:$D$504,"&gt;="&amp;A2339,'Zgłoszenia'!$D$5:$D$504,"&lt;="&amp;(A2339+1)))</f>
        <v/>
      </c>
      <c r="L2339" s="63">
        <f>IF(OR(H2339="",K2339=0),"—",IF(ISNUMBER(MATCH(H2339,'Zgłoszenia'!$S$5:$S$504,0)),RIGHT("0"&amp;DAY(A2339),2)&amp;"."&amp;RIGHT("0"&amp;MONTH(A2339),2)&amp;"."&amp;YEAR(A2339)&amp;": "&amp;INDEX('Zgłoszenia'!$H$5:$H$504,MATCH(H2339,'Zgłoszenia'!$S$5:$S$504,0)),RIGHT("0"&amp;DAY((A2339+1)),2)&amp;"."&amp;RIGHT("0"&amp;MONTH((A2339+1)),2)&amp;"."&amp;YEAR((A2339+1))&amp;": "&amp;INDEX('Zgłoszenia'!$H$5:$H$504,MATCH(F2339&amp;"|"&amp;(A2339+1),'Zgłoszenia'!$S$5:$S$504,0)))&amp;IF(K2339&gt;1," (+"&amp;(K2339-1)&amp;")",""))</f>
        <v/>
      </c>
      <c r="M2339" s="63" t="n">
        <v>29</v>
      </c>
      <c r="N2339" s="2" t="n"/>
      <c r="O2339" s="2" t="n"/>
    </row>
    <row r="2340">
      <c r="A2340" s="62">
        <f>IF('29'!$C$1="","",'29'!$C$1)</f>
        <v/>
      </c>
      <c r="B2340" s="63">
        <f>Ustawienia!$A$10&amp;""</f>
        <v/>
      </c>
      <c r="C2340" s="63">
        <f>Ustawienia!$A$16&amp;""</f>
        <v/>
      </c>
      <c r="D2340" s="63" t="n">
        <v>3</v>
      </c>
      <c r="E2340" s="63">
        <f>IF('29'!J24="","",TRIM('29'!J24&amp;""))</f>
        <v/>
      </c>
      <c r="F2340" s="63">
        <f>IF('29'!K24="","",'29'!K24)</f>
        <v/>
      </c>
      <c r="G2340" s="63">
        <f>'29'!L24&amp;""</f>
        <v/>
      </c>
      <c r="H2340" s="63">
        <f>IF(OR(A2340="",F2340=""),"",F2340&amp;"|"&amp;A2340)</f>
        <v/>
      </c>
      <c r="I2340" s="63">
        <f>IF(AND(H2340&lt;&gt;"",OR('Historia wózka'!$B$4="",F2340='Historia wózka'!$B$4),A2340&gt;='Historia wózka'!$B$5,A2340&lt;='Historia wózka'!$B$6),A2340+0.7+(5000-ROW())/10000000,0)</f>
        <v/>
      </c>
      <c r="J2340" s="63">
        <f>Ustawienia!$B$10&amp;""</f>
        <v/>
      </c>
      <c r="K2340" s="63">
        <f>IF(H2340="","",COUNTIFS('Zgłoszenia'!$B$5:$B$504,F2340,'Zgłoszenia'!$D$5:$D$504,"&gt;="&amp;A2340,'Zgłoszenia'!$D$5:$D$504,"&lt;="&amp;(A2340+1)))</f>
        <v/>
      </c>
      <c r="L2340" s="63">
        <f>IF(OR(H2340="",K2340=0),"—",IF(ISNUMBER(MATCH(H2340,'Zgłoszenia'!$S$5:$S$504,0)),RIGHT("0"&amp;DAY(A2340),2)&amp;"."&amp;RIGHT("0"&amp;MONTH(A2340),2)&amp;"."&amp;YEAR(A2340)&amp;": "&amp;INDEX('Zgłoszenia'!$H$5:$H$504,MATCH(H2340,'Zgłoszenia'!$S$5:$S$504,0)),RIGHT("0"&amp;DAY((A2340+1)),2)&amp;"."&amp;RIGHT("0"&amp;MONTH((A2340+1)),2)&amp;"."&amp;YEAR((A2340+1))&amp;": "&amp;INDEX('Zgłoszenia'!$H$5:$H$504,MATCH(F2340&amp;"|"&amp;(A2340+1),'Zgłoszenia'!$S$5:$S$504,0)))&amp;IF(K2340&gt;1," (+"&amp;(K2340-1)&amp;")",""))</f>
        <v/>
      </c>
      <c r="M2340" s="63" t="n">
        <v>29</v>
      </c>
      <c r="N2340" s="2" t="n"/>
      <c r="O2340" s="2" t="n"/>
    </row>
    <row r="2341">
      <c r="A2341" s="62">
        <f>IF('29'!$C$1="","",'29'!$C$1)</f>
        <v/>
      </c>
      <c r="B2341" s="63">
        <f>Ustawienia!$A$10&amp;""</f>
        <v/>
      </c>
      <c r="C2341" s="63">
        <f>Ustawienia!$A$16&amp;""</f>
        <v/>
      </c>
      <c r="D2341" s="63" t="n">
        <v>4</v>
      </c>
      <c r="E2341" s="63">
        <f>IF('29'!J25="","",TRIM('29'!J25&amp;""))</f>
        <v/>
      </c>
      <c r="F2341" s="63">
        <f>IF('29'!K25="","",'29'!K25)</f>
        <v/>
      </c>
      <c r="G2341" s="63">
        <f>'29'!L25&amp;""</f>
        <v/>
      </c>
      <c r="H2341" s="63">
        <f>IF(OR(A2341="",F2341=""),"",F2341&amp;"|"&amp;A2341)</f>
        <v/>
      </c>
      <c r="I2341" s="63">
        <f>IF(AND(H2341&lt;&gt;"",OR('Historia wózka'!$B$4="",F2341='Historia wózka'!$B$4),A2341&gt;='Historia wózka'!$B$5,A2341&lt;='Historia wózka'!$B$6),A2341+0.7+(5000-ROW())/10000000,0)</f>
        <v/>
      </c>
      <c r="J2341" s="63">
        <f>Ustawienia!$B$10&amp;""</f>
        <v/>
      </c>
      <c r="K2341" s="63">
        <f>IF(H2341="","",COUNTIFS('Zgłoszenia'!$B$5:$B$504,F2341,'Zgłoszenia'!$D$5:$D$504,"&gt;="&amp;A2341,'Zgłoszenia'!$D$5:$D$504,"&lt;="&amp;(A2341+1)))</f>
        <v/>
      </c>
      <c r="L2341" s="63">
        <f>IF(OR(H2341="",K2341=0),"—",IF(ISNUMBER(MATCH(H2341,'Zgłoszenia'!$S$5:$S$504,0)),RIGHT("0"&amp;DAY(A2341),2)&amp;"."&amp;RIGHT("0"&amp;MONTH(A2341),2)&amp;"."&amp;YEAR(A2341)&amp;": "&amp;INDEX('Zgłoszenia'!$H$5:$H$504,MATCH(H2341,'Zgłoszenia'!$S$5:$S$504,0)),RIGHT("0"&amp;DAY((A2341+1)),2)&amp;"."&amp;RIGHT("0"&amp;MONTH((A2341+1)),2)&amp;"."&amp;YEAR((A2341+1))&amp;": "&amp;INDEX('Zgłoszenia'!$H$5:$H$504,MATCH(F2341&amp;"|"&amp;(A2341+1),'Zgłoszenia'!$S$5:$S$504,0)))&amp;IF(K2341&gt;1," (+"&amp;(K2341-1)&amp;")",""))</f>
        <v/>
      </c>
      <c r="M2341" s="63" t="n">
        <v>29</v>
      </c>
      <c r="N2341" s="2" t="n"/>
      <c r="O2341" s="2" t="n"/>
    </row>
    <row r="2342">
      <c r="A2342" s="62">
        <f>IF('29'!$C$1="","",'29'!$C$1)</f>
        <v/>
      </c>
      <c r="B2342" s="63">
        <f>Ustawienia!$A$10&amp;""</f>
        <v/>
      </c>
      <c r="C2342" s="63">
        <f>Ustawienia!$A$17&amp;""</f>
        <v/>
      </c>
      <c r="D2342" s="63" t="n">
        <v>1</v>
      </c>
      <c r="E2342" s="63">
        <f>IF('29'!J27="","",TRIM('29'!J27&amp;""))</f>
        <v/>
      </c>
      <c r="F2342" s="63">
        <f>IF('29'!K27="","",'29'!K27)</f>
        <v/>
      </c>
      <c r="G2342" s="63">
        <f>'29'!L27&amp;""</f>
        <v/>
      </c>
      <c r="H2342" s="63">
        <f>IF(OR(A2342="",F2342=""),"",F2342&amp;"|"&amp;A2342)</f>
        <v/>
      </c>
      <c r="I2342" s="63">
        <f>IF(AND(H2342&lt;&gt;"",OR('Historia wózka'!$B$4="",F2342='Historia wózka'!$B$4),A2342&gt;='Historia wózka'!$B$5,A2342&lt;='Historia wózka'!$B$6),A2342+0.7+(5000-ROW())/10000000,0)</f>
        <v/>
      </c>
      <c r="J2342" s="63">
        <f>Ustawienia!$B$10&amp;""</f>
        <v/>
      </c>
      <c r="K2342" s="63">
        <f>IF(H2342="","",COUNTIFS('Zgłoszenia'!$B$5:$B$504,F2342,'Zgłoszenia'!$D$5:$D$504,"&gt;="&amp;A2342,'Zgłoszenia'!$D$5:$D$504,"&lt;="&amp;(A2342+1)))</f>
        <v/>
      </c>
      <c r="L2342" s="63">
        <f>IF(OR(H2342="",K2342=0),"—",IF(ISNUMBER(MATCH(H2342,'Zgłoszenia'!$S$5:$S$504,0)),RIGHT("0"&amp;DAY(A2342),2)&amp;"."&amp;RIGHT("0"&amp;MONTH(A2342),2)&amp;"."&amp;YEAR(A2342)&amp;": "&amp;INDEX('Zgłoszenia'!$H$5:$H$504,MATCH(H2342,'Zgłoszenia'!$S$5:$S$504,0)),RIGHT("0"&amp;DAY((A2342+1)),2)&amp;"."&amp;RIGHT("0"&amp;MONTH((A2342+1)),2)&amp;"."&amp;YEAR((A2342+1))&amp;": "&amp;INDEX('Zgłoszenia'!$H$5:$H$504,MATCH(F2342&amp;"|"&amp;(A2342+1),'Zgłoszenia'!$S$5:$S$504,0)))&amp;IF(K2342&gt;1," (+"&amp;(K2342-1)&amp;")",""))</f>
        <v/>
      </c>
      <c r="M2342" s="63" t="n">
        <v>29</v>
      </c>
      <c r="N2342" s="2" t="n"/>
      <c r="O2342" s="2" t="n"/>
    </row>
    <row r="2343">
      <c r="A2343" s="62">
        <f>IF('29'!$C$1="","",'29'!$C$1)</f>
        <v/>
      </c>
      <c r="B2343" s="63">
        <f>Ustawienia!$A$10&amp;""</f>
        <v/>
      </c>
      <c r="C2343" s="63">
        <f>Ustawienia!$A$17&amp;""</f>
        <v/>
      </c>
      <c r="D2343" s="63" t="n">
        <v>2</v>
      </c>
      <c r="E2343" s="63">
        <f>IF('29'!J28="","",TRIM('29'!J28&amp;""))</f>
        <v/>
      </c>
      <c r="F2343" s="63">
        <f>IF('29'!K28="","",'29'!K28)</f>
        <v/>
      </c>
      <c r="G2343" s="63">
        <f>'29'!L28&amp;""</f>
        <v/>
      </c>
      <c r="H2343" s="63">
        <f>IF(OR(A2343="",F2343=""),"",F2343&amp;"|"&amp;A2343)</f>
        <v/>
      </c>
      <c r="I2343" s="63">
        <f>IF(AND(H2343&lt;&gt;"",OR('Historia wózka'!$B$4="",F2343='Historia wózka'!$B$4),A2343&gt;='Historia wózka'!$B$5,A2343&lt;='Historia wózka'!$B$6),A2343+0.7+(5000-ROW())/10000000,0)</f>
        <v/>
      </c>
      <c r="J2343" s="63">
        <f>Ustawienia!$B$10&amp;""</f>
        <v/>
      </c>
      <c r="K2343" s="63">
        <f>IF(H2343="","",COUNTIFS('Zgłoszenia'!$B$5:$B$504,F2343,'Zgłoszenia'!$D$5:$D$504,"&gt;="&amp;A2343,'Zgłoszenia'!$D$5:$D$504,"&lt;="&amp;(A2343+1)))</f>
        <v/>
      </c>
      <c r="L2343" s="63">
        <f>IF(OR(H2343="",K2343=0),"—",IF(ISNUMBER(MATCH(H2343,'Zgłoszenia'!$S$5:$S$504,0)),RIGHT("0"&amp;DAY(A2343),2)&amp;"."&amp;RIGHT("0"&amp;MONTH(A2343),2)&amp;"."&amp;YEAR(A2343)&amp;": "&amp;INDEX('Zgłoszenia'!$H$5:$H$504,MATCH(H2343,'Zgłoszenia'!$S$5:$S$504,0)),RIGHT("0"&amp;DAY((A2343+1)),2)&amp;"."&amp;RIGHT("0"&amp;MONTH((A2343+1)),2)&amp;"."&amp;YEAR((A2343+1))&amp;": "&amp;INDEX('Zgłoszenia'!$H$5:$H$504,MATCH(F2343&amp;"|"&amp;(A2343+1),'Zgłoszenia'!$S$5:$S$504,0)))&amp;IF(K2343&gt;1," (+"&amp;(K2343-1)&amp;")",""))</f>
        <v/>
      </c>
      <c r="M2343" s="63" t="n">
        <v>29</v>
      </c>
      <c r="N2343" s="2" t="n"/>
      <c r="O2343" s="2" t="n"/>
    </row>
    <row r="2344">
      <c r="A2344" s="62">
        <f>IF('29'!$C$1="","",'29'!$C$1)</f>
        <v/>
      </c>
      <c r="B2344" s="63">
        <f>Ustawienia!$A$10&amp;""</f>
        <v/>
      </c>
      <c r="C2344" s="63">
        <f>Ustawienia!$A$17&amp;""</f>
        <v/>
      </c>
      <c r="D2344" s="63" t="n">
        <v>3</v>
      </c>
      <c r="E2344" s="63">
        <f>IF('29'!J29="","",TRIM('29'!J29&amp;""))</f>
        <v/>
      </c>
      <c r="F2344" s="63">
        <f>IF('29'!K29="","",'29'!K29)</f>
        <v/>
      </c>
      <c r="G2344" s="63">
        <f>'29'!L29&amp;""</f>
        <v/>
      </c>
      <c r="H2344" s="63">
        <f>IF(OR(A2344="",F2344=""),"",F2344&amp;"|"&amp;A2344)</f>
        <v/>
      </c>
      <c r="I2344" s="63">
        <f>IF(AND(H2344&lt;&gt;"",OR('Historia wózka'!$B$4="",F2344='Historia wózka'!$B$4),A2344&gt;='Historia wózka'!$B$5,A2344&lt;='Historia wózka'!$B$6),A2344+0.7+(5000-ROW())/10000000,0)</f>
        <v/>
      </c>
      <c r="J2344" s="63">
        <f>Ustawienia!$B$10&amp;""</f>
        <v/>
      </c>
      <c r="K2344" s="63">
        <f>IF(H2344="","",COUNTIFS('Zgłoszenia'!$B$5:$B$504,F2344,'Zgłoszenia'!$D$5:$D$504,"&gt;="&amp;A2344,'Zgłoszenia'!$D$5:$D$504,"&lt;="&amp;(A2344+1)))</f>
        <v/>
      </c>
      <c r="L2344" s="63">
        <f>IF(OR(H2344="",K2344=0),"—",IF(ISNUMBER(MATCH(H2344,'Zgłoszenia'!$S$5:$S$504,0)),RIGHT("0"&amp;DAY(A2344),2)&amp;"."&amp;RIGHT("0"&amp;MONTH(A2344),2)&amp;"."&amp;YEAR(A2344)&amp;": "&amp;INDEX('Zgłoszenia'!$H$5:$H$504,MATCH(H2344,'Zgłoszenia'!$S$5:$S$504,0)),RIGHT("0"&amp;DAY((A2344+1)),2)&amp;"."&amp;RIGHT("0"&amp;MONTH((A2344+1)),2)&amp;"."&amp;YEAR((A2344+1))&amp;": "&amp;INDEX('Zgłoszenia'!$H$5:$H$504,MATCH(F2344&amp;"|"&amp;(A2344+1),'Zgłoszenia'!$S$5:$S$504,0)))&amp;IF(K2344&gt;1," (+"&amp;(K2344-1)&amp;")",""))</f>
        <v/>
      </c>
      <c r="M2344" s="63" t="n">
        <v>29</v>
      </c>
      <c r="N2344" s="2" t="n"/>
      <c r="O2344" s="2" t="n"/>
    </row>
    <row r="2345">
      <c r="A2345" s="62">
        <f>IF('29'!$C$1="","",'29'!$C$1)</f>
        <v/>
      </c>
      <c r="B2345" s="63">
        <f>Ustawienia!$A$10&amp;""</f>
        <v/>
      </c>
      <c r="C2345" s="63">
        <f>Ustawienia!$A$17&amp;""</f>
        <v/>
      </c>
      <c r="D2345" s="63" t="n">
        <v>4</v>
      </c>
      <c r="E2345" s="63">
        <f>IF('29'!J30="","",TRIM('29'!J30&amp;""))</f>
        <v/>
      </c>
      <c r="F2345" s="63">
        <f>IF('29'!K30="","",'29'!K30)</f>
        <v/>
      </c>
      <c r="G2345" s="63">
        <f>'29'!L30&amp;""</f>
        <v/>
      </c>
      <c r="H2345" s="63">
        <f>IF(OR(A2345="",F2345=""),"",F2345&amp;"|"&amp;A2345)</f>
        <v/>
      </c>
      <c r="I2345" s="63">
        <f>IF(AND(H2345&lt;&gt;"",OR('Historia wózka'!$B$4="",F2345='Historia wózka'!$B$4),A2345&gt;='Historia wózka'!$B$5,A2345&lt;='Historia wózka'!$B$6),A2345+0.7+(5000-ROW())/10000000,0)</f>
        <v/>
      </c>
      <c r="J2345" s="63">
        <f>Ustawienia!$B$10&amp;""</f>
        <v/>
      </c>
      <c r="K2345" s="63">
        <f>IF(H2345="","",COUNTIFS('Zgłoszenia'!$B$5:$B$504,F2345,'Zgłoszenia'!$D$5:$D$504,"&gt;="&amp;A2345,'Zgłoszenia'!$D$5:$D$504,"&lt;="&amp;(A2345+1)))</f>
        <v/>
      </c>
      <c r="L2345" s="63">
        <f>IF(OR(H2345="",K2345=0),"—",IF(ISNUMBER(MATCH(H2345,'Zgłoszenia'!$S$5:$S$504,0)),RIGHT("0"&amp;DAY(A2345),2)&amp;"."&amp;RIGHT("0"&amp;MONTH(A2345),2)&amp;"."&amp;YEAR(A2345)&amp;": "&amp;INDEX('Zgłoszenia'!$H$5:$H$504,MATCH(H2345,'Zgłoszenia'!$S$5:$S$504,0)),RIGHT("0"&amp;DAY((A2345+1)),2)&amp;"."&amp;RIGHT("0"&amp;MONTH((A2345+1)),2)&amp;"."&amp;YEAR((A2345+1))&amp;": "&amp;INDEX('Zgłoszenia'!$H$5:$H$504,MATCH(F2345&amp;"|"&amp;(A2345+1),'Zgłoszenia'!$S$5:$S$504,0)))&amp;IF(K2345&gt;1," (+"&amp;(K2345-1)&amp;")",""))</f>
        <v/>
      </c>
      <c r="M2345" s="63" t="n">
        <v>29</v>
      </c>
      <c r="N2345" s="2" t="n"/>
      <c r="O2345" s="2" t="n"/>
    </row>
    <row r="2346">
      <c r="A2346" s="62">
        <f>IF('29'!$C$1="","",'29'!$C$1)</f>
        <v/>
      </c>
      <c r="B2346" s="63">
        <f>Ustawienia!$A$10&amp;""</f>
        <v/>
      </c>
      <c r="C2346" s="63">
        <f>Ustawienia!$A$18&amp;""</f>
        <v/>
      </c>
      <c r="D2346" s="63" t="n">
        <v>1</v>
      </c>
      <c r="E2346" s="63">
        <f>IF('29'!J32="","",TRIM('29'!J32&amp;""))</f>
        <v/>
      </c>
      <c r="F2346" s="63">
        <f>IF('29'!K32="","",'29'!K32)</f>
        <v/>
      </c>
      <c r="G2346" s="63">
        <f>'29'!L32&amp;""</f>
        <v/>
      </c>
      <c r="H2346" s="63">
        <f>IF(OR(A2346="",F2346=""),"",F2346&amp;"|"&amp;A2346)</f>
        <v/>
      </c>
      <c r="I2346" s="63">
        <f>IF(AND(H2346&lt;&gt;"",OR('Historia wózka'!$B$4="",F2346='Historia wózka'!$B$4),A2346&gt;='Historia wózka'!$B$5,A2346&lt;='Historia wózka'!$B$6),A2346+0.7+(5000-ROW())/10000000,0)</f>
        <v/>
      </c>
      <c r="J2346" s="63">
        <f>Ustawienia!$B$10&amp;""</f>
        <v/>
      </c>
      <c r="K2346" s="63">
        <f>IF(H2346="","",COUNTIFS('Zgłoszenia'!$B$5:$B$504,F2346,'Zgłoszenia'!$D$5:$D$504,"&gt;="&amp;A2346,'Zgłoszenia'!$D$5:$D$504,"&lt;="&amp;(A2346+1)))</f>
        <v/>
      </c>
      <c r="L2346" s="63">
        <f>IF(OR(H2346="",K2346=0),"—",IF(ISNUMBER(MATCH(H2346,'Zgłoszenia'!$S$5:$S$504,0)),RIGHT("0"&amp;DAY(A2346),2)&amp;"."&amp;RIGHT("0"&amp;MONTH(A2346),2)&amp;"."&amp;YEAR(A2346)&amp;": "&amp;INDEX('Zgłoszenia'!$H$5:$H$504,MATCH(H2346,'Zgłoszenia'!$S$5:$S$504,0)),RIGHT("0"&amp;DAY((A2346+1)),2)&amp;"."&amp;RIGHT("0"&amp;MONTH((A2346+1)),2)&amp;"."&amp;YEAR((A2346+1))&amp;": "&amp;INDEX('Zgłoszenia'!$H$5:$H$504,MATCH(F2346&amp;"|"&amp;(A2346+1),'Zgłoszenia'!$S$5:$S$504,0)))&amp;IF(K2346&gt;1," (+"&amp;(K2346-1)&amp;")",""))</f>
        <v/>
      </c>
      <c r="M2346" s="63" t="n">
        <v>29</v>
      </c>
      <c r="N2346" s="2" t="n"/>
      <c r="O2346" s="2" t="n"/>
    </row>
    <row r="2347">
      <c r="A2347" s="62">
        <f>IF('29'!$C$1="","",'29'!$C$1)</f>
        <v/>
      </c>
      <c r="B2347" s="63">
        <f>Ustawienia!$A$10&amp;""</f>
        <v/>
      </c>
      <c r="C2347" s="63">
        <f>Ustawienia!$A$18&amp;""</f>
        <v/>
      </c>
      <c r="D2347" s="63" t="n">
        <v>2</v>
      </c>
      <c r="E2347" s="63">
        <f>IF('29'!J33="","",TRIM('29'!J33&amp;""))</f>
        <v/>
      </c>
      <c r="F2347" s="63">
        <f>IF('29'!K33="","",'29'!K33)</f>
        <v/>
      </c>
      <c r="G2347" s="63">
        <f>'29'!L33&amp;""</f>
        <v/>
      </c>
      <c r="H2347" s="63">
        <f>IF(OR(A2347="",F2347=""),"",F2347&amp;"|"&amp;A2347)</f>
        <v/>
      </c>
      <c r="I2347" s="63">
        <f>IF(AND(H2347&lt;&gt;"",OR('Historia wózka'!$B$4="",F2347='Historia wózka'!$B$4),A2347&gt;='Historia wózka'!$B$5,A2347&lt;='Historia wózka'!$B$6),A2347+0.7+(5000-ROW())/10000000,0)</f>
        <v/>
      </c>
      <c r="J2347" s="63">
        <f>Ustawienia!$B$10&amp;""</f>
        <v/>
      </c>
      <c r="K2347" s="63">
        <f>IF(H2347="","",COUNTIFS('Zgłoszenia'!$B$5:$B$504,F2347,'Zgłoszenia'!$D$5:$D$504,"&gt;="&amp;A2347,'Zgłoszenia'!$D$5:$D$504,"&lt;="&amp;(A2347+1)))</f>
        <v/>
      </c>
      <c r="L2347" s="63">
        <f>IF(OR(H2347="",K2347=0),"—",IF(ISNUMBER(MATCH(H2347,'Zgłoszenia'!$S$5:$S$504,0)),RIGHT("0"&amp;DAY(A2347),2)&amp;"."&amp;RIGHT("0"&amp;MONTH(A2347),2)&amp;"."&amp;YEAR(A2347)&amp;": "&amp;INDEX('Zgłoszenia'!$H$5:$H$504,MATCH(H2347,'Zgłoszenia'!$S$5:$S$504,0)),RIGHT("0"&amp;DAY((A2347+1)),2)&amp;"."&amp;RIGHT("0"&amp;MONTH((A2347+1)),2)&amp;"."&amp;YEAR((A2347+1))&amp;": "&amp;INDEX('Zgłoszenia'!$H$5:$H$504,MATCH(F2347&amp;"|"&amp;(A2347+1),'Zgłoszenia'!$S$5:$S$504,0)))&amp;IF(K2347&gt;1," (+"&amp;(K2347-1)&amp;")",""))</f>
        <v/>
      </c>
      <c r="M2347" s="63" t="n">
        <v>29</v>
      </c>
      <c r="N2347" s="2" t="n"/>
      <c r="O2347" s="2" t="n"/>
    </row>
    <row r="2348">
      <c r="A2348" s="62">
        <f>IF('29'!$C$1="","",'29'!$C$1)</f>
        <v/>
      </c>
      <c r="B2348" s="63">
        <f>Ustawienia!$A$10&amp;""</f>
        <v/>
      </c>
      <c r="C2348" s="63">
        <f>Ustawienia!$A$18&amp;""</f>
        <v/>
      </c>
      <c r="D2348" s="63" t="n">
        <v>3</v>
      </c>
      <c r="E2348" s="63">
        <f>IF('29'!J34="","",TRIM('29'!J34&amp;""))</f>
        <v/>
      </c>
      <c r="F2348" s="63">
        <f>IF('29'!K34="","",'29'!K34)</f>
        <v/>
      </c>
      <c r="G2348" s="63">
        <f>'29'!L34&amp;""</f>
        <v/>
      </c>
      <c r="H2348" s="63">
        <f>IF(OR(A2348="",F2348=""),"",F2348&amp;"|"&amp;A2348)</f>
        <v/>
      </c>
      <c r="I2348" s="63">
        <f>IF(AND(H2348&lt;&gt;"",OR('Historia wózka'!$B$4="",F2348='Historia wózka'!$B$4),A2348&gt;='Historia wózka'!$B$5,A2348&lt;='Historia wózka'!$B$6),A2348+0.7+(5000-ROW())/10000000,0)</f>
        <v/>
      </c>
      <c r="J2348" s="63">
        <f>Ustawienia!$B$10&amp;""</f>
        <v/>
      </c>
      <c r="K2348" s="63">
        <f>IF(H2348="","",COUNTIFS('Zgłoszenia'!$B$5:$B$504,F2348,'Zgłoszenia'!$D$5:$D$504,"&gt;="&amp;A2348,'Zgłoszenia'!$D$5:$D$504,"&lt;="&amp;(A2348+1)))</f>
        <v/>
      </c>
      <c r="L2348" s="63">
        <f>IF(OR(H2348="",K2348=0),"—",IF(ISNUMBER(MATCH(H2348,'Zgłoszenia'!$S$5:$S$504,0)),RIGHT("0"&amp;DAY(A2348),2)&amp;"."&amp;RIGHT("0"&amp;MONTH(A2348),2)&amp;"."&amp;YEAR(A2348)&amp;": "&amp;INDEX('Zgłoszenia'!$H$5:$H$504,MATCH(H2348,'Zgłoszenia'!$S$5:$S$504,0)),RIGHT("0"&amp;DAY((A2348+1)),2)&amp;"."&amp;RIGHT("0"&amp;MONTH((A2348+1)),2)&amp;"."&amp;YEAR((A2348+1))&amp;": "&amp;INDEX('Zgłoszenia'!$H$5:$H$504,MATCH(F2348&amp;"|"&amp;(A2348+1),'Zgłoszenia'!$S$5:$S$504,0)))&amp;IF(K2348&gt;1," (+"&amp;(K2348-1)&amp;")",""))</f>
        <v/>
      </c>
      <c r="M2348" s="63" t="n">
        <v>29</v>
      </c>
      <c r="N2348" s="2" t="n"/>
      <c r="O2348" s="2" t="n"/>
    </row>
    <row r="2349">
      <c r="A2349" s="62">
        <f>IF('29'!$C$1="","",'29'!$C$1)</f>
        <v/>
      </c>
      <c r="B2349" s="63">
        <f>Ustawienia!$A$10&amp;""</f>
        <v/>
      </c>
      <c r="C2349" s="63">
        <f>Ustawienia!$A$18&amp;""</f>
        <v/>
      </c>
      <c r="D2349" s="63" t="n">
        <v>4</v>
      </c>
      <c r="E2349" s="63">
        <f>IF('29'!J35="","",TRIM('29'!J35&amp;""))</f>
        <v/>
      </c>
      <c r="F2349" s="63">
        <f>IF('29'!K35="","",'29'!K35)</f>
        <v/>
      </c>
      <c r="G2349" s="63">
        <f>'29'!L35&amp;""</f>
        <v/>
      </c>
      <c r="H2349" s="63">
        <f>IF(OR(A2349="",F2349=""),"",F2349&amp;"|"&amp;A2349)</f>
        <v/>
      </c>
      <c r="I2349" s="63">
        <f>IF(AND(H2349&lt;&gt;"",OR('Historia wózka'!$B$4="",F2349='Historia wózka'!$B$4),A2349&gt;='Historia wózka'!$B$5,A2349&lt;='Historia wózka'!$B$6),A2349+0.7+(5000-ROW())/10000000,0)</f>
        <v/>
      </c>
      <c r="J2349" s="63">
        <f>Ustawienia!$B$10&amp;""</f>
        <v/>
      </c>
      <c r="K2349" s="63">
        <f>IF(H2349="","",COUNTIFS('Zgłoszenia'!$B$5:$B$504,F2349,'Zgłoszenia'!$D$5:$D$504,"&gt;="&amp;A2349,'Zgłoszenia'!$D$5:$D$504,"&lt;="&amp;(A2349+1)))</f>
        <v/>
      </c>
      <c r="L2349" s="63">
        <f>IF(OR(H2349="",K2349=0),"—",IF(ISNUMBER(MATCH(H2349,'Zgłoszenia'!$S$5:$S$504,0)),RIGHT("0"&amp;DAY(A2349),2)&amp;"."&amp;RIGHT("0"&amp;MONTH(A2349),2)&amp;"."&amp;YEAR(A2349)&amp;": "&amp;INDEX('Zgłoszenia'!$H$5:$H$504,MATCH(H2349,'Zgłoszenia'!$S$5:$S$504,0)),RIGHT("0"&amp;DAY((A2349+1)),2)&amp;"."&amp;RIGHT("0"&amp;MONTH((A2349+1)),2)&amp;"."&amp;YEAR((A2349+1))&amp;": "&amp;INDEX('Zgłoszenia'!$H$5:$H$504,MATCH(F2349&amp;"|"&amp;(A2349+1),'Zgłoszenia'!$S$5:$S$504,0)))&amp;IF(K2349&gt;1," (+"&amp;(K2349-1)&amp;")",""))</f>
        <v/>
      </c>
      <c r="M2349" s="63" t="n">
        <v>29</v>
      </c>
      <c r="N2349" s="2" t="n"/>
      <c r="O2349" s="2" t="n"/>
    </row>
    <row r="2350">
      <c r="A2350" s="62">
        <f>IF('29'!$C$1="","",'29'!$C$1)</f>
        <v/>
      </c>
      <c r="B2350" s="63">
        <f>Ustawienia!$A$10&amp;""</f>
        <v/>
      </c>
      <c r="C2350" s="63">
        <f>Ustawienia!$A$18&amp;""</f>
        <v/>
      </c>
      <c r="D2350" s="63" t="n">
        <v>5</v>
      </c>
      <c r="E2350" s="63">
        <f>IF('29'!J36="","",TRIM('29'!J36&amp;""))</f>
        <v/>
      </c>
      <c r="F2350" s="63">
        <f>IF('29'!K36="","",'29'!K36)</f>
        <v/>
      </c>
      <c r="G2350" s="63">
        <f>'29'!L36&amp;""</f>
        <v/>
      </c>
      <c r="H2350" s="63">
        <f>IF(OR(A2350="",F2350=""),"",F2350&amp;"|"&amp;A2350)</f>
        <v/>
      </c>
      <c r="I2350" s="63">
        <f>IF(AND(H2350&lt;&gt;"",OR('Historia wózka'!$B$4="",F2350='Historia wózka'!$B$4),A2350&gt;='Historia wózka'!$B$5,A2350&lt;='Historia wózka'!$B$6),A2350+0.7+(5000-ROW())/10000000,0)</f>
        <v/>
      </c>
      <c r="J2350" s="63">
        <f>Ustawienia!$B$10&amp;""</f>
        <v/>
      </c>
      <c r="K2350" s="63">
        <f>IF(H2350="","",COUNTIFS('Zgłoszenia'!$B$5:$B$504,F2350,'Zgłoszenia'!$D$5:$D$504,"&gt;="&amp;A2350,'Zgłoszenia'!$D$5:$D$504,"&lt;="&amp;(A2350+1)))</f>
        <v/>
      </c>
      <c r="L2350" s="63">
        <f>IF(OR(H2350="",K2350=0),"—",IF(ISNUMBER(MATCH(H2350,'Zgłoszenia'!$S$5:$S$504,0)),RIGHT("0"&amp;DAY(A2350),2)&amp;"."&amp;RIGHT("0"&amp;MONTH(A2350),2)&amp;"."&amp;YEAR(A2350)&amp;": "&amp;INDEX('Zgłoszenia'!$H$5:$H$504,MATCH(H2350,'Zgłoszenia'!$S$5:$S$504,0)),RIGHT("0"&amp;DAY((A2350+1)),2)&amp;"."&amp;RIGHT("0"&amp;MONTH((A2350+1)),2)&amp;"."&amp;YEAR((A2350+1))&amp;": "&amp;INDEX('Zgłoszenia'!$H$5:$H$504,MATCH(F2350&amp;"|"&amp;(A2350+1),'Zgłoszenia'!$S$5:$S$504,0)))&amp;IF(K2350&gt;1," (+"&amp;(K2350-1)&amp;")",""))</f>
        <v/>
      </c>
      <c r="M2350" s="63" t="n">
        <v>29</v>
      </c>
      <c r="N2350" s="2" t="n"/>
      <c r="O2350" s="2" t="n"/>
    </row>
    <row r="2351">
      <c r="A2351" s="62">
        <f>IF('30'!$C$1="","",'30'!$C$1)</f>
        <v/>
      </c>
      <c r="B2351" s="63">
        <f>Ustawienia!$A$8&amp;""</f>
        <v/>
      </c>
      <c r="C2351" s="63">
        <f>Ustawienia!$A$14&amp;""</f>
        <v/>
      </c>
      <c r="D2351" s="63" t="n">
        <v>1</v>
      </c>
      <c r="E2351" s="63">
        <f>IF('30'!B6="","",TRIM('30'!B6&amp;""))</f>
        <v/>
      </c>
      <c r="F2351" s="63">
        <f>IF('30'!C6="","",'30'!C6)</f>
        <v/>
      </c>
      <c r="G2351" s="63">
        <f>'30'!D6&amp;""</f>
        <v/>
      </c>
      <c r="H2351" s="63">
        <f>IF(OR(A2351="",F2351=""),"",F2351&amp;"|"&amp;A2351)</f>
        <v/>
      </c>
      <c r="I2351" s="63">
        <f>IF(AND(H2351&lt;&gt;"",OR('Historia wózka'!$B$4="",F2351='Historia wózka'!$B$4),A2351&gt;='Historia wózka'!$B$5,A2351&lt;='Historia wózka'!$B$6),A2351+0.9+(5000-ROW())/10000000,0)</f>
        <v/>
      </c>
      <c r="J2351" s="63">
        <f>Ustawienia!$B$8&amp;""</f>
        <v/>
      </c>
      <c r="K2351" s="63">
        <f>IF(H2351="","",COUNTIFS('Zgłoszenia'!$B$5:$B$504,F2351,'Zgłoszenia'!$D$5:$D$504,"&gt;="&amp;A2351,'Zgłoszenia'!$D$5:$D$504,"&lt;="&amp;(A2351+1)))</f>
        <v/>
      </c>
      <c r="L2351" s="63">
        <f>IF(OR(H2351="",K2351=0),"—",IF(ISNUMBER(MATCH(H2351,'Zgłoszenia'!$S$5:$S$504,0)),RIGHT("0"&amp;DAY(A2351),2)&amp;"."&amp;RIGHT("0"&amp;MONTH(A2351),2)&amp;"."&amp;YEAR(A2351)&amp;": "&amp;INDEX('Zgłoszenia'!$H$5:$H$504,MATCH(H2351,'Zgłoszenia'!$S$5:$S$504,0)),RIGHT("0"&amp;DAY((A2351+1)),2)&amp;"."&amp;RIGHT("0"&amp;MONTH((A2351+1)),2)&amp;"."&amp;YEAR((A2351+1))&amp;": "&amp;INDEX('Zgłoszenia'!$H$5:$H$504,MATCH(F2351&amp;"|"&amp;(A2351+1),'Zgłoszenia'!$S$5:$S$504,0)))&amp;IF(K2351&gt;1," (+"&amp;(K2351-1)&amp;")",""))</f>
        <v/>
      </c>
      <c r="M2351" s="63" t="n">
        <v>30</v>
      </c>
      <c r="N2351" s="2" t="n"/>
      <c r="O2351" s="2" t="n"/>
    </row>
    <row r="2352">
      <c r="A2352" s="62">
        <f>IF('30'!$C$1="","",'30'!$C$1)</f>
        <v/>
      </c>
      <c r="B2352" s="63">
        <f>Ustawienia!$A$8&amp;""</f>
        <v/>
      </c>
      <c r="C2352" s="63">
        <f>Ustawienia!$A$14&amp;""</f>
        <v/>
      </c>
      <c r="D2352" s="63" t="n">
        <v>2</v>
      </c>
      <c r="E2352" s="63">
        <f>IF('30'!B7="","",TRIM('30'!B7&amp;""))</f>
        <v/>
      </c>
      <c r="F2352" s="63">
        <f>IF('30'!C7="","",'30'!C7)</f>
        <v/>
      </c>
      <c r="G2352" s="63">
        <f>'30'!D7&amp;""</f>
        <v/>
      </c>
      <c r="H2352" s="63">
        <f>IF(OR(A2352="",F2352=""),"",F2352&amp;"|"&amp;A2352)</f>
        <v/>
      </c>
      <c r="I2352" s="63">
        <f>IF(AND(H2352&lt;&gt;"",OR('Historia wózka'!$B$4="",F2352='Historia wózka'!$B$4),A2352&gt;='Historia wózka'!$B$5,A2352&lt;='Historia wózka'!$B$6),A2352+0.9+(5000-ROW())/10000000,0)</f>
        <v/>
      </c>
      <c r="J2352" s="63">
        <f>Ustawienia!$B$8&amp;""</f>
        <v/>
      </c>
      <c r="K2352" s="63">
        <f>IF(H2352="","",COUNTIFS('Zgłoszenia'!$B$5:$B$504,F2352,'Zgłoszenia'!$D$5:$D$504,"&gt;="&amp;A2352,'Zgłoszenia'!$D$5:$D$504,"&lt;="&amp;(A2352+1)))</f>
        <v/>
      </c>
      <c r="L2352" s="63">
        <f>IF(OR(H2352="",K2352=0),"—",IF(ISNUMBER(MATCH(H2352,'Zgłoszenia'!$S$5:$S$504,0)),RIGHT("0"&amp;DAY(A2352),2)&amp;"."&amp;RIGHT("0"&amp;MONTH(A2352),2)&amp;"."&amp;YEAR(A2352)&amp;": "&amp;INDEX('Zgłoszenia'!$H$5:$H$504,MATCH(H2352,'Zgłoszenia'!$S$5:$S$504,0)),RIGHT("0"&amp;DAY((A2352+1)),2)&amp;"."&amp;RIGHT("0"&amp;MONTH((A2352+1)),2)&amp;"."&amp;YEAR((A2352+1))&amp;": "&amp;INDEX('Zgłoszenia'!$H$5:$H$504,MATCH(F2352&amp;"|"&amp;(A2352+1),'Zgłoszenia'!$S$5:$S$504,0)))&amp;IF(K2352&gt;1," (+"&amp;(K2352-1)&amp;")",""))</f>
        <v/>
      </c>
      <c r="M2352" s="63" t="n">
        <v>30</v>
      </c>
      <c r="N2352" s="2" t="n"/>
      <c r="O2352" s="2" t="n"/>
    </row>
    <row r="2353">
      <c r="A2353" s="62">
        <f>IF('30'!$C$1="","",'30'!$C$1)</f>
        <v/>
      </c>
      <c r="B2353" s="63">
        <f>Ustawienia!$A$8&amp;""</f>
        <v/>
      </c>
      <c r="C2353" s="63">
        <f>Ustawienia!$A$14&amp;""</f>
        <v/>
      </c>
      <c r="D2353" s="63" t="n">
        <v>3</v>
      </c>
      <c r="E2353" s="63">
        <f>IF('30'!B8="","",TRIM('30'!B8&amp;""))</f>
        <v/>
      </c>
      <c r="F2353" s="63">
        <f>IF('30'!C8="","",'30'!C8)</f>
        <v/>
      </c>
      <c r="G2353" s="63">
        <f>'30'!D8&amp;""</f>
        <v/>
      </c>
      <c r="H2353" s="63">
        <f>IF(OR(A2353="",F2353=""),"",F2353&amp;"|"&amp;A2353)</f>
        <v/>
      </c>
      <c r="I2353" s="63">
        <f>IF(AND(H2353&lt;&gt;"",OR('Historia wózka'!$B$4="",F2353='Historia wózka'!$B$4),A2353&gt;='Historia wózka'!$B$5,A2353&lt;='Historia wózka'!$B$6),A2353+0.9+(5000-ROW())/10000000,0)</f>
        <v/>
      </c>
      <c r="J2353" s="63">
        <f>Ustawienia!$B$8&amp;""</f>
        <v/>
      </c>
      <c r="K2353" s="63">
        <f>IF(H2353="","",COUNTIFS('Zgłoszenia'!$B$5:$B$504,F2353,'Zgłoszenia'!$D$5:$D$504,"&gt;="&amp;A2353,'Zgłoszenia'!$D$5:$D$504,"&lt;="&amp;(A2353+1)))</f>
        <v/>
      </c>
      <c r="L2353" s="63">
        <f>IF(OR(H2353="",K2353=0),"—",IF(ISNUMBER(MATCH(H2353,'Zgłoszenia'!$S$5:$S$504,0)),RIGHT("0"&amp;DAY(A2353),2)&amp;"."&amp;RIGHT("0"&amp;MONTH(A2353),2)&amp;"."&amp;YEAR(A2353)&amp;": "&amp;INDEX('Zgłoszenia'!$H$5:$H$504,MATCH(H2353,'Zgłoszenia'!$S$5:$S$504,0)),RIGHT("0"&amp;DAY((A2353+1)),2)&amp;"."&amp;RIGHT("0"&amp;MONTH((A2353+1)),2)&amp;"."&amp;YEAR((A2353+1))&amp;": "&amp;INDEX('Zgłoszenia'!$H$5:$H$504,MATCH(F2353&amp;"|"&amp;(A2353+1),'Zgłoszenia'!$S$5:$S$504,0)))&amp;IF(K2353&gt;1," (+"&amp;(K2353-1)&amp;")",""))</f>
        <v/>
      </c>
      <c r="M2353" s="63" t="n">
        <v>30</v>
      </c>
      <c r="N2353" s="2" t="n"/>
      <c r="O2353" s="2" t="n"/>
    </row>
    <row r="2354">
      <c r="A2354" s="62">
        <f>IF('30'!$C$1="","",'30'!$C$1)</f>
        <v/>
      </c>
      <c r="B2354" s="63">
        <f>Ustawienia!$A$8&amp;""</f>
        <v/>
      </c>
      <c r="C2354" s="63">
        <f>Ustawienia!$A$14&amp;""</f>
        <v/>
      </c>
      <c r="D2354" s="63" t="n">
        <v>4</v>
      </c>
      <c r="E2354" s="63">
        <f>IF('30'!B9="","",TRIM('30'!B9&amp;""))</f>
        <v/>
      </c>
      <c r="F2354" s="63">
        <f>IF('30'!C9="","",'30'!C9)</f>
        <v/>
      </c>
      <c r="G2354" s="63">
        <f>'30'!D9&amp;""</f>
        <v/>
      </c>
      <c r="H2354" s="63">
        <f>IF(OR(A2354="",F2354=""),"",F2354&amp;"|"&amp;A2354)</f>
        <v/>
      </c>
      <c r="I2354" s="63">
        <f>IF(AND(H2354&lt;&gt;"",OR('Historia wózka'!$B$4="",F2354='Historia wózka'!$B$4),A2354&gt;='Historia wózka'!$B$5,A2354&lt;='Historia wózka'!$B$6),A2354+0.9+(5000-ROW())/10000000,0)</f>
        <v/>
      </c>
      <c r="J2354" s="63">
        <f>Ustawienia!$B$8&amp;""</f>
        <v/>
      </c>
      <c r="K2354" s="63">
        <f>IF(H2354="","",COUNTIFS('Zgłoszenia'!$B$5:$B$504,F2354,'Zgłoszenia'!$D$5:$D$504,"&gt;="&amp;A2354,'Zgłoszenia'!$D$5:$D$504,"&lt;="&amp;(A2354+1)))</f>
        <v/>
      </c>
      <c r="L2354" s="63">
        <f>IF(OR(H2354="",K2354=0),"—",IF(ISNUMBER(MATCH(H2354,'Zgłoszenia'!$S$5:$S$504,0)),RIGHT("0"&amp;DAY(A2354),2)&amp;"."&amp;RIGHT("0"&amp;MONTH(A2354),2)&amp;"."&amp;YEAR(A2354)&amp;": "&amp;INDEX('Zgłoszenia'!$H$5:$H$504,MATCH(H2354,'Zgłoszenia'!$S$5:$S$504,0)),RIGHT("0"&amp;DAY((A2354+1)),2)&amp;"."&amp;RIGHT("0"&amp;MONTH((A2354+1)),2)&amp;"."&amp;YEAR((A2354+1))&amp;": "&amp;INDEX('Zgłoszenia'!$H$5:$H$504,MATCH(F2354&amp;"|"&amp;(A2354+1),'Zgłoszenia'!$S$5:$S$504,0)))&amp;IF(K2354&gt;1," (+"&amp;(K2354-1)&amp;")",""))</f>
        <v/>
      </c>
      <c r="M2354" s="63" t="n">
        <v>30</v>
      </c>
      <c r="N2354" s="2" t="n"/>
      <c r="O2354" s="2" t="n"/>
    </row>
    <row r="2355">
      <c r="A2355" s="62">
        <f>IF('30'!$C$1="","",'30'!$C$1)</f>
        <v/>
      </c>
      <c r="B2355" s="63">
        <f>Ustawienia!$A$8&amp;""</f>
        <v/>
      </c>
      <c r="C2355" s="63">
        <f>Ustawienia!$A$14&amp;""</f>
        <v/>
      </c>
      <c r="D2355" s="63" t="n">
        <v>5</v>
      </c>
      <c r="E2355" s="63">
        <f>IF('30'!B10="","",TRIM('30'!B10&amp;""))</f>
        <v/>
      </c>
      <c r="F2355" s="63">
        <f>IF('30'!C10="","",'30'!C10)</f>
        <v/>
      </c>
      <c r="G2355" s="63">
        <f>'30'!D10&amp;""</f>
        <v/>
      </c>
      <c r="H2355" s="63">
        <f>IF(OR(A2355="",F2355=""),"",F2355&amp;"|"&amp;A2355)</f>
        <v/>
      </c>
      <c r="I2355" s="63">
        <f>IF(AND(H2355&lt;&gt;"",OR('Historia wózka'!$B$4="",F2355='Historia wózka'!$B$4),A2355&gt;='Historia wózka'!$B$5,A2355&lt;='Historia wózka'!$B$6),A2355+0.9+(5000-ROW())/10000000,0)</f>
        <v/>
      </c>
      <c r="J2355" s="63">
        <f>Ustawienia!$B$8&amp;""</f>
        <v/>
      </c>
      <c r="K2355" s="63">
        <f>IF(H2355="","",COUNTIFS('Zgłoszenia'!$B$5:$B$504,F2355,'Zgłoszenia'!$D$5:$D$504,"&gt;="&amp;A2355,'Zgłoszenia'!$D$5:$D$504,"&lt;="&amp;(A2355+1)))</f>
        <v/>
      </c>
      <c r="L2355" s="63">
        <f>IF(OR(H2355="",K2355=0),"—",IF(ISNUMBER(MATCH(H2355,'Zgłoszenia'!$S$5:$S$504,0)),RIGHT("0"&amp;DAY(A2355),2)&amp;"."&amp;RIGHT("0"&amp;MONTH(A2355),2)&amp;"."&amp;YEAR(A2355)&amp;": "&amp;INDEX('Zgłoszenia'!$H$5:$H$504,MATCH(H2355,'Zgłoszenia'!$S$5:$S$504,0)),RIGHT("0"&amp;DAY((A2355+1)),2)&amp;"."&amp;RIGHT("0"&amp;MONTH((A2355+1)),2)&amp;"."&amp;YEAR((A2355+1))&amp;": "&amp;INDEX('Zgłoszenia'!$H$5:$H$504,MATCH(F2355&amp;"|"&amp;(A2355+1),'Zgłoszenia'!$S$5:$S$504,0)))&amp;IF(K2355&gt;1," (+"&amp;(K2355-1)&amp;")",""))</f>
        <v/>
      </c>
      <c r="M2355" s="63" t="n">
        <v>30</v>
      </c>
      <c r="N2355" s="2" t="n"/>
      <c r="O2355" s="2" t="n"/>
    </row>
    <row r="2356">
      <c r="A2356" s="62">
        <f>IF('30'!$C$1="","",'30'!$C$1)</f>
        <v/>
      </c>
      <c r="B2356" s="63">
        <f>Ustawienia!$A$8&amp;""</f>
        <v/>
      </c>
      <c r="C2356" s="63">
        <f>Ustawienia!$A$14&amp;""</f>
        <v/>
      </c>
      <c r="D2356" s="63" t="n">
        <v>6</v>
      </c>
      <c r="E2356" s="63">
        <f>IF('30'!B11="","",TRIM('30'!B11&amp;""))</f>
        <v/>
      </c>
      <c r="F2356" s="63">
        <f>IF('30'!C11="","",'30'!C11)</f>
        <v/>
      </c>
      <c r="G2356" s="63">
        <f>'30'!D11&amp;""</f>
        <v/>
      </c>
      <c r="H2356" s="63">
        <f>IF(OR(A2356="",F2356=""),"",F2356&amp;"|"&amp;A2356)</f>
        <v/>
      </c>
      <c r="I2356" s="63">
        <f>IF(AND(H2356&lt;&gt;"",OR('Historia wózka'!$B$4="",F2356='Historia wózka'!$B$4),A2356&gt;='Historia wózka'!$B$5,A2356&lt;='Historia wózka'!$B$6),A2356+0.9+(5000-ROW())/10000000,0)</f>
        <v/>
      </c>
      <c r="J2356" s="63">
        <f>Ustawienia!$B$8&amp;""</f>
        <v/>
      </c>
      <c r="K2356" s="63">
        <f>IF(H2356="","",COUNTIFS('Zgłoszenia'!$B$5:$B$504,F2356,'Zgłoszenia'!$D$5:$D$504,"&gt;="&amp;A2356,'Zgłoszenia'!$D$5:$D$504,"&lt;="&amp;(A2356+1)))</f>
        <v/>
      </c>
      <c r="L2356" s="63">
        <f>IF(OR(H2356="",K2356=0),"—",IF(ISNUMBER(MATCH(H2356,'Zgłoszenia'!$S$5:$S$504,0)),RIGHT("0"&amp;DAY(A2356),2)&amp;"."&amp;RIGHT("0"&amp;MONTH(A2356),2)&amp;"."&amp;YEAR(A2356)&amp;": "&amp;INDEX('Zgłoszenia'!$H$5:$H$504,MATCH(H2356,'Zgłoszenia'!$S$5:$S$504,0)),RIGHT("0"&amp;DAY((A2356+1)),2)&amp;"."&amp;RIGHT("0"&amp;MONTH((A2356+1)),2)&amp;"."&amp;YEAR((A2356+1))&amp;": "&amp;INDEX('Zgłoszenia'!$H$5:$H$504,MATCH(F2356&amp;"|"&amp;(A2356+1),'Zgłoszenia'!$S$5:$S$504,0)))&amp;IF(K2356&gt;1," (+"&amp;(K2356-1)&amp;")",""))</f>
        <v/>
      </c>
      <c r="M2356" s="63" t="n">
        <v>30</v>
      </c>
      <c r="N2356" s="2" t="n"/>
      <c r="O2356" s="2" t="n"/>
    </row>
    <row r="2357">
      <c r="A2357" s="62">
        <f>IF('30'!$C$1="","",'30'!$C$1)</f>
        <v/>
      </c>
      <c r="B2357" s="63">
        <f>Ustawienia!$A$8&amp;""</f>
        <v/>
      </c>
      <c r="C2357" s="63">
        <f>Ustawienia!$A$15&amp;""</f>
        <v/>
      </c>
      <c r="D2357" s="63" t="n">
        <v>1</v>
      </c>
      <c r="E2357" s="63">
        <f>IF('30'!B13="","",TRIM('30'!B13&amp;""))</f>
        <v/>
      </c>
      <c r="F2357" s="63">
        <f>IF('30'!C13="","",'30'!C13)</f>
        <v/>
      </c>
      <c r="G2357" s="63">
        <f>'30'!D13&amp;""</f>
        <v/>
      </c>
      <c r="H2357" s="63">
        <f>IF(OR(A2357="",F2357=""),"",F2357&amp;"|"&amp;A2357)</f>
        <v/>
      </c>
      <c r="I2357" s="63">
        <f>IF(AND(H2357&lt;&gt;"",OR('Historia wózka'!$B$4="",F2357='Historia wózka'!$B$4),A2357&gt;='Historia wózka'!$B$5,A2357&lt;='Historia wózka'!$B$6),A2357+0.9+(5000-ROW())/10000000,0)</f>
        <v/>
      </c>
      <c r="J2357" s="63">
        <f>Ustawienia!$B$8&amp;""</f>
        <v/>
      </c>
      <c r="K2357" s="63">
        <f>IF(H2357="","",COUNTIFS('Zgłoszenia'!$B$5:$B$504,F2357,'Zgłoszenia'!$D$5:$D$504,"&gt;="&amp;A2357,'Zgłoszenia'!$D$5:$D$504,"&lt;="&amp;(A2357+1)))</f>
        <v/>
      </c>
      <c r="L2357" s="63">
        <f>IF(OR(H2357="",K2357=0),"—",IF(ISNUMBER(MATCH(H2357,'Zgłoszenia'!$S$5:$S$504,0)),RIGHT("0"&amp;DAY(A2357),2)&amp;"."&amp;RIGHT("0"&amp;MONTH(A2357),2)&amp;"."&amp;YEAR(A2357)&amp;": "&amp;INDEX('Zgłoszenia'!$H$5:$H$504,MATCH(H2357,'Zgłoszenia'!$S$5:$S$504,0)),RIGHT("0"&amp;DAY((A2357+1)),2)&amp;"."&amp;RIGHT("0"&amp;MONTH((A2357+1)),2)&amp;"."&amp;YEAR((A2357+1))&amp;": "&amp;INDEX('Zgłoszenia'!$H$5:$H$504,MATCH(F2357&amp;"|"&amp;(A2357+1),'Zgłoszenia'!$S$5:$S$504,0)))&amp;IF(K2357&gt;1," (+"&amp;(K2357-1)&amp;")",""))</f>
        <v/>
      </c>
      <c r="M2357" s="63" t="n">
        <v>30</v>
      </c>
      <c r="N2357" s="2" t="n"/>
      <c r="O2357" s="2" t="n"/>
    </row>
    <row r="2358">
      <c r="A2358" s="62">
        <f>IF('30'!$C$1="","",'30'!$C$1)</f>
        <v/>
      </c>
      <c r="B2358" s="63">
        <f>Ustawienia!$A$8&amp;""</f>
        <v/>
      </c>
      <c r="C2358" s="63">
        <f>Ustawienia!$A$15&amp;""</f>
        <v/>
      </c>
      <c r="D2358" s="63" t="n">
        <v>2</v>
      </c>
      <c r="E2358" s="63">
        <f>IF('30'!B14="","",TRIM('30'!B14&amp;""))</f>
        <v/>
      </c>
      <c r="F2358" s="63">
        <f>IF('30'!C14="","",'30'!C14)</f>
        <v/>
      </c>
      <c r="G2358" s="63">
        <f>'30'!D14&amp;""</f>
        <v/>
      </c>
      <c r="H2358" s="63">
        <f>IF(OR(A2358="",F2358=""),"",F2358&amp;"|"&amp;A2358)</f>
        <v/>
      </c>
      <c r="I2358" s="63">
        <f>IF(AND(H2358&lt;&gt;"",OR('Historia wózka'!$B$4="",F2358='Historia wózka'!$B$4),A2358&gt;='Historia wózka'!$B$5,A2358&lt;='Historia wózka'!$B$6),A2358+0.9+(5000-ROW())/10000000,0)</f>
        <v/>
      </c>
      <c r="J2358" s="63">
        <f>Ustawienia!$B$8&amp;""</f>
        <v/>
      </c>
      <c r="K2358" s="63">
        <f>IF(H2358="","",COUNTIFS('Zgłoszenia'!$B$5:$B$504,F2358,'Zgłoszenia'!$D$5:$D$504,"&gt;="&amp;A2358,'Zgłoszenia'!$D$5:$D$504,"&lt;="&amp;(A2358+1)))</f>
        <v/>
      </c>
      <c r="L2358" s="63">
        <f>IF(OR(H2358="",K2358=0),"—",IF(ISNUMBER(MATCH(H2358,'Zgłoszenia'!$S$5:$S$504,0)),RIGHT("0"&amp;DAY(A2358),2)&amp;"."&amp;RIGHT("0"&amp;MONTH(A2358),2)&amp;"."&amp;YEAR(A2358)&amp;": "&amp;INDEX('Zgłoszenia'!$H$5:$H$504,MATCH(H2358,'Zgłoszenia'!$S$5:$S$504,0)),RIGHT("0"&amp;DAY((A2358+1)),2)&amp;"."&amp;RIGHT("0"&amp;MONTH((A2358+1)),2)&amp;"."&amp;YEAR((A2358+1))&amp;": "&amp;INDEX('Zgłoszenia'!$H$5:$H$504,MATCH(F2358&amp;"|"&amp;(A2358+1),'Zgłoszenia'!$S$5:$S$504,0)))&amp;IF(K2358&gt;1," (+"&amp;(K2358-1)&amp;")",""))</f>
        <v/>
      </c>
      <c r="M2358" s="63" t="n">
        <v>30</v>
      </c>
      <c r="N2358" s="2" t="n"/>
      <c r="O2358" s="2" t="n"/>
    </row>
    <row r="2359">
      <c r="A2359" s="62">
        <f>IF('30'!$C$1="","",'30'!$C$1)</f>
        <v/>
      </c>
      <c r="B2359" s="63">
        <f>Ustawienia!$A$8&amp;""</f>
        <v/>
      </c>
      <c r="C2359" s="63">
        <f>Ustawienia!$A$15&amp;""</f>
        <v/>
      </c>
      <c r="D2359" s="63" t="n">
        <v>3</v>
      </c>
      <c r="E2359" s="63">
        <f>IF('30'!B15="","",TRIM('30'!B15&amp;""))</f>
        <v/>
      </c>
      <c r="F2359" s="63">
        <f>IF('30'!C15="","",'30'!C15)</f>
        <v/>
      </c>
      <c r="G2359" s="63">
        <f>'30'!D15&amp;""</f>
        <v/>
      </c>
      <c r="H2359" s="63">
        <f>IF(OR(A2359="",F2359=""),"",F2359&amp;"|"&amp;A2359)</f>
        <v/>
      </c>
      <c r="I2359" s="63">
        <f>IF(AND(H2359&lt;&gt;"",OR('Historia wózka'!$B$4="",F2359='Historia wózka'!$B$4),A2359&gt;='Historia wózka'!$B$5,A2359&lt;='Historia wózka'!$B$6),A2359+0.9+(5000-ROW())/10000000,0)</f>
        <v/>
      </c>
      <c r="J2359" s="63">
        <f>Ustawienia!$B$8&amp;""</f>
        <v/>
      </c>
      <c r="K2359" s="63">
        <f>IF(H2359="","",COUNTIFS('Zgłoszenia'!$B$5:$B$504,F2359,'Zgłoszenia'!$D$5:$D$504,"&gt;="&amp;A2359,'Zgłoszenia'!$D$5:$D$504,"&lt;="&amp;(A2359+1)))</f>
        <v/>
      </c>
      <c r="L2359" s="63">
        <f>IF(OR(H2359="",K2359=0),"—",IF(ISNUMBER(MATCH(H2359,'Zgłoszenia'!$S$5:$S$504,0)),RIGHT("0"&amp;DAY(A2359),2)&amp;"."&amp;RIGHT("0"&amp;MONTH(A2359),2)&amp;"."&amp;YEAR(A2359)&amp;": "&amp;INDEX('Zgłoszenia'!$H$5:$H$504,MATCH(H2359,'Zgłoszenia'!$S$5:$S$504,0)),RIGHT("0"&amp;DAY((A2359+1)),2)&amp;"."&amp;RIGHT("0"&amp;MONTH((A2359+1)),2)&amp;"."&amp;YEAR((A2359+1))&amp;": "&amp;INDEX('Zgłoszenia'!$H$5:$H$504,MATCH(F2359&amp;"|"&amp;(A2359+1),'Zgłoszenia'!$S$5:$S$504,0)))&amp;IF(K2359&gt;1," (+"&amp;(K2359-1)&amp;")",""))</f>
        <v/>
      </c>
      <c r="M2359" s="63" t="n">
        <v>30</v>
      </c>
      <c r="N2359" s="2" t="n"/>
      <c r="O2359" s="2" t="n"/>
    </row>
    <row r="2360">
      <c r="A2360" s="62">
        <f>IF('30'!$C$1="","",'30'!$C$1)</f>
        <v/>
      </c>
      <c r="B2360" s="63">
        <f>Ustawienia!$A$8&amp;""</f>
        <v/>
      </c>
      <c r="C2360" s="63">
        <f>Ustawienia!$A$15&amp;""</f>
        <v/>
      </c>
      <c r="D2360" s="63" t="n">
        <v>4</v>
      </c>
      <c r="E2360" s="63">
        <f>IF('30'!B16="","",TRIM('30'!B16&amp;""))</f>
        <v/>
      </c>
      <c r="F2360" s="63">
        <f>IF('30'!C16="","",'30'!C16)</f>
        <v/>
      </c>
      <c r="G2360" s="63">
        <f>'30'!D16&amp;""</f>
        <v/>
      </c>
      <c r="H2360" s="63">
        <f>IF(OR(A2360="",F2360=""),"",F2360&amp;"|"&amp;A2360)</f>
        <v/>
      </c>
      <c r="I2360" s="63">
        <f>IF(AND(H2360&lt;&gt;"",OR('Historia wózka'!$B$4="",F2360='Historia wózka'!$B$4),A2360&gt;='Historia wózka'!$B$5,A2360&lt;='Historia wózka'!$B$6),A2360+0.9+(5000-ROW())/10000000,0)</f>
        <v/>
      </c>
      <c r="J2360" s="63">
        <f>Ustawienia!$B$8&amp;""</f>
        <v/>
      </c>
      <c r="K2360" s="63">
        <f>IF(H2360="","",COUNTIFS('Zgłoszenia'!$B$5:$B$504,F2360,'Zgłoszenia'!$D$5:$D$504,"&gt;="&amp;A2360,'Zgłoszenia'!$D$5:$D$504,"&lt;="&amp;(A2360+1)))</f>
        <v/>
      </c>
      <c r="L2360" s="63">
        <f>IF(OR(H2360="",K2360=0),"—",IF(ISNUMBER(MATCH(H2360,'Zgłoszenia'!$S$5:$S$504,0)),RIGHT("0"&amp;DAY(A2360),2)&amp;"."&amp;RIGHT("0"&amp;MONTH(A2360),2)&amp;"."&amp;YEAR(A2360)&amp;": "&amp;INDEX('Zgłoszenia'!$H$5:$H$504,MATCH(H2360,'Zgłoszenia'!$S$5:$S$504,0)),RIGHT("0"&amp;DAY((A2360+1)),2)&amp;"."&amp;RIGHT("0"&amp;MONTH((A2360+1)),2)&amp;"."&amp;YEAR((A2360+1))&amp;": "&amp;INDEX('Zgłoszenia'!$H$5:$H$504,MATCH(F2360&amp;"|"&amp;(A2360+1),'Zgłoszenia'!$S$5:$S$504,0)))&amp;IF(K2360&gt;1," (+"&amp;(K2360-1)&amp;")",""))</f>
        <v/>
      </c>
      <c r="M2360" s="63" t="n">
        <v>30</v>
      </c>
      <c r="N2360" s="2" t="n"/>
      <c r="O2360" s="2" t="n"/>
    </row>
    <row r="2361">
      <c r="A2361" s="62">
        <f>IF('30'!$C$1="","",'30'!$C$1)</f>
        <v/>
      </c>
      <c r="B2361" s="63">
        <f>Ustawienia!$A$8&amp;""</f>
        <v/>
      </c>
      <c r="C2361" s="63">
        <f>Ustawienia!$A$15&amp;""</f>
        <v/>
      </c>
      <c r="D2361" s="63" t="n">
        <v>5</v>
      </c>
      <c r="E2361" s="63">
        <f>IF('30'!B17="","",TRIM('30'!B17&amp;""))</f>
        <v/>
      </c>
      <c r="F2361" s="63">
        <f>IF('30'!C17="","",'30'!C17)</f>
        <v/>
      </c>
      <c r="G2361" s="63">
        <f>'30'!D17&amp;""</f>
        <v/>
      </c>
      <c r="H2361" s="63">
        <f>IF(OR(A2361="",F2361=""),"",F2361&amp;"|"&amp;A2361)</f>
        <v/>
      </c>
      <c r="I2361" s="63">
        <f>IF(AND(H2361&lt;&gt;"",OR('Historia wózka'!$B$4="",F2361='Historia wózka'!$B$4),A2361&gt;='Historia wózka'!$B$5,A2361&lt;='Historia wózka'!$B$6),A2361+0.9+(5000-ROW())/10000000,0)</f>
        <v/>
      </c>
      <c r="J2361" s="63">
        <f>Ustawienia!$B$8&amp;""</f>
        <v/>
      </c>
      <c r="K2361" s="63">
        <f>IF(H2361="","",COUNTIFS('Zgłoszenia'!$B$5:$B$504,F2361,'Zgłoszenia'!$D$5:$D$504,"&gt;="&amp;A2361,'Zgłoszenia'!$D$5:$D$504,"&lt;="&amp;(A2361+1)))</f>
        <v/>
      </c>
      <c r="L2361" s="63">
        <f>IF(OR(H2361="",K2361=0),"—",IF(ISNUMBER(MATCH(H2361,'Zgłoszenia'!$S$5:$S$504,0)),RIGHT("0"&amp;DAY(A2361),2)&amp;"."&amp;RIGHT("0"&amp;MONTH(A2361),2)&amp;"."&amp;YEAR(A2361)&amp;": "&amp;INDEX('Zgłoszenia'!$H$5:$H$504,MATCH(H2361,'Zgłoszenia'!$S$5:$S$504,0)),RIGHT("0"&amp;DAY((A2361+1)),2)&amp;"."&amp;RIGHT("0"&amp;MONTH((A2361+1)),2)&amp;"."&amp;YEAR((A2361+1))&amp;": "&amp;INDEX('Zgłoszenia'!$H$5:$H$504,MATCH(F2361&amp;"|"&amp;(A2361+1),'Zgłoszenia'!$S$5:$S$504,0)))&amp;IF(K2361&gt;1," (+"&amp;(K2361-1)&amp;")",""))</f>
        <v/>
      </c>
      <c r="M2361" s="63" t="n">
        <v>30</v>
      </c>
      <c r="N2361" s="2" t="n"/>
      <c r="O2361" s="2" t="n"/>
    </row>
    <row r="2362">
      <c r="A2362" s="62">
        <f>IF('30'!$C$1="","",'30'!$C$1)</f>
        <v/>
      </c>
      <c r="B2362" s="63">
        <f>Ustawienia!$A$8&amp;""</f>
        <v/>
      </c>
      <c r="C2362" s="63">
        <f>Ustawienia!$A$15&amp;""</f>
        <v/>
      </c>
      <c r="D2362" s="63" t="n">
        <v>6</v>
      </c>
      <c r="E2362" s="63">
        <f>IF('30'!B18="","",TRIM('30'!B18&amp;""))</f>
        <v/>
      </c>
      <c r="F2362" s="63">
        <f>IF('30'!C18="","",'30'!C18)</f>
        <v/>
      </c>
      <c r="G2362" s="63">
        <f>'30'!D18&amp;""</f>
        <v/>
      </c>
      <c r="H2362" s="63">
        <f>IF(OR(A2362="",F2362=""),"",F2362&amp;"|"&amp;A2362)</f>
        <v/>
      </c>
      <c r="I2362" s="63">
        <f>IF(AND(H2362&lt;&gt;"",OR('Historia wózka'!$B$4="",F2362='Historia wózka'!$B$4),A2362&gt;='Historia wózka'!$B$5,A2362&lt;='Historia wózka'!$B$6),A2362+0.9+(5000-ROW())/10000000,0)</f>
        <v/>
      </c>
      <c r="J2362" s="63">
        <f>Ustawienia!$B$8&amp;""</f>
        <v/>
      </c>
      <c r="K2362" s="63">
        <f>IF(H2362="","",COUNTIFS('Zgłoszenia'!$B$5:$B$504,F2362,'Zgłoszenia'!$D$5:$D$504,"&gt;="&amp;A2362,'Zgłoszenia'!$D$5:$D$504,"&lt;="&amp;(A2362+1)))</f>
        <v/>
      </c>
      <c r="L2362" s="63">
        <f>IF(OR(H2362="",K2362=0),"—",IF(ISNUMBER(MATCH(H2362,'Zgłoszenia'!$S$5:$S$504,0)),RIGHT("0"&amp;DAY(A2362),2)&amp;"."&amp;RIGHT("0"&amp;MONTH(A2362),2)&amp;"."&amp;YEAR(A2362)&amp;": "&amp;INDEX('Zgłoszenia'!$H$5:$H$504,MATCH(H2362,'Zgłoszenia'!$S$5:$S$504,0)),RIGHT("0"&amp;DAY((A2362+1)),2)&amp;"."&amp;RIGHT("0"&amp;MONTH((A2362+1)),2)&amp;"."&amp;YEAR((A2362+1))&amp;": "&amp;INDEX('Zgłoszenia'!$H$5:$H$504,MATCH(F2362&amp;"|"&amp;(A2362+1),'Zgłoszenia'!$S$5:$S$504,0)))&amp;IF(K2362&gt;1," (+"&amp;(K2362-1)&amp;")",""))</f>
        <v/>
      </c>
      <c r="M2362" s="63" t="n">
        <v>30</v>
      </c>
      <c r="N2362" s="2" t="n"/>
      <c r="O2362" s="2" t="n"/>
    </row>
    <row r="2363">
      <c r="A2363" s="62">
        <f>IF('30'!$C$1="","",'30'!$C$1)</f>
        <v/>
      </c>
      <c r="B2363" s="63">
        <f>Ustawienia!$A$8&amp;""</f>
        <v/>
      </c>
      <c r="C2363" s="63">
        <f>Ustawienia!$A$15&amp;""</f>
        <v/>
      </c>
      <c r="D2363" s="63" t="n">
        <v>7</v>
      </c>
      <c r="E2363" s="63">
        <f>IF('30'!B19="","",TRIM('30'!B19&amp;""))</f>
        <v/>
      </c>
      <c r="F2363" s="63">
        <f>IF('30'!C19="","",'30'!C19)</f>
        <v/>
      </c>
      <c r="G2363" s="63">
        <f>'30'!D19&amp;""</f>
        <v/>
      </c>
      <c r="H2363" s="63">
        <f>IF(OR(A2363="",F2363=""),"",F2363&amp;"|"&amp;A2363)</f>
        <v/>
      </c>
      <c r="I2363" s="63">
        <f>IF(AND(H2363&lt;&gt;"",OR('Historia wózka'!$B$4="",F2363='Historia wózka'!$B$4),A2363&gt;='Historia wózka'!$B$5,A2363&lt;='Historia wózka'!$B$6),A2363+0.9+(5000-ROW())/10000000,0)</f>
        <v/>
      </c>
      <c r="J2363" s="63">
        <f>Ustawienia!$B$8&amp;""</f>
        <v/>
      </c>
      <c r="K2363" s="63">
        <f>IF(H2363="","",COUNTIFS('Zgłoszenia'!$B$5:$B$504,F2363,'Zgłoszenia'!$D$5:$D$504,"&gt;="&amp;A2363,'Zgłoszenia'!$D$5:$D$504,"&lt;="&amp;(A2363+1)))</f>
        <v/>
      </c>
      <c r="L2363" s="63">
        <f>IF(OR(H2363="",K2363=0),"—",IF(ISNUMBER(MATCH(H2363,'Zgłoszenia'!$S$5:$S$504,0)),RIGHT("0"&amp;DAY(A2363),2)&amp;"."&amp;RIGHT("0"&amp;MONTH(A2363),2)&amp;"."&amp;YEAR(A2363)&amp;": "&amp;INDEX('Zgłoszenia'!$H$5:$H$504,MATCH(H2363,'Zgłoszenia'!$S$5:$S$504,0)),RIGHT("0"&amp;DAY((A2363+1)),2)&amp;"."&amp;RIGHT("0"&amp;MONTH((A2363+1)),2)&amp;"."&amp;YEAR((A2363+1))&amp;": "&amp;INDEX('Zgłoszenia'!$H$5:$H$504,MATCH(F2363&amp;"|"&amp;(A2363+1),'Zgłoszenia'!$S$5:$S$504,0)))&amp;IF(K2363&gt;1," (+"&amp;(K2363-1)&amp;")",""))</f>
        <v/>
      </c>
      <c r="M2363" s="63" t="n">
        <v>30</v>
      </c>
      <c r="N2363" s="2" t="n"/>
      <c r="O2363" s="2" t="n"/>
    </row>
    <row r="2364">
      <c r="A2364" s="62">
        <f>IF('30'!$C$1="","",'30'!$C$1)</f>
        <v/>
      </c>
      <c r="B2364" s="63">
        <f>Ustawienia!$A$8&amp;""</f>
        <v/>
      </c>
      <c r="C2364" s="63">
        <f>Ustawienia!$A$15&amp;""</f>
        <v/>
      </c>
      <c r="D2364" s="63" t="n">
        <v>8</v>
      </c>
      <c r="E2364" s="63">
        <f>IF('30'!B20="","",TRIM('30'!B20&amp;""))</f>
        <v/>
      </c>
      <c r="F2364" s="63">
        <f>IF('30'!C20="","",'30'!C20)</f>
        <v/>
      </c>
      <c r="G2364" s="63">
        <f>'30'!D20&amp;""</f>
        <v/>
      </c>
      <c r="H2364" s="63">
        <f>IF(OR(A2364="",F2364=""),"",F2364&amp;"|"&amp;A2364)</f>
        <v/>
      </c>
      <c r="I2364" s="63">
        <f>IF(AND(H2364&lt;&gt;"",OR('Historia wózka'!$B$4="",F2364='Historia wózka'!$B$4),A2364&gt;='Historia wózka'!$B$5,A2364&lt;='Historia wózka'!$B$6),A2364+0.9+(5000-ROW())/10000000,0)</f>
        <v/>
      </c>
      <c r="J2364" s="63">
        <f>Ustawienia!$B$8&amp;""</f>
        <v/>
      </c>
      <c r="K2364" s="63">
        <f>IF(H2364="","",COUNTIFS('Zgłoszenia'!$B$5:$B$504,F2364,'Zgłoszenia'!$D$5:$D$504,"&gt;="&amp;A2364,'Zgłoszenia'!$D$5:$D$504,"&lt;="&amp;(A2364+1)))</f>
        <v/>
      </c>
      <c r="L2364" s="63">
        <f>IF(OR(H2364="",K2364=0),"—",IF(ISNUMBER(MATCH(H2364,'Zgłoszenia'!$S$5:$S$504,0)),RIGHT("0"&amp;DAY(A2364),2)&amp;"."&amp;RIGHT("0"&amp;MONTH(A2364),2)&amp;"."&amp;YEAR(A2364)&amp;": "&amp;INDEX('Zgłoszenia'!$H$5:$H$504,MATCH(H2364,'Zgłoszenia'!$S$5:$S$504,0)),RIGHT("0"&amp;DAY((A2364+1)),2)&amp;"."&amp;RIGHT("0"&amp;MONTH((A2364+1)),2)&amp;"."&amp;YEAR((A2364+1))&amp;": "&amp;INDEX('Zgłoszenia'!$H$5:$H$504,MATCH(F2364&amp;"|"&amp;(A2364+1),'Zgłoszenia'!$S$5:$S$504,0)))&amp;IF(K2364&gt;1," (+"&amp;(K2364-1)&amp;")",""))</f>
        <v/>
      </c>
      <c r="M2364" s="63" t="n">
        <v>30</v>
      </c>
      <c r="N2364" s="2" t="n"/>
      <c r="O2364" s="2" t="n"/>
    </row>
    <row r="2365">
      <c r="A2365" s="62">
        <f>IF('30'!$C$1="","",'30'!$C$1)</f>
        <v/>
      </c>
      <c r="B2365" s="63">
        <f>Ustawienia!$A$8&amp;""</f>
        <v/>
      </c>
      <c r="C2365" s="63">
        <f>Ustawienia!$A$16&amp;""</f>
        <v/>
      </c>
      <c r="D2365" s="63" t="n">
        <v>1</v>
      </c>
      <c r="E2365" s="63">
        <f>IF('30'!B22="","",TRIM('30'!B22&amp;""))</f>
        <v/>
      </c>
      <c r="F2365" s="63">
        <f>IF('30'!C22="","",'30'!C22)</f>
        <v/>
      </c>
      <c r="G2365" s="63">
        <f>'30'!D22&amp;""</f>
        <v/>
      </c>
      <c r="H2365" s="63">
        <f>IF(OR(A2365="",F2365=""),"",F2365&amp;"|"&amp;A2365)</f>
        <v/>
      </c>
      <c r="I2365" s="63">
        <f>IF(AND(H2365&lt;&gt;"",OR('Historia wózka'!$B$4="",F2365='Historia wózka'!$B$4),A2365&gt;='Historia wózka'!$B$5,A2365&lt;='Historia wózka'!$B$6),A2365+0.9+(5000-ROW())/10000000,0)</f>
        <v/>
      </c>
      <c r="J2365" s="63">
        <f>Ustawienia!$B$8&amp;""</f>
        <v/>
      </c>
      <c r="K2365" s="63">
        <f>IF(H2365="","",COUNTIFS('Zgłoszenia'!$B$5:$B$504,F2365,'Zgłoszenia'!$D$5:$D$504,"&gt;="&amp;A2365,'Zgłoszenia'!$D$5:$D$504,"&lt;="&amp;(A2365+1)))</f>
        <v/>
      </c>
      <c r="L2365" s="63">
        <f>IF(OR(H2365="",K2365=0),"—",IF(ISNUMBER(MATCH(H2365,'Zgłoszenia'!$S$5:$S$504,0)),RIGHT("0"&amp;DAY(A2365),2)&amp;"."&amp;RIGHT("0"&amp;MONTH(A2365),2)&amp;"."&amp;YEAR(A2365)&amp;": "&amp;INDEX('Zgłoszenia'!$H$5:$H$504,MATCH(H2365,'Zgłoszenia'!$S$5:$S$504,0)),RIGHT("0"&amp;DAY((A2365+1)),2)&amp;"."&amp;RIGHT("0"&amp;MONTH((A2365+1)),2)&amp;"."&amp;YEAR((A2365+1))&amp;": "&amp;INDEX('Zgłoszenia'!$H$5:$H$504,MATCH(F2365&amp;"|"&amp;(A2365+1),'Zgłoszenia'!$S$5:$S$504,0)))&amp;IF(K2365&gt;1," (+"&amp;(K2365-1)&amp;")",""))</f>
        <v/>
      </c>
      <c r="M2365" s="63" t="n">
        <v>30</v>
      </c>
      <c r="N2365" s="2" t="n"/>
      <c r="O2365" s="2" t="n"/>
    </row>
    <row r="2366">
      <c r="A2366" s="62">
        <f>IF('30'!$C$1="","",'30'!$C$1)</f>
        <v/>
      </c>
      <c r="B2366" s="63">
        <f>Ustawienia!$A$8&amp;""</f>
        <v/>
      </c>
      <c r="C2366" s="63">
        <f>Ustawienia!$A$16&amp;""</f>
        <v/>
      </c>
      <c r="D2366" s="63" t="n">
        <v>2</v>
      </c>
      <c r="E2366" s="63">
        <f>IF('30'!B23="","",TRIM('30'!B23&amp;""))</f>
        <v/>
      </c>
      <c r="F2366" s="63">
        <f>IF('30'!C23="","",'30'!C23)</f>
        <v/>
      </c>
      <c r="G2366" s="63">
        <f>'30'!D23&amp;""</f>
        <v/>
      </c>
      <c r="H2366" s="63">
        <f>IF(OR(A2366="",F2366=""),"",F2366&amp;"|"&amp;A2366)</f>
        <v/>
      </c>
      <c r="I2366" s="63">
        <f>IF(AND(H2366&lt;&gt;"",OR('Historia wózka'!$B$4="",F2366='Historia wózka'!$B$4),A2366&gt;='Historia wózka'!$B$5,A2366&lt;='Historia wózka'!$B$6),A2366+0.9+(5000-ROW())/10000000,0)</f>
        <v/>
      </c>
      <c r="J2366" s="63">
        <f>Ustawienia!$B$8&amp;""</f>
        <v/>
      </c>
      <c r="K2366" s="63">
        <f>IF(H2366="","",COUNTIFS('Zgłoszenia'!$B$5:$B$504,F2366,'Zgłoszenia'!$D$5:$D$504,"&gt;="&amp;A2366,'Zgłoszenia'!$D$5:$D$504,"&lt;="&amp;(A2366+1)))</f>
        <v/>
      </c>
      <c r="L2366" s="63">
        <f>IF(OR(H2366="",K2366=0),"—",IF(ISNUMBER(MATCH(H2366,'Zgłoszenia'!$S$5:$S$504,0)),RIGHT("0"&amp;DAY(A2366),2)&amp;"."&amp;RIGHT("0"&amp;MONTH(A2366),2)&amp;"."&amp;YEAR(A2366)&amp;": "&amp;INDEX('Zgłoszenia'!$H$5:$H$504,MATCH(H2366,'Zgłoszenia'!$S$5:$S$504,0)),RIGHT("0"&amp;DAY((A2366+1)),2)&amp;"."&amp;RIGHT("0"&amp;MONTH((A2366+1)),2)&amp;"."&amp;YEAR((A2366+1))&amp;": "&amp;INDEX('Zgłoszenia'!$H$5:$H$504,MATCH(F2366&amp;"|"&amp;(A2366+1),'Zgłoszenia'!$S$5:$S$504,0)))&amp;IF(K2366&gt;1," (+"&amp;(K2366-1)&amp;")",""))</f>
        <v/>
      </c>
      <c r="M2366" s="63" t="n">
        <v>30</v>
      </c>
      <c r="N2366" s="2" t="n"/>
      <c r="O2366" s="2" t="n"/>
    </row>
    <row r="2367">
      <c r="A2367" s="62">
        <f>IF('30'!$C$1="","",'30'!$C$1)</f>
        <v/>
      </c>
      <c r="B2367" s="63">
        <f>Ustawienia!$A$8&amp;""</f>
        <v/>
      </c>
      <c r="C2367" s="63">
        <f>Ustawienia!$A$16&amp;""</f>
        <v/>
      </c>
      <c r="D2367" s="63" t="n">
        <v>3</v>
      </c>
      <c r="E2367" s="63">
        <f>IF('30'!B24="","",TRIM('30'!B24&amp;""))</f>
        <v/>
      </c>
      <c r="F2367" s="63">
        <f>IF('30'!C24="","",'30'!C24)</f>
        <v/>
      </c>
      <c r="G2367" s="63">
        <f>'30'!D24&amp;""</f>
        <v/>
      </c>
      <c r="H2367" s="63">
        <f>IF(OR(A2367="",F2367=""),"",F2367&amp;"|"&amp;A2367)</f>
        <v/>
      </c>
      <c r="I2367" s="63">
        <f>IF(AND(H2367&lt;&gt;"",OR('Historia wózka'!$B$4="",F2367='Historia wózka'!$B$4),A2367&gt;='Historia wózka'!$B$5,A2367&lt;='Historia wózka'!$B$6),A2367+0.9+(5000-ROW())/10000000,0)</f>
        <v/>
      </c>
      <c r="J2367" s="63">
        <f>Ustawienia!$B$8&amp;""</f>
        <v/>
      </c>
      <c r="K2367" s="63">
        <f>IF(H2367="","",COUNTIFS('Zgłoszenia'!$B$5:$B$504,F2367,'Zgłoszenia'!$D$5:$D$504,"&gt;="&amp;A2367,'Zgłoszenia'!$D$5:$D$504,"&lt;="&amp;(A2367+1)))</f>
        <v/>
      </c>
      <c r="L2367" s="63">
        <f>IF(OR(H2367="",K2367=0),"—",IF(ISNUMBER(MATCH(H2367,'Zgłoszenia'!$S$5:$S$504,0)),RIGHT("0"&amp;DAY(A2367),2)&amp;"."&amp;RIGHT("0"&amp;MONTH(A2367),2)&amp;"."&amp;YEAR(A2367)&amp;": "&amp;INDEX('Zgłoszenia'!$H$5:$H$504,MATCH(H2367,'Zgłoszenia'!$S$5:$S$504,0)),RIGHT("0"&amp;DAY((A2367+1)),2)&amp;"."&amp;RIGHT("0"&amp;MONTH((A2367+1)),2)&amp;"."&amp;YEAR((A2367+1))&amp;": "&amp;INDEX('Zgłoszenia'!$H$5:$H$504,MATCH(F2367&amp;"|"&amp;(A2367+1),'Zgłoszenia'!$S$5:$S$504,0)))&amp;IF(K2367&gt;1," (+"&amp;(K2367-1)&amp;")",""))</f>
        <v/>
      </c>
      <c r="M2367" s="63" t="n">
        <v>30</v>
      </c>
      <c r="N2367" s="2" t="n"/>
      <c r="O2367" s="2" t="n"/>
    </row>
    <row r="2368">
      <c r="A2368" s="62">
        <f>IF('30'!$C$1="","",'30'!$C$1)</f>
        <v/>
      </c>
      <c r="B2368" s="63">
        <f>Ustawienia!$A$8&amp;""</f>
        <v/>
      </c>
      <c r="C2368" s="63">
        <f>Ustawienia!$A$16&amp;""</f>
        <v/>
      </c>
      <c r="D2368" s="63" t="n">
        <v>4</v>
      </c>
      <c r="E2368" s="63">
        <f>IF('30'!B25="","",TRIM('30'!B25&amp;""))</f>
        <v/>
      </c>
      <c r="F2368" s="63">
        <f>IF('30'!C25="","",'30'!C25)</f>
        <v/>
      </c>
      <c r="G2368" s="63">
        <f>'30'!D25&amp;""</f>
        <v/>
      </c>
      <c r="H2368" s="63">
        <f>IF(OR(A2368="",F2368=""),"",F2368&amp;"|"&amp;A2368)</f>
        <v/>
      </c>
      <c r="I2368" s="63">
        <f>IF(AND(H2368&lt;&gt;"",OR('Historia wózka'!$B$4="",F2368='Historia wózka'!$B$4),A2368&gt;='Historia wózka'!$B$5,A2368&lt;='Historia wózka'!$B$6),A2368+0.9+(5000-ROW())/10000000,0)</f>
        <v/>
      </c>
      <c r="J2368" s="63">
        <f>Ustawienia!$B$8&amp;""</f>
        <v/>
      </c>
      <c r="K2368" s="63">
        <f>IF(H2368="","",COUNTIFS('Zgłoszenia'!$B$5:$B$504,F2368,'Zgłoszenia'!$D$5:$D$504,"&gt;="&amp;A2368,'Zgłoszenia'!$D$5:$D$504,"&lt;="&amp;(A2368+1)))</f>
        <v/>
      </c>
      <c r="L2368" s="63">
        <f>IF(OR(H2368="",K2368=0),"—",IF(ISNUMBER(MATCH(H2368,'Zgłoszenia'!$S$5:$S$504,0)),RIGHT("0"&amp;DAY(A2368),2)&amp;"."&amp;RIGHT("0"&amp;MONTH(A2368),2)&amp;"."&amp;YEAR(A2368)&amp;": "&amp;INDEX('Zgłoszenia'!$H$5:$H$504,MATCH(H2368,'Zgłoszenia'!$S$5:$S$504,0)),RIGHT("0"&amp;DAY((A2368+1)),2)&amp;"."&amp;RIGHT("0"&amp;MONTH((A2368+1)),2)&amp;"."&amp;YEAR((A2368+1))&amp;": "&amp;INDEX('Zgłoszenia'!$H$5:$H$504,MATCH(F2368&amp;"|"&amp;(A2368+1),'Zgłoszenia'!$S$5:$S$504,0)))&amp;IF(K2368&gt;1," (+"&amp;(K2368-1)&amp;")",""))</f>
        <v/>
      </c>
      <c r="M2368" s="63" t="n">
        <v>30</v>
      </c>
      <c r="N2368" s="2" t="n"/>
      <c r="O2368" s="2" t="n"/>
    </row>
    <row r="2369">
      <c r="A2369" s="62">
        <f>IF('30'!$C$1="","",'30'!$C$1)</f>
        <v/>
      </c>
      <c r="B2369" s="63">
        <f>Ustawienia!$A$8&amp;""</f>
        <v/>
      </c>
      <c r="C2369" s="63">
        <f>Ustawienia!$A$17&amp;""</f>
        <v/>
      </c>
      <c r="D2369" s="63" t="n">
        <v>1</v>
      </c>
      <c r="E2369" s="63">
        <f>IF('30'!B27="","",TRIM('30'!B27&amp;""))</f>
        <v/>
      </c>
      <c r="F2369" s="63">
        <f>IF('30'!C27="","",'30'!C27)</f>
        <v/>
      </c>
      <c r="G2369" s="63">
        <f>'30'!D27&amp;""</f>
        <v/>
      </c>
      <c r="H2369" s="63">
        <f>IF(OR(A2369="",F2369=""),"",F2369&amp;"|"&amp;A2369)</f>
        <v/>
      </c>
      <c r="I2369" s="63">
        <f>IF(AND(H2369&lt;&gt;"",OR('Historia wózka'!$B$4="",F2369='Historia wózka'!$B$4),A2369&gt;='Historia wózka'!$B$5,A2369&lt;='Historia wózka'!$B$6),A2369+0.9+(5000-ROW())/10000000,0)</f>
        <v/>
      </c>
      <c r="J2369" s="63">
        <f>Ustawienia!$B$8&amp;""</f>
        <v/>
      </c>
      <c r="K2369" s="63">
        <f>IF(H2369="","",COUNTIFS('Zgłoszenia'!$B$5:$B$504,F2369,'Zgłoszenia'!$D$5:$D$504,"&gt;="&amp;A2369,'Zgłoszenia'!$D$5:$D$504,"&lt;="&amp;(A2369+1)))</f>
        <v/>
      </c>
      <c r="L2369" s="63">
        <f>IF(OR(H2369="",K2369=0),"—",IF(ISNUMBER(MATCH(H2369,'Zgłoszenia'!$S$5:$S$504,0)),RIGHT("0"&amp;DAY(A2369),2)&amp;"."&amp;RIGHT("0"&amp;MONTH(A2369),2)&amp;"."&amp;YEAR(A2369)&amp;": "&amp;INDEX('Zgłoszenia'!$H$5:$H$504,MATCH(H2369,'Zgłoszenia'!$S$5:$S$504,0)),RIGHT("0"&amp;DAY((A2369+1)),2)&amp;"."&amp;RIGHT("0"&amp;MONTH((A2369+1)),2)&amp;"."&amp;YEAR((A2369+1))&amp;": "&amp;INDEX('Zgłoszenia'!$H$5:$H$504,MATCH(F2369&amp;"|"&amp;(A2369+1),'Zgłoszenia'!$S$5:$S$504,0)))&amp;IF(K2369&gt;1," (+"&amp;(K2369-1)&amp;")",""))</f>
        <v/>
      </c>
      <c r="M2369" s="63" t="n">
        <v>30</v>
      </c>
      <c r="N2369" s="2" t="n"/>
      <c r="O2369" s="2" t="n"/>
    </row>
    <row r="2370">
      <c r="A2370" s="62">
        <f>IF('30'!$C$1="","",'30'!$C$1)</f>
        <v/>
      </c>
      <c r="B2370" s="63">
        <f>Ustawienia!$A$8&amp;""</f>
        <v/>
      </c>
      <c r="C2370" s="63">
        <f>Ustawienia!$A$17&amp;""</f>
        <v/>
      </c>
      <c r="D2370" s="63" t="n">
        <v>2</v>
      </c>
      <c r="E2370" s="63">
        <f>IF('30'!B28="","",TRIM('30'!B28&amp;""))</f>
        <v/>
      </c>
      <c r="F2370" s="63">
        <f>IF('30'!C28="","",'30'!C28)</f>
        <v/>
      </c>
      <c r="G2370" s="63">
        <f>'30'!D28&amp;""</f>
        <v/>
      </c>
      <c r="H2370" s="63">
        <f>IF(OR(A2370="",F2370=""),"",F2370&amp;"|"&amp;A2370)</f>
        <v/>
      </c>
      <c r="I2370" s="63">
        <f>IF(AND(H2370&lt;&gt;"",OR('Historia wózka'!$B$4="",F2370='Historia wózka'!$B$4),A2370&gt;='Historia wózka'!$B$5,A2370&lt;='Historia wózka'!$B$6),A2370+0.9+(5000-ROW())/10000000,0)</f>
        <v/>
      </c>
      <c r="J2370" s="63">
        <f>Ustawienia!$B$8&amp;""</f>
        <v/>
      </c>
      <c r="K2370" s="63">
        <f>IF(H2370="","",COUNTIFS('Zgłoszenia'!$B$5:$B$504,F2370,'Zgłoszenia'!$D$5:$D$504,"&gt;="&amp;A2370,'Zgłoszenia'!$D$5:$D$504,"&lt;="&amp;(A2370+1)))</f>
        <v/>
      </c>
      <c r="L2370" s="63">
        <f>IF(OR(H2370="",K2370=0),"—",IF(ISNUMBER(MATCH(H2370,'Zgłoszenia'!$S$5:$S$504,0)),RIGHT("0"&amp;DAY(A2370),2)&amp;"."&amp;RIGHT("0"&amp;MONTH(A2370),2)&amp;"."&amp;YEAR(A2370)&amp;": "&amp;INDEX('Zgłoszenia'!$H$5:$H$504,MATCH(H2370,'Zgłoszenia'!$S$5:$S$504,0)),RIGHT("0"&amp;DAY((A2370+1)),2)&amp;"."&amp;RIGHT("0"&amp;MONTH((A2370+1)),2)&amp;"."&amp;YEAR((A2370+1))&amp;": "&amp;INDEX('Zgłoszenia'!$H$5:$H$504,MATCH(F2370&amp;"|"&amp;(A2370+1),'Zgłoszenia'!$S$5:$S$504,0)))&amp;IF(K2370&gt;1," (+"&amp;(K2370-1)&amp;")",""))</f>
        <v/>
      </c>
      <c r="M2370" s="63" t="n">
        <v>30</v>
      </c>
      <c r="N2370" s="2" t="n"/>
      <c r="O2370" s="2" t="n"/>
    </row>
    <row r="2371">
      <c r="A2371" s="62">
        <f>IF('30'!$C$1="","",'30'!$C$1)</f>
        <v/>
      </c>
      <c r="B2371" s="63">
        <f>Ustawienia!$A$8&amp;""</f>
        <v/>
      </c>
      <c r="C2371" s="63">
        <f>Ustawienia!$A$17&amp;""</f>
        <v/>
      </c>
      <c r="D2371" s="63" t="n">
        <v>3</v>
      </c>
      <c r="E2371" s="63">
        <f>IF('30'!B29="","",TRIM('30'!B29&amp;""))</f>
        <v/>
      </c>
      <c r="F2371" s="63">
        <f>IF('30'!C29="","",'30'!C29)</f>
        <v/>
      </c>
      <c r="G2371" s="63">
        <f>'30'!D29&amp;""</f>
        <v/>
      </c>
      <c r="H2371" s="63">
        <f>IF(OR(A2371="",F2371=""),"",F2371&amp;"|"&amp;A2371)</f>
        <v/>
      </c>
      <c r="I2371" s="63">
        <f>IF(AND(H2371&lt;&gt;"",OR('Historia wózka'!$B$4="",F2371='Historia wózka'!$B$4),A2371&gt;='Historia wózka'!$B$5,A2371&lt;='Historia wózka'!$B$6),A2371+0.9+(5000-ROW())/10000000,0)</f>
        <v/>
      </c>
      <c r="J2371" s="63">
        <f>Ustawienia!$B$8&amp;""</f>
        <v/>
      </c>
      <c r="K2371" s="63">
        <f>IF(H2371="","",COUNTIFS('Zgłoszenia'!$B$5:$B$504,F2371,'Zgłoszenia'!$D$5:$D$504,"&gt;="&amp;A2371,'Zgłoszenia'!$D$5:$D$504,"&lt;="&amp;(A2371+1)))</f>
        <v/>
      </c>
      <c r="L2371" s="63">
        <f>IF(OR(H2371="",K2371=0),"—",IF(ISNUMBER(MATCH(H2371,'Zgłoszenia'!$S$5:$S$504,0)),RIGHT("0"&amp;DAY(A2371),2)&amp;"."&amp;RIGHT("0"&amp;MONTH(A2371),2)&amp;"."&amp;YEAR(A2371)&amp;": "&amp;INDEX('Zgłoszenia'!$H$5:$H$504,MATCH(H2371,'Zgłoszenia'!$S$5:$S$504,0)),RIGHT("0"&amp;DAY((A2371+1)),2)&amp;"."&amp;RIGHT("0"&amp;MONTH((A2371+1)),2)&amp;"."&amp;YEAR((A2371+1))&amp;": "&amp;INDEX('Zgłoszenia'!$H$5:$H$504,MATCH(F2371&amp;"|"&amp;(A2371+1),'Zgłoszenia'!$S$5:$S$504,0)))&amp;IF(K2371&gt;1," (+"&amp;(K2371-1)&amp;")",""))</f>
        <v/>
      </c>
      <c r="M2371" s="63" t="n">
        <v>30</v>
      </c>
      <c r="N2371" s="2" t="n"/>
      <c r="O2371" s="2" t="n"/>
    </row>
    <row r="2372">
      <c r="A2372" s="62">
        <f>IF('30'!$C$1="","",'30'!$C$1)</f>
        <v/>
      </c>
      <c r="B2372" s="63">
        <f>Ustawienia!$A$8&amp;""</f>
        <v/>
      </c>
      <c r="C2372" s="63">
        <f>Ustawienia!$A$17&amp;""</f>
        <v/>
      </c>
      <c r="D2372" s="63" t="n">
        <v>4</v>
      </c>
      <c r="E2372" s="63">
        <f>IF('30'!B30="","",TRIM('30'!B30&amp;""))</f>
        <v/>
      </c>
      <c r="F2372" s="63">
        <f>IF('30'!C30="","",'30'!C30)</f>
        <v/>
      </c>
      <c r="G2372" s="63">
        <f>'30'!D30&amp;""</f>
        <v/>
      </c>
      <c r="H2372" s="63">
        <f>IF(OR(A2372="",F2372=""),"",F2372&amp;"|"&amp;A2372)</f>
        <v/>
      </c>
      <c r="I2372" s="63">
        <f>IF(AND(H2372&lt;&gt;"",OR('Historia wózka'!$B$4="",F2372='Historia wózka'!$B$4),A2372&gt;='Historia wózka'!$B$5,A2372&lt;='Historia wózka'!$B$6),A2372+0.9+(5000-ROW())/10000000,0)</f>
        <v/>
      </c>
      <c r="J2372" s="63">
        <f>Ustawienia!$B$8&amp;""</f>
        <v/>
      </c>
      <c r="K2372" s="63">
        <f>IF(H2372="","",COUNTIFS('Zgłoszenia'!$B$5:$B$504,F2372,'Zgłoszenia'!$D$5:$D$504,"&gt;="&amp;A2372,'Zgłoszenia'!$D$5:$D$504,"&lt;="&amp;(A2372+1)))</f>
        <v/>
      </c>
      <c r="L2372" s="63">
        <f>IF(OR(H2372="",K2372=0),"—",IF(ISNUMBER(MATCH(H2372,'Zgłoszenia'!$S$5:$S$504,0)),RIGHT("0"&amp;DAY(A2372),2)&amp;"."&amp;RIGHT("0"&amp;MONTH(A2372),2)&amp;"."&amp;YEAR(A2372)&amp;": "&amp;INDEX('Zgłoszenia'!$H$5:$H$504,MATCH(H2372,'Zgłoszenia'!$S$5:$S$504,0)),RIGHT("0"&amp;DAY((A2372+1)),2)&amp;"."&amp;RIGHT("0"&amp;MONTH((A2372+1)),2)&amp;"."&amp;YEAR((A2372+1))&amp;": "&amp;INDEX('Zgłoszenia'!$H$5:$H$504,MATCH(F2372&amp;"|"&amp;(A2372+1),'Zgłoszenia'!$S$5:$S$504,0)))&amp;IF(K2372&gt;1," (+"&amp;(K2372-1)&amp;")",""))</f>
        <v/>
      </c>
      <c r="M2372" s="63" t="n">
        <v>30</v>
      </c>
      <c r="N2372" s="2" t="n"/>
      <c r="O2372" s="2" t="n"/>
    </row>
    <row r="2373">
      <c r="A2373" s="62">
        <f>IF('30'!$C$1="","",'30'!$C$1)</f>
        <v/>
      </c>
      <c r="B2373" s="63">
        <f>Ustawienia!$A$8&amp;""</f>
        <v/>
      </c>
      <c r="C2373" s="63">
        <f>Ustawienia!$A$18&amp;""</f>
        <v/>
      </c>
      <c r="D2373" s="63" t="n">
        <v>1</v>
      </c>
      <c r="E2373" s="63">
        <f>IF('30'!B32="","",TRIM('30'!B32&amp;""))</f>
        <v/>
      </c>
      <c r="F2373" s="63">
        <f>IF('30'!C32="","",'30'!C32)</f>
        <v/>
      </c>
      <c r="G2373" s="63">
        <f>'30'!D32&amp;""</f>
        <v/>
      </c>
      <c r="H2373" s="63">
        <f>IF(OR(A2373="",F2373=""),"",F2373&amp;"|"&amp;A2373)</f>
        <v/>
      </c>
      <c r="I2373" s="63">
        <f>IF(AND(H2373&lt;&gt;"",OR('Historia wózka'!$B$4="",F2373='Historia wózka'!$B$4),A2373&gt;='Historia wózka'!$B$5,A2373&lt;='Historia wózka'!$B$6),A2373+0.9+(5000-ROW())/10000000,0)</f>
        <v/>
      </c>
      <c r="J2373" s="63">
        <f>Ustawienia!$B$8&amp;""</f>
        <v/>
      </c>
      <c r="K2373" s="63">
        <f>IF(H2373="","",COUNTIFS('Zgłoszenia'!$B$5:$B$504,F2373,'Zgłoszenia'!$D$5:$D$504,"&gt;="&amp;A2373,'Zgłoszenia'!$D$5:$D$504,"&lt;="&amp;(A2373+1)))</f>
        <v/>
      </c>
      <c r="L2373" s="63">
        <f>IF(OR(H2373="",K2373=0),"—",IF(ISNUMBER(MATCH(H2373,'Zgłoszenia'!$S$5:$S$504,0)),RIGHT("0"&amp;DAY(A2373),2)&amp;"."&amp;RIGHT("0"&amp;MONTH(A2373),2)&amp;"."&amp;YEAR(A2373)&amp;": "&amp;INDEX('Zgłoszenia'!$H$5:$H$504,MATCH(H2373,'Zgłoszenia'!$S$5:$S$504,0)),RIGHT("0"&amp;DAY((A2373+1)),2)&amp;"."&amp;RIGHT("0"&amp;MONTH((A2373+1)),2)&amp;"."&amp;YEAR((A2373+1))&amp;": "&amp;INDEX('Zgłoszenia'!$H$5:$H$504,MATCH(F2373&amp;"|"&amp;(A2373+1),'Zgłoszenia'!$S$5:$S$504,0)))&amp;IF(K2373&gt;1," (+"&amp;(K2373-1)&amp;")",""))</f>
        <v/>
      </c>
      <c r="M2373" s="63" t="n">
        <v>30</v>
      </c>
      <c r="N2373" s="2" t="n"/>
      <c r="O2373" s="2" t="n"/>
    </row>
    <row r="2374">
      <c r="A2374" s="62">
        <f>IF('30'!$C$1="","",'30'!$C$1)</f>
        <v/>
      </c>
      <c r="B2374" s="63">
        <f>Ustawienia!$A$8&amp;""</f>
        <v/>
      </c>
      <c r="C2374" s="63">
        <f>Ustawienia!$A$18&amp;""</f>
        <v/>
      </c>
      <c r="D2374" s="63" t="n">
        <v>2</v>
      </c>
      <c r="E2374" s="63">
        <f>IF('30'!B33="","",TRIM('30'!B33&amp;""))</f>
        <v/>
      </c>
      <c r="F2374" s="63">
        <f>IF('30'!C33="","",'30'!C33)</f>
        <v/>
      </c>
      <c r="G2374" s="63">
        <f>'30'!D33&amp;""</f>
        <v/>
      </c>
      <c r="H2374" s="63">
        <f>IF(OR(A2374="",F2374=""),"",F2374&amp;"|"&amp;A2374)</f>
        <v/>
      </c>
      <c r="I2374" s="63">
        <f>IF(AND(H2374&lt;&gt;"",OR('Historia wózka'!$B$4="",F2374='Historia wózka'!$B$4),A2374&gt;='Historia wózka'!$B$5,A2374&lt;='Historia wózka'!$B$6),A2374+0.9+(5000-ROW())/10000000,0)</f>
        <v/>
      </c>
      <c r="J2374" s="63">
        <f>Ustawienia!$B$8&amp;""</f>
        <v/>
      </c>
      <c r="K2374" s="63">
        <f>IF(H2374="","",COUNTIFS('Zgłoszenia'!$B$5:$B$504,F2374,'Zgłoszenia'!$D$5:$D$504,"&gt;="&amp;A2374,'Zgłoszenia'!$D$5:$D$504,"&lt;="&amp;(A2374+1)))</f>
        <v/>
      </c>
      <c r="L2374" s="63">
        <f>IF(OR(H2374="",K2374=0),"—",IF(ISNUMBER(MATCH(H2374,'Zgłoszenia'!$S$5:$S$504,0)),RIGHT("0"&amp;DAY(A2374),2)&amp;"."&amp;RIGHT("0"&amp;MONTH(A2374),2)&amp;"."&amp;YEAR(A2374)&amp;": "&amp;INDEX('Zgłoszenia'!$H$5:$H$504,MATCH(H2374,'Zgłoszenia'!$S$5:$S$504,0)),RIGHT("0"&amp;DAY((A2374+1)),2)&amp;"."&amp;RIGHT("0"&amp;MONTH((A2374+1)),2)&amp;"."&amp;YEAR((A2374+1))&amp;": "&amp;INDEX('Zgłoszenia'!$H$5:$H$504,MATCH(F2374&amp;"|"&amp;(A2374+1),'Zgłoszenia'!$S$5:$S$504,0)))&amp;IF(K2374&gt;1," (+"&amp;(K2374-1)&amp;")",""))</f>
        <v/>
      </c>
      <c r="M2374" s="63" t="n">
        <v>30</v>
      </c>
      <c r="N2374" s="2" t="n"/>
      <c r="O2374" s="2" t="n"/>
    </row>
    <row r="2375">
      <c r="A2375" s="62">
        <f>IF('30'!$C$1="","",'30'!$C$1)</f>
        <v/>
      </c>
      <c r="B2375" s="63">
        <f>Ustawienia!$A$8&amp;""</f>
        <v/>
      </c>
      <c r="C2375" s="63">
        <f>Ustawienia!$A$18&amp;""</f>
        <v/>
      </c>
      <c r="D2375" s="63" t="n">
        <v>3</v>
      </c>
      <c r="E2375" s="63">
        <f>IF('30'!B34="","",TRIM('30'!B34&amp;""))</f>
        <v/>
      </c>
      <c r="F2375" s="63">
        <f>IF('30'!C34="","",'30'!C34)</f>
        <v/>
      </c>
      <c r="G2375" s="63">
        <f>'30'!D34&amp;""</f>
        <v/>
      </c>
      <c r="H2375" s="63">
        <f>IF(OR(A2375="",F2375=""),"",F2375&amp;"|"&amp;A2375)</f>
        <v/>
      </c>
      <c r="I2375" s="63">
        <f>IF(AND(H2375&lt;&gt;"",OR('Historia wózka'!$B$4="",F2375='Historia wózka'!$B$4),A2375&gt;='Historia wózka'!$B$5,A2375&lt;='Historia wózka'!$B$6),A2375+0.9+(5000-ROW())/10000000,0)</f>
        <v/>
      </c>
      <c r="J2375" s="63">
        <f>Ustawienia!$B$8&amp;""</f>
        <v/>
      </c>
      <c r="K2375" s="63">
        <f>IF(H2375="","",COUNTIFS('Zgłoszenia'!$B$5:$B$504,F2375,'Zgłoszenia'!$D$5:$D$504,"&gt;="&amp;A2375,'Zgłoszenia'!$D$5:$D$504,"&lt;="&amp;(A2375+1)))</f>
        <v/>
      </c>
      <c r="L2375" s="63">
        <f>IF(OR(H2375="",K2375=0),"—",IF(ISNUMBER(MATCH(H2375,'Zgłoszenia'!$S$5:$S$504,0)),RIGHT("0"&amp;DAY(A2375),2)&amp;"."&amp;RIGHT("0"&amp;MONTH(A2375),2)&amp;"."&amp;YEAR(A2375)&amp;": "&amp;INDEX('Zgłoszenia'!$H$5:$H$504,MATCH(H2375,'Zgłoszenia'!$S$5:$S$504,0)),RIGHT("0"&amp;DAY((A2375+1)),2)&amp;"."&amp;RIGHT("0"&amp;MONTH((A2375+1)),2)&amp;"."&amp;YEAR((A2375+1))&amp;": "&amp;INDEX('Zgłoszenia'!$H$5:$H$504,MATCH(F2375&amp;"|"&amp;(A2375+1),'Zgłoszenia'!$S$5:$S$504,0)))&amp;IF(K2375&gt;1," (+"&amp;(K2375-1)&amp;")",""))</f>
        <v/>
      </c>
      <c r="M2375" s="63" t="n">
        <v>30</v>
      </c>
      <c r="N2375" s="2" t="n"/>
      <c r="O2375" s="2" t="n"/>
    </row>
    <row r="2376">
      <c r="A2376" s="62">
        <f>IF('30'!$C$1="","",'30'!$C$1)</f>
        <v/>
      </c>
      <c r="B2376" s="63">
        <f>Ustawienia!$A$8&amp;""</f>
        <v/>
      </c>
      <c r="C2376" s="63">
        <f>Ustawienia!$A$18&amp;""</f>
        <v/>
      </c>
      <c r="D2376" s="63" t="n">
        <v>4</v>
      </c>
      <c r="E2376" s="63">
        <f>IF('30'!B35="","",TRIM('30'!B35&amp;""))</f>
        <v/>
      </c>
      <c r="F2376" s="63">
        <f>IF('30'!C35="","",'30'!C35)</f>
        <v/>
      </c>
      <c r="G2376" s="63">
        <f>'30'!D35&amp;""</f>
        <v/>
      </c>
      <c r="H2376" s="63">
        <f>IF(OR(A2376="",F2376=""),"",F2376&amp;"|"&amp;A2376)</f>
        <v/>
      </c>
      <c r="I2376" s="63">
        <f>IF(AND(H2376&lt;&gt;"",OR('Historia wózka'!$B$4="",F2376='Historia wózka'!$B$4),A2376&gt;='Historia wózka'!$B$5,A2376&lt;='Historia wózka'!$B$6),A2376+0.9+(5000-ROW())/10000000,0)</f>
        <v/>
      </c>
      <c r="J2376" s="63">
        <f>Ustawienia!$B$8&amp;""</f>
        <v/>
      </c>
      <c r="K2376" s="63">
        <f>IF(H2376="","",COUNTIFS('Zgłoszenia'!$B$5:$B$504,F2376,'Zgłoszenia'!$D$5:$D$504,"&gt;="&amp;A2376,'Zgłoszenia'!$D$5:$D$504,"&lt;="&amp;(A2376+1)))</f>
        <v/>
      </c>
      <c r="L2376" s="63">
        <f>IF(OR(H2376="",K2376=0),"—",IF(ISNUMBER(MATCH(H2376,'Zgłoszenia'!$S$5:$S$504,0)),RIGHT("0"&amp;DAY(A2376),2)&amp;"."&amp;RIGHT("0"&amp;MONTH(A2376),2)&amp;"."&amp;YEAR(A2376)&amp;": "&amp;INDEX('Zgłoszenia'!$H$5:$H$504,MATCH(H2376,'Zgłoszenia'!$S$5:$S$504,0)),RIGHT("0"&amp;DAY((A2376+1)),2)&amp;"."&amp;RIGHT("0"&amp;MONTH((A2376+1)),2)&amp;"."&amp;YEAR((A2376+1))&amp;": "&amp;INDEX('Zgłoszenia'!$H$5:$H$504,MATCH(F2376&amp;"|"&amp;(A2376+1),'Zgłoszenia'!$S$5:$S$504,0)))&amp;IF(K2376&gt;1," (+"&amp;(K2376-1)&amp;")",""))</f>
        <v/>
      </c>
      <c r="M2376" s="63" t="n">
        <v>30</v>
      </c>
      <c r="N2376" s="2" t="n"/>
      <c r="O2376" s="2" t="n"/>
    </row>
    <row r="2377">
      <c r="A2377" s="62">
        <f>IF('30'!$C$1="","",'30'!$C$1)</f>
        <v/>
      </c>
      <c r="B2377" s="63">
        <f>Ustawienia!$A$8&amp;""</f>
        <v/>
      </c>
      <c r="C2377" s="63">
        <f>Ustawienia!$A$18&amp;""</f>
        <v/>
      </c>
      <c r="D2377" s="63" t="n">
        <v>5</v>
      </c>
      <c r="E2377" s="63">
        <f>IF('30'!B36="","",TRIM('30'!B36&amp;""))</f>
        <v/>
      </c>
      <c r="F2377" s="63">
        <f>IF('30'!C36="","",'30'!C36)</f>
        <v/>
      </c>
      <c r="G2377" s="63">
        <f>'30'!D36&amp;""</f>
        <v/>
      </c>
      <c r="H2377" s="63">
        <f>IF(OR(A2377="",F2377=""),"",F2377&amp;"|"&amp;A2377)</f>
        <v/>
      </c>
      <c r="I2377" s="63">
        <f>IF(AND(H2377&lt;&gt;"",OR('Historia wózka'!$B$4="",F2377='Historia wózka'!$B$4),A2377&gt;='Historia wózka'!$B$5,A2377&lt;='Historia wózka'!$B$6),A2377+0.9+(5000-ROW())/10000000,0)</f>
        <v/>
      </c>
      <c r="J2377" s="63">
        <f>Ustawienia!$B$8&amp;""</f>
        <v/>
      </c>
      <c r="K2377" s="63">
        <f>IF(H2377="","",COUNTIFS('Zgłoszenia'!$B$5:$B$504,F2377,'Zgłoszenia'!$D$5:$D$504,"&gt;="&amp;A2377,'Zgłoszenia'!$D$5:$D$504,"&lt;="&amp;(A2377+1)))</f>
        <v/>
      </c>
      <c r="L2377" s="63">
        <f>IF(OR(H2377="",K2377=0),"—",IF(ISNUMBER(MATCH(H2377,'Zgłoszenia'!$S$5:$S$504,0)),RIGHT("0"&amp;DAY(A2377),2)&amp;"."&amp;RIGHT("0"&amp;MONTH(A2377),2)&amp;"."&amp;YEAR(A2377)&amp;": "&amp;INDEX('Zgłoszenia'!$H$5:$H$504,MATCH(H2377,'Zgłoszenia'!$S$5:$S$504,0)),RIGHT("0"&amp;DAY((A2377+1)),2)&amp;"."&amp;RIGHT("0"&amp;MONTH((A2377+1)),2)&amp;"."&amp;YEAR((A2377+1))&amp;": "&amp;INDEX('Zgłoszenia'!$H$5:$H$504,MATCH(F2377&amp;"|"&amp;(A2377+1),'Zgłoszenia'!$S$5:$S$504,0)))&amp;IF(K2377&gt;1," (+"&amp;(K2377-1)&amp;")",""))</f>
        <v/>
      </c>
      <c r="M2377" s="63" t="n">
        <v>30</v>
      </c>
      <c r="N2377" s="2" t="n"/>
      <c r="O2377" s="2" t="n"/>
    </row>
    <row r="2378">
      <c r="A2378" s="62">
        <f>IF('30'!$C$1="","",'30'!$C$1)</f>
        <v/>
      </c>
      <c r="B2378" s="63">
        <f>Ustawienia!$A$9&amp;""</f>
        <v/>
      </c>
      <c r="C2378" s="63">
        <f>Ustawienia!$A$14&amp;""</f>
        <v/>
      </c>
      <c r="D2378" s="63" t="n">
        <v>1</v>
      </c>
      <c r="E2378" s="63">
        <f>IF('30'!F6="","",TRIM('30'!F6&amp;""))</f>
        <v/>
      </c>
      <c r="F2378" s="63">
        <f>IF('30'!G6="","",'30'!G6)</f>
        <v/>
      </c>
      <c r="G2378" s="63">
        <f>'30'!H6&amp;""</f>
        <v/>
      </c>
      <c r="H2378" s="63">
        <f>IF(OR(A2378="",F2378=""),"",F2378&amp;"|"&amp;A2378)</f>
        <v/>
      </c>
      <c r="I2378" s="63">
        <f>IF(AND(H2378&lt;&gt;"",OR('Historia wózka'!$B$4="",F2378='Historia wózka'!$B$4),A2378&gt;='Historia wózka'!$B$5,A2378&lt;='Historia wózka'!$B$6),A2378+0.8+(5000-ROW())/10000000,0)</f>
        <v/>
      </c>
      <c r="J2378" s="63">
        <f>Ustawienia!$B$9&amp;""</f>
        <v/>
      </c>
      <c r="K2378" s="63">
        <f>IF(H2378="","",COUNTIFS('Zgłoszenia'!$B$5:$B$504,F2378,'Zgłoszenia'!$D$5:$D$504,"&gt;="&amp;A2378,'Zgłoszenia'!$D$5:$D$504,"&lt;="&amp;(A2378+1)))</f>
        <v/>
      </c>
      <c r="L2378" s="63">
        <f>IF(OR(H2378="",K2378=0),"—",IF(ISNUMBER(MATCH(H2378,'Zgłoszenia'!$S$5:$S$504,0)),RIGHT("0"&amp;DAY(A2378),2)&amp;"."&amp;RIGHT("0"&amp;MONTH(A2378),2)&amp;"."&amp;YEAR(A2378)&amp;": "&amp;INDEX('Zgłoszenia'!$H$5:$H$504,MATCH(H2378,'Zgłoszenia'!$S$5:$S$504,0)),RIGHT("0"&amp;DAY((A2378+1)),2)&amp;"."&amp;RIGHT("0"&amp;MONTH((A2378+1)),2)&amp;"."&amp;YEAR((A2378+1))&amp;": "&amp;INDEX('Zgłoszenia'!$H$5:$H$504,MATCH(F2378&amp;"|"&amp;(A2378+1),'Zgłoszenia'!$S$5:$S$504,0)))&amp;IF(K2378&gt;1," (+"&amp;(K2378-1)&amp;")",""))</f>
        <v/>
      </c>
      <c r="M2378" s="63" t="n">
        <v>30</v>
      </c>
      <c r="N2378" s="2" t="n"/>
      <c r="O2378" s="2" t="n"/>
    </row>
    <row r="2379">
      <c r="A2379" s="62">
        <f>IF('30'!$C$1="","",'30'!$C$1)</f>
        <v/>
      </c>
      <c r="B2379" s="63">
        <f>Ustawienia!$A$9&amp;""</f>
        <v/>
      </c>
      <c r="C2379" s="63">
        <f>Ustawienia!$A$14&amp;""</f>
        <v/>
      </c>
      <c r="D2379" s="63" t="n">
        <v>2</v>
      </c>
      <c r="E2379" s="63">
        <f>IF('30'!F7="","",TRIM('30'!F7&amp;""))</f>
        <v/>
      </c>
      <c r="F2379" s="63">
        <f>IF('30'!G7="","",'30'!G7)</f>
        <v/>
      </c>
      <c r="G2379" s="63">
        <f>'30'!H7&amp;""</f>
        <v/>
      </c>
      <c r="H2379" s="63">
        <f>IF(OR(A2379="",F2379=""),"",F2379&amp;"|"&amp;A2379)</f>
        <v/>
      </c>
      <c r="I2379" s="63">
        <f>IF(AND(H2379&lt;&gt;"",OR('Historia wózka'!$B$4="",F2379='Historia wózka'!$B$4),A2379&gt;='Historia wózka'!$B$5,A2379&lt;='Historia wózka'!$B$6),A2379+0.8+(5000-ROW())/10000000,0)</f>
        <v/>
      </c>
      <c r="J2379" s="63">
        <f>Ustawienia!$B$9&amp;""</f>
        <v/>
      </c>
      <c r="K2379" s="63">
        <f>IF(H2379="","",COUNTIFS('Zgłoszenia'!$B$5:$B$504,F2379,'Zgłoszenia'!$D$5:$D$504,"&gt;="&amp;A2379,'Zgłoszenia'!$D$5:$D$504,"&lt;="&amp;(A2379+1)))</f>
        <v/>
      </c>
      <c r="L2379" s="63">
        <f>IF(OR(H2379="",K2379=0),"—",IF(ISNUMBER(MATCH(H2379,'Zgłoszenia'!$S$5:$S$504,0)),RIGHT("0"&amp;DAY(A2379),2)&amp;"."&amp;RIGHT("0"&amp;MONTH(A2379),2)&amp;"."&amp;YEAR(A2379)&amp;": "&amp;INDEX('Zgłoszenia'!$H$5:$H$504,MATCH(H2379,'Zgłoszenia'!$S$5:$S$504,0)),RIGHT("0"&amp;DAY((A2379+1)),2)&amp;"."&amp;RIGHT("0"&amp;MONTH((A2379+1)),2)&amp;"."&amp;YEAR((A2379+1))&amp;": "&amp;INDEX('Zgłoszenia'!$H$5:$H$504,MATCH(F2379&amp;"|"&amp;(A2379+1),'Zgłoszenia'!$S$5:$S$504,0)))&amp;IF(K2379&gt;1," (+"&amp;(K2379-1)&amp;")",""))</f>
        <v/>
      </c>
      <c r="M2379" s="63" t="n">
        <v>30</v>
      </c>
      <c r="N2379" s="2" t="n"/>
      <c r="O2379" s="2" t="n"/>
    </row>
    <row r="2380">
      <c r="A2380" s="62">
        <f>IF('30'!$C$1="","",'30'!$C$1)</f>
        <v/>
      </c>
      <c r="B2380" s="63">
        <f>Ustawienia!$A$9&amp;""</f>
        <v/>
      </c>
      <c r="C2380" s="63">
        <f>Ustawienia!$A$14&amp;""</f>
        <v/>
      </c>
      <c r="D2380" s="63" t="n">
        <v>3</v>
      </c>
      <c r="E2380" s="63">
        <f>IF('30'!F8="","",TRIM('30'!F8&amp;""))</f>
        <v/>
      </c>
      <c r="F2380" s="63">
        <f>IF('30'!G8="","",'30'!G8)</f>
        <v/>
      </c>
      <c r="G2380" s="63">
        <f>'30'!H8&amp;""</f>
        <v/>
      </c>
      <c r="H2380" s="63">
        <f>IF(OR(A2380="",F2380=""),"",F2380&amp;"|"&amp;A2380)</f>
        <v/>
      </c>
      <c r="I2380" s="63">
        <f>IF(AND(H2380&lt;&gt;"",OR('Historia wózka'!$B$4="",F2380='Historia wózka'!$B$4),A2380&gt;='Historia wózka'!$B$5,A2380&lt;='Historia wózka'!$B$6),A2380+0.8+(5000-ROW())/10000000,0)</f>
        <v/>
      </c>
      <c r="J2380" s="63">
        <f>Ustawienia!$B$9&amp;""</f>
        <v/>
      </c>
      <c r="K2380" s="63">
        <f>IF(H2380="","",COUNTIFS('Zgłoszenia'!$B$5:$B$504,F2380,'Zgłoszenia'!$D$5:$D$504,"&gt;="&amp;A2380,'Zgłoszenia'!$D$5:$D$504,"&lt;="&amp;(A2380+1)))</f>
        <v/>
      </c>
      <c r="L2380" s="63">
        <f>IF(OR(H2380="",K2380=0),"—",IF(ISNUMBER(MATCH(H2380,'Zgłoszenia'!$S$5:$S$504,0)),RIGHT("0"&amp;DAY(A2380),2)&amp;"."&amp;RIGHT("0"&amp;MONTH(A2380),2)&amp;"."&amp;YEAR(A2380)&amp;": "&amp;INDEX('Zgłoszenia'!$H$5:$H$504,MATCH(H2380,'Zgłoszenia'!$S$5:$S$504,0)),RIGHT("0"&amp;DAY((A2380+1)),2)&amp;"."&amp;RIGHT("0"&amp;MONTH((A2380+1)),2)&amp;"."&amp;YEAR((A2380+1))&amp;": "&amp;INDEX('Zgłoszenia'!$H$5:$H$504,MATCH(F2380&amp;"|"&amp;(A2380+1),'Zgłoszenia'!$S$5:$S$504,0)))&amp;IF(K2380&gt;1," (+"&amp;(K2380-1)&amp;")",""))</f>
        <v/>
      </c>
      <c r="M2380" s="63" t="n">
        <v>30</v>
      </c>
      <c r="N2380" s="2" t="n"/>
      <c r="O2380" s="2" t="n"/>
    </row>
    <row r="2381">
      <c r="A2381" s="62">
        <f>IF('30'!$C$1="","",'30'!$C$1)</f>
        <v/>
      </c>
      <c r="B2381" s="63">
        <f>Ustawienia!$A$9&amp;""</f>
        <v/>
      </c>
      <c r="C2381" s="63">
        <f>Ustawienia!$A$14&amp;""</f>
        <v/>
      </c>
      <c r="D2381" s="63" t="n">
        <v>4</v>
      </c>
      <c r="E2381" s="63">
        <f>IF('30'!F9="","",TRIM('30'!F9&amp;""))</f>
        <v/>
      </c>
      <c r="F2381" s="63">
        <f>IF('30'!G9="","",'30'!G9)</f>
        <v/>
      </c>
      <c r="G2381" s="63">
        <f>'30'!H9&amp;""</f>
        <v/>
      </c>
      <c r="H2381" s="63">
        <f>IF(OR(A2381="",F2381=""),"",F2381&amp;"|"&amp;A2381)</f>
        <v/>
      </c>
      <c r="I2381" s="63">
        <f>IF(AND(H2381&lt;&gt;"",OR('Historia wózka'!$B$4="",F2381='Historia wózka'!$B$4),A2381&gt;='Historia wózka'!$B$5,A2381&lt;='Historia wózka'!$B$6),A2381+0.8+(5000-ROW())/10000000,0)</f>
        <v/>
      </c>
      <c r="J2381" s="63">
        <f>Ustawienia!$B$9&amp;""</f>
        <v/>
      </c>
      <c r="K2381" s="63">
        <f>IF(H2381="","",COUNTIFS('Zgłoszenia'!$B$5:$B$504,F2381,'Zgłoszenia'!$D$5:$D$504,"&gt;="&amp;A2381,'Zgłoszenia'!$D$5:$D$504,"&lt;="&amp;(A2381+1)))</f>
        <v/>
      </c>
      <c r="L2381" s="63">
        <f>IF(OR(H2381="",K2381=0),"—",IF(ISNUMBER(MATCH(H2381,'Zgłoszenia'!$S$5:$S$504,0)),RIGHT("0"&amp;DAY(A2381),2)&amp;"."&amp;RIGHT("0"&amp;MONTH(A2381),2)&amp;"."&amp;YEAR(A2381)&amp;": "&amp;INDEX('Zgłoszenia'!$H$5:$H$504,MATCH(H2381,'Zgłoszenia'!$S$5:$S$504,0)),RIGHT("0"&amp;DAY((A2381+1)),2)&amp;"."&amp;RIGHT("0"&amp;MONTH((A2381+1)),2)&amp;"."&amp;YEAR((A2381+1))&amp;": "&amp;INDEX('Zgłoszenia'!$H$5:$H$504,MATCH(F2381&amp;"|"&amp;(A2381+1),'Zgłoszenia'!$S$5:$S$504,0)))&amp;IF(K2381&gt;1," (+"&amp;(K2381-1)&amp;")",""))</f>
        <v/>
      </c>
      <c r="M2381" s="63" t="n">
        <v>30</v>
      </c>
      <c r="N2381" s="2" t="n"/>
      <c r="O2381" s="2" t="n"/>
    </row>
    <row r="2382">
      <c r="A2382" s="62">
        <f>IF('30'!$C$1="","",'30'!$C$1)</f>
        <v/>
      </c>
      <c r="B2382" s="63">
        <f>Ustawienia!$A$9&amp;""</f>
        <v/>
      </c>
      <c r="C2382" s="63">
        <f>Ustawienia!$A$14&amp;""</f>
        <v/>
      </c>
      <c r="D2382" s="63" t="n">
        <v>5</v>
      </c>
      <c r="E2382" s="63">
        <f>IF('30'!F10="","",TRIM('30'!F10&amp;""))</f>
        <v/>
      </c>
      <c r="F2382" s="63">
        <f>IF('30'!G10="","",'30'!G10)</f>
        <v/>
      </c>
      <c r="G2382" s="63">
        <f>'30'!H10&amp;""</f>
        <v/>
      </c>
      <c r="H2382" s="63">
        <f>IF(OR(A2382="",F2382=""),"",F2382&amp;"|"&amp;A2382)</f>
        <v/>
      </c>
      <c r="I2382" s="63">
        <f>IF(AND(H2382&lt;&gt;"",OR('Historia wózka'!$B$4="",F2382='Historia wózka'!$B$4),A2382&gt;='Historia wózka'!$B$5,A2382&lt;='Historia wózka'!$B$6),A2382+0.8+(5000-ROW())/10000000,0)</f>
        <v/>
      </c>
      <c r="J2382" s="63">
        <f>Ustawienia!$B$9&amp;""</f>
        <v/>
      </c>
      <c r="K2382" s="63">
        <f>IF(H2382="","",COUNTIFS('Zgłoszenia'!$B$5:$B$504,F2382,'Zgłoszenia'!$D$5:$D$504,"&gt;="&amp;A2382,'Zgłoszenia'!$D$5:$D$504,"&lt;="&amp;(A2382+1)))</f>
        <v/>
      </c>
      <c r="L2382" s="63">
        <f>IF(OR(H2382="",K2382=0),"—",IF(ISNUMBER(MATCH(H2382,'Zgłoszenia'!$S$5:$S$504,0)),RIGHT("0"&amp;DAY(A2382),2)&amp;"."&amp;RIGHT("0"&amp;MONTH(A2382),2)&amp;"."&amp;YEAR(A2382)&amp;": "&amp;INDEX('Zgłoszenia'!$H$5:$H$504,MATCH(H2382,'Zgłoszenia'!$S$5:$S$504,0)),RIGHT("0"&amp;DAY((A2382+1)),2)&amp;"."&amp;RIGHT("0"&amp;MONTH((A2382+1)),2)&amp;"."&amp;YEAR((A2382+1))&amp;": "&amp;INDEX('Zgłoszenia'!$H$5:$H$504,MATCH(F2382&amp;"|"&amp;(A2382+1),'Zgłoszenia'!$S$5:$S$504,0)))&amp;IF(K2382&gt;1," (+"&amp;(K2382-1)&amp;")",""))</f>
        <v/>
      </c>
      <c r="M2382" s="63" t="n">
        <v>30</v>
      </c>
      <c r="N2382" s="2" t="n"/>
      <c r="O2382" s="2" t="n"/>
    </row>
    <row r="2383">
      <c r="A2383" s="62">
        <f>IF('30'!$C$1="","",'30'!$C$1)</f>
        <v/>
      </c>
      <c r="B2383" s="63">
        <f>Ustawienia!$A$9&amp;""</f>
        <v/>
      </c>
      <c r="C2383" s="63">
        <f>Ustawienia!$A$14&amp;""</f>
        <v/>
      </c>
      <c r="D2383" s="63" t="n">
        <v>6</v>
      </c>
      <c r="E2383" s="63">
        <f>IF('30'!F11="","",TRIM('30'!F11&amp;""))</f>
        <v/>
      </c>
      <c r="F2383" s="63">
        <f>IF('30'!G11="","",'30'!G11)</f>
        <v/>
      </c>
      <c r="G2383" s="63">
        <f>'30'!H11&amp;""</f>
        <v/>
      </c>
      <c r="H2383" s="63">
        <f>IF(OR(A2383="",F2383=""),"",F2383&amp;"|"&amp;A2383)</f>
        <v/>
      </c>
      <c r="I2383" s="63">
        <f>IF(AND(H2383&lt;&gt;"",OR('Historia wózka'!$B$4="",F2383='Historia wózka'!$B$4),A2383&gt;='Historia wózka'!$B$5,A2383&lt;='Historia wózka'!$B$6),A2383+0.8+(5000-ROW())/10000000,0)</f>
        <v/>
      </c>
      <c r="J2383" s="63">
        <f>Ustawienia!$B$9&amp;""</f>
        <v/>
      </c>
      <c r="K2383" s="63">
        <f>IF(H2383="","",COUNTIFS('Zgłoszenia'!$B$5:$B$504,F2383,'Zgłoszenia'!$D$5:$D$504,"&gt;="&amp;A2383,'Zgłoszenia'!$D$5:$D$504,"&lt;="&amp;(A2383+1)))</f>
        <v/>
      </c>
      <c r="L2383" s="63">
        <f>IF(OR(H2383="",K2383=0),"—",IF(ISNUMBER(MATCH(H2383,'Zgłoszenia'!$S$5:$S$504,0)),RIGHT("0"&amp;DAY(A2383),2)&amp;"."&amp;RIGHT("0"&amp;MONTH(A2383),2)&amp;"."&amp;YEAR(A2383)&amp;": "&amp;INDEX('Zgłoszenia'!$H$5:$H$504,MATCH(H2383,'Zgłoszenia'!$S$5:$S$504,0)),RIGHT("0"&amp;DAY((A2383+1)),2)&amp;"."&amp;RIGHT("0"&amp;MONTH((A2383+1)),2)&amp;"."&amp;YEAR((A2383+1))&amp;": "&amp;INDEX('Zgłoszenia'!$H$5:$H$504,MATCH(F2383&amp;"|"&amp;(A2383+1),'Zgłoszenia'!$S$5:$S$504,0)))&amp;IF(K2383&gt;1," (+"&amp;(K2383-1)&amp;")",""))</f>
        <v/>
      </c>
      <c r="M2383" s="63" t="n">
        <v>30</v>
      </c>
      <c r="N2383" s="2" t="n"/>
      <c r="O2383" s="2" t="n"/>
    </row>
    <row r="2384">
      <c r="A2384" s="62">
        <f>IF('30'!$C$1="","",'30'!$C$1)</f>
        <v/>
      </c>
      <c r="B2384" s="63">
        <f>Ustawienia!$A$9&amp;""</f>
        <v/>
      </c>
      <c r="C2384" s="63">
        <f>Ustawienia!$A$15&amp;""</f>
        <v/>
      </c>
      <c r="D2384" s="63" t="n">
        <v>1</v>
      </c>
      <c r="E2384" s="63">
        <f>IF('30'!F13="","",TRIM('30'!F13&amp;""))</f>
        <v/>
      </c>
      <c r="F2384" s="63">
        <f>IF('30'!G13="","",'30'!G13)</f>
        <v/>
      </c>
      <c r="G2384" s="63">
        <f>'30'!H13&amp;""</f>
        <v/>
      </c>
      <c r="H2384" s="63">
        <f>IF(OR(A2384="",F2384=""),"",F2384&amp;"|"&amp;A2384)</f>
        <v/>
      </c>
      <c r="I2384" s="63">
        <f>IF(AND(H2384&lt;&gt;"",OR('Historia wózka'!$B$4="",F2384='Historia wózka'!$B$4),A2384&gt;='Historia wózka'!$B$5,A2384&lt;='Historia wózka'!$B$6),A2384+0.8+(5000-ROW())/10000000,0)</f>
        <v/>
      </c>
      <c r="J2384" s="63">
        <f>Ustawienia!$B$9&amp;""</f>
        <v/>
      </c>
      <c r="K2384" s="63">
        <f>IF(H2384="","",COUNTIFS('Zgłoszenia'!$B$5:$B$504,F2384,'Zgłoszenia'!$D$5:$D$504,"&gt;="&amp;A2384,'Zgłoszenia'!$D$5:$D$504,"&lt;="&amp;(A2384+1)))</f>
        <v/>
      </c>
      <c r="L2384" s="63">
        <f>IF(OR(H2384="",K2384=0),"—",IF(ISNUMBER(MATCH(H2384,'Zgłoszenia'!$S$5:$S$504,0)),RIGHT("0"&amp;DAY(A2384),2)&amp;"."&amp;RIGHT("0"&amp;MONTH(A2384),2)&amp;"."&amp;YEAR(A2384)&amp;": "&amp;INDEX('Zgłoszenia'!$H$5:$H$504,MATCH(H2384,'Zgłoszenia'!$S$5:$S$504,0)),RIGHT("0"&amp;DAY((A2384+1)),2)&amp;"."&amp;RIGHT("0"&amp;MONTH((A2384+1)),2)&amp;"."&amp;YEAR((A2384+1))&amp;": "&amp;INDEX('Zgłoszenia'!$H$5:$H$504,MATCH(F2384&amp;"|"&amp;(A2384+1),'Zgłoszenia'!$S$5:$S$504,0)))&amp;IF(K2384&gt;1," (+"&amp;(K2384-1)&amp;")",""))</f>
        <v/>
      </c>
      <c r="M2384" s="63" t="n">
        <v>30</v>
      </c>
      <c r="N2384" s="2" t="n"/>
      <c r="O2384" s="2" t="n"/>
    </row>
    <row r="2385">
      <c r="A2385" s="62">
        <f>IF('30'!$C$1="","",'30'!$C$1)</f>
        <v/>
      </c>
      <c r="B2385" s="63">
        <f>Ustawienia!$A$9&amp;""</f>
        <v/>
      </c>
      <c r="C2385" s="63">
        <f>Ustawienia!$A$15&amp;""</f>
        <v/>
      </c>
      <c r="D2385" s="63" t="n">
        <v>2</v>
      </c>
      <c r="E2385" s="63">
        <f>IF('30'!F14="","",TRIM('30'!F14&amp;""))</f>
        <v/>
      </c>
      <c r="F2385" s="63">
        <f>IF('30'!G14="","",'30'!G14)</f>
        <v/>
      </c>
      <c r="G2385" s="63">
        <f>'30'!H14&amp;""</f>
        <v/>
      </c>
      <c r="H2385" s="63">
        <f>IF(OR(A2385="",F2385=""),"",F2385&amp;"|"&amp;A2385)</f>
        <v/>
      </c>
      <c r="I2385" s="63">
        <f>IF(AND(H2385&lt;&gt;"",OR('Historia wózka'!$B$4="",F2385='Historia wózka'!$B$4),A2385&gt;='Historia wózka'!$B$5,A2385&lt;='Historia wózka'!$B$6),A2385+0.8+(5000-ROW())/10000000,0)</f>
        <v/>
      </c>
      <c r="J2385" s="63">
        <f>Ustawienia!$B$9&amp;""</f>
        <v/>
      </c>
      <c r="K2385" s="63">
        <f>IF(H2385="","",COUNTIFS('Zgłoszenia'!$B$5:$B$504,F2385,'Zgłoszenia'!$D$5:$D$504,"&gt;="&amp;A2385,'Zgłoszenia'!$D$5:$D$504,"&lt;="&amp;(A2385+1)))</f>
        <v/>
      </c>
      <c r="L2385" s="63">
        <f>IF(OR(H2385="",K2385=0),"—",IF(ISNUMBER(MATCH(H2385,'Zgłoszenia'!$S$5:$S$504,0)),RIGHT("0"&amp;DAY(A2385),2)&amp;"."&amp;RIGHT("0"&amp;MONTH(A2385),2)&amp;"."&amp;YEAR(A2385)&amp;": "&amp;INDEX('Zgłoszenia'!$H$5:$H$504,MATCH(H2385,'Zgłoszenia'!$S$5:$S$504,0)),RIGHT("0"&amp;DAY((A2385+1)),2)&amp;"."&amp;RIGHT("0"&amp;MONTH((A2385+1)),2)&amp;"."&amp;YEAR((A2385+1))&amp;": "&amp;INDEX('Zgłoszenia'!$H$5:$H$504,MATCH(F2385&amp;"|"&amp;(A2385+1),'Zgłoszenia'!$S$5:$S$504,0)))&amp;IF(K2385&gt;1," (+"&amp;(K2385-1)&amp;")",""))</f>
        <v/>
      </c>
      <c r="M2385" s="63" t="n">
        <v>30</v>
      </c>
      <c r="N2385" s="2" t="n"/>
      <c r="O2385" s="2" t="n"/>
    </row>
    <row r="2386">
      <c r="A2386" s="62">
        <f>IF('30'!$C$1="","",'30'!$C$1)</f>
        <v/>
      </c>
      <c r="B2386" s="63">
        <f>Ustawienia!$A$9&amp;""</f>
        <v/>
      </c>
      <c r="C2386" s="63">
        <f>Ustawienia!$A$15&amp;""</f>
        <v/>
      </c>
      <c r="D2386" s="63" t="n">
        <v>3</v>
      </c>
      <c r="E2386" s="63">
        <f>IF('30'!F15="","",TRIM('30'!F15&amp;""))</f>
        <v/>
      </c>
      <c r="F2386" s="63">
        <f>IF('30'!G15="","",'30'!G15)</f>
        <v/>
      </c>
      <c r="G2386" s="63">
        <f>'30'!H15&amp;""</f>
        <v/>
      </c>
      <c r="H2386" s="63">
        <f>IF(OR(A2386="",F2386=""),"",F2386&amp;"|"&amp;A2386)</f>
        <v/>
      </c>
      <c r="I2386" s="63">
        <f>IF(AND(H2386&lt;&gt;"",OR('Historia wózka'!$B$4="",F2386='Historia wózka'!$B$4),A2386&gt;='Historia wózka'!$B$5,A2386&lt;='Historia wózka'!$B$6),A2386+0.8+(5000-ROW())/10000000,0)</f>
        <v/>
      </c>
      <c r="J2386" s="63">
        <f>Ustawienia!$B$9&amp;""</f>
        <v/>
      </c>
      <c r="K2386" s="63">
        <f>IF(H2386="","",COUNTIFS('Zgłoszenia'!$B$5:$B$504,F2386,'Zgłoszenia'!$D$5:$D$504,"&gt;="&amp;A2386,'Zgłoszenia'!$D$5:$D$504,"&lt;="&amp;(A2386+1)))</f>
        <v/>
      </c>
      <c r="L2386" s="63">
        <f>IF(OR(H2386="",K2386=0),"—",IF(ISNUMBER(MATCH(H2386,'Zgłoszenia'!$S$5:$S$504,0)),RIGHT("0"&amp;DAY(A2386),2)&amp;"."&amp;RIGHT("0"&amp;MONTH(A2386),2)&amp;"."&amp;YEAR(A2386)&amp;": "&amp;INDEX('Zgłoszenia'!$H$5:$H$504,MATCH(H2386,'Zgłoszenia'!$S$5:$S$504,0)),RIGHT("0"&amp;DAY((A2386+1)),2)&amp;"."&amp;RIGHT("0"&amp;MONTH((A2386+1)),2)&amp;"."&amp;YEAR((A2386+1))&amp;": "&amp;INDEX('Zgłoszenia'!$H$5:$H$504,MATCH(F2386&amp;"|"&amp;(A2386+1),'Zgłoszenia'!$S$5:$S$504,0)))&amp;IF(K2386&gt;1," (+"&amp;(K2386-1)&amp;")",""))</f>
        <v/>
      </c>
      <c r="M2386" s="63" t="n">
        <v>30</v>
      </c>
      <c r="N2386" s="2" t="n"/>
      <c r="O2386" s="2" t="n"/>
    </row>
    <row r="2387">
      <c r="A2387" s="62">
        <f>IF('30'!$C$1="","",'30'!$C$1)</f>
        <v/>
      </c>
      <c r="B2387" s="63">
        <f>Ustawienia!$A$9&amp;""</f>
        <v/>
      </c>
      <c r="C2387" s="63">
        <f>Ustawienia!$A$15&amp;""</f>
        <v/>
      </c>
      <c r="D2387" s="63" t="n">
        <v>4</v>
      </c>
      <c r="E2387" s="63">
        <f>IF('30'!F16="","",TRIM('30'!F16&amp;""))</f>
        <v/>
      </c>
      <c r="F2387" s="63">
        <f>IF('30'!G16="","",'30'!G16)</f>
        <v/>
      </c>
      <c r="G2387" s="63">
        <f>'30'!H16&amp;""</f>
        <v/>
      </c>
      <c r="H2387" s="63">
        <f>IF(OR(A2387="",F2387=""),"",F2387&amp;"|"&amp;A2387)</f>
        <v/>
      </c>
      <c r="I2387" s="63">
        <f>IF(AND(H2387&lt;&gt;"",OR('Historia wózka'!$B$4="",F2387='Historia wózka'!$B$4),A2387&gt;='Historia wózka'!$B$5,A2387&lt;='Historia wózka'!$B$6),A2387+0.8+(5000-ROW())/10000000,0)</f>
        <v/>
      </c>
      <c r="J2387" s="63">
        <f>Ustawienia!$B$9&amp;""</f>
        <v/>
      </c>
      <c r="K2387" s="63">
        <f>IF(H2387="","",COUNTIFS('Zgłoszenia'!$B$5:$B$504,F2387,'Zgłoszenia'!$D$5:$D$504,"&gt;="&amp;A2387,'Zgłoszenia'!$D$5:$D$504,"&lt;="&amp;(A2387+1)))</f>
        <v/>
      </c>
      <c r="L2387" s="63">
        <f>IF(OR(H2387="",K2387=0),"—",IF(ISNUMBER(MATCH(H2387,'Zgłoszenia'!$S$5:$S$504,0)),RIGHT("0"&amp;DAY(A2387),2)&amp;"."&amp;RIGHT("0"&amp;MONTH(A2387),2)&amp;"."&amp;YEAR(A2387)&amp;": "&amp;INDEX('Zgłoszenia'!$H$5:$H$504,MATCH(H2387,'Zgłoszenia'!$S$5:$S$504,0)),RIGHT("0"&amp;DAY((A2387+1)),2)&amp;"."&amp;RIGHT("0"&amp;MONTH((A2387+1)),2)&amp;"."&amp;YEAR((A2387+1))&amp;": "&amp;INDEX('Zgłoszenia'!$H$5:$H$504,MATCH(F2387&amp;"|"&amp;(A2387+1),'Zgłoszenia'!$S$5:$S$504,0)))&amp;IF(K2387&gt;1," (+"&amp;(K2387-1)&amp;")",""))</f>
        <v/>
      </c>
      <c r="M2387" s="63" t="n">
        <v>30</v>
      </c>
      <c r="N2387" s="2" t="n"/>
      <c r="O2387" s="2" t="n"/>
    </row>
    <row r="2388">
      <c r="A2388" s="62">
        <f>IF('30'!$C$1="","",'30'!$C$1)</f>
        <v/>
      </c>
      <c r="B2388" s="63">
        <f>Ustawienia!$A$9&amp;""</f>
        <v/>
      </c>
      <c r="C2388" s="63">
        <f>Ustawienia!$A$15&amp;""</f>
        <v/>
      </c>
      <c r="D2388" s="63" t="n">
        <v>5</v>
      </c>
      <c r="E2388" s="63">
        <f>IF('30'!F17="","",TRIM('30'!F17&amp;""))</f>
        <v/>
      </c>
      <c r="F2388" s="63">
        <f>IF('30'!G17="","",'30'!G17)</f>
        <v/>
      </c>
      <c r="G2388" s="63">
        <f>'30'!H17&amp;""</f>
        <v/>
      </c>
      <c r="H2388" s="63">
        <f>IF(OR(A2388="",F2388=""),"",F2388&amp;"|"&amp;A2388)</f>
        <v/>
      </c>
      <c r="I2388" s="63">
        <f>IF(AND(H2388&lt;&gt;"",OR('Historia wózka'!$B$4="",F2388='Historia wózka'!$B$4),A2388&gt;='Historia wózka'!$B$5,A2388&lt;='Historia wózka'!$B$6),A2388+0.8+(5000-ROW())/10000000,0)</f>
        <v/>
      </c>
      <c r="J2388" s="63">
        <f>Ustawienia!$B$9&amp;""</f>
        <v/>
      </c>
      <c r="K2388" s="63">
        <f>IF(H2388="","",COUNTIFS('Zgłoszenia'!$B$5:$B$504,F2388,'Zgłoszenia'!$D$5:$D$504,"&gt;="&amp;A2388,'Zgłoszenia'!$D$5:$D$504,"&lt;="&amp;(A2388+1)))</f>
        <v/>
      </c>
      <c r="L2388" s="63">
        <f>IF(OR(H2388="",K2388=0),"—",IF(ISNUMBER(MATCH(H2388,'Zgłoszenia'!$S$5:$S$504,0)),RIGHT("0"&amp;DAY(A2388),2)&amp;"."&amp;RIGHT("0"&amp;MONTH(A2388),2)&amp;"."&amp;YEAR(A2388)&amp;": "&amp;INDEX('Zgłoszenia'!$H$5:$H$504,MATCH(H2388,'Zgłoszenia'!$S$5:$S$504,0)),RIGHT("0"&amp;DAY((A2388+1)),2)&amp;"."&amp;RIGHT("0"&amp;MONTH((A2388+1)),2)&amp;"."&amp;YEAR((A2388+1))&amp;": "&amp;INDEX('Zgłoszenia'!$H$5:$H$504,MATCH(F2388&amp;"|"&amp;(A2388+1),'Zgłoszenia'!$S$5:$S$504,0)))&amp;IF(K2388&gt;1," (+"&amp;(K2388-1)&amp;")",""))</f>
        <v/>
      </c>
      <c r="M2388" s="63" t="n">
        <v>30</v>
      </c>
      <c r="N2388" s="2" t="n"/>
      <c r="O2388" s="2" t="n"/>
    </row>
    <row r="2389">
      <c r="A2389" s="62">
        <f>IF('30'!$C$1="","",'30'!$C$1)</f>
        <v/>
      </c>
      <c r="B2389" s="63">
        <f>Ustawienia!$A$9&amp;""</f>
        <v/>
      </c>
      <c r="C2389" s="63">
        <f>Ustawienia!$A$15&amp;""</f>
        <v/>
      </c>
      <c r="D2389" s="63" t="n">
        <v>6</v>
      </c>
      <c r="E2389" s="63">
        <f>IF('30'!F18="","",TRIM('30'!F18&amp;""))</f>
        <v/>
      </c>
      <c r="F2389" s="63">
        <f>IF('30'!G18="","",'30'!G18)</f>
        <v/>
      </c>
      <c r="G2389" s="63">
        <f>'30'!H18&amp;""</f>
        <v/>
      </c>
      <c r="H2389" s="63">
        <f>IF(OR(A2389="",F2389=""),"",F2389&amp;"|"&amp;A2389)</f>
        <v/>
      </c>
      <c r="I2389" s="63">
        <f>IF(AND(H2389&lt;&gt;"",OR('Historia wózka'!$B$4="",F2389='Historia wózka'!$B$4),A2389&gt;='Historia wózka'!$B$5,A2389&lt;='Historia wózka'!$B$6),A2389+0.8+(5000-ROW())/10000000,0)</f>
        <v/>
      </c>
      <c r="J2389" s="63">
        <f>Ustawienia!$B$9&amp;""</f>
        <v/>
      </c>
      <c r="K2389" s="63">
        <f>IF(H2389="","",COUNTIFS('Zgłoszenia'!$B$5:$B$504,F2389,'Zgłoszenia'!$D$5:$D$504,"&gt;="&amp;A2389,'Zgłoszenia'!$D$5:$D$504,"&lt;="&amp;(A2389+1)))</f>
        <v/>
      </c>
      <c r="L2389" s="63">
        <f>IF(OR(H2389="",K2389=0),"—",IF(ISNUMBER(MATCH(H2389,'Zgłoszenia'!$S$5:$S$504,0)),RIGHT("0"&amp;DAY(A2389),2)&amp;"."&amp;RIGHT("0"&amp;MONTH(A2389),2)&amp;"."&amp;YEAR(A2389)&amp;": "&amp;INDEX('Zgłoszenia'!$H$5:$H$504,MATCH(H2389,'Zgłoszenia'!$S$5:$S$504,0)),RIGHT("0"&amp;DAY((A2389+1)),2)&amp;"."&amp;RIGHT("0"&amp;MONTH((A2389+1)),2)&amp;"."&amp;YEAR((A2389+1))&amp;": "&amp;INDEX('Zgłoszenia'!$H$5:$H$504,MATCH(F2389&amp;"|"&amp;(A2389+1),'Zgłoszenia'!$S$5:$S$504,0)))&amp;IF(K2389&gt;1," (+"&amp;(K2389-1)&amp;")",""))</f>
        <v/>
      </c>
      <c r="M2389" s="63" t="n">
        <v>30</v>
      </c>
      <c r="N2389" s="2" t="n"/>
      <c r="O2389" s="2" t="n"/>
    </row>
    <row r="2390">
      <c r="A2390" s="62">
        <f>IF('30'!$C$1="","",'30'!$C$1)</f>
        <v/>
      </c>
      <c r="B2390" s="63">
        <f>Ustawienia!$A$9&amp;""</f>
        <v/>
      </c>
      <c r="C2390" s="63">
        <f>Ustawienia!$A$15&amp;""</f>
        <v/>
      </c>
      <c r="D2390" s="63" t="n">
        <v>7</v>
      </c>
      <c r="E2390" s="63">
        <f>IF('30'!F19="","",TRIM('30'!F19&amp;""))</f>
        <v/>
      </c>
      <c r="F2390" s="63">
        <f>IF('30'!G19="","",'30'!G19)</f>
        <v/>
      </c>
      <c r="G2390" s="63">
        <f>'30'!H19&amp;""</f>
        <v/>
      </c>
      <c r="H2390" s="63">
        <f>IF(OR(A2390="",F2390=""),"",F2390&amp;"|"&amp;A2390)</f>
        <v/>
      </c>
      <c r="I2390" s="63">
        <f>IF(AND(H2390&lt;&gt;"",OR('Historia wózka'!$B$4="",F2390='Historia wózka'!$B$4),A2390&gt;='Historia wózka'!$B$5,A2390&lt;='Historia wózka'!$B$6),A2390+0.8+(5000-ROW())/10000000,0)</f>
        <v/>
      </c>
      <c r="J2390" s="63">
        <f>Ustawienia!$B$9&amp;""</f>
        <v/>
      </c>
      <c r="K2390" s="63">
        <f>IF(H2390="","",COUNTIFS('Zgłoszenia'!$B$5:$B$504,F2390,'Zgłoszenia'!$D$5:$D$504,"&gt;="&amp;A2390,'Zgłoszenia'!$D$5:$D$504,"&lt;="&amp;(A2390+1)))</f>
        <v/>
      </c>
      <c r="L2390" s="63">
        <f>IF(OR(H2390="",K2390=0),"—",IF(ISNUMBER(MATCH(H2390,'Zgłoszenia'!$S$5:$S$504,0)),RIGHT("0"&amp;DAY(A2390),2)&amp;"."&amp;RIGHT("0"&amp;MONTH(A2390),2)&amp;"."&amp;YEAR(A2390)&amp;": "&amp;INDEX('Zgłoszenia'!$H$5:$H$504,MATCH(H2390,'Zgłoszenia'!$S$5:$S$504,0)),RIGHT("0"&amp;DAY((A2390+1)),2)&amp;"."&amp;RIGHT("0"&amp;MONTH((A2390+1)),2)&amp;"."&amp;YEAR((A2390+1))&amp;": "&amp;INDEX('Zgłoszenia'!$H$5:$H$504,MATCH(F2390&amp;"|"&amp;(A2390+1),'Zgłoszenia'!$S$5:$S$504,0)))&amp;IF(K2390&gt;1," (+"&amp;(K2390-1)&amp;")",""))</f>
        <v/>
      </c>
      <c r="M2390" s="63" t="n">
        <v>30</v>
      </c>
      <c r="N2390" s="2" t="n"/>
      <c r="O2390" s="2" t="n"/>
    </row>
    <row r="2391">
      <c r="A2391" s="62">
        <f>IF('30'!$C$1="","",'30'!$C$1)</f>
        <v/>
      </c>
      <c r="B2391" s="63">
        <f>Ustawienia!$A$9&amp;""</f>
        <v/>
      </c>
      <c r="C2391" s="63">
        <f>Ustawienia!$A$15&amp;""</f>
        <v/>
      </c>
      <c r="D2391" s="63" t="n">
        <v>8</v>
      </c>
      <c r="E2391" s="63">
        <f>IF('30'!F20="","",TRIM('30'!F20&amp;""))</f>
        <v/>
      </c>
      <c r="F2391" s="63">
        <f>IF('30'!G20="","",'30'!G20)</f>
        <v/>
      </c>
      <c r="G2391" s="63">
        <f>'30'!H20&amp;""</f>
        <v/>
      </c>
      <c r="H2391" s="63">
        <f>IF(OR(A2391="",F2391=""),"",F2391&amp;"|"&amp;A2391)</f>
        <v/>
      </c>
      <c r="I2391" s="63">
        <f>IF(AND(H2391&lt;&gt;"",OR('Historia wózka'!$B$4="",F2391='Historia wózka'!$B$4),A2391&gt;='Historia wózka'!$B$5,A2391&lt;='Historia wózka'!$B$6),A2391+0.8+(5000-ROW())/10000000,0)</f>
        <v/>
      </c>
      <c r="J2391" s="63">
        <f>Ustawienia!$B$9&amp;""</f>
        <v/>
      </c>
      <c r="K2391" s="63">
        <f>IF(H2391="","",COUNTIFS('Zgłoszenia'!$B$5:$B$504,F2391,'Zgłoszenia'!$D$5:$D$504,"&gt;="&amp;A2391,'Zgłoszenia'!$D$5:$D$504,"&lt;="&amp;(A2391+1)))</f>
        <v/>
      </c>
      <c r="L2391" s="63">
        <f>IF(OR(H2391="",K2391=0),"—",IF(ISNUMBER(MATCH(H2391,'Zgłoszenia'!$S$5:$S$504,0)),RIGHT("0"&amp;DAY(A2391),2)&amp;"."&amp;RIGHT("0"&amp;MONTH(A2391),2)&amp;"."&amp;YEAR(A2391)&amp;": "&amp;INDEX('Zgłoszenia'!$H$5:$H$504,MATCH(H2391,'Zgłoszenia'!$S$5:$S$504,0)),RIGHT("0"&amp;DAY((A2391+1)),2)&amp;"."&amp;RIGHT("0"&amp;MONTH((A2391+1)),2)&amp;"."&amp;YEAR((A2391+1))&amp;": "&amp;INDEX('Zgłoszenia'!$H$5:$H$504,MATCH(F2391&amp;"|"&amp;(A2391+1),'Zgłoszenia'!$S$5:$S$504,0)))&amp;IF(K2391&gt;1," (+"&amp;(K2391-1)&amp;")",""))</f>
        <v/>
      </c>
      <c r="M2391" s="63" t="n">
        <v>30</v>
      </c>
      <c r="N2391" s="2" t="n"/>
      <c r="O2391" s="2" t="n"/>
    </row>
    <row r="2392">
      <c r="A2392" s="62">
        <f>IF('30'!$C$1="","",'30'!$C$1)</f>
        <v/>
      </c>
      <c r="B2392" s="63">
        <f>Ustawienia!$A$9&amp;""</f>
        <v/>
      </c>
      <c r="C2392" s="63">
        <f>Ustawienia!$A$16&amp;""</f>
        <v/>
      </c>
      <c r="D2392" s="63" t="n">
        <v>1</v>
      </c>
      <c r="E2392" s="63">
        <f>IF('30'!F22="","",TRIM('30'!F22&amp;""))</f>
        <v/>
      </c>
      <c r="F2392" s="63">
        <f>IF('30'!G22="","",'30'!G22)</f>
        <v/>
      </c>
      <c r="G2392" s="63">
        <f>'30'!H22&amp;""</f>
        <v/>
      </c>
      <c r="H2392" s="63">
        <f>IF(OR(A2392="",F2392=""),"",F2392&amp;"|"&amp;A2392)</f>
        <v/>
      </c>
      <c r="I2392" s="63">
        <f>IF(AND(H2392&lt;&gt;"",OR('Historia wózka'!$B$4="",F2392='Historia wózka'!$B$4),A2392&gt;='Historia wózka'!$B$5,A2392&lt;='Historia wózka'!$B$6),A2392+0.8+(5000-ROW())/10000000,0)</f>
        <v/>
      </c>
      <c r="J2392" s="63">
        <f>Ustawienia!$B$9&amp;""</f>
        <v/>
      </c>
      <c r="K2392" s="63">
        <f>IF(H2392="","",COUNTIFS('Zgłoszenia'!$B$5:$B$504,F2392,'Zgłoszenia'!$D$5:$D$504,"&gt;="&amp;A2392,'Zgłoszenia'!$D$5:$D$504,"&lt;="&amp;(A2392+1)))</f>
        <v/>
      </c>
      <c r="L2392" s="63">
        <f>IF(OR(H2392="",K2392=0),"—",IF(ISNUMBER(MATCH(H2392,'Zgłoszenia'!$S$5:$S$504,0)),RIGHT("0"&amp;DAY(A2392),2)&amp;"."&amp;RIGHT("0"&amp;MONTH(A2392),2)&amp;"."&amp;YEAR(A2392)&amp;": "&amp;INDEX('Zgłoszenia'!$H$5:$H$504,MATCH(H2392,'Zgłoszenia'!$S$5:$S$504,0)),RIGHT("0"&amp;DAY((A2392+1)),2)&amp;"."&amp;RIGHT("0"&amp;MONTH((A2392+1)),2)&amp;"."&amp;YEAR((A2392+1))&amp;": "&amp;INDEX('Zgłoszenia'!$H$5:$H$504,MATCH(F2392&amp;"|"&amp;(A2392+1),'Zgłoszenia'!$S$5:$S$504,0)))&amp;IF(K2392&gt;1," (+"&amp;(K2392-1)&amp;")",""))</f>
        <v/>
      </c>
      <c r="M2392" s="63" t="n">
        <v>30</v>
      </c>
      <c r="N2392" s="2" t="n"/>
      <c r="O2392" s="2" t="n"/>
    </row>
    <row r="2393">
      <c r="A2393" s="62">
        <f>IF('30'!$C$1="","",'30'!$C$1)</f>
        <v/>
      </c>
      <c r="B2393" s="63">
        <f>Ustawienia!$A$9&amp;""</f>
        <v/>
      </c>
      <c r="C2393" s="63">
        <f>Ustawienia!$A$16&amp;""</f>
        <v/>
      </c>
      <c r="D2393" s="63" t="n">
        <v>2</v>
      </c>
      <c r="E2393" s="63">
        <f>IF('30'!F23="","",TRIM('30'!F23&amp;""))</f>
        <v/>
      </c>
      <c r="F2393" s="63">
        <f>IF('30'!G23="","",'30'!G23)</f>
        <v/>
      </c>
      <c r="G2393" s="63">
        <f>'30'!H23&amp;""</f>
        <v/>
      </c>
      <c r="H2393" s="63">
        <f>IF(OR(A2393="",F2393=""),"",F2393&amp;"|"&amp;A2393)</f>
        <v/>
      </c>
      <c r="I2393" s="63">
        <f>IF(AND(H2393&lt;&gt;"",OR('Historia wózka'!$B$4="",F2393='Historia wózka'!$B$4),A2393&gt;='Historia wózka'!$B$5,A2393&lt;='Historia wózka'!$B$6),A2393+0.8+(5000-ROW())/10000000,0)</f>
        <v/>
      </c>
      <c r="J2393" s="63">
        <f>Ustawienia!$B$9&amp;""</f>
        <v/>
      </c>
      <c r="K2393" s="63">
        <f>IF(H2393="","",COUNTIFS('Zgłoszenia'!$B$5:$B$504,F2393,'Zgłoszenia'!$D$5:$D$504,"&gt;="&amp;A2393,'Zgłoszenia'!$D$5:$D$504,"&lt;="&amp;(A2393+1)))</f>
        <v/>
      </c>
      <c r="L2393" s="63">
        <f>IF(OR(H2393="",K2393=0),"—",IF(ISNUMBER(MATCH(H2393,'Zgłoszenia'!$S$5:$S$504,0)),RIGHT("0"&amp;DAY(A2393),2)&amp;"."&amp;RIGHT("0"&amp;MONTH(A2393),2)&amp;"."&amp;YEAR(A2393)&amp;": "&amp;INDEX('Zgłoszenia'!$H$5:$H$504,MATCH(H2393,'Zgłoszenia'!$S$5:$S$504,0)),RIGHT("0"&amp;DAY((A2393+1)),2)&amp;"."&amp;RIGHT("0"&amp;MONTH((A2393+1)),2)&amp;"."&amp;YEAR((A2393+1))&amp;": "&amp;INDEX('Zgłoszenia'!$H$5:$H$504,MATCH(F2393&amp;"|"&amp;(A2393+1),'Zgłoszenia'!$S$5:$S$504,0)))&amp;IF(K2393&gt;1," (+"&amp;(K2393-1)&amp;")",""))</f>
        <v/>
      </c>
      <c r="M2393" s="63" t="n">
        <v>30</v>
      </c>
      <c r="N2393" s="2" t="n"/>
      <c r="O2393" s="2" t="n"/>
    </row>
    <row r="2394">
      <c r="A2394" s="62">
        <f>IF('30'!$C$1="","",'30'!$C$1)</f>
        <v/>
      </c>
      <c r="B2394" s="63">
        <f>Ustawienia!$A$9&amp;""</f>
        <v/>
      </c>
      <c r="C2394" s="63">
        <f>Ustawienia!$A$16&amp;""</f>
        <v/>
      </c>
      <c r="D2394" s="63" t="n">
        <v>3</v>
      </c>
      <c r="E2394" s="63">
        <f>IF('30'!F24="","",TRIM('30'!F24&amp;""))</f>
        <v/>
      </c>
      <c r="F2394" s="63">
        <f>IF('30'!G24="","",'30'!G24)</f>
        <v/>
      </c>
      <c r="G2394" s="63">
        <f>'30'!H24&amp;""</f>
        <v/>
      </c>
      <c r="H2394" s="63">
        <f>IF(OR(A2394="",F2394=""),"",F2394&amp;"|"&amp;A2394)</f>
        <v/>
      </c>
      <c r="I2394" s="63">
        <f>IF(AND(H2394&lt;&gt;"",OR('Historia wózka'!$B$4="",F2394='Historia wózka'!$B$4),A2394&gt;='Historia wózka'!$B$5,A2394&lt;='Historia wózka'!$B$6),A2394+0.8+(5000-ROW())/10000000,0)</f>
        <v/>
      </c>
      <c r="J2394" s="63">
        <f>Ustawienia!$B$9&amp;""</f>
        <v/>
      </c>
      <c r="K2394" s="63">
        <f>IF(H2394="","",COUNTIFS('Zgłoszenia'!$B$5:$B$504,F2394,'Zgłoszenia'!$D$5:$D$504,"&gt;="&amp;A2394,'Zgłoszenia'!$D$5:$D$504,"&lt;="&amp;(A2394+1)))</f>
        <v/>
      </c>
      <c r="L2394" s="63">
        <f>IF(OR(H2394="",K2394=0),"—",IF(ISNUMBER(MATCH(H2394,'Zgłoszenia'!$S$5:$S$504,0)),RIGHT("0"&amp;DAY(A2394),2)&amp;"."&amp;RIGHT("0"&amp;MONTH(A2394),2)&amp;"."&amp;YEAR(A2394)&amp;": "&amp;INDEX('Zgłoszenia'!$H$5:$H$504,MATCH(H2394,'Zgłoszenia'!$S$5:$S$504,0)),RIGHT("0"&amp;DAY((A2394+1)),2)&amp;"."&amp;RIGHT("0"&amp;MONTH((A2394+1)),2)&amp;"."&amp;YEAR((A2394+1))&amp;": "&amp;INDEX('Zgłoszenia'!$H$5:$H$504,MATCH(F2394&amp;"|"&amp;(A2394+1),'Zgłoszenia'!$S$5:$S$504,0)))&amp;IF(K2394&gt;1," (+"&amp;(K2394-1)&amp;")",""))</f>
        <v/>
      </c>
      <c r="M2394" s="63" t="n">
        <v>30</v>
      </c>
      <c r="N2394" s="2" t="n"/>
      <c r="O2394" s="2" t="n"/>
    </row>
    <row r="2395">
      <c r="A2395" s="62">
        <f>IF('30'!$C$1="","",'30'!$C$1)</f>
        <v/>
      </c>
      <c r="B2395" s="63">
        <f>Ustawienia!$A$9&amp;""</f>
        <v/>
      </c>
      <c r="C2395" s="63">
        <f>Ustawienia!$A$16&amp;""</f>
        <v/>
      </c>
      <c r="D2395" s="63" t="n">
        <v>4</v>
      </c>
      <c r="E2395" s="63">
        <f>IF('30'!F25="","",TRIM('30'!F25&amp;""))</f>
        <v/>
      </c>
      <c r="F2395" s="63">
        <f>IF('30'!G25="","",'30'!G25)</f>
        <v/>
      </c>
      <c r="G2395" s="63">
        <f>'30'!H25&amp;""</f>
        <v/>
      </c>
      <c r="H2395" s="63">
        <f>IF(OR(A2395="",F2395=""),"",F2395&amp;"|"&amp;A2395)</f>
        <v/>
      </c>
      <c r="I2395" s="63">
        <f>IF(AND(H2395&lt;&gt;"",OR('Historia wózka'!$B$4="",F2395='Historia wózka'!$B$4),A2395&gt;='Historia wózka'!$B$5,A2395&lt;='Historia wózka'!$B$6),A2395+0.8+(5000-ROW())/10000000,0)</f>
        <v/>
      </c>
      <c r="J2395" s="63">
        <f>Ustawienia!$B$9&amp;""</f>
        <v/>
      </c>
      <c r="K2395" s="63">
        <f>IF(H2395="","",COUNTIFS('Zgłoszenia'!$B$5:$B$504,F2395,'Zgłoszenia'!$D$5:$D$504,"&gt;="&amp;A2395,'Zgłoszenia'!$D$5:$D$504,"&lt;="&amp;(A2395+1)))</f>
        <v/>
      </c>
      <c r="L2395" s="63">
        <f>IF(OR(H2395="",K2395=0),"—",IF(ISNUMBER(MATCH(H2395,'Zgłoszenia'!$S$5:$S$504,0)),RIGHT("0"&amp;DAY(A2395),2)&amp;"."&amp;RIGHT("0"&amp;MONTH(A2395),2)&amp;"."&amp;YEAR(A2395)&amp;": "&amp;INDEX('Zgłoszenia'!$H$5:$H$504,MATCH(H2395,'Zgłoszenia'!$S$5:$S$504,0)),RIGHT("0"&amp;DAY((A2395+1)),2)&amp;"."&amp;RIGHT("0"&amp;MONTH((A2395+1)),2)&amp;"."&amp;YEAR((A2395+1))&amp;": "&amp;INDEX('Zgłoszenia'!$H$5:$H$504,MATCH(F2395&amp;"|"&amp;(A2395+1),'Zgłoszenia'!$S$5:$S$504,0)))&amp;IF(K2395&gt;1," (+"&amp;(K2395-1)&amp;")",""))</f>
        <v/>
      </c>
      <c r="M2395" s="63" t="n">
        <v>30</v>
      </c>
      <c r="N2395" s="2" t="n"/>
      <c r="O2395" s="2" t="n"/>
    </row>
    <row r="2396">
      <c r="A2396" s="62">
        <f>IF('30'!$C$1="","",'30'!$C$1)</f>
        <v/>
      </c>
      <c r="B2396" s="63">
        <f>Ustawienia!$A$9&amp;""</f>
        <v/>
      </c>
      <c r="C2396" s="63">
        <f>Ustawienia!$A$17&amp;""</f>
        <v/>
      </c>
      <c r="D2396" s="63" t="n">
        <v>1</v>
      </c>
      <c r="E2396" s="63">
        <f>IF('30'!F27="","",TRIM('30'!F27&amp;""))</f>
        <v/>
      </c>
      <c r="F2396" s="63">
        <f>IF('30'!G27="","",'30'!G27)</f>
        <v/>
      </c>
      <c r="G2396" s="63">
        <f>'30'!H27&amp;""</f>
        <v/>
      </c>
      <c r="H2396" s="63">
        <f>IF(OR(A2396="",F2396=""),"",F2396&amp;"|"&amp;A2396)</f>
        <v/>
      </c>
      <c r="I2396" s="63">
        <f>IF(AND(H2396&lt;&gt;"",OR('Historia wózka'!$B$4="",F2396='Historia wózka'!$B$4),A2396&gt;='Historia wózka'!$B$5,A2396&lt;='Historia wózka'!$B$6),A2396+0.8+(5000-ROW())/10000000,0)</f>
        <v/>
      </c>
      <c r="J2396" s="63">
        <f>Ustawienia!$B$9&amp;""</f>
        <v/>
      </c>
      <c r="K2396" s="63">
        <f>IF(H2396="","",COUNTIFS('Zgłoszenia'!$B$5:$B$504,F2396,'Zgłoszenia'!$D$5:$D$504,"&gt;="&amp;A2396,'Zgłoszenia'!$D$5:$D$504,"&lt;="&amp;(A2396+1)))</f>
        <v/>
      </c>
      <c r="L2396" s="63">
        <f>IF(OR(H2396="",K2396=0),"—",IF(ISNUMBER(MATCH(H2396,'Zgłoszenia'!$S$5:$S$504,0)),RIGHT("0"&amp;DAY(A2396),2)&amp;"."&amp;RIGHT("0"&amp;MONTH(A2396),2)&amp;"."&amp;YEAR(A2396)&amp;": "&amp;INDEX('Zgłoszenia'!$H$5:$H$504,MATCH(H2396,'Zgłoszenia'!$S$5:$S$504,0)),RIGHT("0"&amp;DAY((A2396+1)),2)&amp;"."&amp;RIGHT("0"&amp;MONTH((A2396+1)),2)&amp;"."&amp;YEAR((A2396+1))&amp;": "&amp;INDEX('Zgłoszenia'!$H$5:$H$504,MATCH(F2396&amp;"|"&amp;(A2396+1),'Zgłoszenia'!$S$5:$S$504,0)))&amp;IF(K2396&gt;1," (+"&amp;(K2396-1)&amp;")",""))</f>
        <v/>
      </c>
      <c r="M2396" s="63" t="n">
        <v>30</v>
      </c>
      <c r="N2396" s="2" t="n"/>
      <c r="O2396" s="2" t="n"/>
    </row>
    <row r="2397">
      <c r="A2397" s="62">
        <f>IF('30'!$C$1="","",'30'!$C$1)</f>
        <v/>
      </c>
      <c r="B2397" s="63">
        <f>Ustawienia!$A$9&amp;""</f>
        <v/>
      </c>
      <c r="C2397" s="63">
        <f>Ustawienia!$A$17&amp;""</f>
        <v/>
      </c>
      <c r="D2397" s="63" t="n">
        <v>2</v>
      </c>
      <c r="E2397" s="63">
        <f>IF('30'!F28="","",TRIM('30'!F28&amp;""))</f>
        <v/>
      </c>
      <c r="F2397" s="63">
        <f>IF('30'!G28="","",'30'!G28)</f>
        <v/>
      </c>
      <c r="G2397" s="63">
        <f>'30'!H28&amp;""</f>
        <v/>
      </c>
      <c r="H2397" s="63">
        <f>IF(OR(A2397="",F2397=""),"",F2397&amp;"|"&amp;A2397)</f>
        <v/>
      </c>
      <c r="I2397" s="63">
        <f>IF(AND(H2397&lt;&gt;"",OR('Historia wózka'!$B$4="",F2397='Historia wózka'!$B$4),A2397&gt;='Historia wózka'!$B$5,A2397&lt;='Historia wózka'!$B$6),A2397+0.8+(5000-ROW())/10000000,0)</f>
        <v/>
      </c>
      <c r="J2397" s="63">
        <f>Ustawienia!$B$9&amp;""</f>
        <v/>
      </c>
      <c r="K2397" s="63">
        <f>IF(H2397="","",COUNTIFS('Zgłoszenia'!$B$5:$B$504,F2397,'Zgłoszenia'!$D$5:$D$504,"&gt;="&amp;A2397,'Zgłoszenia'!$D$5:$D$504,"&lt;="&amp;(A2397+1)))</f>
        <v/>
      </c>
      <c r="L2397" s="63">
        <f>IF(OR(H2397="",K2397=0),"—",IF(ISNUMBER(MATCH(H2397,'Zgłoszenia'!$S$5:$S$504,0)),RIGHT("0"&amp;DAY(A2397),2)&amp;"."&amp;RIGHT("0"&amp;MONTH(A2397),2)&amp;"."&amp;YEAR(A2397)&amp;": "&amp;INDEX('Zgłoszenia'!$H$5:$H$504,MATCH(H2397,'Zgłoszenia'!$S$5:$S$504,0)),RIGHT("0"&amp;DAY((A2397+1)),2)&amp;"."&amp;RIGHT("0"&amp;MONTH((A2397+1)),2)&amp;"."&amp;YEAR((A2397+1))&amp;": "&amp;INDEX('Zgłoszenia'!$H$5:$H$504,MATCH(F2397&amp;"|"&amp;(A2397+1),'Zgłoszenia'!$S$5:$S$504,0)))&amp;IF(K2397&gt;1," (+"&amp;(K2397-1)&amp;")",""))</f>
        <v/>
      </c>
      <c r="M2397" s="63" t="n">
        <v>30</v>
      </c>
      <c r="N2397" s="2" t="n"/>
      <c r="O2397" s="2" t="n"/>
    </row>
    <row r="2398">
      <c r="A2398" s="62">
        <f>IF('30'!$C$1="","",'30'!$C$1)</f>
        <v/>
      </c>
      <c r="B2398" s="63">
        <f>Ustawienia!$A$9&amp;""</f>
        <v/>
      </c>
      <c r="C2398" s="63">
        <f>Ustawienia!$A$17&amp;""</f>
        <v/>
      </c>
      <c r="D2398" s="63" t="n">
        <v>3</v>
      </c>
      <c r="E2398" s="63">
        <f>IF('30'!F29="","",TRIM('30'!F29&amp;""))</f>
        <v/>
      </c>
      <c r="F2398" s="63">
        <f>IF('30'!G29="","",'30'!G29)</f>
        <v/>
      </c>
      <c r="G2398" s="63">
        <f>'30'!H29&amp;""</f>
        <v/>
      </c>
      <c r="H2398" s="63">
        <f>IF(OR(A2398="",F2398=""),"",F2398&amp;"|"&amp;A2398)</f>
        <v/>
      </c>
      <c r="I2398" s="63">
        <f>IF(AND(H2398&lt;&gt;"",OR('Historia wózka'!$B$4="",F2398='Historia wózka'!$B$4),A2398&gt;='Historia wózka'!$B$5,A2398&lt;='Historia wózka'!$B$6),A2398+0.8+(5000-ROW())/10000000,0)</f>
        <v/>
      </c>
      <c r="J2398" s="63">
        <f>Ustawienia!$B$9&amp;""</f>
        <v/>
      </c>
      <c r="K2398" s="63">
        <f>IF(H2398="","",COUNTIFS('Zgłoszenia'!$B$5:$B$504,F2398,'Zgłoszenia'!$D$5:$D$504,"&gt;="&amp;A2398,'Zgłoszenia'!$D$5:$D$504,"&lt;="&amp;(A2398+1)))</f>
        <v/>
      </c>
      <c r="L2398" s="63">
        <f>IF(OR(H2398="",K2398=0),"—",IF(ISNUMBER(MATCH(H2398,'Zgłoszenia'!$S$5:$S$504,0)),RIGHT("0"&amp;DAY(A2398),2)&amp;"."&amp;RIGHT("0"&amp;MONTH(A2398),2)&amp;"."&amp;YEAR(A2398)&amp;": "&amp;INDEX('Zgłoszenia'!$H$5:$H$504,MATCH(H2398,'Zgłoszenia'!$S$5:$S$504,0)),RIGHT("0"&amp;DAY((A2398+1)),2)&amp;"."&amp;RIGHT("0"&amp;MONTH((A2398+1)),2)&amp;"."&amp;YEAR((A2398+1))&amp;": "&amp;INDEX('Zgłoszenia'!$H$5:$H$504,MATCH(F2398&amp;"|"&amp;(A2398+1),'Zgłoszenia'!$S$5:$S$504,0)))&amp;IF(K2398&gt;1," (+"&amp;(K2398-1)&amp;")",""))</f>
        <v/>
      </c>
      <c r="M2398" s="63" t="n">
        <v>30</v>
      </c>
      <c r="N2398" s="2" t="n"/>
      <c r="O2398" s="2" t="n"/>
    </row>
    <row r="2399">
      <c r="A2399" s="62">
        <f>IF('30'!$C$1="","",'30'!$C$1)</f>
        <v/>
      </c>
      <c r="B2399" s="63">
        <f>Ustawienia!$A$9&amp;""</f>
        <v/>
      </c>
      <c r="C2399" s="63">
        <f>Ustawienia!$A$17&amp;""</f>
        <v/>
      </c>
      <c r="D2399" s="63" t="n">
        <v>4</v>
      </c>
      <c r="E2399" s="63">
        <f>IF('30'!F30="","",TRIM('30'!F30&amp;""))</f>
        <v/>
      </c>
      <c r="F2399" s="63">
        <f>IF('30'!G30="","",'30'!G30)</f>
        <v/>
      </c>
      <c r="G2399" s="63">
        <f>'30'!H30&amp;""</f>
        <v/>
      </c>
      <c r="H2399" s="63">
        <f>IF(OR(A2399="",F2399=""),"",F2399&amp;"|"&amp;A2399)</f>
        <v/>
      </c>
      <c r="I2399" s="63">
        <f>IF(AND(H2399&lt;&gt;"",OR('Historia wózka'!$B$4="",F2399='Historia wózka'!$B$4),A2399&gt;='Historia wózka'!$B$5,A2399&lt;='Historia wózka'!$B$6),A2399+0.8+(5000-ROW())/10000000,0)</f>
        <v/>
      </c>
      <c r="J2399" s="63">
        <f>Ustawienia!$B$9&amp;""</f>
        <v/>
      </c>
      <c r="K2399" s="63">
        <f>IF(H2399="","",COUNTIFS('Zgłoszenia'!$B$5:$B$504,F2399,'Zgłoszenia'!$D$5:$D$504,"&gt;="&amp;A2399,'Zgłoszenia'!$D$5:$D$504,"&lt;="&amp;(A2399+1)))</f>
        <v/>
      </c>
      <c r="L2399" s="63">
        <f>IF(OR(H2399="",K2399=0),"—",IF(ISNUMBER(MATCH(H2399,'Zgłoszenia'!$S$5:$S$504,0)),RIGHT("0"&amp;DAY(A2399),2)&amp;"."&amp;RIGHT("0"&amp;MONTH(A2399),2)&amp;"."&amp;YEAR(A2399)&amp;": "&amp;INDEX('Zgłoszenia'!$H$5:$H$504,MATCH(H2399,'Zgłoszenia'!$S$5:$S$504,0)),RIGHT("0"&amp;DAY((A2399+1)),2)&amp;"."&amp;RIGHT("0"&amp;MONTH((A2399+1)),2)&amp;"."&amp;YEAR((A2399+1))&amp;": "&amp;INDEX('Zgłoszenia'!$H$5:$H$504,MATCH(F2399&amp;"|"&amp;(A2399+1),'Zgłoszenia'!$S$5:$S$504,0)))&amp;IF(K2399&gt;1," (+"&amp;(K2399-1)&amp;")",""))</f>
        <v/>
      </c>
      <c r="M2399" s="63" t="n">
        <v>30</v>
      </c>
      <c r="N2399" s="2" t="n"/>
      <c r="O2399" s="2" t="n"/>
    </row>
    <row r="2400">
      <c r="A2400" s="62">
        <f>IF('30'!$C$1="","",'30'!$C$1)</f>
        <v/>
      </c>
      <c r="B2400" s="63">
        <f>Ustawienia!$A$9&amp;""</f>
        <v/>
      </c>
      <c r="C2400" s="63">
        <f>Ustawienia!$A$18&amp;""</f>
        <v/>
      </c>
      <c r="D2400" s="63" t="n">
        <v>1</v>
      </c>
      <c r="E2400" s="63">
        <f>IF('30'!F32="","",TRIM('30'!F32&amp;""))</f>
        <v/>
      </c>
      <c r="F2400" s="63">
        <f>IF('30'!G32="","",'30'!G32)</f>
        <v/>
      </c>
      <c r="G2400" s="63">
        <f>'30'!H32&amp;""</f>
        <v/>
      </c>
      <c r="H2400" s="63">
        <f>IF(OR(A2400="",F2400=""),"",F2400&amp;"|"&amp;A2400)</f>
        <v/>
      </c>
      <c r="I2400" s="63">
        <f>IF(AND(H2400&lt;&gt;"",OR('Historia wózka'!$B$4="",F2400='Historia wózka'!$B$4),A2400&gt;='Historia wózka'!$B$5,A2400&lt;='Historia wózka'!$B$6),A2400+0.8+(5000-ROW())/10000000,0)</f>
        <v/>
      </c>
      <c r="J2400" s="63">
        <f>Ustawienia!$B$9&amp;""</f>
        <v/>
      </c>
      <c r="K2400" s="63">
        <f>IF(H2400="","",COUNTIFS('Zgłoszenia'!$B$5:$B$504,F2400,'Zgłoszenia'!$D$5:$D$504,"&gt;="&amp;A2400,'Zgłoszenia'!$D$5:$D$504,"&lt;="&amp;(A2400+1)))</f>
        <v/>
      </c>
      <c r="L2400" s="63">
        <f>IF(OR(H2400="",K2400=0),"—",IF(ISNUMBER(MATCH(H2400,'Zgłoszenia'!$S$5:$S$504,0)),RIGHT("0"&amp;DAY(A2400),2)&amp;"."&amp;RIGHT("0"&amp;MONTH(A2400),2)&amp;"."&amp;YEAR(A2400)&amp;": "&amp;INDEX('Zgłoszenia'!$H$5:$H$504,MATCH(H2400,'Zgłoszenia'!$S$5:$S$504,0)),RIGHT("0"&amp;DAY((A2400+1)),2)&amp;"."&amp;RIGHT("0"&amp;MONTH((A2400+1)),2)&amp;"."&amp;YEAR((A2400+1))&amp;": "&amp;INDEX('Zgłoszenia'!$H$5:$H$504,MATCH(F2400&amp;"|"&amp;(A2400+1),'Zgłoszenia'!$S$5:$S$504,0)))&amp;IF(K2400&gt;1," (+"&amp;(K2400-1)&amp;")",""))</f>
        <v/>
      </c>
      <c r="M2400" s="63" t="n">
        <v>30</v>
      </c>
      <c r="N2400" s="2" t="n"/>
      <c r="O2400" s="2" t="n"/>
    </row>
    <row r="2401">
      <c r="A2401" s="62">
        <f>IF('30'!$C$1="","",'30'!$C$1)</f>
        <v/>
      </c>
      <c r="B2401" s="63">
        <f>Ustawienia!$A$9&amp;""</f>
        <v/>
      </c>
      <c r="C2401" s="63">
        <f>Ustawienia!$A$18&amp;""</f>
        <v/>
      </c>
      <c r="D2401" s="63" t="n">
        <v>2</v>
      </c>
      <c r="E2401" s="63">
        <f>IF('30'!F33="","",TRIM('30'!F33&amp;""))</f>
        <v/>
      </c>
      <c r="F2401" s="63">
        <f>IF('30'!G33="","",'30'!G33)</f>
        <v/>
      </c>
      <c r="G2401" s="63">
        <f>'30'!H33&amp;""</f>
        <v/>
      </c>
      <c r="H2401" s="63">
        <f>IF(OR(A2401="",F2401=""),"",F2401&amp;"|"&amp;A2401)</f>
        <v/>
      </c>
      <c r="I2401" s="63">
        <f>IF(AND(H2401&lt;&gt;"",OR('Historia wózka'!$B$4="",F2401='Historia wózka'!$B$4),A2401&gt;='Historia wózka'!$B$5,A2401&lt;='Historia wózka'!$B$6),A2401+0.8+(5000-ROW())/10000000,0)</f>
        <v/>
      </c>
      <c r="J2401" s="63">
        <f>Ustawienia!$B$9&amp;""</f>
        <v/>
      </c>
      <c r="K2401" s="63">
        <f>IF(H2401="","",COUNTIFS('Zgłoszenia'!$B$5:$B$504,F2401,'Zgłoszenia'!$D$5:$D$504,"&gt;="&amp;A2401,'Zgłoszenia'!$D$5:$D$504,"&lt;="&amp;(A2401+1)))</f>
        <v/>
      </c>
      <c r="L2401" s="63">
        <f>IF(OR(H2401="",K2401=0),"—",IF(ISNUMBER(MATCH(H2401,'Zgłoszenia'!$S$5:$S$504,0)),RIGHT("0"&amp;DAY(A2401),2)&amp;"."&amp;RIGHT("0"&amp;MONTH(A2401),2)&amp;"."&amp;YEAR(A2401)&amp;": "&amp;INDEX('Zgłoszenia'!$H$5:$H$504,MATCH(H2401,'Zgłoszenia'!$S$5:$S$504,0)),RIGHT("0"&amp;DAY((A2401+1)),2)&amp;"."&amp;RIGHT("0"&amp;MONTH((A2401+1)),2)&amp;"."&amp;YEAR((A2401+1))&amp;": "&amp;INDEX('Zgłoszenia'!$H$5:$H$504,MATCH(F2401&amp;"|"&amp;(A2401+1),'Zgłoszenia'!$S$5:$S$504,0)))&amp;IF(K2401&gt;1," (+"&amp;(K2401-1)&amp;")",""))</f>
        <v/>
      </c>
      <c r="M2401" s="63" t="n">
        <v>30</v>
      </c>
      <c r="N2401" s="2" t="n"/>
      <c r="O2401" s="2" t="n"/>
    </row>
    <row r="2402">
      <c r="A2402" s="62">
        <f>IF('30'!$C$1="","",'30'!$C$1)</f>
        <v/>
      </c>
      <c r="B2402" s="63">
        <f>Ustawienia!$A$9&amp;""</f>
        <v/>
      </c>
      <c r="C2402" s="63">
        <f>Ustawienia!$A$18&amp;""</f>
        <v/>
      </c>
      <c r="D2402" s="63" t="n">
        <v>3</v>
      </c>
      <c r="E2402" s="63">
        <f>IF('30'!F34="","",TRIM('30'!F34&amp;""))</f>
        <v/>
      </c>
      <c r="F2402" s="63">
        <f>IF('30'!G34="","",'30'!G34)</f>
        <v/>
      </c>
      <c r="G2402" s="63">
        <f>'30'!H34&amp;""</f>
        <v/>
      </c>
      <c r="H2402" s="63">
        <f>IF(OR(A2402="",F2402=""),"",F2402&amp;"|"&amp;A2402)</f>
        <v/>
      </c>
      <c r="I2402" s="63">
        <f>IF(AND(H2402&lt;&gt;"",OR('Historia wózka'!$B$4="",F2402='Historia wózka'!$B$4),A2402&gt;='Historia wózka'!$B$5,A2402&lt;='Historia wózka'!$B$6),A2402+0.8+(5000-ROW())/10000000,0)</f>
        <v/>
      </c>
      <c r="J2402" s="63">
        <f>Ustawienia!$B$9&amp;""</f>
        <v/>
      </c>
      <c r="K2402" s="63">
        <f>IF(H2402="","",COUNTIFS('Zgłoszenia'!$B$5:$B$504,F2402,'Zgłoszenia'!$D$5:$D$504,"&gt;="&amp;A2402,'Zgłoszenia'!$D$5:$D$504,"&lt;="&amp;(A2402+1)))</f>
        <v/>
      </c>
      <c r="L2402" s="63">
        <f>IF(OR(H2402="",K2402=0),"—",IF(ISNUMBER(MATCH(H2402,'Zgłoszenia'!$S$5:$S$504,0)),RIGHT("0"&amp;DAY(A2402),2)&amp;"."&amp;RIGHT("0"&amp;MONTH(A2402),2)&amp;"."&amp;YEAR(A2402)&amp;": "&amp;INDEX('Zgłoszenia'!$H$5:$H$504,MATCH(H2402,'Zgłoszenia'!$S$5:$S$504,0)),RIGHT("0"&amp;DAY((A2402+1)),2)&amp;"."&amp;RIGHT("0"&amp;MONTH((A2402+1)),2)&amp;"."&amp;YEAR((A2402+1))&amp;": "&amp;INDEX('Zgłoszenia'!$H$5:$H$504,MATCH(F2402&amp;"|"&amp;(A2402+1),'Zgłoszenia'!$S$5:$S$504,0)))&amp;IF(K2402&gt;1," (+"&amp;(K2402-1)&amp;")",""))</f>
        <v/>
      </c>
      <c r="M2402" s="63" t="n">
        <v>30</v>
      </c>
      <c r="N2402" s="2" t="n"/>
      <c r="O2402" s="2" t="n"/>
    </row>
    <row r="2403">
      <c r="A2403" s="62">
        <f>IF('30'!$C$1="","",'30'!$C$1)</f>
        <v/>
      </c>
      <c r="B2403" s="63">
        <f>Ustawienia!$A$9&amp;""</f>
        <v/>
      </c>
      <c r="C2403" s="63">
        <f>Ustawienia!$A$18&amp;""</f>
        <v/>
      </c>
      <c r="D2403" s="63" t="n">
        <v>4</v>
      </c>
      <c r="E2403" s="63">
        <f>IF('30'!F35="","",TRIM('30'!F35&amp;""))</f>
        <v/>
      </c>
      <c r="F2403" s="63">
        <f>IF('30'!G35="","",'30'!G35)</f>
        <v/>
      </c>
      <c r="G2403" s="63">
        <f>'30'!H35&amp;""</f>
        <v/>
      </c>
      <c r="H2403" s="63">
        <f>IF(OR(A2403="",F2403=""),"",F2403&amp;"|"&amp;A2403)</f>
        <v/>
      </c>
      <c r="I2403" s="63">
        <f>IF(AND(H2403&lt;&gt;"",OR('Historia wózka'!$B$4="",F2403='Historia wózka'!$B$4),A2403&gt;='Historia wózka'!$B$5,A2403&lt;='Historia wózka'!$B$6),A2403+0.8+(5000-ROW())/10000000,0)</f>
        <v/>
      </c>
      <c r="J2403" s="63">
        <f>Ustawienia!$B$9&amp;""</f>
        <v/>
      </c>
      <c r="K2403" s="63">
        <f>IF(H2403="","",COUNTIFS('Zgłoszenia'!$B$5:$B$504,F2403,'Zgłoszenia'!$D$5:$D$504,"&gt;="&amp;A2403,'Zgłoszenia'!$D$5:$D$504,"&lt;="&amp;(A2403+1)))</f>
        <v/>
      </c>
      <c r="L2403" s="63">
        <f>IF(OR(H2403="",K2403=0),"—",IF(ISNUMBER(MATCH(H2403,'Zgłoszenia'!$S$5:$S$504,0)),RIGHT("0"&amp;DAY(A2403),2)&amp;"."&amp;RIGHT("0"&amp;MONTH(A2403),2)&amp;"."&amp;YEAR(A2403)&amp;": "&amp;INDEX('Zgłoszenia'!$H$5:$H$504,MATCH(H2403,'Zgłoszenia'!$S$5:$S$504,0)),RIGHT("0"&amp;DAY((A2403+1)),2)&amp;"."&amp;RIGHT("0"&amp;MONTH((A2403+1)),2)&amp;"."&amp;YEAR((A2403+1))&amp;": "&amp;INDEX('Zgłoszenia'!$H$5:$H$504,MATCH(F2403&amp;"|"&amp;(A2403+1),'Zgłoszenia'!$S$5:$S$504,0)))&amp;IF(K2403&gt;1," (+"&amp;(K2403-1)&amp;")",""))</f>
        <v/>
      </c>
      <c r="M2403" s="63" t="n">
        <v>30</v>
      </c>
      <c r="N2403" s="2" t="n"/>
      <c r="O2403" s="2" t="n"/>
    </row>
    <row r="2404">
      <c r="A2404" s="62">
        <f>IF('30'!$C$1="","",'30'!$C$1)</f>
        <v/>
      </c>
      <c r="B2404" s="63">
        <f>Ustawienia!$A$9&amp;""</f>
        <v/>
      </c>
      <c r="C2404" s="63">
        <f>Ustawienia!$A$18&amp;""</f>
        <v/>
      </c>
      <c r="D2404" s="63" t="n">
        <v>5</v>
      </c>
      <c r="E2404" s="63">
        <f>IF('30'!F36="","",TRIM('30'!F36&amp;""))</f>
        <v/>
      </c>
      <c r="F2404" s="63">
        <f>IF('30'!G36="","",'30'!G36)</f>
        <v/>
      </c>
      <c r="G2404" s="63">
        <f>'30'!H36&amp;""</f>
        <v/>
      </c>
      <c r="H2404" s="63">
        <f>IF(OR(A2404="",F2404=""),"",F2404&amp;"|"&amp;A2404)</f>
        <v/>
      </c>
      <c r="I2404" s="63">
        <f>IF(AND(H2404&lt;&gt;"",OR('Historia wózka'!$B$4="",F2404='Historia wózka'!$B$4),A2404&gt;='Historia wózka'!$B$5,A2404&lt;='Historia wózka'!$B$6),A2404+0.8+(5000-ROW())/10000000,0)</f>
        <v/>
      </c>
      <c r="J2404" s="63">
        <f>Ustawienia!$B$9&amp;""</f>
        <v/>
      </c>
      <c r="K2404" s="63">
        <f>IF(H2404="","",COUNTIFS('Zgłoszenia'!$B$5:$B$504,F2404,'Zgłoszenia'!$D$5:$D$504,"&gt;="&amp;A2404,'Zgłoszenia'!$D$5:$D$504,"&lt;="&amp;(A2404+1)))</f>
        <v/>
      </c>
      <c r="L2404" s="63">
        <f>IF(OR(H2404="",K2404=0),"—",IF(ISNUMBER(MATCH(H2404,'Zgłoszenia'!$S$5:$S$504,0)),RIGHT("0"&amp;DAY(A2404),2)&amp;"."&amp;RIGHT("0"&amp;MONTH(A2404),2)&amp;"."&amp;YEAR(A2404)&amp;": "&amp;INDEX('Zgłoszenia'!$H$5:$H$504,MATCH(H2404,'Zgłoszenia'!$S$5:$S$504,0)),RIGHT("0"&amp;DAY((A2404+1)),2)&amp;"."&amp;RIGHT("0"&amp;MONTH((A2404+1)),2)&amp;"."&amp;YEAR((A2404+1))&amp;": "&amp;INDEX('Zgłoszenia'!$H$5:$H$504,MATCH(F2404&amp;"|"&amp;(A2404+1),'Zgłoszenia'!$S$5:$S$504,0)))&amp;IF(K2404&gt;1," (+"&amp;(K2404-1)&amp;")",""))</f>
        <v/>
      </c>
      <c r="M2404" s="63" t="n">
        <v>30</v>
      </c>
      <c r="N2404" s="2" t="n"/>
      <c r="O2404" s="2" t="n"/>
    </row>
    <row r="2405">
      <c r="A2405" s="62">
        <f>IF('30'!$C$1="","",'30'!$C$1)</f>
        <v/>
      </c>
      <c r="B2405" s="63">
        <f>Ustawienia!$A$10&amp;""</f>
        <v/>
      </c>
      <c r="C2405" s="63">
        <f>Ustawienia!$A$14&amp;""</f>
        <v/>
      </c>
      <c r="D2405" s="63" t="n">
        <v>1</v>
      </c>
      <c r="E2405" s="63">
        <f>IF('30'!J6="","",TRIM('30'!J6&amp;""))</f>
        <v/>
      </c>
      <c r="F2405" s="63">
        <f>IF('30'!K6="","",'30'!K6)</f>
        <v/>
      </c>
      <c r="G2405" s="63">
        <f>'30'!L6&amp;""</f>
        <v/>
      </c>
      <c r="H2405" s="63">
        <f>IF(OR(A2405="",F2405=""),"",F2405&amp;"|"&amp;A2405)</f>
        <v/>
      </c>
      <c r="I2405" s="63">
        <f>IF(AND(H2405&lt;&gt;"",OR('Historia wózka'!$B$4="",F2405='Historia wózka'!$B$4),A2405&gt;='Historia wózka'!$B$5,A2405&lt;='Historia wózka'!$B$6),A2405+0.7+(5000-ROW())/10000000,0)</f>
        <v/>
      </c>
      <c r="J2405" s="63">
        <f>Ustawienia!$B$10&amp;""</f>
        <v/>
      </c>
      <c r="K2405" s="63">
        <f>IF(H2405="","",COUNTIFS('Zgłoszenia'!$B$5:$B$504,F2405,'Zgłoszenia'!$D$5:$D$504,"&gt;="&amp;A2405,'Zgłoszenia'!$D$5:$D$504,"&lt;="&amp;(A2405+1)))</f>
        <v/>
      </c>
      <c r="L2405" s="63">
        <f>IF(OR(H2405="",K2405=0),"—",IF(ISNUMBER(MATCH(H2405,'Zgłoszenia'!$S$5:$S$504,0)),RIGHT("0"&amp;DAY(A2405),2)&amp;"."&amp;RIGHT("0"&amp;MONTH(A2405),2)&amp;"."&amp;YEAR(A2405)&amp;": "&amp;INDEX('Zgłoszenia'!$H$5:$H$504,MATCH(H2405,'Zgłoszenia'!$S$5:$S$504,0)),RIGHT("0"&amp;DAY((A2405+1)),2)&amp;"."&amp;RIGHT("0"&amp;MONTH((A2405+1)),2)&amp;"."&amp;YEAR((A2405+1))&amp;": "&amp;INDEX('Zgłoszenia'!$H$5:$H$504,MATCH(F2405&amp;"|"&amp;(A2405+1),'Zgłoszenia'!$S$5:$S$504,0)))&amp;IF(K2405&gt;1," (+"&amp;(K2405-1)&amp;")",""))</f>
        <v/>
      </c>
      <c r="M2405" s="63" t="n">
        <v>30</v>
      </c>
      <c r="N2405" s="2" t="n"/>
      <c r="O2405" s="2" t="n"/>
    </row>
    <row r="2406">
      <c r="A2406" s="62">
        <f>IF('30'!$C$1="","",'30'!$C$1)</f>
        <v/>
      </c>
      <c r="B2406" s="63">
        <f>Ustawienia!$A$10&amp;""</f>
        <v/>
      </c>
      <c r="C2406" s="63">
        <f>Ustawienia!$A$14&amp;""</f>
        <v/>
      </c>
      <c r="D2406" s="63" t="n">
        <v>2</v>
      </c>
      <c r="E2406" s="63">
        <f>IF('30'!J7="","",TRIM('30'!J7&amp;""))</f>
        <v/>
      </c>
      <c r="F2406" s="63">
        <f>IF('30'!K7="","",'30'!K7)</f>
        <v/>
      </c>
      <c r="G2406" s="63">
        <f>'30'!L7&amp;""</f>
        <v/>
      </c>
      <c r="H2406" s="63">
        <f>IF(OR(A2406="",F2406=""),"",F2406&amp;"|"&amp;A2406)</f>
        <v/>
      </c>
      <c r="I2406" s="63">
        <f>IF(AND(H2406&lt;&gt;"",OR('Historia wózka'!$B$4="",F2406='Historia wózka'!$B$4),A2406&gt;='Historia wózka'!$B$5,A2406&lt;='Historia wózka'!$B$6),A2406+0.7+(5000-ROW())/10000000,0)</f>
        <v/>
      </c>
      <c r="J2406" s="63">
        <f>Ustawienia!$B$10&amp;""</f>
        <v/>
      </c>
      <c r="K2406" s="63">
        <f>IF(H2406="","",COUNTIFS('Zgłoszenia'!$B$5:$B$504,F2406,'Zgłoszenia'!$D$5:$D$504,"&gt;="&amp;A2406,'Zgłoszenia'!$D$5:$D$504,"&lt;="&amp;(A2406+1)))</f>
        <v/>
      </c>
      <c r="L2406" s="63">
        <f>IF(OR(H2406="",K2406=0),"—",IF(ISNUMBER(MATCH(H2406,'Zgłoszenia'!$S$5:$S$504,0)),RIGHT("0"&amp;DAY(A2406),2)&amp;"."&amp;RIGHT("0"&amp;MONTH(A2406),2)&amp;"."&amp;YEAR(A2406)&amp;": "&amp;INDEX('Zgłoszenia'!$H$5:$H$504,MATCH(H2406,'Zgłoszenia'!$S$5:$S$504,0)),RIGHT("0"&amp;DAY((A2406+1)),2)&amp;"."&amp;RIGHT("0"&amp;MONTH((A2406+1)),2)&amp;"."&amp;YEAR((A2406+1))&amp;": "&amp;INDEX('Zgłoszenia'!$H$5:$H$504,MATCH(F2406&amp;"|"&amp;(A2406+1),'Zgłoszenia'!$S$5:$S$504,0)))&amp;IF(K2406&gt;1," (+"&amp;(K2406-1)&amp;")",""))</f>
        <v/>
      </c>
      <c r="M2406" s="63" t="n">
        <v>30</v>
      </c>
      <c r="N2406" s="2" t="n"/>
      <c r="O2406" s="2" t="n"/>
    </row>
    <row r="2407">
      <c r="A2407" s="62">
        <f>IF('30'!$C$1="","",'30'!$C$1)</f>
        <v/>
      </c>
      <c r="B2407" s="63">
        <f>Ustawienia!$A$10&amp;""</f>
        <v/>
      </c>
      <c r="C2407" s="63">
        <f>Ustawienia!$A$14&amp;""</f>
        <v/>
      </c>
      <c r="D2407" s="63" t="n">
        <v>3</v>
      </c>
      <c r="E2407" s="63">
        <f>IF('30'!J8="","",TRIM('30'!J8&amp;""))</f>
        <v/>
      </c>
      <c r="F2407" s="63">
        <f>IF('30'!K8="","",'30'!K8)</f>
        <v/>
      </c>
      <c r="G2407" s="63">
        <f>'30'!L8&amp;""</f>
        <v/>
      </c>
      <c r="H2407" s="63">
        <f>IF(OR(A2407="",F2407=""),"",F2407&amp;"|"&amp;A2407)</f>
        <v/>
      </c>
      <c r="I2407" s="63">
        <f>IF(AND(H2407&lt;&gt;"",OR('Historia wózka'!$B$4="",F2407='Historia wózka'!$B$4),A2407&gt;='Historia wózka'!$B$5,A2407&lt;='Historia wózka'!$B$6),A2407+0.7+(5000-ROW())/10000000,0)</f>
        <v/>
      </c>
      <c r="J2407" s="63">
        <f>Ustawienia!$B$10&amp;""</f>
        <v/>
      </c>
      <c r="K2407" s="63">
        <f>IF(H2407="","",COUNTIFS('Zgłoszenia'!$B$5:$B$504,F2407,'Zgłoszenia'!$D$5:$D$504,"&gt;="&amp;A2407,'Zgłoszenia'!$D$5:$D$504,"&lt;="&amp;(A2407+1)))</f>
        <v/>
      </c>
      <c r="L2407" s="63">
        <f>IF(OR(H2407="",K2407=0),"—",IF(ISNUMBER(MATCH(H2407,'Zgłoszenia'!$S$5:$S$504,0)),RIGHT("0"&amp;DAY(A2407),2)&amp;"."&amp;RIGHT("0"&amp;MONTH(A2407),2)&amp;"."&amp;YEAR(A2407)&amp;": "&amp;INDEX('Zgłoszenia'!$H$5:$H$504,MATCH(H2407,'Zgłoszenia'!$S$5:$S$504,0)),RIGHT("0"&amp;DAY((A2407+1)),2)&amp;"."&amp;RIGHT("0"&amp;MONTH((A2407+1)),2)&amp;"."&amp;YEAR((A2407+1))&amp;": "&amp;INDEX('Zgłoszenia'!$H$5:$H$504,MATCH(F2407&amp;"|"&amp;(A2407+1),'Zgłoszenia'!$S$5:$S$504,0)))&amp;IF(K2407&gt;1," (+"&amp;(K2407-1)&amp;")",""))</f>
        <v/>
      </c>
      <c r="M2407" s="63" t="n">
        <v>30</v>
      </c>
      <c r="N2407" s="2" t="n"/>
      <c r="O2407" s="2" t="n"/>
    </row>
    <row r="2408">
      <c r="A2408" s="62">
        <f>IF('30'!$C$1="","",'30'!$C$1)</f>
        <v/>
      </c>
      <c r="B2408" s="63">
        <f>Ustawienia!$A$10&amp;""</f>
        <v/>
      </c>
      <c r="C2408" s="63">
        <f>Ustawienia!$A$14&amp;""</f>
        <v/>
      </c>
      <c r="D2408" s="63" t="n">
        <v>4</v>
      </c>
      <c r="E2408" s="63">
        <f>IF('30'!J9="","",TRIM('30'!J9&amp;""))</f>
        <v/>
      </c>
      <c r="F2408" s="63">
        <f>IF('30'!K9="","",'30'!K9)</f>
        <v/>
      </c>
      <c r="G2408" s="63">
        <f>'30'!L9&amp;""</f>
        <v/>
      </c>
      <c r="H2408" s="63">
        <f>IF(OR(A2408="",F2408=""),"",F2408&amp;"|"&amp;A2408)</f>
        <v/>
      </c>
      <c r="I2408" s="63">
        <f>IF(AND(H2408&lt;&gt;"",OR('Historia wózka'!$B$4="",F2408='Historia wózka'!$B$4),A2408&gt;='Historia wózka'!$B$5,A2408&lt;='Historia wózka'!$B$6),A2408+0.7+(5000-ROW())/10000000,0)</f>
        <v/>
      </c>
      <c r="J2408" s="63">
        <f>Ustawienia!$B$10&amp;""</f>
        <v/>
      </c>
      <c r="K2408" s="63">
        <f>IF(H2408="","",COUNTIFS('Zgłoszenia'!$B$5:$B$504,F2408,'Zgłoszenia'!$D$5:$D$504,"&gt;="&amp;A2408,'Zgłoszenia'!$D$5:$D$504,"&lt;="&amp;(A2408+1)))</f>
        <v/>
      </c>
      <c r="L2408" s="63">
        <f>IF(OR(H2408="",K2408=0),"—",IF(ISNUMBER(MATCH(H2408,'Zgłoszenia'!$S$5:$S$504,0)),RIGHT("0"&amp;DAY(A2408),2)&amp;"."&amp;RIGHT("0"&amp;MONTH(A2408),2)&amp;"."&amp;YEAR(A2408)&amp;": "&amp;INDEX('Zgłoszenia'!$H$5:$H$504,MATCH(H2408,'Zgłoszenia'!$S$5:$S$504,0)),RIGHT("0"&amp;DAY((A2408+1)),2)&amp;"."&amp;RIGHT("0"&amp;MONTH((A2408+1)),2)&amp;"."&amp;YEAR((A2408+1))&amp;": "&amp;INDEX('Zgłoszenia'!$H$5:$H$504,MATCH(F2408&amp;"|"&amp;(A2408+1),'Zgłoszenia'!$S$5:$S$504,0)))&amp;IF(K2408&gt;1," (+"&amp;(K2408-1)&amp;")",""))</f>
        <v/>
      </c>
      <c r="M2408" s="63" t="n">
        <v>30</v>
      </c>
      <c r="N2408" s="2" t="n"/>
      <c r="O2408" s="2" t="n"/>
    </row>
    <row r="2409">
      <c r="A2409" s="62">
        <f>IF('30'!$C$1="","",'30'!$C$1)</f>
        <v/>
      </c>
      <c r="B2409" s="63">
        <f>Ustawienia!$A$10&amp;""</f>
        <v/>
      </c>
      <c r="C2409" s="63">
        <f>Ustawienia!$A$14&amp;""</f>
        <v/>
      </c>
      <c r="D2409" s="63" t="n">
        <v>5</v>
      </c>
      <c r="E2409" s="63">
        <f>IF('30'!J10="","",TRIM('30'!J10&amp;""))</f>
        <v/>
      </c>
      <c r="F2409" s="63">
        <f>IF('30'!K10="","",'30'!K10)</f>
        <v/>
      </c>
      <c r="G2409" s="63">
        <f>'30'!L10&amp;""</f>
        <v/>
      </c>
      <c r="H2409" s="63">
        <f>IF(OR(A2409="",F2409=""),"",F2409&amp;"|"&amp;A2409)</f>
        <v/>
      </c>
      <c r="I2409" s="63">
        <f>IF(AND(H2409&lt;&gt;"",OR('Historia wózka'!$B$4="",F2409='Historia wózka'!$B$4),A2409&gt;='Historia wózka'!$B$5,A2409&lt;='Historia wózka'!$B$6),A2409+0.7+(5000-ROW())/10000000,0)</f>
        <v/>
      </c>
      <c r="J2409" s="63">
        <f>Ustawienia!$B$10&amp;""</f>
        <v/>
      </c>
      <c r="K2409" s="63">
        <f>IF(H2409="","",COUNTIFS('Zgłoszenia'!$B$5:$B$504,F2409,'Zgłoszenia'!$D$5:$D$504,"&gt;="&amp;A2409,'Zgłoszenia'!$D$5:$D$504,"&lt;="&amp;(A2409+1)))</f>
        <v/>
      </c>
      <c r="L2409" s="63">
        <f>IF(OR(H2409="",K2409=0),"—",IF(ISNUMBER(MATCH(H2409,'Zgłoszenia'!$S$5:$S$504,0)),RIGHT("0"&amp;DAY(A2409),2)&amp;"."&amp;RIGHT("0"&amp;MONTH(A2409),2)&amp;"."&amp;YEAR(A2409)&amp;": "&amp;INDEX('Zgłoszenia'!$H$5:$H$504,MATCH(H2409,'Zgłoszenia'!$S$5:$S$504,0)),RIGHT("0"&amp;DAY((A2409+1)),2)&amp;"."&amp;RIGHT("0"&amp;MONTH((A2409+1)),2)&amp;"."&amp;YEAR((A2409+1))&amp;": "&amp;INDEX('Zgłoszenia'!$H$5:$H$504,MATCH(F2409&amp;"|"&amp;(A2409+1),'Zgłoszenia'!$S$5:$S$504,0)))&amp;IF(K2409&gt;1," (+"&amp;(K2409-1)&amp;")",""))</f>
        <v/>
      </c>
      <c r="M2409" s="63" t="n">
        <v>30</v>
      </c>
      <c r="N2409" s="2" t="n"/>
      <c r="O2409" s="2" t="n"/>
    </row>
    <row r="2410">
      <c r="A2410" s="62">
        <f>IF('30'!$C$1="","",'30'!$C$1)</f>
        <v/>
      </c>
      <c r="B2410" s="63">
        <f>Ustawienia!$A$10&amp;""</f>
        <v/>
      </c>
      <c r="C2410" s="63">
        <f>Ustawienia!$A$14&amp;""</f>
        <v/>
      </c>
      <c r="D2410" s="63" t="n">
        <v>6</v>
      </c>
      <c r="E2410" s="63">
        <f>IF('30'!J11="","",TRIM('30'!J11&amp;""))</f>
        <v/>
      </c>
      <c r="F2410" s="63">
        <f>IF('30'!K11="","",'30'!K11)</f>
        <v/>
      </c>
      <c r="G2410" s="63">
        <f>'30'!L11&amp;""</f>
        <v/>
      </c>
      <c r="H2410" s="63">
        <f>IF(OR(A2410="",F2410=""),"",F2410&amp;"|"&amp;A2410)</f>
        <v/>
      </c>
      <c r="I2410" s="63">
        <f>IF(AND(H2410&lt;&gt;"",OR('Historia wózka'!$B$4="",F2410='Historia wózka'!$B$4),A2410&gt;='Historia wózka'!$B$5,A2410&lt;='Historia wózka'!$B$6),A2410+0.7+(5000-ROW())/10000000,0)</f>
        <v/>
      </c>
      <c r="J2410" s="63">
        <f>Ustawienia!$B$10&amp;""</f>
        <v/>
      </c>
      <c r="K2410" s="63">
        <f>IF(H2410="","",COUNTIFS('Zgłoszenia'!$B$5:$B$504,F2410,'Zgłoszenia'!$D$5:$D$504,"&gt;="&amp;A2410,'Zgłoszenia'!$D$5:$D$504,"&lt;="&amp;(A2410+1)))</f>
        <v/>
      </c>
      <c r="L2410" s="63">
        <f>IF(OR(H2410="",K2410=0),"—",IF(ISNUMBER(MATCH(H2410,'Zgłoszenia'!$S$5:$S$504,0)),RIGHT("0"&amp;DAY(A2410),2)&amp;"."&amp;RIGHT("0"&amp;MONTH(A2410),2)&amp;"."&amp;YEAR(A2410)&amp;": "&amp;INDEX('Zgłoszenia'!$H$5:$H$504,MATCH(H2410,'Zgłoszenia'!$S$5:$S$504,0)),RIGHT("0"&amp;DAY((A2410+1)),2)&amp;"."&amp;RIGHT("0"&amp;MONTH((A2410+1)),2)&amp;"."&amp;YEAR((A2410+1))&amp;": "&amp;INDEX('Zgłoszenia'!$H$5:$H$504,MATCH(F2410&amp;"|"&amp;(A2410+1),'Zgłoszenia'!$S$5:$S$504,0)))&amp;IF(K2410&gt;1," (+"&amp;(K2410-1)&amp;")",""))</f>
        <v/>
      </c>
      <c r="M2410" s="63" t="n">
        <v>30</v>
      </c>
      <c r="N2410" s="2" t="n"/>
      <c r="O2410" s="2" t="n"/>
    </row>
    <row r="2411">
      <c r="A2411" s="62">
        <f>IF('30'!$C$1="","",'30'!$C$1)</f>
        <v/>
      </c>
      <c r="B2411" s="63">
        <f>Ustawienia!$A$10&amp;""</f>
        <v/>
      </c>
      <c r="C2411" s="63">
        <f>Ustawienia!$A$15&amp;""</f>
        <v/>
      </c>
      <c r="D2411" s="63" t="n">
        <v>1</v>
      </c>
      <c r="E2411" s="63">
        <f>IF('30'!J13="","",TRIM('30'!J13&amp;""))</f>
        <v/>
      </c>
      <c r="F2411" s="63">
        <f>IF('30'!K13="","",'30'!K13)</f>
        <v/>
      </c>
      <c r="G2411" s="63">
        <f>'30'!L13&amp;""</f>
        <v/>
      </c>
      <c r="H2411" s="63">
        <f>IF(OR(A2411="",F2411=""),"",F2411&amp;"|"&amp;A2411)</f>
        <v/>
      </c>
      <c r="I2411" s="63">
        <f>IF(AND(H2411&lt;&gt;"",OR('Historia wózka'!$B$4="",F2411='Historia wózka'!$B$4),A2411&gt;='Historia wózka'!$B$5,A2411&lt;='Historia wózka'!$B$6),A2411+0.7+(5000-ROW())/10000000,0)</f>
        <v/>
      </c>
      <c r="J2411" s="63">
        <f>Ustawienia!$B$10&amp;""</f>
        <v/>
      </c>
      <c r="K2411" s="63">
        <f>IF(H2411="","",COUNTIFS('Zgłoszenia'!$B$5:$B$504,F2411,'Zgłoszenia'!$D$5:$D$504,"&gt;="&amp;A2411,'Zgłoszenia'!$D$5:$D$504,"&lt;="&amp;(A2411+1)))</f>
        <v/>
      </c>
      <c r="L2411" s="63">
        <f>IF(OR(H2411="",K2411=0),"—",IF(ISNUMBER(MATCH(H2411,'Zgłoszenia'!$S$5:$S$504,0)),RIGHT("0"&amp;DAY(A2411),2)&amp;"."&amp;RIGHT("0"&amp;MONTH(A2411),2)&amp;"."&amp;YEAR(A2411)&amp;": "&amp;INDEX('Zgłoszenia'!$H$5:$H$504,MATCH(H2411,'Zgłoszenia'!$S$5:$S$504,0)),RIGHT("0"&amp;DAY((A2411+1)),2)&amp;"."&amp;RIGHT("0"&amp;MONTH((A2411+1)),2)&amp;"."&amp;YEAR((A2411+1))&amp;": "&amp;INDEX('Zgłoszenia'!$H$5:$H$504,MATCH(F2411&amp;"|"&amp;(A2411+1),'Zgłoszenia'!$S$5:$S$504,0)))&amp;IF(K2411&gt;1," (+"&amp;(K2411-1)&amp;")",""))</f>
        <v/>
      </c>
      <c r="M2411" s="63" t="n">
        <v>30</v>
      </c>
      <c r="N2411" s="2" t="n"/>
      <c r="O2411" s="2" t="n"/>
    </row>
    <row r="2412">
      <c r="A2412" s="62">
        <f>IF('30'!$C$1="","",'30'!$C$1)</f>
        <v/>
      </c>
      <c r="B2412" s="63">
        <f>Ustawienia!$A$10&amp;""</f>
        <v/>
      </c>
      <c r="C2412" s="63">
        <f>Ustawienia!$A$15&amp;""</f>
        <v/>
      </c>
      <c r="D2412" s="63" t="n">
        <v>2</v>
      </c>
      <c r="E2412" s="63">
        <f>IF('30'!J14="","",TRIM('30'!J14&amp;""))</f>
        <v/>
      </c>
      <c r="F2412" s="63">
        <f>IF('30'!K14="","",'30'!K14)</f>
        <v/>
      </c>
      <c r="G2412" s="63">
        <f>'30'!L14&amp;""</f>
        <v/>
      </c>
      <c r="H2412" s="63">
        <f>IF(OR(A2412="",F2412=""),"",F2412&amp;"|"&amp;A2412)</f>
        <v/>
      </c>
      <c r="I2412" s="63">
        <f>IF(AND(H2412&lt;&gt;"",OR('Historia wózka'!$B$4="",F2412='Historia wózka'!$B$4),A2412&gt;='Historia wózka'!$B$5,A2412&lt;='Historia wózka'!$B$6),A2412+0.7+(5000-ROW())/10000000,0)</f>
        <v/>
      </c>
      <c r="J2412" s="63">
        <f>Ustawienia!$B$10&amp;""</f>
        <v/>
      </c>
      <c r="K2412" s="63">
        <f>IF(H2412="","",COUNTIFS('Zgłoszenia'!$B$5:$B$504,F2412,'Zgłoszenia'!$D$5:$D$504,"&gt;="&amp;A2412,'Zgłoszenia'!$D$5:$D$504,"&lt;="&amp;(A2412+1)))</f>
        <v/>
      </c>
      <c r="L2412" s="63">
        <f>IF(OR(H2412="",K2412=0),"—",IF(ISNUMBER(MATCH(H2412,'Zgłoszenia'!$S$5:$S$504,0)),RIGHT("0"&amp;DAY(A2412),2)&amp;"."&amp;RIGHT("0"&amp;MONTH(A2412),2)&amp;"."&amp;YEAR(A2412)&amp;": "&amp;INDEX('Zgłoszenia'!$H$5:$H$504,MATCH(H2412,'Zgłoszenia'!$S$5:$S$504,0)),RIGHT("0"&amp;DAY((A2412+1)),2)&amp;"."&amp;RIGHT("0"&amp;MONTH((A2412+1)),2)&amp;"."&amp;YEAR((A2412+1))&amp;": "&amp;INDEX('Zgłoszenia'!$H$5:$H$504,MATCH(F2412&amp;"|"&amp;(A2412+1),'Zgłoszenia'!$S$5:$S$504,0)))&amp;IF(K2412&gt;1," (+"&amp;(K2412-1)&amp;")",""))</f>
        <v/>
      </c>
      <c r="M2412" s="63" t="n">
        <v>30</v>
      </c>
      <c r="N2412" s="2" t="n"/>
      <c r="O2412" s="2" t="n"/>
    </row>
    <row r="2413">
      <c r="A2413" s="62">
        <f>IF('30'!$C$1="","",'30'!$C$1)</f>
        <v/>
      </c>
      <c r="B2413" s="63">
        <f>Ustawienia!$A$10&amp;""</f>
        <v/>
      </c>
      <c r="C2413" s="63">
        <f>Ustawienia!$A$15&amp;""</f>
        <v/>
      </c>
      <c r="D2413" s="63" t="n">
        <v>3</v>
      </c>
      <c r="E2413" s="63">
        <f>IF('30'!J15="","",TRIM('30'!J15&amp;""))</f>
        <v/>
      </c>
      <c r="F2413" s="63">
        <f>IF('30'!K15="","",'30'!K15)</f>
        <v/>
      </c>
      <c r="G2413" s="63">
        <f>'30'!L15&amp;""</f>
        <v/>
      </c>
      <c r="H2413" s="63">
        <f>IF(OR(A2413="",F2413=""),"",F2413&amp;"|"&amp;A2413)</f>
        <v/>
      </c>
      <c r="I2413" s="63">
        <f>IF(AND(H2413&lt;&gt;"",OR('Historia wózka'!$B$4="",F2413='Historia wózka'!$B$4),A2413&gt;='Historia wózka'!$B$5,A2413&lt;='Historia wózka'!$B$6),A2413+0.7+(5000-ROW())/10000000,0)</f>
        <v/>
      </c>
      <c r="J2413" s="63">
        <f>Ustawienia!$B$10&amp;""</f>
        <v/>
      </c>
      <c r="K2413" s="63">
        <f>IF(H2413="","",COUNTIFS('Zgłoszenia'!$B$5:$B$504,F2413,'Zgłoszenia'!$D$5:$D$504,"&gt;="&amp;A2413,'Zgłoszenia'!$D$5:$D$504,"&lt;="&amp;(A2413+1)))</f>
        <v/>
      </c>
      <c r="L2413" s="63">
        <f>IF(OR(H2413="",K2413=0),"—",IF(ISNUMBER(MATCH(H2413,'Zgłoszenia'!$S$5:$S$504,0)),RIGHT("0"&amp;DAY(A2413),2)&amp;"."&amp;RIGHT("0"&amp;MONTH(A2413),2)&amp;"."&amp;YEAR(A2413)&amp;": "&amp;INDEX('Zgłoszenia'!$H$5:$H$504,MATCH(H2413,'Zgłoszenia'!$S$5:$S$504,0)),RIGHT("0"&amp;DAY((A2413+1)),2)&amp;"."&amp;RIGHT("0"&amp;MONTH((A2413+1)),2)&amp;"."&amp;YEAR((A2413+1))&amp;": "&amp;INDEX('Zgłoszenia'!$H$5:$H$504,MATCH(F2413&amp;"|"&amp;(A2413+1),'Zgłoszenia'!$S$5:$S$504,0)))&amp;IF(K2413&gt;1," (+"&amp;(K2413-1)&amp;")",""))</f>
        <v/>
      </c>
      <c r="M2413" s="63" t="n">
        <v>30</v>
      </c>
      <c r="N2413" s="2" t="n"/>
      <c r="O2413" s="2" t="n"/>
    </row>
    <row r="2414">
      <c r="A2414" s="62">
        <f>IF('30'!$C$1="","",'30'!$C$1)</f>
        <v/>
      </c>
      <c r="B2414" s="63">
        <f>Ustawienia!$A$10&amp;""</f>
        <v/>
      </c>
      <c r="C2414" s="63">
        <f>Ustawienia!$A$15&amp;""</f>
        <v/>
      </c>
      <c r="D2414" s="63" t="n">
        <v>4</v>
      </c>
      <c r="E2414" s="63">
        <f>IF('30'!J16="","",TRIM('30'!J16&amp;""))</f>
        <v/>
      </c>
      <c r="F2414" s="63">
        <f>IF('30'!K16="","",'30'!K16)</f>
        <v/>
      </c>
      <c r="G2414" s="63">
        <f>'30'!L16&amp;""</f>
        <v/>
      </c>
      <c r="H2414" s="63">
        <f>IF(OR(A2414="",F2414=""),"",F2414&amp;"|"&amp;A2414)</f>
        <v/>
      </c>
      <c r="I2414" s="63">
        <f>IF(AND(H2414&lt;&gt;"",OR('Historia wózka'!$B$4="",F2414='Historia wózka'!$B$4),A2414&gt;='Historia wózka'!$B$5,A2414&lt;='Historia wózka'!$B$6),A2414+0.7+(5000-ROW())/10000000,0)</f>
        <v/>
      </c>
      <c r="J2414" s="63">
        <f>Ustawienia!$B$10&amp;""</f>
        <v/>
      </c>
      <c r="K2414" s="63">
        <f>IF(H2414="","",COUNTIFS('Zgłoszenia'!$B$5:$B$504,F2414,'Zgłoszenia'!$D$5:$D$504,"&gt;="&amp;A2414,'Zgłoszenia'!$D$5:$D$504,"&lt;="&amp;(A2414+1)))</f>
        <v/>
      </c>
      <c r="L2414" s="63">
        <f>IF(OR(H2414="",K2414=0),"—",IF(ISNUMBER(MATCH(H2414,'Zgłoszenia'!$S$5:$S$504,0)),RIGHT("0"&amp;DAY(A2414),2)&amp;"."&amp;RIGHT("0"&amp;MONTH(A2414),2)&amp;"."&amp;YEAR(A2414)&amp;": "&amp;INDEX('Zgłoszenia'!$H$5:$H$504,MATCH(H2414,'Zgłoszenia'!$S$5:$S$504,0)),RIGHT("0"&amp;DAY((A2414+1)),2)&amp;"."&amp;RIGHT("0"&amp;MONTH((A2414+1)),2)&amp;"."&amp;YEAR((A2414+1))&amp;": "&amp;INDEX('Zgłoszenia'!$H$5:$H$504,MATCH(F2414&amp;"|"&amp;(A2414+1),'Zgłoszenia'!$S$5:$S$504,0)))&amp;IF(K2414&gt;1," (+"&amp;(K2414-1)&amp;")",""))</f>
        <v/>
      </c>
      <c r="M2414" s="63" t="n">
        <v>30</v>
      </c>
      <c r="N2414" s="2" t="n"/>
      <c r="O2414" s="2" t="n"/>
    </row>
    <row r="2415">
      <c r="A2415" s="62">
        <f>IF('30'!$C$1="","",'30'!$C$1)</f>
        <v/>
      </c>
      <c r="B2415" s="63">
        <f>Ustawienia!$A$10&amp;""</f>
        <v/>
      </c>
      <c r="C2415" s="63">
        <f>Ustawienia!$A$15&amp;""</f>
        <v/>
      </c>
      <c r="D2415" s="63" t="n">
        <v>5</v>
      </c>
      <c r="E2415" s="63">
        <f>IF('30'!J17="","",TRIM('30'!J17&amp;""))</f>
        <v/>
      </c>
      <c r="F2415" s="63">
        <f>IF('30'!K17="","",'30'!K17)</f>
        <v/>
      </c>
      <c r="G2415" s="63">
        <f>'30'!L17&amp;""</f>
        <v/>
      </c>
      <c r="H2415" s="63">
        <f>IF(OR(A2415="",F2415=""),"",F2415&amp;"|"&amp;A2415)</f>
        <v/>
      </c>
      <c r="I2415" s="63">
        <f>IF(AND(H2415&lt;&gt;"",OR('Historia wózka'!$B$4="",F2415='Historia wózka'!$B$4),A2415&gt;='Historia wózka'!$B$5,A2415&lt;='Historia wózka'!$B$6),A2415+0.7+(5000-ROW())/10000000,0)</f>
        <v/>
      </c>
      <c r="J2415" s="63">
        <f>Ustawienia!$B$10&amp;""</f>
        <v/>
      </c>
      <c r="K2415" s="63">
        <f>IF(H2415="","",COUNTIFS('Zgłoszenia'!$B$5:$B$504,F2415,'Zgłoszenia'!$D$5:$D$504,"&gt;="&amp;A2415,'Zgłoszenia'!$D$5:$D$504,"&lt;="&amp;(A2415+1)))</f>
        <v/>
      </c>
      <c r="L2415" s="63">
        <f>IF(OR(H2415="",K2415=0),"—",IF(ISNUMBER(MATCH(H2415,'Zgłoszenia'!$S$5:$S$504,0)),RIGHT("0"&amp;DAY(A2415),2)&amp;"."&amp;RIGHT("0"&amp;MONTH(A2415),2)&amp;"."&amp;YEAR(A2415)&amp;": "&amp;INDEX('Zgłoszenia'!$H$5:$H$504,MATCH(H2415,'Zgłoszenia'!$S$5:$S$504,0)),RIGHT("0"&amp;DAY((A2415+1)),2)&amp;"."&amp;RIGHT("0"&amp;MONTH((A2415+1)),2)&amp;"."&amp;YEAR((A2415+1))&amp;": "&amp;INDEX('Zgłoszenia'!$H$5:$H$504,MATCH(F2415&amp;"|"&amp;(A2415+1),'Zgłoszenia'!$S$5:$S$504,0)))&amp;IF(K2415&gt;1," (+"&amp;(K2415-1)&amp;")",""))</f>
        <v/>
      </c>
      <c r="M2415" s="63" t="n">
        <v>30</v>
      </c>
      <c r="N2415" s="2" t="n"/>
      <c r="O2415" s="2" t="n"/>
    </row>
    <row r="2416">
      <c r="A2416" s="62">
        <f>IF('30'!$C$1="","",'30'!$C$1)</f>
        <v/>
      </c>
      <c r="B2416" s="63">
        <f>Ustawienia!$A$10&amp;""</f>
        <v/>
      </c>
      <c r="C2416" s="63">
        <f>Ustawienia!$A$15&amp;""</f>
        <v/>
      </c>
      <c r="D2416" s="63" t="n">
        <v>6</v>
      </c>
      <c r="E2416" s="63">
        <f>IF('30'!J18="","",TRIM('30'!J18&amp;""))</f>
        <v/>
      </c>
      <c r="F2416" s="63">
        <f>IF('30'!K18="","",'30'!K18)</f>
        <v/>
      </c>
      <c r="G2416" s="63">
        <f>'30'!L18&amp;""</f>
        <v/>
      </c>
      <c r="H2416" s="63">
        <f>IF(OR(A2416="",F2416=""),"",F2416&amp;"|"&amp;A2416)</f>
        <v/>
      </c>
      <c r="I2416" s="63">
        <f>IF(AND(H2416&lt;&gt;"",OR('Historia wózka'!$B$4="",F2416='Historia wózka'!$B$4),A2416&gt;='Historia wózka'!$B$5,A2416&lt;='Historia wózka'!$B$6),A2416+0.7+(5000-ROW())/10000000,0)</f>
        <v/>
      </c>
      <c r="J2416" s="63">
        <f>Ustawienia!$B$10&amp;""</f>
        <v/>
      </c>
      <c r="K2416" s="63">
        <f>IF(H2416="","",COUNTIFS('Zgłoszenia'!$B$5:$B$504,F2416,'Zgłoszenia'!$D$5:$D$504,"&gt;="&amp;A2416,'Zgłoszenia'!$D$5:$D$504,"&lt;="&amp;(A2416+1)))</f>
        <v/>
      </c>
      <c r="L2416" s="63">
        <f>IF(OR(H2416="",K2416=0),"—",IF(ISNUMBER(MATCH(H2416,'Zgłoszenia'!$S$5:$S$504,0)),RIGHT("0"&amp;DAY(A2416),2)&amp;"."&amp;RIGHT("0"&amp;MONTH(A2416),2)&amp;"."&amp;YEAR(A2416)&amp;": "&amp;INDEX('Zgłoszenia'!$H$5:$H$504,MATCH(H2416,'Zgłoszenia'!$S$5:$S$504,0)),RIGHT("0"&amp;DAY((A2416+1)),2)&amp;"."&amp;RIGHT("0"&amp;MONTH((A2416+1)),2)&amp;"."&amp;YEAR((A2416+1))&amp;": "&amp;INDEX('Zgłoszenia'!$H$5:$H$504,MATCH(F2416&amp;"|"&amp;(A2416+1),'Zgłoszenia'!$S$5:$S$504,0)))&amp;IF(K2416&gt;1," (+"&amp;(K2416-1)&amp;")",""))</f>
        <v/>
      </c>
      <c r="M2416" s="63" t="n">
        <v>30</v>
      </c>
      <c r="N2416" s="2" t="n"/>
      <c r="O2416" s="2" t="n"/>
    </row>
    <row r="2417">
      <c r="A2417" s="62">
        <f>IF('30'!$C$1="","",'30'!$C$1)</f>
        <v/>
      </c>
      <c r="B2417" s="63">
        <f>Ustawienia!$A$10&amp;""</f>
        <v/>
      </c>
      <c r="C2417" s="63">
        <f>Ustawienia!$A$15&amp;""</f>
        <v/>
      </c>
      <c r="D2417" s="63" t="n">
        <v>7</v>
      </c>
      <c r="E2417" s="63">
        <f>IF('30'!J19="","",TRIM('30'!J19&amp;""))</f>
        <v/>
      </c>
      <c r="F2417" s="63">
        <f>IF('30'!K19="","",'30'!K19)</f>
        <v/>
      </c>
      <c r="G2417" s="63">
        <f>'30'!L19&amp;""</f>
        <v/>
      </c>
      <c r="H2417" s="63">
        <f>IF(OR(A2417="",F2417=""),"",F2417&amp;"|"&amp;A2417)</f>
        <v/>
      </c>
      <c r="I2417" s="63">
        <f>IF(AND(H2417&lt;&gt;"",OR('Historia wózka'!$B$4="",F2417='Historia wózka'!$B$4),A2417&gt;='Historia wózka'!$B$5,A2417&lt;='Historia wózka'!$B$6),A2417+0.7+(5000-ROW())/10000000,0)</f>
        <v/>
      </c>
      <c r="J2417" s="63">
        <f>Ustawienia!$B$10&amp;""</f>
        <v/>
      </c>
      <c r="K2417" s="63">
        <f>IF(H2417="","",COUNTIFS('Zgłoszenia'!$B$5:$B$504,F2417,'Zgłoszenia'!$D$5:$D$504,"&gt;="&amp;A2417,'Zgłoszenia'!$D$5:$D$504,"&lt;="&amp;(A2417+1)))</f>
        <v/>
      </c>
      <c r="L2417" s="63">
        <f>IF(OR(H2417="",K2417=0),"—",IF(ISNUMBER(MATCH(H2417,'Zgłoszenia'!$S$5:$S$504,0)),RIGHT("0"&amp;DAY(A2417),2)&amp;"."&amp;RIGHT("0"&amp;MONTH(A2417),2)&amp;"."&amp;YEAR(A2417)&amp;": "&amp;INDEX('Zgłoszenia'!$H$5:$H$504,MATCH(H2417,'Zgłoszenia'!$S$5:$S$504,0)),RIGHT("0"&amp;DAY((A2417+1)),2)&amp;"."&amp;RIGHT("0"&amp;MONTH((A2417+1)),2)&amp;"."&amp;YEAR((A2417+1))&amp;": "&amp;INDEX('Zgłoszenia'!$H$5:$H$504,MATCH(F2417&amp;"|"&amp;(A2417+1),'Zgłoszenia'!$S$5:$S$504,0)))&amp;IF(K2417&gt;1," (+"&amp;(K2417-1)&amp;")",""))</f>
        <v/>
      </c>
      <c r="M2417" s="63" t="n">
        <v>30</v>
      </c>
      <c r="N2417" s="2" t="n"/>
      <c r="O2417" s="2" t="n"/>
    </row>
    <row r="2418">
      <c r="A2418" s="62">
        <f>IF('30'!$C$1="","",'30'!$C$1)</f>
        <v/>
      </c>
      <c r="B2418" s="63">
        <f>Ustawienia!$A$10&amp;""</f>
        <v/>
      </c>
      <c r="C2418" s="63">
        <f>Ustawienia!$A$15&amp;""</f>
        <v/>
      </c>
      <c r="D2418" s="63" t="n">
        <v>8</v>
      </c>
      <c r="E2418" s="63">
        <f>IF('30'!J20="","",TRIM('30'!J20&amp;""))</f>
        <v/>
      </c>
      <c r="F2418" s="63">
        <f>IF('30'!K20="","",'30'!K20)</f>
        <v/>
      </c>
      <c r="G2418" s="63">
        <f>'30'!L20&amp;""</f>
        <v/>
      </c>
      <c r="H2418" s="63">
        <f>IF(OR(A2418="",F2418=""),"",F2418&amp;"|"&amp;A2418)</f>
        <v/>
      </c>
      <c r="I2418" s="63">
        <f>IF(AND(H2418&lt;&gt;"",OR('Historia wózka'!$B$4="",F2418='Historia wózka'!$B$4),A2418&gt;='Historia wózka'!$B$5,A2418&lt;='Historia wózka'!$B$6),A2418+0.7+(5000-ROW())/10000000,0)</f>
        <v/>
      </c>
      <c r="J2418" s="63">
        <f>Ustawienia!$B$10&amp;""</f>
        <v/>
      </c>
      <c r="K2418" s="63">
        <f>IF(H2418="","",COUNTIFS('Zgłoszenia'!$B$5:$B$504,F2418,'Zgłoszenia'!$D$5:$D$504,"&gt;="&amp;A2418,'Zgłoszenia'!$D$5:$D$504,"&lt;="&amp;(A2418+1)))</f>
        <v/>
      </c>
      <c r="L2418" s="63">
        <f>IF(OR(H2418="",K2418=0),"—",IF(ISNUMBER(MATCH(H2418,'Zgłoszenia'!$S$5:$S$504,0)),RIGHT("0"&amp;DAY(A2418),2)&amp;"."&amp;RIGHT("0"&amp;MONTH(A2418),2)&amp;"."&amp;YEAR(A2418)&amp;": "&amp;INDEX('Zgłoszenia'!$H$5:$H$504,MATCH(H2418,'Zgłoszenia'!$S$5:$S$504,0)),RIGHT("0"&amp;DAY((A2418+1)),2)&amp;"."&amp;RIGHT("0"&amp;MONTH((A2418+1)),2)&amp;"."&amp;YEAR((A2418+1))&amp;": "&amp;INDEX('Zgłoszenia'!$H$5:$H$504,MATCH(F2418&amp;"|"&amp;(A2418+1),'Zgłoszenia'!$S$5:$S$504,0)))&amp;IF(K2418&gt;1," (+"&amp;(K2418-1)&amp;")",""))</f>
        <v/>
      </c>
      <c r="M2418" s="63" t="n">
        <v>30</v>
      </c>
      <c r="N2418" s="2" t="n"/>
      <c r="O2418" s="2" t="n"/>
    </row>
    <row r="2419">
      <c r="A2419" s="62">
        <f>IF('30'!$C$1="","",'30'!$C$1)</f>
        <v/>
      </c>
      <c r="B2419" s="63">
        <f>Ustawienia!$A$10&amp;""</f>
        <v/>
      </c>
      <c r="C2419" s="63">
        <f>Ustawienia!$A$16&amp;""</f>
        <v/>
      </c>
      <c r="D2419" s="63" t="n">
        <v>1</v>
      </c>
      <c r="E2419" s="63">
        <f>IF('30'!J22="","",TRIM('30'!J22&amp;""))</f>
        <v/>
      </c>
      <c r="F2419" s="63">
        <f>IF('30'!K22="","",'30'!K22)</f>
        <v/>
      </c>
      <c r="G2419" s="63">
        <f>'30'!L22&amp;""</f>
        <v/>
      </c>
      <c r="H2419" s="63">
        <f>IF(OR(A2419="",F2419=""),"",F2419&amp;"|"&amp;A2419)</f>
        <v/>
      </c>
      <c r="I2419" s="63">
        <f>IF(AND(H2419&lt;&gt;"",OR('Historia wózka'!$B$4="",F2419='Historia wózka'!$B$4),A2419&gt;='Historia wózka'!$B$5,A2419&lt;='Historia wózka'!$B$6),A2419+0.7+(5000-ROW())/10000000,0)</f>
        <v/>
      </c>
      <c r="J2419" s="63">
        <f>Ustawienia!$B$10&amp;""</f>
        <v/>
      </c>
      <c r="K2419" s="63">
        <f>IF(H2419="","",COUNTIFS('Zgłoszenia'!$B$5:$B$504,F2419,'Zgłoszenia'!$D$5:$D$504,"&gt;="&amp;A2419,'Zgłoszenia'!$D$5:$D$504,"&lt;="&amp;(A2419+1)))</f>
        <v/>
      </c>
      <c r="L2419" s="63">
        <f>IF(OR(H2419="",K2419=0),"—",IF(ISNUMBER(MATCH(H2419,'Zgłoszenia'!$S$5:$S$504,0)),RIGHT("0"&amp;DAY(A2419),2)&amp;"."&amp;RIGHT("0"&amp;MONTH(A2419),2)&amp;"."&amp;YEAR(A2419)&amp;": "&amp;INDEX('Zgłoszenia'!$H$5:$H$504,MATCH(H2419,'Zgłoszenia'!$S$5:$S$504,0)),RIGHT("0"&amp;DAY((A2419+1)),2)&amp;"."&amp;RIGHT("0"&amp;MONTH((A2419+1)),2)&amp;"."&amp;YEAR((A2419+1))&amp;": "&amp;INDEX('Zgłoszenia'!$H$5:$H$504,MATCH(F2419&amp;"|"&amp;(A2419+1),'Zgłoszenia'!$S$5:$S$504,0)))&amp;IF(K2419&gt;1," (+"&amp;(K2419-1)&amp;")",""))</f>
        <v/>
      </c>
      <c r="M2419" s="63" t="n">
        <v>30</v>
      </c>
      <c r="N2419" s="2" t="n"/>
      <c r="O2419" s="2" t="n"/>
    </row>
    <row r="2420">
      <c r="A2420" s="62">
        <f>IF('30'!$C$1="","",'30'!$C$1)</f>
        <v/>
      </c>
      <c r="B2420" s="63">
        <f>Ustawienia!$A$10&amp;""</f>
        <v/>
      </c>
      <c r="C2420" s="63">
        <f>Ustawienia!$A$16&amp;""</f>
        <v/>
      </c>
      <c r="D2420" s="63" t="n">
        <v>2</v>
      </c>
      <c r="E2420" s="63">
        <f>IF('30'!J23="","",TRIM('30'!J23&amp;""))</f>
        <v/>
      </c>
      <c r="F2420" s="63">
        <f>IF('30'!K23="","",'30'!K23)</f>
        <v/>
      </c>
      <c r="G2420" s="63">
        <f>'30'!L23&amp;""</f>
        <v/>
      </c>
      <c r="H2420" s="63">
        <f>IF(OR(A2420="",F2420=""),"",F2420&amp;"|"&amp;A2420)</f>
        <v/>
      </c>
      <c r="I2420" s="63">
        <f>IF(AND(H2420&lt;&gt;"",OR('Historia wózka'!$B$4="",F2420='Historia wózka'!$B$4),A2420&gt;='Historia wózka'!$B$5,A2420&lt;='Historia wózka'!$B$6),A2420+0.7+(5000-ROW())/10000000,0)</f>
        <v/>
      </c>
      <c r="J2420" s="63">
        <f>Ustawienia!$B$10&amp;""</f>
        <v/>
      </c>
      <c r="K2420" s="63">
        <f>IF(H2420="","",COUNTIFS('Zgłoszenia'!$B$5:$B$504,F2420,'Zgłoszenia'!$D$5:$D$504,"&gt;="&amp;A2420,'Zgłoszenia'!$D$5:$D$504,"&lt;="&amp;(A2420+1)))</f>
        <v/>
      </c>
      <c r="L2420" s="63">
        <f>IF(OR(H2420="",K2420=0),"—",IF(ISNUMBER(MATCH(H2420,'Zgłoszenia'!$S$5:$S$504,0)),RIGHT("0"&amp;DAY(A2420),2)&amp;"."&amp;RIGHT("0"&amp;MONTH(A2420),2)&amp;"."&amp;YEAR(A2420)&amp;": "&amp;INDEX('Zgłoszenia'!$H$5:$H$504,MATCH(H2420,'Zgłoszenia'!$S$5:$S$504,0)),RIGHT("0"&amp;DAY((A2420+1)),2)&amp;"."&amp;RIGHT("0"&amp;MONTH((A2420+1)),2)&amp;"."&amp;YEAR((A2420+1))&amp;": "&amp;INDEX('Zgłoszenia'!$H$5:$H$504,MATCH(F2420&amp;"|"&amp;(A2420+1),'Zgłoszenia'!$S$5:$S$504,0)))&amp;IF(K2420&gt;1," (+"&amp;(K2420-1)&amp;")",""))</f>
        <v/>
      </c>
      <c r="M2420" s="63" t="n">
        <v>30</v>
      </c>
      <c r="N2420" s="2" t="n"/>
      <c r="O2420" s="2" t="n"/>
    </row>
    <row r="2421">
      <c r="A2421" s="62">
        <f>IF('30'!$C$1="","",'30'!$C$1)</f>
        <v/>
      </c>
      <c r="B2421" s="63">
        <f>Ustawienia!$A$10&amp;""</f>
        <v/>
      </c>
      <c r="C2421" s="63">
        <f>Ustawienia!$A$16&amp;""</f>
        <v/>
      </c>
      <c r="D2421" s="63" t="n">
        <v>3</v>
      </c>
      <c r="E2421" s="63">
        <f>IF('30'!J24="","",TRIM('30'!J24&amp;""))</f>
        <v/>
      </c>
      <c r="F2421" s="63">
        <f>IF('30'!K24="","",'30'!K24)</f>
        <v/>
      </c>
      <c r="G2421" s="63">
        <f>'30'!L24&amp;""</f>
        <v/>
      </c>
      <c r="H2421" s="63">
        <f>IF(OR(A2421="",F2421=""),"",F2421&amp;"|"&amp;A2421)</f>
        <v/>
      </c>
      <c r="I2421" s="63">
        <f>IF(AND(H2421&lt;&gt;"",OR('Historia wózka'!$B$4="",F2421='Historia wózka'!$B$4),A2421&gt;='Historia wózka'!$B$5,A2421&lt;='Historia wózka'!$B$6),A2421+0.7+(5000-ROW())/10000000,0)</f>
        <v/>
      </c>
      <c r="J2421" s="63">
        <f>Ustawienia!$B$10&amp;""</f>
        <v/>
      </c>
      <c r="K2421" s="63">
        <f>IF(H2421="","",COUNTIFS('Zgłoszenia'!$B$5:$B$504,F2421,'Zgłoszenia'!$D$5:$D$504,"&gt;="&amp;A2421,'Zgłoszenia'!$D$5:$D$504,"&lt;="&amp;(A2421+1)))</f>
        <v/>
      </c>
      <c r="L2421" s="63">
        <f>IF(OR(H2421="",K2421=0),"—",IF(ISNUMBER(MATCH(H2421,'Zgłoszenia'!$S$5:$S$504,0)),RIGHT("0"&amp;DAY(A2421),2)&amp;"."&amp;RIGHT("0"&amp;MONTH(A2421),2)&amp;"."&amp;YEAR(A2421)&amp;": "&amp;INDEX('Zgłoszenia'!$H$5:$H$504,MATCH(H2421,'Zgłoszenia'!$S$5:$S$504,0)),RIGHT("0"&amp;DAY((A2421+1)),2)&amp;"."&amp;RIGHT("0"&amp;MONTH((A2421+1)),2)&amp;"."&amp;YEAR((A2421+1))&amp;": "&amp;INDEX('Zgłoszenia'!$H$5:$H$504,MATCH(F2421&amp;"|"&amp;(A2421+1),'Zgłoszenia'!$S$5:$S$504,0)))&amp;IF(K2421&gt;1," (+"&amp;(K2421-1)&amp;")",""))</f>
        <v/>
      </c>
      <c r="M2421" s="63" t="n">
        <v>30</v>
      </c>
      <c r="N2421" s="2" t="n"/>
      <c r="O2421" s="2" t="n"/>
    </row>
    <row r="2422">
      <c r="A2422" s="62">
        <f>IF('30'!$C$1="","",'30'!$C$1)</f>
        <v/>
      </c>
      <c r="B2422" s="63">
        <f>Ustawienia!$A$10&amp;""</f>
        <v/>
      </c>
      <c r="C2422" s="63">
        <f>Ustawienia!$A$16&amp;""</f>
        <v/>
      </c>
      <c r="D2422" s="63" t="n">
        <v>4</v>
      </c>
      <c r="E2422" s="63">
        <f>IF('30'!J25="","",TRIM('30'!J25&amp;""))</f>
        <v/>
      </c>
      <c r="F2422" s="63">
        <f>IF('30'!K25="","",'30'!K25)</f>
        <v/>
      </c>
      <c r="G2422" s="63">
        <f>'30'!L25&amp;""</f>
        <v/>
      </c>
      <c r="H2422" s="63">
        <f>IF(OR(A2422="",F2422=""),"",F2422&amp;"|"&amp;A2422)</f>
        <v/>
      </c>
      <c r="I2422" s="63">
        <f>IF(AND(H2422&lt;&gt;"",OR('Historia wózka'!$B$4="",F2422='Historia wózka'!$B$4),A2422&gt;='Historia wózka'!$B$5,A2422&lt;='Historia wózka'!$B$6),A2422+0.7+(5000-ROW())/10000000,0)</f>
        <v/>
      </c>
      <c r="J2422" s="63">
        <f>Ustawienia!$B$10&amp;""</f>
        <v/>
      </c>
      <c r="K2422" s="63">
        <f>IF(H2422="","",COUNTIFS('Zgłoszenia'!$B$5:$B$504,F2422,'Zgłoszenia'!$D$5:$D$504,"&gt;="&amp;A2422,'Zgłoszenia'!$D$5:$D$504,"&lt;="&amp;(A2422+1)))</f>
        <v/>
      </c>
      <c r="L2422" s="63">
        <f>IF(OR(H2422="",K2422=0),"—",IF(ISNUMBER(MATCH(H2422,'Zgłoszenia'!$S$5:$S$504,0)),RIGHT("0"&amp;DAY(A2422),2)&amp;"."&amp;RIGHT("0"&amp;MONTH(A2422),2)&amp;"."&amp;YEAR(A2422)&amp;": "&amp;INDEX('Zgłoszenia'!$H$5:$H$504,MATCH(H2422,'Zgłoszenia'!$S$5:$S$504,0)),RIGHT("0"&amp;DAY((A2422+1)),2)&amp;"."&amp;RIGHT("0"&amp;MONTH((A2422+1)),2)&amp;"."&amp;YEAR((A2422+1))&amp;": "&amp;INDEX('Zgłoszenia'!$H$5:$H$504,MATCH(F2422&amp;"|"&amp;(A2422+1),'Zgłoszenia'!$S$5:$S$504,0)))&amp;IF(K2422&gt;1," (+"&amp;(K2422-1)&amp;")",""))</f>
        <v/>
      </c>
      <c r="M2422" s="63" t="n">
        <v>30</v>
      </c>
      <c r="N2422" s="2" t="n"/>
      <c r="O2422" s="2" t="n"/>
    </row>
    <row r="2423">
      <c r="A2423" s="62">
        <f>IF('30'!$C$1="","",'30'!$C$1)</f>
        <v/>
      </c>
      <c r="B2423" s="63">
        <f>Ustawienia!$A$10&amp;""</f>
        <v/>
      </c>
      <c r="C2423" s="63">
        <f>Ustawienia!$A$17&amp;""</f>
        <v/>
      </c>
      <c r="D2423" s="63" t="n">
        <v>1</v>
      </c>
      <c r="E2423" s="63">
        <f>IF('30'!J27="","",TRIM('30'!J27&amp;""))</f>
        <v/>
      </c>
      <c r="F2423" s="63">
        <f>IF('30'!K27="","",'30'!K27)</f>
        <v/>
      </c>
      <c r="G2423" s="63">
        <f>'30'!L27&amp;""</f>
        <v/>
      </c>
      <c r="H2423" s="63">
        <f>IF(OR(A2423="",F2423=""),"",F2423&amp;"|"&amp;A2423)</f>
        <v/>
      </c>
      <c r="I2423" s="63">
        <f>IF(AND(H2423&lt;&gt;"",OR('Historia wózka'!$B$4="",F2423='Historia wózka'!$B$4),A2423&gt;='Historia wózka'!$B$5,A2423&lt;='Historia wózka'!$B$6),A2423+0.7+(5000-ROW())/10000000,0)</f>
        <v/>
      </c>
      <c r="J2423" s="63">
        <f>Ustawienia!$B$10&amp;""</f>
        <v/>
      </c>
      <c r="K2423" s="63">
        <f>IF(H2423="","",COUNTIFS('Zgłoszenia'!$B$5:$B$504,F2423,'Zgłoszenia'!$D$5:$D$504,"&gt;="&amp;A2423,'Zgłoszenia'!$D$5:$D$504,"&lt;="&amp;(A2423+1)))</f>
        <v/>
      </c>
      <c r="L2423" s="63">
        <f>IF(OR(H2423="",K2423=0),"—",IF(ISNUMBER(MATCH(H2423,'Zgłoszenia'!$S$5:$S$504,0)),RIGHT("0"&amp;DAY(A2423),2)&amp;"."&amp;RIGHT("0"&amp;MONTH(A2423),2)&amp;"."&amp;YEAR(A2423)&amp;": "&amp;INDEX('Zgłoszenia'!$H$5:$H$504,MATCH(H2423,'Zgłoszenia'!$S$5:$S$504,0)),RIGHT("0"&amp;DAY((A2423+1)),2)&amp;"."&amp;RIGHT("0"&amp;MONTH((A2423+1)),2)&amp;"."&amp;YEAR((A2423+1))&amp;": "&amp;INDEX('Zgłoszenia'!$H$5:$H$504,MATCH(F2423&amp;"|"&amp;(A2423+1),'Zgłoszenia'!$S$5:$S$504,0)))&amp;IF(K2423&gt;1," (+"&amp;(K2423-1)&amp;")",""))</f>
        <v/>
      </c>
      <c r="M2423" s="63" t="n">
        <v>30</v>
      </c>
      <c r="N2423" s="2" t="n"/>
      <c r="O2423" s="2" t="n"/>
    </row>
    <row r="2424">
      <c r="A2424" s="62">
        <f>IF('30'!$C$1="","",'30'!$C$1)</f>
        <v/>
      </c>
      <c r="B2424" s="63">
        <f>Ustawienia!$A$10&amp;""</f>
        <v/>
      </c>
      <c r="C2424" s="63">
        <f>Ustawienia!$A$17&amp;""</f>
        <v/>
      </c>
      <c r="D2424" s="63" t="n">
        <v>2</v>
      </c>
      <c r="E2424" s="63">
        <f>IF('30'!J28="","",TRIM('30'!J28&amp;""))</f>
        <v/>
      </c>
      <c r="F2424" s="63">
        <f>IF('30'!K28="","",'30'!K28)</f>
        <v/>
      </c>
      <c r="G2424" s="63">
        <f>'30'!L28&amp;""</f>
        <v/>
      </c>
      <c r="H2424" s="63">
        <f>IF(OR(A2424="",F2424=""),"",F2424&amp;"|"&amp;A2424)</f>
        <v/>
      </c>
      <c r="I2424" s="63">
        <f>IF(AND(H2424&lt;&gt;"",OR('Historia wózka'!$B$4="",F2424='Historia wózka'!$B$4),A2424&gt;='Historia wózka'!$B$5,A2424&lt;='Historia wózka'!$B$6),A2424+0.7+(5000-ROW())/10000000,0)</f>
        <v/>
      </c>
      <c r="J2424" s="63">
        <f>Ustawienia!$B$10&amp;""</f>
        <v/>
      </c>
      <c r="K2424" s="63">
        <f>IF(H2424="","",COUNTIFS('Zgłoszenia'!$B$5:$B$504,F2424,'Zgłoszenia'!$D$5:$D$504,"&gt;="&amp;A2424,'Zgłoszenia'!$D$5:$D$504,"&lt;="&amp;(A2424+1)))</f>
        <v/>
      </c>
      <c r="L2424" s="63">
        <f>IF(OR(H2424="",K2424=0),"—",IF(ISNUMBER(MATCH(H2424,'Zgłoszenia'!$S$5:$S$504,0)),RIGHT("0"&amp;DAY(A2424),2)&amp;"."&amp;RIGHT("0"&amp;MONTH(A2424),2)&amp;"."&amp;YEAR(A2424)&amp;": "&amp;INDEX('Zgłoszenia'!$H$5:$H$504,MATCH(H2424,'Zgłoszenia'!$S$5:$S$504,0)),RIGHT("0"&amp;DAY((A2424+1)),2)&amp;"."&amp;RIGHT("0"&amp;MONTH((A2424+1)),2)&amp;"."&amp;YEAR((A2424+1))&amp;": "&amp;INDEX('Zgłoszenia'!$H$5:$H$504,MATCH(F2424&amp;"|"&amp;(A2424+1),'Zgłoszenia'!$S$5:$S$504,0)))&amp;IF(K2424&gt;1," (+"&amp;(K2424-1)&amp;")",""))</f>
        <v/>
      </c>
      <c r="M2424" s="63" t="n">
        <v>30</v>
      </c>
      <c r="N2424" s="2" t="n"/>
      <c r="O2424" s="2" t="n"/>
    </row>
    <row r="2425">
      <c r="A2425" s="62">
        <f>IF('30'!$C$1="","",'30'!$C$1)</f>
        <v/>
      </c>
      <c r="B2425" s="63">
        <f>Ustawienia!$A$10&amp;""</f>
        <v/>
      </c>
      <c r="C2425" s="63">
        <f>Ustawienia!$A$17&amp;""</f>
        <v/>
      </c>
      <c r="D2425" s="63" t="n">
        <v>3</v>
      </c>
      <c r="E2425" s="63">
        <f>IF('30'!J29="","",TRIM('30'!J29&amp;""))</f>
        <v/>
      </c>
      <c r="F2425" s="63">
        <f>IF('30'!K29="","",'30'!K29)</f>
        <v/>
      </c>
      <c r="G2425" s="63">
        <f>'30'!L29&amp;""</f>
        <v/>
      </c>
      <c r="H2425" s="63">
        <f>IF(OR(A2425="",F2425=""),"",F2425&amp;"|"&amp;A2425)</f>
        <v/>
      </c>
      <c r="I2425" s="63">
        <f>IF(AND(H2425&lt;&gt;"",OR('Historia wózka'!$B$4="",F2425='Historia wózka'!$B$4),A2425&gt;='Historia wózka'!$B$5,A2425&lt;='Historia wózka'!$B$6),A2425+0.7+(5000-ROW())/10000000,0)</f>
        <v/>
      </c>
      <c r="J2425" s="63">
        <f>Ustawienia!$B$10&amp;""</f>
        <v/>
      </c>
      <c r="K2425" s="63">
        <f>IF(H2425="","",COUNTIFS('Zgłoszenia'!$B$5:$B$504,F2425,'Zgłoszenia'!$D$5:$D$504,"&gt;="&amp;A2425,'Zgłoszenia'!$D$5:$D$504,"&lt;="&amp;(A2425+1)))</f>
        <v/>
      </c>
      <c r="L2425" s="63">
        <f>IF(OR(H2425="",K2425=0),"—",IF(ISNUMBER(MATCH(H2425,'Zgłoszenia'!$S$5:$S$504,0)),RIGHT("0"&amp;DAY(A2425),2)&amp;"."&amp;RIGHT("0"&amp;MONTH(A2425),2)&amp;"."&amp;YEAR(A2425)&amp;": "&amp;INDEX('Zgłoszenia'!$H$5:$H$504,MATCH(H2425,'Zgłoszenia'!$S$5:$S$504,0)),RIGHT("0"&amp;DAY((A2425+1)),2)&amp;"."&amp;RIGHT("0"&amp;MONTH((A2425+1)),2)&amp;"."&amp;YEAR((A2425+1))&amp;": "&amp;INDEX('Zgłoszenia'!$H$5:$H$504,MATCH(F2425&amp;"|"&amp;(A2425+1),'Zgłoszenia'!$S$5:$S$504,0)))&amp;IF(K2425&gt;1," (+"&amp;(K2425-1)&amp;")",""))</f>
        <v/>
      </c>
      <c r="M2425" s="63" t="n">
        <v>30</v>
      </c>
      <c r="N2425" s="2" t="n"/>
      <c r="O2425" s="2" t="n"/>
    </row>
    <row r="2426">
      <c r="A2426" s="62">
        <f>IF('30'!$C$1="","",'30'!$C$1)</f>
        <v/>
      </c>
      <c r="B2426" s="63">
        <f>Ustawienia!$A$10&amp;""</f>
        <v/>
      </c>
      <c r="C2426" s="63">
        <f>Ustawienia!$A$17&amp;""</f>
        <v/>
      </c>
      <c r="D2426" s="63" t="n">
        <v>4</v>
      </c>
      <c r="E2426" s="63">
        <f>IF('30'!J30="","",TRIM('30'!J30&amp;""))</f>
        <v/>
      </c>
      <c r="F2426" s="63">
        <f>IF('30'!K30="","",'30'!K30)</f>
        <v/>
      </c>
      <c r="G2426" s="63">
        <f>'30'!L30&amp;""</f>
        <v/>
      </c>
      <c r="H2426" s="63">
        <f>IF(OR(A2426="",F2426=""),"",F2426&amp;"|"&amp;A2426)</f>
        <v/>
      </c>
      <c r="I2426" s="63">
        <f>IF(AND(H2426&lt;&gt;"",OR('Historia wózka'!$B$4="",F2426='Historia wózka'!$B$4),A2426&gt;='Historia wózka'!$B$5,A2426&lt;='Historia wózka'!$B$6),A2426+0.7+(5000-ROW())/10000000,0)</f>
        <v/>
      </c>
      <c r="J2426" s="63">
        <f>Ustawienia!$B$10&amp;""</f>
        <v/>
      </c>
      <c r="K2426" s="63">
        <f>IF(H2426="","",COUNTIFS('Zgłoszenia'!$B$5:$B$504,F2426,'Zgłoszenia'!$D$5:$D$504,"&gt;="&amp;A2426,'Zgłoszenia'!$D$5:$D$504,"&lt;="&amp;(A2426+1)))</f>
        <v/>
      </c>
      <c r="L2426" s="63">
        <f>IF(OR(H2426="",K2426=0),"—",IF(ISNUMBER(MATCH(H2426,'Zgłoszenia'!$S$5:$S$504,0)),RIGHT("0"&amp;DAY(A2426),2)&amp;"."&amp;RIGHT("0"&amp;MONTH(A2426),2)&amp;"."&amp;YEAR(A2426)&amp;": "&amp;INDEX('Zgłoszenia'!$H$5:$H$504,MATCH(H2426,'Zgłoszenia'!$S$5:$S$504,0)),RIGHT("0"&amp;DAY((A2426+1)),2)&amp;"."&amp;RIGHT("0"&amp;MONTH((A2426+1)),2)&amp;"."&amp;YEAR((A2426+1))&amp;": "&amp;INDEX('Zgłoszenia'!$H$5:$H$504,MATCH(F2426&amp;"|"&amp;(A2426+1),'Zgłoszenia'!$S$5:$S$504,0)))&amp;IF(K2426&gt;1," (+"&amp;(K2426-1)&amp;")",""))</f>
        <v/>
      </c>
      <c r="M2426" s="63" t="n">
        <v>30</v>
      </c>
      <c r="N2426" s="2" t="n"/>
      <c r="O2426" s="2" t="n"/>
    </row>
    <row r="2427">
      <c r="A2427" s="62">
        <f>IF('30'!$C$1="","",'30'!$C$1)</f>
        <v/>
      </c>
      <c r="B2427" s="63">
        <f>Ustawienia!$A$10&amp;""</f>
        <v/>
      </c>
      <c r="C2427" s="63">
        <f>Ustawienia!$A$18&amp;""</f>
        <v/>
      </c>
      <c r="D2427" s="63" t="n">
        <v>1</v>
      </c>
      <c r="E2427" s="63">
        <f>IF('30'!J32="","",TRIM('30'!J32&amp;""))</f>
        <v/>
      </c>
      <c r="F2427" s="63">
        <f>IF('30'!K32="","",'30'!K32)</f>
        <v/>
      </c>
      <c r="G2427" s="63">
        <f>'30'!L32&amp;""</f>
        <v/>
      </c>
      <c r="H2427" s="63">
        <f>IF(OR(A2427="",F2427=""),"",F2427&amp;"|"&amp;A2427)</f>
        <v/>
      </c>
      <c r="I2427" s="63">
        <f>IF(AND(H2427&lt;&gt;"",OR('Historia wózka'!$B$4="",F2427='Historia wózka'!$B$4),A2427&gt;='Historia wózka'!$B$5,A2427&lt;='Historia wózka'!$B$6),A2427+0.7+(5000-ROW())/10000000,0)</f>
        <v/>
      </c>
      <c r="J2427" s="63">
        <f>Ustawienia!$B$10&amp;""</f>
        <v/>
      </c>
      <c r="K2427" s="63">
        <f>IF(H2427="","",COUNTIFS('Zgłoszenia'!$B$5:$B$504,F2427,'Zgłoszenia'!$D$5:$D$504,"&gt;="&amp;A2427,'Zgłoszenia'!$D$5:$D$504,"&lt;="&amp;(A2427+1)))</f>
        <v/>
      </c>
      <c r="L2427" s="63">
        <f>IF(OR(H2427="",K2427=0),"—",IF(ISNUMBER(MATCH(H2427,'Zgłoszenia'!$S$5:$S$504,0)),RIGHT("0"&amp;DAY(A2427),2)&amp;"."&amp;RIGHT("0"&amp;MONTH(A2427),2)&amp;"."&amp;YEAR(A2427)&amp;": "&amp;INDEX('Zgłoszenia'!$H$5:$H$504,MATCH(H2427,'Zgłoszenia'!$S$5:$S$504,0)),RIGHT("0"&amp;DAY((A2427+1)),2)&amp;"."&amp;RIGHT("0"&amp;MONTH((A2427+1)),2)&amp;"."&amp;YEAR((A2427+1))&amp;": "&amp;INDEX('Zgłoszenia'!$H$5:$H$504,MATCH(F2427&amp;"|"&amp;(A2427+1),'Zgłoszenia'!$S$5:$S$504,0)))&amp;IF(K2427&gt;1," (+"&amp;(K2427-1)&amp;")",""))</f>
        <v/>
      </c>
      <c r="M2427" s="63" t="n">
        <v>30</v>
      </c>
      <c r="N2427" s="2" t="n"/>
      <c r="O2427" s="2" t="n"/>
    </row>
    <row r="2428">
      <c r="A2428" s="62">
        <f>IF('30'!$C$1="","",'30'!$C$1)</f>
        <v/>
      </c>
      <c r="B2428" s="63">
        <f>Ustawienia!$A$10&amp;""</f>
        <v/>
      </c>
      <c r="C2428" s="63">
        <f>Ustawienia!$A$18&amp;""</f>
        <v/>
      </c>
      <c r="D2428" s="63" t="n">
        <v>2</v>
      </c>
      <c r="E2428" s="63">
        <f>IF('30'!J33="","",TRIM('30'!J33&amp;""))</f>
        <v/>
      </c>
      <c r="F2428" s="63">
        <f>IF('30'!K33="","",'30'!K33)</f>
        <v/>
      </c>
      <c r="G2428" s="63">
        <f>'30'!L33&amp;""</f>
        <v/>
      </c>
      <c r="H2428" s="63">
        <f>IF(OR(A2428="",F2428=""),"",F2428&amp;"|"&amp;A2428)</f>
        <v/>
      </c>
      <c r="I2428" s="63">
        <f>IF(AND(H2428&lt;&gt;"",OR('Historia wózka'!$B$4="",F2428='Historia wózka'!$B$4),A2428&gt;='Historia wózka'!$B$5,A2428&lt;='Historia wózka'!$B$6),A2428+0.7+(5000-ROW())/10000000,0)</f>
        <v/>
      </c>
      <c r="J2428" s="63">
        <f>Ustawienia!$B$10&amp;""</f>
        <v/>
      </c>
      <c r="K2428" s="63">
        <f>IF(H2428="","",COUNTIFS('Zgłoszenia'!$B$5:$B$504,F2428,'Zgłoszenia'!$D$5:$D$504,"&gt;="&amp;A2428,'Zgłoszenia'!$D$5:$D$504,"&lt;="&amp;(A2428+1)))</f>
        <v/>
      </c>
      <c r="L2428" s="63">
        <f>IF(OR(H2428="",K2428=0),"—",IF(ISNUMBER(MATCH(H2428,'Zgłoszenia'!$S$5:$S$504,0)),RIGHT("0"&amp;DAY(A2428),2)&amp;"."&amp;RIGHT("0"&amp;MONTH(A2428),2)&amp;"."&amp;YEAR(A2428)&amp;": "&amp;INDEX('Zgłoszenia'!$H$5:$H$504,MATCH(H2428,'Zgłoszenia'!$S$5:$S$504,0)),RIGHT("0"&amp;DAY((A2428+1)),2)&amp;"."&amp;RIGHT("0"&amp;MONTH((A2428+1)),2)&amp;"."&amp;YEAR((A2428+1))&amp;": "&amp;INDEX('Zgłoszenia'!$H$5:$H$504,MATCH(F2428&amp;"|"&amp;(A2428+1),'Zgłoszenia'!$S$5:$S$504,0)))&amp;IF(K2428&gt;1," (+"&amp;(K2428-1)&amp;")",""))</f>
        <v/>
      </c>
      <c r="M2428" s="63" t="n">
        <v>30</v>
      </c>
      <c r="N2428" s="2" t="n"/>
      <c r="O2428" s="2" t="n"/>
    </row>
    <row r="2429">
      <c r="A2429" s="62">
        <f>IF('30'!$C$1="","",'30'!$C$1)</f>
        <v/>
      </c>
      <c r="B2429" s="63">
        <f>Ustawienia!$A$10&amp;""</f>
        <v/>
      </c>
      <c r="C2429" s="63">
        <f>Ustawienia!$A$18&amp;""</f>
        <v/>
      </c>
      <c r="D2429" s="63" t="n">
        <v>3</v>
      </c>
      <c r="E2429" s="63">
        <f>IF('30'!J34="","",TRIM('30'!J34&amp;""))</f>
        <v/>
      </c>
      <c r="F2429" s="63">
        <f>IF('30'!K34="","",'30'!K34)</f>
        <v/>
      </c>
      <c r="G2429" s="63">
        <f>'30'!L34&amp;""</f>
        <v/>
      </c>
      <c r="H2429" s="63">
        <f>IF(OR(A2429="",F2429=""),"",F2429&amp;"|"&amp;A2429)</f>
        <v/>
      </c>
      <c r="I2429" s="63">
        <f>IF(AND(H2429&lt;&gt;"",OR('Historia wózka'!$B$4="",F2429='Historia wózka'!$B$4),A2429&gt;='Historia wózka'!$B$5,A2429&lt;='Historia wózka'!$B$6),A2429+0.7+(5000-ROW())/10000000,0)</f>
        <v/>
      </c>
      <c r="J2429" s="63">
        <f>Ustawienia!$B$10&amp;""</f>
        <v/>
      </c>
      <c r="K2429" s="63">
        <f>IF(H2429="","",COUNTIFS('Zgłoszenia'!$B$5:$B$504,F2429,'Zgłoszenia'!$D$5:$D$504,"&gt;="&amp;A2429,'Zgłoszenia'!$D$5:$D$504,"&lt;="&amp;(A2429+1)))</f>
        <v/>
      </c>
      <c r="L2429" s="63">
        <f>IF(OR(H2429="",K2429=0),"—",IF(ISNUMBER(MATCH(H2429,'Zgłoszenia'!$S$5:$S$504,0)),RIGHT("0"&amp;DAY(A2429),2)&amp;"."&amp;RIGHT("0"&amp;MONTH(A2429),2)&amp;"."&amp;YEAR(A2429)&amp;": "&amp;INDEX('Zgłoszenia'!$H$5:$H$504,MATCH(H2429,'Zgłoszenia'!$S$5:$S$504,0)),RIGHT("0"&amp;DAY((A2429+1)),2)&amp;"."&amp;RIGHT("0"&amp;MONTH((A2429+1)),2)&amp;"."&amp;YEAR((A2429+1))&amp;": "&amp;INDEX('Zgłoszenia'!$H$5:$H$504,MATCH(F2429&amp;"|"&amp;(A2429+1),'Zgłoszenia'!$S$5:$S$504,0)))&amp;IF(K2429&gt;1," (+"&amp;(K2429-1)&amp;")",""))</f>
        <v/>
      </c>
      <c r="M2429" s="63" t="n">
        <v>30</v>
      </c>
      <c r="N2429" s="2" t="n"/>
      <c r="O2429" s="2" t="n"/>
    </row>
    <row r="2430">
      <c r="A2430" s="62">
        <f>IF('30'!$C$1="","",'30'!$C$1)</f>
        <v/>
      </c>
      <c r="B2430" s="63">
        <f>Ustawienia!$A$10&amp;""</f>
        <v/>
      </c>
      <c r="C2430" s="63">
        <f>Ustawienia!$A$18&amp;""</f>
        <v/>
      </c>
      <c r="D2430" s="63" t="n">
        <v>4</v>
      </c>
      <c r="E2430" s="63">
        <f>IF('30'!J35="","",TRIM('30'!J35&amp;""))</f>
        <v/>
      </c>
      <c r="F2430" s="63">
        <f>IF('30'!K35="","",'30'!K35)</f>
        <v/>
      </c>
      <c r="G2430" s="63">
        <f>'30'!L35&amp;""</f>
        <v/>
      </c>
      <c r="H2430" s="63">
        <f>IF(OR(A2430="",F2430=""),"",F2430&amp;"|"&amp;A2430)</f>
        <v/>
      </c>
      <c r="I2430" s="63">
        <f>IF(AND(H2430&lt;&gt;"",OR('Historia wózka'!$B$4="",F2430='Historia wózka'!$B$4),A2430&gt;='Historia wózka'!$B$5,A2430&lt;='Historia wózka'!$B$6),A2430+0.7+(5000-ROW())/10000000,0)</f>
        <v/>
      </c>
      <c r="J2430" s="63">
        <f>Ustawienia!$B$10&amp;""</f>
        <v/>
      </c>
      <c r="K2430" s="63">
        <f>IF(H2430="","",COUNTIFS('Zgłoszenia'!$B$5:$B$504,F2430,'Zgłoszenia'!$D$5:$D$504,"&gt;="&amp;A2430,'Zgłoszenia'!$D$5:$D$504,"&lt;="&amp;(A2430+1)))</f>
        <v/>
      </c>
      <c r="L2430" s="63">
        <f>IF(OR(H2430="",K2430=0),"—",IF(ISNUMBER(MATCH(H2430,'Zgłoszenia'!$S$5:$S$504,0)),RIGHT("0"&amp;DAY(A2430),2)&amp;"."&amp;RIGHT("0"&amp;MONTH(A2430),2)&amp;"."&amp;YEAR(A2430)&amp;": "&amp;INDEX('Zgłoszenia'!$H$5:$H$504,MATCH(H2430,'Zgłoszenia'!$S$5:$S$504,0)),RIGHT("0"&amp;DAY((A2430+1)),2)&amp;"."&amp;RIGHT("0"&amp;MONTH((A2430+1)),2)&amp;"."&amp;YEAR((A2430+1))&amp;": "&amp;INDEX('Zgłoszenia'!$H$5:$H$504,MATCH(F2430&amp;"|"&amp;(A2430+1),'Zgłoszenia'!$S$5:$S$504,0)))&amp;IF(K2430&gt;1," (+"&amp;(K2430-1)&amp;")",""))</f>
        <v/>
      </c>
      <c r="M2430" s="63" t="n">
        <v>30</v>
      </c>
      <c r="N2430" s="2" t="n"/>
      <c r="O2430" s="2" t="n"/>
    </row>
    <row r="2431">
      <c r="A2431" s="62">
        <f>IF('30'!$C$1="","",'30'!$C$1)</f>
        <v/>
      </c>
      <c r="B2431" s="63">
        <f>Ustawienia!$A$10&amp;""</f>
        <v/>
      </c>
      <c r="C2431" s="63">
        <f>Ustawienia!$A$18&amp;""</f>
        <v/>
      </c>
      <c r="D2431" s="63" t="n">
        <v>5</v>
      </c>
      <c r="E2431" s="63">
        <f>IF('30'!J36="","",TRIM('30'!J36&amp;""))</f>
        <v/>
      </c>
      <c r="F2431" s="63">
        <f>IF('30'!K36="","",'30'!K36)</f>
        <v/>
      </c>
      <c r="G2431" s="63">
        <f>'30'!L36&amp;""</f>
        <v/>
      </c>
      <c r="H2431" s="63">
        <f>IF(OR(A2431="",F2431=""),"",F2431&amp;"|"&amp;A2431)</f>
        <v/>
      </c>
      <c r="I2431" s="63">
        <f>IF(AND(H2431&lt;&gt;"",OR('Historia wózka'!$B$4="",F2431='Historia wózka'!$B$4),A2431&gt;='Historia wózka'!$B$5,A2431&lt;='Historia wózka'!$B$6),A2431+0.7+(5000-ROW())/10000000,0)</f>
        <v/>
      </c>
      <c r="J2431" s="63">
        <f>Ustawienia!$B$10&amp;""</f>
        <v/>
      </c>
      <c r="K2431" s="63">
        <f>IF(H2431="","",COUNTIFS('Zgłoszenia'!$B$5:$B$504,F2431,'Zgłoszenia'!$D$5:$D$504,"&gt;="&amp;A2431,'Zgłoszenia'!$D$5:$D$504,"&lt;="&amp;(A2431+1)))</f>
        <v/>
      </c>
      <c r="L2431" s="63">
        <f>IF(OR(H2431="",K2431=0),"—",IF(ISNUMBER(MATCH(H2431,'Zgłoszenia'!$S$5:$S$504,0)),RIGHT("0"&amp;DAY(A2431),2)&amp;"."&amp;RIGHT("0"&amp;MONTH(A2431),2)&amp;"."&amp;YEAR(A2431)&amp;": "&amp;INDEX('Zgłoszenia'!$H$5:$H$504,MATCH(H2431,'Zgłoszenia'!$S$5:$S$504,0)),RIGHT("0"&amp;DAY((A2431+1)),2)&amp;"."&amp;RIGHT("0"&amp;MONTH((A2431+1)),2)&amp;"."&amp;YEAR((A2431+1))&amp;": "&amp;INDEX('Zgłoszenia'!$H$5:$H$504,MATCH(F2431&amp;"|"&amp;(A2431+1),'Zgłoszenia'!$S$5:$S$504,0)))&amp;IF(K2431&gt;1," (+"&amp;(K2431-1)&amp;")",""))</f>
        <v/>
      </c>
      <c r="M2431" s="63" t="n">
        <v>30</v>
      </c>
      <c r="N2431" s="2" t="n"/>
      <c r="O2431" s="2" t="n"/>
    </row>
    <row r="2432">
      <c r="A2432" s="62">
        <f>IF('31'!$C$1="","",'31'!$C$1)</f>
        <v/>
      </c>
      <c r="B2432" s="63">
        <f>Ustawienia!$A$8&amp;""</f>
        <v/>
      </c>
      <c r="C2432" s="63">
        <f>Ustawienia!$A$14&amp;""</f>
        <v/>
      </c>
      <c r="D2432" s="63" t="n">
        <v>1</v>
      </c>
      <c r="E2432" s="63">
        <f>IF('31'!B6="","",TRIM('31'!B6&amp;""))</f>
        <v/>
      </c>
      <c r="F2432" s="63">
        <f>IF('31'!C6="","",'31'!C6)</f>
        <v/>
      </c>
      <c r="G2432" s="63">
        <f>'31'!D6&amp;""</f>
        <v/>
      </c>
      <c r="H2432" s="63">
        <f>IF(OR(A2432="",F2432=""),"",F2432&amp;"|"&amp;A2432)</f>
        <v/>
      </c>
      <c r="I2432" s="63">
        <f>IF(AND(H2432&lt;&gt;"",OR('Historia wózka'!$B$4="",F2432='Historia wózka'!$B$4),A2432&gt;='Historia wózka'!$B$5,A2432&lt;='Historia wózka'!$B$6),A2432+0.9+(5000-ROW())/10000000,0)</f>
        <v/>
      </c>
      <c r="J2432" s="63">
        <f>Ustawienia!$B$8&amp;""</f>
        <v/>
      </c>
      <c r="K2432" s="63">
        <f>IF(H2432="","",COUNTIFS('Zgłoszenia'!$B$5:$B$504,F2432,'Zgłoszenia'!$D$5:$D$504,"&gt;="&amp;A2432,'Zgłoszenia'!$D$5:$D$504,"&lt;="&amp;(A2432+1)))</f>
        <v/>
      </c>
      <c r="L2432" s="63">
        <f>IF(OR(H2432="",K2432=0),"—",IF(ISNUMBER(MATCH(H2432,'Zgłoszenia'!$S$5:$S$504,0)),RIGHT("0"&amp;DAY(A2432),2)&amp;"."&amp;RIGHT("0"&amp;MONTH(A2432),2)&amp;"."&amp;YEAR(A2432)&amp;": "&amp;INDEX('Zgłoszenia'!$H$5:$H$504,MATCH(H2432,'Zgłoszenia'!$S$5:$S$504,0)),RIGHT("0"&amp;DAY((A2432+1)),2)&amp;"."&amp;RIGHT("0"&amp;MONTH((A2432+1)),2)&amp;"."&amp;YEAR((A2432+1))&amp;": "&amp;INDEX('Zgłoszenia'!$H$5:$H$504,MATCH(F2432&amp;"|"&amp;(A2432+1),'Zgłoszenia'!$S$5:$S$504,0)))&amp;IF(K2432&gt;1," (+"&amp;(K2432-1)&amp;")",""))</f>
        <v/>
      </c>
      <c r="M2432" s="63" t="n">
        <v>31</v>
      </c>
      <c r="N2432" s="2" t="n"/>
      <c r="O2432" s="2" t="n"/>
    </row>
    <row r="2433">
      <c r="A2433" s="62">
        <f>IF('31'!$C$1="","",'31'!$C$1)</f>
        <v/>
      </c>
      <c r="B2433" s="63">
        <f>Ustawienia!$A$8&amp;""</f>
        <v/>
      </c>
      <c r="C2433" s="63">
        <f>Ustawienia!$A$14&amp;""</f>
        <v/>
      </c>
      <c r="D2433" s="63" t="n">
        <v>2</v>
      </c>
      <c r="E2433" s="63">
        <f>IF('31'!B7="","",TRIM('31'!B7&amp;""))</f>
        <v/>
      </c>
      <c r="F2433" s="63">
        <f>IF('31'!C7="","",'31'!C7)</f>
        <v/>
      </c>
      <c r="G2433" s="63">
        <f>'31'!D7&amp;""</f>
        <v/>
      </c>
      <c r="H2433" s="63">
        <f>IF(OR(A2433="",F2433=""),"",F2433&amp;"|"&amp;A2433)</f>
        <v/>
      </c>
      <c r="I2433" s="63">
        <f>IF(AND(H2433&lt;&gt;"",OR('Historia wózka'!$B$4="",F2433='Historia wózka'!$B$4),A2433&gt;='Historia wózka'!$B$5,A2433&lt;='Historia wózka'!$B$6),A2433+0.9+(5000-ROW())/10000000,0)</f>
        <v/>
      </c>
      <c r="J2433" s="63">
        <f>Ustawienia!$B$8&amp;""</f>
        <v/>
      </c>
      <c r="K2433" s="63">
        <f>IF(H2433="","",COUNTIFS('Zgłoszenia'!$B$5:$B$504,F2433,'Zgłoszenia'!$D$5:$D$504,"&gt;="&amp;A2433,'Zgłoszenia'!$D$5:$D$504,"&lt;="&amp;(A2433+1)))</f>
        <v/>
      </c>
      <c r="L2433" s="63">
        <f>IF(OR(H2433="",K2433=0),"—",IF(ISNUMBER(MATCH(H2433,'Zgłoszenia'!$S$5:$S$504,0)),RIGHT("0"&amp;DAY(A2433),2)&amp;"."&amp;RIGHT("0"&amp;MONTH(A2433),2)&amp;"."&amp;YEAR(A2433)&amp;": "&amp;INDEX('Zgłoszenia'!$H$5:$H$504,MATCH(H2433,'Zgłoszenia'!$S$5:$S$504,0)),RIGHT("0"&amp;DAY((A2433+1)),2)&amp;"."&amp;RIGHT("0"&amp;MONTH((A2433+1)),2)&amp;"."&amp;YEAR((A2433+1))&amp;": "&amp;INDEX('Zgłoszenia'!$H$5:$H$504,MATCH(F2433&amp;"|"&amp;(A2433+1),'Zgłoszenia'!$S$5:$S$504,0)))&amp;IF(K2433&gt;1," (+"&amp;(K2433-1)&amp;")",""))</f>
        <v/>
      </c>
      <c r="M2433" s="63" t="n">
        <v>31</v>
      </c>
      <c r="N2433" s="2" t="n"/>
      <c r="O2433" s="2" t="n"/>
    </row>
    <row r="2434">
      <c r="A2434" s="62">
        <f>IF('31'!$C$1="","",'31'!$C$1)</f>
        <v/>
      </c>
      <c r="B2434" s="63">
        <f>Ustawienia!$A$8&amp;""</f>
        <v/>
      </c>
      <c r="C2434" s="63">
        <f>Ustawienia!$A$14&amp;""</f>
        <v/>
      </c>
      <c r="D2434" s="63" t="n">
        <v>3</v>
      </c>
      <c r="E2434" s="63">
        <f>IF('31'!B8="","",TRIM('31'!B8&amp;""))</f>
        <v/>
      </c>
      <c r="F2434" s="63">
        <f>IF('31'!C8="","",'31'!C8)</f>
        <v/>
      </c>
      <c r="G2434" s="63">
        <f>'31'!D8&amp;""</f>
        <v/>
      </c>
      <c r="H2434" s="63">
        <f>IF(OR(A2434="",F2434=""),"",F2434&amp;"|"&amp;A2434)</f>
        <v/>
      </c>
      <c r="I2434" s="63">
        <f>IF(AND(H2434&lt;&gt;"",OR('Historia wózka'!$B$4="",F2434='Historia wózka'!$B$4),A2434&gt;='Historia wózka'!$B$5,A2434&lt;='Historia wózka'!$B$6),A2434+0.9+(5000-ROW())/10000000,0)</f>
        <v/>
      </c>
      <c r="J2434" s="63">
        <f>Ustawienia!$B$8&amp;""</f>
        <v/>
      </c>
      <c r="K2434" s="63">
        <f>IF(H2434="","",COUNTIFS('Zgłoszenia'!$B$5:$B$504,F2434,'Zgłoszenia'!$D$5:$D$504,"&gt;="&amp;A2434,'Zgłoszenia'!$D$5:$D$504,"&lt;="&amp;(A2434+1)))</f>
        <v/>
      </c>
      <c r="L2434" s="63">
        <f>IF(OR(H2434="",K2434=0),"—",IF(ISNUMBER(MATCH(H2434,'Zgłoszenia'!$S$5:$S$504,0)),RIGHT("0"&amp;DAY(A2434),2)&amp;"."&amp;RIGHT("0"&amp;MONTH(A2434),2)&amp;"."&amp;YEAR(A2434)&amp;": "&amp;INDEX('Zgłoszenia'!$H$5:$H$504,MATCH(H2434,'Zgłoszenia'!$S$5:$S$504,0)),RIGHT("0"&amp;DAY((A2434+1)),2)&amp;"."&amp;RIGHT("0"&amp;MONTH((A2434+1)),2)&amp;"."&amp;YEAR((A2434+1))&amp;": "&amp;INDEX('Zgłoszenia'!$H$5:$H$504,MATCH(F2434&amp;"|"&amp;(A2434+1),'Zgłoszenia'!$S$5:$S$504,0)))&amp;IF(K2434&gt;1," (+"&amp;(K2434-1)&amp;")",""))</f>
        <v/>
      </c>
      <c r="M2434" s="63" t="n">
        <v>31</v>
      </c>
      <c r="N2434" s="2" t="n"/>
      <c r="O2434" s="2" t="n"/>
    </row>
    <row r="2435">
      <c r="A2435" s="62">
        <f>IF('31'!$C$1="","",'31'!$C$1)</f>
        <v/>
      </c>
      <c r="B2435" s="63">
        <f>Ustawienia!$A$8&amp;""</f>
        <v/>
      </c>
      <c r="C2435" s="63">
        <f>Ustawienia!$A$14&amp;""</f>
        <v/>
      </c>
      <c r="D2435" s="63" t="n">
        <v>4</v>
      </c>
      <c r="E2435" s="63">
        <f>IF('31'!B9="","",TRIM('31'!B9&amp;""))</f>
        <v/>
      </c>
      <c r="F2435" s="63">
        <f>IF('31'!C9="","",'31'!C9)</f>
        <v/>
      </c>
      <c r="G2435" s="63">
        <f>'31'!D9&amp;""</f>
        <v/>
      </c>
      <c r="H2435" s="63">
        <f>IF(OR(A2435="",F2435=""),"",F2435&amp;"|"&amp;A2435)</f>
        <v/>
      </c>
      <c r="I2435" s="63">
        <f>IF(AND(H2435&lt;&gt;"",OR('Historia wózka'!$B$4="",F2435='Historia wózka'!$B$4),A2435&gt;='Historia wózka'!$B$5,A2435&lt;='Historia wózka'!$B$6),A2435+0.9+(5000-ROW())/10000000,0)</f>
        <v/>
      </c>
      <c r="J2435" s="63">
        <f>Ustawienia!$B$8&amp;""</f>
        <v/>
      </c>
      <c r="K2435" s="63">
        <f>IF(H2435="","",COUNTIFS('Zgłoszenia'!$B$5:$B$504,F2435,'Zgłoszenia'!$D$5:$D$504,"&gt;="&amp;A2435,'Zgłoszenia'!$D$5:$D$504,"&lt;="&amp;(A2435+1)))</f>
        <v/>
      </c>
      <c r="L2435" s="63">
        <f>IF(OR(H2435="",K2435=0),"—",IF(ISNUMBER(MATCH(H2435,'Zgłoszenia'!$S$5:$S$504,0)),RIGHT("0"&amp;DAY(A2435),2)&amp;"."&amp;RIGHT("0"&amp;MONTH(A2435),2)&amp;"."&amp;YEAR(A2435)&amp;": "&amp;INDEX('Zgłoszenia'!$H$5:$H$504,MATCH(H2435,'Zgłoszenia'!$S$5:$S$504,0)),RIGHT("0"&amp;DAY((A2435+1)),2)&amp;"."&amp;RIGHT("0"&amp;MONTH((A2435+1)),2)&amp;"."&amp;YEAR((A2435+1))&amp;": "&amp;INDEX('Zgłoszenia'!$H$5:$H$504,MATCH(F2435&amp;"|"&amp;(A2435+1),'Zgłoszenia'!$S$5:$S$504,0)))&amp;IF(K2435&gt;1," (+"&amp;(K2435-1)&amp;")",""))</f>
        <v/>
      </c>
      <c r="M2435" s="63" t="n">
        <v>31</v>
      </c>
      <c r="N2435" s="2" t="n"/>
      <c r="O2435" s="2" t="n"/>
    </row>
    <row r="2436">
      <c r="A2436" s="62">
        <f>IF('31'!$C$1="","",'31'!$C$1)</f>
        <v/>
      </c>
      <c r="B2436" s="63">
        <f>Ustawienia!$A$8&amp;""</f>
        <v/>
      </c>
      <c r="C2436" s="63">
        <f>Ustawienia!$A$14&amp;""</f>
        <v/>
      </c>
      <c r="D2436" s="63" t="n">
        <v>5</v>
      </c>
      <c r="E2436" s="63">
        <f>IF('31'!B10="","",TRIM('31'!B10&amp;""))</f>
        <v/>
      </c>
      <c r="F2436" s="63">
        <f>IF('31'!C10="","",'31'!C10)</f>
        <v/>
      </c>
      <c r="G2436" s="63">
        <f>'31'!D10&amp;""</f>
        <v/>
      </c>
      <c r="H2436" s="63">
        <f>IF(OR(A2436="",F2436=""),"",F2436&amp;"|"&amp;A2436)</f>
        <v/>
      </c>
      <c r="I2436" s="63">
        <f>IF(AND(H2436&lt;&gt;"",OR('Historia wózka'!$B$4="",F2436='Historia wózka'!$B$4),A2436&gt;='Historia wózka'!$B$5,A2436&lt;='Historia wózka'!$B$6),A2436+0.9+(5000-ROW())/10000000,0)</f>
        <v/>
      </c>
      <c r="J2436" s="63">
        <f>Ustawienia!$B$8&amp;""</f>
        <v/>
      </c>
      <c r="K2436" s="63">
        <f>IF(H2436="","",COUNTIFS('Zgłoszenia'!$B$5:$B$504,F2436,'Zgłoszenia'!$D$5:$D$504,"&gt;="&amp;A2436,'Zgłoszenia'!$D$5:$D$504,"&lt;="&amp;(A2436+1)))</f>
        <v/>
      </c>
      <c r="L2436" s="63">
        <f>IF(OR(H2436="",K2436=0),"—",IF(ISNUMBER(MATCH(H2436,'Zgłoszenia'!$S$5:$S$504,0)),RIGHT("0"&amp;DAY(A2436),2)&amp;"."&amp;RIGHT("0"&amp;MONTH(A2436),2)&amp;"."&amp;YEAR(A2436)&amp;": "&amp;INDEX('Zgłoszenia'!$H$5:$H$504,MATCH(H2436,'Zgłoszenia'!$S$5:$S$504,0)),RIGHT("0"&amp;DAY((A2436+1)),2)&amp;"."&amp;RIGHT("0"&amp;MONTH((A2436+1)),2)&amp;"."&amp;YEAR((A2436+1))&amp;": "&amp;INDEX('Zgłoszenia'!$H$5:$H$504,MATCH(F2436&amp;"|"&amp;(A2436+1),'Zgłoszenia'!$S$5:$S$504,0)))&amp;IF(K2436&gt;1," (+"&amp;(K2436-1)&amp;")",""))</f>
        <v/>
      </c>
      <c r="M2436" s="63" t="n">
        <v>31</v>
      </c>
      <c r="N2436" s="2" t="n"/>
      <c r="O2436" s="2" t="n"/>
    </row>
    <row r="2437">
      <c r="A2437" s="62">
        <f>IF('31'!$C$1="","",'31'!$C$1)</f>
        <v/>
      </c>
      <c r="B2437" s="63">
        <f>Ustawienia!$A$8&amp;""</f>
        <v/>
      </c>
      <c r="C2437" s="63">
        <f>Ustawienia!$A$14&amp;""</f>
        <v/>
      </c>
      <c r="D2437" s="63" t="n">
        <v>6</v>
      </c>
      <c r="E2437" s="63">
        <f>IF('31'!B11="","",TRIM('31'!B11&amp;""))</f>
        <v/>
      </c>
      <c r="F2437" s="63">
        <f>IF('31'!C11="","",'31'!C11)</f>
        <v/>
      </c>
      <c r="G2437" s="63">
        <f>'31'!D11&amp;""</f>
        <v/>
      </c>
      <c r="H2437" s="63">
        <f>IF(OR(A2437="",F2437=""),"",F2437&amp;"|"&amp;A2437)</f>
        <v/>
      </c>
      <c r="I2437" s="63">
        <f>IF(AND(H2437&lt;&gt;"",OR('Historia wózka'!$B$4="",F2437='Historia wózka'!$B$4),A2437&gt;='Historia wózka'!$B$5,A2437&lt;='Historia wózka'!$B$6),A2437+0.9+(5000-ROW())/10000000,0)</f>
        <v/>
      </c>
      <c r="J2437" s="63">
        <f>Ustawienia!$B$8&amp;""</f>
        <v/>
      </c>
      <c r="K2437" s="63">
        <f>IF(H2437="","",COUNTIFS('Zgłoszenia'!$B$5:$B$504,F2437,'Zgłoszenia'!$D$5:$D$504,"&gt;="&amp;A2437,'Zgłoszenia'!$D$5:$D$504,"&lt;="&amp;(A2437+1)))</f>
        <v/>
      </c>
      <c r="L2437" s="63">
        <f>IF(OR(H2437="",K2437=0),"—",IF(ISNUMBER(MATCH(H2437,'Zgłoszenia'!$S$5:$S$504,0)),RIGHT("0"&amp;DAY(A2437),2)&amp;"."&amp;RIGHT("0"&amp;MONTH(A2437),2)&amp;"."&amp;YEAR(A2437)&amp;": "&amp;INDEX('Zgłoszenia'!$H$5:$H$504,MATCH(H2437,'Zgłoszenia'!$S$5:$S$504,0)),RIGHT("0"&amp;DAY((A2437+1)),2)&amp;"."&amp;RIGHT("0"&amp;MONTH((A2437+1)),2)&amp;"."&amp;YEAR((A2437+1))&amp;": "&amp;INDEX('Zgłoszenia'!$H$5:$H$504,MATCH(F2437&amp;"|"&amp;(A2437+1),'Zgłoszenia'!$S$5:$S$504,0)))&amp;IF(K2437&gt;1," (+"&amp;(K2437-1)&amp;")",""))</f>
        <v/>
      </c>
      <c r="M2437" s="63" t="n">
        <v>31</v>
      </c>
      <c r="N2437" s="2" t="n"/>
      <c r="O2437" s="2" t="n"/>
    </row>
    <row r="2438">
      <c r="A2438" s="62">
        <f>IF('31'!$C$1="","",'31'!$C$1)</f>
        <v/>
      </c>
      <c r="B2438" s="63">
        <f>Ustawienia!$A$8&amp;""</f>
        <v/>
      </c>
      <c r="C2438" s="63">
        <f>Ustawienia!$A$15&amp;""</f>
        <v/>
      </c>
      <c r="D2438" s="63" t="n">
        <v>1</v>
      </c>
      <c r="E2438" s="63">
        <f>IF('31'!B13="","",TRIM('31'!B13&amp;""))</f>
        <v/>
      </c>
      <c r="F2438" s="63">
        <f>IF('31'!C13="","",'31'!C13)</f>
        <v/>
      </c>
      <c r="G2438" s="63">
        <f>'31'!D13&amp;""</f>
        <v/>
      </c>
      <c r="H2438" s="63">
        <f>IF(OR(A2438="",F2438=""),"",F2438&amp;"|"&amp;A2438)</f>
        <v/>
      </c>
      <c r="I2438" s="63">
        <f>IF(AND(H2438&lt;&gt;"",OR('Historia wózka'!$B$4="",F2438='Historia wózka'!$B$4),A2438&gt;='Historia wózka'!$B$5,A2438&lt;='Historia wózka'!$B$6),A2438+0.9+(5000-ROW())/10000000,0)</f>
        <v/>
      </c>
      <c r="J2438" s="63">
        <f>Ustawienia!$B$8&amp;""</f>
        <v/>
      </c>
      <c r="K2438" s="63">
        <f>IF(H2438="","",COUNTIFS('Zgłoszenia'!$B$5:$B$504,F2438,'Zgłoszenia'!$D$5:$D$504,"&gt;="&amp;A2438,'Zgłoszenia'!$D$5:$D$504,"&lt;="&amp;(A2438+1)))</f>
        <v/>
      </c>
      <c r="L2438" s="63">
        <f>IF(OR(H2438="",K2438=0),"—",IF(ISNUMBER(MATCH(H2438,'Zgłoszenia'!$S$5:$S$504,0)),RIGHT("0"&amp;DAY(A2438),2)&amp;"."&amp;RIGHT("0"&amp;MONTH(A2438),2)&amp;"."&amp;YEAR(A2438)&amp;": "&amp;INDEX('Zgłoszenia'!$H$5:$H$504,MATCH(H2438,'Zgłoszenia'!$S$5:$S$504,0)),RIGHT("0"&amp;DAY((A2438+1)),2)&amp;"."&amp;RIGHT("0"&amp;MONTH((A2438+1)),2)&amp;"."&amp;YEAR((A2438+1))&amp;": "&amp;INDEX('Zgłoszenia'!$H$5:$H$504,MATCH(F2438&amp;"|"&amp;(A2438+1),'Zgłoszenia'!$S$5:$S$504,0)))&amp;IF(K2438&gt;1," (+"&amp;(K2438-1)&amp;")",""))</f>
        <v/>
      </c>
      <c r="M2438" s="63" t="n">
        <v>31</v>
      </c>
      <c r="N2438" s="2" t="n"/>
      <c r="O2438" s="2" t="n"/>
    </row>
    <row r="2439">
      <c r="A2439" s="62">
        <f>IF('31'!$C$1="","",'31'!$C$1)</f>
        <v/>
      </c>
      <c r="B2439" s="63">
        <f>Ustawienia!$A$8&amp;""</f>
        <v/>
      </c>
      <c r="C2439" s="63">
        <f>Ustawienia!$A$15&amp;""</f>
        <v/>
      </c>
      <c r="D2439" s="63" t="n">
        <v>2</v>
      </c>
      <c r="E2439" s="63">
        <f>IF('31'!B14="","",TRIM('31'!B14&amp;""))</f>
        <v/>
      </c>
      <c r="F2439" s="63">
        <f>IF('31'!C14="","",'31'!C14)</f>
        <v/>
      </c>
      <c r="G2439" s="63">
        <f>'31'!D14&amp;""</f>
        <v/>
      </c>
      <c r="H2439" s="63">
        <f>IF(OR(A2439="",F2439=""),"",F2439&amp;"|"&amp;A2439)</f>
        <v/>
      </c>
      <c r="I2439" s="63">
        <f>IF(AND(H2439&lt;&gt;"",OR('Historia wózka'!$B$4="",F2439='Historia wózka'!$B$4),A2439&gt;='Historia wózka'!$B$5,A2439&lt;='Historia wózka'!$B$6),A2439+0.9+(5000-ROW())/10000000,0)</f>
        <v/>
      </c>
      <c r="J2439" s="63">
        <f>Ustawienia!$B$8&amp;""</f>
        <v/>
      </c>
      <c r="K2439" s="63">
        <f>IF(H2439="","",COUNTIFS('Zgłoszenia'!$B$5:$B$504,F2439,'Zgłoszenia'!$D$5:$D$504,"&gt;="&amp;A2439,'Zgłoszenia'!$D$5:$D$504,"&lt;="&amp;(A2439+1)))</f>
        <v/>
      </c>
      <c r="L2439" s="63">
        <f>IF(OR(H2439="",K2439=0),"—",IF(ISNUMBER(MATCH(H2439,'Zgłoszenia'!$S$5:$S$504,0)),RIGHT("0"&amp;DAY(A2439),2)&amp;"."&amp;RIGHT("0"&amp;MONTH(A2439),2)&amp;"."&amp;YEAR(A2439)&amp;": "&amp;INDEX('Zgłoszenia'!$H$5:$H$504,MATCH(H2439,'Zgłoszenia'!$S$5:$S$504,0)),RIGHT("0"&amp;DAY((A2439+1)),2)&amp;"."&amp;RIGHT("0"&amp;MONTH((A2439+1)),2)&amp;"."&amp;YEAR((A2439+1))&amp;": "&amp;INDEX('Zgłoszenia'!$H$5:$H$504,MATCH(F2439&amp;"|"&amp;(A2439+1),'Zgłoszenia'!$S$5:$S$504,0)))&amp;IF(K2439&gt;1," (+"&amp;(K2439-1)&amp;")",""))</f>
        <v/>
      </c>
      <c r="M2439" s="63" t="n">
        <v>31</v>
      </c>
      <c r="N2439" s="2" t="n"/>
      <c r="O2439" s="2" t="n"/>
    </row>
    <row r="2440">
      <c r="A2440" s="62">
        <f>IF('31'!$C$1="","",'31'!$C$1)</f>
        <v/>
      </c>
      <c r="B2440" s="63">
        <f>Ustawienia!$A$8&amp;""</f>
        <v/>
      </c>
      <c r="C2440" s="63">
        <f>Ustawienia!$A$15&amp;""</f>
        <v/>
      </c>
      <c r="D2440" s="63" t="n">
        <v>3</v>
      </c>
      <c r="E2440" s="63">
        <f>IF('31'!B15="","",TRIM('31'!B15&amp;""))</f>
        <v/>
      </c>
      <c r="F2440" s="63">
        <f>IF('31'!C15="","",'31'!C15)</f>
        <v/>
      </c>
      <c r="G2440" s="63">
        <f>'31'!D15&amp;""</f>
        <v/>
      </c>
      <c r="H2440" s="63">
        <f>IF(OR(A2440="",F2440=""),"",F2440&amp;"|"&amp;A2440)</f>
        <v/>
      </c>
      <c r="I2440" s="63">
        <f>IF(AND(H2440&lt;&gt;"",OR('Historia wózka'!$B$4="",F2440='Historia wózka'!$B$4),A2440&gt;='Historia wózka'!$B$5,A2440&lt;='Historia wózka'!$B$6),A2440+0.9+(5000-ROW())/10000000,0)</f>
        <v/>
      </c>
      <c r="J2440" s="63">
        <f>Ustawienia!$B$8&amp;""</f>
        <v/>
      </c>
      <c r="K2440" s="63">
        <f>IF(H2440="","",COUNTIFS('Zgłoszenia'!$B$5:$B$504,F2440,'Zgłoszenia'!$D$5:$D$504,"&gt;="&amp;A2440,'Zgłoszenia'!$D$5:$D$504,"&lt;="&amp;(A2440+1)))</f>
        <v/>
      </c>
      <c r="L2440" s="63">
        <f>IF(OR(H2440="",K2440=0),"—",IF(ISNUMBER(MATCH(H2440,'Zgłoszenia'!$S$5:$S$504,0)),RIGHT("0"&amp;DAY(A2440),2)&amp;"."&amp;RIGHT("0"&amp;MONTH(A2440),2)&amp;"."&amp;YEAR(A2440)&amp;": "&amp;INDEX('Zgłoszenia'!$H$5:$H$504,MATCH(H2440,'Zgłoszenia'!$S$5:$S$504,0)),RIGHT("0"&amp;DAY((A2440+1)),2)&amp;"."&amp;RIGHT("0"&amp;MONTH((A2440+1)),2)&amp;"."&amp;YEAR((A2440+1))&amp;": "&amp;INDEX('Zgłoszenia'!$H$5:$H$504,MATCH(F2440&amp;"|"&amp;(A2440+1),'Zgłoszenia'!$S$5:$S$504,0)))&amp;IF(K2440&gt;1," (+"&amp;(K2440-1)&amp;")",""))</f>
        <v/>
      </c>
      <c r="M2440" s="63" t="n">
        <v>31</v>
      </c>
      <c r="N2440" s="2" t="n"/>
      <c r="O2440" s="2" t="n"/>
    </row>
    <row r="2441">
      <c r="A2441" s="62">
        <f>IF('31'!$C$1="","",'31'!$C$1)</f>
        <v/>
      </c>
      <c r="B2441" s="63">
        <f>Ustawienia!$A$8&amp;""</f>
        <v/>
      </c>
      <c r="C2441" s="63">
        <f>Ustawienia!$A$15&amp;""</f>
        <v/>
      </c>
      <c r="D2441" s="63" t="n">
        <v>4</v>
      </c>
      <c r="E2441" s="63">
        <f>IF('31'!B16="","",TRIM('31'!B16&amp;""))</f>
        <v/>
      </c>
      <c r="F2441" s="63">
        <f>IF('31'!C16="","",'31'!C16)</f>
        <v/>
      </c>
      <c r="G2441" s="63">
        <f>'31'!D16&amp;""</f>
        <v/>
      </c>
      <c r="H2441" s="63">
        <f>IF(OR(A2441="",F2441=""),"",F2441&amp;"|"&amp;A2441)</f>
        <v/>
      </c>
      <c r="I2441" s="63">
        <f>IF(AND(H2441&lt;&gt;"",OR('Historia wózka'!$B$4="",F2441='Historia wózka'!$B$4),A2441&gt;='Historia wózka'!$B$5,A2441&lt;='Historia wózka'!$B$6),A2441+0.9+(5000-ROW())/10000000,0)</f>
        <v/>
      </c>
      <c r="J2441" s="63">
        <f>Ustawienia!$B$8&amp;""</f>
        <v/>
      </c>
      <c r="K2441" s="63">
        <f>IF(H2441="","",COUNTIFS('Zgłoszenia'!$B$5:$B$504,F2441,'Zgłoszenia'!$D$5:$D$504,"&gt;="&amp;A2441,'Zgłoszenia'!$D$5:$D$504,"&lt;="&amp;(A2441+1)))</f>
        <v/>
      </c>
      <c r="L2441" s="63">
        <f>IF(OR(H2441="",K2441=0),"—",IF(ISNUMBER(MATCH(H2441,'Zgłoszenia'!$S$5:$S$504,0)),RIGHT("0"&amp;DAY(A2441),2)&amp;"."&amp;RIGHT("0"&amp;MONTH(A2441),2)&amp;"."&amp;YEAR(A2441)&amp;": "&amp;INDEX('Zgłoszenia'!$H$5:$H$504,MATCH(H2441,'Zgłoszenia'!$S$5:$S$504,0)),RIGHT("0"&amp;DAY((A2441+1)),2)&amp;"."&amp;RIGHT("0"&amp;MONTH((A2441+1)),2)&amp;"."&amp;YEAR((A2441+1))&amp;": "&amp;INDEX('Zgłoszenia'!$H$5:$H$504,MATCH(F2441&amp;"|"&amp;(A2441+1),'Zgłoszenia'!$S$5:$S$504,0)))&amp;IF(K2441&gt;1," (+"&amp;(K2441-1)&amp;")",""))</f>
        <v/>
      </c>
      <c r="M2441" s="63" t="n">
        <v>31</v>
      </c>
      <c r="N2441" s="2" t="n"/>
      <c r="O2441" s="2" t="n"/>
    </row>
    <row r="2442">
      <c r="A2442" s="62">
        <f>IF('31'!$C$1="","",'31'!$C$1)</f>
        <v/>
      </c>
      <c r="B2442" s="63">
        <f>Ustawienia!$A$8&amp;""</f>
        <v/>
      </c>
      <c r="C2442" s="63">
        <f>Ustawienia!$A$15&amp;""</f>
        <v/>
      </c>
      <c r="D2442" s="63" t="n">
        <v>5</v>
      </c>
      <c r="E2442" s="63">
        <f>IF('31'!B17="","",TRIM('31'!B17&amp;""))</f>
        <v/>
      </c>
      <c r="F2442" s="63">
        <f>IF('31'!C17="","",'31'!C17)</f>
        <v/>
      </c>
      <c r="G2442" s="63">
        <f>'31'!D17&amp;""</f>
        <v/>
      </c>
      <c r="H2442" s="63">
        <f>IF(OR(A2442="",F2442=""),"",F2442&amp;"|"&amp;A2442)</f>
        <v/>
      </c>
      <c r="I2442" s="63">
        <f>IF(AND(H2442&lt;&gt;"",OR('Historia wózka'!$B$4="",F2442='Historia wózka'!$B$4),A2442&gt;='Historia wózka'!$B$5,A2442&lt;='Historia wózka'!$B$6),A2442+0.9+(5000-ROW())/10000000,0)</f>
        <v/>
      </c>
      <c r="J2442" s="63">
        <f>Ustawienia!$B$8&amp;""</f>
        <v/>
      </c>
      <c r="K2442" s="63">
        <f>IF(H2442="","",COUNTIFS('Zgłoszenia'!$B$5:$B$504,F2442,'Zgłoszenia'!$D$5:$D$504,"&gt;="&amp;A2442,'Zgłoszenia'!$D$5:$D$504,"&lt;="&amp;(A2442+1)))</f>
        <v/>
      </c>
      <c r="L2442" s="63">
        <f>IF(OR(H2442="",K2442=0),"—",IF(ISNUMBER(MATCH(H2442,'Zgłoszenia'!$S$5:$S$504,0)),RIGHT("0"&amp;DAY(A2442),2)&amp;"."&amp;RIGHT("0"&amp;MONTH(A2442),2)&amp;"."&amp;YEAR(A2442)&amp;": "&amp;INDEX('Zgłoszenia'!$H$5:$H$504,MATCH(H2442,'Zgłoszenia'!$S$5:$S$504,0)),RIGHT("0"&amp;DAY((A2442+1)),2)&amp;"."&amp;RIGHT("0"&amp;MONTH((A2442+1)),2)&amp;"."&amp;YEAR((A2442+1))&amp;": "&amp;INDEX('Zgłoszenia'!$H$5:$H$504,MATCH(F2442&amp;"|"&amp;(A2442+1),'Zgłoszenia'!$S$5:$S$504,0)))&amp;IF(K2442&gt;1," (+"&amp;(K2442-1)&amp;")",""))</f>
        <v/>
      </c>
      <c r="M2442" s="63" t="n">
        <v>31</v>
      </c>
      <c r="N2442" s="2" t="n"/>
      <c r="O2442" s="2" t="n"/>
    </row>
    <row r="2443">
      <c r="A2443" s="62">
        <f>IF('31'!$C$1="","",'31'!$C$1)</f>
        <v/>
      </c>
      <c r="B2443" s="63">
        <f>Ustawienia!$A$8&amp;""</f>
        <v/>
      </c>
      <c r="C2443" s="63">
        <f>Ustawienia!$A$15&amp;""</f>
        <v/>
      </c>
      <c r="D2443" s="63" t="n">
        <v>6</v>
      </c>
      <c r="E2443" s="63">
        <f>IF('31'!B18="","",TRIM('31'!B18&amp;""))</f>
        <v/>
      </c>
      <c r="F2443" s="63">
        <f>IF('31'!C18="","",'31'!C18)</f>
        <v/>
      </c>
      <c r="G2443" s="63">
        <f>'31'!D18&amp;""</f>
        <v/>
      </c>
      <c r="H2443" s="63">
        <f>IF(OR(A2443="",F2443=""),"",F2443&amp;"|"&amp;A2443)</f>
        <v/>
      </c>
      <c r="I2443" s="63">
        <f>IF(AND(H2443&lt;&gt;"",OR('Historia wózka'!$B$4="",F2443='Historia wózka'!$B$4),A2443&gt;='Historia wózka'!$B$5,A2443&lt;='Historia wózka'!$B$6),A2443+0.9+(5000-ROW())/10000000,0)</f>
        <v/>
      </c>
      <c r="J2443" s="63">
        <f>Ustawienia!$B$8&amp;""</f>
        <v/>
      </c>
      <c r="K2443" s="63">
        <f>IF(H2443="","",COUNTIFS('Zgłoszenia'!$B$5:$B$504,F2443,'Zgłoszenia'!$D$5:$D$504,"&gt;="&amp;A2443,'Zgłoszenia'!$D$5:$D$504,"&lt;="&amp;(A2443+1)))</f>
        <v/>
      </c>
      <c r="L2443" s="63">
        <f>IF(OR(H2443="",K2443=0),"—",IF(ISNUMBER(MATCH(H2443,'Zgłoszenia'!$S$5:$S$504,0)),RIGHT("0"&amp;DAY(A2443),2)&amp;"."&amp;RIGHT("0"&amp;MONTH(A2443),2)&amp;"."&amp;YEAR(A2443)&amp;": "&amp;INDEX('Zgłoszenia'!$H$5:$H$504,MATCH(H2443,'Zgłoszenia'!$S$5:$S$504,0)),RIGHT("0"&amp;DAY((A2443+1)),2)&amp;"."&amp;RIGHT("0"&amp;MONTH((A2443+1)),2)&amp;"."&amp;YEAR((A2443+1))&amp;": "&amp;INDEX('Zgłoszenia'!$H$5:$H$504,MATCH(F2443&amp;"|"&amp;(A2443+1),'Zgłoszenia'!$S$5:$S$504,0)))&amp;IF(K2443&gt;1," (+"&amp;(K2443-1)&amp;")",""))</f>
        <v/>
      </c>
      <c r="M2443" s="63" t="n">
        <v>31</v>
      </c>
      <c r="N2443" s="2" t="n"/>
      <c r="O2443" s="2" t="n"/>
    </row>
    <row r="2444">
      <c r="A2444" s="62">
        <f>IF('31'!$C$1="","",'31'!$C$1)</f>
        <v/>
      </c>
      <c r="B2444" s="63">
        <f>Ustawienia!$A$8&amp;""</f>
        <v/>
      </c>
      <c r="C2444" s="63">
        <f>Ustawienia!$A$15&amp;""</f>
        <v/>
      </c>
      <c r="D2444" s="63" t="n">
        <v>7</v>
      </c>
      <c r="E2444" s="63">
        <f>IF('31'!B19="","",TRIM('31'!B19&amp;""))</f>
        <v/>
      </c>
      <c r="F2444" s="63">
        <f>IF('31'!C19="","",'31'!C19)</f>
        <v/>
      </c>
      <c r="G2444" s="63">
        <f>'31'!D19&amp;""</f>
        <v/>
      </c>
      <c r="H2444" s="63">
        <f>IF(OR(A2444="",F2444=""),"",F2444&amp;"|"&amp;A2444)</f>
        <v/>
      </c>
      <c r="I2444" s="63">
        <f>IF(AND(H2444&lt;&gt;"",OR('Historia wózka'!$B$4="",F2444='Historia wózka'!$B$4),A2444&gt;='Historia wózka'!$B$5,A2444&lt;='Historia wózka'!$B$6),A2444+0.9+(5000-ROW())/10000000,0)</f>
        <v/>
      </c>
      <c r="J2444" s="63">
        <f>Ustawienia!$B$8&amp;""</f>
        <v/>
      </c>
      <c r="K2444" s="63">
        <f>IF(H2444="","",COUNTIFS('Zgłoszenia'!$B$5:$B$504,F2444,'Zgłoszenia'!$D$5:$D$504,"&gt;="&amp;A2444,'Zgłoszenia'!$D$5:$D$504,"&lt;="&amp;(A2444+1)))</f>
        <v/>
      </c>
      <c r="L2444" s="63">
        <f>IF(OR(H2444="",K2444=0),"—",IF(ISNUMBER(MATCH(H2444,'Zgłoszenia'!$S$5:$S$504,0)),RIGHT("0"&amp;DAY(A2444),2)&amp;"."&amp;RIGHT("0"&amp;MONTH(A2444),2)&amp;"."&amp;YEAR(A2444)&amp;": "&amp;INDEX('Zgłoszenia'!$H$5:$H$504,MATCH(H2444,'Zgłoszenia'!$S$5:$S$504,0)),RIGHT("0"&amp;DAY((A2444+1)),2)&amp;"."&amp;RIGHT("0"&amp;MONTH((A2444+1)),2)&amp;"."&amp;YEAR((A2444+1))&amp;": "&amp;INDEX('Zgłoszenia'!$H$5:$H$504,MATCH(F2444&amp;"|"&amp;(A2444+1),'Zgłoszenia'!$S$5:$S$504,0)))&amp;IF(K2444&gt;1," (+"&amp;(K2444-1)&amp;")",""))</f>
        <v/>
      </c>
      <c r="M2444" s="63" t="n">
        <v>31</v>
      </c>
      <c r="N2444" s="2" t="n"/>
      <c r="O2444" s="2" t="n"/>
    </row>
    <row r="2445">
      <c r="A2445" s="62">
        <f>IF('31'!$C$1="","",'31'!$C$1)</f>
        <v/>
      </c>
      <c r="B2445" s="63">
        <f>Ustawienia!$A$8&amp;""</f>
        <v/>
      </c>
      <c r="C2445" s="63">
        <f>Ustawienia!$A$15&amp;""</f>
        <v/>
      </c>
      <c r="D2445" s="63" t="n">
        <v>8</v>
      </c>
      <c r="E2445" s="63">
        <f>IF('31'!B20="","",TRIM('31'!B20&amp;""))</f>
        <v/>
      </c>
      <c r="F2445" s="63">
        <f>IF('31'!C20="","",'31'!C20)</f>
        <v/>
      </c>
      <c r="G2445" s="63">
        <f>'31'!D20&amp;""</f>
        <v/>
      </c>
      <c r="H2445" s="63">
        <f>IF(OR(A2445="",F2445=""),"",F2445&amp;"|"&amp;A2445)</f>
        <v/>
      </c>
      <c r="I2445" s="63">
        <f>IF(AND(H2445&lt;&gt;"",OR('Historia wózka'!$B$4="",F2445='Historia wózka'!$B$4),A2445&gt;='Historia wózka'!$B$5,A2445&lt;='Historia wózka'!$B$6),A2445+0.9+(5000-ROW())/10000000,0)</f>
        <v/>
      </c>
      <c r="J2445" s="63">
        <f>Ustawienia!$B$8&amp;""</f>
        <v/>
      </c>
      <c r="K2445" s="63">
        <f>IF(H2445="","",COUNTIFS('Zgłoszenia'!$B$5:$B$504,F2445,'Zgłoszenia'!$D$5:$D$504,"&gt;="&amp;A2445,'Zgłoszenia'!$D$5:$D$504,"&lt;="&amp;(A2445+1)))</f>
        <v/>
      </c>
      <c r="L2445" s="63">
        <f>IF(OR(H2445="",K2445=0),"—",IF(ISNUMBER(MATCH(H2445,'Zgłoszenia'!$S$5:$S$504,0)),RIGHT("0"&amp;DAY(A2445),2)&amp;"."&amp;RIGHT("0"&amp;MONTH(A2445),2)&amp;"."&amp;YEAR(A2445)&amp;": "&amp;INDEX('Zgłoszenia'!$H$5:$H$504,MATCH(H2445,'Zgłoszenia'!$S$5:$S$504,0)),RIGHT("0"&amp;DAY((A2445+1)),2)&amp;"."&amp;RIGHT("0"&amp;MONTH((A2445+1)),2)&amp;"."&amp;YEAR((A2445+1))&amp;": "&amp;INDEX('Zgłoszenia'!$H$5:$H$504,MATCH(F2445&amp;"|"&amp;(A2445+1),'Zgłoszenia'!$S$5:$S$504,0)))&amp;IF(K2445&gt;1," (+"&amp;(K2445-1)&amp;")",""))</f>
        <v/>
      </c>
      <c r="M2445" s="63" t="n">
        <v>31</v>
      </c>
      <c r="N2445" s="2" t="n"/>
      <c r="O2445" s="2" t="n"/>
    </row>
    <row r="2446">
      <c r="A2446" s="62">
        <f>IF('31'!$C$1="","",'31'!$C$1)</f>
        <v/>
      </c>
      <c r="B2446" s="63">
        <f>Ustawienia!$A$8&amp;""</f>
        <v/>
      </c>
      <c r="C2446" s="63">
        <f>Ustawienia!$A$16&amp;""</f>
        <v/>
      </c>
      <c r="D2446" s="63" t="n">
        <v>1</v>
      </c>
      <c r="E2446" s="63">
        <f>IF('31'!B22="","",TRIM('31'!B22&amp;""))</f>
        <v/>
      </c>
      <c r="F2446" s="63">
        <f>IF('31'!C22="","",'31'!C22)</f>
        <v/>
      </c>
      <c r="G2446" s="63">
        <f>'31'!D22&amp;""</f>
        <v/>
      </c>
      <c r="H2446" s="63">
        <f>IF(OR(A2446="",F2446=""),"",F2446&amp;"|"&amp;A2446)</f>
        <v/>
      </c>
      <c r="I2446" s="63">
        <f>IF(AND(H2446&lt;&gt;"",OR('Historia wózka'!$B$4="",F2446='Historia wózka'!$B$4),A2446&gt;='Historia wózka'!$B$5,A2446&lt;='Historia wózka'!$B$6),A2446+0.9+(5000-ROW())/10000000,0)</f>
        <v/>
      </c>
      <c r="J2446" s="63">
        <f>Ustawienia!$B$8&amp;""</f>
        <v/>
      </c>
      <c r="K2446" s="63">
        <f>IF(H2446="","",COUNTIFS('Zgłoszenia'!$B$5:$B$504,F2446,'Zgłoszenia'!$D$5:$D$504,"&gt;="&amp;A2446,'Zgłoszenia'!$D$5:$D$504,"&lt;="&amp;(A2446+1)))</f>
        <v/>
      </c>
      <c r="L2446" s="63">
        <f>IF(OR(H2446="",K2446=0),"—",IF(ISNUMBER(MATCH(H2446,'Zgłoszenia'!$S$5:$S$504,0)),RIGHT("0"&amp;DAY(A2446),2)&amp;"."&amp;RIGHT("0"&amp;MONTH(A2446),2)&amp;"."&amp;YEAR(A2446)&amp;": "&amp;INDEX('Zgłoszenia'!$H$5:$H$504,MATCH(H2446,'Zgłoszenia'!$S$5:$S$504,0)),RIGHT("0"&amp;DAY((A2446+1)),2)&amp;"."&amp;RIGHT("0"&amp;MONTH((A2446+1)),2)&amp;"."&amp;YEAR((A2446+1))&amp;": "&amp;INDEX('Zgłoszenia'!$H$5:$H$504,MATCH(F2446&amp;"|"&amp;(A2446+1),'Zgłoszenia'!$S$5:$S$504,0)))&amp;IF(K2446&gt;1," (+"&amp;(K2446-1)&amp;")",""))</f>
        <v/>
      </c>
      <c r="M2446" s="63" t="n">
        <v>31</v>
      </c>
      <c r="N2446" s="2" t="n"/>
      <c r="O2446" s="2" t="n"/>
    </row>
    <row r="2447">
      <c r="A2447" s="62">
        <f>IF('31'!$C$1="","",'31'!$C$1)</f>
        <v/>
      </c>
      <c r="B2447" s="63">
        <f>Ustawienia!$A$8&amp;""</f>
        <v/>
      </c>
      <c r="C2447" s="63">
        <f>Ustawienia!$A$16&amp;""</f>
        <v/>
      </c>
      <c r="D2447" s="63" t="n">
        <v>2</v>
      </c>
      <c r="E2447" s="63">
        <f>IF('31'!B23="","",TRIM('31'!B23&amp;""))</f>
        <v/>
      </c>
      <c r="F2447" s="63">
        <f>IF('31'!C23="","",'31'!C23)</f>
        <v/>
      </c>
      <c r="G2447" s="63">
        <f>'31'!D23&amp;""</f>
        <v/>
      </c>
      <c r="H2447" s="63">
        <f>IF(OR(A2447="",F2447=""),"",F2447&amp;"|"&amp;A2447)</f>
        <v/>
      </c>
      <c r="I2447" s="63">
        <f>IF(AND(H2447&lt;&gt;"",OR('Historia wózka'!$B$4="",F2447='Historia wózka'!$B$4),A2447&gt;='Historia wózka'!$B$5,A2447&lt;='Historia wózka'!$B$6),A2447+0.9+(5000-ROW())/10000000,0)</f>
        <v/>
      </c>
      <c r="J2447" s="63">
        <f>Ustawienia!$B$8&amp;""</f>
        <v/>
      </c>
      <c r="K2447" s="63">
        <f>IF(H2447="","",COUNTIFS('Zgłoszenia'!$B$5:$B$504,F2447,'Zgłoszenia'!$D$5:$D$504,"&gt;="&amp;A2447,'Zgłoszenia'!$D$5:$D$504,"&lt;="&amp;(A2447+1)))</f>
        <v/>
      </c>
      <c r="L2447" s="63">
        <f>IF(OR(H2447="",K2447=0),"—",IF(ISNUMBER(MATCH(H2447,'Zgłoszenia'!$S$5:$S$504,0)),RIGHT("0"&amp;DAY(A2447),2)&amp;"."&amp;RIGHT("0"&amp;MONTH(A2447),2)&amp;"."&amp;YEAR(A2447)&amp;": "&amp;INDEX('Zgłoszenia'!$H$5:$H$504,MATCH(H2447,'Zgłoszenia'!$S$5:$S$504,0)),RIGHT("0"&amp;DAY((A2447+1)),2)&amp;"."&amp;RIGHT("0"&amp;MONTH((A2447+1)),2)&amp;"."&amp;YEAR((A2447+1))&amp;": "&amp;INDEX('Zgłoszenia'!$H$5:$H$504,MATCH(F2447&amp;"|"&amp;(A2447+1),'Zgłoszenia'!$S$5:$S$504,0)))&amp;IF(K2447&gt;1," (+"&amp;(K2447-1)&amp;")",""))</f>
        <v/>
      </c>
      <c r="M2447" s="63" t="n">
        <v>31</v>
      </c>
      <c r="N2447" s="2" t="n"/>
      <c r="O2447" s="2" t="n"/>
    </row>
    <row r="2448">
      <c r="A2448" s="62">
        <f>IF('31'!$C$1="","",'31'!$C$1)</f>
        <v/>
      </c>
      <c r="B2448" s="63">
        <f>Ustawienia!$A$8&amp;""</f>
        <v/>
      </c>
      <c r="C2448" s="63">
        <f>Ustawienia!$A$16&amp;""</f>
        <v/>
      </c>
      <c r="D2448" s="63" t="n">
        <v>3</v>
      </c>
      <c r="E2448" s="63">
        <f>IF('31'!B24="","",TRIM('31'!B24&amp;""))</f>
        <v/>
      </c>
      <c r="F2448" s="63">
        <f>IF('31'!C24="","",'31'!C24)</f>
        <v/>
      </c>
      <c r="G2448" s="63">
        <f>'31'!D24&amp;""</f>
        <v/>
      </c>
      <c r="H2448" s="63">
        <f>IF(OR(A2448="",F2448=""),"",F2448&amp;"|"&amp;A2448)</f>
        <v/>
      </c>
      <c r="I2448" s="63">
        <f>IF(AND(H2448&lt;&gt;"",OR('Historia wózka'!$B$4="",F2448='Historia wózka'!$B$4),A2448&gt;='Historia wózka'!$B$5,A2448&lt;='Historia wózka'!$B$6),A2448+0.9+(5000-ROW())/10000000,0)</f>
        <v/>
      </c>
      <c r="J2448" s="63">
        <f>Ustawienia!$B$8&amp;""</f>
        <v/>
      </c>
      <c r="K2448" s="63">
        <f>IF(H2448="","",COUNTIFS('Zgłoszenia'!$B$5:$B$504,F2448,'Zgłoszenia'!$D$5:$D$504,"&gt;="&amp;A2448,'Zgłoszenia'!$D$5:$D$504,"&lt;="&amp;(A2448+1)))</f>
        <v/>
      </c>
      <c r="L2448" s="63">
        <f>IF(OR(H2448="",K2448=0),"—",IF(ISNUMBER(MATCH(H2448,'Zgłoszenia'!$S$5:$S$504,0)),RIGHT("0"&amp;DAY(A2448),2)&amp;"."&amp;RIGHT("0"&amp;MONTH(A2448),2)&amp;"."&amp;YEAR(A2448)&amp;": "&amp;INDEX('Zgłoszenia'!$H$5:$H$504,MATCH(H2448,'Zgłoszenia'!$S$5:$S$504,0)),RIGHT("0"&amp;DAY((A2448+1)),2)&amp;"."&amp;RIGHT("0"&amp;MONTH((A2448+1)),2)&amp;"."&amp;YEAR((A2448+1))&amp;": "&amp;INDEX('Zgłoszenia'!$H$5:$H$504,MATCH(F2448&amp;"|"&amp;(A2448+1),'Zgłoszenia'!$S$5:$S$504,0)))&amp;IF(K2448&gt;1," (+"&amp;(K2448-1)&amp;")",""))</f>
        <v/>
      </c>
      <c r="M2448" s="63" t="n">
        <v>31</v>
      </c>
      <c r="N2448" s="2" t="n"/>
      <c r="O2448" s="2" t="n"/>
    </row>
    <row r="2449">
      <c r="A2449" s="62">
        <f>IF('31'!$C$1="","",'31'!$C$1)</f>
        <v/>
      </c>
      <c r="B2449" s="63">
        <f>Ustawienia!$A$8&amp;""</f>
        <v/>
      </c>
      <c r="C2449" s="63">
        <f>Ustawienia!$A$16&amp;""</f>
        <v/>
      </c>
      <c r="D2449" s="63" t="n">
        <v>4</v>
      </c>
      <c r="E2449" s="63">
        <f>IF('31'!B25="","",TRIM('31'!B25&amp;""))</f>
        <v/>
      </c>
      <c r="F2449" s="63">
        <f>IF('31'!C25="","",'31'!C25)</f>
        <v/>
      </c>
      <c r="G2449" s="63">
        <f>'31'!D25&amp;""</f>
        <v/>
      </c>
      <c r="H2449" s="63">
        <f>IF(OR(A2449="",F2449=""),"",F2449&amp;"|"&amp;A2449)</f>
        <v/>
      </c>
      <c r="I2449" s="63">
        <f>IF(AND(H2449&lt;&gt;"",OR('Historia wózka'!$B$4="",F2449='Historia wózka'!$B$4),A2449&gt;='Historia wózka'!$B$5,A2449&lt;='Historia wózka'!$B$6),A2449+0.9+(5000-ROW())/10000000,0)</f>
        <v/>
      </c>
      <c r="J2449" s="63">
        <f>Ustawienia!$B$8&amp;""</f>
        <v/>
      </c>
      <c r="K2449" s="63">
        <f>IF(H2449="","",COUNTIFS('Zgłoszenia'!$B$5:$B$504,F2449,'Zgłoszenia'!$D$5:$D$504,"&gt;="&amp;A2449,'Zgłoszenia'!$D$5:$D$504,"&lt;="&amp;(A2449+1)))</f>
        <v/>
      </c>
      <c r="L2449" s="63">
        <f>IF(OR(H2449="",K2449=0),"—",IF(ISNUMBER(MATCH(H2449,'Zgłoszenia'!$S$5:$S$504,0)),RIGHT("0"&amp;DAY(A2449),2)&amp;"."&amp;RIGHT("0"&amp;MONTH(A2449),2)&amp;"."&amp;YEAR(A2449)&amp;": "&amp;INDEX('Zgłoszenia'!$H$5:$H$504,MATCH(H2449,'Zgłoszenia'!$S$5:$S$504,0)),RIGHT("0"&amp;DAY((A2449+1)),2)&amp;"."&amp;RIGHT("0"&amp;MONTH((A2449+1)),2)&amp;"."&amp;YEAR((A2449+1))&amp;": "&amp;INDEX('Zgłoszenia'!$H$5:$H$504,MATCH(F2449&amp;"|"&amp;(A2449+1),'Zgłoszenia'!$S$5:$S$504,0)))&amp;IF(K2449&gt;1," (+"&amp;(K2449-1)&amp;")",""))</f>
        <v/>
      </c>
      <c r="M2449" s="63" t="n">
        <v>31</v>
      </c>
      <c r="N2449" s="2" t="n"/>
      <c r="O2449" s="2" t="n"/>
    </row>
    <row r="2450">
      <c r="A2450" s="62">
        <f>IF('31'!$C$1="","",'31'!$C$1)</f>
        <v/>
      </c>
      <c r="B2450" s="63">
        <f>Ustawienia!$A$8&amp;""</f>
        <v/>
      </c>
      <c r="C2450" s="63">
        <f>Ustawienia!$A$17&amp;""</f>
        <v/>
      </c>
      <c r="D2450" s="63" t="n">
        <v>1</v>
      </c>
      <c r="E2450" s="63">
        <f>IF('31'!B27="","",TRIM('31'!B27&amp;""))</f>
        <v/>
      </c>
      <c r="F2450" s="63">
        <f>IF('31'!C27="","",'31'!C27)</f>
        <v/>
      </c>
      <c r="G2450" s="63">
        <f>'31'!D27&amp;""</f>
        <v/>
      </c>
      <c r="H2450" s="63">
        <f>IF(OR(A2450="",F2450=""),"",F2450&amp;"|"&amp;A2450)</f>
        <v/>
      </c>
      <c r="I2450" s="63">
        <f>IF(AND(H2450&lt;&gt;"",OR('Historia wózka'!$B$4="",F2450='Historia wózka'!$B$4),A2450&gt;='Historia wózka'!$B$5,A2450&lt;='Historia wózka'!$B$6),A2450+0.9+(5000-ROW())/10000000,0)</f>
        <v/>
      </c>
      <c r="J2450" s="63">
        <f>Ustawienia!$B$8&amp;""</f>
        <v/>
      </c>
      <c r="K2450" s="63">
        <f>IF(H2450="","",COUNTIFS('Zgłoszenia'!$B$5:$B$504,F2450,'Zgłoszenia'!$D$5:$D$504,"&gt;="&amp;A2450,'Zgłoszenia'!$D$5:$D$504,"&lt;="&amp;(A2450+1)))</f>
        <v/>
      </c>
      <c r="L2450" s="63">
        <f>IF(OR(H2450="",K2450=0),"—",IF(ISNUMBER(MATCH(H2450,'Zgłoszenia'!$S$5:$S$504,0)),RIGHT("0"&amp;DAY(A2450),2)&amp;"."&amp;RIGHT("0"&amp;MONTH(A2450),2)&amp;"."&amp;YEAR(A2450)&amp;": "&amp;INDEX('Zgłoszenia'!$H$5:$H$504,MATCH(H2450,'Zgłoszenia'!$S$5:$S$504,0)),RIGHT("0"&amp;DAY((A2450+1)),2)&amp;"."&amp;RIGHT("0"&amp;MONTH((A2450+1)),2)&amp;"."&amp;YEAR((A2450+1))&amp;": "&amp;INDEX('Zgłoszenia'!$H$5:$H$504,MATCH(F2450&amp;"|"&amp;(A2450+1),'Zgłoszenia'!$S$5:$S$504,0)))&amp;IF(K2450&gt;1," (+"&amp;(K2450-1)&amp;")",""))</f>
        <v/>
      </c>
      <c r="M2450" s="63" t="n">
        <v>31</v>
      </c>
      <c r="N2450" s="2" t="n"/>
      <c r="O2450" s="2" t="n"/>
    </row>
    <row r="2451">
      <c r="A2451" s="62">
        <f>IF('31'!$C$1="","",'31'!$C$1)</f>
        <v/>
      </c>
      <c r="B2451" s="63">
        <f>Ustawienia!$A$8&amp;""</f>
        <v/>
      </c>
      <c r="C2451" s="63">
        <f>Ustawienia!$A$17&amp;""</f>
        <v/>
      </c>
      <c r="D2451" s="63" t="n">
        <v>2</v>
      </c>
      <c r="E2451" s="63">
        <f>IF('31'!B28="","",TRIM('31'!B28&amp;""))</f>
        <v/>
      </c>
      <c r="F2451" s="63">
        <f>IF('31'!C28="","",'31'!C28)</f>
        <v/>
      </c>
      <c r="G2451" s="63">
        <f>'31'!D28&amp;""</f>
        <v/>
      </c>
      <c r="H2451" s="63">
        <f>IF(OR(A2451="",F2451=""),"",F2451&amp;"|"&amp;A2451)</f>
        <v/>
      </c>
      <c r="I2451" s="63">
        <f>IF(AND(H2451&lt;&gt;"",OR('Historia wózka'!$B$4="",F2451='Historia wózka'!$B$4),A2451&gt;='Historia wózka'!$B$5,A2451&lt;='Historia wózka'!$B$6),A2451+0.9+(5000-ROW())/10000000,0)</f>
        <v/>
      </c>
      <c r="J2451" s="63">
        <f>Ustawienia!$B$8&amp;""</f>
        <v/>
      </c>
      <c r="K2451" s="63">
        <f>IF(H2451="","",COUNTIFS('Zgłoszenia'!$B$5:$B$504,F2451,'Zgłoszenia'!$D$5:$D$504,"&gt;="&amp;A2451,'Zgłoszenia'!$D$5:$D$504,"&lt;="&amp;(A2451+1)))</f>
        <v/>
      </c>
      <c r="L2451" s="63">
        <f>IF(OR(H2451="",K2451=0),"—",IF(ISNUMBER(MATCH(H2451,'Zgłoszenia'!$S$5:$S$504,0)),RIGHT("0"&amp;DAY(A2451),2)&amp;"."&amp;RIGHT("0"&amp;MONTH(A2451),2)&amp;"."&amp;YEAR(A2451)&amp;": "&amp;INDEX('Zgłoszenia'!$H$5:$H$504,MATCH(H2451,'Zgłoszenia'!$S$5:$S$504,0)),RIGHT("0"&amp;DAY((A2451+1)),2)&amp;"."&amp;RIGHT("0"&amp;MONTH((A2451+1)),2)&amp;"."&amp;YEAR((A2451+1))&amp;": "&amp;INDEX('Zgłoszenia'!$H$5:$H$504,MATCH(F2451&amp;"|"&amp;(A2451+1),'Zgłoszenia'!$S$5:$S$504,0)))&amp;IF(K2451&gt;1," (+"&amp;(K2451-1)&amp;")",""))</f>
        <v/>
      </c>
      <c r="M2451" s="63" t="n">
        <v>31</v>
      </c>
      <c r="N2451" s="2" t="n"/>
      <c r="O2451" s="2" t="n"/>
    </row>
    <row r="2452">
      <c r="A2452" s="62">
        <f>IF('31'!$C$1="","",'31'!$C$1)</f>
        <v/>
      </c>
      <c r="B2452" s="63">
        <f>Ustawienia!$A$8&amp;""</f>
        <v/>
      </c>
      <c r="C2452" s="63">
        <f>Ustawienia!$A$17&amp;""</f>
        <v/>
      </c>
      <c r="D2452" s="63" t="n">
        <v>3</v>
      </c>
      <c r="E2452" s="63">
        <f>IF('31'!B29="","",TRIM('31'!B29&amp;""))</f>
        <v/>
      </c>
      <c r="F2452" s="63">
        <f>IF('31'!C29="","",'31'!C29)</f>
        <v/>
      </c>
      <c r="G2452" s="63">
        <f>'31'!D29&amp;""</f>
        <v/>
      </c>
      <c r="H2452" s="63">
        <f>IF(OR(A2452="",F2452=""),"",F2452&amp;"|"&amp;A2452)</f>
        <v/>
      </c>
      <c r="I2452" s="63">
        <f>IF(AND(H2452&lt;&gt;"",OR('Historia wózka'!$B$4="",F2452='Historia wózka'!$B$4),A2452&gt;='Historia wózka'!$B$5,A2452&lt;='Historia wózka'!$B$6),A2452+0.9+(5000-ROW())/10000000,0)</f>
        <v/>
      </c>
      <c r="J2452" s="63">
        <f>Ustawienia!$B$8&amp;""</f>
        <v/>
      </c>
      <c r="K2452" s="63">
        <f>IF(H2452="","",COUNTIFS('Zgłoszenia'!$B$5:$B$504,F2452,'Zgłoszenia'!$D$5:$D$504,"&gt;="&amp;A2452,'Zgłoszenia'!$D$5:$D$504,"&lt;="&amp;(A2452+1)))</f>
        <v/>
      </c>
      <c r="L2452" s="63">
        <f>IF(OR(H2452="",K2452=0),"—",IF(ISNUMBER(MATCH(H2452,'Zgłoszenia'!$S$5:$S$504,0)),RIGHT("0"&amp;DAY(A2452),2)&amp;"."&amp;RIGHT("0"&amp;MONTH(A2452),2)&amp;"."&amp;YEAR(A2452)&amp;": "&amp;INDEX('Zgłoszenia'!$H$5:$H$504,MATCH(H2452,'Zgłoszenia'!$S$5:$S$504,0)),RIGHT("0"&amp;DAY((A2452+1)),2)&amp;"."&amp;RIGHT("0"&amp;MONTH((A2452+1)),2)&amp;"."&amp;YEAR((A2452+1))&amp;": "&amp;INDEX('Zgłoszenia'!$H$5:$H$504,MATCH(F2452&amp;"|"&amp;(A2452+1),'Zgłoszenia'!$S$5:$S$504,0)))&amp;IF(K2452&gt;1," (+"&amp;(K2452-1)&amp;")",""))</f>
        <v/>
      </c>
      <c r="M2452" s="63" t="n">
        <v>31</v>
      </c>
      <c r="N2452" s="2" t="n"/>
      <c r="O2452" s="2" t="n"/>
    </row>
    <row r="2453">
      <c r="A2453" s="62">
        <f>IF('31'!$C$1="","",'31'!$C$1)</f>
        <v/>
      </c>
      <c r="B2453" s="63">
        <f>Ustawienia!$A$8&amp;""</f>
        <v/>
      </c>
      <c r="C2453" s="63">
        <f>Ustawienia!$A$17&amp;""</f>
        <v/>
      </c>
      <c r="D2453" s="63" t="n">
        <v>4</v>
      </c>
      <c r="E2453" s="63">
        <f>IF('31'!B30="","",TRIM('31'!B30&amp;""))</f>
        <v/>
      </c>
      <c r="F2453" s="63">
        <f>IF('31'!C30="","",'31'!C30)</f>
        <v/>
      </c>
      <c r="G2453" s="63">
        <f>'31'!D30&amp;""</f>
        <v/>
      </c>
      <c r="H2453" s="63">
        <f>IF(OR(A2453="",F2453=""),"",F2453&amp;"|"&amp;A2453)</f>
        <v/>
      </c>
      <c r="I2453" s="63">
        <f>IF(AND(H2453&lt;&gt;"",OR('Historia wózka'!$B$4="",F2453='Historia wózka'!$B$4),A2453&gt;='Historia wózka'!$B$5,A2453&lt;='Historia wózka'!$B$6),A2453+0.9+(5000-ROW())/10000000,0)</f>
        <v/>
      </c>
      <c r="J2453" s="63">
        <f>Ustawienia!$B$8&amp;""</f>
        <v/>
      </c>
      <c r="K2453" s="63">
        <f>IF(H2453="","",COUNTIFS('Zgłoszenia'!$B$5:$B$504,F2453,'Zgłoszenia'!$D$5:$D$504,"&gt;="&amp;A2453,'Zgłoszenia'!$D$5:$D$504,"&lt;="&amp;(A2453+1)))</f>
        <v/>
      </c>
      <c r="L2453" s="63">
        <f>IF(OR(H2453="",K2453=0),"—",IF(ISNUMBER(MATCH(H2453,'Zgłoszenia'!$S$5:$S$504,0)),RIGHT("0"&amp;DAY(A2453),2)&amp;"."&amp;RIGHT("0"&amp;MONTH(A2453),2)&amp;"."&amp;YEAR(A2453)&amp;": "&amp;INDEX('Zgłoszenia'!$H$5:$H$504,MATCH(H2453,'Zgłoszenia'!$S$5:$S$504,0)),RIGHT("0"&amp;DAY((A2453+1)),2)&amp;"."&amp;RIGHT("0"&amp;MONTH((A2453+1)),2)&amp;"."&amp;YEAR((A2453+1))&amp;": "&amp;INDEX('Zgłoszenia'!$H$5:$H$504,MATCH(F2453&amp;"|"&amp;(A2453+1),'Zgłoszenia'!$S$5:$S$504,0)))&amp;IF(K2453&gt;1," (+"&amp;(K2453-1)&amp;")",""))</f>
        <v/>
      </c>
      <c r="M2453" s="63" t="n">
        <v>31</v>
      </c>
      <c r="N2453" s="2" t="n"/>
      <c r="O2453" s="2" t="n"/>
    </row>
    <row r="2454">
      <c r="A2454" s="62">
        <f>IF('31'!$C$1="","",'31'!$C$1)</f>
        <v/>
      </c>
      <c r="B2454" s="63">
        <f>Ustawienia!$A$8&amp;""</f>
        <v/>
      </c>
      <c r="C2454" s="63">
        <f>Ustawienia!$A$18&amp;""</f>
        <v/>
      </c>
      <c r="D2454" s="63" t="n">
        <v>1</v>
      </c>
      <c r="E2454" s="63">
        <f>IF('31'!B32="","",TRIM('31'!B32&amp;""))</f>
        <v/>
      </c>
      <c r="F2454" s="63">
        <f>IF('31'!C32="","",'31'!C32)</f>
        <v/>
      </c>
      <c r="G2454" s="63">
        <f>'31'!D32&amp;""</f>
        <v/>
      </c>
      <c r="H2454" s="63">
        <f>IF(OR(A2454="",F2454=""),"",F2454&amp;"|"&amp;A2454)</f>
        <v/>
      </c>
      <c r="I2454" s="63">
        <f>IF(AND(H2454&lt;&gt;"",OR('Historia wózka'!$B$4="",F2454='Historia wózka'!$B$4),A2454&gt;='Historia wózka'!$B$5,A2454&lt;='Historia wózka'!$B$6),A2454+0.9+(5000-ROW())/10000000,0)</f>
        <v/>
      </c>
      <c r="J2454" s="63">
        <f>Ustawienia!$B$8&amp;""</f>
        <v/>
      </c>
      <c r="K2454" s="63">
        <f>IF(H2454="","",COUNTIFS('Zgłoszenia'!$B$5:$B$504,F2454,'Zgłoszenia'!$D$5:$D$504,"&gt;="&amp;A2454,'Zgłoszenia'!$D$5:$D$504,"&lt;="&amp;(A2454+1)))</f>
        <v/>
      </c>
      <c r="L2454" s="63">
        <f>IF(OR(H2454="",K2454=0),"—",IF(ISNUMBER(MATCH(H2454,'Zgłoszenia'!$S$5:$S$504,0)),RIGHT("0"&amp;DAY(A2454),2)&amp;"."&amp;RIGHT("0"&amp;MONTH(A2454),2)&amp;"."&amp;YEAR(A2454)&amp;": "&amp;INDEX('Zgłoszenia'!$H$5:$H$504,MATCH(H2454,'Zgłoszenia'!$S$5:$S$504,0)),RIGHT("0"&amp;DAY((A2454+1)),2)&amp;"."&amp;RIGHT("0"&amp;MONTH((A2454+1)),2)&amp;"."&amp;YEAR((A2454+1))&amp;": "&amp;INDEX('Zgłoszenia'!$H$5:$H$504,MATCH(F2454&amp;"|"&amp;(A2454+1),'Zgłoszenia'!$S$5:$S$504,0)))&amp;IF(K2454&gt;1," (+"&amp;(K2454-1)&amp;")",""))</f>
        <v/>
      </c>
      <c r="M2454" s="63" t="n">
        <v>31</v>
      </c>
      <c r="N2454" s="2" t="n"/>
      <c r="O2454" s="2" t="n"/>
    </row>
    <row r="2455">
      <c r="A2455" s="62">
        <f>IF('31'!$C$1="","",'31'!$C$1)</f>
        <v/>
      </c>
      <c r="B2455" s="63">
        <f>Ustawienia!$A$8&amp;""</f>
        <v/>
      </c>
      <c r="C2455" s="63">
        <f>Ustawienia!$A$18&amp;""</f>
        <v/>
      </c>
      <c r="D2455" s="63" t="n">
        <v>2</v>
      </c>
      <c r="E2455" s="63">
        <f>IF('31'!B33="","",TRIM('31'!B33&amp;""))</f>
        <v/>
      </c>
      <c r="F2455" s="63">
        <f>IF('31'!C33="","",'31'!C33)</f>
        <v/>
      </c>
      <c r="G2455" s="63">
        <f>'31'!D33&amp;""</f>
        <v/>
      </c>
      <c r="H2455" s="63">
        <f>IF(OR(A2455="",F2455=""),"",F2455&amp;"|"&amp;A2455)</f>
        <v/>
      </c>
      <c r="I2455" s="63">
        <f>IF(AND(H2455&lt;&gt;"",OR('Historia wózka'!$B$4="",F2455='Historia wózka'!$B$4),A2455&gt;='Historia wózka'!$B$5,A2455&lt;='Historia wózka'!$B$6),A2455+0.9+(5000-ROW())/10000000,0)</f>
        <v/>
      </c>
      <c r="J2455" s="63">
        <f>Ustawienia!$B$8&amp;""</f>
        <v/>
      </c>
      <c r="K2455" s="63">
        <f>IF(H2455="","",COUNTIFS('Zgłoszenia'!$B$5:$B$504,F2455,'Zgłoszenia'!$D$5:$D$504,"&gt;="&amp;A2455,'Zgłoszenia'!$D$5:$D$504,"&lt;="&amp;(A2455+1)))</f>
        <v/>
      </c>
      <c r="L2455" s="63">
        <f>IF(OR(H2455="",K2455=0),"—",IF(ISNUMBER(MATCH(H2455,'Zgłoszenia'!$S$5:$S$504,0)),RIGHT("0"&amp;DAY(A2455),2)&amp;"."&amp;RIGHT("0"&amp;MONTH(A2455),2)&amp;"."&amp;YEAR(A2455)&amp;": "&amp;INDEX('Zgłoszenia'!$H$5:$H$504,MATCH(H2455,'Zgłoszenia'!$S$5:$S$504,0)),RIGHT("0"&amp;DAY((A2455+1)),2)&amp;"."&amp;RIGHT("0"&amp;MONTH((A2455+1)),2)&amp;"."&amp;YEAR((A2455+1))&amp;": "&amp;INDEX('Zgłoszenia'!$H$5:$H$504,MATCH(F2455&amp;"|"&amp;(A2455+1),'Zgłoszenia'!$S$5:$S$504,0)))&amp;IF(K2455&gt;1," (+"&amp;(K2455-1)&amp;")",""))</f>
        <v/>
      </c>
      <c r="M2455" s="63" t="n">
        <v>31</v>
      </c>
      <c r="N2455" s="2" t="n"/>
      <c r="O2455" s="2" t="n"/>
    </row>
    <row r="2456">
      <c r="A2456" s="62">
        <f>IF('31'!$C$1="","",'31'!$C$1)</f>
        <v/>
      </c>
      <c r="B2456" s="63">
        <f>Ustawienia!$A$8&amp;""</f>
        <v/>
      </c>
      <c r="C2456" s="63">
        <f>Ustawienia!$A$18&amp;""</f>
        <v/>
      </c>
      <c r="D2456" s="63" t="n">
        <v>3</v>
      </c>
      <c r="E2456" s="63">
        <f>IF('31'!B34="","",TRIM('31'!B34&amp;""))</f>
        <v/>
      </c>
      <c r="F2456" s="63">
        <f>IF('31'!C34="","",'31'!C34)</f>
        <v/>
      </c>
      <c r="G2456" s="63">
        <f>'31'!D34&amp;""</f>
        <v/>
      </c>
      <c r="H2456" s="63">
        <f>IF(OR(A2456="",F2456=""),"",F2456&amp;"|"&amp;A2456)</f>
        <v/>
      </c>
      <c r="I2456" s="63">
        <f>IF(AND(H2456&lt;&gt;"",OR('Historia wózka'!$B$4="",F2456='Historia wózka'!$B$4),A2456&gt;='Historia wózka'!$B$5,A2456&lt;='Historia wózka'!$B$6),A2456+0.9+(5000-ROW())/10000000,0)</f>
        <v/>
      </c>
      <c r="J2456" s="63">
        <f>Ustawienia!$B$8&amp;""</f>
        <v/>
      </c>
      <c r="K2456" s="63">
        <f>IF(H2456="","",COUNTIFS('Zgłoszenia'!$B$5:$B$504,F2456,'Zgłoszenia'!$D$5:$D$504,"&gt;="&amp;A2456,'Zgłoszenia'!$D$5:$D$504,"&lt;="&amp;(A2456+1)))</f>
        <v/>
      </c>
      <c r="L2456" s="63">
        <f>IF(OR(H2456="",K2456=0),"—",IF(ISNUMBER(MATCH(H2456,'Zgłoszenia'!$S$5:$S$504,0)),RIGHT("0"&amp;DAY(A2456),2)&amp;"."&amp;RIGHT("0"&amp;MONTH(A2456),2)&amp;"."&amp;YEAR(A2456)&amp;": "&amp;INDEX('Zgłoszenia'!$H$5:$H$504,MATCH(H2456,'Zgłoszenia'!$S$5:$S$504,0)),RIGHT("0"&amp;DAY((A2456+1)),2)&amp;"."&amp;RIGHT("0"&amp;MONTH((A2456+1)),2)&amp;"."&amp;YEAR((A2456+1))&amp;": "&amp;INDEX('Zgłoszenia'!$H$5:$H$504,MATCH(F2456&amp;"|"&amp;(A2456+1),'Zgłoszenia'!$S$5:$S$504,0)))&amp;IF(K2456&gt;1," (+"&amp;(K2456-1)&amp;")",""))</f>
        <v/>
      </c>
      <c r="M2456" s="63" t="n">
        <v>31</v>
      </c>
      <c r="N2456" s="2" t="n"/>
      <c r="O2456" s="2" t="n"/>
    </row>
    <row r="2457">
      <c r="A2457" s="62">
        <f>IF('31'!$C$1="","",'31'!$C$1)</f>
        <v/>
      </c>
      <c r="B2457" s="63">
        <f>Ustawienia!$A$8&amp;""</f>
        <v/>
      </c>
      <c r="C2457" s="63">
        <f>Ustawienia!$A$18&amp;""</f>
        <v/>
      </c>
      <c r="D2457" s="63" t="n">
        <v>4</v>
      </c>
      <c r="E2457" s="63">
        <f>IF('31'!B35="","",TRIM('31'!B35&amp;""))</f>
        <v/>
      </c>
      <c r="F2457" s="63">
        <f>IF('31'!C35="","",'31'!C35)</f>
        <v/>
      </c>
      <c r="G2457" s="63">
        <f>'31'!D35&amp;""</f>
        <v/>
      </c>
      <c r="H2457" s="63">
        <f>IF(OR(A2457="",F2457=""),"",F2457&amp;"|"&amp;A2457)</f>
        <v/>
      </c>
      <c r="I2457" s="63">
        <f>IF(AND(H2457&lt;&gt;"",OR('Historia wózka'!$B$4="",F2457='Historia wózka'!$B$4),A2457&gt;='Historia wózka'!$B$5,A2457&lt;='Historia wózka'!$B$6),A2457+0.9+(5000-ROW())/10000000,0)</f>
        <v/>
      </c>
      <c r="J2457" s="63">
        <f>Ustawienia!$B$8&amp;""</f>
        <v/>
      </c>
      <c r="K2457" s="63">
        <f>IF(H2457="","",COUNTIFS('Zgłoszenia'!$B$5:$B$504,F2457,'Zgłoszenia'!$D$5:$D$504,"&gt;="&amp;A2457,'Zgłoszenia'!$D$5:$D$504,"&lt;="&amp;(A2457+1)))</f>
        <v/>
      </c>
      <c r="L2457" s="63">
        <f>IF(OR(H2457="",K2457=0),"—",IF(ISNUMBER(MATCH(H2457,'Zgłoszenia'!$S$5:$S$504,0)),RIGHT("0"&amp;DAY(A2457),2)&amp;"."&amp;RIGHT("0"&amp;MONTH(A2457),2)&amp;"."&amp;YEAR(A2457)&amp;": "&amp;INDEX('Zgłoszenia'!$H$5:$H$504,MATCH(H2457,'Zgłoszenia'!$S$5:$S$504,0)),RIGHT("0"&amp;DAY((A2457+1)),2)&amp;"."&amp;RIGHT("0"&amp;MONTH((A2457+1)),2)&amp;"."&amp;YEAR((A2457+1))&amp;": "&amp;INDEX('Zgłoszenia'!$H$5:$H$504,MATCH(F2457&amp;"|"&amp;(A2457+1),'Zgłoszenia'!$S$5:$S$504,0)))&amp;IF(K2457&gt;1," (+"&amp;(K2457-1)&amp;")",""))</f>
        <v/>
      </c>
      <c r="M2457" s="63" t="n">
        <v>31</v>
      </c>
      <c r="N2457" s="2" t="n"/>
      <c r="O2457" s="2" t="n"/>
    </row>
    <row r="2458">
      <c r="A2458" s="62">
        <f>IF('31'!$C$1="","",'31'!$C$1)</f>
        <v/>
      </c>
      <c r="B2458" s="63">
        <f>Ustawienia!$A$8&amp;""</f>
        <v/>
      </c>
      <c r="C2458" s="63">
        <f>Ustawienia!$A$18&amp;""</f>
        <v/>
      </c>
      <c r="D2458" s="63" t="n">
        <v>5</v>
      </c>
      <c r="E2458" s="63">
        <f>IF('31'!B36="","",TRIM('31'!B36&amp;""))</f>
        <v/>
      </c>
      <c r="F2458" s="63">
        <f>IF('31'!C36="","",'31'!C36)</f>
        <v/>
      </c>
      <c r="G2458" s="63">
        <f>'31'!D36&amp;""</f>
        <v/>
      </c>
      <c r="H2458" s="63">
        <f>IF(OR(A2458="",F2458=""),"",F2458&amp;"|"&amp;A2458)</f>
        <v/>
      </c>
      <c r="I2458" s="63">
        <f>IF(AND(H2458&lt;&gt;"",OR('Historia wózka'!$B$4="",F2458='Historia wózka'!$B$4),A2458&gt;='Historia wózka'!$B$5,A2458&lt;='Historia wózka'!$B$6),A2458+0.9+(5000-ROW())/10000000,0)</f>
        <v/>
      </c>
      <c r="J2458" s="63">
        <f>Ustawienia!$B$8&amp;""</f>
        <v/>
      </c>
      <c r="K2458" s="63">
        <f>IF(H2458="","",COUNTIFS('Zgłoszenia'!$B$5:$B$504,F2458,'Zgłoszenia'!$D$5:$D$504,"&gt;="&amp;A2458,'Zgłoszenia'!$D$5:$D$504,"&lt;="&amp;(A2458+1)))</f>
        <v/>
      </c>
      <c r="L2458" s="63">
        <f>IF(OR(H2458="",K2458=0),"—",IF(ISNUMBER(MATCH(H2458,'Zgłoszenia'!$S$5:$S$504,0)),RIGHT("0"&amp;DAY(A2458),2)&amp;"."&amp;RIGHT("0"&amp;MONTH(A2458),2)&amp;"."&amp;YEAR(A2458)&amp;": "&amp;INDEX('Zgłoszenia'!$H$5:$H$504,MATCH(H2458,'Zgłoszenia'!$S$5:$S$504,0)),RIGHT("0"&amp;DAY((A2458+1)),2)&amp;"."&amp;RIGHT("0"&amp;MONTH((A2458+1)),2)&amp;"."&amp;YEAR((A2458+1))&amp;": "&amp;INDEX('Zgłoszenia'!$H$5:$H$504,MATCH(F2458&amp;"|"&amp;(A2458+1),'Zgłoszenia'!$S$5:$S$504,0)))&amp;IF(K2458&gt;1," (+"&amp;(K2458-1)&amp;")",""))</f>
        <v/>
      </c>
      <c r="M2458" s="63" t="n">
        <v>31</v>
      </c>
      <c r="N2458" s="2" t="n"/>
      <c r="O2458" s="2" t="n"/>
    </row>
    <row r="2459">
      <c r="A2459" s="62">
        <f>IF('31'!$C$1="","",'31'!$C$1)</f>
        <v/>
      </c>
      <c r="B2459" s="63">
        <f>Ustawienia!$A$9&amp;""</f>
        <v/>
      </c>
      <c r="C2459" s="63">
        <f>Ustawienia!$A$14&amp;""</f>
        <v/>
      </c>
      <c r="D2459" s="63" t="n">
        <v>1</v>
      </c>
      <c r="E2459" s="63">
        <f>IF('31'!F6="","",TRIM('31'!F6&amp;""))</f>
        <v/>
      </c>
      <c r="F2459" s="63">
        <f>IF('31'!G6="","",'31'!G6)</f>
        <v/>
      </c>
      <c r="G2459" s="63">
        <f>'31'!H6&amp;""</f>
        <v/>
      </c>
      <c r="H2459" s="63">
        <f>IF(OR(A2459="",F2459=""),"",F2459&amp;"|"&amp;A2459)</f>
        <v/>
      </c>
      <c r="I2459" s="63">
        <f>IF(AND(H2459&lt;&gt;"",OR('Historia wózka'!$B$4="",F2459='Historia wózka'!$B$4),A2459&gt;='Historia wózka'!$B$5,A2459&lt;='Historia wózka'!$B$6),A2459+0.8+(5000-ROW())/10000000,0)</f>
        <v/>
      </c>
      <c r="J2459" s="63">
        <f>Ustawienia!$B$9&amp;""</f>
        <v/>
      </c>
      <c r="K2459" s="63">
        <f>IF(H2459="","",COUNTIFS('Zgłoszenia'!$B$5:$B$504,F2459,'Zgłoszenia'!$D$5:$D$504,"&gt;="&amp;A2459,'Zgłoszenia'!$D$5:$D$504,"&lt;="&amp;(A2459+1)))</f>
        <v/>
      </c>
      <c r="L2459" s="63">
        <f>IF(OR(H2459="",K2459=0),"—",IF(ISNUMBER(MATCH(H2459,'Zgłoszenia'!$S$5:$S$504,0)),RIGHT("0"&amp;DAY(A2459),2)&amp;"."&amp;RIGHT("0"&amp;MONTH(A2459),2)&amp;"."&amp;YEAR(A2459)&amp;": "&amp;INDEX('Zgłoszenia'!$H$5:$H$504,MATCH(H2459,'Zgłoszenia'!$S$5:$S$504,0)),RIGHT("0"&amp;DAY((A2459+1)),2)&amp;"."&amp;RIGHT("0"&amp;MONTH((A2459+1)),2)&amp;"."&amp;YEAR((A2459+1))&amp;": "&amp;INDEX('Zgłoszenia'!$H$5:$H$504,MATCH(F2459&amp;"|"&amp;(A2459+1),'Zgłoszenia'!$S$5:$S$504,0)))&amp;IF(K2459&gt;1," (+"&amp;(K2459-1)&amp;")",""))</f>
        <v/>
      </c>
      <c r="M2459" s="63" t="n">
        <v>31</v>
      </c>
      <c r="N2459" s="2" t="n"/>
      <c r="O2459" s="2" t="n"/>
    </row>
    <row r="2460">
      <c r="A2460" s="62">
        <f>IF('31'!$C$1="","",'31'!$C$1)</f>
        <v/>
      </c>
      <c r="B2460" s="63">
        <f>Ustawienia!$A$9&amp;""</f>
        <v/>
      </c>
      <c r="C2460" s="63">
        <f>Ustawienia!$A$14&amp;""</f>
        <v/>
      </c>
      <c r="D2460" s="63" t="n">
        <v>2</v>
      </c>
      <c r="E2460" s="63">
        <f>IF('31'!F7="","",TRIM('31'!F7&amp;""))</f>
        <v/>
      </c>
      <c r="F2460" s="63">
        <f>IF('31'!G7="","",'31'!G7)</f>
        <v/>
      </c>
      <c r="G2460" s="63">
        <f>'31'!H7&amp;""</f>
        <v/>
      </c>
      <c r="H2460" s="63">
        <f>IF(OR(A2460="",F2460=""),"",F2460&amp;"|"&amp;A2460)</f>
        <v/>
      </c>
      <c r="I2460" s="63">
        <f>IF(AND(H2460&lt;&gt;"",OR('Historia wózka'!$B$4="",F2460='Historia wózka'!$B$4),A2460&gt;='Historia wózka'!$B$5,A2460&lt;='Historia wózka'!$B$6),A2460+0.8+(5000-ROW())/10000000,0)</f>
        <v/>
      </c>
      <c r="J2460" s="63">
        <f>Ustawienia!$B$9&amp;""</f>
        <v/>
      </c>
      <c r="K2460" s="63">
        <f>IF(H2460="","",COUNTIFS('Zgłoszenia'!$B$5:$B$504,F2460,'Zgłoszenia'!$D$5:$D$504,"&gt;="&amp;A2460,'Zgłoszenia'!$D$5:$D$504,"&lt;="&amp;(A2460+1)))</f>
        <v/>
      </c>
      <c r="L2460" s="63">
        <f>IF(OR(H2460="",K2460=0),"—",IF(ISNUMBER(MATCH(H2460,'Zgłoszenia'!$S$5:$S$504,0)),RIGHT("0"&amp;DAY(A2460),2)&amp;"."&amp;RIGHT("0"&amp;MONTH(A2460),2)&amp;"."&amp;YEAR(A2460)&amp;": "&amp;INDEX('Zgłoszenia'!$H$5:$H$504,MATCH(H2460,'Zgłoszenia'!$S$5:$S$504,0)),RIGHT("0"&amp;DAY((A2460+1)),2)&amp;"."&amp;RIGHT("0"&amp;MONTH((A2460+1)),2)&amp;"."&amp;YEAR((A2460+1))&amp;": "&amp;INDEX('Zgłoszenia'!$H$5:$H$504,MATCH(F2460&amp;"|"&amp;(A2460+1),'Zgłoszenia'!$S$5:$S$504,0)))&amp;IF(K2460&gt;1," (+"&amp;(K2460-1)&amp;")",""))</f>
        <v/>
      </c>
      <c r="M2460" s="63" t="n">
        <v>31</v>
      </c>
      <c r="N2460" s="2" t="n"/>
      <c r="O2460" s="2" t="n"/>
    </row>
    <row r="2461">
      <c r="A2461" s="62">
        <f>IF('31'!$C$1="","",'31'!$C$1)</f>
        <v/>
      </c>
      <c r="B2461" s="63">
        <f>Ustawienia!$A$9&amp;""</f>
        <v/>
      </c>
      <c r="C2461" s="63">
        <f>Ustawienia!$A$14&amp;""</f>
        <v/>
      </c>
      <c r="D2461" s="63" t="n">
        <v>3</v>
      </c>
      <c r="E2461" s="63">
        <f>IF('31'!F8="","",TRIM('31'!F8&amp;""))</f>
        <v/>
      </c>
      <c r="F2461" s="63">
        <f>IF('31'!G8="","",'31'!G8)</f>
        <v/>
      </c>
      <c r="G2461" s="63">
        <f>'31'!H8&amp;""</f>
        <v/>
      </c>
      <c r="H2461" s="63">
        <f>IF(OR(A2461="",F2461=""),"",F2461&amp;"|"&amp;A2461)</f>
        <v/>
      </c>
      <c r="I2461" s="63">
        <f>IF(AND(H2461&lt;&gt;"",OR('Historia wózka'!$B$4="",F2461='Historia wózka'!$B$4),A2461&gt;='Historia wózka'!$B$5,A2461&lt;='Historia wózka'!$B$6),A2461+0.8+(5000-ROW())/10000000,0)</f>
        <v/>
      </c>
      <c r="J2461" s="63">
        <f>Ustawienia!$B$9&amp;""</f>
        <v/>
      </c>
      <c r="K2461" s="63">
        <f>IF(H2461="","",COUNTIFS('Zgłoszenia'!$B$5:$B$504,F2461,'Zgłoszenia'!$D$5:$D$504,"&gt;="&amp;A2461,'Zgłoszenia'!$D$5:$D$504,"&lt;="&amp;(A2461+1)))</f>
        <v/>
      </c>
      <c r="L2461" s="63">
        <f>IF(OR(H2461="",K2461=0),"—",IF(ISNUMBER(MATCH(H2461,'Zgłoszenia'!$S$5:$S$504,0)),RIGHT("0"&amp;DAY(A2461),2)&amp;"."&amp;RIGHT("0"&amp;MONTH(A2461),2)&amp;"."&amp;YEAR(A2461)&amp;": "&amp;INDEX('Zgłoszenia'!$H$5:$H$504,MATCH(H2461,'Zgłoszenia'!$S$5:$S$504,0)),RIGHT("0"&amp;DAY((A2461+1)),2)&amp;"."&amp;RIGHT("0"&amp;MONTH((A2461+1)),2)&amp;"."&amp;YEAR((A2461+1))&amp;": "&amp;INDEX('Zgłoszenia'!$H$5:$H$504,MATCH(F2461&amp;"|"&amp;(A2461+1),'Zgłoszenia'!$S$5:$S$504,0)))&amp;IF(K2461&gt;1," (+"&amp;(K2461-1)&amp;")",""))</f>
        <v/>
      </c>
      <c r="M2461" s="63" t="n">
        <v>31</v>
      </c>
      <c r="N2461" s="2" t="n"/>
      <c r="O2461" s="2" t="n"/>
    </row>
    <row r="2462">
      <c r="A2462" s="62">
        <f>IF('31'!$C$1="","",'31'!$C$1)</f>
        <v/>
      </c>
      <c r="B2462" s="63">
        <f>Ustawienia!$A$9&amp;""</f>
        <v/>
      </c>
      <c r="C2462" s="63">
        <f>Ustawienia!$A$14&amp;""</f>
        <v/>
      </c>
      <c r="D2462" s="63" t="n">
        <v>4</v>
      </c>
      <c r="E2462" s="63">
        <f>IF('31'!F9="","",TRIM('31'!F9&amp;""))</f>
        <v/>
      </c>
      <c r="F2462" s="63">
        <f>IF('31'!G9="","",'31'!G9)</f>
        <v/>
      </c>
      <c r="G2462" s="63">
        <f>'31'!H9&amp;""</f>
        <v/>
      </c>
      <c r="H2462" s="63">
        <f>IF(OR(A2462="",F2462=""),"",F2462&amp;"|"&amp;A2462)</f>
        <v/>
      </c>
      <c r="I2462" s="63">
        <f>IF(AND(H2462&lt;&gt;"",OR('Historia wózka'!$B$4="",F2462='Historia wózka'!$B$4),A2462&gt;='Historia wózka'!$B$5,A2462&lt;='Historia wózka'!$B$6),A2462+0.8+(5000-ROW())/10000000,0)</f>
        <v/>
      </c>
      <c r="J2462" s="63">
        <f>Ustawienia!$B$9&amp;""</f>
        <v/>
      </c>
      <c r="K2462" s="63">
        <f>IF(H2462="","",COUNTIFS('Zgłoszenia'!$B$5:$B$504,F2462,'Zgłoszenia'!$D$5:$D$504,"&gt;="&amp;A2462,'Zgłoszenia'!$D$5:$D$504,"&lt;="&amp;(A2462+1)))</f>
        <v/>
      </c>
      <c r="L2462" s="63">
        <f>IF(OR(H2462="",K2462=0),"—",IF(ISNUMBER(MATCH(H2462,'Zgłoszenia'!$S$5:$S$504,0)),RIGHT("0"&amp;DAY(A2462),2)&amp;"."&amp;RIGHT("0"&amp;MONTH(A2462),2)&amp;"."&amp;YEAR(A2462)&amp;": "&amp;INDEX('Zgłoszenia'!$H$5:$H$504,MATCH(H2462,'Zgłoszenia'!$S$5:$S$504,0)),RIGHT("0"&amp;DAY((A2462+1)),2)&amp;"."&amp;RIGHT("0"&amp;MONTH((A2462+1)),2)&amp;"."&amp;YEAR((A2462+1))&amp;": "&amp;INDEX('Zgłoszenia'!$H$5:$H$504,MATCH(F2462&amp;"|"&amp;(A2462+1),'Zgłoszenia'!$S$5:$S$504,0)))&amp;IF(K2462&gt;1," (+"&amp;(K2462-1)&amp;")",""))</f>
        <v/>
      </c>
      <c r="M2462" s="63" t="n">
        <v>31</v>
      </c>
      <c r="N2462" s="2" t="n"/>
      <c r="O2462" s="2" t="n"/>
    </row>
    <row r="2463">
      <c r="A2463" s="62">
        <f>IF('31'!$C$1="","",'31'!$C$1)</f>
        <v/>
      </c>
      <c r="B2463" s="63">
        <f>Ustawienia!$A$9&amp;""</f>
        <v/>
      </c>
      <c r="C2463" s="63">
        <f>Ustawienia!$A$14&amp;""</f>
        <v/>
      </c>
      <c r="D2463" s="63" t="n">
        <v>5</v>
      </c>
      <c r="E2463" s="63">
        <f>IF('31'!F10="","",TRIM('31'!F10&amp;""))</f>
        <v/>
      </c>
      <c r="F2463" s="63">
        <f>IF('31'!G10="","",'31'!G10)</f>
        <v/>
      </c>
      <c r="G2463" s="63">
        <f>'31'!H10&amp;""</f>
        <v/>
      </c>
      <c r="H2463" s="63">
        <f>IF(OR(A2463="",F2463=""),"",F2463&amp;"|"&amp;A2463)</f>
        <v/>
      </c>
      <c r="I2463" s="63">
        <f>IF(AND(H2463&lt;&gt;"",OR('Historia wózka'!$B$4="",F2463='Historia wózka'!$B$4),A2463&gt;='Historia wózka'!$B$5,A2463&lt;='Historia wózka'!$B$6),A2463+0.8+(5000-ROW())/10000000,0)</f>
        <v/>
      </c>
      <c r="J2463" s="63">
        <f>Ustawienia!$B$9&amp;""</f>
        <v/>
      </c>
      <c r="K2463" s="63">
        <f>IF(H2463="","",COUNTIFS('Zgłoszenia'!$B$5:$B$504,F2463,'Zgłoszenia'!$D$5:$D$504,"&gt;="&amp;A2463,'Zgłoszenia'!$D$5:$D$504,"&lt;="&amp;(A2463+1)))</f>
        <v/>
      </c>
      <c r="L2463" s="63">
        <f>IF(OR(H2463="",K2463=0),"—",IF(ISNUMBER(MATCH(H2463,'Zgłoszenia'!$S$5:$S$504,0)),RIGHT("0"&amp;DAY(A2463),2)&amp;"."&amp;RIGHT("0"&amp;MONTH(A2463),2)&amp;"."&amp;YEAR(A2463)&amp;": "&amp;INDEX('Zgłoszenia'!$H$5:$H$504,MATCH(H2463,'Zgłoszenia'!$S$5:$S$504,0)),RIGHT("0"&amp;DAY((A2463+1)),2)&amp;"."&amp;RIGHT("0"&amp;MONTH((A2463+1)),2)&amp;"."&amp;YEAR((A2463+1))&amp;": "&amp;INDEX('Zgłoszenia'!$H$5:$H$504,MATCH(F2463&amp;"|"&amp;(A2463+1),'Zgłoszenia'!$S$5:$S$504,0)))&amp;IF(K2463&gt;1," (+"&amp;(K2463-1)&amp;")",""))</f>
        <v/>
      </c>
      <c r="M2463" s="63" t="n">
        <v>31</v>
      </c>
      <c r="N2463" s="2" t="n"/>
      <c r="O2463" s="2" t="n"/>
    </row>
    <row r="2464">
      <c r="A2464" s="62">
        <f>IF('31'!$C$1="","",'31'!$C$1)</f>
        <v/>
      </c>
      <c r="B2464" s="63">
        <f>Ustawienia!$A$9&amp;""</f>
        <v/>
      </c>
      <c r="C2464" s="63">
        <f>Ustawienia!$A$14&amp;""</f>
        <v/>
      </c>
      <c r="D2464" s="63" t="n">
        <v>6</v>
      </c>
      <c r="E2464" s="63">
        <f>IF('31'!F11="","",TRIM('31'!F11&amp;""))</f>
        <v/>
      </c>
      <c r="F2464" s="63">
        <f>IF('31'!G11="","",'31'!G11)</f>
        <v/>
      </c>
      <c r="G2464" s="63">
        <f>'31'!H11&amp;""</f>
        <v/>
      </c>
      <c r="H2464" s="63">
        <f>IF(OR(A2464="",F2464=""),"",F2464&amp;"|"&amp;A2464)</f>
        <v/>
      </c>
      <c r="I2464" s="63">
        <f>IF(AND(H2464&lt;&gt;"",OR('Historia wózka'!$B$4="",F2464='Historia wózka'!$B$4),A2464&gt;='Historia wózka'!$B$5,A2464&lt;='Historia wózka'!$B$6),A2464+0.8+(5000-ROW())/10000000,0)</f>
        <v/>
      </c>
      <c r="J2464" s="63">
        <f>Ustawienia!$B$9&amp;""</f>
        <v/>
      </c>
      <c r="K2464" s="63">
        <f>IF(H2464="","",COUNTIFS('Zgłoszenia'!$B$5:$B$504,F2464,'Zgłoszenia'!$D$5:$D$504,"&gt;="&amp;A2464,'Zgłoszenia'!$D$5:$D$504,"&lt;="&amp;(A2464+1)))</f>
        <v/>
      </c>
      <c r="L2464" s="63">
        <f>IF(OR(H2464="",K2464=0),"—",IF(ISNUMBER(MATCH(H2464,'Zgłoszenia'!$S$5:$S$504,0)),RIGHT("0"&amp;DAY(A2464),2)&amp;"."&amp;RIGHT("0"&amp;MONTH(A2464),2)&amp;"."&amp;YEAR(A2464)&amp;": "&amp;INDEX('Zgłoszenia'!$H$5:$H$504,MATCH(H2464,'Zgłoszenia'!$S$5:$S$504,0)),RIGHT("0"&amp;DAY((A2464+1)),2)&amp;"."&amp;RIGHT("0"&amp;MONTH((A2464+1)),2)&amp;"."&amp;YEAR((A2464+1))&amp;": "&amp;INDEX('Zgłoszenia'!$H$5:$H$504,MATCH(F2464&amp;"|"&amp;(A2464+1),'Zgłoszenia'!$S$5:$S$504,0)))&amp;IF(K2464&gt;1," (+"&amp;(K2464-1)&amp;")",""))</f>
        <v/>
      </c>
      <c r="M2464" s="63" t="n">
        <v>31</v>
      </c>
      <c r="N2464" s="2" t="n"/>
      <c r="O2464" s="2" t="n"/>
    </row>
    <row r="2465">
      <c r="A2465" s="62">
        <f>IF('31'!$C$1="","",'31'!$C$1)</f>
        <v/>
      </c>
      <c r="B2465" s="63">
        <f>Ustawienia!$A$9&amp;""</f>
        <v/>
      </c>
      <c r="C2465" s="63">
        <f>Ustawienia!$A$15&amp;""</f>
        <v/>
      </c>
      <c r="D2465" s="63" t="n">
        <v>1</v>
      </c>
      <c r="E2465" s="63">
        <f>IF('31'!F13="","",TRIM('31'!F13&amp;""))</f>
        <v/>
      </c>
      <c r="F2465" s="63">
        <f>IF('31'!G13="","",'31'!G13)</f>
        <v/>
      </c>
      <c r="G2465" s="63">
        <f>'31'!H13&amp;""</f>
        <v/>
      </c>
      <c r="H2465" s="63">
        <f>IF(OR(A2465="",F2465=""),"",F2465&amp;"|"&amp;A2465)</f>
        <v/>
      </c>
      <c r="I2465" s="63">
        <f>IF(AND(H2465&lt;&gt;"",OR('Historia wózka'!$B$4="",F2465='Historia wózka'!$B$4),A2465&gt;='Historia wózka'!$B$5,A2465&lt;='Historia wózka'!$B$6),A2465+0.8+(5000-ROW())/10000000,0)</f>
        <v/>
      </c>
      <c r="J2465" s="63">
        <f>Ustawienia!$B$9&amp;""</f>
        <v/>
      </c>
      <c r="K2465" s="63">
        <f>IF(H2465="","",COUNTIFS('Zgłoszenia'!$B$5:$B$504,F2465,'Zgłoszenia'!$D$5:$D$504,"&gt;="&amp;A2465,'Zgłoszenia'!$D$5:$D$504,"&lt;="&amp;(A2465+1)))</f>
        <v/>
      </c>
      <c r="L2465" s="63">
        <f>IF(OR(H2465="",K2465=0),"—",IF(ISNUMBER(MATCH(H2465,'Zgłoszenia'!$S$5:$S$504,0)),RIGHT("0"&amp;DAY(A2465),2)&amp;"."&amp;RIGHT("0"&amp;MONTH(A2465),2)&amp;"."&amp;YEAR(A2465)&amp;": "&amp;INDEX('Zgłoszenia'!$H$5:$H$504,MATCH(H2465,'Zgłoszenia'!$S$5:$S$504,0)),RIGHT("0"&amp;DAY((A2465+1)),2)&amp;"."&amp;RIGHT("0"&amp;MONTH((A2465+1)),2)&amp;"."&amp;YEAR((A2465+1))&amp;": "&amp;INDEX('Zgłoszenia'!$H$5:$H$504,MATCH(F2465&amp;"|"&amp;(A2465+1),'Zgłoszenia'!$S$5:$S$504,0)))&amp;IF(K2465&gt;1," (+"&amp;(K2465-1)&amp;")",""))</f>
        <v/>
      </c>
      <c r="M2465" s="63" t="n">
        <v>31</v>
      </c>
      <c r="N2465" s="2" t="n"/>
      <c r="O2465" s="2" t="n"/>
    </row>
    <row r="2466">
      <c r="A2466" s="62">
        <f>IF('31'!$C$1="","",'31'!$C$1)</f>
        <v/>
      </c>
      <c r="B2466" s="63">
        <f>Ustawienia!$A$9&amp;""</f>
        <v/>
      </c>
      <c r="C2466" s="63">
        <f>Ustawienia!$A$15&amp;""</f>
        <v/>
      </c>
      <c r="D2466" s="63" t="n">
        <v>2</v>
      </c>
      <c r="E2466" s="63">
        <f>IF('31'!F14="","",TRIM('31'!F14&amp;""))</f>
        <v/>
      </c>
      <c r="F2466" s="63">
        <f>IF('31'!G14="","",'31'!G14)</f>
        <v/>
      </c>
      <c r="G2466" s="63">
        <f>'31'!H14&amp;""</f>
        <v/>
      </c>
      <c r="H2466" s="63">
        <f>IF(OR(A2466="",F2466=""),"",F2466&amp;"|"&amp;A2466)</f>
        <v/>
      </c>
      <c r="I2466" s="63">
        <f>IF(AND(H2466&lt;&gt;"",OR('Historia wózka'!$B$4="",F2466='Historia wózka'!$B$4),A2466&gt;='Historia wózka'!$B$5,A2466&lt;='Historia wózka'!$B$6),A2466+0.8+(5000-ROW())/10000000,0)</f>
        <v/>
      </c>
      <c r="J2466" s="63">
        <f>Ustawienia!$B$9&amp;""</f>
        <v/>
      </c>
      <c r="K2466" s="63">
        <f>IF(H2466="","",COUNTIFS('Zgłoszenia'!$B$5:$B$504,F2466,'Zgłoszenia'!$D$5:$D$504,"&gt;="&amp;A2466,'Zgłoszenia'!$D$5:$D$504,"&lt;="&amp;(A2466+1)))</f>
        <v/>
      </c>
      <c r="L2466" s="63">
        <f>IF(OR(H2466="",K2466=0),"—",IF(ISNUMBER(MATCH(H2466,'Zgłoszenia'!$S$5:$S$504,0)),RIGHT("0"&amp;DAY(A2466),2)&amp;"."&amp;RIGHT("0"&amp;MONTH(A2466),2)&amp;"."&amp;YEAR(A2466)&amp;": "&amp;INDEX('Zgłoszenia'!$H$5:$H$504,MATCH(H2466,'Zgłoszenia'!$S$5:$S$504,0)),RIGHT("0"&amp;DAY((A2466+1)),2)&amp;"."&amp;RIGHT("0"&amp;MONTH((A2466+1)),2)&amp;"."&amp;YEAR((A2466+1))&amp;": "&amp;INDEX('Zgłoszenia'!$H$5:$H$504,MATCH(F2466&amp;"|"&amp;(A2466+1),'Zgłoszenia'!$S$5:$S$504,0)))&amp;IF(K2466&gt;1," (+"&amp;(K2466-1)&amp;")",""))</f>
        <v/>
      </c>
      <c r="M2466" s="63" t="n">
        <v>31</v>
      </c>
      <c r="N2466" s="2" t="n"/>
      <c r="O2466" s="2" t="n"/>
    </row>
    <row r="2467">
      <c r="A2467" s="62">
        <f>IF('31'!$C$1="","",'31'!$C$1)</f>
        <v/>
      </c>
      <c r="B2467" s="63">
        <f>Ustawienia!$A$9&amp;""</f>
        <v/>
      </c>
      <c r="C2467" s="63">
        <f>Ustawienia!$A$15&amp;""</f>
        <v/>
      </c>
      <c r="D2467" s="63" t="n">
        <v>3</v>
      </c>
      <c r="E2467" s="63">
        <f>IF('31'!F15="","",TRIM('31'!F15&amp;""))</f>
        <v/>
      </c>
      <c r="F2467" s="63">
        <f>IF('31'!G15="","",'31'!G15)</f>
        <v/>
      </c>
      <c r="G2467" s="63">
        <f>'31'!H15&amp;""</f>
        <v/>
      </c>
      <c r="H2467" s="63">
        <f>IF(OR(A2467="",F2467=""),"",F2467&amp;"|"&amp;A2467)</f>
        <v/>
      </c>
      <c r="I2467" s="63">
        <f>IF(AND(H2467&lt;&gt;"",OR('Historia wózka'!$B$4="",F2467='Historia wózka'!$B$4),A2467&gt;='Historia wózka'!$B$5,A2467&lt;='Historia wózka'!$B$6),A2467+0.8+(5000-ROW())/10000000,0)</f>
        <v/>
      </c>
      <c r="J2467" s="63">
        <f>Ustawienia!$B$9&amp;""</f>
        <v/>
      </c>
      <c r="K2467" s="63">
        <f>IF(H2467="","",COUNTIFS('Zgłoszenia'!$B$5:$B$504,F2467,'Zgłoszenia'!$D$5:$D$504,"&gt;="&amp;A2467,'Zgłoszenia'!$D$5:$D$504,"&lt;="&amp;(A2467+1)))</f>
        <v/>
      </c>
      <c r="L2467" s="63">
        <f>IF(OR(H2467="",K2467=0),"—",IF(ISNUMBER(MATCH(H2467,'Zgłoszenia'!$S$5:$S$504,0)),RIGHT("0"&amp;DAY(A2467),2)&amp;"."&amp;RIGHT("0"&amp;MONTH(A2467),2)&amp;"."&amp;YEAR(A2467)&amp;": "&amp;INDEX('Zgłoszenia'!$H$5:$H$504,MATCH(H2467,'Zgłoszenia'!$S$5:$S$504,0)),RIGHT("0"&amp;DAY((A2467+1)),2)&amp;"."&amp;RIGHT("0"&amp;MONTH((A2467+1)),2)&amp;"."&amp;YEAR((A2467+1))&amp;": "&amp;INDEX('Zgłoszenia'!$H$5:$H$504,MATCH(F2467&amp;"|"&amp;(A2467+1),'Zgłoszenia'!$S$5:$S$504,0)))&amp;IF(K2467&gt;1," (+"&amp;(K2467-1)&amp;")",""))</f>
        <v/>
      </c>
      <c r="M2467" s="63" t="n">
        <v>31</v>
      </c>
      <c r="N2467" s="2" t="n"/>
      <c r="O2467" s="2" t="n"/>
    </row>
    <row r="2468">
      <c r="A2468" s="62">
        <f>IF('31'!$C$1="","",'31'!$C$1)</f>
        <v/>
      </c>
      <c r="B2468" s="63">
        <f>Ustawienia!$A$9&amp;""</f>
        <v/>
      </c>
      <c r="C2468" s="63">
        <f>Ustawienia!$A$15&amp;""</f>
        <v/>
      </c>
      <c r="D2468" s="63" t="n">
        <v>4</v>
      </c>
      <c r="E2468" s="63">
        <f>IF('31'!F16="","",TRIM('31'!F16&amp;""))</f>
        <v/>
      </c>
      <c r="F2468" s="63">
        <f>IF('31'!G16="","",'31'!G16)</f>
        <v/>
      </c>
      <c r="G2468" s="63">
        <f>'31'!H16&amp;""</f>
        <v/>
      </c>
      <c r="H2468" s="63">
        <f>IF(OR(A2468="",F2468=""),"",F2468&amp;"|"&amp;A2468)</f>
        <v/>
      </c>
      <c r="I2468" s="63">
        <f>IF(AND(H2468&lt;&gt;"",OR('Historia wózka'!$B$4="",F2468='Historia wózka'!$B$4),A2468&gt;='Historia wózka'!$B$5,A2468&lt;='Historia wózka'!$B$6),A2468+0.8+(5000-ROW())/10000000,0)</f>
        <v/>
      </c>
      <c r="J2468" s="63">
        <f>Ustawienia!$B$9&amp;""</f>
        <v/>
      </c>
      <c r="K2468" s="63">
        <f>IF(H2468="","",COUNTIFS('Zgłoszenia'!$B$5:$B$504,F2468,'Zgłoszenia'!$D$5:$D$504,"&gt;="&amp;A2468,'Zgłoszenia'!$D$5:$D$504,"&lt;="&amp;(A2468+1)))</f>
        <v/>
      </c>
      <c r="L2468" s="63">
        <f>IF(OR(H2468="",K2468=0),"—",IF(ISNUMBER(MATCH(H2468,'Zgłoszenia'!$S$5:$S$504,0)),RIGHT("0"&amp;DAY(A2468),2)&amp;"."&amp;RIGHT("0"&amp;MONTH(A2468),2)&amp;"."&amp;YEAR(A2468)&amp;": "&amp;INDEX('Zgłoszenia'!$H$5:$H$504,MATCH(H2468,'Zgłoszenia'!$S$5:$S$504,0)),RIGHT("0"&amp;DAY((A2468+1)),2)&amp;"."&amp;RIGHT("0"&amp;MONTH((A2468+1)),2)&amp;"."&amp;YEAR((A2468+1))&amp;": "&amp;INDEX('Zgłoszenia'!$H$5:$H$504,MATCH(F2468&amp;"|"&amp;(A2468+1),'Zgłoszenia'!$S$5:$S$504,0)))&amp;IF(K2468&gt;1," (+"&amp;(K2468-1)&amp;")",""))</f>
        <v/>
      </c>
      <c r="M2468" s="63" t="n">
        <v>31</v>
      </c>
      <c r="N2468" s="2" t="n"/>
      <c r="O2468" s="2" t="n"/>
    </row>
    <row r="2469">
      <c r="A2469" s="62">
        <f>IF('31'!$C$1="","",'31'!$C$1)</f>
        <v/>
      </c>
      <c r="B2469" s="63">
        <f>Ustawienia!$A$9&amp;""</f>
        <v/>
      </c>
      <c r="C2469" s="63">
        <f>Ustawienia!$A$15&amp;""</f>
        <v/>
      </c>
      <c r="D2469" s="63" t="n">
        <v>5</v>
      </c>
      <c r="E2469" s="63">
        <f>IF('31'!F17="","",TRIM('31'!F17&amp;""))</f>
        <v/>
      </c>
      <c r="F2469" s="63">
        <f>IF('31'!G17="","",'31'!G17)</f>
        <v/>
      </c>
      <c r="G2469" s="63">
        <f>'31'!H17&amp;""</f>
        <v/>
      </c>
      <c r="H2469" s="63">
        <f>IF(OR(A2469="",F2469=""),"",F2469&amp;"|"&amp;A2469)</f>
        <v/>
      </c>
      <c r="I2469" s="63">
        <f>IF(AND(H2469&lt;&gt;"",OR('Historia wózka'!$B$4="",F2469='Historia wózka'!$B$4),A2469&gt;='Historia wózka'!$B$5,A2469&lt;='Historia wózka'!$B$6),A2469+0.8+(5000-ROW())/10000000,0)</f>
        <v/>
      </c>
      <c r="J2469" s="63">
        <f>Ustawienia!$B$9&amp;""</f>
        <v/>
      </c>
      <c r="K2469" s="63">
        <f>IF(H2469="","",COUNTIFS('Zgłoszenia'!$B$5:$B$504,F2469,'Zgłoszenia'!$D$5:$D$504,"&gt;="&amp;A2469,'Zgłoszenia'!$D$5:$D$504,"&lt;="&amp;(A2469+1)))</f>
        <v/>
      </c>
      <c r="L2469" s="63">
        <f>IF(OR(H2469="",K2469=0),"—",IF(ISNUMBER(MATCH(H2469,'Zgłoszenia'!$S$5:$S$504,0)),RIGHT("0"&amp;DAY(A2469),2)&amp;"."&amp;RIGHT("0"&amp;MONTH(A2469),2)&amp;"."&amp;YEAR(A2469)&amp;": "&amp;INDEX('Zgłoszenia'!$H$5:$H$504,MATCH(H2469,'Zgłoszenia'!$S$5:$S$504,0)),RIGHT("0"&amp;DAY((A2469+1)),2)&amp;"."&amp;RIGHT("0"&amp;MONTH((A2469+1)),2)&amp;"."&amp;YEAR((A2469+1))&amp;": "&amp;INDEX('Zgłoszenia'!$H$5:$H$504,MATCH(F2469&amp;"|"&amp;(A2469+1),'Zgłoszenia'!$S$5:$S$504,0)))&amp;IF(K2469&gt;1," (+"&amp;(K2469-1)&amp;")",""))</f>
        <v/>
      </c>
      <c r="M2469" s="63" t="n">
        <v>31</v>
      </c>
      <c r="N2469" s="2" t="n"/>
      <c r="O2469" s="2" t="n"/>
    </row>
    <row r="2470">
      <c r="A2470" s="62">
        <f>IF('31'!$C$1="","",'31'!$C$1)</f>
        <v/>
      </c>
      <c r="B2470" s="63">
        <f>Ustawienia!$A$9&amp;""</f>
        <v/>
      </c>
      <c r="C2470" s="63">
        <f>Ustawienia!$A$15&amp;""</f>
        <v/>
      </c>
      <c r="D2470" s="63" t="n">
        <v>6</v>
      </c>
      <c r="E2470" s="63">
        <f>IF('31'!F18="","",TRIM('31'!F18&amp;""))</f>
        <v/>
      </c>
      <c r="F2470" s="63">
        <f>IF('31'!G18="","",'31'!G18)</f>
        <v/>
      </c>
      <c r="G2470" s="63">
        <f>'31'!H18&amp;""</f>
        <v/>
      </c>
      <c r="H2470" s="63">
        <f>IF(OR(A2470="",F2470=""),"",F2470&amp;"|"&amp;A2470)</f>
        <v/>
      </c>
      <c r="I2470" s="63">
        <f>IF(AND(H2470&lt;&gt;"",OR('Historia wózka'!$B$4="",F2470='Historia wózka'!$B$4),A2470&gt;='Historia wózka'!$B$5,A2470&lt;='Historia wózka'!$B$6),A2470+0.8+(5000-ROW())/10000000,0)</f>
        <v/>
      </c>
      <c r="J2470" s="63">
        <f>Ustawienia!$B$9&amp;""</f>
        <v/>
      </c>
      <c r="K2470" s="63">
        <f>IF(H2470="","",COUNTIFS('Zgłoszenia'!$B$5:$B$504,F2470,'Zgłoszenia'!$D$5:$D$504,"&gt;="&amp;A2470,'Zgłoszenia'!$D$5:$D$504,"&lt;="&amp;(A2470+1)))</f>
        <v/>
      </c>
      <c r="L2470" s="63">
        <f>IF(OR(H2470="",K2470=0),"—",IF(ISNUMBER(MATCH(H2470,'Zgłoszenia'!$S$5:$S$504,0)),RIGHT("0"&amp;DAY(A2470),2)&amp;"."&amp;RIGHT("0"&amp;MONTH(A2470),2)&amp;"."&amp;YEAR(A2470)&amp;": "&amp;INDEX('Zgłoszenia'!$H$5:$H$504,MATCH(H2470,'Zgłoszenia'!$S$5:$S$504,0)),RIGHT("0"&amp;DAY((A2470+1)),2)&amp;"."&amp;RIGHT("0"&amp;MONTH((A2470+1)),2)&amp;"."&amp;YEAR((A2470+1))&amp;": "&amp;INDEX('Zgłoszenia'!$H$5:$H$504,MATCH(F2470&amp;"|"&amp;(A2470+1),'Zgłoszenia'!$S$5:$S$504,0)))&amp;IF(K2470&gt;1," (+"&amp;(K2470-1)&amp;")",""))</f>
        <v/>
      </c>
      <c r="M2470" s="63" t="n">
        <v>31</v>
      </c>
      <c r="N2470" s="2" t="n"/>
      <c r="O2470" s="2" t="n"/>
    </row>
    <row r="2471">
      <c r="A2471" s="62">
        <f>IF('31'!$C$1="","",'31'!$C$1)</f>
        <v/>
      </c>
      <c r="B2471" s="63">
        <f>Ustawienia!$A$9&amp;""</f>
        <v/>
      </c>
      <c r="C2471" s="63">
        <f>Ustawienia!$A$15&amp;""</f>
        <v/>
      </c>
      <c r="D2471" s="63" t="n">
        <v>7</v>
      </c>
      <c r="E2471" s="63">
        <f>IF('31'!F19="","",TRIM('31'!F19&amp;""))</f>
        <v/>
      </c>
      <c r="F2471" s="63">
        <f>IF('31'!G19="","",'31'!G19)</f>
        <v/>
      </c>
      <c r="G2471" s="63">
        <f>'31'!H19&amp;""</f>
        <v/>
      </c>
      <c r="H2471" s="63">
        <f>IF(OR(A2471="",F2471=""),"",F2471&amp;"|"&amp;A2471)</f>
        <v/>
      </c>
      <c r="I2471" s="63">
        <f>IF(AND(H2471&lt;&gt;"",OR('Historia wózka'!$B$4="",F2471='Historia wózka'!$B$4),A2471&gt;='Historia wózka'!$B$5,A2471&lt;='Historia wózka'!$B$6),A2471+0.8+(5000-ROW())/10000000,0)</f>
        <v/>
      </c>
      <c r="J2471" s="63">
        <f>Ustawienia!$B$9&amp;""</f>
        <v/>
      </c>
      <c r="K2471" s="63">
        <f>IF(H2471="","",COUNTIFS('Zgłoszenia'!$B$5:$B$504,F2471,'Zgłoszenia'!$D$5:$D$504,"&gt;="&amp;A2471,'Zgłoszenia'!$D$5:$D$504,"&lt;="&amp;(A2471+1)))</f>
        <v/>
      </c>
      <c r="L2471" s="63">
        <f>IF(OR(H2471="",K2471=0),"—",IF(ISNUMBER(MATCH(H2471,'Zgłoszenia'!$S$5:$S$504,0)),RIGHT("0"&amp;DAY(A2471),2)&amp;"."&amp;RIGHT("0"&amp;MONTH(A2471),2)&amp;"."&amp;YEAR(A2471)&amp;": "&amp;INDEX('Zgłoszenia'!$H$5:$H$504,MATCH(H2471,'Zgłoszenia'!$S$5:$S$504,0)),RIGHT("0"&amp;DAY((A2471+1)),2)&amp;"."&amp;RIGHT("0"&amp;MONTH((A2471+1)),2)&amp;"."&amp;YEAR((A2471+1))&amp;": "&amp;INDEX('Zgłoszenia'!$H$5:$H$504,MATCH(F2471&amp;"|"&amp;(A2471+1),'Zgłoszenia'!$S$5:$S$504,0)))&amp;IF(K2471&gt;1," (+"&amp;(K2471-1)&amp;")",""))</f>
        <v/>
      </c>
      <c r="M2471" s="63" t="n">
        <v>31</v>
      </c>
      <c r="N2471" s="2" t="n"/>
      <c r="O2471" s="2" t="n"/>
    </row>
    <row r="2472">
      <c r="A2472" s="62">
        <f>IF('31'!$C$1="","",'31'!$C$1)</f>
        <v/>
      </c>
      <c r="B2472" s="63">
        <f>Ustawienia!$A$9&amp;""</f>
        <v/>
      </c>
      <c r="C2472" s="63">
        <f>Ustawienia!$A$15&amp;""</f>
        <v/>
      </c>
      <c r="D2472" s="63" t="n">
        <v>8</v>
      </c>
      <c r="E2472" s="63">
        <f>IF('31'!F20="","",TRIM('31'!F20&amp;""))</f>
        <v/>
      </c>
      <c r="F2472" s="63">
        <f>IF('31'!G20="","",'31'!G20)</f>
        <v/>
      </c>
      <c r="G2472" s="63">
        <f>'31'!H20&amp;""</f>
        <v/>
      </c>
      <c r="H2472" s="63">
        <f>IF(OR(A2472="",F2472=""),"",F2472&amp;"|"&amp;A2472)</f>
        <v/>
      </c>
      <c r="I2472" s="63">
        <f>IF(AND(H2472&lt;&gt;"",OR('Historia wózka'!$B$4="",F2472='Historia wózka'!$B$4),A2472&gt;='Historia wózka'!$B$5,A2472&lt;='Historia wózka'!$B$6),A2472+0.8+(5000-ROW())/10000000,0)</f>
        <v/>
      </c>
      <c r="J2472" s="63">
        <f>Ustawienia!$B$9&amp;""</f>
        <v/>
      </c>
      <c r="K2472" s="63">
        <f>IF(H2472="","",COUNTIFS('Zgłoszenia'!$B$5:$B$504,F2472,'Zgłoszenia'!$D$5:$D$504,"&gt;="&amp;A2472,'Zgłoszenia'!$D$5:$D$504,"&lt;="&amp;(A2472+1)))</f>
        <v/>
      </c>
      <c r="L2472" s="63">
        <f>IF(OR(H2472="",K2472=0),"—",IF(ISNUMBER(MATCH(H2472,'Zgłoszenia'!$S$5:$S$504,0)),RIGHT("0"&amp;DAY(A2472),2)&amp;"."&amp;RIGHT("0"&amp;MONTH(A2472),2)&amp;"."&amp;YEAR(A2472)&amp;": "&amp;INDEX('Zgłoszenia'!$H$5:$H$504,MATCH(H2472,'Zgłoszenia'!$S$5:$S$504,0)),RIGHT("0"&amp;DAY((A2472+1)),2)&amp;"."&amp;RIGHT("0"&amp;MONTH((A2472+1)),2)&amp;"."&amp;YEAR((A2472+1))&amp;": "&amp;INDEX('Zgłoszenia'!$H$5:$H$504,MATCH(F2472&amp;"|"&amp;(A2472+1),'Zgłoszenia'!$S$5:$S$504,0)))&amp;IF(K2472&gt;1," (+"&amp;(K2472-1)&amp;")",""))</f>
        <v/>
      </c>
      <c r="M2472" s="63" t="n">
        <v>31</v>
      </c>
      <c r="N2472" s="2" t="n"/>
      <c r="O2472" s="2" t="n"/>
    </row>
    <row r="2473">
      <c r="A2473" s="62">
        <f>IF('31'!$C$1="","",'31'!$C$1)</f>
        <v/>
      </c>
      <c r="B2473" s="63">
        <f>Ustawienia!$A$9&amp;""</f>
        <v/>
      </c>
      <c r="C2473" s="63">
        <f>Ustawienia!$A$16&amp;""</f>
        <v/>
      </c>
      <c r="D2473" s="63" t="n">
        <v>1</v>
      </c>
      <c r="E2473" s="63">
        <f>IF('31'!F22="","",TRIM('31'!F22&amp;""))</f>
        <v/>
      </c>
      <c r="F2473" s="63">
        <f>IF('31'!G22="","",'31'!G22)</f>
        <v/>
      </c>
      <c r="G2473" s="63">
        <f>'31'!H22&amp;""</f>
        <v/>
      </c>
      <c r="H2473" s="63">
        <f>IF(OR(A2473="",F2473=""),"",F2473&amp;"|"&amp;A2473)</f>
        <v/>
      </c>
      <c r="I2473" s="63">
        <f>IF(AND(H2473&lt;&gt;"",OR('Historia wózka'!$B$4="",F2473='Historia wózka'!$B$4),A2473&gt;='Historia wózka'!$B$5,A2473&lt;='Historia wózka'!$B$6),A2473+0.8+(5000-ROW())/10000000,0)</f>
        <v/>
      </c>
      <c r="J2473" s="63">
        <f>Ustawienia!$B$9&amp;""</f>
        <v/>
      </c>
      <c r="K2473" s="63">
        <f>IF(H2473="","",COUNTIFS('Zgłoszenia'!$B$5:$B$504,F2473,'Zgłoszenia'!$D$5:$D$504,"&gt;="&amp;A2473,'Zgłoszenia'!$D$5:$D$504,"&lt;="&amp;(A2473+1)))</f>
        <v/>
      </c>
      <c r="L2473" s="63">
        <f>IF(OR(H2473="",K2473=0),"—",IF(ISNUMBER(MATCH(H2473,'Zgłoszenia'!$S$5:$S$504,0)),RIGHT("0"&amp;DAY(A2473),2)&amp;"."&amp;RIGHT("0"&amp;MONTH(A2473),2)&amp;"."&amp;YEAR(A2473)&amp;": "&amp;INDEX('Zgłoszenia'!$H$5:$H$504,MATCH(H2473,'Zgłoszenia'!$S$5:$S$504,0)),RIGHT("0"&amp;DAY((A2473+1)),2)&amp;"."&amp;RIGHT("0"&amp;MONTH((A2473+1)),2)&amp;"."&amp;YEAR((A2473+1))&amp;": "&amp;INDEX('Zgłoszenia'!$H$5:$H$504,MATCH(F2473&amp;"|"&amp;(A2473+1),'Zgłoszenia'!$S$5:$S$504,0)))&amp;IF(K2473&gt;1," (+"&amp;(K2473-1)&amp;")",""))</f>
        <v/>
      </c>
      <c r="M2473" s="63" t="n">
        <v>31</v>
      </c>
      <c r="N2473" s="2" t="n"/>
      <c r="O2473" s="2" t="n"/>
    </row>
    <row r="2474">
      <c r="A2474" s="62">
        <f>IF('31'!$C$1="","",'31'!$C$1)</f>
        <v/>
      </c>
      <c r="B2474" s="63">
        <f>Ustawienia!$A$9&amp;""</f>
        <v/>
      </c>
      <c r="C2474" s="63">
        <f>Ustawienia!$A$16&amp;""</f>
        <v/>
      </c>
      <c r="D2474" s="63" t="n">
        <v>2</v>
      </c>
      <c r="E2474" s="63">
        <f>IF('31'!F23="","",TRIM('31'!F23&amp;""))</f>
        <v/>
      </c>
      <c r="F2474" s="63">
        <f>IF('31'!G23="","",'31'!G23)</f>
        <v/>
      </c>
      <c r="G2474" s="63">
        <f>'31'!H23&amp;""</f>
        <v/>
      </c>
      <c r="H2474" s="63">
        <f>IF(OR(A2474="",F2474=""),"",F2474&amp;"|"&amp;A2474)</f>
        <v/>
      </c>
      <c r="I2474" s="63">
        <f>IF(AND(H2474&lt;&gt;"",OR('Historia wózka'!$B$4="",F2474='Historia wózka'!$B$4),A2474&gt;='Historia wózka'!$B$5,A2474&lt;='Historia wózka'!$B$6),A2474+0.8+(5000-ROW())/10000000,0)</f>
        <v/>
      </c>
      <c r="J2474" s="63">
        <f>Ustawienia!$B$9&amp;""</f>
        <v/>
      </c>
      <c r="K2474" s="63">
        <f>IF(H2474="","",COUNTIFS('Zgłoszenia'!$B$5:$B$504,F2474,'Zgłoszenia'!$D$5:$D$504,"&gt;="&amp;A2474,'Zgłoszenia'!$D$5:$D$504,"&lt;="&amp;(A2474+1)))</f>
        <v/>
      </c>
      <c r="L2474" s="63">
        <f>IF(OR(H2474="",K2474=0),"—",IF(ISNUMBER(MATCH(H2474,'Zgłoszenia'!$S$5:$S$504,0)),RIGHT("0"&amp;DAY(A2474),2)&amp;"."&amp;RIGHT("0"&amp;MONTH(A2474),2)&amp;"."&amp;YEAR(A2474)&amp;": "&amp;INDEX('Zgłoszenia'!$H$5:$H$504,MATCH(H2474,'Zgłoszenia'!$S$5:$S$504,0)),RIGHT("0"&amp;DAY((A2474+1)),2)&amp;"."&amp;RIGHT("0"&amp;MONTH((A2474+1)),2)&amp;"."&amp;YEAR((A2474+1))&amp;": "&amp;INDEX('Zgłoszenia'!$H$5:$H$504,MATCH(F2474&amp;"|"&amp;(A2474+1),'Zgłoszenia'!$S$5:$S$504,0)))&amp;IF(K2474&gt;1," (+"&amp;(K2474-1)&amp;")",""))</f>
        <v/>
      </c>
      <c r="M2474" s="63" t="n">
        <v>31</v>
      </c>
      <c r="N2474" s="2" t="n"/>
      <c r="O2474" s="2" t="n"/>
    </row>
    <row r="2475">
      <c r="A2475" s="62">
        <f>IF('31'!$C$1="","",'31'!$C$1)</f>
        <v/>
      </c>
      <c r="B2475" s="63">
        <f>Ustawienia!$A$9&amp;""</f>
        <v/>
      </c>
      <c r="C2475" s="63">
        <f>Ustawienia!$A$16&amp;""</f>
        <v/>
      </c>
      <c r="D2475" s="63" t="n">
        <v>3</v>
      </c>
      <c r="E2475" s="63">
        <f>IF('31'!F24="","",TRIM('31'!F24&amp;""))</f>
        <v/>
      </c>
      <c r="F2475" s="63">
        <f>IF('31'!G24="","",'31'!G24)</f>
        <v/>
      </c>
      <c r="G2475" s="63">
        <f>'31'!H24&amp;""</f>
        <v/>
      </c>
      <c r="H2475" s="63">
        <f>IF(OR(A2475="",F2475=""),"",F2475&amp;"|"&amp;A2475)</f>
        <v/>
      </c>
      <c r="I2475" s="63">
        <f>IF(AND(H2475&lt;&gt;"",OR('Historia wózka'!$B$4="",F2475='Historia wózka'!$B$4),A2475&gt;='Historia wózka'!$B$5,A2475&lt;='Historia wózka'!$B$6),A2475+0.8+(5000-ROW())/10000000,0)</f>
        <v/>
      </c>
      <c r="J2475" s="63">
        <f>Ustawienia!$B$9&amp;""</f>
        <v/>
      </c>
      <c r="K2475" s="63">
        <f>IF(H2475="","",COUNTIFS('Zgłoszenia'!$B$5:$B$504,F2475,'Zgłoszenia'!$D$5:$D$504,"&gt;="&amp;A2475,'Zgłoszenia'!$D$5:$D$504,"&lt;="&amp;(A2475+1)))</f>
        <v/>
      </c>
      <c r="L2475" s="63">
        <f>IF(OR(H2475="",K2475=0),"—",IF(ISNUMBER(MATCH(H2475,'Zgłoszenia'!$S$5:$S$504,0)),RIGHT("0"&amp;DAY(A2475),2)&amp;"."&amp;RIGHT("0"&amp;MONTH(A2475),2)&amp;"."&amp;YEAR(A2475)&amp;": "&amp;INDEX('Zgłoszenia'!$H$5:$H$504,MATCH(H2475,'Zgłoszenia'!$S$5:$S$504,0)),RIGHT("0"&amp;DAY((A2475+1)),2)&amp;"."&amp;RIGHT("0"&amp;MONTH((A2475+1)),2)&amp;"."&amp;YEAR((A2475+1))&amp;": "&amp;INDEX('Zgłoszenia'!$H$5:$H$504,MATCH(F2475&amp;"|"&amp;(A2475+1),'Zgłoszenia'!$S$5:$S$504,0)))&amp;IF(K2475&gt;1," (+"&amp;(K2475-1)&amp;")",""))</f>
        <v/>
      </c>
      <c r="M2475" s="63" t="n">
        <v>31</v>
      </c>
      <c r="N2475" s="2" t="n"/>
      <c r="O2475" s="2" t="n"/>
    </row>
    <row r="2476">
      <c r="A2476" s="62">
        <f>IF('31'!$C$1="","",'31'!$C$1)</f>
        <v/>
      </c>
      <c r="B2476" s="63">
        <f>Ustawienia!$A$9&amp;""</f>
        <v/>
      </c>
      <c r="C2476" s="63">
        <f>Ustawienia!$A$16&amp;""</f>
        <v/>
      </c>
      <c r="D2476" s="63" t="n">
        <v>4</v>
      </c>
      <c r="E2476" s="63">
        <f>IF('31'!F25="","",TRIM('31'!F25&amp;""))</f>
        <v/>
      </c>
      <c r="F2476" s="63">
        <f>IF('31'!G25="","",'31'!G25)</f>
        <v/>
      </c>
      <c r="G2476" s="63">
        <f>'31'!H25&amp;""</f>
        <v/>
      </c>
      <c r="H2476" s="63">
        <f>IF(OR(A2476="",F2476=""),"",F2476&amp;"|"&amp;A2476)</f>
        <v/>
      </c>
      <c r="I2476" s="63">
        <f>IF(AND(H2476&lt;&gt;"",OR('Historia wózka'!$B$4="",F2476='Historia wózka'!$B$4),A2476&gt;='Historia wózka'!$B$5,A2476&lt;='Historia wózka'!$B$6),A2476+0.8+(5000-ROW())/10000000,0)</f>
        <v/>
      </c>
      <c r="J2476" s="63">
        <f>Ustawienia!$B$9&amp;""</f>
        <v/>
      </c>
      <c r="K2476" s="63">
        <f>IF(H2476="","",COUNTIFS('Zgłoszenia'!$B$5:$B$504,F2476,'Zgłoszenia'!$D$5:$D$504,"&gt;="&amp;A2476,'Zgłoszenia'!$D$5:$D$504,"&lt;="&amp;(A2476+1)))</f>
        <v/>
      </c>
      <c r="L2476" s="63">
        <f>IF(OR(H2476="",K2476=0),"—",IF(ISNUMBER(MATCH(H2476,'Zgłoszenia'!$S$5:$S$504,0)),RIGHT("0"&amp;DAY(A2476),2)&amp;"."&amp;RIGHT("0"&amp;MONTH(A2476),2)&amp;"."&amp;YEAR(A2476)&amp;": "&amp;INDEX('Zgłoszenia'!$H$5:$H$504,MATCH(H2476,'Zgłoszenia'!$S$5:$S$504,0)),RIGHT("0"&amp;DAY((A2476+1)),2)&amp;"."&amp;RIGHT("0"&amp;MONTH((A2476+1)),2)&amp;"."&amp;YEAR((A2476+1))&amp;": "&amp;INDEX('Zgłoszenia'!$H$5:$H$504,MATCH(F2476&amp;"|"&amp;(A2476+1),'Zgłoszenia'!$S$5:$S$504,0)))&amp;IF(K2476&gt;1," (+"&amp;(K2476-1)&amp;")",""))</f>
        <v/>
      </c>
      <c r="M2476" s="63" t="n">
        <v>31</v>
      </c>
      <c r="N2476" s="2" t="n"/>
      <c r="O2476" s="2" t="n"/>
    </row>
    <row r="2477">
      <c r="A2477" s="62">
        <f>IF('31'!$C$1="","",'31'!$C$1)</f>
        <v/>
      </c>
      <c r="B2477" s="63">
        <f>Ustawienia!$A$9&amp;""</f>
        <v/>
      </c>
      <c r="C2477" s="63">
        <f>Ustawienia!$A$17&amp;""</f>
        <v/>
      </c>
      <c r="D2477" s="63" t="n">
        <v>1</v>
      </c>
      <c r="E2477" s="63">
        <f>IF('31'!F27="","",TRIM('31'!F27&amp;""))</f>
        <v/>
      </c>
      <c r="F2477" s="63">
        <f>IF('31'!G27="","",'31'!G27)</f>
        <v/>
      </c>
      <c r="G2477" s="63">
        <f>'31'!H27&amp;""</f>
        <v/>
      </c>
      <c r="H2477" s="63">
        <f>IF(OR(A2477="",F2477=""),"",F2477&amp;"|"&amp;A2477)</f>
        <v/>
      </c>
      <c r="I2477" s="63">
        <f>IF(AND(H2477&lt;&gt;"",OR('Historia wózka'!$B$4="",F2477='Historia wózka'!$B$4),A2477&gt;='Historia wózka'!$B$5,A2477&lt;='Historia wózka'!$B$6),A2477+0.8+(5000-ROW())/10000000,0)</f>
        <v/>
      </c>
      <c r="J2477" s="63">
        <f>Ustawienia!$B$9&amp;""</f>
        <v/>
      </c>
      <c r="K2477" s="63">
        <f>IF(H2477="","",COUNTIFS('Zgłoszenia'!$B$5:$B$504,F2477,'Zgłoszenia'!$D$5:$D$504,"&gt;="&amp;A2477,'Zgłoszenia'!$D$5:$D$504,"&lt;="&amp;(A2477+1)))</f>
        <v/>
      </c>
      <c r="L2477" s="63">
        <f>IF(OR(H2477="",K2477=0),"—",IF(ISNUMBER(MATCH(H2477,'Zgłoszenia'!$S$5:$S$504,0)),RIGHT("0"&amp;DAY(A2477),2)&amp;"."&amp;RIGHT("0"&amp;MONTH(A2477),2)&amp;"."&amp;YEAR(A2477)&amp;": "&amp;INDEX('Zgłoszenia'!$H$5:$H$504,MATCH(H2477,'Zgłoszenia'!$S$5:$S$504,0)),RIGHT("0"&amp;DAY((A2477+1)),2)&amp;"."&amp;RIGHT("0"&amp;MONTH((A2477+1)),2)&amp;"."&amp;YEAR((A2477+1))&amp;": "&amp;INDEX('Zgłoszenia'!$H$5:$H$504,MATCH(F2477&amp;"|"&amp;(A2477+1),'Zgłoszenia'!$S$5:$S$504,0)))&amp;IF(K2477&gt;1," (+"&amp;(K2477-1)&amp;")",""))</f>
        <v/>
      </c>
      <c r="M2477" s="63" t="n">
        <v>31</v>
      </c>
      <c r="N2477" s="2" t="n"/>
      <c r="O2477" s="2" t="n"/>
    </row>
    <row r="2478">
      <c r="A2478" s="62">
        <f>IF('31'!$C$1="","",'31'!$C$1)</f>
        <v/>
      </c>
      <c r="B2478" s="63">
        <f>Ustawienia!$A$9&amp;""</f>
        <v/>
      </c>
      <c r="C2478" s="63">
        <f>Ustawienia!$A$17&amp;""</f>
        <v/>
      </c>
      <c r="D2478" s="63" t="n">
        <v>2</v>
      </c>
      <c r="E2478" s="63">
        <f>IF('31'!F28="","",TRIM('31'!F28&amp;""))</f>
        <v/>
      </c>
      <c r="F2478" s="63">
        <f>IF('31'!G28="","",'31'!G28)</f>
        <v/>
      </c>
      <c r="G2478" s="63">
        <f>'31'!H28&amp;""</f>
        <v/>
      </c>
      <c r="H2478" s="63">
        <f>IF(OR(A2478="",F2478=""),"",F2478&amp;"|"&amp;A2478)</f>
        <v/>
      </c>
      <c r="I2478" s="63">
        <f>IF(AND(H2478&lt;&gt;"",OR('Historia wózka'!$B$4="",F2478='Historia wózka'!$B$4),A2478&gt;='Historia wózka'!$B$5,A2478&lt;='Historia wózka'!$B$6),A2478+0.8+(5000-ROW())/10000000,0)</f>
        <v/>
      </c>
      <c r="J2478" s="63">
        <f>Ustawienia!$B$9&amp;""</f>
        <v/>
      </c>
      <c r="K2478" s="63">
        <f>IF(H2478="","",COUNTIFS('Zgłoszenia'!$B$5:$B$504,F2478,'Zgłoszenia'!$D$5:$D$504,"&gt;="&amp;A2478,'Zgłoszenia'!$D$5:$D$504,"&lt;="&amp;(A2478+1)))</f>
        <v/>
      </c>
      <c r="L2478" s="63">
        <f>IF(OR(H2478="",K2478=0),"—",IF(ISNUMBER(MATCH(H2478,'Zgłoszenia'!$S$5:$S$504,0)),RIGHT("0"&amp;DAY(A2478),2)&amp;"."&amp;RIGHT("0"&amp;MONTH(A2478),2)&amp;"."&amp;YEAR(A2478)&amp;": "&amp;INDEX('Zgłoszenia'!$H$5:$H$504,MATCH(H2478,'Zgłoszenia'!$S$5:$S$504,0)),RIGHT("0"&amp;DAY((A2478+1)),2)&amp;"."&amp;RIGHT("0"&amp;MONTH((A2478+1)),2)&amp;"."&amp;YEAR((A2478+1))&amp;": "&amp;INDEX('Zgłoszenia'!$H$5:$H$504,MATCH(F2478&amp;"|"&amp;(A2478+1),'Zgłoszenia'!$S$5:$S$504,0)))&amp;IF(K2478&gt;1," (+"&amp;(K2478-1)&amp;")",""))</f>
        <v/>
      </c>
      <c r="M2478" s="63" t="n">
        <v>31</v>
      </c>
      <c r="N2478" s="2" t="n"/>
      <c r="O2478" s="2" t="n"/>
    </row>
    <row r="2479">
      <c r="A2479" s="62">
        <f>IF('31'!$C$1="","",'31'!$C$1)</f>
        <v/>
      </c>
      <c r="B2479" s="63">
        <f>Ustawienia!$A$9&amp;""</f>
        <v/>
      </c>
      <c r="C2479" s="63">
        <f>Ustawienia!$A$17&amp;""</f>
        <v/>
      </c>
      <c r="D2479" s="63" t="n">
        <v>3</v>
      </c>
      <c r="E2479" s="63">
        <f>IF('31'!F29="","",TRIM('31'!F29&amp;""))</f>
        <v/>
      </c>
      <c r="F2479" s="63">
        <f>IF('31'!G29="","",'31'!G29)</f>
        <v/>
      </c>
      <c r="G2479" s="63">
        <f>'31'!H29&amp;""</f>
        <v/>
      </c>
      <c r="H2479" s="63">
        <f>IF(OR(A2479="",F2479=""),"",F2479&amp;"|"&amp;A2479)</f>
        <v/>
      </c>
      <c r="I2479" s="63">
        <f>IF(AND(H2479&lt;&gt;"",OR('Historia wózka'!$B$4="",F2479='Historia wózka'!$B$4),A2479&gt;='Historia wózka'!$B$5,A2479&lt;='Historia wózka'!$B$6),A2479+0.8+(5000-ROW())/10000000,0)</f>
        <v/>
      </c>
      <c r="J2479" s="63">
        <f>Ustawienia!$B$9&amp;""</f>
        <v/>
      </c>
      <c r="K2479" s="63">
        <f>IF(H2479="","",COUNTIFS('Zgłoszenia'!$B$5:$B$504,F2479,'Zgłoszenia'!$D$5:$D$504,"&gt;="&amp;A2479,'Zgłoszenia'!$D$5:$D$504,"&lt;="&amp;(A2479+1)))</f>
        <v/>
      </c>
      <c r="L2479" s="63">
        <f>IF(OR(H2479="",K2479=0),"—",IF(ISNUMBER(MATCH(H2479,'Zgłoszenia'!$S$5:$S$504,0)),RIGHT("0"&amp;DAY(A2479),2)&amp;"."&amp;RIGHT("0"&amp;MONTH(A2479),2)&amp;"."&amp;YEAR(A2479)&amp;": "&amp;INDEX('Zgłoszenia'!$H$5:$H$504,MATCH(H2479,'Zgłoszenia'!$S$5:$S$504,0)),RIGHT("0"&amp;DAY((A2479+1)),2)&amp;"."&amp;RIGHT("0"&amp;MONTH((A2479+1)),2)&amp;"."&amp;YEAR((A2479+1))&amp;": "&amp;INDEX('Zgłoszenia'!$H$5:$H$504,MATCH(F2479&amp;"|"&amp;(A2479+1),'Zgłoszenia'!$S$5:$S$504,0)))&amp;IF(K2479&gt;1," (+"&amp;(K2479-1)&amp;")",""))</f>
        <v/>
      </c>
      <c r="M2479" s="63" t="n">
        <v>31</v>
      </c>
      <c r="N2479" s="2" t="n"/>
      <c r="O2479" s="2" t="n"/>
    </row>
    <row r="2480">
      <c r="A2480" s="62">
        <f>IF('31'!$C$1="","",'31'!$C$1)</f>
        <v/>
      </c>
      <c r="B2480" s="63">
        <f>Ustawienia!$A$9&amp;""</f>
        <v/>
      </c>
      <c r="C2480" s="63">
        <f>Ustawienia!$A$17&amp;""</f>
        <v/>
      </c>
      <c r="D2480" s="63" t="n">
        <v>4</v>
      </c>
      <c r="E2480" s="63">
        <f>IF('31'!F30="","",TRIM('31'!F30&amp;""))</f>
        <v/>
      </c>
      <c r="F2480" s="63">
        <f>IF('31'!G30="","",'31'!G30)</f>
        <v/>
      </c>
      <c r="G2480" s="63">
        <f>'31'!H30&amp;""</f>
        <v/>
      </c>
      <c r="H2480" s="63">
        <f>IF(OR(A2480="",F2480=""),"",F2480&amp;"|"&amp;A2480)</f>
        <v/>
      </c>
      <c r="I2480" s="63">
        <f>IF(AND(H2480&lt;&gt;"",OR('Historia wózka'!$B$4="",F2480='Historia wózka'!$B$4),A2480&gt;='Historia wózka'!$B$5,A2480&lt;='Historia wózka'!$B$6),A2480+0.8+(5000-ROW())/10000000,0)</f>
        <v/>
      </c>
      <c r="J2480" s="63">
        <f>Ustawienia!$B$9&amp;""</f>
        <v/>
      </c>
      <c r="K2480" s="63">
        <f>IF(H2480="","",COUNTIFS('Zgłoszenia'!$B$5:$B$504,F2480,'Zgłoszenia'!$D$5:$D$504,"&gt;="&amp;A2480,'Zgłoszenia'!$D$5:$D$504,"&lt;="&amp;(A2480+1)))</f>
        <v/>
      </c>
      <c r="L2480" s="63">
        <f>IF(OR(H2480="",K2480=0),"—",IF(ISNUMBER(MATCH(H2480,'Zgłoszenia'!$S$5:$S$504,0)),RIGHT("0"&amp;DAY(A2480),2)&amp;"."&amp;RIGHT("0"&amp;MONTH(A2480),2)&amp;"."&amp;YEAR(A2480)&amp;": "&amp;INDEX('Zgłoszenia'!$H$5:$H$504,MATCH(H2480,'Zgłoszenia'!$S$5:$S$504,0)),RIGHT("0"&amp;DAY((A2480+1)),2)&amp;"."&amp;RIGHT("0"&amp;MONTH((A2480+1)),2)&amp;"."&amp;YEAR((A2480+1))&amp;": "&amp;INDEX('Zgłoszenia'!$H$5:$H$504,MATCH(F2480&amp;"|"&amp;(A2480+1),'Zgłoszenia'!$S$5:$S$504,0)))&amp;IF(K2480&gt;1," (+"&amp;(K2480-1)&amp;")",""))</f>
        <v/>
      </c>
      <c r="M2480" s="63" t="n">
        <v>31</v>
      </c>
      <c r="N2480" s="2" t="n"/>
      <c r="O2480" s="2" t="n"/>
    </row>
    <row r="2481">
      <c r="A2481" s="62">
        <f>IF('31'!$C$1="","",'31'!$C$1)</f>
        <v/>
      </c>
      <c r="B2481" s="63">
        <f>Ustawienia!$A$9&amp;""</f>
        <v/>
      </c>
      <c r="C2481" s="63">
        <f>Ustawienia!$A$18&amp;""</f>
        <v/>
      </c>
      <c r="D2481" s="63" t="n">
        <v>1</v>
      </c>
      <c r="E2481" s="63">
        <f>IF('31'!F32="","",TRIM('31'!F32&amp;""))</f>
        <v/>
      </c>
      <c r="F2481" s="63">
        <f>IF('31'!G32="","",'31'!G32)</f>
        <v/>
      </c>
      <c r="G2481" s="63">
        <f>'31'!H32&amp;""</f>
        <v/>
      </c>
      <c r="H2481" s="63">
        <f>IF(OR(A2481="",F2481=""),"",F2481&amp;"|"&amp;A2481)</f>
        <v/>
      </c>
      <c r="I2481" s="63">
        <f>IF(AND(H2481&lt;&gt;"",OR('Historia wózka'!$B$4="",F2481='Historia wózka'!$B$4),A2481&gt;='Historia wózka'!$B$5,A2481&lt;='Historia wózka'!$B$6),A2481+0.8+(5000-ROW())/10000000,0)</f>
        <v/>
      </c>
      <c r="J2481" s="63">
        <f>Ustawienia!$B$9&amp;""</f>
        <v/>
      </c>
      <c r="K2481" s="63">
        <f>IF(H2481="","",COUNTIFS('Zgłoszenia'!$B$5:$B$504,F2481,'Zgłoszenia'!$D$5:$D$504,"&gt;="&amp;A2481,'Zgłoszenia'!$D$5:$D$504,"&lt;="&amp;(A2481+1)))</f>
        <v/>
      </c>
      <c r="L2481" s="63">
        <f>IF(OR(H2481="",K2481=0),"—",IF(ISNUMBER(MATCH(H2481,'Zgłoszenia'!$S$5:$S$504,0)),RIGHT("0"&amp;DAY(A2481),2)&amp;"."&amp;RIGHT("0"&amp;MONTH(A2481),2)&amp;"."&amp;YEAR(A2481)&amp;": "&amp;INDEX('Zgłoszenia'!$H$5:$H$504,MATCH(H2481,'Zgłoszenia'!$S$5:$S$504,0)),RIGHT("0"&amp;DAY((A2481+1)),2)&amp;"."&amp;RIGHT("0"&amp;MONTH((A2481+1)),2)&amp;"."&amp;YEAR((A2481+1))&amp;": "&amp;INDEX('Zgłoszenia'!$H$5:$H$504,MATCH(F2481&amp;"|"&amp;(A2481+1),'Zgłoszenia'!$S$5:$S$504,0)))&amp;IF(K2481&gt;1," (+"&amp;(K2481-1)&amp;")",""))</f>
        <v/>
      </c>
      <c r="M2481" s="63" t="n">
        <v>31</v>
      </c>
      <c r="N2481" s="2" t="n"/>
      <c r="O2481" s="2" t="n"/>
    </row>
    <row r="2482">
      <c r="A2482" s="62">
        <f>IF('31'!$C$1="","",'31'!$C$1)</f>
        <v/>
      </c>
      <c r="B2482" s="63">
        <f>Ustawienia!$A$9&amp;""</f>
        <v/>
      </c>
      <c r="C2482" s="63">
        <f>Ustawienia!$A$18&amp;""</f>
        <v/>
      </c>
      <c r="D2482" s="63" t="n">
        <v>2</v>
      </c>
      <c r="E2482" s="63">
        <f>IF('31'!F33="","",TRIM('31'!F33&amp;""))</f>
        <v/>
      </c>
      <c r="F2482" s="63">
        <f>IF('31'!G33="","",'31'!G33)</f>
        <v/>
      </c>
      <c r="G2482" s="63">
        <f>'31'!H33&amp;""</f>
        <v/>
      </c>
      <c r="H2482" s="63">
        <f>IF(OR(A2482="",F2482=""),"",F2482&amp;"|"&amp;A2482)</f>
        <v/>
      </c>
      <c r="I2482" s="63">
        <f>IF(AND(H2482&lt;&gt;"",OR('Historia wózka'!$B$4="",F2482='Historia wózka'!$B$4),A2482&gt;='Historia wózka'!$B$5,A2482&lt;='Historia wózka'!$B$6),A2482+0.8+(5000-ROW())/10000000,0)</f>
        <v/>
      </c>
      <c r="J2482" s="63">
        <f>Ustawienia!$B$9&amp;""</f>
        <v/>
      </c>
      <c r="K2482" s="63">
        <f>IF(H2482="","",COUNTIFS('Zgłoszenia'!$B$5:$B$504,F2482,'Zgłoszenia'!$D$5:$D$504,"&gt;="&amp;A2482,'Zgłoszenia'!$D$5:$D$504,"&lt;="&amp;(A2482+1)))</f>
        <v/>
      </c>
      <c r="L2482" s="63">
        <f>IF(OR(H2482="",K2482=0),"—",IF(ISNUMBER(MATCH(H2482,'Zgłoszenia'!$S$5:$S$504,0)),RIGHT("0"&amp;DAY(A2482),2)&amp;"."&amp;RIGHT("0"&amp;MONTH(A2482),2)&amp;"."&amp;YEAR(A2482)&amp;": "&amp;INDEX('Zgłoszenia'!$H$5:$H$504,MATCH(H2482,'Zgłoszenia'!$S$5:$S$504,0)),RIGHT("0"&amp;DAY((A2482+1)),2)&amp;"."&amp;RIGHT("0"&amp;MONTH((A2482+1)),2)&amp;"."&amp;YEAR((A2482+1))&amp;": "&amp;INDEX('Zgłoszenia'!$H$5:$H$504,MATCH(F2482&amp;"|"&amp;(A2482+1),'Zgłoszenia'!$S$5:$S$504,0)))&amp;IF(K2482&gt;1," (+"&amp;(K2482-1)&amp;")",""))</f>
        <v/>
      </c>
      <c r="M2482" s="63" t="n">
        <v>31</v>
      </c>
      <c r="N2482" s="2" t="n"/>
      <c r="O2482" s="2" t="n"/>
    </row>
    <row r="2483">
      <c r="A2483" s="62">
        <f>IF('31'!$C$1="","",'31'!$C$1)</f>
        <v/>
      </c>
      <c r="B2483" s="63">
        <f>Ustawienia!$A$9&amp;""</f>
        <v/>
      </c>
      <c r="C2483" s="63">
        <f>Ustawienia!$A$18&amp;""</f>
        <v/>
      </c>
      <c r="D2483" s="63" t="n">
        <v>3</v>
      </c>
      <c r="E2483" s="63">
        <f>IF('31'!F34="","",TRIM('31'!F34&amp;""))</f>
        <v/>
      </c>
      <c r="F2483" s="63">
        <f>IF('31'!G34="","",'31'!G34)</f>
        <v/>
      </c>
      <c r="G2483" s="63">
        <f>'31'!H34&amp;""</f>
        <v/>
      </c>
      <c r="H2483" s="63">
        <f>IF(OR(A2483="",F2483=""),"",F2483&amp;"|"&amp;A2483)</f>
        <v/>
      </c>
      <c r="I2483" s="63">
        <f>IF(AND(H2483&lt;&gt;"",OR('Historia wózka'!$B$4="",F2483='Historia wózka'!$B$4),A2483&gt;='Historia wózka'!$B$5,A2483&lt;='Historia wózka'!$B$6),A2483+0.8+(5000-ROW())/10000000,0)</f>
        <v/>
      </c>
      <c r="J2483" s="63">
        <f>Ustawienia!$B$9&amp;""</f>
        <v/>
      </c>
      <c r="K2483" s="63">
        <f>IF(H2483="","",COUNTIFS('Zgłoszenia'!$B$5:$B$504,F2483,'Zgłoszenia'!$D$5:$D$504,"&gt;="&amp;A2483,'Zgłoszenia'!$D$5:$D$504,"&lt;="&amp;(A2483+1)))</f>
        <v/>
      </c>
      <c r="L2483" s="63">
        <f>IF(OR(H2483="",K2483=0),"—",IF(ISNUMBER(MATCH(H2483,'Zgłoszenia'!$S$5:$S$504,0)),RIGHT("0"&amp;DAY(A2483),2)&amp;"."&amp;RIGHT("0"&amp;MONTH(A2483),2)&amp;"."&amp;YEAR(A2483)&amp;": "&amp;INDEX('Zgłoszenia'!$H$5:$H$504,MATCH(H2483,'Zgłoszenia'!$S$5:$S$504,0)),RIGHT("0"&amp;DAY((A2483+1)),2)&amp;"."&amp;RIGHT("0"&amp;MONTH((A2483+1)),2)&amp;"."&amp;YEAR((A2483+1))&amp;": "&amp;INDEX('Zgłoszenia'!$H$5:$H$504,MATCH(F2483&amp;"|"&amp;(A2483+1),'Zgłoszenia'!$S$5:$S$504,0)))&amp;IF(K2483&gt;1," (+"&amp;(K2483-1)&amp;")",""))</f>
        <v/>
      </c>
      <c r="M2483" s="63" t="n">
        <v>31</v>
      </c>
      <c r="N2483" s="2" t="n"/>
      <c r="O2483" s="2" t="n"/>
    </row>
    <row r="2484">
      <c r="A2484" s="62">
        <f>IF('31'!$C$1="","",'31'!$C$1)</f>
        <v/>
      </c>
      <c r="B2484" s="63">
        <f>Ustawienia!$A$9&amp;""</f>
        <v/>
      </c>
      <c r="C2484" s="63">
        <f>Ustawienia!$A$18&amp;""</f>
        <v/>
      </c>
      <c r="D2484" s="63" t="n">
        <v>4</v>
      </c>
      <c r="E2484" s="63">
        <f>IF('31'!F35="","",TRIM('31'!F35&amp;""))</f>
        <v/>
      </c>
      <c r="F2484" s="63">
        <f>IF('31'!G35="","",'31'!G35)</f>
        <v/>
      </c>
      <c r="G2484" s="63">
        <f>'31'!H35&amp;""</f>
        <v/>
      </c>
      <c r="H2484" s="63">
        <f>IF(OR(A2484="",F2484=""),"",F2484&amp;"|"&amp;A2484)</f>
        <v/>
      </c>
      <c r="I2484" s="63">
        <f>IF(AND(H2484&lt;&gt;"",OR('Historia wózka'!$B$4="",F2484='Historia wózka'!$B$4),A2484&gt;='Historia wózka'!$B$5,A2484&lt;='Historia wózka'!$B$6),A2484+0.8+(5000-ROW())/10000000,0)</f>
        <v/>
      </c>
      <c r="J2484" s="63">
        <f>Ustawienia!$B$9&amp;""</f>
        <v/>
      </c>
      <c r="K2484" s="63">
        <f>IF(H2484="","",COUNTIFS('Zgłoszenia'!$B$5:$B$504,F2484,'Zgłoszenia'!$D$5:$D$504,"&gt;="&amp;A2484,'Zgłoszenia'!$D$5:$D$504,"&lt;="&amp;(A2484+1)))</f>
        <v/>
      </c>
      <c r="L2484" s="63">
        <f>IF(OR(H2484="",K2484=0),"—",IF(ISNUMBER(MATCH(H2484,'Zgłoszenia'!$S$5:$S$504,0)),RIGHT("0"&amp;DAY(A2484),2)&amp;"."&amp;RIGHT("0"&amp;MONTH(A2484),2)&amp;"."&amp;YEAR(A2484)&amp;": "&amp;INDEX('Zgłoszenia'!$H$5:$H$504,MATCH(H2484,'Zgłoszenia'!$S$5:$S$504,0)),RIGHT("0"&amp;DAY((A2484+1)),2)&amp;"."&amp;RIGHT("0"&amp;MONTH((A2484+1)),2)&amp;"."&amp;YEAR((A2484+1))&amp;": "&amp;INDEX('Zgłoszenia'!$H$5:$H$504,MATCH(F2484&amp;"|"&amp;(A2484+1),'Zgłoszenia'!$S$5:$S$504,0)))&amp;IF(K2484&gt;1," (+"&amp;(K2484-1)&amp;")",""))</f>
        <v/>
      </c>
      <c r="M2484" s="63" t="n">
        <v>31</v>
      </c>
      <c r="N2484" s="2" t="n"/>
      <c r="O2484" s="2" t="n"/>
    </row>
    <row r="2485">
      <c r="A2485" s="62">
        <f>IF('31'!$C$1="","",'31'!$C$1)</f>
        <v/>
      </c>
      <c r="B2485" s="63">
        <f>Ustawienia!$A$9&amp;""</f>
        <v/>
      </c>
      <c r="C2485" s="63">
        <f>Ustawienia!$A$18&amp;""</f>
        <v/>
      </c>
      <c r="D2485" s="63" t="n">
        <v>5</v>
      </c>
      <c r="E2485" s="63">
        <f>IF('31'!F36="","",TRIM('31'!F36&amp;""))</f>
        <v/>
      </c>
      <c r="F2485" s="63">
        <f>IF('31'!G36="","",'31'!G36)</f>
        <v/>
      </c>
      <c r="G2485" s="63">
        <f>'31'!H36&amp;""</f>
        <v/>
      </c>
      <c r="H2485" s="63">
        <f>IF(OR(A2485="",F2485=""),"",F2485&amp;"|"&amp;A2485)</f>
        <v/>
      </c>
      <c r="I2485" s="63">
        <f>IF(AND(H2485&lt;&gt;"",OR('Historia wózka'!$B$4="",F2485='Historia wózka'!$B$4),A2485&gt;='Historia wózka'!$B$5,A2485&lt;='Historia wózka'!$B$6),A2485+0.8+(5000-ROW())/10000000,0)</f>
        <v/>
      </c>
      <c r="J2485" s="63">
        <f>Ustawienia!$B$9&amp;""</f>
        <v/>
      </c>
      <c r="K2485" s="63">
        <f>IF(H2485="","",COUNTIFS('Zgłoszenia'!$B$5:$B$504,F2485,'Zgłoszenia'!$D$5:$D$504,"&gt;="&amp;A2485,'Zgłoszenia'!$D$5:$D$504,"&lt;="&amp;(A2485+1)))</f>
        <v/>
      </c>
      <c r="L2485" s="63">
        <f>IF(OR(H2485="",K2485=0),"—",IF(ISNUMBER(MATCH(H2485,'Zgłoszenia'!$S$5:$S$504,0)),RIGHT("0"&amp;DAY(A2485),2)&amp;"."&amp;RIGHT("0"&amp;MONTH(A2485),2)&amp;"."&amp;YEAR(A2485)&amp;": "&amp;INDEX('Zgłoszenia'!$H$5:$H$504,MATCH(H2485,'Zgłoszenia'!$S$5:$S$504,0)),RIGHT("0"&amp;DAY((A2485+1)),2)&amp;"."&amp;RIGHT("0"&amp;MONTH((A2485+1)),2)&amp;"."&amp;YEAR((A2485+1))&amp;": "&amp;INDEX('Zgłoszenia'!$H$5:$H$504,MATCH(F2485&amp;"|"&amp;(A2485+1),'Zgłoszenia'!$S$5:$S$504,0)))&amp;IF(K2485&gt;1," (+"&amp;(K2485-1)&amp;")",""))</f>
        <v/>
      </c>
      <c r="M2485" s="63" t="n">
        <v>31</v>
      </c>
      <c r="N2485" s="2" t="n"/>
      <c r="O2485" s="2" t="n"/>
    </row>
    <row r="2486">
      <c r="A2486" s="62">
        <f>IF('31'!$C$1="","",'31'!$C$1)</f>
        <v/>
      </c>
      <c r="B2486" s="63">
        <f>Ustawienia!$A$10&amp;""</f>
        <v/>
      </c>
      <c r="C2486" s="63">
        <f>Ustawienia!$A$14&amp;""</f>
        <v/>
      </c>
      <c r="D2486" s="63" t="n">
        <v>1</v>
      </c>
      <c r="E2486" s="63">
        <f>IF('31'!J6="","",TRIM('31'!J6&amp;""))</f>
        <v/>
      </c>
      <c r="F2486" s="63">
        <f>IF('31'!K6="","",'31'!K6)</f>
        <v/>
      </c>
      <c r="G2486" s="63">
        <f>'31'!L6&amp;""</f>
        <v/>
      </c>
      <c r="H2486" s="63">
        <f>IF(OR(A2486="",F2486=""),"",F2486&amp;"|"&amp;A2486)</f>
        <v/>
      </c>
      <c r="I2486" s="63">
        <f>IF(AND(H2486&lt;&gt;"",OR('Historia wózka'!$B$4="",F2486='Historia wózka'!$B$4),A2486&gt;='Historia wózka'!$B$5,A2486&lt;='Historia wózka'!$B$6),A2486+0.7+(5000-ROW())/10000000,0)</f>
        <v/>
      </c>
      <c r="J2486" s="63">
        <f>Ustawienia!$B$10&amp;""</f>
        <v/>
      </c>
      <c r="K2486" s="63">
        <f>IF(H2486="","",COUNTIFS('Zgłoszenia'!$B$5:$B$504,F2486,'Zgłoszenia'!$D$5:$D$504,"&gt;="&amp;A2486,'Zgłoszenia'!$D$5:$D$504,"&lt;="&amp;(A2486+1)))</f>
        <v/>
      </c>
      <c r="L2486" s="63">
        <f>IF(OR(H2486="",K2486=0),"—",IF(ISNUMBER(MATCH(H2486,'Zgłoszenia'!$S$5:$S$504,0)),RIGHT("0"&amp;DAY(A2486),2)&amp;"."&amp;RIGHT("0"&amp;MONTH(A2486),2)&amp;"."&amp;YEAR(A2486)&amp;": "&amp;INDEX('Zgłoszenia'!$H$5:$H$504,MATCH(H2486,'Zgłoszenia'!$S$5:$S$504,0)),RIGHT("0"&amp;DAY((A2486+1)),2)&amp;"."&amp;RIGHT("0"&amp;MONTH((A2486+1)),2)&amp;"."&amp;YEAR((A2486+1))&amp;": "&amp;INDEX('Zgłoszenia'!$H$5:$H$504,MATCH(F2486&amp;"|"&amp;(A2486+1),'Zgłoszenia'!$S$5:$S$504,0)))&amp;IF(K2486&gt;1," (+"&amp;(K2486-1)&amp;")",""))</f>
        <v/>
      </c>
      <c r="M2486" s="63" t="n">
        <v>31</v>
      </c>
      <c r="N2486" s="2" t="n"/>
      <c r="O2486" s="2" t="n"/>
    </row>
    <row r="2487">
      <c r="A2487" s="62">
        <f>IF('31'!$C$1="","",'31'!$C$1)</f>
        <v/>
      </c>
      <c r="B2487" s="63">
        <f>Ustawienia!$A$10&amp;""</f>
        <v/>
      </c>
      <c r="C2487" s="63">
        <f>Ustawienia!$A$14&amp;""</f>
        <v/>
      </c>
      <c r="D2487" s="63" t="n">
        <v>2</v>
      </c>
      <c r="E2487" s="63">
        <f>IF('31'!J7="","",TRIM('31'!J7&amp;""))</f>
        <v/>
      </c>
      <c r="F2487" s="63">
        <f>IF('31'!K7="","",'31'!K7)</f>
        <v/>
      </c>
      <c r="G2487" s="63">
        <f>'31'!L7&amp;""</f>
        <v/>
      </c>
      <c r="H2487" s="63">
        <f>IF(OR(A2487="",F2487=""),"",F2487&amp;"|"&amp;A2487)</f>
        <v/>
      </c>
      <c r="I2487" s="63">
        <f>IF(AND(H2487&lt;&gt;"",OR('Historia wózka'!$B$4="",F2487='Historia wózka'!$B$4),A2487&gt;='Historia wózka'!$B$5,A2487&lt;='Historia wózka'!$B$6),A2487+0.7+(5000-ROW())/10000000,0)</f>
        <v/>
      </c>
      <c r="J2487" s="63">
        <f>Ustawienia!$B$10&amp;""</f>
        <v/>
      </c>
      <c r="K2487" s="63">
        <f>IF(H2487="","",COUNTIFS('Zgłoszenia'!$B$5:$B$504,F2487,'Zgłoszenia'!$D$5:$D$504,"&gt;="&amp;A2487,'Zgłoszenia'!$D$5:$D$504,"&lt;="&amp;(A2487+1)))</f>
        <v/>
      </c>
      <c r="L2487" s="63">
        <f>IF(OR(H2487="",K2487=0),"—",IF(ISNUMBER(MATCH(H2487,'Zgłoszenia'!$S$5:$S$504,0)),RIGHT("0"&amp;DAY(A2487),2)&amp;"."&amp;RIGHT("0"&amp;MONTH(A2487),2)&amp;"."&amp;YEAR(A2487)&amp;": "&amp;INDEX('Zgłoszenia'!$H$5:$H$504,MATCH(H2487,'Zgłoszenia'!$S$5:$S$504,0)),RIGHT("0"&amp;DAY((A2487+1)),2)&amp;"."&amp;RIGHT("0"&amp;MONTH((A2487+1)),2)&amp;"."&amp;YEAR((A2487+1))&amp;": "&amp;INDEX('Zgłoszenia'!$H$5:$H$504,MATCH(F2487&amp;"|"&amp;(A2487+1),'Zgłoszenia'!$S$5:$S$504,0)))&amp;IF(K2487&gt;1," (+"&amp;(K2487-1)&amp;")",""))</f>
        <v/>
      </c>
      <c r="M2487" s="63" t="n">
        <v>31</v>
      </c>
      <c r="N2487" s="2" t="n"/>
      <c r="O2487" s="2" t="n"/>
    </row>
    <row r="2488">
      <c r="A2488" s="62">
        <f>IF('31'!$C$1="","",'31'!$C$1)</f>
        <v/>
      </c>
      <c r="B2488" s="63">
        <f>Ustawienia!$A$10&amp;""</f>
        <v/>
      </c>
      <c r="C2488" s="63">
        <f>Ustawienia!$A$14&amp;""</f>
        <v/>
      </c>
      <c r="D2488" s="63" t="n">
        <v>3</v>
      </c>
      <c r="E2488" s="63">
        <f>IF('31'!J8="","",TRIM('31'!J8&amp;""))</f>
        <v/>
      </c>
      <c r="F2488" s="63">
        <f>IF('31'!K8="","",'31'!K8)</f>
        <v/>
      </c>
      <c r="G2488" s="63">
        <f>'31'!L8&amp;""</f>
        <v/>
      </c>
      <c r="H2488" s="63">
        <f>IF(OR(A2488="",F2488=""),"",F2488&amp;"|"&amp;A2488)</f>
        <v/>
      </c>
      <c r="I2488" s="63">
        <f>IF(AND(H2488&lt;&gt;"",OR('Historia wózka'!$B$4="",F2488='Historia wózka'!$B$4),A2488&gt;='Historia wózka'!$B$5,A2488&lt;='Historia wózka'!$B$6),A2488+0.7+(5000-ROW())/10000000,0)</f>
        <v/>
      </c>
      <c r="J2488" s="63">
        <f>Ustawienia!$B$10&amp;""</f>
        <v/>
      </c>
      <c r="K2488" s="63">
        <f>IF(H2488="","",COUNTIFS('Zgłoszenia'!$B$5:$B$504,F2488,'Zgłoszenia'!$D$5:$D$504,"&gt;="&amp;A2488,'Zgłoszenia'!$D$5:$D$504,"&lt;="&amp;(A2488+1)))</f>
        <v/>
      </c>
      <c r="L2488" s="63">
        <f>IF(OR(H2488="",K2488=0),"—",IF(ISNUMBER(MATCH(H2488,'Zgłoszenia'!$S$5:$S$504,0)),RIGHT("0"&amp;DAY(A2488),2)&amp;"."&amp;RIGHT("0"&amp;MONTH(A2488),2)&amp;"."&amp;YEAR(A2488)&amp;": "&amp;INDEX('Zgłoszenia'!$H$5:$H$504,MATCH(H2488,'Zgłoszenia'!$S$5:$S$504,0)),RIGHT("0"&amp;DAY((A2488+1)),2)&amp;"."&amp;RIGHT("0"&amp;MONTH((A2488+1)),2)&amp;"."&amp;YEAR((A2488+1))&amp;": "&amp;INDEX('Zgłoszenia'!$H$5:$H$504,MATCH(F2488&amp;"|"&amp;(A2488+1),'Zgłoszenia'!$S$5:$S$504,0)))&amp;IF(K2488&gt;1," (+"&amp;(K2488-1)&amp;")",""))</f>
        <v/>
      </c>
      <c r="M2488" s="63" t="n">
        <v>31</v>
      </c>
      <c r="N2488" s="2" t="n"/>
      <c r="O2488" s="2" t="n"/>
    </row>
    <row r="2489">
      <c r="A2489" s="62">
        <f>IF('31'!$C$1="","",'31'!$C$1)</f>
        <v/>
      </c>
      <c r="B2489" s="63">
        <f>Ustawienia!$A$10&amp;""</f>
        <v/>
      </c>
      <c r="C2489" s="63">
        <f>Ustawienia!$A$14&amp;""</f>
        <v/>
      </c>
      <c r="D2489" s="63" t="n">
        <v>4</v>
      </c>
      <c r="E2489" s="63">
        <f>IF('31'!J9="","",TRIM('31'!J9&amp;""))</f>
        <v/>
      </c>
      <c r="F2489" s="63">
        <f>IF('31'!K9="","",'31'!K9)</f>
        <v/>
      </c>
      <c r="G2489" s="63">
        <f>'31'!L9&amp;""</f>
        <v/>
      </c>
      <c r="H2489" s="63">
        <f>IF(OR(A2489="",F2489=""),"",F2489&amp;"|"&amp;A2489)</f>
        <v/>
      </c>
      <c r="I2489" s="63">
        <f>IF(AND(H2489&lt;&gt;"",OR('Historia wózka'!$B$4="",F2489='Historia wózka'!$B$4),A2489&gt;='Historia wózka'!$B$5,A2489&lt;='Historia wózka'!$B$6),A2489+0.7+(5000-ROW())/10000000,0)</f>
        <v/>
      </c>
      <c r="J2489" s="63">
        <f>Ustawienia!$B$10&amp;""</f>
        <v/>
      </c>
      <c r="K2489" s="63">
        <f>IF(H2489="","",COUNTIFS('Zgłoszenia'!$B$5:$B$504,F2489,'Zgłoszenia'!$D$5:$D$504,"&gt;="&amp;A2489,'Zgłoszenia'!$D$5:$D$504,"&lt;="&amp;(A2489+1)))</f>
        <v/>
      </c>
      <c r="L2489" s="63">
        <f>IF(OR(H2489="",K2489=0),"—",IF(ISNUMBER(MATCH(H2489,'Zgłoszenia'!$S$5:$S$504,0)),RIGHT("0"&amp;DAY(A2489),2)&amp;"."&amp;RIGHT("0"&amp;MONTH(A2489),2)&amp;"."&amp;YEAR(A2489)&amp;": "&amp;INDEX('Zgłoszenia'!$H$5:$H$504,MATCH(H2489,'Zgłoszenia'!$S$5:$S$504,0)),RIGHT("0"&amp;DAY((A2489+1)),2)&amp;"."&amp;RIGHT("0"&amp;MONTH((A2489+1)),2)&amp;"."&amp;YEAR((A2489+1))&amp;": "&amp;INDEX('Zgłoszenia'!$H$5:$H$504,MATCH(F2489&amp;"|"&amp;(A2489+1),'Zgłoszenia'!$S$5:$S$504,0)))&amp;IF(K2489&gt;1," (+"&amp;(K2489-1)&amp;")",""))</f>
        <v/>
      </c>
      <c r="M2489" s="63" t="n">
        <v>31</v>
      </c>
      <c r="N2489" s="2" t="n"/>
      <c r="O2489" s="2" t="n"/>
    </row>
    <row r="2490">
      <c r="A2490" s="62">
        <f>IF('31'!$C$1="","",'31'!$C$1)</f>
        <v/>
      </c>
      <c r="B2490" s="63">
        <f>Ustawienia!$A$10&amp;""</f>
        <v/>
      </c>
      <c r="C2490" s="63">
        <f>Ustawienia!$A$14&amp;""</f>
        <v/>
      </c>
      <c r="D2490" s="63" t="n">
        <v>5</v>
      </c>
      <c r="E2490" s="63">
        <f>IF('31'!J10="","",TRIM('31'!J10&amp;""))</f>
        <v/>
      </c>
      <c r="F2490" s="63">
        <f>IF('31'!K10="","",'31'!K10)</f>
        <v/>
      </c>
      <c r="G2490" s="63">
        <f>'31'!L10&amp;""</f>
        <v/>
      </c>
      <c r="H2490" s="63">
        <f>IF(OR(A2490="",F2490=""),"",F2490&amp;"|"&amp;A2490)</f>
        <v/>
      </c>
      <c r="I2490" s="63">
        <f>IF(AND(H2490&lt;&gt;"",OR('Historia wózka'!$B$4="",F2490='Historia wózka'!$B$4),A2490&gt;='Historia wózka'!$B$5,A2490&lt;='Historia wózka'!$B$6),A2490+0.7+(5000-ROW())/10000000,0)</f>
        <v/>
      </c>
      <c r="J2490" s="63">
        <f>Ustawienia!$B$10&amp;""</f>
        <v/>
      </c>
      <c r="K2490" s="63">
        <f>IF(H2490="","",COUNTIFS('Zgłoszenia'!$B$5:$B$504,F2490,'Zgłoszenia'!$D$5:$D$504,"&gt;="&amp;A2490,'Zgłoszenia'!$D$5:$D$504,"&lt;="&amp;(A2490+1)))</f>
        <v/>
      </c>
      <c r="L2490" s="63">
        <f>IF(OR(H2490="",K2490=0),"—",IF(ISNUMBER(MATCH(H2490,'Zgłoszenia'!$S$5:$S$504,0)),RIGHT("0"&amp;DAY(A2490),2)&amp;"."&amp;RIGHT("0"&amp;MONTH(A2490),2)&amp;"."&amp;YEAR(A2490)&amp;": "&amp;INDEX('Zgłoszenia'!$H$5:$H$504,MATCH(H2490,'Zgłoszenia'!$S$5:$S$504,0)),RIGHT("0"&amp;DAY((A2490+1)),2)&amp;"."&amp;RIGHT("0"&amp;MONTH((A2490+1)),2)&amp;"."&amp;YEAR((A2490+1))&amp;": "&amp;INDEX('Zgłoszenia'!$H$5:$H$504,MATCH(F2490&amp;"|"&amp;(A2490+1),'Zgłoszenia'!$S$5:$S$504,0)))&amp;IF(K2490&gt;1," (+"&amp;(K2490-1)&amp;")",""))</f>
        <v/>
      </c>
      <c r="M2490" s="63" t="n">
        <v>31</v>
      </c>
      <c r="N2490" s="2" t="n"/>
      <c r="O2490" s="2" t="n"/>
    </row>
    <row r="2491">
      <c r="A2491" s="62">
        <f>IF('31'!$C$1="","",'31'!$C$1)</f>
        <v/>
      </c>
      <c r="B2491" s="63">
        <f>Ustawienia!$A$10&amp;""</f>
        <v/>
      </c>
      <c r="C2491" s="63">
        <f>Ustawienia!$A$14&amp;""</f>
        <v/>
      </c>
      <c r="D2491" s="63" t="n">
        <v>6</v>
      </c>
      <c r="E2491" s="63">
        <f>IF('31'!J11="","",TRIM('31'!J11&amp;""))</f>
        <v/>
      </c>
      <c r="F2491" s="63">
        <f>IF('31'!K11="","",'31'!K11)</f>
        <v/>
      </c>
      <c r="G2491" s="63">
        <f>'31'!L11&amp;""</f>
        <v/>
      </c>
      <c r="H2491" s="63">
        <f>IF(OR(A2491="",F2491=""),"",F2491&amp;"|"&amp;A2491)</f>
        <v/>
      </c>
      <c r="I2491" s="63">
        <f>IF(AND(H2491&lt;&gt;"",OR('Historia wózka'!$B$4="",F2491='Historia wózka'!$B$4),A2491&gt;='Historia wózka'!$B$5,A2491&lt;='Historia wózka'!$B$6),A2491+0.7+(5000-ROW())/10000000,0)</f>
        <v/>
      </c>
      <c r="J2491" s="63">
        <f>Ustawienia!$B$10&amp;""</f>
        <v/>
      </c>
      <c r="K2491" s="63">
        <f>IF(H2491="","",COUNTIFS('Zgłoszenia'!$B$5:$B$504,F2491,'Zgłoszenia'!$D$5:$D$504,"&gt;="&amp;A2491,'Zgłoszenia'!$D$5:$D$504,"&lt;="&amp;(A2491+1)))</f>
        <v/>
      </c>
      <c r="L2491" s="63">
        <f>IF(OR(H2491="",K2491=0),"—",IF(ISNUMBER(MATCH(H2491,'Zgłoszenia'!$S$5:$S$504,0)),RIGHT("0"&amp;DAY(A2491),2)&amp;"."&amp;RIGHT("0"&amp;MONTH(A2491),2)&amp;"."&amp;YEAR(A2491)&amp;": "&amp;INDEX('Zgłoszenia'!$H$5:$H$504,MATCH(H2491,'Zgłoszenia'!$S$5:$S$504,0)),RIGHT("0"&amp;DAY((A2491+1)),2)&amp;"."&amp;RIGHT("0"&amp;MONTH((A2491+1)),2)&amp;"."&amp;YEAR((A2491+1))&amp;": "&amp;INDEX('Zgłoszenia'!$H$5:$H$504,MATCH(F2491&amp;"|"&amp;(A2491+1),'Zgłoszenia'!$S$5:$S$504,0)))&amp;IF(K2491&gt;1," (+"&amp;(K2491-1)&amp;")",""))</f>
        <v/>
      </c>
      <c r="M2491" s="63" t="n">
        <v>31</v>
      </c>
      <c r="N2491" s="2" t="n"/>
      <c r="O2491" s="2" t="n"/>
    </row>
    <row r="2492">
      <c r="A2492" s="62">
        <f>IF('31'!$C$1="","",'31'!$C$1)</f>
        <v/>
      </c>
      <c r="B2492" s="63">
        <f>Ustawienia!$A$10&amp;""</f>
        <v/>
      </c>
      <c r="C2492" s="63">
        <f>Ustawienia!$A$15&amp;""</f>
        <v/>
      </c>
      <c r="D2492" s="63" t="n">
        <v>1</v>
      </c>
      <c r="E2492" s="63">
        <f>IF('31'!J13="","",TRIM('31'!J13&amp;""))</f>
        <v/>
      </c>
      <c r="F2492" s="63">
        <f>IF('31'!K13="","",'31'!K13)</f>
        <v/>
      </c>
      <c r="G2492" s="63">
        <f>'31'!L13&amp;""</f>
        <v/>
      </c>
      <c r="H2492" s="63">
        <f>IF(OR(A2492="",F2492=""),"",F2492&amp;"|"&amp;A2492)</f>
        <v/>
      </c>
      <c r="I2492" s="63">
        <f>IF(AND(H2492&lt;&gt;"",OR('Historia wózka'!$B$4="",F2492='Historia wózka'!$B$4),A2492&gt;='Historia wózka'!$B$5,A2492&lt;='Historia wózka'!$B$6),A2492+0.7+(5000-ROW())/10000000,0)</f>
        <v/>
      </c>
      <c r="J2492" s="63">
        <f>Ustawienia!$B$10&amp;""</f>
        <v/>
      </c>
      <c r="K2492" s="63">
        <f>IF(H2492="","",COUNTIFS('Zgłoszenia'!$B$5:$B$504,F2492,'Zgłoszenia'!$D$5:$D$504,"&gt;="&amp;A2492,'Zgłoszenia'!$D$5:$D$504,"&lt;="&amp;(A2492+1)))</f>
        <v/>
      </c>
      <c r="L2492" s="63">
        <f>IF(OR(H2492="",K2492=0),"—",IF(ISNUMBER(MATCH(H2492,'Zgłoszenia'!$S$5:$S$504,0)),RIGHT("0"&amp;DAY(A2492),2)&amp;"."&amp;RIGHT("0"&amp;MONTH(A2492),2)&amp;"."&amp;YEAR(A2492)&amp;": "&amp;INDEX('Zgłoszenia'!$H$5:$H$504,MATCH(H2492,'Zgłoszenia'!$S$5:$S$504,0)),RIGHT("0"&amp;DAY((A2492+1)),2)&amp;"."&amp;RIGHT("0"&amp;MONTH((A2492+1)),2)&amp;"."&amp;YEAR((A2492+1))&amp;": "&amp;INDEX('Zgłoszenia'!$H$5:$H$504,MATCH(F2492&amp;"|"&amp;(A2492+1),'Zgłoszenia'!$S$5:$S$504,0)))&amp;IF(K2492&gt;1," (+"&amp;(K2492-1)&amp;")",""))</f>
        <v/>
      </c>
      <c r="M2492" s="63" t="n">
        <v>31</v>
      </c>
      <c r="N2492" s="2" t="n"/>
      <c r="O2492" s="2" t="n"/>
    </row>
    <row r="2493">
      <c r="A2493" s="62">
        <f>IF('31'!$C$1="","",'31'!$C$1)</f>
        <v/>
      </c>
      <c r="B2493" s="63">
        <f>Ustawienia!$A$10&amp;""</f>
        <v/>
      </c>
      <c r="C2493" s="63">
        <f>Ustawienia!$A$15&amp;""</f>
        <v/>
      </c>
      <c r="D2493" s="63" t="n">
        <v>2</v>
      </c>
      <c r="E2493" s="63">
        <f>IF('31'!J14="","",TRIM('31'!J14&amp;""))</f>
        <v/>
      </c>
      <c r="F2493" s="63">
        <f>IF('31'!K14="","",'31'!K14)</f>
        <v/>
      </c>
      <c r="G2493" s="63">
        <f>'31'!L14&amp;""</f>
        <v/>
      </c>
      <c r="H2493" s="63">
        <f>IF(OR(A2493="",F2493=""),"",F2493&amp;"|"&amp;A2493)</f>
        <v/>
      </c>
      <c r="I2493" s="63">
        <f>IF(AND(H2493&lt;&gt;"",OR('Historia wózka'!$B$4="",F2493='Historia wózka'!$B$4),A2493&gt;='Historia wózka'!$B$5,A2493&lt;='Historia wózka'!$B$6),A2493+0.7+(5000-ROW())/10000000,0)</f>
        <v/>
      </c>
      <c r="J2493" s="63">
        <f>Ustawienia!$B$10&amp;""</f>
        <v/>
      </c>
      <c r="K2493" s="63">
        <f>IF(H2493="","",COUNTIFS('Zgłoszenia'!$B$5:$B$504,F2493,'Zgłoszenia'!$D$5:$D$504,"&gt;="&amp;A2493,'Zgłoszenia'!$D$5:$D$504,"&lt;="&amp;(A2493+1)))</f>
        <v/>
      </c>
      <c r="L2493" s="63">
        <f>IF(OR(H2493="",K2493=0),"—",IF(ISNUMBER(MATCH(H2493,'Zgłoszenia'!$S$5:$S$504,0)),RIGHT("0"&amp;DAY(A2493),2)&amp;"."&amp;RIGHT("0"&amp;MONTH(A2493),2)&amp;"."&amp;YEAR(A2493)&amp;": "&amp;INDEX('Zgłoszenia'!$H$5:$H$504,MATCH(H2493,'Zgłoszenia'!$S$5:$S$504,0)),RIGHT("0"&amp;DAY((A2493+1)),2)&amp;"."&amp;RIGHT("0"&amp;MONTH((A2493+1)),2)&amp;"."&amp;YEAR((A2493+1))&amp;": "&amp;INDEX('Zgłoszenia'!$H$5:$H$504,MATCH(F2493&amp;"|"&amp;(A2493+1),'Zgłoszenia'!$S$5:$S$504,0)))&amp;IF(K2493&gt;1," (+"&amp;(K2493-1)&amp;")",""))</f>
        <v/>
      </c>
      <c r="M2493" s="63" t="n">
        <v>31</v>
      </c>
      <c r="N2493" s="2" t="n"/>
      <c r="O2493" s="2" t="n"/>
    </row>
    <row r="2494">
      <c r="A2494" s="62">
        <f>IF('31'!$C$1="","",'31'!$C$1)</f>
        <v/>
      </c>
      <c r="B2494" s="63">
        <f>Ustawienia!$A$10&amp;""</f>
        <v/>
      </c>
      <c r="C2494" s="63">
        <f>Ustawienia!$A$15&amp;""</f>
        <v/>
      </c>
      <c r="D2494" s="63" t="n">
        <v>3</v>
      </c>
      <c r="E2494" s="63">
        <f>IF('31'!J15="","",TRIM('31'!J15&amp;""))</f>
        <v/>
      </c>
      <c r="F2494" s="63">
        <f>IF('31'!K15="","",'31'!K15)</f>
        <v/>
      </c>
      <c r="G2494" s="63">
        <f>'31'!L15&amp;""</f>
        <v/>
      </c>
      <c r="H2494" s="63">
        <f>IF(OR(A2494="",F2494=""),"",F2494&amp;"|"&amp;A2494)</f>
        <v/>
      </c>
      <c r="I2494" s="63">
        <f>IF(AND(H2494&lt;&gt;"",OR('Historia wózka'!$B$4="",F2494='Historia wózka'!$B$4),A2494&gt;='Historia wózka'!$B$5,A2494&lt;='Historia wózka'!$B$6),A2494+0.7+(5000-ROW())/10000000,0)</f>
        <v/>
      </c>
      <c r="J2494" s="63">
        <f>Ustawienia!$B$10&amp;""</f>
        <v/>
      </c>
      <c r="K2494" s="63">
        <f>IF(H2494="","",COUNTIFS('Zgłoszenia'!$B$5:$B$504,F2494,'Zgłoszenia'!$D$5:$D$504,"&gt;="&amp;A2494,'Zgłoszenia'!$D$5:$D$504,"&lt;="&amp;(A2494+1)))</f>
        <v/>
      </c>
      <c r="L2494" s="63">
        <f>IF(OR(H2494="",K2494=0),"—",IF(ISNUMBER(MATCH(H2494,'Zgłoszenia'!$S$5:$S$504,0)),RIGHT("0"&amp;DAY(A2494),2)&amp;"."&amp;RIGHT("0"&amp;MONTH(A2494),2)&amp;"."&amp;YEAR(A2494)&amp;": "&amp;INDEX('Zgłoszenia'!$H$5:$H$504,MATCH(H2494,'Zgłoszenia'!$S$5:$S$504,0)),RIGHT("0"&amp;DAY((A2494+1)),2)&amp;"."&amp;RIGHT("0"&amp;MONTH((A2494+1)),2)&amp;"."&amp;YEAR((A2494+1))&amp;": "&amp;INDEX('Zgłoszenia'!$H$5:$H$504,MATCH(F2494&amp;"|"&amp;(A2494+1),'Zgłoszenia'!$S$5:$S$504,0)))&amp;IF(K2494&gt;1," (+"&amp;(K2494-1)&amp;")",""))</f>
        <v/>
      </c>
      <c r="M2494" s="63" t="n">
        <v>31</v>
      </c>
      <c r="N2494" s="2" t="n"/>
      <c r="O2494" s="2" t="n"/>
    </row>
    <row r="2495">
      <c r="A2495" s="62">
        <f>IF('31'!$C$1="","",'31'!$C$1)</f>
        <v/>
      </c>
      <c r="B2495" s="63">
        <f>Ustawienia!$A$10&amp;""</f>
        <v/>
      </c>
      <c r="C2495" s="63">
        <f>Ustawienia!$A$15&amp;""</f>
        <v/>
      </c>
      <c r="D2495" s="63" t="n">
        <v>4</v>
      </c>
      <c r="E2495" s="63">
        <f>IF('31'!J16="","",TRIM('31'!J16&amp;""))</f>
        <v/>
      </c>
      <c r="F2495" s="63">
        <f>IF('31'!K16="","",'31'!K16)</f>
        <v/>
      </c>
      <c r="G2495" s="63">
        <f>'31'!L16&amp;""</f>
        <v/>
      </c>
      <c r="H2495" s="63">
        <f>IF(OR(A2495="",F2495=""),"",F2495&amp;"|"&amp;A2495)</f>
        <v/>
      </c>
      <c r="I2495" s="63">
        <f>IF(AND(H2495&lt;&gt;"",OR('Historia wózka'!$B$4="",F2495='Historia wózka'!$B$4),A2495&gt;='Historia wózka'!$B$5,A2495&lt;='Historia wózka'!$B$6),A2495+0.7+(5000-ROW())/10000000,0)</f>
        <v/>
      </c>
      <c r="J2495" s="63">
        <f>Ustawienia!$B$10&amp;""</f>
        <v/>
      </c>
      <c r="K2495" s="63">
        <f>IF(H2495="","",COUNTIFS('Zgłoszenia'!$B$5:$B$504,F2495,'Zgłoszenia'!$D$5:$D$504,"&gt;="&amp;A2495,'Zgłoszenia'!$D$5:$D$504,"&lt;="&amp;(A2495+1)))</f>
        <v/>
      </c>
      <c r="L2495" s="63">
        <f>IF(OR(H2495="",K2495=0),"—",IF(ISNUMBER(MATCH(H2495,'Zgłoszenia'!$S$5:$S$504,0)),RIGHT("0"&amp;DAY(A2495),2)&amp;"."&amp;RIGHT("0"&amp;MONTH(A2495),2)&amp;"."&amp;YEAR(A2495)&amp;": "&amp;INDEX('Zgłoszenia'!$H$5:$H$504,MATCH(H2495,'Zgłoszenia'!$S$5:$S$504,0)),RIGHT("0"&amp;DAY((A2495+1)),2)&amp;"."&amp;RIGHT("0"&amp;MONTH((A2495+1)),2)&amp;"."&amp;YEAR((A2495+1))&amp;": "&amp;INDEX('Zgłoszenia'!$H$5:$H$504,MATCH(F2495&amp;"|"&amp;(A2495+1),'Zgłoszenia'!$S$5:$S$504,0)))&amp;IF(K2495&gt;1," (+"&amp;(K2495-1)&amp;")",""))</f>
        <v/>
      </c>
      <c r="M2495" s="63" t="n">
        <v>31</v>
      </c>
      <c r="N2495" s="2" t="n"/>
      <c r="O2495" s="2" t="n"/>
    </row>
    <row r="2496">
      <c r="A2496" s="62">
        <f>IF('31'!$C$1="","",'31'!$C$1)</f>
        <v/>
      </c>
      <c r="B2496" s="63">
        <f>Ustawienia!$A$10&amp;""</f>
        <v/>
      </c>
      <c r="C2496" s="63">
        <f>Ustawienia!$A$15&amp;""</f>
        <v/>
      </c>
      <c r="D2496" s="63" t="n">
        <v>5</v>
      </c>
      <c r="E2496" s="63">
        <f>IF('31'!J17="","",TRIM('31'!J17&amp;""))</f>
        <v/>
      </c>
      <c r="F2496" s="63">
        <f>IF('31'!K17="","",'31'!K17)</f>
        <v/>
      </c>
      <c r="G2496" s="63">
        <f>'31'!L17&amp;""</f>
        <v/>
      </c>
      <c r="H2496" s="63">
        <f>IF(OR(A2496="",F2496=""),"",F2496&amp;"|"&amp;A2496)</f>
        <v/>
      </c>
      <c r="I2496" s="63">
        <f>IF(AND(H2496&lt;&gt;"",OR('Historia wózka'!$B$4="",F2496='Historia wózka'!$B$4),A2496&gt;='Historia wózka'!$B$5,A2496&lt;='Historia wózka'!$B$6),A2496+0.7+(5000-ROW())/10000000,0)</f>
        <v/>
      </c>
      <c r="J2496" s="63">
        <f>Ustawienia!$B$10&amp;""</f>
        <v/>
      </c>
      <c r="K2496" s="63">
        <f>IF(H2496="","",COUNTIFS('Zgłoszenia'!$B$5:$B$504,F2496,'Zgłoszenia'!$D$5:$D$504,"&gt;="&amp;A2496,'Zgłoszenia'!$D$5:$D$504,"&lt;="&amp;(A2496+1)))</f>
        <v/>
      </c>
      <c r="L2496" s="63">
        <f>IF(OR(H2496="",K2496=0),"—",IF(ISNUMBER(MATCH(H2496,'Zgłoszenia'!$S$5:$S$504,0)),RIGHT("0"&amp;DAY(A2496),2)&amp;"."&amp;RIGHT("0"&amp;MONTH(A2496),2)&amp;"."&amp;YEAR(A2496)&amp;": "&amp;INDEX('Zgłoszenia'!$H$5:$H$504,MATCH(H2496,'Zgłoszenia'!$S$5:$S$504,0)),RIGHT("0"&amp;DAY((A2496+1)),2)&amp;"."&amp;RIGHT("0"&amp;MONTH((A2496+1)),2)&amp;"."&amp;YEAR((A2496+1))&amp;": "&amp;INDEX('Zgłoszenia'!$H$5:$H$504,MATCH(F2496&amp;"|"&amp;(A2496+1),'Zgłoszenia'!$S$5:$S$504,0)))&amp;IF(K2496&gt;1," (+"&amp;(K2496-1)&amp;")",""))</f>
        <v/>
      </c>
      <c r="M2496" s="63" t="n">
        <v>31</v>
      </c>
      <c r="N2496" s="2" t="n"/>
      <c r="O2496" s="2" t="n"/>
    </row>
    <row r="2497">
      <c r="A2497" s="62">
        <f>IF('31'!$C$1="","",'31'!$C$1)</f>
        <v/>
      </c>
      <c r="B2497" s="63">
        <f>Ustawienia!$A$10&amp;""</f>
        <v/>
      </c>
      <c r="C2497" s="63">
        <f>Ustawienia!$A$15&amp;""</f>
        <v/>
      </c>
      <c r="D2497" s="63" t="n">
        <v>6</v>
      </c>
      <c r="E2497" s="63">
        <f>IF('31'!J18="","",TRIM('31'!J18&amp;""))</f>
        <v/>
      </c>
      <c r="F2497" s="63">
        <f>IF('31'!K18="","",'31'!K18)</f>
        <v/>
      </c>
      <c r="G2497" s="63">
        <f>'31'!L18&amp;""</f>
        <v/>
      </c>
      <c r="H2497" s="63">
        <f>IF(OR(A2497="",F2497=""),"",F2497&amp;"|"&amp;A2497)</f>
        <v/>
      </c>
      <c r="I2497" s="63">
        <f>IF(AND(H2497&lt;&gt;"",OR('Historia wózka'!$B$4="",F2497='Historia wózka'!$B$4),A2497&gt;='Historia wózka'!$B$5,A2497&lt;='Historia wózka'!$B$6),A2497+0.7+(5000-ROW())/10000000,0)</f>
        <v/>
      </c>
      <c r="J2497" s="63">
        <f>Ustawienia!$B$10&amp;""</f>
        <v/>
      </c>
      <c r="K2497" s="63">
        <f>IF(H2497="","",COUNTIFS('Zgłoszenia'!$B$5:$B$504,F2497,'Zgłoszenia'!$D$5:$D$504,"&gt;="&amp;A2497,'Zgłoszenia'!$D$5:$D$504,"&lt;="&amp;(A2497+1)))</f>
        <v/>
      </c>
      <c r="L2497" s="63">
        <f>IF(OR(H2497="",K2497=0),"—",IF(ISNUMBER(MATCH(H2497,'Zgłoszenia'!$S$5:$S$504,0)),RIGHT("0"&amp;DAY(A2497),2)&amp;"."&amp;RIGHT("0"&amp;MONTH(A2497),2)&amp;"."&amp;YEAR(A2497)&amp;": "&amp;INDEX('Zgłoszenia'!$H$5:$H$504,MATCH(H2497,'Zgłoszenia'!$S$5:$S$504,0)),RIGHT("0"&amp;DAY((A2497+1)),2)&amp;"."&amp;RIGHT("0"&amp;MONTH((A2497+1)),2)&amp;"."&amp;YEAR((A2497+1))&amp;": "&amp;INDEX('Zgłoszenia'!$H$5:$H$504,MATCH(F2497&amp;"|"&amp;(A2497+1),'Zgłoszenia'!$S$5:$S$504,0)))&amp;IF(K2497&gt;1," (+"&amp;(K2497-1)&amp;")",""))</f>
        <v/>
      </c>
      <c r="M2497" s="63" t="n">
        <v>31</v>
      </c>
      <c r="N2497" s="2" t="n"/>
      <c r="O2497" s="2" t="n"/>
    </row>
    <row r="2498">
      <c r="A2498" s="62">
        <f>IF('31'!$C$1="","",'31'!$C$1)</f>
        <v/>
      </c>
      <c r="B2498" s="63">
        <f>Ustawienia!$A$10&amp;""</f>
        <v/>
      </c>
      <c r="C2498" s="63">
        <f>Ustawienia!$A$15&amp;""</f>
        <v/>
      </c>
      <c r="D2498" s="63" t="n">
        <v>7</v>
      </c>
      <c r="E2498" s="63">
        <f>IF('31'!J19="","",TRIM('31'!J19&amp;""))</f>
        <v/>
      </c>
      <c r="F2498" s="63">
        <f>IF('31'!K19="","",'31'!K19)</f>
        <v/>
      </c>
      <c r="G2498" s="63">
        <f>'31'!L19&amp;""</f>
        <v/>
      </c>
      <c r="H2498" s="63">
        <f>IF(OR(A2498="",F2498=""),"",F2498&amp;"|"&amp;A2498)</f>
        <v/>
      </c>
      <c r="I2498" s="63">
        <f>IF(AND(H2498&lt;&gt;"",OR('Historia wózka'!$B$4="",F2498='Historia wózka'!$B$4),A2498&gt;='Historia wózka'!$B$5,A2498&lt;='Historia wózka'!$B$6),A2498+0.7+(5000-ROW())/10000000,0)</f>
        <v/>
      </c>
      <c r="J2498" s="63">
        <f>Ustawienia!$B$10&amp;""</f>
        <v/>
      </c>
      <c r="K2498" s="63">
        <f>IF(H2498="","",COUNTIFS('Zgłoszenia'!$B$5:$B$504,F2498,'Zgłoszenia'!$D$5:$D$504,"&gt;="&amp;A2498,'Zgłoszenia'!$D$5:$D$504,"&lt;="&amp;(A2498+1)))</f>
        <v/>
      </c>
      <c r="L2498" s="63">
        <f>IF(OR(H2498="",K2498=0),"—",IF(ISNUMBER(MATCH(H2498,'Zgłoszenia'!$S$5:$S$504,0)),RIGHT("0"&amp;DAY(A2498),2)&amp;"."&amp;RIGHT("0"&amp;MONTH(A2498),2)&amp;"."&amp;YEAR(A2498)&amp;": "&amp;INDEX('Zgłoszenia'!$H$5:$H$504,MATCH(H2498,'Zgłoszenia'!$S$5:$S$504,0)),RIGHT("0"&amp;DAY((A2498+1)),2)&amp;"."&amp;RIGHT("0"&amp;MONTH((A2498+1)),2)&amp;"."&amp;YEAR((A2498+1))&amp;": "&amp;INDEX('Zgłoszenia'!$H$5:$H$504,MATCH(F2498&amp;"|"&amp;(A2498+1),'Zgłoszenia'!$S$5:$S$504,0)))&amp;IF(K2498&gt;1," (+"&amp;(K2498-1)&amp;")",""))</f>
        <v/>
      </c>
      <c r="M2498" s="63" t="n">
        <v>31</v>
      </c>
      <c r="N2498" s="2" t="n"/>
      <c r="O2498" s="2" t="n"/>
    </row>
    <row r="2499">
      <c r="A2499" s="62">
        <f>IF('31'!$C$1="","",'31'!$C$1)</f>
        <v/>
      </c>
      <c r="B2499" s="63">
        <f>Ustawienia!$A$10&amp;""</f>
        <v/>
      </c>
      <c r="C2499" s="63">
        <f>Ustawienia!$A$15&amp;""</f>
        <v/>
      </c>
      <c r="D2499" s="63" t="n">
        <v>8</v>
      </c>
      <c r="E2499" s="63">
        <f>IF('31'!J20="","",TRIM('31'!J20&amp;""))</f>
        <v/>
      </c>
      <c r="F2499" s="63">
        <f>IF('31'!K20="","",'31'!K20)</f>
        <v/>
      </c>
      <c r="G2499" s="63">
        <f>'31'!L20&amp;""</f>
        <v/>
      </c>
      <c r="H2499" s="63">
        <f>IF(OR(A2499="",F2499=""),"",F2499&amp;"|"&amp;A2499)</f>
        <v/>
      </c>
      <c r="I2499" s="63">
        <f>IF(AND(H2499&lt;&gt;"",OR('Historia wózka'!$B$4="",F2499='Historia wózka'!$B$4),A2499&gt;='Historia wózka'!$B$5,A2499&lt;='Historia wózka'!$B$6),A2499+0.7+(5000-ROW())/10000000,0)</f>
        <v/>
      </c>
      <c r="J2499" s="63">
        <f>Ustawienia!$B$10&amp;""</f>
        <v/>
      </c>
      <c r="K2499" s="63">
        <f>IF(H2499="","",COUNTIFS('Zgłoszenia'!$B$5:$B$504,F2499,'Zgłoszenia'!$D$5:$D$504,"&gt;="&amp;A2499,'Zgłoszenia'!$D$5:$D$504,"&lt;="&amp;(A2499+1)))</f>
        <v/>
      </c>
      <c r="L2499" s="63">
        <f>IF(OR(H2499="",K2499=0),"—",IF(ISNUMBER(MATCH(H2499,'Zgłoszenia'!$S$5:$S$504,0)),RIGHT("0"&amp;DAY(A2499),2)&amp;"."&amp;RIGHT("0"&amp;MONTH(A2499),2)&amp;"."&amp;YEAR(A2499)&amp;": "&amp;INDEX('Zgłoszenia'!$H$5:$H$504,MATCH(H2499,'Zgłoszenia'!$S$5:$S$504,0)),RIGHT("0"&amp;DAY((A2499+1)),2)&amp;"."&amp;RIGHT("0"&amp;MONTH((A2499+1)),2)&amp;"."&amp;YEAR((A2499+1))&amp;": "&amp;INDEX('Zgłoszenia'!$H$5:$H$504,MATCH(F2499&amp;"|"&amp;(A2499+1),'Zgłoszenia'!$S$5:$S$504,0)))&amp;IF(K2499&gt;1," (+"&amp;(K2499-1)&amp;")",""))</f>
        <v/>
      </c>
      <c r="M2499" s="63" t="n">
        <v>31</v>
      </c>
      <c r="N2499" s="2" t="n"/>
      <c r="O2499" s="2" t="n"/>
    </row>
    <row r="2500">
      <c r="A2500" s="62">
        <f>IF('31'!$C$1="","",'31'!$C$1)</f>
        <v/>
      </c>
      <c r="B2500" s="63">
        <f>Ustawienia!$A$10&amp;""</f>
        <v/>
      </c>
      <c r="C2500" s="63">
        <f>Ustawienia!$A$16&amp;""</f>
        <v/>
      </c>
      <c r="D2500" s="63" t="n">
        <v>1</v>
      </c>
      <c r="E2500" s="63">
        <f>IF('31'!J22="","",TRIM('31'!J22&amp;""))</f>
        <v/>
      </c>
      <c r="F2500" s="63">
        <f>IF('31'!K22="","",'31'!K22)</f>
        <v/>
      </c>
      <c r="G2500" s="63">
        <f>'31'!L22&amp;""</f>
        <v/>
      </c>
      <c r="H2500" s="63">
        <f>IF(OR(A2500="",F2500=""),"",F2500&amp;"|"&amp;A2500)</f>
        <v/>
      </c>
      <c r="I2500" s="63">
        <f>IF(AND(H2500&lt;&gt;"",OR('Historia wózka'!$B$4="",F2500='Historia wózka'!$B$4),A2500&gt;='Historia wózka'!$B$5,A2500&lt;='Historia wózka'!$B$6),A2500+0.7+(5000-ROW())/10000000,0)</f>
        <v/>
      </c>
      <c r="J2500" s="63">
        <f>Ustawienia!$B$10&amp;""</f>
        <v/>
      </c>
      <c r="K2500" s="63">
        <f>IF(H2500="","",COUNTIFS('Zgłoszenia'!$B$5:$B$504,F2500,'Zgłoszenia'!$D$5:$D$504,"&gt;="&amp;A2500,'Zgłoszenia'!$D$5:$D$504,"&lt;="&amp;(A2500+1)))</f>
        <v/>
      </c>
      <c r="L2500" s="63">
        <f>IF(OR(H2500="",K2500=0),"—",IF(ISNUMBER(MATCH(H2500,'Zgłoszenia'!$S$5:$S$504,0)),RIGHT("0"&amp;DAY(A2500),2)&amp;"."&amp;RIGHT("0"&amp;MONTH(A2500),2)&amp;"."&amp;YEAR(A2500)&amp;": "&amp;INDEX('Zgłoszenia'!$H$5:$H$504,MATCH(H2500,'Zgłoszenia'!$S$5:$S$504,0)),RIGHT("0"&amp;DAY((A2500+1)),2)&amp;"."&amp;RIGHT("0"&amp;MONTH((A2500+1)),2)&amp;"."&amp;YEAR((A2500+1))&amp;": "&amp;INDEX('Zgłoszenia'!$H$5:$H$504,MATCH(F2500&amp;"|"&amp;(A2500+1),'Zgłoszenia'!$S$5:$S$504,0)))&amp;IF(K2500&gt;1," (+"&amp;(K2500-1)&amp;")",""))</f>
        <v/>
      </c>
      <c r="M2500" s="63" t="n">
        <v>31</v>
      </c>
      <c r="N2500" s="2" t="n"/>
      <c r="O2500" s="2" t="n"/>
    </row>
    <row r="2501">
      <c r="A2501" s="62">
        <f>IF('31'!$C$1="","",'31'!$C$1)</f>
        <v/>
      </c>
      <c r="B2501" s="63">
        <f>Ustawienia!$A$10&amp;""</f>
        <v/>
      </c>
      <c r="C2501" s="63">
        <f>Ustawienia!$A$16&amp;""</f>
        <v/>
      </c>
      <c r="D2501" s="63" t="n">
        <v>2</v>
      </c>
      <c r="E2501" s="63">
        <f>IF('31'!J23="","",TRIM('31'!J23&amp;""))</f>
        <v/>
      </c>
      <c r="F2501" s="63">
        <f>IF('31'!K23="","",'31'!K23)</f>
        <v/>
      </c>
      <c r="G2501" s="63">
        <f>'31'!L23&amp;""</f>
        <v/>
      </c>
      <c r="H2501" s="63">
        <f>IF(OR(A2501="",F2501=""),"",F2501&amp;"|"&amp;A2501)</f>
        <v/>
      </c>
      <c r="I2501" s="63">
        <f>IF(AND(H2501&lt;&gt;"",OR('Historia wózka'!$B$4="",F2501='Historia wózka'!$B$4),A2501&gt;='Historia wózka'!$B$5,A2501&lt;='Historia wózka'!$B$6),A2501+0.7+(5000-ROW())/10000000,0)</f>
        <v/>
      </c>
      <c r="J2501" s="63">
        <f>Ustawienia!$B$10&amp;""</f>
        <v/>
      </c>
      <c r="K2501" s="63">
        <f>IF(H2501="","",COUNTIFS('Zgłoszenia'!$B$5:$B$504,F2501,'Zgłoszenia'!$D$5:$D$504,"&gt;="&amp;A2501,'Zgłoszenia'!$D$5:$D$504,"&lt;="&amp;(A2501+1)))</f>
        <v/>
      </c>
      <c r="L2501" s="63">
        <f>IF(OR(H2501="",K2501=0),"—",IF(ISNUMBER(MATCH(H2501,'Zgłoszenia'!$S$5:$S$504,0)),RIGHT("0"&amp;DAY(A2501),2)&amp;"."&amp;RIGHT("0"&amp;MONTH(A2501),2)&amp;"."&amp;YEAR(A2501)&amp;": "&amp;INDEX('Zgłoszenia'!$H$5:$H$504,MATCH(H2501,'Zgłoszenia'!$S$5:$S$504,0)),RIGHT("0"&amp;DAY((A2501+1)),2)&amp;"."&amp;RIGHT("0"&amp;MONTH((A2501+1)),2)&amp;"."&amp;YEAR((A2501+1))&amp;": "&amp;INDEX('Zgłoszenia'!$H$5:$H$504,MATCH(F2501&amp;"|"&amp;(A2501+1),'Zgłoszenia'!$S$5:$S$504,0)))&amp;IF(K2501&gt;1," (+"&amp;(K2501-1)&amp;")",""))</f>
        <v/>
      </c>
      <c r="M2501" s="63" t="n">
        <v>31</v>
      </c>
      <c r="N2501" s="2" t="n"/>
      <c r="O2501" s="2" t="n"/>
    </row>
    <row r="2502">
      <c r="A2502" s="62">
        <f>IF('31'!$C$1="","",'31'!$C$1)</f>
        <v/>
      </c>
      <c r="B2502" s="63">
        <f>Ustawienia!$A$10&amp;""</f>
        <v/>
      </c>
      <c r="C2502" s="63">
        <f>Ustawienia!$A$16&amp;""</f>
        <v/>
      </c>
      <c r="D2502" s="63" t="n">
        <v>3</v>
      </c>
      <c r="E2502" s="63">
        <f>IF('31'!J24="","",TRIM('31'!J24&amp;""))</f>
        <v/>
      </c>
      <c r="F2502" s="63">
        <f>IF('31'!K24="","",'31'!K24)</f>
        <v/>
      </c>
      <c r="G2502" s="63">
        <f>'31'!L24&amp;""</f>
        <v/>
      </c>
      <c r="H2502" s="63">
        <f>IF(OR(A2502="",F2502=""),"",F2502&amp;"|"&amp;A2502)</f>
        <v/>
      </c>
      <c r="I2502" s="63">
        <f>IF(AND(H2502&lt;&gt;"",OR('Historia wózka'!$B$4="",F2502='Historia wózka'!$B$4),A2502&gt;='Historia wózka'!$B$5,A2502&lt;='Historia wózka'!$B$6),A2502+0.7+(5000-ROW())/10000000,0)</f>
        <v/>
      </c>
      <c r="J2502" s="63">
        <f>Ustawienia!$B$10&amp;""</f>
        <v/>
      </c>
      <c r="K2502" s="63">
        <f>IF(H2502="","",COUNTIFS('Zgłoszenia'!$B$5:$B$504,F2502,'Zgłoszenia'!$D$5:$D$504,"&gt;="&amp;A2502,'Zgłoszenia'!$D$5:$D$504,"&lt;="&amp;(A2502+1)))</f>
        <v/>
      </c>
      <c r="L2502" s="63">
        <f>IF(OR(H2502="",K2502=0),"—",IF(ISNUMBER(MATCH(H2502,'Zgłoszenia'!$S$5:$S$504,0)),RIGHT("0"&amp;DAY(A2502),2)&amp;"."&amp;RIGHT("0"&amp;MONTH(A2502),2)&amp;"."&amp;YEAR(A2502)&amp;": "&amp;INDEX('Zgłoszenia'!$H$5:$H$504,MATCH(H2502,'Zgłoszenia'!$S$5:$S$504,0)),RIGHT("0"&amp;DAY((A2502+1)),2)&amp;"."&amp;RIGHT("0"&amp;MONTH((A2502+1)),2)&amp;"."&amp;YEAR((A2502+1))&amp;": "&amp;INDEX('Zgłoszenia'!$H$5:$H$504,MATCH(F2502&amp;"|"&amp;(A2502+1),'Zgłoszenia'!$S$5:$S$504,0)))&amp;IF(K2502&gt;1," (+"&amp;(K2502-1)&amp;")",""))</f>
        <v/>
      </c>
      <c r="M2502" s="63" t="n">
        <v>31</v>
      </c>
      <c r="N2502" s="2" t="n"/>
      <c r="O2502" s="2" t="n"/>
    </row>
    <row r="2503">
      <c r="A2503" s="62">
        <f>IF('31'!$C$1="","",'31'!$C$1)</f>
        <v/>
      </c>
      <c r="B2503" s="63">
        <f>Ustawienia!$A$10&amp;""</f>
        <v/>
      </c>
      <c r="C2503" s="63">
        <f>Ustawienia!$A$16&amp;""</f>
        <v/>
      </c>
      <c r="D2503" s="63" t="n">
        <v>4</v>
      </c>
      <c r="E2503" s="63">
        <f>IF('31'!J25="","",TRIM('31'!J25&amp;""))</f>
        <v/>
      </c>
      <c r="F2503" s="63">
        <f>IF('31'!K25="","",'31'!K25)</f>
        <v/>
      </c>
      <c r="G2503" s="63">
        <f>'31'!L25&amp;""</f>
        <v/>
      </c>
      <c r="H2503" s="63">
        <f>IF(OR(A2503="",F2503=""),"",F2503&amp;"|"&amp;A2503)</f>
        <v/>
      </c>
      <c r="I2503" s="63">
        <f>IF(AND(H2503&lt;&gt;"",OR('Historia wózka'!$B$4="",F2503='Historia wózka'!$B$4),A2503&gt;='Historia wózka'!$B$5,A2503&lt;='Historia wózka'!$B$6),A2503+0.7+(5000-ROW())/10000000,0)</f>
        <v/>
      </c>
      <c r="J2503" s="63">
        <f>Ustawienia!$B$10&amp;""</f>
        <v/>
      </c>
      <c r="K2503" s="63">
        <f>IF(H2503="","",COUNTIFS('Zgłoszenia'!$B$5:$B$504,F2503,'Zgłoszenia'!$D$5:$D$504,"&gt;="&amp;A2503,'Zgłoszenia'!$D$5:$D$504,"&lt;="&amp;(A2503+1)))</f>
        <v/>
      </c>
      <c r="L2503" s="63">
        <f>IF(OR(H2503="",K2503=0),"—",IF(ISNUMBER(MATCH(H2503,'Zgłoszenia'!$S$5:$S$504,0)),RIGHT("0"&amp;DAY(A2503),2)&amp;"."&amp;RIGHT("0"&amp;MONTH(A2503),2)&amp;"."&amp;YEAR(A2503)&amp;": "&amp;INDEX('Zgłoszenia'!$H$5:$H$504,MATCH(H2503,'Zgłoszenia'!$S$5:$S$504,0)),RIGHT("0"&amp;DAY((A2503+1)),2)&amp;"."&amp;RIGHT("0"&amp;MONTH((A2503+1)),2)&amp;"."&amp;YEAR((A2503+1))&amp;": "&amp;INDEX('Zgłoszenia'!$H$5:$H$504,MATCH(F2503&amp;"|"&amp;(A2503+1),'Zgłoszenia'!$S$5:$S$504,0)))&amp;IF(K2503&gt;1," (+"&amp;(K2503-1)&amp;")",""))</f>
        <v/>
      </c>
      <c r="M2503" s="63" t="n">
        <v>31</v>
      </c>
      <c r="N2503" s="2" t="n"/>
      <c r="O2503" s="2" t="n"/>
    </row>
    <row r="2504">
      <c r="A2504" s="62">
        <f>IF('31'!$C$1="","",'31'!$C$1)</f>
        <v/>
      </c>
      <c r="B2504" s="63">
        <f>Ustawienia!$A$10&amp;""</f>
        <v/>
      </c>
      <c r="C2504" s="63">
        <f>Ustawienia!$A$17&amp;""</f>
        <v/>
      </c>
      <c r="D2504" s="63" t="n">
        <v>1</v>
      </c>
      <c r="E2504" s="63">
        <f>IF('31'!J27="","",TRIM('31'!J27&amp;""))</f>
        <v/>
      </c>
      <c r="F2504" s="63">
        <f>IF('31'!K27="","",'31'!K27)</f>
        <v/>
      </c>
      <c r="G2504" s="63">
        <f>'31'!L27&amp;""</f>
        <v/>
      </c>
      <c r="H2504" s="63">
        <f>IF(OR(A2504="",F2504=""),"",F2504&amp;"|"&amp;A2504)</f>
        <v/>
      </c>
      <c r="I2504" s="63">
        <f>IF(AND(H2504&lt;&gt;"",OR('Historia wózka'!$B$4="",F2504='Historia wózka'!$B$4),A2504&gt;='Historia wózka'!$B$5,A2504&lt;='Historia wózka'!$B$6),A2504+0.7+(5000-ROW())/10000000,0)</f>
        <v/>
      </c>
      <c r="J2504" s="63">
        <f>Ustawienia!$B$10&amp;""</f>
        <v/>
      </c>
      <c r="K2504" s="63">
        <f>IF(H2504="","",COUNTIFS('Zgłoszenia'!$B$5:$B$504,F2504,'Zgłoszenia'!$D$5:$D$504,"&gt;="&amp;A2504,'Zgłoszenia'!$D$5:$D$504,"&lt;="&amp;(A2504+1)))</f>
        <v/>
      </c>
      <c r="L2504" s="63">
        <f>IF(OR(H2504="",K2504=0),"—",IF(ISNUMBER(MATCH(H2504,'Zgłoszenia'!$S$5:$S$504,0)),RIGHT("0"&amp;DAY(A2504),2)&amp;"."&amp;RIGHT("0"&amp;MONTH(A2504),2)&amp;"."&amp;YEAR(A2504)&amp;": "&amp;INDEX('Zgłoszenia'!$H$5:$H$504,MATCH(H2504,'Zgłoszenia'!$S$5:$S$504,0)),RIGHT("0"&amp;DAY((A2504+1)),2)&amp;"."&amp;RIGHT("0"&amp;MONTH((A2504+1)),2)&amp;"."&amp;YEAR((A2504+1))&amp;": "&amp;INDEX('Zgłoszenia'!$H$5:$H$504,MATCH(F2504&amp;"|"&amp;(A2504+1),'Zgłoszenia'!$S$5:$S$504,0)))&amp;IF(K2504&gt;1," (+"&amp;(K2504-1)&amp;")",""))</f>
        <v/>
      </c>
      <c r="M2504" s="63" t="n">
        <v>31</v>
      </c>
      <c r="N2504" s="2" t="n"/>
      <c r="O2504" s="2" t="n"/>
    </row>
    <row r="2505">
      <c r="A2505" s="62">
        <f>IF('31'!$C$1="","",'31'!$C$1)</f>
        <v/>
      </c>
      <c r="B2505" s="63">
        <f>Ustawienia!$A$10&amp;""</f>
        <v/>
      </c>
      <c r="C2505" s="63">
        <f>Ustawienia!$A$17&amp;""</f>
        <v/>
      </c>
      <c r="D2505" s="63" t="n">
        <v>2</v>
      </c>
      <c r="E2505" s="63">
        <f>IF('31'!J28="","",TRIM('31'!J28&amp;""))</f>
        <v/>
      </c>
      <c r="F2505" s="63">
        <f>IF('31'!K28="","",'31'!K28)</f>
        <v/>
      </c>
      <c r="G2505" s="63">
        <f>'31'!L28&amp;""</f>
        <v/>
      </c>
      <c r="H2505" s="63">
        <f>IF(OR(A2505="",F2505=""),"",F2505&amp;"|"&amp;A2505)</f>
        <v/>
      </c>
      <c r="I2505" s="63">
        <f>IF(AND(H2505&lt;&gt;"",OR('Historia wózka'!$B$4="",F2505='Historia wózka'!$B$4),A2505&gt;='Historia wózka'!$B$5,A2505&lt;='Historia wózka'!$B$6),A2505+0.7+(5000-ROW())/10000000,0)</f>
        <v/>
      </c>
      <c r="J2505" s="63">
        <f>Ustawienia!$B$10&amp;""</f>
        <v/>
      </c>
      <c r="K2505" s="63">
        <f>IF(H2505="","",COUNTIFS('Zgłoszenia'!$B$5:$B$504,F2505,'Zgłoszenia'!$D$5:$D$504,"&gt;="&amp;A2505,'Zgłoszenia'!$D$5:$D$504,"&lt;="&amp;(A2505+1)))</f>
        <v/>
      </c>
      <c r="L2505" s="63">
        <f>IF(OR(H2505="",K2505=0),"—",IF(ISNUMBER(MATCH(H2505,'Zgłoszenia'!$S$5:$S$504,0)),RIGHT("0"&amp;DAY(A2505),2)&amp;"."&amp;RIGHT("0"&amp;MONTH(A2505),2)&amp;"."&amp;YEAR(A2505)&amp;": "&amp;INDEX('Zgłoszenia'!$H$5:$H$504,MATCH(H2505,'Zgłoszenia'!$S$5:$S$504,0)),RIGHT("0"&amp;DAY((A2505+1)),2)&amp;"."&amp;RIGHT("0"&amp;MONTH((A2505+1)),2)&amp;"."&amp;YEAR((A2505+1))&amp;": "&amp;INDEX('Zgłoszenia'!$H$5:$H$504,MATCH(F2505&amp;"|"&amp;(A2505+1),'Zgłoszenia'!$S$5:$S$504,0)))&amp;IF(K2505&gt;1," (+"&amp;(K2505-1)&amp;")",""))</f>
        <v/>
      </c>
      <c r="M2505" s="63" t="n">
        <v>31</v>
      </c>
      <c r="N2505" s="2" t="n"/>
      <c r="O2505" s="2" t="n"/>
    </row>
    <row r="2506">
      <c r="A2506" s="62">
        <f>IF('31'!$C$1="","",'31'!$C$1)</f>
        <v/>
      </c>
      <c r="B2506" s="63">
        <f>Ustawienia!$A$10&amp;""</f>
        <v/>
      </c>
      <c r="C2506" s="63">
        <f>Ustawienia!$A$17&amp;""</f>
        <v/>
      </c>
      <c r="D2506" s="63" t="n">
        <v>3</v>
      </c>
      <c r="E2506" s="63">
        <f>IF('31'!J29="","",TRIM('31'!J29&amp;""))</f>
        <v/>
      </c>
      <c r="F2506" s="63">
        <f>IF('31'!K29="","",'31'!K29)</f>
        <v/>
      </c>
      <c r="G2506" s="63">
        <f>'31'!L29&amp;""</f>
        <v/>
      </c>
      <c r="H2506" s="63">
        <f>IF(OR(A2506="",F2506=""),"",F2506&amp;"|"&amp;A2506)</f>
        <v/>
      </c>
      <c r="I2506" s="63">
        <f>IF(AND(H2506&lt;&gt;"",OR('Historia wózka'!$B$4="",F2506='Historia wózka'!$B$4),A2506&gt;='Historia wózka'!$B$5,A2506&lt;='Historia wózka'!$B$6),A2506+0.7+(5000-ROW())/10000000,0)</f>
        <v/>
      </c>
      <c r="J2506" s="63">
        <f>Ustawienia!$B$10&amp;""</f>
        <v/>
      </c>
      <c r="K2506" s="63">
        <f>IF(H2506="","",COUNTIFS('Zgłoszenia'!$B$5:$B$504,F2506,'Zgłoszenia'!$D$5:$D$504,"&gt;="&amp;A2506,'Zgłoszenia'!$D$5:$D$504,"&lt;="&amp;(A2506+1)))</f>
        <v/>
      </c>
      <c r="L2506" s="63">
        <f>IF(OR(H2506="",K2506=0),"—",IF(ISNUMBER(MATCH(H2506,'Zgłoszenia'!$S$5:$S$504,0)),RIGHT("0"&amp;DAY(A2506),2)&amp;"."&amp;RIGHT("0"&amp;MONTH(A2506),2)&amp;"."&amp;YEAR(A2506)&amp;": "&amp;INDEX('Zgłoszenia'!$H$5:$H$504,MATCH(H2506,'Zgłoszenia'!$S$5:$S$504,0)),RIGHT("0"&amp;DAY((A2506+1)),2)&amp;"."&amp;RIGHT("0"&amp;MONTH((A2506+1)),2)&amp;"."&amp;YEAR((A2506+1))&amp;": "&amp;INDEX('Zgłoszenia'!$H$5:$H$504,MATCH(F2506&amp;"|"&amp;(A2506+1),'Zgłoszenia'!$S$5:$S$504,0)))&amp;IF(K2506&gt;1," (+"&amp;(K2506-1)&amp;")",""))</f>
        <v/>
      </c>
      <c r="M2506" s="63" t="n">
        <v>31</v>
      </c>
      <c r="N2506" s="2" t="n"/>
      <c r="O2506" s="2" t="n"/>
    </row>
    <row r="2507">
      <c r="A2507" s="62">
        <f>IF('31'!$C$1="","",'31'!$C$1)</f>
        <v/>
      </c>
      <c r="B2507" s="63">
        <f>Ustawienia!$A$10&amp;""</f>
        <v/>
      </c>
      <c r="C2507" s="63">
        <f>Ustawienia!$A$17&amp;""</f>
        <v/>
      </c>
      <c r="D2507" s="63" t="n">
        <v>4</v>
      </c>
      <c r="E2507" s="63">
        <f>IF('31'!J30="","",TRIM('31'!J30&amp;""))</f>
        <v/>
      </c>
      <c r="F2507" s="63">
        <f>IF('31'!K30="","",'31'!K30)</f>
        <v/>
      </c>
      <c r="G2507" s="63">
        <f>'31'!L30&amp;""</f>
        <v/>
      </c>
      <c r="H2507" s="63">
        <f>IF(OR(A2507="",F2507=""),"",F2507&amp;"|"&amp;A2507)</f>
        <v/>
      </c>
      <c r="I2507" s="63">
        <f>IF(AND(H2507&lt;&gt;"",OR('Historia wózka'!$B$4="",F2507='Historia wózka'!$B$4),A2507&gt;='Historia wózka'!$B$5,A2507&lt;='Historia wózka'!$B$6),A2507+0.7+(5000-ROW())/10000000,0)</f>
        <v/>
      </c>
      <c r="J2507" s="63">
        <f>Ustawienia!$B$10&amp;""</f>
        <v/>
      </c>
      <c r="K2507" s="63">
        <f>IF(H2507="","",COUNTIFS('Zgłoszenia'!$B$5:$B$504,F2507,'Zgłoszenia'!$D$5:$D$504,"&gt;="&amp;A2507,'Zgłoszenia'!$D$5:$D$504,"&lt;="&amp;(A2507+1)))</f>
        <v/>
      </c>
      <c r="L2507" s="63">
        <f>IF(OR(H2507="",K2507=0),"—",IF(ISNUMBER(MATCH(H2507,'Zgłoszenia'!$S$5:$S$504,0)),RIGHT("0"&amp;DAY(A2507),2)&amp;"."&amp;RIGHT("0"&amp;MONTH(A2507),2)&amp;"."&amp;YEAR(A2507)&amp;": "&amp;INDEX('Zgłoszenia'!$H$5:$H$504,MATCH(H2507,'Zgłoszenia'!$S$5:$S$504,0)),RIGHT("0"&amp;DAY((A2507+1)),2)&amp;"."&amp;RIGHT("0"&amp;MONTH((A2507+1)),2)&amp;"."&amp;YEAR((A2507+1))&amp;": "&amp;INDEX('Zgłoszenia'!$H$5:$H$504,MATCH(F2507&amp;"|"&amp;(A2507+1),'Zgłoszenia'!$S$5:$S$504,0)))&amp;IF(K2507&gt;1," (+"&amp;(K2507-1)&amp;")",""))</f>
        <v/>
      </c>
      <c r="M2507" s="63" t="n">
        <v>31</v>
      </c>
      <c r="N2507" s="2" t="n"/>
      <c r="O2507" s="2" t="n"/>
    </row>
    <row r="2508">
      <c r="A2508" s="62">
        <f>IF('31'!$C$1="","",'31'!$C$1)</f>
        <v/>
      </c>
      <c r="B2508" s="63">
        <f>Ustawienia!$A$10&amp;""</f>
        <v/>
      </c>
      <c r="C2508" s="63">
        <f>Ustawienia!$A$18&amp;""</f>
        <v/>
      </c>
      <c r="D2508" s="63" t="n">
        <v>1</v>
      </c>
      <c r="E2508" s="63">
        <f>IF('31'!J32="","",TRIM('31'!J32&amp;""))</f>
        <v/>
      </c>
      <c r="F2508" s="63">
        <f>IF('31'!K32="","",'31'!K32)</f>
        <v/>
      </c>
      <c r="G2508" s="63">
        <f>'31'!L32&amp;""</f>
        <v/>
      </c>
      <c r="H2508" s="63">
        <f>IF(OR(A2508="",F2508=""),"",F2508&amp;"|"&amp;A2508)</f>
        <v/>
      </c>
      <c r="I2508" s="63">
        <f>IF(AND(H2508&lt;&gt;"",OR('Historia wózka'!$B$4="",F2508='Historia wózka'!$B$4),A2508&gt;='Historia wózka'!$B$5,A2508&lt;='Historia wózka'!$B$6),A2508+0.7+(5000-ROW())/10000000,0)</f>
        <v/>
      </c>
      <c r="J2508" s="63">
        <f>Ustawienia!$B$10&amp;""</f>
        <v/>
      </c>
      <c r="K2508" s="63">
        <f>IF(H2508="","",COUNTIFS('Zgłoszenia'!$B$5:$B$504,F2508,'Zgłoszenia'!$D$5:$D$504,"&gt;="&amp;A2508,'Zgłoszenia'!$D$5:$D$504,"&lt;="&amp;(A2508+1)))</f>
        <v/>
      </c>
      <c r="L2508" s="63">
        <f>IF(OR(H2508="",K2508=0),"—",IF(ISNUMBER(MATCH(H2508,'Zgłoszenia'!$S$5:$S$504,0)),RIGHT("0"&amp;DAY(A2508),2)&amp;"."&amp;RIGHT("0"&amp;MONTH(A2508),2)&amp;"."&amp;YEAR(A2508)&amp;": "&amp;INDEX('Zgłoszenia'!$H$5:$H$504,MATCH(H2508,'Zgłoszenia'!$S$5:$S$504,0)),RIGHT("0"&amp;DAY((A2508+1)),2)&amp;"."&amp;RIGHT("0"&amp;MONTH((A2508+1)),2)&amp;"."&amp;YEAR((A2508+1))&amp;": "&amp;INDEX('Zgłoszenia'!$H$5:$H$504,MATCH(F2508&amp;"|"&amp;(A2508+1),'Zgłoszenia'!$S$5:$S$504,0)))&amp;IF(K2508&gt;1," (+"&amp;(K2508-1)&amp;")",""))</f>
        <v/>
      </c>
      <c r="M2508" s="63" t="n">
        <v>31</v>
      </c>
      <c r="N2508" s="2" t="n"/>
      <c r="O2508" s="2" t="n"/>
    </row>
    <row r="2509">
      <c r="A2509" s="62">
        <f>IF('31'!$C$1="","",'31'!$C$1)</f>
        <v/>
      </c>
      <c r="B2509" s="63">
        <f>Ustawienia!$A$10&amp;""</f>
        <v/>
      </c>
      <c r="C2509" s="63">
        <f>Ustawienia!$A$18&amp;""</f>
        <v/>
      </c>
      <c r="D2509" s="63" t="n">
        <v>2</v>
      </c>
      <c r="E2509" s="63">
        <f>IF('31'!J33="","",TRIM('31'!J33&amp;""))</f>
        <v/>
      </c>
      <c r="F2509" s="63">
        <f>IF('31'!K33="","",'31'!K33)</f>
        <v/>
      </c>
      <c r="G2509" s="63">
        <f>'31'!L33&amp;""</f>
        <v/>
      </c>
      <c r="H2509" s="63">
        <f>IF(OR(A2509="",F2509=""),"",F2509&amp;"|"&amp;A2509)</f>
        <v/>
      </c>
      <c r="I2509" s="63">
        <f>IF(AND(H2509&lt;&gt;"",OR('Historia wózka'!$B$4="",F2509='Historia wózka'!$B$4),A2509&gt;='Historia wózka'!$B$5,A2509&lt;='Historia wózka'!$B$6),A2509+0.7+(5000-ROW())/10000000,0)</f>
        <v/>
      </c>
      <c r="J2509" s="63">
        <f>Ustawienia!$B$10&amp;""</f>
        <v/>
      </c>
      <c r="K2509" s="63">
        <f>IF(H2509="","",COUNTIFS('Zgłoszenia'!$B$5:$B$504,F2509,'Zgłoszenia'!$D$5:$D$504,"&gt;="&amp;A2509,'Zgłoszenia'!$D$5:$D$504,"&lt;="&amp;(A2509+1)))</f>
        <v/>
      </c>
      <c r="L2509" s="63">
        <f>IF(OR(H2509="",K2509=0),"—",IF(ISNUMBER(MATCH(H2509,'Zgłoszenia'!$S$5:$S$504,0)),RIGHT("0"&amp;DAY(A2509),2)&amp;"."&amp;RIGHT("0"&amp;MONTH(A2509),2)&amp;"."&amp;YEAR(A2509)&amp;": "&amp;INDEX('Zgłoszenia'!$H$5:$H$504,MATCH(H2509,'Zgłoszenia'!$S$5:$S$504,0)),RIGHT("0"&amp;DAY((A2509+1)),2)&amp;"."&amp;RIGHT("0"&amp;MONTH((A2509+1)),2)&amp;"."&amp;YEAR((A2509+1))&amp;": "&amp;INDEX('Zgłoszenia'!$H$5:$H$504,MATCH(F2509&amp;"|"&amp;(A2509+1),'Zgłoszenia'!$S$5:$S$504,0)))&amp;IF(K2509&gt;1," (+"&amp;(K2509-1)&amp;")",""))</f>
        <v/>
      </c>
      <c r="M2509" s="63" t="n">
        <v>31</v>
      </c>
      <c r="N2509" s="2" t="n"/>
      <c r="O2509" s="2" t="n"/>
    </row>
    <row r="2510">
      <c r="A2510" s="62">
        <f>IF('31'!$C$1="","",'31'!$C$1)</f>
        <v/>
      </c>
      <c r="B2510" s="63">
        <f>Ustawienia!$A$10&amp;""</f>
        <v/>
      </c>
      <c r="C2510" s="63">
        <f>Ustawienia!$A$18&amp;""</f>
        <v/>
      </c>
      <c r="D2510" s="63" t="n">
        <v>3</v>
      </c>
      <c r="E2510" s="63">
        <f>IF('31'!J34="","",TRIM('31'!J34&amp;""))</f>
        <v/>
      </c>
      <c r="F2510" s="63">
        <f>IF('31'!K34="","",'31'!K34)</f>
        <v/>
      </c>
      <c r="G2510" s="63">
        <f>'31'!L34&amp;""</f>
        <v/>
      </c>
      <c r="H2510" s="63">
        <f>IF(OR(A2510="",F2510=""),"",F2510&amp;"|"&amp;A2510)</f>
        <v/>
      </c>
      <c r="I2510" s="63">
        <f>IF(AND(H2510&lt;&gt;"",OR('Historia wózka'!$B$4="",F2510='Historia wózka'!$B$4),A2510&gt;='Historia wózka'!$B$5,A2510&lt;='Historia wózka'!$B$6),A2510+0.7+(5000-ROW())/10000000,0)</f>
        <v/>
      </c>
      <c r="J2510" s="63">
        <f>Ustawienia!$B$10&amp;""</f>
        <v/>
      </c>
      <c r="K2510" s="63">
        <f>IF(H2510="","",COUNTIFS('Zgłoszenia'!$B$5:$B$504,F2510,'Zgłoszenia'!$D$5:$D$504,"&gt;="&amp;A2510,'Zgłoszenia'!$D$5:$D$504,"&lt;="&amp;(A2510+1)))</f>
        <v/>
      </c>
      <c r="L2510" s="63">
        <f>IF(OR(H2510="",K2510=0),"—",IF(ISNUMBER(MATCH(H2510,'Zgłoszenia'!$S$5:$S$504,0)),RIGHT("0"&amp;DAY(A2510),2)&amp;"."&amp;RIGHT("0"&amp;MONTH(A2510),2)&amp;"."&amp;YEAR(A2510)&amp;": "&amp;INDEX('Zgłoszenia'!$H$5:$H$504,MATCH(H2510,'Zgłoszenia'!$S$5:$S$504,0)),RIGHT("0"&amp;DAY((A2510+1)),2)&amp;"."&amp;RIGHT("0"&amp;MONTH((A2510+1)),2)&amp;"."&amp;YEAR((A2510+1))&amp;": "&amp;INDEX('Zgłoszenia'!$H$5:$H$504,MATCH(F2510&amp;"|"&amp;(A2510+1),'Zgłoszenia'!$S$5:$S$504,0)))&amp;IF(K2510&gt;1," (+"&amp;(K2510-1)&amp;")",""))</f>
        <v/>
      </c>
      <c r="M2510" s="63" t="n">
        <v>31</v>
      </c>
      <c r="N2510" s="2" t="n"/>
      <c r="O2510" s="2" t="n"/>
    </row>
    <row r="2511">
      <c r="A2511" s="62">
        <f>IF('31'!$C$1="","",'31'!$C$1)</f>
        <v/>
      </c>
      <c r="B2511" s="63">
        <f>Ustawienia!$A$10&amp;""</f>
        <v/>
      </c>
      <c r="C2511" s="63">
        <f>Ustawienia!$A$18&amp;""</f>
        <v/>
      </c>
      <c r="D2511" s="63" t="n">
        <v>4</v>
      </c>
      <c r="E2511" s="63">
        <f>IF('31'!J35="","",TRIM('31'!J35&amp;""))</f>
        <v/>
      </c>
      <c r="F2511" s="63">
        <f>IF('31'!K35="","",'31'!K35)</f>
        <v/>
      </c>
      <c r="G2511" s="63">
        <f>'31'!L35&amp;""</f>
        <v/>
      </c>
      <c r="H2511" s="63">
        <f>IF(OR(A2511="",F2511=""),"",F2511&amp;"|"&amp;A2511)</f>
        <v/>
      </c>
      <c r="I2511" s="63">
        <f>IF(AND(H2511&lt;&gt;"",OR('Historia wózka'!$B$4="",F2511='Historia wózka'!$B$4),A2511&gt;='Historia wózka'!$B$5,A2511&lt;='Historia wózka'!$B$6),A2511+0.7+(5000-ROW())/10000000,0)</f>
        <v/>
      </c>
      <c r="J2511" s="63">
        <f>Ustawienia!$B$10&amp;""</f>
        <v/>
      </c>
      <c r="K2511" s="63">
        <f>IF(H2511="","",COUNTIFS('Zgłoszenia'!$B$5:$B$504,F2511,'Zgłoszenia'!$D$5:$D$504,"&gt;="&amp;A2511,'Zgłoszenia'!$D$5:$D$504,"&lt;="&amp;(A2511+1)))</f>
        <v/>
      </c>
      <c r="L2511" s="63">
        <f>IF(OR(H2511="",K2511=0),"—",IF(ISNUMBER(MATCH(H2511,'Zgłoszenia'!$S$5:$S$504,0)),RIGHT("0"&amp;DAY(A2511),2)&amp;"."&amp;RIGHT("0"&amp;MONTH(A2511),2)&amp;"."&amp;YEAR(A2511)&amp;": "&amp;INDEX('Zgłoszenia'!$H$5:$H$504,MATCH(H2511,'Zgłoszenia'!$S$5:$S$504,0)),RIGHT("0"&amp;DAY((A2511+1)),2)&amp;"."&amp;RIGHT("0"&amp;MONTH((A2511+1)),2)&amp;"."&amp;YEAR((A2511+1))&amp;": "&amp;INDEX('Zgłoszenia'!$H$5:$H$504,MATCH(F2511&amp;"|"&amp;(A2511+1),'Zgłoszenia'!$S$5:$S$504,0)))&amp;IF(K2511&gt;1," (+"&amp;(K2511-1)&amp;")",""))</f>
        <v/>
      </c>
      <c r="M2511" s="63" t="n">
        <v>31</v>
      </c>
      <c r="N2511" s="2" t="n"/>
      <c r="O2511" s="2" t="n"/>
    </row>
    <row r="2512">
      <c r="A2512" s="62">
        <f>IF('31'!$C$1="","",'31'!$C$1)</f>
        <v/>
      </c>
      <c r="B2512" s="63">
        <f>Ustawienia!$A$10&amp;""</f>
        <v/>
      </c>
      <c r="C2512" s="63">
        <f>Ustawienia!$A$18&amp;""</f>
        <v/>
      </c>
      <c r="D2512" s="63" t="n">
        <v>5</v>
      </c>
      <c r="E2512" s="63">
        <f>IF('31'!J36="","",TRIM('31'!J36&amp;""))</f>
        <v/>
      </c>
      <c r="F2512" s="63">
        <f>IF('31'!K36="","",'31'!K36)</f>
        <v/>
      </c>
      <c r="G2512" s="63">
        <f>'31'!L36&amp;""</f>
        <v/>
      </c>
      <c r="H2512" s="63">
        <f>IF(OR(A2512="",F2512=""),"",F2512&amp;"|"&amp;A2512)</f>
        <v/>
      </c>
      <c r="I2512" s="63">
        <f>IF(AND(H2512&lt;&gt;"",OR('Historia wózka'!$B$4="",F2512='Historia wózka'!$B$4),A2512&gt;='Historia wózka'!$B$5,A2512&lt;='Historia wózka'!$B$6),A2512+0.7+(5000-ROW())/10000000,0)</f>
        <v/>
      </c>
      <c r="J2512" s="63">
        <f>Ustawienia!$B$10&amp;""</f>
        <v/>
      </c>
      <c r="K2512" s="63">
        <f>IF(H2512="","",COUNTIFS('Zgłoszenia'!$B$5:$B$504,F2512,'Zgłoszenia'!$D$5:$D$504,"&gt;="&amp;A2512,'Zgłoszenia'!$D$5:$D$504,"&lt;="&amp;(A2512+1)))</f>
        <v/>
      </c>
      <c r="L2512" s="63">
        <f>IF(OR(H2512="",K2512=0),"—",IF(ISNUMBER(MATCH(H2512,'Zgłoszenia'!$S$5:$S$504,0)),RIGHT("0"&amp;DAY(A2512),2)&amp;"."&amp;RIGHT("0"&amp;MONTH(A2512),2)&amp;"."&amp;YEAR(A2512)&amp;": "&amp;INDEX('Zgłoszenia'!$H$5:$H$504,MATCH(H2512,'Zgłoszenia'!$S$5:$S$504,0)),RIGHT("0"&amp;DAY((A2512+1)),2)&amp;"."&amp;RIGHT("0"&amp;MONTH((A2512+1)),2)&amp;"."&amp;YEAR((A2512+1))&amp;": "&amp;INDEX('Zgłoszenia'!$H$5:$H$504,MATCH(F2512&amp;"|"&amp;(A2512+1),'Zgłoszenia'!$S$5:$S$504,0)))&amp;IF(K2512&gt;1," (+"&amp;(K2512-1)&amp;")",""))</f>
        <v/>
      </c>
      <c r="M2512" s="63" t="n">
        <v>31</v>
      </c>
      <c r="N2512" s="2" t="n"/>
      <c r="O25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2026-10-20T08:08:00Z</dcterms:created>
  <dcterms:modified xmlns:dcterms="http://purl.org/dc/terms/" xmlns:xsi="http://www.w3.org/2001/XMLSchema-instance" xsi:type="dcterms:W3CDTF">2026-10-20T08:08:05Z</dcterms:modified>
</cp:coreProperties>
</file>